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BFDBD4-6AB2-484B-8087-C5BCDB22DA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Y154" i="1" s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86" i="1" l="1"/>
  <c r="BN86" i="1"/>
  <c r="Z86" i="1"/>
  <c r="BP113" i="1"/>
  <c r="BN113" i="1"/>
  <c r="Z113" i="1"/>
  <c r="BP149" i="1"/>
  <c r="BN149" i="1"/>
  <c r="Z149" i="1"/>
  <c r="BP176" i="1"/>
  <c r="BN176" i="1"/>
  <c r="Z176" i="1"/>
  <c r="BP209" i="1"/>
  <c r="BN209" i="1"/>
  <c r="Z209" i="1"/>
  <c r="BP232" i="1"/>
  <c r="BN232" i="1"/>
  <c r="Z232" i="1"/>
  <c r="BP259" i="1"/>
  <c r="BN259" i="1"/>
  <c r="Z259" i="1"/>
  <c r="BP301" i="1"/>
  <c r="BN301" i="1"/>
  <c r="Z301" i="1"/>
  <c r="BP324" i="1"/>
  <c r="BN324" i="1"/>
  <c r="Z324" i="1"/>
  <c r="BP379" i="1"/>
  <c r="BN379" i="1"/>
  <c r="Z379" i="1"/>
  <c r="BP425" i="1"/>
  <c r="BN425" i="1"/>
  <c r="Z425" i="1"/>
  <c r="BP451" i="1"/>
  <c r="BN451" i="1"/>
  <c r="Z451" i="1"/>
  <c r="Z30" i="1"/>
  <c r="BN30" i="1"/>
  <c r="BP42" i="1"/>
  <c r="BN42" i="1"/>
  <c r="BP67" i="1"/>
  <c r="BN67" i="1"/>
  <c r="Z67" i="1"/>
  <c r="BP101" i="1"/>
  <c r="BN101" i="1"/>
  <c r="Z101" i="1"/>
  <c r="BP136" i="1"/>
  <c r="BN136" i="1"/>
  <c r="Z136" i="1"/>
  <c r="BP164" i="1"/>
  <c r="BN164" i="1"/>
  <c r="Z164" i="1"/>
  <c r="BP199" i="1"/>
  <c r="BN199" i="1"/>
  <c r="Z199" i="1"/>
  <c r="BP219" i="1"/>
  <c r="BN219" i="1"/>
  <c r="Z219" i="1"/>
  <c r="BP250" i="1"/>
  <c r="BN250" i="1"/>
  <c r="Z250" i="1"/>
  <c r="BP280" i="1"/>
  <c r="BN280" i="1"/>
  <c r="Z280" i="1"/>
  <c r="Y286" i="1"/>
  <c r="Y285" i="1"/>
  <c r="BP284" i="1"/>
  <c r="BN284" i="1"/>
  <c r="Z284" i="1"/>
  <c r="Z285" i="1" s="1"/>
  <c r="BP289" i="1"/>
  <c r="BN289" i="1"/>
  <c r="Z289" i="1"/>
  <c r="BP317" i="1"/>
  <c r="BN317" i="1"/>
  <c r="Z317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BP61" i="1"/>
  <c r="BN61" i="1"/>
  <c r="Z61" i="1"/>
  <c r="BP81" i="1"/>
  <c r="BN81" i="1"/>
  <c r="Z81" i="1"/>
  <c r="BP94" i="1"/>
  <c r="BN94" i="1"/>
  <c r="Z94" i="1"/>
  <c r="BP109" i="1"/>
  <c r="BN109" i="1"/>
  <c r="Z109" i="1"/>
  <c r="Y132" i="1"/>
  <c r="BP130" i="1"/>
  <c r="BN130" i="1"/>
  <c r="Z130" i="1"/>
  <c r="Y151" i="1"/>
  <c r="BP147" i="1"/>
  <c r="BN147" i="1"/>
  <c r="Z147" i="1"/>
  <c r="BP170" i="1"/>
  <c r="BN170" i="1"/>
  <c r="Z170" i="1"/>
  <c r="BP197" i="1"/>
  <c r="BN197" i="1"/>
  <c r="Z197" i="1"/>
  <c r="Y21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Y77" i="1"/>
  <c r="BP73" i="1"/>
  <c r="BN73" i="1"/>
  <c r="Z73" i="1"/>
  <c r="BP88" i="1"/>
  <c r="BN88" i="1"/>
  <c r="Z88" i="1"/>
  <c r="BP103" i="1"/>
  <c r="BN103" i="1"/>
  <c r="Z103" i="1"/>
  <c r="BP115" i="1"/>
  <c r="BN115" i="1"/>
  <c r="Z115" i="1"/>
  <c r="BP141" i="1"/>
  <c r="BN141" i="1"/>
  <c r="Z141" i="1"/>
  <c r="BP166" i="1"/>
  <c r="BN166" i="1"/>
  <c r="Z166" i="1"/>
  <c r="J500" i="1"/>
  <c r="BP187" i="1"/>
  <c r="BN187" i="1"/>
  <c r="Z187" i="1"/>
  <c r="BP201" i="1"/>
  <c r="BN201" i="1"/>
  <c r="Z201" i="1"/>
  <c r="BP211" i="1"/>
  <c r="BN211" i="1"/>
  <c r="Z211" i="1"/>
  <c r="BP226" i="1"/>
  <c r="BN226" i="1"/>
  <c r="Z226" i="1"/>
  <c r="BP234" i="1"/>
  <c r="BN234" i="1"/>
  <c r="Z234" i="1"/>
  <c r="BP264" i="1"/>
  <c r="BN264" i="1"/>
  <c r="Z264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69" i="1"/>
  <c r="Y96" i="1"/>
  <c r="F500" i="1"/>
  <c r="Y111" i="1"/>
  <c r="Y117" i="1"/>
  <c r="G500" i="1"/>
  <c r="I500" i="1"/>
  <c r="Y172" i="1"/>
  <c r="Y178" i="1"/>
  <c r="Y193" i="1"/>
  <c r="Y252" i="1"/>
  <c r="BP257" i="1"/>
  <c r="BN257" i="1"/>
  <c r="Z257" i="1"/>
  <c r="BP273" i="1"/>
  <c r="BN273" i="1"/>
  <c r="Z273" i="1"/>
  <c r="BP299" i="1"/>
  <c r="BN299" i="1"/>
  <c r="Z299" i="1"/>
  <c r="BP311" i="1"/>
  <c r="BN311" i="1"/>
  <c r="Z311" i="1"/>
  <c r="BP345" i="1"/>
  <c r="BN345" i="1"/>
  <c r="Z345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261" i="1"/>
  <c r="Y381" i="1"/>
  <c r="Y455" i="1"/>
  <c r="Y454" i="1"/>
  <c r="F9" i="1"/>
  <c r="J9" i="1"/>
  <c r="F10" i="1"/>
  <c r="Y31" i="1"/>
  <c r="Y43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5" i="1"/>
  <c r="Y161" i="1"/>
  <c r="Y173" i="1"/>
  <c r="Y179" i="1"/>
  <c r="Y183" i="1"/>
  <c r="Y188" i="1"/>
  <c r="Y194" i="1"/>
  <c r="Y204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67" i="1"/>
  <c r="BN267" i="1"/>
  <c r="Z267" i="1"/>
  <c r="Y269" i="1"/>
  <c r="O500" i="1"/>
  <c r="Y275" i="1"/>
  <c r="BP272" i="1"/>
  <c r="BN272" i="1"/>
  <c r="Z272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Y340" i="1"/>
  <c r="S500" i="1"/>
  <c r="Y351" i="1"/>
  <c r="BP344" i="1"/>
  <c r="BN344" i="1"/>
  <c r="Z344" i="1"/>
  <c r="BP348" i="1"/>
  <c r="BN348" i="1"/>
  <c r="Z348" i="1"/>
  <c r="H9" i="1"/>
  <c r="B500" i="1"/>
  <c r="X491" i="1"/>
  <c r="X492" i="1"/>
  <c r="X494" i="1"/>
  <c r="Y24" i="1"/>
  <c r="Z27" i="1"/>
  <c r="BN27" i="1"/>
  <c r="Z29" i="1"/>
  <c r="BN29" i="1"/>
  <c r="C500" i="1"/>
  <c r="Z41" i="1"/>
  <c r="BN41" i="1"/>
  <c r="Y44" i="1"/>
  <c r="D500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76" i="1"/>
  <c r="BN76" i="1"/>
  <c r="Z80" i="1"/>
  <c r="BN80" i="1"/>
  <c r="BP80" i="1"/>
  <c r="E500" i="1"/>
  <c r="Z87" i="1"/>
  <c r="BN87" i="1"/>
  <c r="Y90" i="1"/>
  <c r="Z93" i="1"/>
  <c r="BN93" i="1"/>
  <c r="Z95" i="1"/>
  <c r="BN95" i="1"/>
  <c r="Z100" i="1"/>
  <c r="BN100" i="1"/>
  <c r="BP100" i="1"/>
  <c r="Z102" i="1"/>
  <c r="BN102" i="1"/>
  <c r="Y105" i="1"/>
  <c r="Z108" i="1"/>
  <c r="Z110" i="1" s="1"/>
  <c r="BN108" i="1"/>
  <c r="Z114" i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BN131" i="1"/>
  <c r="Z135" i="1"/>
  <c r="Z137" i="1" s="1"/>
  <c r="BN135" i="1"/>
  <c r="BP135" i="1"/>
  <c r="H500" i="1"/>
  <c r="Z142" i="1"/>
  <c r="Z144" i="1" s="1"/>
  <c r="BN142" i="1"/>
  <c r="Y145" i="1"/>
  <c r="Z148" i="1"/>
  <c r="Z150" i="1" s="1"/>
  <c r="BN148" i="1"/>
  <c r="Z153" i="1"/>
  <c r="Z154" i="1" s="1"/>
  <c r="BN153" i="1"/>
  <c r="BP153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Y217" i="1"/>
  <c r="Z208" i="1"/>
  <c r="BN208" i="1"/>
  <c r="Z210" i="1"/>
  <c r="BN210" i="1"/>
  <c r="Z212" i="1"/>
  <c r="BN212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Y276" i="1"/>
  <c r="P500" i="1"/>
  <c r="Y282" i="1"/>
  <c r="BP279" i="1"/>
  <c r="BN279" i="1"/>
  <c r="Z279" i="1"/>
  <c r="Q50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Z319" i="1" s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70" i="1"/>
  <c r="BN370" i="1"/>
  <c r="Z370" i="1"/>
  <c r="Z371" i="1" s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BP424" i="1"/>
  <c r="BN424" i="1"/>
  <c r="Z424" i="1"/>
  <c r="BP460" i="1"/>
  <c r="BN460" i="1"/>
  <c r="Z460" i="1"/>
  <c r="Y464" i="1"/>
  <c r="BP468" i="1"/>
  <c r="BN468" i="1"/>
  <c r="Z468" i="1"/>
  <c r="Y470" i="1"/>
  <c r="Y475" i="1"/>
  <c r="BP472" i="1"/>
  <c r="BN472" i="1"/>
  <c r="Z472" i="1"/>
  <c r="Z474" i="1" s="1"/>
  <c r="Y474" i="1"/>
  <c r="L500" i="1"/>
  <c r="U500" i="1"/>
  <c r="M500" i="1"/>
  <c r="Y268" i="1"/>
  <c r="Y295" i="1"/>
  <c r="Y362" i="1"/>
  <c r="BP359" i="1"/>
  <c r="BN359" i="1"/>
  <c r="Z359" i="1"/>
  <c r="Z361" i="1" s="1"/>
  <c r="Y376" i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Y500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69" i="1" l="1"/>
  <c r="Z281" i="1"/>
  <c r="Z204" i="1"/>
  <c r="Z178" i="1"/>
  <c r="Z104" i="1"/>
  <c r="Z77" i="1"/>
  <c r="Z63" i="1"/>
  <c r="X493" i="1"/>
  <c r="Z216" i="1"/>
  <c r="Z117" i="1"/>
  <c r="Z96" i="1"/>
  <c r="Y492" i="1"/>
  <c r="Z31" i="1"/>
  <c r="Z463" i="1"/>
  <c r="Z251" i="1"/>
  <c r="Z132" i="1"/>
  <c r="Z89" i="1"/>
  <c r="Z82" i="1"/>
  <c r="Z57" i="1"/>
  <c r="Z43" i="1"/>
  <c r="Y491" i="1"/>
  <c r="Z295" i="1"/>
  <c r="Y494" i="1"/>
  <c r="Z448" i="1"/>
  <c r="Z433" i="1"/>
  <c r="Z395" i="1"/>
  <c r="Z313" i="1"/>
  <c r="Z172" i="1"/>
  <c r="Z69" i="1"/>
  <c r="Y490" i="1"/>
  <c r="Z332" i="1"/>
  <c r="Z326" i="1"/>
  <c r="Z305" i="1"/>
  <c r="Z235" i="1"/>
  <c r="Z351" i="1"/>
  <c r="Z275" i="1"/>
  <c r="Z495" i="1" l="1"/>
  <c r="Y493" i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<sst xmlns="http://schemas.openxmlformats.org/spreadsheetml/2006/main" count="2356" uniqueCount="767">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</sst>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8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53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533" customWidth="1"/>
    <col min="19" max="19" width="6.140625" style="533" customWidth="1"/>
    <col min="20" max="20" width="10.85546875" style="539" customWidth="1"/>
    <col min="21" max="21" width="10.42578125" style="539" customWidth="1"/>
    <col min="22" max="22" width="9.42578125" style="539" customWidth="1"/>
    <col min="23" max="23" width="8.42578125" style="539" customWidth="1"/>
    <col min="24" max="24" width="10" style="533" customWidth="1"/>
    <col min="25" max="25" width="11" style="533" customWidth="1"/>
    <col min="26" max="26" width="10" style="533" customWidth="1"/>
    <col min="27" max="27" width="11.5703125" style="533" customWidth="1"/>
    <col min="28" max="28" width="10.42578125" style="533" customWidth="1"/>
    <col min="29" max="29" width="30" style="533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533" customWidth="1"/>
    <col min="34" max="35" width="9.140625" style="533" customWidth="1"/>
    <col min="36" max="16384" width="9.140625" style="533"/>
  </cols>
  <sheetData>
    <row r="1" spans="1:32" s="535" customFormat="1" ht="45" customHeight="1" x14ac:dyDescent="0.2">
      <c r="A1" s="40"/>
      <c r="B1" s="40"/>
      <c r="C1" s="40"/>
      <c r="D1" s="794" t="s">
        <v>0</v>
      </c>
      <c r="E1" s="569"/>
      <c r="F1" s="569"/>
      <c r="G1" s="11" t="s">
        <v>1</v>
      </c>
      <c r="H1" s="794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45" t="s">
        <v>3</v>
      </c>
      <c r="S1" s="569"/>
      <c r="T1" s="569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535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6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5"/>
      <c r="Y2" s="15"/>
      <c r="Z2" s="15"/>
      <c r="AA2" s="15"/>
      <c r="AB2" s="50"/>
      <c r="AC2" s="50"/>
      <c r="AD2" s="50"/>
      <c r="AE2" s="50"/>
    </row>
    <row r="3" spans="1:32" s="535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555"/>
      <c r="Q3" s="555"/>
      <c r="R3" s="555"/>
      <c r="S3" s="555"/>
      <c r="T3" s="555"/>
      <c r="U3" s="555"/>
      <c r="V3" s="555"/>
      <c r="W3" s="555"/>
      <c r="X3" s="15"/>
      <c r="Y3" s="15"/>
      <c r="Z3" s="15"/>
      <c r="AA3" s="15"/>
      <c r="AB3" s="50"/>
      <c r="AC3" s="50"/>
      <c r="AD3" s="50"/>
      <c r="AE3" s="50"/>
    </row>
    <row r="4" spans="1:32" s="535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535" customFormat="1" ht="23.45" customHeight="1" x14ac:dyDescent="0.2">
      <c r="A5" s="762" t="s">
        <v>8</v>
      </c>
      <c r="B5" s="589"/>
      <c r="C5" s="575"/>
      <c r="D5" s="661"/>
      <c r="E5" s="663"/>
      <c r="F5" s="610" t="s">
        <v>9</v>
      </c>
      <c r="G5" s="575"/>
      <c r="H5" s="661" t="s">
        <v>766</v>
      </c>
      <c r="I5" s="662"/>
      <c r="J5" s="662"/>
      <c r="K5" s="662"/>
      <c r="L5" s="662"/>
      <c r="M5" s="663"/>
      <c r="N5" s="57"/>
      <c r="P5" s="23" t="s">
        <v>10</v>
      </c>
      <c r="Q5" s="576">
        <v>45968</v>
      </c>
      <c r="R5" s="577"/>
      <c r="T5" s="738" t="s">
        <v>11</v>
      </c>
      <c r="U5" s="723"/>
      <c r="V5" s="740" t="s">
        <v>12</v>
      </c>
      <c r="W5" s="577"/>
      <c r="AB5" s="50"/>
      <c r="AC5" s="50"/>
      <c r="AD5" s="50"/>
      <c r="AE5" s="50"/>
    </row>
    <row r="6" spans="1:32" s="535" customFormat="1" ht="24" customHeight="1" x14ac:dyDescent="0.2">
      <c r="A6" s="762" t="s">
        <v>13</v>
      </c>
      <c r="B6" s="589"/>
      <c r="C6" s="575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77"/>
      <c r="N6" s="58"/>
      <c r="P6" s="23" t="s">
        <v>15</v>
      </c>
      <c r="Q6" s="585" t="str">
        <f>IF(Q5=0," ",CHOOSE(WEEKDAY(Q5,2),"Понедельник","Вторник","Среда","Четверг","Пятница","Суббота","Воскресенье"))</f>
        <v>Пятница</v>
      </c>
      <c r="R6" s="561"/>
      <c r="T6" s="722" t="s">
        <v>16</v>
      </c>
      <c r="U6" s="723"/>
      <c r="V6" s="674" t="s">
        <v>17</v>
      </c>
      <c r="W6" s="675"/>
      <c r="AB6" s="50"/>
      <c r="AC6" s="50"/>
      <c r="AD6" s="50"/>
      <c r="AE6" s="50"/>
    </row>
    <row r="7" spans="1:32" s="535" customFormat="1" ht="21.75" hidden="1" customHeight="1" x14ac:dyDescent="0.2">
      <c r="A7" s="54"/>
      <c r="B7" s="54"/>
      <c r="C7" s="54"/>
      <c r="D7" s="819" t="str">
        <f>IFERROR(VLOOKUP(DeliveryAddress,Table,3,0),1)</f>
        <v>1</v>
      </c>
      <c r="E7" s="820"/>
      <c r="F7" s="820"/>
      <c r="G7" s="820"/>
      <c r="H7" s="820"/>
      <c r="I7" s="820"/>
      <c r="J7" s="820"/>
      <c r="K7" s="820"/>
      <c r="L7" s="820"/>
      <c r="M7" s="744"/>
      <c r="N7" s="59"/>
      <c r="P7" s="23"/>
      <c r="Q7" s="41"/>
      <c r="R7" s="41"/>
      <c r="T7" s="555"/>
      <c r="U7" s="723"/>
      <c r="V7" s="676"/>
      <c r="W7" s="677"/>
      <c r="AB7" s="50"/>
      <c r="AC7" s="50"/>
      <c r="AD7" s="50"/>
      <c r="AE7" s="50"/>
    </row>
    <row r="8" spans="1:32" s="535" customFormat="1" ht="25.5" customHeight="1" x14ac:dyDescent="0.2">
      <c r="A8" s="547" t="s">
        <v>18</v>
      </c>
      <c r="B8" s="548"/>
      <c r="C8" s="549"/>
      <c r="D8" s="827" t="s">
        <v>19</v>
      </c>
      <c r="E8" s="828"/>
      <c r="F8" s="828"/>
      <c r="G8" s="828"/>
      <c r="H8" s="828"/>
      <c r="I8" s="828"/>
      <c r="J8" s="828"/>
      <c r="K8" s="828"/>
      <c r="L8" s="828"/>
      <c r="M8" s="829"/>
      <c r="N8" s="60"/>
      <c r="P8" s="23" t="s">
        <v>20</v>
      </c>
      <c r="Q8" s="743">
        <v>0.41666666666666669</v>
      </c>
      <c r="R8" s="744"/>
      <c r="T8" s="555"/>
      <c r="U8" s="723"/>
      <c r="V8" s="676"/>
      <c r="W8" s="677"/>
      <c r="AB8" s="50"/>
      <c r="AC8" s="50"/>
      <c r="AD8" s="50"/>
      <c r="AE8" s="50"/>
    </row>
    <row r="9" spans="1:32" s="535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8"/>
      <c r="E9" s="629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41"/>
      <c r="P9" s="25" t="s">
        <v>21</v>
      </c>
      <c r="Q9" s="775"/>
      <c r="R9" s="615"/>
      <c r="T9" s="555"/>
      <c r="U9" s="723"/>
      <c r="V9" s="678"/>
      <c r="W9" s="679"/>
      <c r="X9" s="42"/>
      <c r="Y9" s="42"/>
      <c r="Z9" s="42"/>
      <c r="AA9" s="42"/>
      <c r="AB9" s="50"/>
      <c r="AC9" s="50"/>
      <c r="AD9" s="50"/>
      <c r="AE9" s="50"/>
    </row>
    <row r="10" spans="1:32" s="535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8"/>
      <c r="E10" s="629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17" t="str">
        <f>IFERROR(VLOOKUP($D$10,Proxy,2,FALSE),"")</f>
        <v/>
      </c>
      <c r="I10" s="555"/>
      <c r="J10" s="555"/>
      <c r="K10" s="555"/>
      <c r="L10" s="555"/>
      <c r="M10" s="555"/>
      <c r="N10" s="540"/>
      <c r="P10" s="25" t="s">
        <v>22</v>
      </c>
      <c r="Q10" s="724"/>
      <c r="R10" s="725"/>
      <c r="U10" s="23" t="s">
        <v>23</v>
      </c>
      <c r="V10" s="862" t="s">
        <v>24</v>
      </c>
      <c r="W10" s="675"/>
      <c r="X10" s="43"/>
      <c r="Y10" s="43"/>
      <c r="Z10" s="43"/>
      <c r="AA10" s="43"/>
      <c r="AB10" s="50"/>
      <c r="AC10" s="50"/>
      <c r="AD10" s="50"/>
      <c r="AE10" s="50"/>
    </row>
    <row r="11" spans="1:32" s="535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777"/>
      <c r="R11" s="577"/>
      <c r="U11" s="23" t="s">
        <v>27</v>
      </c>
      <c r="V11" s="614" t="s">
        <v>28</v>
      </c>
      <c r="W11" s="615"/>
      <c r="X11" s="44"/>
      <c r="Y11" s="44"/>
      <c r="Z11" s="44"/>
      <c r="AA11" s="44"/>
      <c r="AB11" s="50"/>
      <c r="AC11" s="50"/>
      <c r="AD11" s="50"/>
      <c r="AE11" s="50"/>
    </row>
    <row r="12" spans="1:32" s="535" customFormat="1" ht="18.600000000000001" customHeight="1" x14ac:dyDescent="0.2">
      <c r="A12" s="707" t="s">
        <v>29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75"/>
      <c r="N12" s="61"/>
      <c r="P12" s="23" t="s">
        <v>30</v>
      </c>
      <c r="Q12" s="743"/>
      <c r="R12" s="744"/>
      <c r="S12" s="22"/>
      <c r="U12" s="23"/>
      <c r="V12" s="569"/>
      <c r="W12" s="555"/>
      <c r="AB12" s="50"/>
      <c r="AC12" s="50"/>
      <c r="AD12" s="50"/>
      <c r="AE12" s="50"/>
    </row>
    <row r="13" spans="1:32" s="535" customFormat="1" ht="23.25" customHeight="1" x14ac:dyDescent="0.2">
      <c r="A13" s="707" t="s">
        <v>31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75"/>
      <c r="N13" s="61"/>
      <c r="O13" s="25"/>
      <c r="P13" s="25" t="s">
        <v>32</v>
      </c>
      <c r="Q13" s="614"/>
      <c r="R13" s="615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535" customFormat="1" ht="18.600000000000001" customHeight="1" x14ac:dyDescent="0.2">
      <c r="A14" s="707" t="s">
        <v>33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75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535" customFormat="1" ht="22.5" customHeight="1" x14ac:dyDescent="0.2">
      <c r="A15" s="708" t="s">
        <v>34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75"/>
      <c r="N15" s="62"/>
      <c r="P15" s="729" t="s">
        <v>35</v>
      </c>
      <c r="Q15" s="569"/>
      <c r="R15" s="569"/>
      <c r="S15" s="569"/>
      <c r="T15" s="569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730"/>
      <c r="Q16" s="730"/>
      <c r="R16" s="730"/>
      <c r="S16" s="730"/>
      <c r="T16" s="730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563" t="s">
        <v>36</v>
      </c>
      <c r="B17" s="563" t="s">
        <v>37</v>
      </c>
      <c r="C17" s="764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6"/>
      <c r="R17" s="796"/>
      <c r="S17" s="796"/>
      <c r="T17" s="564"/>
      <c r="U17" s="574" t="s">
        <v>51</v>
      </c>
      <c r="V17" s="575"/>
      <c r="W17" s="563" t="s">
        <v>52</v>
      </c>
      <c r="X17" s="563" t="s">
        <v>53</v>
      </c>
      <c r="Y17" s="572" t="s">
        <v>54</v>
      </c>
      <c r="Z17" s="687" t="s">
        <v>55</v>
      </c>
      <c r="AA17" s="604" t="s">
        <v>56</v>
      </c>
      <c r="AB17" s="604" t="s">
        <v>57</v>
      </c>
      <c r="AC17" s="604" t="s">
        <v>58</v>
      </c>
      <c r="AD17" s="604" t="s">
        <v>59</v>
      </c>
      <c r="AE17" s="605"/>
      <c r="AF17" s="606"/>
      <c r="AG17" s="65"/>
      <c r="BD17" s="64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797"/>
      <c r="R18" s="797"/>
      <c r="S18" s="797"/>
      <c r="T18" s="566"/>
      <c r="U18" s="536" t="s">
        <v>61</v>
      </c>
      <c r="V18" s="536" t="s">
        <v>62</v>
      </c>
      <c r="W18" s="568"/>
      <c r="X18" s="568"/>
      <c r="Y18" s="573"/>
      <c r="Z18" s="688"/>
      <c r="AA18" s="616"/>
      <c r="AB18" s="616"/>
      <c r="AC18" s="616"/>
      <c r="AD18" s="607"/>
      <c r="AE18" s="608"/>
      <c r="AF18" s="609"/>
      <c r="AG18" s="65"/>
      <c r="BD18" s="64"/>
    </row>
    <row r="19" spans="1:68" ht="27.75" hidden="1" customHeight="1" x14ac:dyDescent="0.2">
      <c r="A19" s="642" t="s">
        <v>63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47"/>
      <c r="AB19" s="47"/>
      <c r="AC19" s="47"/>
    </row>
    <row r="20" spans="1:68" ht="16.5" hidden="1" customHeight="1" x14ac:dyDescent="0.25">
      <c r="A20" s="59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hidden="1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4"/>
      <c r="AB21" s="534"/>
      <c r="AC21" s="534"/>
    </row>
    <row r="22" spans="1:68" ht="27" hidden="1" customHeight="1" x14ac:dyDescent="0.25">
      <c r="A22" s="53" t="s">
        <v>65</v>
      </c>
      <c r="B22" s="53" t="s">
        <v>66</v>
      </c>
      <c r="C22" s="30">
        <v>4301031278</v>
      </c>
      <c r="D22" s="560">
        <v>4680115886643</v>
      </c>
      <c r="E22" s="561"/>
      <c r="F22" s="542">
        <v>0.19</v>
      </c>
      <c r="G22" s="31">
        <v>10</v>
      </c>
      <c r="H22" s="542">
        <v>1.9</v>
      </c>
      <c r="I22" s="542">
        <v>2</v>
      </c>
      <c r="J22" s="31">
        <v>234</v>
      </c>
      <c r="K22" s="31" t="s">
        <v>67</v>
      </c>
      <c r="L22" s="31"/>
      <c r="M22" s="32" t="s">
        <v>68</v>
      </c>
      <c r="N22" s="32"/>
      <c r="O22" s="31">
        <v>40</v>
      </c>
      <c r="P22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3"/>
      <c r="V22" s="33"/>
      <c r="W22" s="34" t="s">
        <v>69</v>
      </c>
      <c r="X22" s="543">
        <v>0</v>
      </c>
      <c r="Y22" s="544">
        <f>IFERROR(IF(X22="",0,CEILING((X22/$H22),1)*$H22),"")</f>
        <v>0</v>
      </c>
      <c r="Z22" s="35" t="str">
        <f>IFERROR(IF(Y22=0,"",ROUNDUP(Y22/H22,0)*0.00502),"")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>IFERROR(X22*I22/H22,"0")</f>
        <v>0</v>
      </c>
      <c r="BN22" s="63">
        <f>IFERROR(Y22*I22/H22,"0")</f>
        <v>0</v>
      </c>
      <c r="BO22" s="63">
        <f>IFERROR(1/J22*(X22/H22),"0")</f>
        <v>0</v>
      </c>
      <c r="BP22" s="63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6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6" t="s">
        <v>69</v>
      </c>
      <c r="X24" s="545">
        <f>IFERROR(SUM(X22:X22),"0")</f>
        <v>0</v>
      </c>
      <c r="Y24" s="545">
        <f>IFERROR(SUM(Y22:Y22),"0")</f>
        <v>0</v>
      </c>
      <c r="Z24" s="36"/>
      <c r="AA24" s="546"/>
      <c r="AB24" s="546"/>
      <c r="AC24" s="546"/>
    </row>
    <row r="25" spans="1:68" ht="14.25" hidden="1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4"/>
      <c r="AB25" s="534"/>
      <c r="AC25" s="534"/>
    </row>
    <row r="26" spans="1:68" ht="27" hidden="1" customHeight="1" x14ac:dyDescent="0.25">
      <c r="A26" s="53" t="s">
        <v>74</v>
      </c>
      <c r="B26" s="53" t="s">
        <v>75</v>
      </c>
      <c r="C26" s="30">
        <v>4301051866</v>
      </c>
      <c r="D26" s="560">
        <v>4680115885912</v>
      </c>
      <c r="E26" s="561"/>
      <c r="F26" s="542">
        <v>0.3</v>
      </c>
      <c r="G26" s="31">
        <v>6</v>
      </c>
      <c r="H26" s="542">
        <v>1.8</v>
      </c>
      <c r="I26" s="542">
        <v>3.18</v>
      </c>
      <c r="J26" s="31">
        <v>182</v>
      </c>
      <c r="K26" s="31" t="s">
        <v>76</v>
      </c>
      <c r="L26" s="31"/>
      <c r="M26" s="32" t="s">
        <v>77</v>
      </c>
      <c r="N26" s="32"/>
      <c r="O26" s="31">
        <v>40</v>
      </c>
      <c r="P26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3"/>
      <c r="V26" s="33"/>
      <c r="W26" s="34" t="s">
        <v>69</v>
      </c>
      <c r="X26" s="543">
        <v>0</v>
      </c>
      <c r="Y26" s="544">
        <f>IFERROR(IF(X26="",0,CEILING((X26/$H26),1)*$H26),"")</f>
        <v>0</v>
      </c>
      <c r="Z26" s="35" t="str">
        <f>IFERROR(IF(Y26=0,"",ROUNDUP(Y26/H26,0)*0.00651),"")</f>
        <v/>
      </c>
      <c r="AA26" s="55"/>
      <c r="AB26" s="56"/>
      <c r="AC26" s="69" t="s">
        <v>78</v>
      </c>
      <c r="AG26" s="63"/>
      <c r="AJ26" s="66"/>
      <c r="AK26" s="66">
        <v>0</v>
      </c>
      <c r="BB26" s="70" t="s">
        <v>1</v>
      </c>
      <c r="BM26" s="63">
        <f>IFERROR(X26*I26/H26,"0")</f>
        <v>0</v>
      </c>
      <c r="BN26" s="63">
        <f>IFERROR(Y26*I26/H26,"0")</f>
        <v>0</v>
      </c>
      <c r="BO26" s="63">
        <f>IFERROR(1/J26*(X26/H26),"0")</f>
        <v>0</v>
      </c>
      <c r="BP26" s="63">
        <f>IFERROR(1/J26*(Y26/H26),"0")</f>
        <v>0</v>
      </c>
    </row>
    <row r="27" spans="1:68" ht="27" customHeight="1" x14ac:dyDescent="0.25">
      <c r="A27" s="53" t="s">
        <v>79</v>
      </c>
      <c r="B27" s="53" t="s">
        <v>80</v>
      </c>
      <c r="C27" s="30">
        <v>4301051776</v>
      </c>
      <c r="D27" s="560">
        <v>4607091388237</v>
      </c>
      <c r="E27" s="561"/>
      <c r="F27" s="542">
        <v>0.42</v>
      </c>
      <c r="G27" s="31">
        <v>6</v>
      </c>
      <c r="H27" s="542">
        <v>2.52</v>
      </c>
      <c r="I27" s="542">
        <v>2.766</v>
      </c>
      <c r="J27" s="31">
        <v>182</v>
      </c>
      <c r="K27" s="31" t="s">
        <v>76</v>
      </c>
      <c r="L27" s="31"/>
      <c r="M27" s="32" t="s">
        <v>77</v>
      </c>
      <c r="N27" s="32"/>
      <c r="O27" s="31">
        <v>40</v>
      </c>
      <c r="P27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3"/>
      <c r="V27" s="33"/>
      <c r="W27" s="34" t="s">
        <v>69</v>
      </c>
      <c r="X27" s="543">
        <v>2.52</v>
      </c>
      <c r="Y27" s="544">
        <f>IFERROR(IF(X27="",0,CEILING((X27/$H27),1)*$H27),"")</f>
        <v>2.52</v>
      </c>
      <c r="Z27" s="35">
        <f>IFERROR(IF(Y27=0,"",ROUNDUP(Y27/H27,0)*0.00651),"")</f>
        <v>6.5100000000000002E-3</v>
      </c>
      <c r="AA27" s="55"/>
      <c r="AB27" s="56"/>
      <c r="AC27" s="71" t="s">
        <v>81</v>
      </c>
      <c r="AG27" s="63"/>
      <c r="AJ27" s="66"/>
      <c r="AK27" s="66">
        <v>0</v>
      </c>
      <c r="BB27" s="72" t="s">
        <v>1</v>
      </c>
      <c r="BM27" s="63">
        <f>IFERROR(X27*I27/H27,"0")</f>
        <v>2.766</v>
      </c>
      <c r="BN27" s="63">
        <f>IFERROR(Y27*I27/H27,"0")</f>
        <v>2.766</v>
      </c>
      <c r="BO27" s="63">
        <f>IFERROR(1/J27*(X27/H27),"0")</f>
        <v>5.4945054945054949E-3</v>
      </c>
      <c r="BP27" s="63">
        <f>IFERROR(1/J27*(Y27/H27),"0")</f>
        <v>5.4945054945054949E-3</v>
      </c>
    </row>
    <row r="28" spans="1:68" ht="27" hidden="1" customHeight="1" x14ac:dyDescent="0.25">
      <c r="A28" s="53" t="s">
        <v>82</v>
      </c>
      <c r="B28" s="53" t="s">
        <v>83</v>
      </c>
      <c r="C28" s="30">
        <v>4301052063</v>
      </c>
      <c r="D28" s="560">
        <v>4680115887350</v>
      </c>
      <c r="E28" s="561"/>
      <c r="F28" s="542">
        <v>0.3</v>
      </c>
      <c r="G28" s="31">
        <v>6</v>
      </c>
      <c r="H28" s="542">
        <v>1.8</v>
      </c>
      <c r="I28" s="542">
        <v>3.18</v>
      </c>
      <c r="J28" s="31">
        <v>182</v>
      </c>
      <c r="K28" s="31" t="s">
        <v>76</v>
      </c>
      <c r="L28" s="31"/>
      <c r="M28" s="32" t="s">
        <v>84</v>
      </c>
      <c r="N28" s="32"/>
      <c r="O28" s="31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3"/>
      <c r="V28" s="33"/>
      <c r="W28" s="34" t="s">
        <v>69</v>
      </c>
      <c r="X28" s="543">
        <v>0</v>
      </c>
      <c r="Y28" s="544">
        <f>IFERROR(IF(X28="",0,CEILING((X28/$H28),1)*$H28),"")</f>
        <v>0</v>
      </c>
      <c r="Z28" s="35" t="str">
        <f>IFERROR(IF(Y28=0,"",ROUNDUP(Y28/H28,0)*0.00651),"")</f>
        <v/>
      </c>
      <c r="AA28" s="55"/>
      <c r="AB28" s="56"/>
      <c r="AC28" s="73" t="s">
        <v>85</v>
      </c>
      <c r="AG28" s="63"/>
      <c r="AJ28" s="66"/>
      <c r="AK28" s="66">
        <v>0</v>
      </c>
      <c r="BB28" s="74" t="s">
        <v>1</v>
      </c>
      <c r="BM28" s="63">
        <f>IFERROR(X28*I28/H28,"0")</f>
        <v>0</v>
      </c>
      <c r="BN28" s="63">
        <f>IFERROR(Y28*I28/H28,"0")</f>
        <v>0</v>
      </c>
      <c r="BO28" s="63">
        <f>IFERROR(1/J28*(X28/H28),"0")</f>
        <v>0</v>
      </c>
      <c r="BP28" s="63">
        <f>IFERROR(1/J28*(Y28/H28),"0")</f>
        <v>0</v>
      </c>
    </row>
    <row r="29" spans="1:68" ht="27" hidden="1" customHeight="1" x14ac:dyDescent="0.25">
      <c r="A29" s="53" t="s">
        <v>86</v>
      </c>
      <c r="B29" s="53" t="s">
        <v>87</v>
      </c>
      <c r="C29" s="30">
        <v>4301051863</v>
      </c>
      <c r="D29" s="560">
        <v>4680115885905</v>
      </c>
      <c r="E29" s="561"/>
      <c r="F29" s="542">
        <v>0.3</v>
      </c>
      <c r="G29" s="31">
        <v>6</v>
      </c>
      <c r="H29" s="542">
        <v>1.8</v>
      </c>
      <c r="I29" s="542">
        <v>3.18</v>
      </c>
      <c r="J29" s="31">
        <v>182</v>
      </c>
      <c r="K29" s="31" t="s">
        <v>76</v>
      </c>
      <c r="L29" s="31" t="s">
        <v>88</v>
      </c>
      <c r="M29" s="32" t="s">
        <v>84</v>
      </c>
      <c r="N29" s="32"/>
      <c r="O29" s="31">
        <v>40</v>
      </c>
      <c r="P29" s="8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3"/>
      <c r="V29" s="33"/>
      <c r="W29" s="34" t="s">
        <v>69</v>
      </c>
      <c r="X29" s="543">
        <v>0</v>
      </c>
      <c r="Y29" s="544">
        <f>IFERROR(IF(X29="",0,CEILING((X29/$H29),1)*$H29),"")</f>
        <v>0</v>
      </c>
      <c r="Z29" s="35" t="str">
        <f>IFERROR(IF(Y29=0,"",ROUNDUP(Y29/H29,0)*0.00651),"")</f>
        <v/>
      </c>
      <c r="AA29" s="55"/>
      <c r="AB29" s="56"/>
      <c r="AC29" s="75" t="s">
        <v>89</v>
      </c>
      <c r="AG29" s="63"/>
      <c r="AJ29" s="66" t="s">
        <v>90</v>
      </c>
      <c r="AK29" s="66">
        <v>25.2</v>
      </c>
      <c r="BB29" s="76" t="s">
        <v>1</v>
      </c>
      <c r="BM29" s="63">
        <f>IFERROR(X29*I29/H29,"0")</f>
        <v>0</v>
      </c>
      <c r="BN29" s="63">
        <f>IFERROR(Y29*I29/H29,"0")</f>
        <v>0</v>
      </c>
      <c r="BO29" s="63">
        <f>IFERROR(1/J29*(X29/H29),"0")</f>
        <v>0</v>
      </c>
      <c r="BP29" s="63">
        <f>IFERROR(1/J29*(Y29/H29),"0")</f>
        <v>0</v>
      </c>
    </row>
    <row r="30" spans="1:68" ht="27" customHeight="1" x14ac:dyDescent="0.25">
      <c r="A30" s="53" t="s">
        <v>91</v>
      </c>
      <c r="B30" s="53" t="s">
        <v>92</v>
      </c>
      <c r="C30" s="30">
        <v>4301051851</v>
      </c>
      <c r="D30" s="560">
        <v>4607091388244</v>
      </c>
      <c r="E30" s="561"/>
      <c r="F30" s="542">
        <v>0.42</v>
      </c>
      <c r="G30" s="31">
        <v>6</v>
      </c>
      <c r="H30" s="542">
        <v>2.52</v>
      </c>
      <c r="I30" s="542">
        <v>2.766</v>
      </c>
      <c r="J30" s="31">
        <v>182</v>
      </c>
      <c r="K30" s="31" t="s">
        <v>76</v>
      </c>
      <c r="L30" s="31" t="s">
        <v>88</v>
      </c>
      <c r="M30" s="32" t="s">
        <v>84</v>
      </c>
      <c r="N30" s="32"/>
      <c r="O30" s="31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3"/>
      <c r="V30" s="33"/>
      <c r="W30" s="34" t="s">
        <v>69</v>
      </c>
      <c r="X30" s="543">
        <v>2.52</v>
      </c>
      <c r="Y30" s="544">
        <f>IFERROR(IF(X30="",0,CEILING((X30/$H30),1)*$H30),"")</f>
        <v>2.52</v>
      </c>
      <c r="Z30" s="35">
        <f>IFERROR(IF(Y30=0,"",ROUNDUP(Y30/H30,0)*0.00651),"")</f>
        <v>6.5100000000000002E-3</v>
      </c>
      <c r="AA30" s="55"/>
      <c r="AB30" s="56"/>
      <c r="AC30" s="77" t="s">
        <v>89</v>
      </c>
      <c r="AG30" s="63"/>
      <c r="AJ30" s="66" t="s">
        <v>90</v>
      </c>
      <c r="AK30" s="66">
        <v>35.28</v>
      </c>
      <c r="BB30" s="78" t="s">
        <v>1</v>
      </c>
      <c r="BM30" s="63">
        <f>IFERROR(X30*I30/H30,"0")</f>
        <v>2.766</v>
      </c>
      <c r="BN30" s="63">
        <f>IFERROR(Y30*I30/H30,"0")</f>
        <v>2.766</v>
      </c>
      <c r="BO30" s="63">
        <f>IFERROR(1/J30*(X30/H30),"0")</f>
        <v>5.4945054945054949E-3</v>
      </c>
      <c r="BP30" s="63">
        <f>IFERROR(1/J30*(Y30/H30),"0")</f>
        <v>5.4945054945054949E-3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6" t="s">
        <v>72</v>
      </c>
      <c r="X31" s="545">
        <f>IFERROR(X26/H26,"0")+IFERROR(X27/H27,"0")+IFERROR(X28/H28,"0")+IFERROR(X29/H29,"0")+IFERROR(X30/H30,"0")</f>
        <v>2</v>
      </c>
      <c r="Y31" s="545">
        <f>IFERROR(Y26/H26,"0")+IFERROR(Y27/H27,"0")+IFERROR(Y28/H28,"0")+IFERROR(Y29/H29,"0")+IFERROR(Y30/H30,"0")</f>
        <v>2</v>
      </c>
      <c r="Z31" s="545">
        <f>IFERROR(IF(Z26="",0,Z26),"0")+IFERROR(IF(Z27="",0,Z27),"0")+IFERROR(IF(Z28="",0,Z28),"0")+IFERROR(IF(Z29="",0,Z29),"0")+IFERROR(IF(Z30="",0,Z30),"0")</f>
        <v>1.302E-2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6" t="s">
        <v>69</v>
      </c>
      <c r="X32" s="545">
        <f>IFERROR(SUM(X26:X30),"0")</f>
        <v>5.04</v>
      </c>
      <c r="Y32" s="545">
        <f>IFERROR(SUM(Y26:Y30),"0")</f>
        <v>5.04</v>
      </c>
      <c r="Z32" s="36"/>
      <c r="AA32" s="546"/>
      <c r="AB32" s="546"/>
      <c r="AC32" s="546"/>
    </row>
    <row r="33" spans="1:68" ht="14.25" hidden="1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4"/>
      <c r="AB33" s="534"/>
      <c r="AC33" s="534"/>
    </row>
    <row r="34" spans="1:68" ht="27" hidden="1" customHeight="1" x14ac:dyDescent="0.25">
      <c r="A34" s="53" t="s">
        <v>94</v>
      </c>
      <c r="B34" s="53" t="s">
        <v>95</v>
      </c>
      <c r="C34" s="30">
        <v>4301032013</v>
      </c>
      <c r="D34" s="560">
        <v>4607091388503</v>
      </c>
      <c r="E34" s="561"/>
      <c r="F34" s="542">
        <v>0.05</v>
      </c>
      <c r="G34" s="31">
        <v>12</v>
      </c>
      <c r="H34" s="542">
        <v>0.6</v>
      </c>
      <c r="I34" s="542">
        <v>0.82199999999999995</v>
      </c>
      <c r="J34" s="31">
        <v>182</v>
      </c>
      <c r="K34" s="31" t="s">
        <v>76</v>
      </c>
      <c r="L34" s="31"/>
      <c r="M34" s="32" t="s">
        <v>96</v>
      </c>
      <c r="N34" s="32"/>
      <c r="O34" s="31">
        <v>120</v>
      </c>
      <c r="P34" s="6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3"/>
      <c r="V34" s="33"/>
      <c r="W34" s="34" t="s">
        <v>69</v>
      </c>
      <c r="X34" s="543">
        <v>0</v>
      </c>
      <c r="Y34" s="544">
        <f>IFERROR(IF(X34="",0,CEILING((X34/$H34),1)*$H34),"")</f>
        <v>0</v>
      </c>
      <c r="Z34" s="35" t="str">
        <f>IFERROR(IF(Y34=0,"",ROUNDUP(Y34/H34,0)*0.00651),"")</f>
        <v/>
      </c>
      <c r="AA34" s="55"/>
      <c r="AB34" s="56"/>
      <c r="AC34" s="79" t="s">
        <v>97</v>
      </c>
      <c r="AG34" s="63"/>
      <c r="AJ34" s="66"/>
      <c r="AK34" s="66">
        <v>0</v>
      </c>
      <c r="BB34" s="80" t="s">
        <v>98</v>
      </c>
      <c r="BM34" s="63">
        <f>IFERROR(X34*I34/H34,"0")</f>
        <v>0</v>
      </c>
      <c r="BN34" s="63">
        <f>IFERROR(Y34*I34/H34,"0")</f>
        <v>0</v>
      </c>
      <c r="BO34" s="63">
        <f>IFERROR(1/J34*(X34/H34),"0")</f>
        <v>0</v>
      </c>
      <c r="BP34" s="63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6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6" t="s">
        <v>69</v>
      </c>
      <c r="X36" s="545">
        <f>IFERROR(SUM(X34:X34),"0")</f>
        <v>0</v>
      </c>
      <c r="Y36" s="545">
        <f>IFERROR(SUM(Y34:Y34),"0")</f>
        <v>0</v>
      </c>
      <c r="Z36" s="36"/>
      <c r="AA36" s="546"/>
      <c r="AB36" s="546"/>
      <c r="AC36" s="546"/>
    </row>
    <row r="37" spans="1:68" ht="27.75" hidden="1" customHeight="1" x14ac:dyDescent="0.2">
      <c r="A37" s="642" t="s">
        <v>99</v>
      </c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3"/>
      <c r="V37" s="643"/>
      <c r="W37" s="643"/>
      <c r="X37" s="643"/>
      <c r="Y37" s="643"/>
      <c r="Z37" s="643"/>
      <c r="AA37" s="47"/>
      <c r="AB37" s="47"/>
      <c r="AC37" s="47"/>
    </row>
    <row r="38" spans="1:68" ht="16.5" hidden="1" customHeight="1" x14ac:dyDescent="0.25">
      <c r="A38" s="596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hidden="1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4"/>
      <c r="AB39" s="534"/>
      <c r="AC39" s="534"/>
    </row>
    <row r="40" spans="1:68" ht="16.5" customHeight="1" x14ac:dyDescent="0.25">
      <c r="A40" s="53" t="s">
        <v>102</v>
      </c>
      <c r="B40" s="53" t="s">
        <v>103</v>
      </c>
      <c r="C40" s="30">
        <v>4301011380</v>
      </c>
      <c r="D40" s="560">
        <v>4607091385670</v>
      </c>
      <c r="E40" s="561"/>
      <c r="F40" s="542">
        <v>1.35</v>
      </c>
      <c r="G40" s="31">
        <v>8</v>
      </c>
      <c r="H40" s="542">
        <v>10.8</v>
      </c>
      <c r="I40" s="542">
        <v>11.234999999999999</v>
      </c>
      <c r="J40" s="31">
        <v>64</v>
      </c>
      <c r="K40" s="31" t="s">
        <v>104</v>
      </c>
      <c r="L40" s="31" t="s">
        <v>105</v>
      </c>
      <c r="M40" s="32" t="s">
        <v>106</v>
      </c>
      <c r="N40" s="32"/>
      <c r="O40" s="31">
        <v>50</v>
      </c>
      <c r="P40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3"/>
      <c r="V40" s="33"/>
      <c r="W40" s="34" t="s">
        <v>69</v>
      </c>
      <c r="X40" s="543">
        <v>162</v>
      </c>
      <c r="Y40" s="544">
        <f>IFERROR(IF(X40="",0,CEILING((X40/$H40),1)*$H40),"")</f>
        <v>162</v>
      </c>
      <c r="Z40" s="35">
        <f>IFERROR(IF(Y40=0,"",ROUNDUP(Y40/H40,0)*0.01898),"")</f>
        <v>0.28470000000000001</v>
      </c>
      <c r="AA40" s="55"/>
      <c r="AB40" s="56"/>
      <c r="AC40" s="81" t="s">
        <v>107</v>
      </c>
      <c r="AG40" s="63"/>
      <c r="AJ40" s="66" t="s">
        <v>90</v>
      </c>
      <c r="AK40" s="66">
        <v>86.4</v>
      </c>
      <c r="BB40" s="82" t="s">
        <v>1</v>
      </c>
      <c r="BM40" s="63">
        <f>IFERROR(X40*I40/H40,"0")</f>
        <v>168.52499999999998</v>
      </c>
      <c r="BN40" s="63">
        <f>IFERROR(Y40*I40/H40,"0")</f>
        <v>168.52499999999998</v>
      </c>
      <c r="BO40" s="63">
        <f>IFERROR(1/J40*(X40/H40),"0")</f>
        <v>0.23437499999999997</v>
      </c>
      <c r="BP40" s="63">
        <f>IFERROR(1/J40*(Y40/H40),"0")</f>
        <v>0.23437499999999997</v>
      </c>
    </row>
    <row r="41" spans="1:68" ht="27" hidden="1" customHeight="1" x14ac:dyDescent="0.25">
      <c r="A41" s="53" t="s">
        <v>108</v>
      </c>
      <c r="B41" s="53" t="s">
        <v>109</v>
      </c>
      <c r="C41" s="30">
        <v>4301011382</v>
      </c>
      <c r="D41" s="560">
        <v>4607091385687</v>
      </c>
      <c r="E41" s="561"/>
      <c r="F41" s="542">
        <v>0.4</v>
      </c>
      <c r="G41" s="31">
        <v>10</v>
      </c>
      <c r="H41" s="542">
        <v>4</v>
      </c>
      <c r="I41" s="542">
        <v>4.21</v>
      </c>
      <c r="J41" s="31">
        <v>132</v>
      </c>
      <c r="K41" s="31" t="s">
        <v>110</v>
      </c>
      <c r="L41" s="31" t="s">
        <v>111</v>
      </c>
      <c r="M41" s="32" t="s">
        <v>77</v>
      </c>
      <c r="N41" s="32"/>
      <c r="O41" s="31">
        <v>50</v>
      </c>
      <c r="P41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3"/>
      <c r="V41" s="33"/>
      <c r="W41" s="34" t="s">
        <v>69</v>
      </c>
      <c r="X41" s="543">
        <v>0</v>
      </c>
      <c r="Y41" s="544">
        <f>IFERROR(IF(X41="",0,CEILING((X41/$H41),1)*$H41),"")</f>
        <v>0</v>
      </c>
      <c r="Z41" s="35" t="str">
        <f>IFERROR(IF(Y41=0,"",ROUNDUP(Y41/H41,0)*0.00902),"")</f>
        <v/>
      </c>
      <c r="AA41" s="55"/>
      <c r="AB41" s="56"/>
      <c r="AC41" s="83" t="s">
        <v>107</v>
      </c>
      <c r="AG41" s="63"/>
      <c r="AJ41" s="66" t="s">
        <v>90</v>
      </c>
      <c r="AK41" s="66">
        <v>48</v>
      </c>
      <c r="BB41" s="84" t="s">
        <v>1</v>
      </c>
      <c r="BM41" s="63">
        <f>IFERROR(X41*I41/H41,"0")</f>
        <v>0</v>
      </c>
      <c r="BN41" s="63">
        <f>IFERROR(Y41*I41/H41,"0")</f>
        <v>0</v>
      </c>
      <c r="BO41" s="63">
        <f>IFERROR(1/J41*(X41/H41),"0")</f>
        <v>0</v>
      </c>
      <c r="BP41" s="63">
        <f>IFERROR(1/J41*(Y41/H41),"0")</f>
        <v>0</v>
      </c>
    </row>
    <row r="42" spans="1:68" ht="27" hidden="1" customHeight="1" x14ac:dyDescent="0.25">
      <c r="A42" s="53" t="s">
        <v>112</v>
      </c>
      <c r="B42" s="53" t="s">
        <v>113</v>
      </c>
      <c r="C42" s="30">
        <v>4301011565</v>
      </c>
      <c r="D42" s="560">
        <v>4680115882539</v>
      </c>
      <c r="E42" s="561"/>
      <c r="F42" s="542">
        <v>0.37</v>
      </c>
      <c r="G42" s="31">
        <v>10</v>
      </c>
      <c r="H42" s="542">
        <v>3.7</v>
      </c>
      <c r="I42" s="542">
        <v>3.91</v>
      </c>
      <c r="J42" s="31">
        <v>132</v>
      </c>
      <c r="K42" s="31" t="s">
        <v>110</v>
      </c>
      <c r="L42" s="31"/>
      <c r="M42" s="32" t="s">
        <v>77</v>
      </c>
      <c r="N42" s="32"/>
      <c r="O42" s="31">
        <v>50</v>
      </c>
      <c r="P42" s="8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3"/>
      <c r="V42" s="33"/>
      <c r="W42" s="34" t="s">
        <v>69</v>
      </c>
      <c r="X42" s="543">
        <v>0</v>
      </c>
      <c r="Y42" s="544">
        <f>IFERROR(IF(X42="",0,CEILING((X42/$H42),1)*$H42),"")</f>
        <v>0</v>
      </c>
      <c r="Z42" s="35" t="str">
        <f>IFERROR(IF(Y42=0,"",ROUNDUP(Y42/H42,0)*0.00902),"")</f>
        <v/>
      </c>
      <c r="AA42" s="55"/>
      <c r="AB42" s="56"/>
      <c r="AC42" s="85" t="s">
        <v>107</v>
      </c>
      <c r="AG42" s="63"/>
      <c r="AJ42" s="66"/>
      <c r="AK42" s="66">
        <v>0</v>
      </c>
      <c r="BB42" s="86" t="s">
        <v>1</v>
      </c>
      <c r="BM42" s="63">
        <f>IFERROR(X42*I42/H42,"0")</f>
        <v>0</v>
      </c>
      <c r="BN42" s="63">
        <f>IFERROR(Y42*I42/H42,"0")</f>
        <v>0</v>
      </c>
      <c r="BO42" s="63">
        <f>IFERROR(1/J42*(X42/H42),"0")</f>
        <v>0</v>
      </c>
      <c r="BP42" s="63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6" t="s">
        <v>72</v>
      </c>
      <c r="X43" s="545">
        <f>IFERROR(X40/H40,"0")+IFERROR(X41/H41,"0")+IFERROR(X42/H42,"0")</f>
        <v>14.999999999999998</v>
      </c>
      <c r="Y43" s="545">
        <f>IFERROR(Y40/H40,"0")+IFERROR(Y41/H41,"0")+IFERROR(Y42/H42,"0")</f>
        <v>14.999999999999998</v>
      </c>
      <c r="Z43" s="545">
        <f>IFERROR(IF(Z40="",0,Z40),"0")+IFERROR(IF(Z41="",0,Z41),"0")+IFERROR(IF(Z42="",0,Z42),"0")</f>
        <v>0.28470000000000001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6" t="s">
        <v>69</v>
      </c>
      <c r="X44" s="545">
        <f>IFERROR(SUM(X40:X42),"0")</f>
        <v>162</v>
      </c>
      <c r="Y44" s="545">
        <f>IFERROR(SUM(Y40:Y42),"0")</f>
        <v>162</v>
      </c>
      <c r="Z44" s="36"/>
      <c r="AA44" s="546"/>
      <c r="AB44" s="546"/>
      <c r="AC44" s="546"/>
    </row>
    <row r="45" spans="1:68" ht="14.25" hidden="1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4"/>
      <c r="AB45" s="534"/>
      <c r="AC45" s="534"/>
    </row>
    <row r="46" spans="1:68" ht="16.5" hidden="1" customHeight="1" x14ac:dyDescent="0.25">
      <c r="A46" s="53" t="s">
        <v>114</v>
      </c>
      <c r="B46" s="53" t="s">
        <v>115</v>
      </c>
      <c r="C46" s="30">
        <v>4301051820</v>
      </c>
      <c r="D46" s="560">
        <v>4680115884915</v>
      </c>
      <c r="E46" s="561"/>
      <c r="F46" s="542">
        <v>0.3</v>
      </c>
      <c r="G46" s="31">
        <v>6</v>
      </c>
      <c r="H46" s="542">
        <v>1.8</v>
      </c>
      <c r="I46" s="542">
        <v>1.98</v>
      </c>
      <c r="J46" s="31">
        <v>182</v>
      </c>
      <c r="K46" s="31" t="s">
        <v>76</v>
      </c>
      <c r="L46" s="31" t="s">
        <v>88</v>
      </c>
      <c r="M46" s="32" t="s">
        <v>77</v>
      </c>
      <c r="N46" s="32"/>
      <c r="O46" s="31">
        <v>40</v>
      </c>
      <c r="P46" s="6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3"/>
      <c r="V46" s="33"/>
      <c r="W46" s="34" t="s">
        <v>69</v>
      </c>
      <c r="X46" s="543">
        <v>0</v>
      </c>
      <c r="Y46" s="544">
        <f>IFERROR(IF(X46="",0,CEILING((X46/$H46),1)*$H46),"")</f>
        <v>0</v>
      </c>
      <c r="Z46" s="35" t="str">
        <f>IFERROR(IF(Y46=0,"",ROUNDUP(Y46/H46,0)*0.00651),"")</f>
        <v/>
      </c>
      <c r="AA46" s="55"/>
      <c r="AB46" s="56"/>
      <c r="AC46" s="87" t="s">
        <v>116</v>
      </c>
      <c r="AG46" s="63"/>
      <c r="AJ46" s="66" t="s">
        <v>90</v>
      </c>
      <c r="AK46" s="66">
        <v>25.2</v>
      </c>
      <c r="BB46" s="88" t="s">
        <v>1</v>
      </c>
      <c r="BM46" s="63">
        <f>IFERROR(X46*I46/H46,"0")</f>
        <v>0</v>
      </c>
      <c r="BN46" s="63">
        <f>IFERROR(Y46*I46/H46,"0")</f>
        <v>0</v>
      </c>
      <c r="BO46" s="63">
        <f>IFERROR(1/J46*(X46/H46),"0")</f>
        <v>0</v>
      </c>
      <c r="BP46" s="63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6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6" t="s">
        <v>69</v>
      </c>
      <c r="X48" s="545">
        <f>IFERROR(SUM(X46:X46),"0")</f>
        <v>0</v>
      </c>
      <c r="Y48" s="545">
        <f>IFERROR(SUM(Y46:Y46),"0")</f>
        <v>0</v>
      </c>
      <c r="Z48" s="36"/>
      <c r="AA48" s="546"/>
      <c r="AB48" s="546"/>
      <c r="AC48" s="546"/>
    </row>
    <row r="49" spans="1:68" ht="16.5" hidden="1" customHeight="1" x14ac:dyDescent="0.25">
      <c r="A49" s="596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hidden="1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4"/>
      <c r="AB50" s="534"/>
      <c r="AC50" s="534"/>
    </row>
    <row r="51" spans="1:68" ht="27" customHeight="1" x14ac:dyDescent="0.25">
      <c r="A51" s="53" t="s">
        <v>118</v>
      </c>
      <c r="B51" s="53" t="s">
        <v>119</v>
      </c>
      <c r="C51" s="30">
        <v>4301012030</v>
      </c>
      <c r="D51" s="560">
        <v>4680115885882</v>
      </c>
      <c r="E51" s="561"/>
      <c r="F51" s="542">
        <v>1.4</v>
      </c>
      <c r="G51" s="31">
        <v>8</v>
      </c>
      <c r="H51" s="542">
        <v>11.2</v>
      </c>
      <c r="I51" s="542">
        <v>11.635</v>
      </c>
      <c r="J51" s="31">
        <v>64</v>
      </c>
      <c r="K51" s="31" t="s">
        <v>104</v>
      </c>
      <c r="L51" s="31" t="s">
        <v>105</v>
      </c>
      <c r="M51" s="32" t="s">
        <v>77</v>
      </c>
      <c r="N51" s="32"/>
      <c r="O51" s="31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3"/>
      <c r="V51" s="33"/>
      <c r="W51" s="34" t="s">
        <v>69</v>
      </c>
      <c r="X51" s="543">
        <v>44.8</v>
      </c>
      <c r="Y51" s="544">
        <f t="shared" ref="Y51:Y56" si="0">IFERROR(IF(X51="",0,CEILING((X51/$H51),1)*$H51),"")</f>
        <v>44.8</v>
      </c>
      <c r="Z51" s="35">
        <f>IFERROR(IF(Y51=0,"",ROUNDUP(Y51/H51,0)*0.01898),"")</f>
        <v>7.5920000000000001E-2</v>
      </c>
      <c r="AA51" s="55"/>
      <c r="AB51" s="56"/>
      <c r="AC51" s="89" t="s">
        <v>120</v>
      </c>
      <c r="AG51" s="63"/>
      <c r="AJ51" s="66" t="s">
        <v>90</v>
      </c>
      <c r="AK51" s="66">
        <v>89.6</v>
      </c>
      <c r="BB51" s="90" t="s">
        <v>1</v>
      </c>
      <c r="BM51" s="63">
        <f t="shared" ref="BM51:BM56" si="1">IFERROR(X51*I51/H51,"0")</f>
        <v>46.54</v>
      </c>
      <c r="BN51" s="63">
        <f t="shared" ref="BN51:BN56" si="2">IFERROR(Y51*I51/H51,"0")</f>
        <v>46.54</v>
      </c>
      <c r="BO51" s="63">
        <f t="shared" ref="BO51:BO56" si="3">IFERROR(1/J51*(X51/H51),"0")</f>
        <v>6.25E-2</v>
      </c>
      <c r="BP51" s="63">
        <f t="shared" ref="BP51:BP56" si="4">IFERROR(1/J51*(Y51/H51),"0")</f>
        <v>6.25E-2</v>
      </c>
    </row>
    <row r="52" spans="1:68" ht="27" customHeight="1" x14ac:dyDescent="0.25">
      <c r="A52" s="53" t="s">
        <v>121</v>
      </c>
      <c r="B52" s="53" t="s">
        <v>122</v>
      </c>
      <c r="C52" s="30">
        <v>4301011816</v>
      </c>
      <c r="D52" s="560">
        <v>4680115881426</v>
      </c>
      <c r="E52" s="561"/>
      <c r="F52" s="542">
        <v>1.35</v>
      </c>
      <c r="G52" s="31">
        <v>8</v>
      </c>
      <c r="H52" s="542">
        <v>10.8</v>
      </c>
      <c r="I52" s="542">
        <v>11.234999999999999</v>
      </c>
      <c r="J52" s="31">
        <v>64</v>
      </c>
      <c r="K52" s="31" t="s">
        <v>104</v>
      </c>
      <c r="L52" s="31"/>
      <c r="M52" s="32" t="s">
        <v>106</v>
      </c>
      <c r="N52" s="32"/>
      <c r="O52" s="31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3"/>
      <c r="V52" s="33"/>
      <c r="W52" s="34" t="s">
        <v>69</v>
      </c>
      <c r="X52" s="543">
        <v>108</v>
      </c>
      <c r="Y52" s="544">
        <f t="shared" si="0"/>
        <v>108</v>
      </c>
      <c r="Z52" s="35">
        <f>IFERROR(IF(Y52=0,"",ROUNDUP(Y52/H52,0)*0.01898),"")</f>
        <v>0.1898</v>
      </c>
      <c r="AA52" s="55"/>
      <c r="AB52" s="56"/>
      <c r="AC52" s="91" t="s">
        <v>123</v>
      </c>
      <c r="AG52" s="63"/>
      <c r="AJ52" s="66" t="s">
        <v>90</v>
      </c>
      <c r="AK52" s="66">
        <v>10.8</v>
      </c>
      <c r="BB52" s="92" t="s">
        <v>1</v>
      </c>
      <c r="BM52" s="63">
        <f t="shared" si="1"/>
        <v>112.34999999999998</v>
      </c>
      <c r="BN52" s="63">
        <f t="shared" si="2"/>
        <v>112.34999999999998</v>
      </c>
      <c r="BO52" s="63">
        <f t="shared" si="3"/>
        <v>0.15625</v>
      </c>
      <c r="BP52" s="63">
        <f t="shared" si="4"/>
        <v>0.15625</v>
      </c>
    </row>
    <row r="53" spans="1:68" ht="27" customHeight="1" x14ac:dyDescent="0.25">
      <c r="A53" s="53" t="s">
        <v>124</v>
      </c>
      <c r="B53" s="53" t="s">
        <v>125</v>
      </c>
      <c r="C53" s="30">
        <v>4301011386</v>
      </c>
      <c r="D53" s="560">
        <v>4680115880283</v>
      </c>
      <c r="E53" s="561"/>
      <c r="F53" s="542">
        <v>0.6</v>
      </c>
      <c r="G53" s="31">
        <v>8</v>
      </c>
      <c r="H53" s="542">
        <v>4.8</v>
      </c>
      <c r="I53" s="542">
        <v>5.01</v>
      </c>
      <c r="J53" s="31">
        <v>132</v>
      </c>
      <c r="K53" s="31" t="s">
        <v>110</v>
      </c>
      <c r="L53" s="31"/>
      <c r="M53" s="32" t="s">
        <v>106</v>
      </c>
      <c r="N53" s="32"/>
      <c r="O53" s="31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3"/>
      <c r="V53" s="33"/>
      <c r="W53" s="34" t="s">
        <v>69</v>
      </c>
      <c r="X53" s="543">
        <v>9.6</v>
      </c>
      <c r="Y53" s="544">
        <f t="shared" si="0"/>
        <v>9.6</v>
      </c>
      <c r="Z53" s="35">
        <f>IFERROR(IF(Y53=0,"",ROUNDUP(Y53/H53,0)*0.00902),"")</f>
        <v>1.804E-2</v>
      </c>
      <c r="AA53" s="55"/>
      <c r="AB53" s="56"/>
      <c r="AC53" s="93" t="s">
        <v>126</v>
      </c>
      <c r="AG53" s="63"/>
      <c r="AJ53" s="66"/>
      <c r="AK53" s="66">
        <v>0</v>
      </c>
      <c r="BB53" s="94" t="s">
        <v>1</v>
      </c>
      <c r="BM53" s="63">
        <f t="shared" si="1"/>
        <v>10.02</v>
      </c>
      <c r="BN53" s="63">
        <f t="shared" si="2"/>
        <v>10.02</v>
      </c>
      <c r="BO53" s="63">
        <f t="shared" si="3"/>
        <v>1.5151515151515152E-2</v>
      </c>
      <c r="BP53" s="63">
        <f t="shared" si="4"/>
        <v>1.5151515151515152E-2</v>
      </c>
    </row>
    <row r="54" spans="1:68" ht="16.5" customHeight="1" x14ac:dyDescent="0.25">
      <c r="A54" s="53" t="s">
        <v>127</v>
      </c>
      <c r="B54" s="53" t="s">
        <v>128</v>
      </c>
      <c r="C54" s="30">
        <v>4301011806</v>
      </c>
      <c r="D54" s="560">
        <v>4680115881525</v>
      </c>
      <c r="E54" s="561"/>
      <c r="F54" s="542">
        <v>0.4</v>
      </c>
      <c r="G54" s="31">
        <v>10</v>
      </c>
      <c r="H54" s="542">
        <v>4</v>
      </c>
      <c r="I54" s="542">
        <v>4.21</v>
      </c>
      <c r="J54" s="31">
        <v>132</v>
      </c>
      <c r="K54" s="31" t="s">
        <v>110</v>
      </c>
      <c r="L54" s="31"/>
      <c r="M54" s="32" t="s">
        <v>106</v>
      </c>
      <c r="N54" s="32"/>
      <c r="O54" s="31">
        <v>50</v>
      </c>
      <c r="P54" s="6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3"/>
      <c r="V54" s="33"/>
      <c r="W54" s="34" t="s">
        <v>69</v>
      </c>
      <c r="X54" s="543">
        <v>12</v>
      </c>
      <c r="Y54" s="544">
        <f t="shared" si="0"/>
        <v>12</v>
      </c>
      <c r="Z54" s="35">
        <f>IFERROR(IF(Y54=0,"",ROUNDUP(Y54/H54,0)*0.00902),"")</f>
        <v>2.7060000000000001E-2</v>
      </c>
      <c r="AA54" s="55"/>
      <c r="AB54" s="56"/>
      <c r="AC54" s="95" t="s">
        <v>129</v>
      </c>
      <c r="AG54" s="63"/>
      <c r="AJ54" s="66"/>
      <c r="AK54" s="66">
        <v>0</v>
      </c>
      <c r="BB54" s="96" t="s">
        <v>1</v>
      </c>
      <c r="BM54" s="63">
        <f t="shared" si="1"/>
        <v>12.629999999999999</v>
      </c>
      <c r="BN54" s="63">
        <f t="shared" si="2"/>
        <v>12.629999999999999</v>
      </c>
      <c r="BO54" s="63">
        <f t="shared" si="3"/>
        <v>2.2727272727272728E-2</v>
      </c>
      <c r="BP54" s="63">
        <f t="shared" si="4"/>
        <v>2.2727272727272728E-2</v>
      </c>
    </row>
    <row r="55" spans="1:68" ht="27" customHeight="1" x14ac:dyDescent="0.25">
      <c r="A55" s="53" t="s">
        <v>130</v>
      </c>
      <c r="B55" s="53" t="s">
        <v>131</v>
      </c>
      <c r="C55" s="30">
        <v>4301011589</v>
      </c>
      <c r="D55" s="560">
        <v>4680115885899</v>
      </c>
      <c r="E55" s="561"/>
      <c r="F55" s="542">
        <v>0.35</v>
      </c>
      <c r="G55" s="31">
        <v>6</v>
      </c>
      <c r="H55" s="542">
        <v>2.1</v>
      </c>
      <c r="I55" s="542">
        <v>2.2799999999999998</v>
      </c>
      <c r="J55" s="31">
        <v>182</v>
      </c>
      <c r="K55" s="31" t="s">
        <v>76</v>
      </c>
      <c r="L55" s="31" t="s">
        <v>88</v>
      </c>
      <c r="M55" s="32" t="s">
        <v>84</v>
      </c>
      <c r="N55" s="32"/>
      <c r="O55" s="31">
        <v>50</v>
      </c>
      <c r="P55" s="7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3"/>
      <c r="V55" s="33"/>
      <c r="W55" s="34" t="s">
        <v>69</v>
      </c>
      <c r="X55" s="543">
        <v>6.3</v>
      </c>
      <c r="Y55" s="544">
        <f t="shared" si="0"/>
        <v>6.3000000000000007</v>
      </c>
      <c r="Z55" s="35">
        <f>IFERROR(IF(Y55=0,"",ROUNDUP(Y55/H55,0)*0.00651),"")</f>
        <v>1.9529999999999999E-2</v>
      </c>
      <c r="AA55" s="55"/>
      <c r="AB55" s="56"/>
      <c r="AC55" s="97" t="s">
        <v>132</v>
      </c>
      <c r="AG55" s="63"/>
      <c r="AJ55" s="66" t="s">
        <v>90</v>
      </c>
      <c r="AK55" s="66">
        <v>29.4</v>
      </c>
      <c r="BB55" s="98" t="s">
        <v>1</v>
      </c>
      <c r="BM55" s="63">
        <f t="shared" si="1"/>
        <v>6.839999999999999</v>
      </c>
      <c r="BN55" s="63">
        <f t="shared" si="2"/>
        <v>6.84</v>
      </c>
      <c r="BO55" s="63">
        <f t="shared" si="3"/>
        <v>1.6483516483516484E-2</v>
      </c>
      <c r="BP55" s="63">
        <f t="shared" si="4"/>
        <v>1.6483516483516484E-2</v>
      </c>
    </row>
    <row r="56" spans="1:68" ht="27" customHeight="1" x14ac:dyDescent="0.25">
      <c r="A56" s="53" t="s">
        <v>133</v>
      </c>
      <c r="B56" s="53" t="s">
        <v>134</v>
      </c>
      <c r="C56" s="30">
        <v>4301011801</v>
      </c>
      <c r="D56" s="560">
        <v>4680115881419</v>
      </c>
      <c r="E56" s="561"/>
      <c r="F56" s="542">
        <v>0.45</v>
      </c>
      <c r="G56" s="31">
        <v>10</v>
      </c>
      <c r="H56" s="542">
        <v>4.5</v>
      </c>
      <c r="I56" s="542">
        <v>4.71</v>
      </c>
      <c r="J56" s="31">
        <v>132</v>
      </c>
      <c r="K56" s="31" t="s">
        <v>110</v>
      </c>
      <c r="L56" s="31"/>
      <c r="M56" s="32" t="s">
        <v>106</v>
      </c>
      <c r="N56" s="32"/>
      <c r="O56" s="31">
        <v>50</v>
      </c>
      <c r="P56" s="8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3"/>
      <c r="V56" s="33"/>
      <c r="W56" s="34" t="s">
        <v>69</v>
      </c>
      <c r="X56" s="543">
        <v>13.5</v>
      </c>
      <c r="Y56" s="544">
        <f t="shared" si="0"/>
        <v>13.5</v>
      </c>
      <c r="Z56" s="35">
        <f>IFERROR(IF(Y56=0,"",ROUNDUP(Y56/H56,0)*0.00902),"")</f>
        <v>2.7060000000000001E-2</v>
      </c>
      <c r="AA56" s="55"/>
      <c r="AB56" s="56"/>
      <c r="AC56" s="99" t="s">
        <v>135</v>
      </c>
      <c r="AG56" s="63"/>
      <c r="AJ56" s="66" t="s">
        <v>90</v>
      </c>
      <c r="AK56" s="66">
        <v>4.5</v>
      </c>
      <c r="BB56" s="100" t="s">
        <v>1</v>
      </c>
      <c r="BM56" s="63">
        <f t="shared" si="1"/>
        <v>14.13</v>
      </c>
      <c r="BN56" s="63">
        <f t="shared" si="2"/>
        <v>14.13</v>
      </c>
      <c r="BO56" s="63">
        <f t="shared" si="3"/>
        <v>2.2727272727272728E-2</v>
      </c>
      <c r="BP56" s="63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6" t="s">
        <v>72</v>
      </c>
      <c r="X57" s="545">
        <f>IFERROR(X51/H51,"0")+IFERROR(X52/H52,"0")+IFERROR(X53/H53,"0")+IFERROR(X54/H54,"0")+IFERROR(X55/H55,"0")+IFERROR(X56/H56,"0")</f>
        <v>25</v>
      </c>
      <c r="Y57" s="545">
        <f>IFERROR(Y51/H51,"0")+IFERROR(Y52/H52,"0")+IFERROR(Y53/H53,"0")+IFERROR(Y54/H54,"0")+IFERROR(Y55/H55,"0")+IFERROR(Y56/H56,"0")</f>
        <v>25</v>
      </c>
      <c r="Z57" s="545">
        <f>IFERROR(IF(Z51="",0,Z51),"0")+IFERROR(IF(Z52="",0,Z52),"0")+IFERROR(IF(Z53="",0,Z53),"0")+IFERROR(IF(Z54="",0,Z54),"0")+IFERROR(IF(Z55="",0,Z55),"0")+IFERROR(IF(Z56="",0,Z56),"0")</f>
        <v>0.35741000000000001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6" t="s">
        <v>69</v>
      </c>
      <c r="X58" s="545">
        <f>IFERROR(SUM(X51:X56),"0")</f>
        <v>194.20000000000002</v>
      </c>
      <c r="Y58" s="545">
        <f>IFERROR(SUM(Y51:Y56),"0")</f>
        <v>194.20000000000002</v>
      </c>
      <c r="Z58" s="36"/>
      <c r="AA58" s="546"/>
      <c r="AB58" s="546"/>
      <c r="AC58" s="546"/>
    </row>
    <row r="59" spans="1:68" ht="14.25" hidden="1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4"/>
      <c r="AB59" s="534"/>
      <c r="AC59" s="534"/>
    </row>
    <row r="60" spans="1:68" ht="16.5" customHeight="1" x14ac:dyDescent="0.25">
      <c r="A60" s="53" t="s">
        <v>137</v>
      </c>
      <c r="B60" s="53" t="s">
        <v>138</v>
      </c>
      <c r="C60" s="30">
        <v>4301020298</v>
      </c>
      <c r="D60" s="560">
        <v>4680115881440</v>
      </c>
      <c r="E60" s="561"/>
      <c r="F60" s="542">
        <v>1.35</v>
      </c>
      <c r="G60" s="31">
        <v>8</v>
      </c>
      <c r="H60" s="542">
        <v>10.8</v>
      </c>
      <c r="I60" s="542">
        <v>11.234999999999999</v>
      </c>
      <c r="J60" s="31">
        <v>64</v>
      </c>
      <c r="K60" s="31" t="s">
        <v>104</v>
      </c>
      <c r="L60" s="31" t="s">
        <v>105</v>
      </c>
      <c r="M60" s="32" t="s">
        <v>106</v>
      </c>
      <c r="N60" s="32"/>
      <c r="O60" s="31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3"/>
      <c r="V60" s="33"/>
      <c r="W60" s="34" t="s">
        <v>69</v>
      </c>
      <c r="X60" s="543">
        <v>162</v>
      </c>
      <c r="Y60" s="544">
        <f>IFERROR(IF(X60="",0,CEILING((X60/$H60),1)*$H60),"")</f>
        <v>162</v>
      </c>
      <c r="Z60" s="35">
        <f>IFERROR(IF(Y60=0,"",ROUNDUP(Y60/H60,0)*0.01898),"")</f>
        <v>0.28470000000000001</v>
      </c>
      <c r="AA60" s="55"/>
      <c r="AB60" s="56"/>
      <c r="AC60" s="101" t="s">
        <v>139</v>
      </c>
      <c r="AG60" s="63"/>
      <c r="AJ60" s="66" t="s">
        <v>90</v>
      </c>
      <c r="AK60" s="66">
        <v>86.4</v>
      </c>
      <c r="BB60" s="102" t="s">
        <v>1</v>
      </c>
      <c r="BM60" s="63">
        <f>IFERROR(X60*I60/H60,"0")</f>
        <v>168.52499999999998</v>
      </c>
      <c r="BN60" s="63">
        <f>IFERROR(Y60*I60/H60,"0")</f>
        <v>168.52499999999998</v>
      </c>
      <c r="BO60" s="63">
        <f>IFERROR(1/J60*(X60/H60),"0")</f>
        <v>0.23437499999999997</v>
      </c>
      <c r="BP60" s="63">
        <f>IFERROR(1/J60*(Y60/H60),"0")</f>
        <v>0.23437499999999997</v>
      </c>
    </row>
    <row r="61" spans="1:68" ht="16.5" hidden="1" customHeight="1" x14ac:dyDescent="0.25">
      <c r="A61" s="53" t="s">
        <v>140</v>
      </c>
      <c r="B61" s="53" t="s">
        <v>141</v>
      </c>
      <c r="C61" s="30">
        <v>4301020358</v>
      </c>
      <c r="D61" s="560">
        <v>4680115885950</v>
      </c>
      <c r="E61" s="561"/>
      <c r="F61" s="542">
        <v>0.37</v>
      </c>
      <c r="G61" s="31">
        <v>6</v>
      </c>
      <c r="H61" s="542">
        <v>2.2200000000000002</v>
      </c>
      <c r="I61" s="542">
        <v>2.4</v>
      </c>
      <c r="J61" s="31">
        <v>182</v>
      </c>
      <c r="K61" s="31" t="s">
        <v>76</v>
      </c>
      <c r="L61" s="31"/>
      <c r="M61" s="32" t="s">
        <v>77</v>
      </c>
      <c r="N61" s="32"/>
      <c r="O61" s="31">
        <v>50</v>
      </c>
      <c r="P61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3"/>
      <c r="V61" s="33"/>
      <c r="W61" s="34" t="s">
        <v>69</v>
      </c>
      <c r="X61" s="543">
        <v>0</v>
      </c>
      <c r="Y61" s="544">
        <f>IFERROR(IF(X61="",0,CEILING((X61/$H61),1)*$H61),"")</f>
        <v>0</v>
      </c>
      <c r="Z61" s="35" t="str">
        <f>IFERROR(IF(Y61=0,"",ROUNDUP(Y61/H61,0)*0.00651),"")</f>
        <v/>
      </c>
      <c r="AA61" s="55"/>
      <c r="AB61" s="56"/>
      <c r="AC61" s="103" t="s">
        <v>139</v>
      </c>
      <c r="AG61" s="63"/>
      <c r="AJ61" s="66"/>
      <c r="AK61" s="66">
        <v>0</v>
      </c>
      <c r="BB61" s="104" t="s">
        <v>1</v>
      </c>
      <c r="BM61" s="63">
        <f>IFERROR(X61*I61/H61,"0")</f>
        <v>0</v>
      </c>
      <c r="BN61" s="63">
        <f>IFERROR(Y61*I61/H61,"0")</f>
        <v>0</v>
      </c>
      <c r="BO61" s="63">
        <f>IFERROR(1/J61*(X61/H61),"0")</f>
        <v>0</v>
      </c>
      <c r="BP61" s="63">
        <f>IFERROR(1/J61*(Y61/H61),"0")</f>
        <v>0</v>
      </c>
    </row>
    <row r="62" spans="1:68" ht="27" customHeight="1" x14ac:dyDescent="0.25">
      <c r="A62" s="53" t="s">
        <v>142</v>
      </c>
      <c r="B62" s="53" t="s">
        <v>143</v>
      </c>
      <c r="C62" s="30">
        <v>4301020296</v>
      </c>
      <c r="D62" s="560">
        <v>4680115881433</v>
      </c>
      <c r="E62" s="561"/>
      <c r="F62" s="542">
        <v>0.45</v>
      </c>
      <c r="G62" s="31">
        <v>6</v>
      </c>
      <c r="H62" s="542">
        <v>2.7</v>
      </c>
      <c r="I62" s="542">
        <v>2.88</v>
      </c>
      <c r="J62" s="31">
        <v>182</v>
      </c>
      <c r="K62" s="31" t="s">
        <v>76</v>
      </c>
      <c r="L62" s="31"/>
      <c r="M62" s="32" t="s">
        <v>106</v>
      </c>
      <c r="N62" s="32"/>
      <c r="O62" s="31">
        <v>50</v>
      </c>
      <c r="P62" s="61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3"/>
      <c r="V62" s="33"/>
      <c r="W62" s="34" t="s">
        <v>69</v>
      </c>
      <c r="X62" s="543">
        <v>13.5</v>
      </c>
      <c r="Y62" s="544">
        <f>IFERROR(IF(X62="",0,CEILING((X62/$H62),1)*$H62),"")</f>
        <v>13.5</v>
      </c>
      <c r="Z62" s="35">
        <f>IFERROR(IF(Y62=0,"",ROUNDUP(Y62/H62,0)*0.00651),"")</f>
        <v>3.2550000000000003E-2</v>
      </c>
      <c r="AA62" s="55"/>
      <c r="AB62" s="56"/>
      <c r="AC62" s="105" t="s">
        <v>139</v>
      </c>
      <c r="AG62" s="63"/>
      <c r="AJ62" s="66" t="s">
        <v>90</v>
      </c>
      <c r="AK62" s="66">
        <v>2.7</v>
      </c>
      <c r="BB62" s="106" t="s">
        <v>1</v>
      </c>
      <c r="BM62" s="63">
        <f>IFERROR(X62*I62/H62,"0")</f>
        <v>14.399999999999997</v>
      </c>
      <c r="BN62" s="63">
        <f>IFERROR(Y62*I62/H62,"0")</f>
        <v>14.399999999999997</v>
      </c>
      <c r="BO62" s="63">
        <f>IFERROR(1/J62*(X62/H62),"0")</f>
        <v>2.7472527472527476E-2</v>
      </c>
      <c r="BP62" s="63">
        <f>IFERROR(1/J62*(Y62/H62),"0")</f>
        <v>2.7472527472527476E-2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6" t="s">
        <v>72</v>
      </c>
      <c r="X63" s="545">
        <f>IFERROR(X60/H60,"0")+IFERROR(X61/H61,"0")+IFERROR(X62/H62,"0")</f>
        <v>20</v>
      </c>
      <c r="Y63" s="545">
        <f>IFERROR(Y60/H60,"0")+IFERROR(Y61/H61,"0")+IFERROR(Y62/H62,"0")</f>
        <v>20</v>
      </c>
      <c r="Z63" s="545">
        <f>IFERROR(IF(Z60="",0,Z60),"0")+IFERROR(IF(Z61="",0,Z61),"0")+IFERROR(IF(Z62="",0,Z62),"0")</f>
        <v>0.31725000000000003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6" t="s">
        <v>69</v>
      </c>
      <c r="X64" s="545">
        <f>IFERROR(SUM(X60:X62),"0")</f>
        <v>175.5</v>
      </c>
      <c r="Y64" s="545">
        <f>IFERROR(SUM(Y60:Y62),"0")</f>
        <v>175.5</v>
      </c>
      <c r="Z64" s="36"/>
      <c r="AA64" s="546"/>
      <c r="AB64" s="546"/>
      <c r="AC64" s="546"/>
    </row>
    <row r="65" spans="1:68" ht="14.25" hidden="1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4"/>
      <c r="AB65" s="534"/>
      <c r="AC65" s="534"/>
    </row>
    <row r="66" spans="1:68" ht="27" hidden="1" customHeight="1" x14ac:dyDescent="0.25">
      <c r="A66" s="53" t="s">
        <v>144</v>
      </c>
      <c r="B66" s="53" t="s">
        <v>145</v>
      </c>
      <c r="C66" s="30">
        <v>4301031243</v>
      </c>
      <c r="D66" s="560">
        <v>4680115885073</v>
      </c>
      <c r="E66" s="561"/>
      <c r="F66" s="542">
        <v>0.3</v>
      </c>
      <c r="G66" s="31">
        <v>6</v>
      </c>
      <c r="H66" s="542">
        <v>1.8</v>
      </c>
      <c r="I66" s="542">
        <v>1.9</v>
      </c>
      <c r="J66" s="31">
        <v>234</v>
      </c>
      <c r="K66" s="31" t="s">
        <v>67</v>
      </c>
      <c r="L66" s="31"/>
      <c r="M66" s="32" t="s">
        <v>68</v>
      </c>
      <c r="N66" s="32"/>
      <c r="O66" s="31">
        <v>40</v>
      </c>
      <c r="P66" s="7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3"/>
      <c r="V66" s="33"/>
      <c r="W66" s="34" t="s">
        <v>69</v>
      </c>
      <c r="X66" s="543">
        <v>0</v>
      </c>
      <c r="Y66" s="544">
        <f>IFERROR(IF(X66="",0,CEILING((X66/$H66),1)*$H66),"")</f>
        <v>0</v>
      </c>
      <c r="Z66" s="35" t="str">
        <f>IFERROR(IF(Y66=0,"",ROUNDUP(Y66/H66,0)*0.00502),"")</f>
        <v/>
      </c>
      <c r="AA66" s="55"/>
      <c r="AB66" s="56"/>
      <c r="AC66" s="107" t="s">
        <v>146</v>
      </c>
      <c r="AG66" s="63"/>
      <c r="AJ66" s="66"/>
      <c r="AK66" s="66">
        <v>0</v>
      </c>
      <c r="BB66" s="108" t="s">
        <v>1</v>
      </c>
      <c r="BM66" s="63">
        <f>IFERROR(X66*I66/H66,"0")</f>
        <v>0</v>
      </c>
      <c r="BN66" s="63">
        <f>IFERROR(Y66*I66/H66,"0")</f>
        <v>0</v>
      </c>
      <c r="BO66" s="63">
        <f>IFERROR(1/J66*(X66/H66),"0")</f>
        <v>0</v>
      </c>
      <c r="BP66" s="63">
        <f>IFERROR(1/J66*(Y66/H66),"0")</f>
        <v>0</v>
      </c>
    </row>
    <row r="67" spans="1:68" ht="27" customHeight="1" x14ac:dyDescent="0.25">
      <c r="A67" s="53" t="s">
        <v>147</v>
      </c>
      <c r="B67" s="53" t="s">
        <v>148</v>
      </c>
      <c r="C67" s="30">
        <v>4301031241</v>
      </c>
      <c r="D67" s="560">
        <v>4680115885059</v>
      </c>
      <c r="E67" s="561"/>
      <c r="F67" s="542">
        <v>0.3</v>
      </c>
      <c r="G67" s="31">
        <v>6</v>
      </c>
      <c r="H67" s="542">
        <v>1.8</v>
      </c>
      <c r="I67" s="542">
        <v>1.9</v>
      </c>
      <c r="J67" s="31">
        <v>234</v>
      </c>
      <c r="K67" s="31" t="s">
        <v>67</v>
      </c>
      <c r="L67" s="31"/>
      <c r="M67" s="32" t="s">
        <v>68</v>
      </c>
      <c r="N67" s="32"/>
      <c r="O67" s="31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3"/>
      <c r="V67" s="33"/>
      <c r="W67" s="34" t="s">
        <v>69</v>
      </c>
      <c r="X67" s="543">
        <v>5.4</v>
      </c>
      <c r="Y67" s="544">
        <f>IFERROR(IF(X67="",0,CEILING((X67/$H67),1)*$H67),"")</f>
        <v>5.4</v>
      </c>
      <c r="Z67" s="35">
        <f>IFERROR(IF(Y67=0,"",ROUNDUP(Y67/H67,0)*0.00502),"")</f>
        <v>1.506E-2</v>
      </c>
      <c r="AA67" s="55"/>
      <c r="AB67" s="56"/>
      <c r="AC67" s="109" t="s">
        <v>149</v>
      </c>
      <c r="AG67" s="63"/>
      <c r="AJ67" s="66"/>
      <c r="AK67" s="66">
        <v>0</v>
      </c>
      <c r="BB67" s="110" t="s">
        <v>1</v>
      </c>
      <c r="BM67" s="63">
        <f>IFERROR(X67*I67/H67,"0")</f>
        <v>5.7</v>
      </c>
      <c r="BN67" s="63">
        <f>IFERROR(Y67*I67/H67,"0")</f>
        <v>5.7</v>
      </c>
      <c r="BO67" s="63">
        <f>IFERROR(1/J67*(X67/H67),"0")</f>
        <v>1.2820512820512822E-2</v>
      </c>
      <c r="BP67" s="63">
        <f>IFERROR(1/J67*(Y67/H67),"0")</f>
        <v>1.2820512820512822E-2</v>
      </c>
    </row>
    <row r="68" spans="1:68" ht="27" customHeight="1" x14ac:dyDescent="0.25">
      <c r="A68" s="53" t="s">
        <v>150</v>
      </c>
      <c r="B68" s="53" t="s">
        <v>151</v>
      </c>
      <c r="C68" s="30">
        <v>4301031316</v>
      </c>
      <c r="D68" s="560">
        <v>4680115885097</v>
      </c>
      <c r="E68" s="561"/>
      <c r="F68" s="542">
        <v>0.3</v>
      </c>
      <c r="G68" s="31">
        <v>6</v>
      </c>
      <c r="H68" s="542">
        <v>1.8</v>
      </c>
      <c r="I68" s="542">
        <v>1.9</v>
      </c>
      <c r="J68" s="31">
        <v>234</v>
      </c>
      <c r="K68" s="31" t="s">
        <v>67</v>
      </c>
      <c r="L68" s="31"/>
      <c r="M68" s="32" t="s">
        <v>68</v>
      </c>
      <c r="N68" s="32"/>
      <c r="O68" s="31">
        <v>40</v>
      </c>
      <c r="P68" s="8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3"/>
      <c r="V68" s="33"/>
      <c r="W68" s="34" t="s">
        <v>69</v>
      </c>
      <c r="X68" s="543">
        <v>5.4</v>
      </c>
      <c r="Y68" s="544">
        <f>IFERROR(IF(X68="",0,CEILING((X68/$H68),1)*$H68),"")</f>
        <v>5.4</v>
      </c>
      <c r="Z68" s="35">
        <f>IFERROR(IF(Y68=0,"",ROUNDUP(Y68/H68,0)*0.00502),"")</f>
        <v>1.506E-2</v>
      </c>
      <c r="AA68" s="55"/>
      <c r="AB68" s="56"/>
      <c r="AC68" s="111" t="s">
        <v>152</v>
      </c>
      <c r="AG68" s="63"/>
      <c r="AJ68" s="66"/>
      <c r="AK68" s="66">
        <v>0</v>
      </c>
      <c r="BB68" s="112" t="s">
        <v>1</v>
      </c>
      <c r="BM68" s="63">
        <f>IFERROR(X68*I68/H68,"0")</f>
        <v>5.7</v>
      </c>
      <c r="BN68" s="63">
        <f>IFERROR(Y68*I68/H68,"0")</f>
        <v>5.7</v>
      </c>
      <c r="BO68" s="63">
        <f>IFERROR(1/J68*(X68/H68),"0")</f>
        <v>1.2820512820512822E-2</v>
      </c>
      <c r="BP68" s="63">
        <f>IFERROR(1/J68*(Y68/H68),"0")</f>
        <v>1.2820512820512822E-2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6" t="s">
        <v>72</v>
      </c>
      <c r="X69" s="545">
        <f>IFERROR(X66/H66,"0")+IFERROR(X67/H67,"0")+IFERROR(X68/H68,"0")</f>
        <v>6</v>
      </c>
      <c r="Y69" s="545">
        <f>IFERROR(Y66/H66,"0")+IFERROR(Y67/H67,"0")+IFERROR(Y68/H68,"0")</f>
        <v>6</v>
      </c>
      <c r="Z69" s="545">
        <f>IFERROR(IF(Z66="",0,Z66),"0")+IFERROR(IF(Z67="",0,Z67),"0")+IFERROR(IF(Z68="",0,Z68),"0")</f>
        <v>3.0120000000000001E-2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6" t="s">
        <v>69</v>
      </c>
      <c r="X70" s="545">
        <f>IFERROR(SUM(X66:X68),"0")</f>
        <v>10.8</v>
      </c>
      <c r="Y70" s="545">
        <f>IFERROR(SUM(Y66:Y68),"0")</f>
        <v>10.8</v>
      </c>
      <c r="Z70" s="36"/>
      <c r="AA70" s="546"/>
      <c r="AB70" s="546"/>
      <c r="AC70" s="546"/>
    </row>
    <row r="71" spans="1:68" ht="14.25" hidden="1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4"/>
      <c r="AB71" s="534"/>
      <c r="AC71" s="534"/>
    </row>
    <row r="72" spans="1:68" ht="16.5" hidden="1" customHeight="1" x14ac:dyDescent="0.25">
      <c r="A72" s="53" t="s">
        <v>153</v>
      </c>
      <c r="B72" s="53" t="s">
        <v>154</v>
      </c>
      <c r="C72" s="30">
        <v>4301051838</v>
      </c>
      <c r="D72" s="560">
        <v>4680115881891</v>
      </c>
      <c r="E72" s="561"/>
      <c r="F72" s="542">
        <v>1.4</v>
      </c>
      <c r="G72" s="31">
        <v>6</v>
      </c>
      <c r="H72" s="542">
        <v>8.4</v>
      </c>
      <c r="I72" s="542">
        <v>8.9190000000000005</v>
      </c>
      <c r="J72" s="31">
        <v>64</v>
      </c>
      <c r="K72" s="31" t="s">
        <v>104</v>
      </c>
      <c r="L72" s="31"/>
      <c r="M72" s="32" t="s">
        <v>77</v>
      </c>
      <c r="N72" s="32"/>
      <c r="O72" s="31">
        <v>40</v>
      </c>
      <c r="P72" s="60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3"/>
      <c r="V72" s="33"/>
      <c r="W72" s="34" t="s">
        <v>69</v>
      </c>
      <c r="X72" s="543">
        <v>0</v>
      </c>
      <c r="Y72" s="544">
        <f>IFERROR(IF(X72="",0,CEILING((X72/$H72),1)*$H72),"")</f>
        <v>0</v>
      </c>
      <c r="Z72" s="35" t="str">
        <f>IFERROR(IF(Y72=0,"",ROUNDUP(Y72/H72,0)*0.01898),"")</f>
        <v/>
      </c>
      <c r="AA72" s="55"/>
      <c r="AB72" s="56"/>
      <c r="AC72" s="113" t="s">
        <v>155</v>
      </c>
      <c r="AG72" s="63"/>
      <c r="AJ72" s="66"/>
      <c r="AK72" s="66">
        <v>0</v>
      </c>
      <c r="BB72" s="114" t="s">
        <v>1</v>
      </c>
      <c r="BM72" s="63">
        <f>IFERROR(X72*I72/H72,"0")</f>
        <v>0</v>
      </c>
      <c r="BN72" s="63">
        <f>IFERROR(Y72*I72/H72,"0")</f>
        <v>0</v>
      </c>
      <c r="BO72" s="63">
        <f>IFERROR(1/J72*(X72/H72),"0")</f>
        <v>0</v>
      </c>
      <c r="BP72" s="63">
        <f>IFERROR(1/J72*(Y72/H72),"0")</f>
        <v>0</v>
      </c>
    </row>
    <row r="73" spans="1:68" ht="27" customHeight="1" x14ac:dyDescent="0.25">
      <c r="A73" s="53" t="s">
        <v>156</v>
      </c>
      <c r="B73" s="53" t="s">
        <v>157</v>
      </c>
      <c r="C73" s="30">
        <v>4301051846</v>
      </c>
      <c r="D73" s="560">
        <v>4680115885769</v>
      </c>
      <c r="E73" s="561"/>
      <c r="F73" s="542">
        <v>1.4</v>
      </c>
      <c r="G73" s="31">
        <v>6</v>
      </c>
      <c r="H73" s="542">
        <v>8.4</v>
      </c>
      <c r="I73" s="542">
        <v>8.8350000000000009</v>
      </c>
      <c r="J73" s="31">
        <v>64</v>
      </c>
      <c r="K73" s="31" t="s">
        <v>104</v>
      </c>
      <c r="L73" s="31"/>
      <c r="M73" s="32" t="s">
        <v>77</v>
      </c>
      <c r="N73" s="32"/>
      <c r="O73" s="31">
        <v>45</v>
      </c>
      <c r="P73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3"/>
      <c r="V73" s="33"/>
      <c r="W73" s="34" t="s">
        <v>69</v>
      </c>
      <c r="X73" s="543">
        <v>8.4</v>
      </c>
      <c r="Y73" s="544">
        <f>IFERROR(IF(X73="",0,CEILING((X73/$H73),1)*$H73),"")</f>
        <v>8.4</v>
      </c>
      <c r="Z73" s="35">
        <f>IFERROR(IF(Y73=0,"",ROUNDUP(Y73/H73,0)*0.01898),"")</f>
        <v>1.898E-2</v>
      </c>
      <c r="AA73" s="55"/>
      <c r="AB73" s="56"/>
      <c r="AC73" s="115" t="s">
        <v>158</v>
      </c>
      <c r="AG73" s="63"/>
      <c r="AJ73" s="66"/>
      <c r="AK73" s="66">
        <v>0</v>
      </c>
      <c r="BB73" s="116" t="s">
        <v>1</v>
      </c>
      <c r="BM73" s="63">
        <f>IFERROR(X73*I73/H73,"0")</f>
        <v>8.8350000000000009</v>
      </c>
      <c r="BN73" s="63">
        <f>IFERROR(Y73*I73/H73,"0")</f>
        <v>8.8350000000000009</v>
      </c>
      <c r="BO73" s="63">
        <f>IFERROR(1/J73*(X73/H73),"0")</f>
        <v>1.5625E-2</v>
      </c>
      <c r="BP73" s="63">
        <f>IFERROR(1/J73*(Y73/H73),"0")</f>
        <v>1.5625E-2</v>
      </c>
    </row>
    <row r="74" spans="1:68" ht="16.5" hidden="1" customHeight="1" x14ac:dyDescent="0.25">
      <c r="A74" s="53" t="s">
        <v>159</v>
      </c>
      <c r="B74" s="53" t="s">
        <v>160</v>
      </c>
      <c r="C74" s="30">
        <v>4301051837</v>
      </c>
      <c r="D74" s="560">
        <v>4680115884311</v>
      </c>
      <c r="E74" s="561"/>
      <c r="F74" s="542">
        <v>0.3</v>
      </c>
      <c r="G74" s="31">
        <v>6</v>
      </c>
      <c r="H74" s="542">
        <v>1.8</v>
      </c>
      <c r="I74" s="542">
        <v>2.0459999999999998</v>
      </c>
      <c r="J74" s="31">
        <v>182</v>
      </c>
      <c r="K74" s="31" t="s">
        <v>76</v>
      </c>
      <c r="L74" s="31" t="s">
        <v>88</v>
      </c>
      <c r="M74" s="32" t="s">
        <v>77</v>
      </c>
      <c r="N74" s="32"/>
      <c r="O74" s="31">
        <v>40</v>
      </c>
      <c r="P74" s="73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3"/>
      <c r="V74" s="33"/>
      <c r="W74" s="34" t="s">
        <v>69</v>
      </c>
      <c r="X74" s="543">
        <v>0</v>
      </c>
      <c r="Y74" s="544">
        <f>IFERROR(IF(X74="",0,CEILING((X74/$H74),1)*$H74),"")</f>
        <v>0</v>
      </c>
      <c r="Z74" s="35" t="str">
        <f>IFERROR(IF(Y74=0,"",ROUNDUP(Y74/H74,0)*0.00651),"")</f>
        <v/>
      </c>
      <c r="AA74" s="55"/>
      <c r="AB74" s="56"/>
      <c r="AC74" s="117" t="s">
        <v>155</v>
      </c>
      <c r="AG74" s="63"/>
      <c r="AJ74" s="66" t="s">
        <v>90</v>
      </c>
      <c r="AK74" s="66">
        <v>25.2</v>
      </c>
      <c r="BB74" s="118" t="s">
        <v>1</v>
      </c>
      <c r="BM74" s="63">
        <f>IFERROR(X74*I74/H74,"0")</f>
        <v>0</v>
      </c>
      <c r="BN74" s="63">
        <f>IFERROR(Y74*I74/H74,"0")</f>
        <v>0</v>
      </c>
      <c r="BO74" s="63">
        <f>IFERROR(1/J74*(X74/H74),"0")</f>
        <v>0</v>
      </c>
      <c r="BP74" s="63">
        <f>IFERROR(1/J74*(Y74/H74),"0")</f>
        <v>0</v>
      </c>
    </row>
    <row r="75" spans="1:68" ht="27" customHeight="1" x14ac:dyDescent="0.25">
      <c r="A75" s="53" t="s">
        <v>161</v>
      </c>
      <c r="B75" s="53" t="s">
        <v>162</v>
      </c>
      <c r="C75" s="30">
        <v>4301051844</v>
      </c>
      <c r="D75" s="560">
        <v>4680115885929</v>
      </c>
      <c r="E75" s="561"/>
      <c r="F75" s="542">
        <v>0.42</v>
      </c>
      <c r="G75" s="31">
        <v>6</v>
      </c>
      <c r="H75" s="542">
        <v>2.52</v>
      </c>
      <c r="I75" s="542">
        <v>2.7</v>
      </c>
      <c r="J75" s="31">
        <v>182</v>
      </c>
      <c r="K75" s="31" t="s">
        <v>76</v>
      </c>
      <c r="L75" s="31"/>
      <c r="M75" s="32" t="s">
        <v>77</v>
      </c>
      <c r="N75" s="32"/>
      <c r="O75" s="31">
        <v>45</v>
      </c>
      <c r="P75" s="6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3"/>
      <c r="V75" s="33"/>
      <c r="W75" s="34" t="s">
        <v>69</v>
      </c>
      <c r="X75" s="543">
        <v>5.04</v>
      </c>
      <c r="Y75" s="544">
        <f>IFERROR(IF(X75="",0,CEILING((X75/$H75),1)*$H75),"")</f>
        <v>5.04</v>
      </c>
      <c r="Z75" s="35">
        <f>IFERROR(IF(Y75=0,"",ROUNDUP(Y75/H75,0)*0.00651),"")</f>
        <v>1.302E-2</v>
      </c>
      <c r="AA75" s="55"/>
      <c r="AB75" s="56"/>
      <c r="AC75" s="119" t="s">
        <v>158</v>
      </c>
      <c r="AG75" s="63"/>
      <c r="AJ75" s="66"/>
      <c r="AK75" s="66">
        <v>0</v>
      </c>
      <c r="BB75" s="120" t="s">
        <v>1</v>
      </c>
      <c r="BM75" s="63">
        <f>IFERROR(X75*I75/H75,"0")</f>
        <v>5.4</v>
      </c>
      <c r="BN75" s="63">
        <f>IFERROR(Y75*I75/H75,"0")</f>
        <v>5.4</v>
      </c>
      <c r="BO75" s="63">
        <f>IFERROR(1/J75*(X75/H75),"0")</f>
        <v>1.098901098901099E-2</v>
      </c>
      <c r="BP75" s="63">
        <f>IFERROR(1/J75*(Y75/H75),"0")</f>
        <v>1.098901098901099E-2</v>
      </c>
    </row>
    <row r="76" spans="1:68" ht="27" customHeight="1" x14ac:dyDescent="0.25">
      <c r="A76" s="53" t="s">
        <v>163</v>
      </c>
      <c r="B76" s="53" t="s">
        <v>164</v>
      </c>
      <c r="C76" s="30">
        <v>4301051929</v>
      </c>
      <c r="D76" s="560">
        <v>4680115884403</v>
      </c>
      <c r="E76" s="561"/>
      <c r="F76" s="542">
        <v>0.3</v>
      </c>
      <c r="G76" s="31">
        <v>6</v>
      </c>
      <c r="H76" s="542">
        <v>1.8</v>
      </c>
      <c r="I76" s="542">
        <v>1.98</v>
      </c>
      <c r="J76" s="31">
        <v>182</v>
      </c>
      <c r="K76" s="31" t="s">
        <v>76</v>
      </c>
      <c r="L76" s="31" t="s">
        <v>88</v>
      </c>
      <c r="M76" s="32" t="s">
        <v>77</v>
      </c>
      <c r="N76" s="32"/>
      <c r="O76" s="31">
        <v>40</v>
      </c>
      <c r="P76" s="7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3"/>
      <c r="V76" s="33"/>
      <c r="W76" s="34" t="s">
        <v>69</v>
      </c>
      <c r="X76" s="543">
        <v>3.6</v>
      </c>
      <c r="Y76" s="544">
        <f>IFERROR(IF(X76="",0,CEILING((X76/$H76),1)*$H76),"")</f>
        <v>3.6</v>
      </c>
      <c r="Z76" s="35">
        <f>IFERROR(IF(Y76=0,"",ROUNDUP(Y76/H76,0)*0.00651),"")</f>
        <v>1.302E-2</v>
      </c>
      <c r="AA76" s="55"/>
      <c r="AB76" s="56"/>
      <c r="AC76" s="121" t="s">
        <v>165</v>
      </c>
      <c r="AG76" s="63"/>
      <c r="AJ76" s="66" t="s">
        <v>90</v>
      </c>
      <c r="AK76" s="66">
        <v>25.2</v>
      </c>
      <c r="BB76" s="122" t="s">
        <v>1</v>
      </c>
      <c r="BM76" s="63">
        <f>IFERROR(X76*I76/H76,"0")</f>
        <v>3.96</v>
      </c>
      <c r="BN76" s="63">
        <f>IFERROR(Y76*I76/H76,"0")</f>
        <v>3.96</v>
      </c>
      <c r="BO76" s="63">
        <f>IFERROR(1/J76*(X76/H76),"0")</f>
        <v>1.098901098901099E-2</v>
      </c>
      <c r="BP76" s="63">
        <f>IFERROR(1/J76*(Y76/H76),"0")</f>
        <v>1.098901098901099E-2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6" t="s">
        <v>72</v>
      </c>
      <c r="X77" s="545">
        <f>IFERROR(X72/H72,"0")+IFERROR(X73/H73,"0")+IFERROR(X74/H74,"0")+IFERROR(X75/H75,"0")+IFERROR(X76/H76,"0")</f>
        <v>5</v>
      </c>
      <c r="Y77" s="545">
        <f>IFERROR(Y72/H72,"0")+IFERROR(Y73/H73,"0")+IFERROR(Y74/H74,"0")+IFERROR(Y75/H75,"0")+IFERROR(Y76/H76,"0")</f>
        <v>5</v>
      </c>
      <c r="Z77" s="545">
        <f>IFERROR(IF(Z72="",0,Z72),"0")+IFERROR(IF(Z73="",0,Z73),"0")+IFERROR(IF(Z74="",0,Z74),"0")+IFERROR(IF(Z75="",0,Z75),"0")+IFERROR(IF(Z76="",0,Z76),"0")</f>
        <v>4.5020000000000004E-2</v>
      </c>
      <c r="AA77" s="546"/>
      <c r="AB77" s="546"/>
      <c r="AC77" s="546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6" t="s">
        <v>69</v>
      </c>
      <c r="X78" s="545">
        <f>IFERROR(SUM(X72:X76),"0")</f>
        <v>17.040000000000003</v>
      </c>
      <c r="Y78" s="545">
        <f>IFERROR(SUM(Y72:Y76),"0")</f>
        <v>17.040000000000003</v>
      </c>
      <c r="Z78" s="36"/>
      <c r="AA78" s="546"/>
      <c r="AB78" s="546"/>
      <c r="AC78" s="546"/>
    </row>
    <row r="79" spans="1:68" ht="14.25" hidden="1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4"/>
      <c r="AB79" s="534"/>
      <c r="AC79" s="534"/>
    </row>
    <row r="80" spans="1:68" ht="27" customHeight="1" x14ac:dyDescent="0.25">
      <c r="A80" s="53" t="s">
        <v>167</v>
      </c>
      <c r="B80" s="53" t="s">
        <v>168</v>
      </c>
      <c r="C80" s="30">
        <v>4301060455</v>
      </c>
      <c r="D80" s="560">
        <v>4680115881532</v>
      </c>
      <c r="E80" s="561"/>
      <c r="F80" s="542">
        <v>1.3</v>
      </c>
      <c r="G80" s="31">
        <v>6</v>
      </c>
      <c r="H80" s="542">
        <v>7.8</v>
      </c>
      <c r="I80" s="542">
        <v>8.2349999999999994</v>
      </c>
      <c r="J80" s="31">
        <v>64</v>
      </c>
      <c r="K80" s="31" t="s">
        <v>104</v>
      </c>
      <c r="L80" s="31" t="s">
        <v>105</v>
      </c>
      <c r="M80" s="32" t="s">
        <v>84</v>
      </c>
      <c r="N80" s="32"/>
      <c r="O80" s="31">
        <v>30</v>
      </c>
      <c r="P80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3"/>
      <c r="V80" s="33"/>
      <c r="W80" s="34" t="s">
        <v>69</v>
      </c>
      <c r="X80" s="543">
        <v>15.6</v>
      </c>
      <c r="Y80" s="544">
        <f>IFERROR(IF(X80="",0,CEILING((X80/$H80),1)*$H80),"")</f>
        <v>15.6</v>
      </c>
      <c r="Z80" s="35">
        <f>IFERROR(IF(Y80=0,"",ROUNDUP(Y80/H80,0)*0.01898),"")</f>
        <v>3.7960000000000001E-2</v>
      </c>
      <c r="AA80" s="55"/>
      <c r="AB80" s="56"/>
      <c r="AC80" s="123" t="s">
        <v>169</v>
      </c>
      <c r="AG80" s="63"/>
      <c r="AJ80" s="66" t="s">
        <v>90</v>
      </c>
      <c r="AK80" s="66">
        <v>62.4</v>
      </c>
      <c r="BB80" s="124" t="s">
        <v>1</v>
      </c>
      <c r="BM80" s="63">
        <f>IFERROR(X80*I80/H80,"0")</f>
        <v>16.47</v>
      </c>
      <c r="BN80" s="63">
        <f>IFERROR(Y80*I80/H80,"0")</f>
        <v>16.47</v>
      </c>
      <c r="BO80" s="63">
        <f>IFERROR(1/J80*(X80/H80),"0")</f>
        <v>3.125E-2</v>
      </c>
      <c r="BP80" s="63">
        <f>IFERROR(1/J80*(Y80/H80),"0")</f>
        <v>3.125E-2</v>
      </c>
    </row>
    <row r="81" spans="1:68" ht="27" hidden="1" customHeight="1" x14ac:dyDescent="0.25">
      <c r="A81" s="53" t="s">
        <v>170</v>
      </c>
      <c r="B81" s="53" t="s">
        <v>171</v>
      </c>
      <c r="C81" s="30">
        <v>4301060351</v>
      </c>
      <c r="D81" s="560">
        <v>4680115881464</v>
      </c>
      <c r="E81" s="561"/>
      <c r="F81" s="542">
        <v>0.4</v>
      </c>
      <c r="G81" s="31">
        <v>6</v>
      </c>
      <c r="H81" s="542">
        <v>2.4</v>
      </c>
      <c r="I81" s="542">
        <v>2.61</v>
      </c>
      <c r="J81" s="31">
        <v>132</v>
      </c>
      <c r="K81" s="31" t="s">
        <v>110</v>
      </c>
      <c r="L81" s="31" t="s">
        <v>111</v>
      </c>
      <c r="M81" s="32" t="s">
        <v>77</v>
      </c>
      <c r="N81" s="32"/>
      <c r="O81" s="31">
        <v>30</v>
      </c>
      <c r="P81" s="8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3"/>
      <c r="V81" s="33"/>
      <c r="W81" s="34" t="s">
        <v>69</v>
      </c>
      <c r="X81" s="543">
        <v>0</v>
      </c>
      <c r="Y81" s="544">
        <f>IFERROR(IF(X81="",0,CEILING((X81/$H81),1)*$H81),"")</f>
        <v>0</v>
      </c>
      <c r="Z81" s="35" t="str">
        <f>IFERROR(IF(Y81=0,"",ROUNDUP(Y81/H81,0)*0.00902),"")</f>
        <v/>
      </c>
      <c r="AA81" s="55"/>
      <c r="AB81" s="56"/>
      <c r="AC81" s="125" t="s">
        <v>172</v>
      </c>
      <c r="AG81" s="63"/>
      <c r="AJ81" s="66" t="s">
        <v>90</v>
      </c>
      <c r="AK81" s="66">
        <v>28.8</v>
      </c>
      <c r="BB81" s="126" t="s">
        <v>1</v>
      </c>
      <c r="BM81" s="63">
        <f>IFERROR(X81*I81/H81,"0")</f>
        <v>0</v>
      </c>
      <c r="BN81" s="63">
        <f>IFERROR(Y81*I81/H81,"0")</f>
        <v>0</v>
      </c>
      <c r="BO81" s="63">
        <f>IFERROR(1/J81*(X81/H81),"0")</f>
        <v>0</v>
      </c>
      <c r="BP81" s="63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6" t="s">
        <v>72</v>
      </c>
      <c r="X82" s="545">
        <f>IFERROR(X80/H80,"0")+IFERROR(X81/H81,"0")</f>
        <v>2</v>
      </c>
      <c r="Y82" s="545">
        <f>IFERROR(Y80/H80,"0")+IFERROR(Y81/H81,"0")</f>
        <v>2</v>
      </c>
      <c r="Z82" s="545">
        <f>IFERROR(IF(Z80="",0,Z80),"0")+IFERROR(IF(Z81="",0,Z81),"0")</f>
        <v>3.7960000000000001E-2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6" t="s">
        <v>69</v>
      </c>
      <c r="X83" s="545">
        <f>IFERROR(SUM(X80:X81),"0")</f>
        <v>15.6</v>
      </c>
      <c r="Y83" s="545">
        <f>IFERROR(SUM(Y80:Y81),"0")</f>
        <v>15.6</v>
      </c>
      <c r="Z83" s="36"/>
      <c r="AA83" s="546"/>
      <c r="AB83" s="546"/>
      <c r="AC83" s="546"/>
    </row>
    <row r="84" spans="1:68" ht="16.5" hidden="1" customHeight="1" x14ac:dyDescent="0.25">
      <c r="A84" s="596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hidden="1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4"/>
      <c r="AB85" s="534"/>
      <c r="AC85" s="534"/>
    </row>
    <row r="86" spans="1:68" ht="27" customHeight="1" x14ac:dyDescent="0.25">
      <c r="A86" s="53" t="s">
        <v>174</v>
      </c>
      <c r="B86" s="53" t="s">
        <v>175</v>
      </c>
      <c r="C86" s="30">
        <v>4301011468</v>
      </c>
      <c r="D86" s="560">
        <v>4680115881327</v>
      </c>
      <c r="E86" s="561"/>
      <c r="F86" s="542">
        <v>1.35</v>
      </c>
      <c r="G86" s="31">
        <v>8</v>
      </c>
      <c r="H86" s="542">
        <v>10.8</v>
      </c>
      <c r="I86" s="542">
        <v>11.234999999999999</v>
      </c>
      <c r="J86" s="31">
        <v>64</v>
      </c>
      <c r="K86" s="31" t="s">
        <v>104</v>
      </c>
      <c r="L86" s="31" t="s">
        <v>105</v>
      </c>
      <c r="M86" s="32" t="s">
        <v>84</v>
      </c>
      <c r="N86" s="32"/>
      <c r="O86" s="31">
        <v>50</v>
      </c>
      <c r="P86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3"/>
      <c r="V86" s="33"/>
      <c r="W86" s="34" t="s">
        <v>69</v>
      </c>
      <c r="X86" s="543">
        <v>108</v>
      </c>
      <c r="Y86" s="544">
        <f>IFERROR(IF(X86="",0,CEILING((X86/$H86),1)*$H86),"")</f>
        <v>108</v>
      </c>
      <c r="Z86" s="35">
        <f>IFERROR(IF(Y86=0,"",ROUNDUP(Y86/H86,0)*0.01898),"")</f>
        <v>0.1898</v>
      </c>
      <c r="AA86" s="55"/>
      <c r="AB86" s="56"/>
      <c r="AC86" s="127" t="s">
        <v>176</v>
      </c>
      <c r="AG86" s="63"/>
      <c r="AJ86" s="66" t="s">
        <v>90</v>
      </c>
      <c r="AK86" s="66">
        <v>86.4</v>
      </c>
      <c r="BB86" s="128" t="s">
        <v>1</v>
      </c>
      <c r="BM86" s="63">
        <f>IFERROR(X86*I86/H86,"0")</f>
        <v>112.34999999999998</v>
      </c>
      <c r="BN86" s="63">
        <f>IFERROR(Y86*I86/H86,"0")</f>
        <v>112.34999999999998</v>
      </c>
      <c r="BO86" s="63">
        <f>IFERROR(1/J86*(X86/H86),"0")</f>
        <v>0.15625</v>
      </c>
      <c r="BP86" s="63">
        <f>IFERROR(1/J86*(Y86/H86),"0")</f>
        <v>0.15625</v>
      </c>
    </row>
    <row r="87" spans="1:68" ht="27" hidden="1" customHeight="1" x14ac:dyDescent="0.25">
      <c r="A87" s="53" t="s">
        <v>177</v>
      </c>
      <c r="B87" s="53" t="s">
        <v>178</v>
      </c>
      <c r="C87" s="30">
        <v>4301011476</v>
      </c>
      <c r="D87" s="560">
        <v>4680115881518</v>
      </c>
      <c r="E87" s="561"/>
      <c r="F87" s="542">
        <v>0.4</v>
      </c>
      <c r="G87" s="31">
        <v>10</v>
      </c>
      <c r="H87" s="542">
        <v>4</v>
      </c>
      <c r="I87" s="542">
        <v>4.21</v>
      </c>
      <c r="J87" s="31">
        <v>132</v>
      </c>
      <c r="K87" s="31" t="s">
        <v>110</v>
      </c>
      <c r="L87" s="31"/>
      <c r="M87" s="32" t="s">
        <v>77</v>
      </c>
      <c r="N87" s="32"/>
      <c r="O87" s="31">
        <v>50</v>
      </c>
      <c r="P87" s="7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3"/>
      <c r="V87" s="33"/>
      <c r="W87" s="34" t="s">
        <v>69</v>
      </c>
      <c r="X87" s="543">
        <v>0</v>
      </c>
      <c r="Y87" s="544">
        <f>IFERROR(IF(X87="",0,CEILING((X87/$H87),1)*$H87),"")</f>
        <v>0</v>
      </c>
      <c r="Z87" s="35" t="str">
        <f>IFERROR(IF(Y87=0,"",ROUNDUP(Y87/H87,0)*0.00902),"")</f>
        <v/>
      </c>
      <c r="AA87" s="55"/>
      <c r="AB87" s="56"/>
      <c r="AC87" s="129" t="s">
        <v>176</v>
      </c>
      <c r="AG87" s="63"/>
      <c r="AJ87" s="66"/>
      <c r="AK87" s="66">
        <v>0</v>
      </c>
      <c r="BB87" s="130" t="s">
        <v>1</v>
      </c>
      <c r="BM87" s="63">
        <f>IFERROR(X87*I87/H87,"0")</f>
        <v>0</v>
      </c>
      <c r="BN87" s="63">
        <f>IFERROR(Y87*I87/H87,"0")</f>
        <v>0</v>
      </c>
      <c r="BO87" s="63">
        <f>IFERROR(1/J87*(X87/H87),"0")</f>
        <v>0</v>
      </c>
      <c r="BP87" s="63">
        <f>IFERROR(1/J87*(Y87/H87),"0")</f>
        <v>0</v>
      </c>
    </row>
    <row r="88" spans="1:68" ht="27" hidden="1" customHeight="1" x14ac:dyDescent="0.25">
      <c r="A88" s="53" t="s">
        <v>179</v>
      </c>
      <c r="B88" s="53" t="s">
        <v>180</v>
      </c>
      <c r="C88" s="30">
        <v>4301011443</v>
      </c>
      <c r="D88" s="560">
        <v>4680115881303</v>
      </c>
      <c r="E88" s="561"/>
      <c r="F88" s="542">
        <v>0.45</v>
      </c>
      <c r="G88" s="31">
        <v>10</v>
      </c>
      <c r="H88" s="542">
        <v>4.5</v>
      </c>
      <c r="I88" s="542">
        <v>4.71</v>
      </c>
      <c r="J88" s="31">
        <v>132</v>
      </c>
      <c r="K88" s="31" t="s">
        <v>110</v>
      </c>
      <c r="L88" s="31" t="s">
        <v>111</v>
      </c>
      <c r="M88" s="32" t="s">
        <v>84</v>
      </c>
      <c r="N88" s="32"/>
      <c r="O88" s="31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3"/>
      <c r="V88" s="33"/>
      <c r="W88" s="34" t="s">
        <v>69</v>
      </c>
      <c r="X88" s="543">
        <v>0</v>
      </c>
      <c r="Y88" s="544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1" t="s">
        <v>176</v>
      </c>
      <c r="AG88" s="63"/>
      <c r="AJ88" s="66" t="s">
        <v>90</v>
      </c>
      <c r="AK88" s="66">
        <v>54</v>
      </c>
      <c r="BB88" s="132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6" t="s">
        <v>72</v>
      </c>
      <c r="X89" s="545">
        <f>IFERROR(X86/H86,"0")+IFERROR(X87/H87,"0")+IFERROR(X88/H88,"0")</f>
        <v>10</v>
      </c>
      <c r="Y89" s="545">
        <f>IFERROR(Y86/H86,"0")+IFERROR(Y87/H87,"0")+IFERROR(Y88/H88,"0")</f>
        <v>10</v>
      </c>
      <c r="Z89" s="545">
        <f>IFERROR(IF(Z86="",0,Z86),"0")+IFERROR(IF(Z87="",0,Z87),"0")+IFERROR(IF(Z88="",0,Z88),"0")</f>
        <v>0.1898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6" t="s">
        <v>69</v>
      </c>
      <c r="X90" s="545">
        <f>IFERROR(SUM(X86:X88),"0")</f>
        <v>108</v>
      </c>
      <c r="Y90" s="545">
        <f>IFERROR(SUM(Y86:Y88),"0")</f>
        <v>108</v>
      </c>
      <c r="Z90" s="36"/>
      <c r="AA90" s="546"/>
      <c r="AB90" s="546"/>
      <c r="AC90" s="546"/>
    </row>
    <row r="91" spans="1:68" ht="14.25" hidden="1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4"/>
      <c r="AB91" s="534"/>
      <c r="AC91" s="534"/>
    </row>
    <row r="92" spans="1:68" ht="16.5" customHeight="1" x14ac:dyDescent="0.25">
      <c r="A92" s="53" t="s">
        <v>181</v>
      </c>
      <c r="B92" s="53" t="s">
        <v>182</v>
      </c>
      <c r="C92" s="30">
        <v>4301051712</v>
      </c>
      <c r="D92" s="560">
        <v>4607091386967</v>
      </c>
      <c r="E92" s="561"/>
      <c r="F92" s="542">
        <v>1.35</v>
      </c>
      <c r="G92" s="31">
        <v>6</v>
      </c>
      <c r="H92" s="542">
        <v>8.1</v>
      </c>
      <c r="I92" s="542">
        <v>8.6189999999999998</v>
      </c>
      <c r="J92" s="31">
        <v>64</v>
      </c>
      <c r="K92" s="31" t="s">
        <v>104</v>
      </c>
      <c r="L92" s="31" t="s">
        <v>105</v>
      </c>
      <c r="M92" s="32" t="s">
        <v>84</v>
      </c>
      <c r="N92" s="32"/>
      <c r="O92" s="31">
        <v>45</v>
      </c>
      <c r="P92" s="8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3"/>
      <c r="V92" s="33"/>
      <c r="W92" s="34" t="s">
        <v>69</v>
      </c>
      <c r="X92" s="543">
        <v>64.8</v>
      </c>
      <c r="Y92" s="544">
        <f>IFERROR(IF(X92="",0,CEILING((X92/$H92),1)*$H92),"")</f>
        <v>64.8</v>
      </c>
      <c r="Z92" s="35">
        <f>IFERROR(IF(Y92=0,"",ROUNDUP(Y92/H92,0)*0.01898),"")</f>
        <v>0.15184</v>
      </c>
      <c r="AA92" s="55"/>
      <c r="AB92" s="56"/>
      <c r="AC92" s="133" t="s">
        <v>183</v>
      </c>
      <c r="AG92" s="63"/>
      <c r="AJ92" s="66" t="s">
        <v>90</v>
      </c>
      <c r="AK92" s="66">
        <v>64.8</v>
      </c>
      <c r="BB92" s="134" t="s">
        <v>1</v>
      </c>
      <c r="BM92" s="63">
        <f>IFERROR(X92*I92/H92,"0")</f>
        <v>68.951999999999998</v>
      </c>
      <c r="BN92" s="63">
        <f>IFERROR(Y92*I92/H92,"0")</f>
        <v>68.951999999999998</v>
      </c>
      <c r="BO92" s="63">
        <f>IFERROR(1/J92*(X92/H92),"0")</f>
        <v>0.125</v>
      </c>
      <c r="BP92" s="63">
        <f>IFERROR(1/J92*(Y92/H92),"0")</f>
        <v>0.125</v>
      </c>
    </row>
    <row r="93" spans="1:68" ht="27" hidden="1" customHeight="1" x14ac:dyDescent="0.25">
      <c r="A93" s="53" t="s">
        <v>184</v>
      </c>
      <c r="B93" s="53" t="s">
        <v>185</v>
      </c>
      <c r="C93" s="30">
        <v>4301051788</v>
      </c>
      <c r="D93" s="560">
        <v>4680115884953</v>
      </c>
      <c r="E93" s="561"/>
      <c r="F93" s="542">
        <v>0.37</v>
      </c>
      <c r="G93" s="31">
        <v>6</v>
      </c>
      <c r="H93" s="542">
        <v>2.2200000000000002</v>
      </c>
      <c r="I93" s="542">
        <v>2.472</v>
      </c>
      <c r="J93" s="31">
        <v>182</v>
      </c>
      <c r="K93" s="31" t="s">
        <v>76</v>
      </c>
      <c r="L93" s="31"/>
      <c r="M93" s="32" t="s">
        <v>77</v>
      </c>
      <c r="N93" s="32"/>
      <c r="O93" s="31">
        <v>45</v>
      </c>
      <c r="P93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3"/>
      <c r="V93" s="33"/>
      <c r="W93" s="34" t="s">
        <v>69</v>
      </c>
      <c r="X93" s="543">
        <v>0</v>
      </c>
      <c r="Y93" s="544">
        <f>IFERROR(IF(X93="",0,CEILING((X93/$H93),1)*$H93),"")</f>
        <v>0</v>
      </c>
      <c r="Z93" s="35" t="str">
        <f>IFERROR(IF(Y93=0,"",ROUNDUP(Y93/H93,0)*0.00651),"")</f>
        <v/>
      </c>
      <c r="AA93" s="55"/>
      <c r="AB93" s="56"/>
      <c r="AC93" s="135" t="s">
        <v>186</v>
      </c>
      <c r="AG93" s="63"/>
      <c r="AJ93" s="66"/>
      <c r="AK93" s="66">
        <v>0</v>
      </c>
      <c r="BB93" s="136" t="s">
        <v>1</v>
      </c>
      <c r="BM93" s="63">
        <f>IFERROR(X93*I93/H93,"0")</f>
        <v>0</v>
      </c>
      <c r="BN93" s="63">
        <f>IFERROR(Y93*I93/H93,"0")</f>
        <v>0</v>
      </c>
      <c r="BO93" s="63">
        <f>IFERROR(1/J93*(X93/H93),"0")</f>
        <v>0</v>
      </c>
      <c r="BP93" s="63">
        <f>IFERROR(1/J93*(Y93/H93),"0")</f>
        <v>0</v>
      </c>
    </row>
    <row r="94" spans="1:68" ht="27" customHeight="1" x14ac:dyDescent="0.25">
      <c r="A94" s="53" t="s">
        <v>187</v>
      </c>
      <c r="B94" s="53" t="s">
        <v>188</v>
      </c>
      <c r="C94" s="30">
        <v>4301051718</v>
      </c>
      <c r="D94" s="560">
        <v>4607091385731</v>
      </c>
      <c r="E94" s="561"/>
      <c r="F94" s="542">
        <v>0.45</v>
      </c>
      <c r="G94" s="31">
        <v>6</v>
      </c>
      <c r="H94" s="542">
        <v>2.7</v>
      </c>
      <c r="I94" s="542">
        <v>2.952</v>
      </c>
      <c r="J94" s="31">
        <v>182</v>
      </c>
      <c r="K94" s="31" t="s">
        <v>76</v>
      </c>
      <c r="L94" s="31"/>
      <c r="M94" s="32" t="s">
        <v>84</v>
      </c>
      <c r="N94" s="32"/>
      <c r="O94" s="31">
        <v>45</v>
      </c>
      <c r="P94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3"/>
      <c r="V94" s="33"/>
      <c r="W94" s="34" t="s">
        <v>69</v>
      </c>
      <c r="X94" s="543">
        <v>13.5</v>
      </c>
      <c r="Y94" s="544">
        <f>IFERROR(IF(X94="",0,CEILING((X94/$H94),1)*$H94),"")</f>
        <v>13.5</v>
      </c>
      <c r="Z94" s="35">
        <f>IFERROR(IF(Y94=0,"",ROUNDUP(Y94/H94,0)*0.00651),"")</f>
        <v>3.2550000000000003E-2</v>
      </c>
      <c r="AA94" s="55"/>
      <c r="AB94" s="56"/>
      <c r="AC94" s="137" t="s">
        <v>183</v>
      </c>
      <c r="AG94" s="63"/>
      <c r="AJ94" s="66"/>
      <c r="AK94" s="66">
        <v>0</v>
      </c>
      <c r="BB94" s="138" t="s">
        <v>1</v>
      </c>
      <c r="BM94" s="63">
        <f>IFERROR(X94*I94/H94,"0")</f>
        <v>14.759999999999998</v>
      </c>
      <c r="BN94" s="63">
        <f>IFERROR(Y94*I94/H94,"0")</f>
        <v>14.759999999999998</v>
      </c>
      <c r="BO94" s="63">
        <f>IFERROR(1/J94*(X94/H94),"0")</f>
        <v>2.7472527472527476E-2</v>
      </c>
      <c r="BP94" s="63">
        <f>IFERROR(1/J94*(Y94/H94),"0")</f>
        <v>2.7472527472527476E-2</v>
      </c>
    </row>
    <row r="95" spans="1:68" ht="16.5" hidden="1" customHeight="1" x14ac:dyDescent="0.25">
      <c r="A95" s="53" t="s">
        <v>189</v>
      </c>
      <c r="B95" s="53" t="s">
        <v>190</v>
      </c>
      <c r="C95" s="30">
        <v>4301051438</v>
      </c>
      <c r="D95" s="560">
        <v>4680115880894</v>
      </c>
      <c r="E95" s="561"/>
      <c r="F95" s="542">
        <v>0.33</v>
      </c>
      <c r="G95" s="31">
        <v>6</v>
      </c>
      <c r="H95" s="542">
        <v>1.98</v>
      </c>
      <c r="I95" s="542">
        <v>2.238</v>
      </c>
      <c r="J95" s="31">
        <v>182</v>
      </c>
      <c r="K95" s="31" t="s">
        <v>76</v>
      </c>
      <c r="L95" s="31" t="s">
        <v>88</v>
      </c>
      <c r="M95" s="32" t="s">
        <v>77</v>
      </c>
      <c r="N95" s="32"/>
      <c r="O95" s="31">
        <v>45</v>
      </c>
      <c r="P95" s="8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3"/>
      <c r="V95" s="33"/>
      <c r="W95" s="34" t="s">
        <v>69</v>
      </c>
      <c r="X95" s="543">
        <v>0</v>
      </c>
      <c r="Y95" s="544">
        <f>IFERROR(IF(X95="",0,CEILING((X95/$H95),1)*$H95),"")</f>
        <v>0</v>
      </c>
      <c r="Z95" s="35" t="str">
        <f>IFERROR(IF(Y95=0,"",ROUNDUP(Y95/H95,0)*0.00651),"")</f>
        <v/>
      </c>
      <c r="AA95" s="55"/>
      <c r="AB95" s="56"/>
      <c r="AC95" s="139" t="s">
        <v>191</v>
      </c>
      <c r="AG95" s="63"/>
      <c r="AJ95" s="66" t="s">
        <v>90</v>
      </c>
      <c r="AK95" s="66">
        <v>27.72</v>
      </c>
      <c r="BB95" s="140" t="s">
        <v>1</v>
      </c>
      <c r="BM95" s="63">
        <f>IFERROR(X95*I95/H95,"0")</f>
        <v>0</v>
      </c>
      <c r="BN95" s="63">
        <f>IFERROR(Y95*I95/H95,"0")</f>
        <v>0</v>
      </c>
      <c r="BO95" s="63">
        <f>IFERROR(1/J95*(X95/H95),"0")</f>
        <v>0</v>
      </c>
      <c r="BP95" s="63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6" t="s">
        <v>72</v>
      </c>
      <c r="X96" s="545">
        <f>IFERROR(X92/H92,"0")+IFERROR(X93/H93,"0")+IFERROR(X94/H94,"0")+IFERROR(X95/H95,"0")</f>
        <v>13</v>
      </c>
      <c r="Y96" s="545">
        <f>IFERROR(Y92/H92,"0")+IFERROR(Y93/H93,"0")+IFERROR(Y94/H94,"0")+IFERROR(Y95/H95,"0")</f>
        <v>13</v>
      </c>
      <c r="Z96" s="545">
        <f>IFERROR(IF(Z92="",0,Z92),"0")+IFERROR(IF(Z93="",0,Z93),"0")+IFERROR(IF(Z94="",0,Z94),"0")+IFERROR(IF(Z95="",0,Z95),"0")</f>
        <v>0.18439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6" t="s">
        <v>69</v>
      </c>
      <c r="X97" s="545">
        <f>IFERROR(SUM(X92:X95),"0")</f>
        <v>78.3</v>
      </c>
      <c r="Y97" s="545">
        <f>IFERROR(SUM(Y92:Y95),"0")</f>
        <v>78.3</v>
      </c>
      <c r="Z97" s="36"/>
      <c r="AA97" s="546"/>
      <c r="AB97" s="546"/>
      <c r="AC97" s="546"/>
    </row>
    <row r="98" spans="1:68" ht="16.5" hidden="1" customHeight="1" x14ac:dyDescent="0.25">
      <c r="A98" s="596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hidden="1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4"/>
      <c r="AB99" s="534"/>
      <c r="AC99" s="534"/>
    </row>
    <row r="100" spans="1:68" ht="37.5" customHeight="1" x14ac:dyDescent="0.25">
      <c r="A100" s="53" t="s">
        <v>193</v>
      </c>
      <c r="B100" s="53" t="s">
        <v>194</v>
      </c>
      <c r="C100" s="30">
        <v>4301011514</v>
      </c>
      <c r="D100" s="560">
        <v>4680115882133</v>
      </c>
      <c r="E100" s="561"/>
      <c r="F100" s="542">
        <v>1.35</v>
      </c>
      <c r="G100" s="31">
        <v>8</v>
      </c>
      <c r="H100" s="542">
        <v>10.8</v>
      </c>
      <c r="I100" s="542">
        <v>11.234999999999999</v>
      </c>
      <c r="J100" s="31">
        <v>64</v>
      </c>
      <c r="K100" s="31" t="s">
        <v>104</v>
      </c>
      <c r="L100" s="31" t="s">
        <v>105</v>
      </c>
      <c r="M100" s="32" t="s">
        <v>106</v>
      </c>
      <c r="N100" s="32"/>
      <c r="O100" s="31">
        <v>50</v>
      </c>
      <c r="P100" s="8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3"/>
      <c r="V100" s="33"/>
      <c r="W100" s="34" t="s">
        <v>69</v>
      </c>
      <c r="X100" s="543">
        <v>54</v>
      </c>
      <c r="Y100" s="544">
        <f>IFERROR(IF(X100="",0,CEILING((X100/$H100),1)*$H100),"")</f>
        <v>54</v>
      </c>
      <c r="Z100" s="35">
        <f>IFERROR(IF(Y100=0,"",ROUNDUP(Y100/H100,0)*0.01898),"")</f>
        <v>9.4899999999999998E-2</v>
      </c>
      <c r="AA100" s="55"/>
      <c r="AB100" s="56"/>
      <c r="AC100" s="141" t="s">
        <v>195</v>
      </c>
      <c r="AG100" s="63"/>
      <c r="AJ100" s="66" t="s">
        <v>90</v>
      </c>
      <c r="AK100" s="66">
        <v>86.4</v>
      </c>
      <c r="BB100" s="142" t="s">
        <v>1</v>
      </c>
      <c r="BM100" s="63">
        <f>IFERROR(X100*I100/H100,"0")</f>
        <v>56.17499999999999</v>
      </c>
      <c r="BN100" s="63">
        <f>IFERROR(Y100*I100/H100,"0")</f>
        <v>56.17499999999999</v>
      </c>
      <c r="BO100" s="63">
        <f>IFERROR(1/J100*(X100/H100),"0")</f>
        <v>7.8125E-2</v>
      </c>
      <c r="BP100" s="63">
        <f>IFERROR(1/J100*(Y100/H100),"0")</f>
        <v>7.8125E-2</v>
      </c>
    </row>
    <row r="101" spans="1:68" ht="37.5" hidden="1" customHeight="1" x14ac:dyDescent="0.25">
      <c r="A101" s="53" t="s">
        <v>196</v>
      </c>
      <c r="B101" s="53" t="s">
        <v>197</v>
      </c>
      <c r="C101" s="30">
        <v>4301011417</v>
      </c>
      <c r="D101" s="560">
        <v>4680115880269</v>
      </c>
      <c r="E101" s="561"/>
      <c r="F101" s="542">
        <v>0.375</v>
      </c>
      <c r="G101" s="31">
        <v>10</v>
      </c>
      <c r="H101" s="542">
        <v>3.75</v>
      </c>
      <c r="I101" s="542">
        <v>3.96</v>
      </c>
      <c r="J101" s="31">
        <v>132</v>
      </c>
      <c r="K101" s="31" t="s">
        <v>110</v>
      </c>
      <c r="L101" s="31" t="s">
        <v>111</v>
      </c>
      <c r="M101" s="32" t="s">
        <v>77</v>
      </c>
      <c r="N101" s="32"/>
      <c r="O101" s="31">
        <v>50</v>
      </c>
      <c r="P101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3"/>
      <c r="V101" s="33"/>
      <c r="W101" s="34" t="s">
        <v>69</v>
      </c>
      <c r="X101" s="543">
        <v>0</v>
      </c>
      <c r="Y101" s="544">
        <f>IFERROR(IF(X101="",0,CEILING((X101/$H101),1)*$H101),"")</f>
        <v>0</v>
      </c>
      <c r="Z101" s="35" t="str">
        <f>IFERROR(IF(Y101=0,"",ROUNDUP(Y101/H101,0)*0.00902),"")</f>
        <v/>
      </c>
      <c r="AA101" s="55"/>
      <c r="AB101" s="56"/>
      <c r="AC101" s="143" t="s">
        <v>195</v>
      </c>
      <c r="AG101" s="63"/>
      <c r="AJ101" s="66" t="s">
        <v>90</v>
      </c>
      <c r="AK101" s="66">
        <v>45</v>
      </c>
      <c r="BB101" s="144" t="s">
        <v>1</v>
      </c>
      <c r="BM101" s="63">
        <f>IFERROR(X101*I101/H101,"0")</f>
        <v>0</v>
      </c>
      <c r="BN101" s="63">
        <f>IFERROR(Y101*I101/H101,"0")</f>
        <v>0</v>
      </c>
      <c r="BO101" s="63">
        <f>IFERROR(1/J101*(X101/H101),"0")</f>
        <v>0</v>
      </c>
      <c r="BP101" s="63">
        <f>IFERROR(1/J101*(Y101/H101),"0")</f>
        <v>0</v>
      </c>
    </row>
    <row r="102" spans="1:68" ht="37.5" hidden="1" customHeight="1" x14ac:dyDescent="0.25">
      <c r="A102" s="53" t="s">
        <v>198</v>
      </c>
      <c r="B102" s="53" t="s">
        <v>199</v>
      </c>
      <c r="C102" s="30">
        <v>4301011415</v>
      </c>
      <c r="D102" s="560">
        <v>4680115880429</v>
      </c>
      <c r="E102" s="561"/>
      <c r="F102" s="542">
        <v>0.45</v>
      </c>
      <c r="G102" s="31">
        <v>10</v>
      </c>
      <c r="H102" s="542">
        <v>4.5</v>
      </c>
      <c r="I102" s="542">
        <v>4.71</v>
      </c>
      <c r="J102" s="31">
        <v>132</v>
      </c>
      <c r="K102" s="31" t="s">
        <v>110</v>
      </c>
      <c r="L102" s="31" t="s">
        <v>111</v>
      </c>
      <c r="M102" s="32" t="s">
        <v>77</v>
      </c>
      <c r="N102" s="32"/>
      <c r="O102" s="31">
        <v>50</v>
      </c>
      <c r="P102" s="6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3"/>
      <c r="V102" s="33"/>
      <c r="W102" s="34" t="s">
        <v>69</v>
      </c>
      <c r="X102" s="543">
        <v>0</v>
      </c>
      <c r="Y102" s="544">
        <f>IFERROR(IF(X102="",0,CEILING((X102/$H102),1)*$H102),"")</f>
        <v>0</v>
      </c>
      <c r="Z102" s="35" t="str">
        <f>IFERROR(IF(Y102=0,"",ROUNDUP(Y102/H102,0)*0.00902),"")</f>
        <v/>
      </c>
      <c r="AA102" s="55"/>
      <c r="AB102" s="56"/>
      <c r="AC102" s="145" t="s">
        <v>195</v>
      </c>
      <c r="AG102" s="63"/>
      <c r="AJ102" s="66" t="s">
        <v>90</v>
      </c>
      <c r="AK102" s="66">
        <v>54</v>
      </c>
      <c r="BB102" s="146" t="s">
        <v>1</v>
      </c>
      <c r="BM102" s="63">
        <f>IFERROR(X102*I102/H102,"0")</f>
        <v>0</v>
      </c>
      <c r="BN102" s="63">
        <f>IFERROR(Y102*I102/H102,"0")</f>
        <v>0</v>
      </c>
      <c r="BO102" s="63">
        <f>IFERROR(1/J102*(X102/H102),"0")</f>
        <v>0</v>
      </c>
      <c r="BP102" s="63">
        <f>IFERROR(1/J102*(Y102/H102),"0")</f>
        <v>0</v>
      </c>
    </row>
    <row r="103" spans="1:68" ht="37.5" customHeight="1" x14ac:dyDescent="0.25">
      <c r="A103" s="53" t="s">
        <v>200</v>
      </c>
      <c r="B103" s="53" t="s">
        <v>201</v>
      </c>
      <c r="C103" s="30">
        <v>4301011462</v>
      </c>
      <c r="D103" s="560">
        <v>4680115881457</v>
      </c>
      <c r="E103" s="561"/>
      <c r="F103" s="542">
        <v>0.75</v>
      </c>
      <c r="G103" s="31">
        <v>6</v>
      </c>
      <c r="H103" s="542">
        <v>4.5</v>
      </c>
      <c r="I103" s="542">
        <v>4.71</v>
      </c>
      <c r="J103" s="31">
        <v>132</v>
      </c>
      <c r="K103" s="31" t="s">
        <v>110</v>
      </c>
      <c r="L103" s="31"/>
      <c r="M103" s="32" t="s">
        <v>77</v>
      </c>
      <c r="N103" s="32"/>
      <c r="O103" s="31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3"/>
      <c r="V103" s="33"/>
      <c r="W103" s="34" t="s">
        <v>69</v>
      </c>
      <c r="X103" s="543">
        <v>9</v>
      </c>
      <c r="Y103" s="544">
        <f>IFERROR(IF(X103="",0,CEILING((X103/$H103),1)*$H103),"")</f>
        <v>9</v>
      </c>
      <c r="Z103" s="35">
        <f>IFERROR(IF(Y103=0,"",ROUNDUP(Y103/H103,0)*0.00902),"")</f>
        <v>1.804E-2</v>
      </c>
      <c r="AA103" s="55"/>
      <c r="AB103" s="56"/>
      <c r="AC103" s="147" t="s">
        <v>195</v>
      </c>
      <c r="AG103" s="63"/>
      <c r="AJ103" s="66"/>
      <c r="AK103" s="66">
        <v>0</v>
      </c>
      <c r="BB103" s="148" t="s">
        <v>1</v>
      </c>
      <c r="BM103" s="63">
        <f>IFERROR(X103*I103/H103,"0")</f>
        <v>9.42</v>
      </c>
      <c r="BN103" s="63">
        <f>IFERROR(Y103*I103/H103,"0")</f>
        <v>9.42</v>
      </c>
      <c r="BO103" s="63">
        <f>IFERROR(1/J103*(X103/H103),"0")</f>
        <v>1.5151515151515152E-2</v>
      </c>
      <c r="BP103" s="63">
        <f>IFERROR(1/J103*(Y103/H103),"0")</f>
        <v>1.5151515151515152E-2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6" t="s">
        <v>72</v>
      </c>
      <c r="X104" s="545">
        <f>IFERROR(X100/H100,"0")+IFERROR(X101/H101,"0")+IFERROR(X102/H102,"0")+IFERROR(X103/H103,"0")</f>
        <v>7</v>
      </c>
      <c r="Y104" s="545">
        <f>IFERROR(Y100/H100,"0")+IFERROR(Y101/H101,"0")+IFERROR(Y102/H102,"0")+IFERROR(Y103/H103,"0")</f>
        <v>7</v>
      </c>
      <c r="Z104" s="545">
        <f>IFERROR(IF(Z100="",0,Z100),"0")+IFERROR(IF(Z101="",0,Z101),"0")+IFERROR(IF(Z102="",0,Z102),"0")+IFERROR(IF(Z103="",0,Z103),"0")</f>
        <v>0.11294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6" t="s">
        <v>69</v>
      </c>
      <c r="X105" s="545">
        <f>IFERROR(SUM(X100:X103),"0")</f>
        <v>63</v>
      </c>
      <c r="Y105" s="545">
        <f>IFERROR(SUM(Y100:Y103),"0")</f>
        <v>63</v>
      </c>
      <c r="Z105" s="36"/>
      <c r="AA105" s="546"/>
      <c r="AB105" s="546"/>
      <c r="AC105" s="546"/>
    </row>
    <row r="106" spans="1:68" ht="14.25" hidden="1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4"/>
      <c r="AB106" s="534"/>
      <c r="AC106" s="534"/>
    </row>
    <row r="107" spans="1:68" ht="16.5" customHeight="1" x14ac:dyDescent="0.25">
      <c r="A107" s="53" t="s">
        <v>202</v>
      </c>
      <c r="B107" s="53" t="s">
        <v>203</v>
      </c>
      <c r="C107" s="30">
        <v>4301020345</v>
      </c>
      <c r="D107" s="560">
        <v>4680115881488</v>
      </c>
      <c r="E107" s="561"/>
      <c r="F107" s="542">
        <v>1.35</v>
      </c>
      <c r="G107" s="31">
        <v>8</v>
      </c>
      <c r="H107" s="542">
        <v>10.8</v>
      </c>
      <c r="I107" s="542">
        <v>11.234999999999999</v>
      </c>
      <c r="J107" s="31">
        <v>64</v>
      </c>
      <c r="K107" s="31" t="s">
        <v>104</v>
      </c>
      <c r="L107" s="31"/>
      <c r="M107" s="32" t="s">
        <v>106</v>
      </c>
      <c r="N107" s="32"/>
      <c r="O107" s="31">
        <v>55</v>
      </c>
      <c r="P107" s="62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3"/>
      <c r="V107" s="33"/>
      <c r="W107" s="34" t="s">
        <v>69</v>
      </c>
      <c r="X107" s="543">
        <v>21.6</v>
      </c>
      <c r="Y107" s="544">
        <f>IFERROR(IF(X107="",0,CEILING((X107/$H107),1)*$H107),"")</f>
        <v>21.6</v>
      </c>
      <c r="Z107" s="35">
        <f>IFERROR(IF(Y107=0,"",ROUNDUP(Y107/H107,0)*0.01898),"")</f>
        <v>3.7960000000000001E-2</v>
      </c>
      <c r="AA107" s="55"/>
      <c r="AB107" s="56"/>
      <c r="AC107" s="149" t="s">
        <v>204</v>
      </c>
      <c r="AG107" s="63"/>
      <c r="AJ107" s="66"/>
      <c r="AK107" s="66">
        <v>0</v>
      </c>
      <c r="BB107" s="150" t="s">
        <v>1</v>
      </c>
      <c r="BM107" s="63">
        <f>IFERROR(X107*I107/H107,"0")</f>
        <v>22.47</v>
      </c>
      <c r="BN107" s="63">
        <f>IFERROR(Y107*I107/H107,"0")</f>
        <v>22.47</v>
      </c>
      <c r="BO107" s="63">
        <f>IFERROR(1/J107*(X107/H107),"0")</f>
        <v>3.125E-2</v>
      </c>
      <c r="BP107" s="63">
        <f>IFERROR(1/J107*(Y107/H107),"0")</f>
        <v>3.125E-2</v>
      </c>
    </row>
    <row r="108" spans="1:68" ht="16.5" hidden="1" customHeight="1" x14ac:dyDescent="0.25">
      <c r="A108" s="53" t="s">
        <v>205</v>
      </c>
      <c r="B108" s="53" t="s">
        <v>206</v>
      </c>
      <c r="C108" s="30">
        <v>4301020346</v>
      </c>
      <c r="D108" s="560">
        <v>4680115882775</v>
      </c>
      <c r="E108" s="561"/>
      <c r="F108" s="542">
        <v>0.3</v>
      </c>
      <c r="G108" s="31">
        <v>8</v>
      </c>
      <c r="H108" s="542">
        <v>2.4</v>
      </c>
      <c r="I108" s="542">
        <v>2.5</v>
      </c>
      <c r="J108" s="31">
        <v>234</v>
      </c>
      <c r="K108" s="31" t="s">
        <v>67</v>
      </c>
      <c r="L108" s="31"/>
      <c r="M108" s="32" t="s">
        <v>106</v>
      </c>
      <c r="N108" s="32"/>
      <c r="O108" s="31">
        <v>55</v>
      </c>
      <c r="P108" s="64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3"/>
      <c r="V108" s="33"/>
      <c r="W108" s="34" t="s">
        <v>69</v>
      </c>
      <c r="X108" s="543">
        <v>0</v>
      </c>
      <c r="Y108" s="544">
        <f>IFERROR(IF(X108="",0,CEILING((X108/$H108),1)*$H108),"")</f>
        <v>0</v>
      </c>
      <c r="Z108" s="35" t="str">
        <f>IFERROR(IF(Y108=0,"",ROUNDUP(Y108/H108,0)*0.00502),"")</f>
        <v/>
      </c>
      <c r="AA108" s="55"/>
      <c r="AB108" s="56"/>
      <c r="AC108" s="151" t="s">
        <v>204</v>
      </c>
      <c r="AG108" s="63"/>
      <c r="AJ108" s="66"/>
      <c r="AK108" s="66">
        <v>0</v>
      </c>
      <c r="BB108" s="152" t="s">
        <v>1</v>
      </c>
      <c r="BM108" s="63">
        <f>IFERROR(X108*I108/H108,"0")</f>
        <v>0</v>
      </c>
      <c r="BN108" s="63">
        <f>IFERROR(Y108*I108/H108,"0")</f>
        <v>0</v>
      </c>
      <c r="BO108" s="63">
        <f>IFERROR(1/J108*(X108/H108),"0")</f>
        <v>0</v>
      </c>
      <c r="BP108" s="63">
        <f>IFERROR(1/J108*(Y108/H108),"0")</f>
        <v>0</v>
      </c>
    </row>
    <row r="109" spans="1:68" ht="16.5" customHeight="1" x14ac:dyDescent="0.25">
      <c r="A109" s="53" t="s">
        <v>207</v>
      </c>
      <c r="B109" s="53" t="s">
        <v>208</v>
      </c>
      <c r="C109" s="30">
        <v>4301020344</v>
      </c>
      <c r="D109" s="560">
        <v>4680115880658</v>
      </c>
      <c r="E109" s="561"/>
      <c r="F109" s="542">
        <v>0.4</v>
      </c>
      <c r="G109" s="31">
        <v>6</v>
      </c>
      <c r="H109" s="542">
        <v>2.4</v>
      </c>
      <c r="I109" s="542">
        <v>2.58</v>
      </c>
      <c r="J109" s="31">
        <v>182</v>
      </c>
      <c r="K109" s="31" t="s">
        <v>76</v>
      </c>
      <c r="L109" s="31"/>
      <c r="M109" s="32" t="s">
        <v>106</v>
      </c>
      <c r="N109" s="32"/>
      <c r="O109" s="31">
        <v>55</v>
      </c>
      <c r="P109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3"/>
      <c r="V109" s="33"/>
      <c r="W109" s="34" t="s">
        <v>69</v>
      </c>
      <c r="X109" s="543">
        <v>7.2</v>
      </c>
      <c r="Y109" s="544">
        <f>IFERROR(IF(X109="",0,CEILING((X109/$H109),1)*$H109),"")</f>
        <v>7.1999999999999993</v>
      </c>
      <c r="Z109" s="35">
        <f>IFERROR(IF(Y109=0,"",ROUNDUP(Y109/H109,0)*0.00651),"")</f>
        <v>1.9529999999999999E-2</v>
      </c>
      <c r="AA109" s="55"/>
      <c r="AB109" s="56"/>
      <c r="AC109" s="153" t="s">
        <v>204</v>
      </c>
      <c r="AG109" s="63"/>
      <c r="AJ109" s="66"/>
      <c r="AK109" s="66">
        <v>0</v>
      </c>
      <c r="BB109" s="154" t="s">
        <v>1</v>
      </c>
      <c r="BM109" s="63">
        <f>IFERROR(X109*I109/H109,"0")</f>
        <v>7.74</v>
      </c>
      <c r="BN109" s="63">
        <f>IFERROR(Y109*I109/H109,"0")</f>
        <v>7.7399999999999993</v>
      </c>
      <c r="BO109" s="63">
        <f>IFERROR(1/J109*(X109/H109),"0")</f>
        <v>1.6483516483516484E-2</v>
      </c>
      <c r="BP109" s="63">
        <f>IFERROR(1/J109*(Y109/H109),"0")</f>
        <v>1.6483516483516484E-2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6" t="s">
        <v>72</v>
      </c>
      <c r="X110" s="545">
        <f>IFERROR(X107/H107,"0")+IFERROR(X108/H108,"0")+IFERROR(X109/H109,"0")</f>
        <v>5</v>
      </c>
      <c r="Y110" s="545">
        <f>IFERROR(Y107/H107,"0")+IFERROR(Y108/H108,"0")+IFERROR(Y109/H109,"0")</f>
        <v>5</v>
      </c>
      <c r="Z110" s="545">
        <f>IFERROR(IF(Z107="",0,Z107),"0")+IFERROR(IF(Z108="",0,Z108),"0")+IFERROR(IF(Z109="",0,Z109),"0")</f>
        <v>5.7489999999999999E-2</v>
      </c>
      <c r="AA110" s="546"/>
      <c r="AB110" s="546"/>
      <c r="AC110" s="546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6" t="s">
        <v>69</v>
      </c>
      <c r="X111" s="545">
        <f>IFERROR(SUM(X107:X109),"0")</f>
        <v>28.8</v>
      </c>
      <c r="Y111" s="545">
        <f>IFERROR(SUM(Y107:Y109),"0")</f>
        <v>28.8</v>
      </c>
      <c r="Z111" s="36"/>
      <c r="AA111" s="546"/>
      <c r="AB111" s="546"/>
      <c r="AC111" s="546"/>
    </row>
    <row r="112" spans="1:68" ht="14.25" hidden="1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4"/>
      <c r="AB112" s="534"/>
      <c r="AC112" s="534"/>
    </row>
    <row r="113" spans="1:68" ht="16.5" customHeight="1" x14ac:dyDescent="0.25">
      <c r="A113" s="53" t="s">
        <v>209</v>
      </c>
      <c r="B113" s="53" t="s">
        <v>210</v>
      </c>
      <c r="C113" s="30">
        <v>4301051724</v>
      </c>
      <c r="D113" s="560">
        <v>4607091385168</v>
      </c>
      <c r="E113" s="561"/>
      <c r="F113" s="542">
        <v>1.35</v>
      </c>
      <c r="G113" s="31">
        <v>6</v>
      </c>
      <c r="H113" s="542">
        <v>8.1</v>
      </c>
      <c r="I113" s="542">
        <v>8.6129999999999995</v>
      </c>
      <c r="J113" s="31">
        <v>64</v>
      </c>
      <c r="K113" s="31" t="s">
        <v>104</v>
      </c>
      <c r="L113" s="31" t="s">
        <v>105</v>
      </c>
      <c r="M113" s="32" t="s">
        <v>84</v>
      </c>
      <c r="N113" s="32"/>
      <c r="O113" s="31">
        <v>45</v>
      </c>
      <c r="P113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3"/>
      <c r="V113" s="33"/>
      <c r="W113" s="34" t="s">
        <v>69</v>
      </c>
      <c r="X113" s="543">
        <v>81</v>
      </c>
      <c r="Y113" s="544">
        <f>IFERROR(IF(X113="",0,CEILING((X113/$H113),1)*$H113),"")</f>
        <v>81</v>
      </c>
      <c r="Z113" s="35">
        <f>IFERROR(IF(Y113=0,"",ROUNDUP(Y113/H113,0)*0.01898),"")</f>
        <v>0.1898</v>
      </c>
      <c r="AA113" s="55"/>
      <c r="AB113" s="56"/>
      <c r="AC113" s="155" t="s">
        <v>211</v>
      </c>
      <c r="AG113" s="63"/>
      <c r="AJ113" s="66" t="s">
        <v>90</v>
      </c>
      <c r="AK113" s="66">
        <v>64.8</v>
      </c>
      <c r="BB113" s="156" t="s">
        <v>1</v>
      </c>
      <c r="BM113" s="63">
        <f>IFERROR(X113*I113/H113,"0")</f>
        <v>86.13000000000001</v>
      </c>
      <c r="BN113" s="63">
        <f>IFERROR(Y113*I113/H113,"0")</f>
        <v>86.13000000000001</v>
      </c>
      <c r="BO113" s="63">
        <f>IFERROR(1/J113*(X113/H113),"0")</f>
        <v>0.15625</v>
      </c>
      <c r="BP113" s="63">
        <f>IFERROR(1/J113*(Y113/H113),"0")</f>
        <v>0.15625</v>
      </c>
    </row>
    <row r="114" spans="1:68" ht="27" hidden="1" customHeight="1" x14ac:dyDescent="0.25">
      <c r="A114" s="53" t="s">
        <v>212</v>
      </c>
      <c r="B114" s="53" t="s">
        <v>213</v>
      </c>
      <c r="C114" s="30">
        <v>4301051730</v>
      </c>
      <c r="D114" s="560">
        <v>4607091383256</v>
      </c>
      <c r="E114" s="561"/>
      <c r="F114" s="542">
        <v>0.33</v>
      </c>
      <c r="G114" s="31">
        <v>6</v>
      </c>
      <c r="H114" s="542">
        <v>1.98</v>
      </c>
      <c r="I114" s="542">
        <v>2.226</v>
      </c>
      <c r="J114" s="31">
        <v>182</v>
      </c>
      <c r="K114" s="31" t="s">
        <v>76</v>
      </c>
      <c r="L114" s="31" t="s">
        <v>88</v>
      </c>
      <c r="M114" s="32" t="s">
        <v>84</v>
      </c>
      <c r="N114" s="32"/>
      <c r="O114" s="31">
        <v>45</v>
      </c>
      <c r="P114" s="6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3"/>
      <c r="V114" s="33"/>
      <c r="W114" s="34" t="s">
        <v>69</v>
      </c>
      <c r="X114" s="543">
        <v>0</v>
      </c>
      <c r="Y114" s="544">
        <f>IFERROR(IF(X114="",0,CEILING((X114/$H114),1)*$H114),"")</f>
        <v>0</v>
      </c>
      <c r="Z114" s="35" t="str">
        <f>IFERROR(IF(Y114=0,"",ROUNDUP(Y114/H114,0)*0.00651),"")</f>
        <v/>
      </c>
      <c r="AA114" s="55"/>
      <c r="AB114" s="56"/>
      <c r="AC114" s="157" t="s">
        <v>211</v>
      </c>
      <c r="AG114" s="63"/>
      <c r="AJ114" s="66" t="s">
        <v>90</v>
      </c>
      <c r="AK114" s="66">
        <v>27.72</v>
      </c>
      <c r="BB114" s="158" t="s">
        <v>1</v>
      </c>
      <c r="BM114" s="63">
        <f>IFERROR(X114*I114/H114,"0")</f>
        <v>0</v>
      </c>
      <c r="BN114" s="63">
        <f>IFERROR(Y114*I114/H114,"0")</f>
        <v>0</v>
      </c>
      <c r="BO114" s="63">
        <f>IFERROR(1/J114*(X114/H114),"0")</f>
        <v>0</v>
      </c>
      <c r="BP114" s="63">
        <f>IFERROR(1/J114*(Y114/H114),"0")</f>
        <v>0</v>
      </c>
    </row>
    <row r="115" spans="1:68" ht="27" customHeight="1" x14ac:dyDescent="0.25">
      <c r="A115" s="53" t="s">
        <v>214</v>
      </c>
      <c r="B115" s="53" t="s">
        <v>215</v>
      </c>
      <c r="C115" s="30">
        <v>4301051721</v>
      </c>
      <c r="D115" s="560">
        <v>4607091385748</v>
      </c>
      <c r="E115" s="561"/>
      <c r="F115" s="542">
        <v>0.45</v>
      </c>
      <c r="G115" s="31">
        <v>6</v>
      </c>
      <c r="H115" s="542">
        <v>2.7</v>
      </c>
      <c r="I115" s="542">
        <v>2.952</v>
      </c>
      <c r="J115" s="31">
        <v>182</v>
      </c>
      <c r="K115" s="31" t="s">
        <v>76</v>
      </c>
      <c r="L115" s="31" t="s">
        <v>88</v>
      </c>
      <c r="M115" s="32" t="s">
        <v>84</v>
      </c>
      <c r="N115" s="32"/>
      <c r="O115" s="31">
        <v>45</v>
      </c>
      <c r="P115" s="71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3"/>
      <c r="V115" s="33"/>
      <c r="W115" s="34" t="s">
        <v>69</v>
      </c>
      <c r="X115" s="543">
        <v>5.4</v>
      </c>
      <c r="Y115" s="544">
        <f>IFERROR(IF(X115="",0,CEILING((X115/$H115),1)*$H115),"")</f>
        <v>5.4</v>
      </c>
      <c r="Z115" s="35">
        <f>IFERROR(IF(Y115=0,"",ROUNDUP(Y115/H115,0)*0.00651),"")</f>
        <v>1.302E-2</v>
      </c>
      <c r="AA115" s="55"/>
      <c r="AB115" s="56"/>
      <c r="AC115" s="159" t="s">
        <v>211</v>
      </c>
      <c r="AG115" s="63"/>
      <c r="AJ115" s="66" t="s">
        <v>90</v>
      </c>
      <c r="AK115" s="66">
        <v>37.799999999999997</v>
      </c>
      <c r="BB115" s="160" t="s">
        <v>1</v>
      </c>
      <c r="BM115" s="63">
        <f>IFERROR(X115*I115/H115,"0")</f>
        <v>5.9039999999999999</v>
      </c>
      <c r="BN115" s="63">
        <f>IFERROR(Y115*I115/H115,"0")</f>
        <v>5.9039999999999999</v>
      </c>
      <c r="BO115" s="63">
        <f>IFERROR(1/J115*(X115/H115),"0")</f>
        <v>1.098901098901099E-2</v>
      </c>
      <c r="BP115" s="63">
        <f>IFERROR(1/J115*(Y115/H115),"0")</f>
        <v>1.098901098901099E-2</v>
      </c>
    </row>
    <row r="116" spans="1:68" ht="16.5" hidden="1" customHeight="1" x14ac:dyDescent="0.25">
      <c r="A116" s="53" t="s">
        <v>216</v>
      </c>
      <c r="B116" s="53" t="s">
        <v>217</v>
      </c>
      <c r="C116" s="30">
        <v>4301051740</v>
      </c>
      <c r="D116" s="560">
        <v>4680115884533</v>
      </c>
      <c r="E116" s="561"/>
      <c r="F116" s="542">
        <v>0.3</v>
      </c>
      <c r="G116" s="31">
        <v>6</v>
      </c>
      <c r="H116" s="542">
        <v>1.8</v>
      </c>
      <c r="I116" s="542">
        <v>1.98</v>
      </c>
      <c r="J116" s="31">
        <v>182</v>
      </c>
      <c r="K116" s="31" t="s">
        <v>76</v>
      </c>
      <c r="L116" s="31" t="s">
        <v>88</v>
      </c>
      <c r="M116" s="32" t="s">
        <v>77</v>
      </c>
      <c r="N116" s="32"/>
      <c r="O116" s="31">
        <v>45</v>
      </c>
      <c r="P116" s="8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3"/>
      <c r="V116" s="33"/>
      <c r="W116" s="34" t="s">
        <v>69</v>
      </c>
      <c r="X116" s="543">
        <v>0</v>
      </c>
      <c r="Y116" s="544">
        <f>IFERROR(IF(X116="",0,CEILING((X116/$H116),1)*$H116),"")</f>
        <v>0</v>
      </c>
      <c r="Z116" s="35" t="str">
        <f>IFERROR(IF(Y116=0,"",ROUNDUP(Y116/H116,0)*0.00651),"")</f>
        <v/>
      </c>
      <c r="AA116" s="55"/>
      <c r="AB116" s="56"/>
      <c r="AC116" s="161" t="s">
        <v>218</v>
      </c>
      <c r="AG116" s="63"/>
      <c r="AJ116" s="66" t="s">
        <v>90</v>
      </c>
      <c r="AK116" s="66">
        <v>25.2</v>
      </c>
      <c r="BB116" s="162" t="s">
        <v>1</v>
      </c>
      <c r="BM116" s="63">
        <f>IFERROR(X116*I116/H116,"0")</f>
        <v>0</v>
      </c>
      <c r="BN116" s="63">
        <f>IFERROR(Y116*I116/H116,"0")</f>
        <v>0</v>
      </c>
      <c r="BO116" s="63">
        <f>IFERROR(1/J116*(X116/H116),"0")</f>
        <v>0</v>
      </c>
      <c r="BP116" s="63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6" t="s">
        <v>72</v>
      </c>
      <c r="X117" s="545">
        <f>IFERROR(X113/H113,"0")+IFERROR(X114/H114,"0")+IFERROR(X115/H115,"0")+IFERROR(X116/H116,"0")</f>
        <v>12</v>
      </c>
      <c r="Y117" s="545">
        <f>IFERROR(Y113/H113,"0")+IFERROR(Y114/H114,"0")+IFERROR(Y115/H115,"0")+IFERROR(Y116/H116,"0")</f>
        <v>12</v>
      </c>
      <c r="Z117" s="545">
        <f>IFERROR(IF(Z113="",0,Z113),"0")+IFERROR(IF(Z114="",0,Z114),"0")+IFERROR(IF(Z115="",0,Z115),"0")+IFERROR(IF(Z116="",0,Z116),"0")</f>
        <v>0.20282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6" t="s">
        <v>69</v>
      </c>
      <c r="X118" s="545">
        <f>IFERROR(SUM(X113:X116),"0")</f>
        <v>86.4</v>
      </c>
      <c r="Y118" s="545">
        <f>IFERROR(SUM(Y113:Y116),"0")</f>
        <v>86.4</v>
      </c>
      <c r="Z118" s="36"/>
      <c r="AA118" s="546"/>
      <c r="AB118" s="546"/>
      <c r="AC118" s="546"/>
    </row>
    <row r="119" spans="1:68" ht="14.25" hidden="1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4"/>
      <c r="AB119" s="534"/>
      <c r="AC119" s="534"/>
    </row>
    <row r="120" spans="1:68" ht="16.5" hidden="1" customHeight="1" x14ac:dyDescent="0.25">
      <c r="A120" s="53" t="s">
        <v>219</v>
      </c>
      <c r="B120" s="53" t="s">
        <v>220</v>
      </c>
      <c r="C120" s="30">
        <v>4301060317</v>
      </c>
      <c r="D120" s="560">
        <v>4680115880238</v>
      </c>
      <c r="E120" s="561"/>
      <c r="F120" s="542">
        <v>0.33</v>
      </c>
      <c r="G120" s="31">
        <v>6</v>
      </c>
      <c r="H120" s="542">
        <v>1.98</v>
      </c>
      <c r="I120" s="542">
        <v>2.238</v>
      </c>
      <c r="J120" s="31">
        <v>182</v>
      </c>
      <c r="K120" s="31" t="s">
        <v>76</v>
      </c>
      <c r="L120" s="31" t="s">
        <v>88</v>
      </c>
      <c r="M120" s="32" t="s">
        <v>77</v>
      </c>
      <c r="N120" s="32"/>
      <c r="O120" s="31">
        <v>40</v>
      </c>
      <c r="P120" s="8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3"/>
      <c r="V120" s="33"/>
      <c r="W120" s="34" t="s">
        <v>69</v>
      </c>
      <c r="X120" s="543">
        <v>0</v>
      </c>
      <c r="Y120" s="544">
        <f>IFERROR(IF(X120="",0,CEILING((X120/$H120),1)*$H120),"")</f>
        <v>0</v>
      </c>
      <c r="Z120" s="35" t="str">
        <f>IFERROR(IF(Y120=0,"",ROUNDUP(Y120/H120,0)*0.00651),"")</f>
        <v/>
      </c>
      <c r="AA120" s="55"/>
      <c r="AB120" s="56"/>
      <c r="AC120" s="163" t="s">
        <v>221</v>
      </c>
      <c r="AG120" s="63"/>
      <c r="AJ120" s="66" t="s">
        <v>90</v>
      </c>
      <c r="AK120" s="66">
        <v>27.72</v>
      </c>
      <c r="BB120" s="164" t="s">
        <v>1</v>
      </c>
      <c r="BM120" s="63">
        <f>IFERROR(X120*I120/H120,"0")</f>
        <v>0</v>
      </c>
      <c r="BN120" s="63">
        <f>IFERROR(Y120*I120/H120,"0")</f>
        <v>0</v>
      </c>
      <c r="BO120" s="63">
        <f>IFERROR(1/J120*(X120/H120),"0")</f>
        <v>0</v>
      </c>
      <c r="BP120" s="63">
        <f>IFERROR(1/J120*(Y120/H120),"0")</f>
        <v>0</v>
      </c>
    </row>
    <row r="121" spans="1:68" hidden="1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6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6" t="s">
        <v>69</v>
      </c>
      <c r="X122" s="545">
        <f>IFERROR(SUM(X120:X120),"0")</f>
        <v>0</v>
      </c>
      <c r="Y122" s="545">
        <f>IFERROR(SUM(Y120:Y120),"0")</f>
        <v>0</v>
      </c>
      <c r="Z122" s="36"/>
      <c r="AA122" s="546"/>
      <c r="AB122" s="546"/>
      <c r="AC122" s="546"/>
    </row>
    <row r="123" spans="1:68" ht="16.5" hidden="1" customHeight="1" x14ac:dyDescent="0.25">
      <c r="A123" s="596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hidden="1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4"/>
      <c r="AB124" s="534"/>
      <c r="AC124" s="534"/>
    </row>
    <row r="125" spans="1:68" ht="27" hidden="1" customHeight="1" x14ac:dyDescent="0.25">
      <c r="A125" s="53" t="s">
        <v>223</v>
      </c>
      <c r="B125" s="53" t="s">
        <v>224</v>
      </c>
      <c r="C125" s="30">
        <v>4301011562</v>
      </c>
      <c r="D125" s="560">
        <v>4680115882577</v>
      </c>
      <c r="E125" s="561"/>
      <c r="F125" s="542">
        <v>0.4</v>
      </c>
      <c r="G125" s="31">
        <v>8</v>
      </c>
      <c r="H125" s="542">
        <v>3.2</v>
      </c>
      <c r="I125" s="542">
        <v>3.38</v>
      </c>
      <c r="J125" s="31">
        <v>182</v>
      </c>
      <c r="K125" s="31" t="s">
        <v>76</v>
      </c>
      <c r="L125" s="31" t="s">
        <v>88</v>
      </c>
      <c r="M125" s="32" t="s">
        <v>96</v>
      </c>
      <c r="N125" s="32"/>
      <c r="O125" s="31">
        <v>90</v>
      </c>
      <c r="P125" s="6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3"/>
      <c r="V125" s="33"/>
      <c r="W125" s="34" t="s">
        <v>69</v>
      </c>
      <c r="X125" s="543">
        <v>0</v>
      </c>
      <c r="Y125" s="544">
        <f>IFERROR(IF(X125="",0,CEILING((X125/$H125),1)*$H125),"")</f>
        <v>0</v>
      </c>
      <c r="Z125" s="35" t="str">
        <f>IFERROR(IF(Y125=0,"",ROUNDUP(Y125/H125,0)*0.00651),"")</f>
        <v/>
      </c>
      <c r="AA125" s="55"/>
      <c r="AB125" s="56"/>
      <c r="AC125" s="165" t="s">
        <v>225</v>
      </c>
      <c r="AG125" s="63"/>
      <c r="AJ125" s="66" t="s">
        <v>90</v>
      </c>
      <c r="AK125" s="66">
        <v>44.8</v>
      </c>
      <c r="BB125" s="166" t="s">
        <v>1</v>
      </c>
      <c r="BM125" s="63">
        <f>IFERROR(X125*I125/H125,"0")</f>
        <v>0</v>
      </c>
      <c r="BN125" s="63">
        <f>IFERROR(Y125*I125/H125,"0")</f>
        <v>0</v>
      </c>
      <c r="BO125" s="63">
        <f>IFERROR(1/J125*(X125/H125),"0")</f>
        <v>0</v>
      </c>
      <c r="BP125" s="63">
        <f>IFERROR(1/J125*(Y125/H125),"0")</f>
        <v>0</v>
      </c>
    </row>
    <row r="126" spans="1:68" ht="27" hidden="1" customHeight="1" x14ac:dyDescent="0.25">
      <c r="A126" s="53" t="s">
        <v>223</v>
      </c>
      <c r="B126" s="53" t="s">
        <v>226</v>
      </c>
      <c r="C126" s="30">
        <v>4301011564</v>
      </c>
      <c r="D126" s="560">
        <v>4680115882577</v>
      </c>
      <c r="E126" s="561"/>
      <c r="F126" s="542">
        <v>0.4</v>
      </c>
      <c r="G126" s="31">
        <v>8</v>
      </c>
      <c r="H126" s="542">
        <v>3.2</v>
      </c>
      <c r="I126" s="542">
        <v>3.38</v>
      </c>
      <c r="J126" s="31">
        <v>182</v>
      </c>
      <c r="K126" s="31" t="s">
        <v>76</v>
      </c>
      <c r="L126" s="31" t="s">
        <v>88</v>
      </c>
      <c r="M126" s="32" t="s">
        <v>96</v>
      </c>
      <c r="N126" s="32"/>
      <c r="O126" s="31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3"/>
      <c r="V126" s="33"/>
      <c r="W126" s="34" t="s">
        <v>69</v>
      </c>
      <c r="X126" s="543">
        <v>0</v>
      </c>
      <c r="Y126" s="544">
        <f>IFERROR(IF(X126="",0,CEILING((X126/$H126),1)*$H126),"")</f>
        <v>0</v>
      </c>
      <c r="Z126" s="35" t="str">
        <f>IFERROR(IF(Y126=0,"",ROUNDUP(Y126/H126,0)*0.00651),"")</f>
        <v/>
      </c>
      <c r="AA126" s="55"/>
      <c r="AB126" s="56"/>
      <c r="AC126" s="167" t="s">
        <v>225</v>
      </c>
      <c r="AG126" s="63"/>
      <c r="AJ126" s="66" t="s">
        <v>90</v>
      </c>
      <c r="AK126" s="66">
        <v>44.8</v>
      </c>
      <c r="BB126" s="168" t="s">
        <v>1</v>
      </c>
      <c r="BM126" s="63">
        <f>IFERROR(X126*I126/H126,"0")</f>
        <v>0</v>
      </c>
      <c r="BN126" s="63">
        <f>IFERROR(Y126*I126/H126,"0")</f>
        <v>0</v>
      </c>
      <c r="BO126" s="63">
        <f>IFERROR(1/J126*(X126/H126),"0")</f>
        <v>0</v>
      </c>
      <c r="BP126" s="63">
        <f>IFERROR(1/J126*(Y126/H126),"0")</f>
        <v>0</v>
      </c>
    </row>
    <row r="127" spans="1:68" hidden="1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6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6" t="s">
        <v>69</v>
      </c>
      <c r="X128" s="545">
        <f>IFERROR(SUM(X125:X126),"0")</f>
        <v>0</v>
      </c>
      <c r="Y128" s="545">
        <f>IFERROR(SUM(Y125:Y126),"0")</f>
        <v>0</v>
      </c>
      <c r="Z128" s="36"/>
      <c r="AA128" s="546"/>
      <c r="AB128" s="546"/>
      <c r="AC128" s="546"/>
    </row>
    <row r="129" spans="1:68" ht="14.25" hidden="1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4"/>
      <c r="AB129" s="534"/>
      <c r="AC129" s="534"/>
    </row>
    <row r="130" spans="1:68" ht="27" hidden="1" customHeight="1" x14ac:dyDescent="0.25">
      <c r="A130" s="53" t="s">
        <v>227</v>
      </c>
      <c r="B130" s="53" t="s">
        <v>228</v>
      </c>
      <c r="C130" s="30">
        <v>4301031235</v>
      </c>
      <c r="D130" s="560">
        <v>4680115883444</v>
      </c>
      <c r="E130" s="561"/>
      <c r="F130" s="542">
        <v>0.35</v>
      </c>
      <c r="G130" s="31">
        <v>8</v>
      </c>
      <c r="H130" s="542">
        <v>2.8</v>
      </c>
      <c r="I130" s="542">
        <v>3.0680000000000001</v>
      </c>
      <c r="J130" s="31">
        <v>182</v>
      </c>
      <c r="K130" s="31" t="s">
        <v>76</v>
      </c>
      <c r="L130" s="31" t="s">
        <v>88</v>
      </c>
      <c r="M130" s="32" t="s">
        <v>96</v>
      </c>
      <c r="N130" s="32"/>
      <c r="O130" s="31">
        <v>90</v>
      </c>
      <c r="P130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3"/>
      <c r="V130" s="33"/>
      <c r="W130" s="34" t="s">
        <v>69</v>
      </c>
      <c r="X130" s="543">
        <v>0</v>
      </c>
      <c r="Y130" s="544">
        <f>IFERROR(IF(X130="",0,CEILING((X130/$H130),1)*$H130),"")</f>
        <v>0</v>
      </c>
      <c r="Z130" s="35" t="str">
        <f>IFERROR(IF(Y130=0,"",ROUNDUP(Y130/H130,0)*0.00651),"")</f>
        <v/>
      </c>
      <c r="AA130" s="55"/>
      <c r="AB130" s="56"/>
      <c r="AC130" s="169" t="s">
        <v>229</v>
      </c>
      <c r="AG130" s="63"/>
      <c r="AJ130" s="66" t="s">
        <v>90</v>
      </c>
      <c r="AK130" s="66">
        <v>39.200000000000003</v>
      </c>
      <c r="BB130" s="170" t="s">
        <v>1</v>
      </c>
      <c r="BM130" s="63">
        <f>IFERROR(X130*I130/H130,"0")</f>
        <v>0</v>
      </c>
      <c r="BN130" s="63">
        <f>IFERROR(Y130*I130/H130,"0")</f>
        <v>0</v>
      </c>
      <c r="BO130" s="63">
        <f>IFERROR(1/J130*(X130/H130),"0")</f>
        <v>0</v>
      </c>
      <c r="BP130" s="63">
        <f>IFERROR(1/J130*(Y130/H130),"0")</f>
        <v>0</v>
      </c>
    </row>
    <row r="131" spans="1:68" ht="27" hidden="1" customHeight="1" x14ac:dyDescent="0.25">
      <c r="A131" s="53" t="s">
        <v>227</v>
      </c>
      <c r="B131" s="53" t="s">
        <v>230</v>
      </c>
      <c r="C131" s="30">
        <v>4301031234</v>
      </c>
      <c r="D131" s="560">
        <v>4680115883444</v>
      </c>
      <c r="E131" s="561"/>
      <c r="F131" s="542">
        <v>0.35</v>
      </c>
      <c r="G131" s="31">
        <v>8</v>
      </c>
      <c r="H131" s="542">
        <v>2.8</v>
      </c>
      <c r="I131" s="542">
        <v>3.0680000000000001</v>
      </c>
      <c r="J131" s="31">
        <v>182</v>
      </c>
      <c r="K131" s="31" t="s">
        <v>76</v>
      </c>
      <c r="L131" s="31" t="s">
        <v>88</v>
      </c>
      <c r="M131" s="32" t="s">
        <v>96</v>
      </c>
      <c r="N131" s="32"/>
      <c r="O131" s="31">
        <v>90</v>
      </c>
      <c r="P131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3"/>
      <c r="V131" s="33"/>
      <c r="W131" s="34" t="s">
        <v>69</v>
      </c>
      <c r="X131" s="543">
        <v>0</v>
      </c>
      <c r="Y131" s="544">
        <f>IFERROR(IF(X131="",0,CEILING((X131/$H131),1)*$H131),"")</f>
        <v>0</v>
      </c>
      <c r="Z131" s="35" t="str">
        <f>IFERROR(IF(Y131=0,"",ROUNDUP(Y131/H131,0)*0.00651),"")</f>
        <v/>
      </c>
      <c r="AA131" s="55"/>
      <c r="AB131" s="56"/>
      <c r="AC131" s="171" t="s">
        <v>229</v>
      </c>
      <c r="AG131" s="63"/>
      <c r="AJ131" s="66" t="s">
        <v>90</v>
      </c>
      <c r="AK131" s="66">
        <v>39.200000000000003</v>
      </c>
      <c r="BB131" s="172" t="s">
        <v>1</v>
      </c>
      <c r="BM131" s="63">
        <f>IFERROR(X131*I131/H131,"0")</f>
        <v>0</v>
      </c>
      <c r="BN131" s="63">
        <f>IFERROR(Y131*I131/H131,"0")</f>
        <v>0</v>
      </c>
      <c r="BO131" s="63">
        <f>IFERROR(1/J131*(X131/H131),"0")</f>
        <v>0</v>
      </c>
      <c r="BP131" s="63">
        <f>IFERROR(1/J131*(Y131/H131),"0")</f>
        <v>0</v>
      </c>
    </row>
    <row r="132" spans="1:68" hidden="1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6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6" t="s">
        <v>69</v>
      </c>
      <c r="X133" s="545">
        <f>IFERROR(SUM(X130:X131),"0")</f>
        <v>0</v>
      </c>
      <c r="Y133" s="545">
        <f>IFERROR(SUM(Y130:Y131),"0")</f>
        <v>0</v>
      </c>
      <c r="Z133" s="36"/>
      <c r="AA133" s="546"/>
      <c r="AB133" s="546"/>
      <c r="AC133" s="546"/>
    </row>
    <row r="134" spans="1:68" ht="14.25" hidden="1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4"/>
      <c r="AB134" s="534"/>
      <c r="AC134" s="534"/>
    </row>
    <row r="135" spans="1:68" ht="16.5" customHeight="1" x14ac:dyDescent="0.25">
      <c r="A135" s="53" t="s">
        <v>231</v>
      </c>
      <c r="B135" s="53" t="s">
        <v>232</v>
      </c>
      <c r="C135" s="30">
        <v>4301051477</v>
      </c>
      <c r="D135" s="560">
        <v>4680115882584</v>
      </c>
      <c r="E135" s="561"/>
      <c r="F135" s="542">
        <v>0.33</v>
      </c>
      <c r="G135" s="31">
        <v>8</v>
      </c>
      <c r="H135" s="542">
        <v>2.64</v>
      </c>
      <c r="I135" s="542">
        <v>2.9079999999999999</v>
      </c>
      <c r="J135" s="31">
        <v>182</v>
      </c>
      <c r="K135" s="31" t="s">
        <v>76</v>
      </c>
      <c r="L135" s="31"/>
      <c r="M135" s="32" t="s">
        <v>96</v>
      </c>
      <c r="N135" s="32"/>
      <c r="O135" s="31">
        <v>60</v>
      </c>
      <c r="P135" s="6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3"/>
      <c r="V135" s="33"/>
      <c r="W135" s="34" t="s">
        <v>69</v>
      </c>
      <c r="X135" s="543">
        <v>5.28</v>
      </c>
      <c r="Y135" s="544">
        <f>IFERROR(IF(X135="",0,CEILING((X135/$H135),1)*$H135),"")</f>
        <v>5.28</v>
      </c>
      <c r="Z135" s="35">
        <f>IFERROR(IF(Y135=0,"",ROUNDUP(Y135/H135,0)*0.00651),"")</f>
        <v>1.302E-2</v>
      </c>
      <c r="AA135" s="55"/>
      <c r="AB135" s="56"/>
      <c r="AC135" s="173" t="s">
        <v>225</v>
      </c>
      <c r="AG135" s="63"/>
      <c r="AJ135" s="66"/>
      <c r="AK135" s="66">
        <v>0</v>
      </c>
      <c r="BB135" s="174" t="s">
        <v>1</v>
      </c>
      <c r="BM135" s="63">
        <f>IFERROR(X135*I135/H135,"0")</f>
        <v>5.8159999999999998</v>
      </c>
      <c r="BN135" s="63">
        <f>IFERROR(Y135*I135/H135,"0")</f>
        <v>5.8159999999999998</v>
      </c>
      <c r="BO135" s="63">
        <f>IFERROR(1/J135*(X135/H135),"0")</f>
        <v>1.098901098901099E-2</v>
      </c>
      <c r="BP135" s="63">
        <f>IFERROR(1/J135*(Y135/H135),"0")</f>
        <v>1.098901098901099E-2</v>
      </c>
    </row>
    <row r="136" spans="1:68" ht="16.5" hidden="1" customHeight="1" x14ac:dyDescent="0.25">
      <c r="A136" s="53" t="s">
        <v>231</v>
      </c>
      <c r="B136" s="53" t="s">
        <v>233</v>
      </c>
      <c r="C136" s="30">
        <v>4301051476</v>
      </c>
      <c r="D136" s="560">
        <v>4680115882584</v>
      </c>
      <c r="E136" s="561"/>
      <c r="F136" s="542">
        <v>0.33</v>
      </c>
      <c r="G136" s="31">
        <v>8</v>
      </c>
      <c r="H136" s="542">
        <v>2.64</v>
      </c>
      <c r="I136" s="542">
        <v>2.9079999999999999</v>
      </c>
      <c r="J136" s="31">
        <v>182</v>
      </c>
      <c r="K136" s="31" t="s">
        <v>76</v>
      </c>
      <c r="L136" s="31" t="s">
        <v>88</v>
      </c>
      <c r="M136" s="32" t="s">
        <v>96</v>
      </c>
      <c r="N136" s="32"/>
      <c r="O136" s="31">
        <v>60</v>
      </c>
      <c r="P136" s="5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3"/>
      <c r="V136" s="33"/>
      <c r="W136" s="34" t="s">
        <v>69</v>
      </c>
      <c r="X136" s="543">
        <v>0</v>
      </c>
      <c r="Y136" s="544">
        <f>IFERROR(IF(X136="",0,CEILING((X136/$H136),1)*$H136),"")</f>
        <v>0</v>
      </c>
      <c r="Z136" s="35" t="str">
        <f>IFERROR(IF(Y136=0,"",ROUNDUP(Y136/H136,0)*0.00651),"")</f>
        <v/>
      </c>
      <c r="AA136" s="55"/>
      <c r="AB136" s="56"/>
      <c r="AC136" s="175" t="s">
        <v>225</v>
      </c>
      <c r="AG136" s="63"/>
      <c r="AJ136" s="66" t="s">
        <v>90</v>
      </c>
      <c r="AK136" s="66">
        <v>36.96</v>
      </c>
      <c r="BB136" s="176" t="s">
        <v>1</v>
      </c>
      <c r="BM136" s="63">
        <f>IFERROR(X136*I136/H136,"0")</f>
        <v>0</v>
      </c>
      <c r="BN136" s="63">
        <f>IFERROR(Y136*I136/H136,"0")</f>
        <v>0</v>
      </c>
      <c r="BO136" s="63">
        <f>IFERROR(1/J136*(X136/H136),"0")</f>
        <v>0</v>
      </c>
      <c r="BP136" s="63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6" t="s">
        <v>72</v>
      </c>
      <c r="X137" s="545">
        <f>IFERROR(X135/H135,"0")+IFERROR(X136/H136,"0")</f>
        <v>2</v>
      </c>
      <c r="Y137" s="545">
        <f>IFERROR(Y135/H135,"0")+IFERROR(Y136/H136,"0")</f>
        <v>2</v>
      </c>
      <c r="Z137" s="545">
        <f>IFERROR(IF(Z135="",0,Z135),"0")+IFERROR(IF(Z136="",0,Z136),"0")</f>
        <v>1.302E-2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6" t="s">
        <v>69</v>
      </c>
      <c r="X138" s="545">
        <f>IFERROR(SUM(X135:X136),"0")</f>
        <v>5.28</v>
      </c>
      <c r="Y138" s="545">
        <f>IFERROR(SUM(Y135:Y136),"0")</f>
        <v>5.28</v>
      </c>
      <c r="Z138" s="36"/>
      <c r="AA138" s="546"/>
      <c r="AB138" s="546"/>
      <c r="AC138" s="546"/>
    </row>
    <row r="139" spans="1:68" ht="16.5" hidden="1" customHeight="1" x14ac:dyDescent="0.25">
      <c r="A139" s="596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hidden="1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4"/>
      <c r="AB140" s="534"/>
      <c r="AC140" s="534"/>
    </row>
    <row r="141" spans="1:68" ht="27" customHeight="1" x14ac:dyDescent="0.25">
      <c r="A141" s="53" t="s">
        <v>234</v>
      </c>
      <c r="B141" s="53" t="s">
        <v>235</v>
      </c>
      <c r="C141" s="30">
        <v>4301012244</v>
      </c>
      <c r="D141" s="560">
        <v>4680115887374</v>
      </c>
      <c r="E141" s="561"/>
      <c r="F141" s="542">
        <v>1.6</v>
      </c>
      <c r="G141" s="31">
        <v>8</v>
      </c>
      <c r="H141" s="542">
        <v>12.8</v>
      </c>
      <c r="I141" s="542">
        <v>13.234999999999999</v>
      </c>
      <c r="J141" s="31">
        <v>64</v>
      </c>
      <c r="K141" s="31" t="s">
        <v>104</v>
      </c>
      <c r="L141" s="31"/>
      <c r="M141" s="32" t="s">
        <v>106</v>
      </c>
      <c r="N141" s="32"/>
      <c r="O141" s="31">
        <v>55</v>
      </c>
      <c r="P141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3"/>
      <c r="V141" s="33"/>
      <c r="W141" s="34" t="s">
        <v>69</v>
      </c>
      <c r="X141" s="543">
        <v>38.4</v>
      </c>
      <c r="Y141" s="544">
        <f>IFERROR(IF(X141="",0,CEILING((X141/$H141),1)*$H141),"")</f>
        <v>38.400000000000006</v>
      </c>
      <c r="Z141" s="35">
        <f>IFERROR(IF(Y141=0,"",ROUNDUP(Y141/H141,0)*0.01898),"")</f>
        <v>5.6940000000000004E-2</v>
      </c>
      <c r="AA141" s="55"/>
      <c r="AB141" s="56" t="s">
        <v>236</v>
      </c>
      <c r="AC141" s="177" t="s">
        <v>237</v>
      </c>
      <c r="AG141" s="63"/>
      <c r="AJ141" s="66"/>
      <c r="AK141" s="66">
        <v>0</v>
      </c>
      <c r="BB141" s="178" t="s">
        <v>1</v>
      </c>
      <c r="BM141" s="63">
        <f>IFERROR(X141*I141/H141,"0")</f>
        <v>39.704999999999991</v>
      </c>
      <c r="BN141" s="63">
        <f>IFERROR(Y141*I141/H141,"0")</f>
        <v>39.704999999999998</v>
      </c>
      <c r="BO141" s="63">
        <f>IFERROR(1/J141*(X141/H141),"0")</f>
        <v>4.6874999999999993E-2</v>
      </c>
      <c r="BP141" s="63">
        <f>IFERROR(1/J141*(Y141/H141),"0")</f>
        <v>4.6875000000000007E-2</v>
      </c>
    </row>
    <row r="142" spans="1:68" ht="27" customHeight="1" x14ac:dyDescent="0.25">
      <c r="A142" s="53" t="s">
        <v>238</v>
      </c>
      <c r="B142" s="53" t="s">
        <v>239</v>
      </c>
      <c r="C142" s="30">
        <v>4301011705</v>
      </c>
      <c r="D142" s="560">
        <v>4607091384604</v>
      </c>
      <c r="E142" s="561"/>
      <c r="F142" s="542">
        <v>0.4</v>
      </c>
      <c r="G142" s="31">
        <v>10</v>
      </c>
      <c r="H142" s="542">
        <v>4</v>
      </c>
      <c r="I142" s="542">
        <v>4.21</v>
      </c>
      <c r="J142" s="31">
        <v>132</v>
      </c>
      <c r="K142" s="31" t="s">
        <v>110</v>
      </c>
      <c r="L142" s="31" t="s">
        <v>111</v>
      </c>
      <c r="M142" s="32" t="s">
        <v>106</v>
      </c>
      <c r="N142" s="32"/>
      <c r="O142" s="31">
        <v>50</v>
      </c>
      <c r="P142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3"/>
      <c r="V142" s="33"/>
      <c r="W142" s="34" t="s">
        <v>69</v>
      </c>
      <c r="X142" s="543">
        <v>12</v>
      </c>
      <c r="Y142" s="544">
        <f>IFERROR(IF(X142="",0,CEILING((X142/$H142),1)*$H142),"")</f>
        <v>12</v>
      </c>
      <c r="Z142" s="35">
        <f>IFERROR(IF(Y142=0,"",ROUNDUP(Y142/H142,0)*0.00902),"")</f>
        <v>2.7060000000000001E-2</v>
      </c>
      <c r="AA142" s="55"/>
      <c r="AB142" s="56"/>
      <c r="AC142" s="179" t="s">
        <v>240</v>
      </c>
      <c r="AG142" s="63"/>
      <c r="AJ142" s="66" t="s">
        <v>90</v>
      </c>
      <c r="AK142" s="66">
        <v>48</v>
      </c>
      <c r="BB142" s="180" t="s">
        <v>1</v>
      </c>
      <c r="BM142" s="63">
        <f>IFERROR(X142*I142/H142,"0")</f>
        <v>12.629999999999999</v>
      </c>
      <c r="BN142" s="63">
        <f>IFERROR(Y142*I142/H142,"0")</f>
        <v>12.629999999999999</v>
      </c>
      <c r="BO142" s="63">
        <f>IFERROR(1/J142*(X142/H142),"0")</f>
        <v>2.2727272727272728E-2</v>
      </c>
      <c r="BP142" s="63">
        <f>IFERROR(1/J142*(Y142/H142),"0")</f>
        <v>2.2727272727272728E-2</v>
      </c>
    </row>
    <row r="143" spans="1:68" ht="16.5" customHeight="1" x14ac:dyDescent="0.25">
      <c r="A143" s="53" t="s">
        <v>241</v>
      </c>
      <c r="B143" s="53" t="s">
        <v>242</v>
      </c>
      <c r="C143" s="30">
        <v>4301012179</v>
      </c>
      <c r="D143" s="560">
        <v>4680115886810</v>
      </c>
      <c r="E143" s="561"/>
      <c r="F143" s="542">
        <v>0.3</v>
      </c>
      <c r="G143" s="31">
        <v>10</v>
      </c>
      <c r="H143" s="542">
        <v>3</v>
      </c>
      <c r="I143" s="542">
        <v>3.18</v>
      </c>
      <c r="J143" s="31">
        <v>182</v>
      </c>
      <c r="K143" s="31" t="s">
        <v>76</v>
      </c>
      <c r="L143" s="31"/>
      <c r="M143" s="32" t="s">
        <v>106</v>
      </c>
      <c r="N143" s="32"/>
      <c r="O143" s="31">
        <v>55</v>
      </c>
      <c r="P143" s="71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3"/>
      <c r="V143" s="33"/>
      <c r="W143" s="34" t="s">
        <v>69</v>
      </c>
      <c r="X143" s="543">
        <v>9</v>
      </c>
      <c r="Y143" s="544">
        <f>IFERROR(IF(X143="",0,CEILING((X143/$H143),1)*$H143),"")</f>
        <v>9</v>
      </c>
      <c r="Z143" s="35">
        <f>IFERROR(IF(Y143=0,"",ROUNDUP(Y143/H143,0)*0.00651),"")</f>
        <v>1.9529999999999999E-2</v>
      </c>
      <c r="AA143" s="55"/>
      <c r="AB143" s="56"/>
      <c r="AC143" s="181" t="s">
        <v>243</v>
      </c>
      <c r="AG143" s="63"/>
      <c r="AJ143" s="66"/>
      <c r="AK143" s="66">
        <v>0</v>
      </c>
      <c r="BB143" s="182" t="s">
        <v>1</v>
      </c>
      <c r="BM143" s="63">
        <f>IFERROR(X143*I143/H143,"0")</f>
        <v>9.5400000000000009</v>
      </c>
      <c r="BN143" s="63">
        <f>IFERROR(Y143*I143/H143,"0")</f>
        <v>9.5400000000000009</v>
      </c>
      <c r="BO143" s="63">
        <f>IFERROR(1/J143*(X143/H143),"0")</f>
        <v>1.6483516483516484E-2</v>
      </c>
      <c r="BP143" s="63">
        <f>IFERROR(1/J143*(Y143/H143),"0")</f>
        <v>1.6483516483516484E-2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6" t="s">
        <v>72</v>
      </c>
      <c r="X144" s="545">
        <f>IFERROR(X141/H141,"0")+IFERROR(X142/H142,"0")+IFERROR(X143/H143,"0")</f>
        <v>9</v>
      </c>
      <c r="Y144" s="545">
        <f>IFERROR(Y141/H141,"0")+IFERROR(Y142/H142,"0")+IFERROR(Y143/H143,"0")</f>
        <v>9</v>
      </c>
      <c r="Z144" s="545">
        <f>IFERROR(IF(Z141="",0,Z141),"0")+IFERROR(IF(Z142="",0,Z142),"0")+IFERROR(IF(Z143="",0,Z143),"0")</f>
        <v>0.10353000000000001</v>
      </c>
      <c r="AA144" s="546"/>
      <c r="AB144" s="546"/>
      <c r="AC144" s="546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6" t="s">
        <v>69</v>
      </c>
      <c r="X145" s="545">
        <f>IFERROR(SUM(X141:X143),"0")</f>
        <v>59.4</v>
      </c>
      <c r="Y145" s="545">
        <f>IFERROR(SUM(Y141:Y143),"0")</f>
        <v>59.400000000000006</v>
      </c>
      <c r="Z145" s="36"/>
      <c r="AA145" s="546"/>
      <c r="AB145" s="546"/>
      <c r="AC145" s="546"/>
    </row>
    <row r="146" spans="1:68" ht="14.25" hidden="1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4"/>
      <c r="AB146" s="534"/>
      <c r="AC146" s="534"/>
    </row>
    <row r="147" spans="1:68" ht="16.5" customHeight="1" x14ac:dyDescent="0.25">
      <c r="A147" s="53" t="s">
        <v>244</v>
      </c>
      <c r="B147" s="53" t="s">
        <v>245</v>
      </c>
      <c r="C147" s="30">
        <v>4301030895</v>
      </c>
      <c r="D147" s="560">
        <v>4607091387667</v>
      </c>
      <c r="E147" s="561"/>
      <c r="F147" s="542">
        <v>0.9</v>
      </c>
      <c r="G147" s="31">
        <v>10</v>
      </c>
      <c r="H147" s="542">
        <v>9</v>
      </c>
      <c r="I147" s="542">
        <v>9.5850000000000009</v>
      </c>
      <c r="J147" s="31">
        <v>64</v>
      </c>
      <c r="K147" s="31" t="s">
        <v>104</v>
      </c>
      <c r="L147" s="31" t="s">
        <v>105</v>
      </c>
      <c r="M147" s="32" t="s">
        <v>106</v>
      </c>
      <c r="N147" s="32"/>
      <c r="O147" s="31">
        <v>40</v>
      </c>
      <c r="P147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3"/>
      <c r="V147" s="33"/>
      <c r="W147" s="34" t="s">
        <v>69</v>
      </c>
      <c r="X147" s="543">
        <v>18</v>
      </c>
      <c r="Y147" s="544">
        <f>IFERROR(IF(X147="",0,CEILING((X147/$H147),1)*$H147),"")</f>
        <v>18</v>
      </c>
      <c r="Z147" s="35">
        <f>IFERROR(IF(Y147=0,"",ROUNDUP(Y147/H147,0)*0.01898),"")</f>
        <v>3.7960000000000001E-2</v>
      </c>
      <c r="AA147" s="55"/>
      <c r="AB147" s="56"/>
      <c r="AC147" s="183" t="s">
        <v>246</v>
      </c>
      <c r="AG147" s="63"/>
      <c r="AJ147" s="66" t="s">
        <v>90</v>
      </c>
      <c r="AK147" s="66">
        <v>72</v>
      </c>
      <c r="BB147" s="184" t="s">
        <v>1</v>
      </c>
      <c r="BM147" s="63">
        <f>IFERROR(X147*I147/H147,"0")</f>
        <v>19.170000000000002</v>
      </c>
      <c r="BN147" s="63">
        <f>IFERROR(Y147*I147/H147,"0")</f>
        <v>19.170000000000002</v>
      </c>
      <c r="BO147" s="63">
        <f>IFERROR(1/J147*(X147/H147),"0")</f>
        <v>3.125E-2</v>
      </c>
      <c r="BP147" s="63">
        <f>IFERROR(1/J147*(Y147/H147),"0")</f>
        <v>3.125E-2</v>
      </c>
    </row>
    <row r="148" spans="1:68" ht="16.5" customHeight="1" x14ac:dyDescent="0.25">
      <c r="A148" s="53" t="s">
        <v>247</v>
      </c>
      <c r="B148" s="53" t="s">
        <v>248</v>
      </c>
      <c r="C148" s="30">
        <v>4301030961</v>
      </c>
      <c r="D148" s="560">
        <v>4607091387636</v>
      </c>
      <c r="E148" s="561"/>
      <c r="F148" s="542">
        <v>0.7</v>
      </c>
      <c r="G148" s="31">
        <v>6</v>
      </c>
      <c r="H148" s="542">
        <v>4.2</v>
      </c>
      <c r="I148" s="542">
        <v>4.47</v>
      </c>
      <c r="J148" s="31">
        <v>182</v>
      </c>
      <c r="K148" s="31" t="s">
        <v>76</v>
      </c>
      <c r="L148" s="31"/>
      <c r="M148" s="32" t="s">
        <v>68</v>
      </c>
      <c r="N148" s="32"/>
      <c r="O148" s="31">
        <v>40</v>
      </c>
      <c r="P148" s="8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3"/>
      <c r="V148" s="33"/>
      <c r="W148" s="34" t="s">
        <v>69</v>
      </c>
      <c r="X148" s="543">
        <v>8.4</v>
      </c>
      <c r="Y148" s="544">
        <f>IFERROR(IF(X148="",0,CEILING((X148/$H148),1)*$H148),"")</f>
        <v>8.4</v>
      </c>
      <c r="Z148" s="35">
        <f>IFERROR(IF(Y148=0,"",ROUNDUP(Y148/H148,0)*0.00651),"")</f>
        <v>1.302E-2</v>
      </c>
      <c r="AA148" s="55"/>
      <c r="AB148" s="56"/>
      <c r="AC148" s="185" t="s">
        <v>249</v>
      </c>
      <c r="AG148" s="63"/>
      <c r="AJ148" s="66"/>
      <c r="AK148" s="66">
        <v>0</v>
      </c>
      <c r="BB148" s="186" t="s">
        <v>1</v>
      </c>
      <c r="BM148" s="63">
        <f>IFERROR(X148*I148/H148,"0")</f>
        <v>8.94</v>
      </c>
      <c r="BN148" s="63">
        <f>IFERROR(Y148*I148/H148,"0")</f>
        <v>8.94</v>
      </c>
      <c r="BO148" s="63">
        <f>IFERROR(1/J148*(X148/H148),"0")</f>
        <v>1.098901098901099E-2</v>
      </c>
      <c r="BP148" s="63">
        <f>IFERROR(1/J148*(Y148/H148),"0")</f>
        <v>1.098901098901099E-2</v>
      </c>
    </row>
    <row r="149" spans="1:68" ht="27" customHeight="1" x14ac:dyDescent="0.25">
      <c r="A149" s="53" t="s">
        <v>250</v>
      </c>
      <c r="B149" s="53" t="s">
        <v>251</v>
      </c>
      <c r="C149" s="30">
        <v>4301030963</v>
      </c>
      <c r="D149" s="560">
        <v>4607091382426</v>
      </c>
      <c r="E149" s="561"/>
      <c r="F149" s="542">
        <v>0.9</v>
      </c>
      <c r="G149" s="31">
        <v>10</v>
      </c>
      <c r="H149" s="542">
        <v>9</v>
      </c>
      <c r="I149" s="542">
        <v>9.5850000000000009</v>
      </c>
      <c r="J149" s="31">
        <v>64</v>
      </c>
      <c r="K149" s="31" t="s">
        <v>104</v>
      </c>
      <c r="L149" s="31" t="s">
        <v>105</v>
      </c>
      <c r="M149" s="32" t="s">
        <v>68</v>
      </c>
      <c r="N149" s="32"/>
      <c r="O149" s="31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3"/>
      <c r="V149" s="33"/>
      <c r="W149" s="34" t="s">
        <v>69</v>
      </c>
      <c r="X149" s="543">
        <v>9</v>
      </c>
      <c r="Y149" s="544">
        <f>IFERROR(IF(X149="",0,CEILING((X149/$H149),1)*$H149),"")</f>
        <v>9</v>
      </c>
      <c r="Z149" s="35">
        <f>IFERROR(IF(Y149=0,"",ROUNDUP(Y149/H149,0)*0.01898),"")</f>
        <v>1.898E-2</v>
      </c>
      <c r="AA149" s="55"/>
      <c r="AB149" s="56"/>
      <c r="AC149" s="187" t="s">
        <v>252</v>
      </c>
      <c r="AG149" s="63"/>
      <c r="AJ149" s="66" t="s">
        <v>90</v>
      </c>
      <c r="AK149" s="66">
        <v>72</v>
      </c>
      <c r="BB149" s="188" t="s">
        <v>1</v>
      </c>
      <c r="BM149" s="63">
        <f>IFERROR(X149*I149/H149,"0")</f>
        <v>9.5850000000000009</v>
      </c>
      <c r="BN149" s="63">
        <f>IFERROR(Y149*I149/H149,"0")</f>
        <v>9.5850000000000009</v>
      </c>
      <c r="BO149" s="63">
        <f>IFERROR(1/J149*(X149/H149),"0")</f>
        <v>1.5625E-2</v>
      </c>
      <c r="BP149" s="63">
        <f>IFERROR(1/J149*(Y149/H149),"0")</f>
        <v>1.5625E-2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6" t="s">
        <v>72</v>
      </c>
      <c r="X150" s="545">
        <f>IFERROR(X147/H147,"0")+IFERROR(X148/H148,"0")+IFERROR(X149/H149,"0")</f>
        <v>5</v>
      </c>
      <c r="Y150" s="545">
        <f>IFERROR(Y147/H147,"0")+IFERROR(Y148/H148,"0")+IFERROR(Y149/H149,"0")</f>
        <v>5</v>
      </c>
      <c r="Z150" s="545">
        <f>IFERROR(IF(Z147="",0,Z147),"0")+IFERROR(IF(Z148="",0,Z148),"0")+IFERROR(IF(Z149="",0,Z149),"0")</f>
        <v>6.9959999999999994E-2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6" t="s">
        <v>69</v>
      </c>
      <c r="X151" s="545">
        <f>IFERROR(SUM(X147:X149),"0")</f>
        <v>35.4</v>
      </c>
      <c r="Y151" s="545">
        <f>IFERROR(SUM(Y147:Y149),"0")</f>
        <v>35.4</v>
      </c>
      <c r="Z151" s="36"/>
      <c r="AA151" s="546"/>
      <c r="AB151" s="546"/>
      <c r="AC151" s="546"/>
    </row>
    <row r="152" spans="1:68" ht="14.25" hidden="1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4"/>
      <c r="AB152" s="534"/>
      <c r="AC152" s="534"/>
    </row>
    <row r="153" spans="1:68" ht="27" hidden="1" customHeight="1" x14ac:dyDescent="0.25">
      <c r="A153" s="53" t="s">
        <v>253</v>
      </c>
      <c r="B153" s="53" t="s">
        <v>254</v>
      </c>
      <c r="C153" s="30">
        <v>4301052064</v>
      </c>
      <c r="D153" s="560">
        <v>4680115887459</v>
      </c>
      <c r="E153" s="561"/>
      <c r="F153" s="542">
        <v>0.3</v>
      </c>
      <c r="G153" s="31">
        <v>6</v>
      </c>
      <c r="H153" s="542">
        <v>1.8</v>
      </c>
      <c r="I153" s="542">
        <v>2.0579999999999998</v>
      </c>
      <c r="J153" s="31">
        <v>182</v>
      </c>
      <c r="K153" s="31" t="s">
        <v>76</v>
      </c>
      <c r="L153" s="31"/>
      <c r="M153" s="32" t="s">
        <v>77</v>
      </c>
      <c r="N153" s="32"/>
      <c r="O153" s="31">
        <v>45</v>
      </c>
      <c r="P153" s="760" t="s">
        <v>255</v>
      </c>
      <c r="Q153" s="551"/>
      <c r="R153" s="551"/>
      <c r="S153" s="551"/>
      <c r="T153" s="552"/>
      <c r="U153" s="33"/>
      <c r="V153" s="33"/>
      <c r="W153" s="34" t="s">
        <v>69</v>
      </c>
      <c r="X153" s="543">
        <v>0</v>
      </c>
      <c r="Y153" s="544">
        <f>IFERROR(IF(X153="",0,CEILING((X153/$H153),1)*$H153),"")</f>
        <v>0</v>
      </c>
      <c r="Z153" s="35" t="str">
        <f>IFERROR(IF(Y153=0,"",ROUNDUP(Y153/H153,0)*0.00651),"")</f>
        <v/>
      </c>
      <c r="AA153" s="55"/>
      <c r="AB153" s="56" t="s">
        <v>236</v>
      </c>
      <c r="AC153" s="189" t="s">
        <v>256</v>
      </c>
      <c r="AG153" s="63"/>
      <c r="AJ153" s="66"/>
      <c r="AK153" s="66">
        <v>0</v>
      </c>
      <c r="BB153" s="190" t="s">
        <v>1</v>
      </c>
      <c r="BM153" s="63">
        <f>IFERROR(X153*I153/H153,"0")</f>
        <v>0</v>
      </c>
      <c r="BN153" s="63">
        <f>IFERROR(Y153*I153/H153,"0")</f>
        <v>0</v>
      </c>
      <c r="BO153" s="63">
        <f>IFERROR(1/J153*(X153/H153),"0")</f>
        <v>0</v>
      </c>
      <c r="BP153" s="63">
        <f>IFERROR(1/J153*(Y153/H153),"0")</f>
        <v>0</v>
      </c>
    </row>
    <row r="154" spans="1:68" hidden="1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6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6" t="s">
        <v>69</v>
      </c>
      <c r="X155" s="545">
        <f>IFERROR(SUM(X153:X153),"0")</f>
        <v>0</v>
      </c>
      <c r="Y155" s="545">
        <f>IFERROR(SUM(Y153:Y153),"0")</f>
        <v>0</v>
      </c>
      <c r="Z155" s="36"/>
      <c r="AA155" s="546"/>
      <c r="AB155" s="546"/>
      <c r="AC155" s="546"/>
    </row>
    <row r="156" spans="1:68" ht="27.75" hidden="1" customHeight="1" x14ac:dyDescent="0.2">
      <c r="A156" s="642" t="s">
        <v>257</v>
      </c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3"/>
      <c r="P156" s="643"/>
      <c r="Q156" s="643"/>
      <c r="R156" s="643"/>
      <c r="S156" s="643"/>
      <c r="T156" s="643"/>
      <c r="U156" s="643"/>
      <c r="V156" s="643"/>
      <c r="W156" s="643"/>
      <c r="X156" s="643"/>
      <c r="Y156" s="643"/>
      <c r="Z156" s="643"/>
      <c r="AA156" s="47"/>
      <c r="AB156" s="47"/>
      <c r="AC156" s="47"/>
    </row>
    <row r="157" spans="1:68" ht="16.5" hidden="1" customHeight="1" x14ac:dyDescent="0.25">
      <c r="A157" s="596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hidden="1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4"/>
      <c r="AB158" s="534"/>
      <c r="AC158" s="534"/>
    </row>
    <row r="159" spans="1:68" ht="27" customHeight="1" x14ac:dyDescent="0.25">
      <c r="A159" s="53" t="s">
        <v>259</v>
      </c>
      <c r="B159" s="53" t="s">
        <v>260</v>
      </c>
      <c r="C159" s="30">
        <v>4301020323</v>
      </c>
      <c r="D159" s="560">
        <v>4680115886223</v>
      </c>
      <c r="E159" s="561"/>
      <c r="F159" s="542">
        <v>0.33</v>
      </c>
      <c r="G159" s="31">
        <v>6</v>
      </c>
      <c r="H159" s="542">
        <v>1.98</v>
      </c>
      <c r="I159" s="542">
        <v>2.08</v>
      </c>
      <c r="J159" s="31">
        <v>234</v>
      </c>
      <c r="K159" s="31" t="s">
        <v>67</v>
      </c>
      <c r="L159" s="31"/>
      <c r="M159" s="32" t="s">
        <v>68</v>
      </c>
      <c r="N159" s="32"/>
      <c r="O159" s="31">
        <v>40</v>
      </c>
      <c r="P159" s="6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3"/>
      <c r="V159" s="33"/>
      <c r="W159" s="34" t="s">
        <v>69</v>
      </c>
      <c r="X159" s="543">
        <v>5.94</v>
      </c>
      <c r="Y159" s="544">
        <f>IFERROR(IF(X159="",0,CEILING((X159/$H159),1)*$H159),"")</f>
        <v>5.9399999999999995</v>
      </c>
      <c r="Z159" s="35">
        <f>IFERROR(IF(Y159=0,"",ROUNDUP(Y159/H159,0)*0.00502),"")</f>
        <v>1.506E-2</v>
      </c>
      <c r="AA159" s="55"/>
      <c r="AB159" s="56"/>
      <c r="AC159" s="191" t="s">
        <v>261</v>
      </c>
      <c r="AG159" s="63"/>
      <c r="AJ159" s="66"/>
      <c r="AK159" s="66">
        <v>0</v>
      </c>
      <c r="BB159" s="192" t="s">
        <v>1</v>
      </c>
      <c r="BM159" s="63">
        <f>IFERROR(X159*I159/H159,"0")</f>
        <v>6.2400000000000011</v>
      </c>
      <c r="BN159" s="63">
        <f>IFERROR(Y159*I159/H159,"0")</f>
        <v>6.24</v>
      </c>
      <c r="BO159" s="63">
        <f>IFERROR(1/J159*(X159/H159),"0")</f>
        <v>1.2820512820512824E-2</v>
      </c>
      <c r="BP159" s="63">
        <f>IFERROR(1/J159*(Y159/H159),"0")</f>
        <v>1.282051282051282E-2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6" t="s">
        <v>72</v>
      </c>
      <c r="X160" s="545">
        <f>IFERROR(X159/H159,"0")</f>
        <v>3.0000000000000004</v>
      </c>
      <c r="Y160" s="545">
        <f>IFERROR(Y159/H159,"0")</f>
        <v>2.9999999999999996</v>
      </c>
      <c r="Z160" s="545">
        <f>IFERROR(IF(Z159="",0,Z159),"0")</f>
        <v>1.506E-2</v>
      </c>
      <c r="AA160" s="546"/>
      <c r="AB160" s="546"/>
      <c r="AC160" s="546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6" t="s">
        <v>69</v>
      </c>
      <c r="X161" s="545">
        <f>IFERROR(SUM(X159:X159),"0")</f>
        <v>5.94</v>
      </c>
      <c r="Y161" s="545">
        <f>IFERROR(SUM(Y159:Y159),"0")</f>
        <v>5.9399999999999995</v>
      </c>
      <c r="Z161" s="36"/>
      <c r="AA161" s="546"/>
      <c r="AB161" s="546"/>
      <c r="AC161" s="546"/>
    </row>
    <row r="162" spans="1:68" ht="14.25" hidden="1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4"/>
      <c r="AB162" s="534"/>
      <c r="AC162" s="534"/>
    </row>
    <row r="163" spans="1:68" ht="27" customHeight="1" x14ac:dyDescent="0.25">
      <c r="A163" s="53" t="s">
        <v>262</v>
      </c>
      <c r="B163" s="53" t="s">
        <v>263</v>
      </c>
      <c r="C163" s="30">
        <v>4301031191</v>
      </c>
      <c r="D163" s="560">
        <v>4680115880993</v>
      </c>
      <c r="E163" s="561"/>
      <c r="F163" s="542">
        <v>0.7</v>
      </c>
      <c r="G163" s="31">
        <v>6</v>
      </c>
      <c r="H163" s="542">
        <v>4.2</v>
      </c>
      <c r="I163" s="542">
        <v>4.47</v>
      </c>
      <c r="J163" s="31">
        <v>132</v>
      </c>
      <c r="K163" s="31" t="s">
        <v>110</v>
      </c>
      <c r="L163" s="31" t="s">
        <v>111</v>
      </c>
      <c r="M163" s="32" t="s">
        <v>68</v>
      </c>
      <c r="N163" s="32"/>
      <c r="O163" s="31">
        <v>40</v>
      </c>
      <c r="P163" s="7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3"/>
      <c r="V163" s="33"/>
      <c r="W163" s="34" t="s">
        <v>69</v>
      </c>
      <c r="X163" s="543">
        <v>21</v>
      </c>
      <c r="Y163" s="544">
        <f t="shared" ref="Y163:Y171" si="5">IFERROR(IF(X163="",0,CEILING((X163/$H163),1)*$H163),"")</f>
        <v>21</v>
      </c>
      <c r="Z163" s="35">
        <f>IFERROR(IF(Y163=0,"",ROUNDUP(Y163/H163,0)*0.00902),"")</f>
        <v>4.5100000000000001E-2</v>
      </c>
      <c r="AA163" s="55"/>
      <c r="AB163" s="56"/>
      <c r="AC163" s="193" t="s">
        <v>264</v>
      </c>
      <c r="AG163" s="63"/>
      <c r="AJ163" s="66" t="s">
        <v>90</v>
      </c>
      <c r="AK163" s="66">
        <v>50.4</v>
      </c>
      <c r="BB163" s="194" t="s">
        <v>1</v>
      </c>
      <c r="BM163" s="63">
        <f t="shared" ref="BM163:BM171" si="6">IFERROR(X163*I163/H163,"0")</f>
        <v>22.349999999999998</v>
      </c>
      <c r="BN163" s="63">
        <f t="shared" ref="BN163:BN171" si="7">IFERROR(Y163*I163/H163,"0")</f>
        <v>22.349999999999998</v>
      </c>
      <c r="BO163" s="63">
        <f t="shared" ref="BO163:BO171" si="8">IFERROR(1/J163*(X163/H163),"0")</f>
        <v>3.787878787878788E-2</v>
      </c>
      <c r="BP163" s="63">
        <f t="shared" ref="BP163:BP171" si="9">IFERROR(1/J163*(Y163/H163),"0")</f>
        <v>3.787878787878788E-2</v>
      </c>
    </row>
    <row r="164" spans="1:68" ht="27" customHeight="1" x14ac:dyDescent="0.25">
      <c r="A164" s="53" t="s">
        <v>265</v>
      </c>
      <c r="B164" s="53" t="s">
        <v>266</v>
      </c>
      <c r="C164" s="30">
        <v>4301031204</v>
      </c>
      <c r="D164" s="560">
        <v>4680115881761</v>
      </c>
      <c r="E164" s="561"/>
      <c r="F164" s="542">
        <v>0.7</v>
      </c>
      <c r="G164" s="31">
        <v>6</v>
      </c>
      <c r="H164" s="542">
        <v>4.2</v>
      </c>
      <c r="I164" s="542">
        <v>4.47</v>
      </c>
      <c r="J164" s="31">
        <v>132</v>
      </c>
      <c r="K164" s="31" t="s">
        <v>110</v>
      </c>
      <c r="L164" s="31"/>
      <c r="M164" s="32" t="s">
        <v>68</v>
      </c>
      <c r="N164" s="32"/>
      <c r="O164" s="31">
        <v>40</v>
      </c>
      <c r="P164" s="65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3"/>
      <c r="V164" s="33"/>
      <c r="W164" s="34" t="s">
        <v>69</v>
      </c>
      <c r="X164" s="543">
        <v>12.6</v>
      </c>
      <c r="Y164" s="544">
        <f t="shared" si="5"/>
        <v>12.600000000000001</v>
      </c>
      <c r="Z164" s="35">
        <f>IFERROR(IF(Y164=0,"",ROUNDUP(Y164/H164,0)*0.00902),"")</f>
        <v>2.7060000000000001E-2</v>
      </c>
      <c r="AA164" s="55"/>
      <c r="AB164" s="56"/>
      <c r="AC164" s="195" t="s">
        <v>267</v>
      </c>
      <c r="AG164" s="63"/>
      <c r="AJ164" s="66"/>
      <c r="AK164" s="66">
        <v>0</v>
      </c>
      <c r="BB164" s="196" t="s">
        <v>1</v>
      </c>
      <c r="BM164" s="63">
        <f t="shared" si="6"/>
        <v>13.409999999999998</v>
      </c>
      <c r="BN164" s="63">
        <f t="shared" si="7"/>
        <v>13.41</v>
      </c>
      <c r="BO164" s="63">
        <f t="shared" si="8"/>
        <v>2.2727272727272728E-2</v>
      </c>
      <c r="BP164" s="63">
        <f t="shared" si="9"/>
        <v>2.2727272727272728E-2</v>
      </c>
    </row>
    <row r="165" spans="1:68" ht="27" customHeight="1" x14ac:dyDescent="0.25">
      <c r="A165" s="53" t="s">
        <v>268</v>
      </c>
      <c r="B165" s="53" t="s">
        <v>269</v>
      </c>
      <c r="C165" s="30">
        <v>4301031201</v>
      </c>
      <c r="D165" s="560">
        <v>4680115881563</v>
      </c>
      <c r="E165" s="561"/>
      <c r="F165" s="542">
        <v>0.7</v>
      </c>
      <c r="G165" s="31">
        <v>6</v>
      </c>
      <c r="H165" s="542">
        <v>4.2</v>
      </c>
      <c r="I165" s="542">
        <v>4.41</v>
      </c>
      <c r="J165" s="31">
        <v>132</v>
      </c>
      <c r="K165" s="31" t="s">
        <v>110</v>
      </c>
      <c r="L165" s="31" t="s">
        <v>111</v>
      </c>
      <c r="M165" s="32" t="s">
        <v>68</v>
      </c>
      <c r="N165" s="32"/>
      <c r="O165" s="31">
        <v>40</v>
      </c>
      <c r="P165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3"/>
      <c r="V165" s="33"/>
      <c r="W165" s="34" t="s">
        <v>69</v>
      </c>
      <c r="X165" s="543">
        <v>21</v>
      </c>
      <c r="Y165" s="544">
        <f t="shared" si="5"/>
        <v>21</v>
      </c>
      <c r="Z165" s="35">
        <f>IFERROR(IF(Y165=0,"",ROUNDUP(Y165/H165,0)*0.00902),"")</f>
        <v>4.5100000000000001E-2</v>
      </c>
      <c r="AA165" s="55"/>
      <c r="AB165" s="56"/>
      <c r="AC165" s="197" t="s">
        <v>270</v>
      </c>
      <c r="AG165" s="63"/>
      <c r="AJ165" s="66" t="s">
        <v>90</v>
      </c>
      <c r="AK165" s="66">
        <v>50.4</v>
      </c>
      <c r="BB165" s="198" t="s">
        <v>1</v>
      </c>
      <c r="BM165" s="63">
        <f t="shared" si="6"/>
        <v>22.049999999999997</v>
      </c>
      <c r="BN165" s="63">
        <f t="shared" si="7"/>
        <v>22.049999999999997</v>
      </c>
      <c r="BO165" s="63">
        <f t="shared" si="8"/>
        <v>3.787878787878788E-2</v>
      </c>
      <c r="BP165" s="63">
        <f t="shared" si="9"/>
        <v>3.787878787878788E-2</v>
      </c>
    </row>
    <row r="166" spans="1:68" ht="27" customHeight="1" x14ac:dyDescent="0.25">
      <c r="A166" s="53" t="s">
        <v>271</v>
      </c>
      <c r="B166" s="53" t="s">
        <v>272</v>
      </c>
      <c r="C166" s="30">
        <v>4301031199</v>
      </c>
      <c r="D166" s="560">
        <v>4680115880986</v>
      </c>
      <c r="E166" s="561"/>
      <c r="F166" s="542">
        <v>0.35</v>
      </c>
      <c r="G166" s="31">
        <v>6</v>
      </c>
      <c r="H166" s="542">
        <v>2.1</v>
      </c>
      <c r="I166" s="542">
        <v>2.23</v>
      </c>
      <c r="J166" s="31">
        <v>234</v>
      </c>
      <c r="K166" s="31" t="s">
        <v>67</v>
      </c>
      <c r="L166" s="31" t="s">
        <v>273</v>
      </c>
      <c r="M166" s="32" t="s">
        <v>68</v>
      </c>
      <c r="N166" s="32"/>
      <c r="O166" s="31">
        <v>40</v>
      </c>
      <c r="P166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3"/>
      <c r="V166" s="33"/>
      <c r="W166" s="34" t="s">
        <v>69</v>
      </c>
      <c r="X166" s="543">
        <v>10.5</v>
      </c>
      <c r="Y166" s="544">
        <f t="shared" si="5"/>
        <v>10.5</v>
      </c>
      <c r="Z166" s="35">
        <f>IFERROR(IF(Y166=0,"",ROUNDUP(Y166/H166,0)*0.00502),"")</f>
        <v>2.5100000000000001E-2</v>
      </c>
      <c r="AA166" s="55"/>
      <c r="AB166" s="56"/>
      <c r="AC166" s="199" t="s">
        <v>264</v>
      </c>
      <c r="AG166" s="63"/>
      <c r="AJ166" s="66" t="s">
        <v>90</v>
      </c>
      <c r="AK166" s="66">
        <v>37.799999999999997</v>
      </c>
      <c r="BB166" s="200" t="s">
        <v>1</v>
      </c>
      <c r="BM166" s="63">
        <f t="shared" si="6"/>
        <v>11.149999999999999</v>
      </c>
      <c r="BN166" s="63">
        <f t="shared" si="7"/>
        <v>11.149999999999999</v>
      </c>
      <c r="BO166" s="63">
        <f t="shared" si="8"/>
        <v>2.1367521367521368E-2</v>
      </c>
      <c r="BP166" s="63">
        <f t="shared" si="9"/>
        <v>2.1367521367521368E-2</v>
      </c>
    </row>
    <row r="167" spans="1:68" ht="27" customHeight="1" x14ac:dyDescent="0.25">
      <c r="A167" s="53" t="s">
        <v>274</v>
      </c>
      <c r="B167" s="53" t="s">
        <v>275</v>
      </c>
      <c r="C167" s="30">
        <v>4301031205</v>
      </c>
      <c r="D167" s="560">
        <v>4680115881785</v>
      </c>
      <c r="E167" s="561"/>
      <c r="F167" s="542">
        <v>0.35</v>
      </c>
      <c r="G167" s="31">
        <v>6</v>
      </c>
      <c r="H167" s="542">
        <v>2.1</v>
      </c>
      <c r="I167" s="542">
        <v>2.23</v>
      </c>
      <c r="J167" s="31">
        <v>234</v>
      </c>
      <c r="K167" s="31" t="s">
        <v>67</v>
      </c>
      <c r="L167" s="31" t="s">
        <v>273</v>
      </c>
      <c r="M167" s="32" t="s">
        <v>68</v>
      </c>
      <c r="N167" s="32"/>
      <c r="O167" s="31">
        <v>40</v>
      </c>
      <c r="P167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3"/>
      <c r="V167" s="33"/>
      <c r="W167" s="34" t="s">
        <v>69</v>
      </c>
      <c r="X167" s="543">
        <v>10.5</v>
      </c>
      <c r="Y167" s="544">
        <f t="shared" si="5"/>
        <v>10.5</v>
      </c>
      <c r="Z167" s="35">
        <f>IFERROR(IF(Y167=0,"",ROUNDUP(Y167/H167,0)*0.00502),"")</f>
        <v>2.5100000000000001E-2</v>
      </c>
      <c r="AA167" s="55"/>
      <c r="AB167" s="56"/>
      <c r="AC167" s="201" t="s">
        <v>267</v>
      </c>
      <c r="AG167" s="63"/>
      <c r="AJ167" s="66" t="s">
        <v>90</v>
      </c>
      <c r="AK167" s="66">
        <v>37.799999999999997</v>
      </c>
      <c r="BB167" s="202" t="s">
        <v>1</v>
      </c>
      <c r="BM167" s="63">
        <f t="shared" si="6"/>
        <v>11.149999999999999</v>
      </c>
      <c r="BN167" s="63">
        <f t="shared" si="7"/>
        <v>11.149999999999999</v>
      </c>
      <c r="BO167" s="63">
        <f t="shared" si="8"/>
        <v>2.1367521367521368E-2</v>
      </c>
      <c r="BP167" s="63">
        <f t="shared" si="9"/>
        <v>2.1367521367521368E-2</v>
      </c>
    </row>
    <row r="168" spans="1:68" ht="27" customHeight="1" x14ac:dyDescent="0.25">
      <c r="A168" s="53" t="s">
        <v>276</v>
      </c>
      <c r="B168" s="53" t="s">
        <v>277</v>
      </c>
      <c r="C168" s="30">
        <v>4301031399</v>
      </c>
      <c r="D168" s="560">
        <v>4680115886537</v>
      </c>
      <c r="E168" s="561"/>
      <c r="F168" s="542">
        <v>0.3</v>
      </c>
      <c r="G168" s="31">
        <v>6</v>
      </c>
      <c r="H168" s="542">
        <v>1.8</v>
      </c>
      <c r="I168" s="542">
        <v>1.93</v>
      </c>
      <c r="J168" s="31">
        <v>234</v>
      </c>
      <c r="K168" s="31" t="s">
        <v>67</v>
      </c>
      <c r="L168" s="31"/>
      <c r="M168" s="32" t="s">
        <v>68</v>
      </c>
      <c r="N168" s="32"/>
      <c r="O168" s="31">
        <v>40</v>
      </c>
      <c r="P168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3"/>
      <c r="V168" s="33"/>
      <c r="W168" s="34" t="s">
        <v>69</v>
      </c>
      <c r="X168" s="543">
        <v>9</v>
      </c>
      <c r="Y168" s="544">
        <f t="shared" si="5"/>
        <v>9</v>
      </c>
      <c r="Z168" s="35">
        <f>IFERROR(IF(Y168=0,"",ROUNDUP(Y168/H168,0)*0.00502),"")</f>
        <v>2.5100000000000001E-2</v>
      </c>
      <c r="AA168" s="55"/>
      <c r="AB168" s="56"/>
      <c r="AC168" s="203" t="s">
        <v>278</v>
      </c>
      <c r="AG168" s="63"/>
      <c r="AJ168" s="66"/>
      <c r="AK168" s="66">
        <v>0</v>
      </c>
      <c r="BB168" s="204" t="s">
        <v>1</v>
      </c>
      <c r="BM168" s="63">
        <f t="shared" si="6"/>
        <v>9.65</v>
      </c>
      <c r="BN168" s="63">
        <f t="shared" si="7"/>
        <v>9.65</v>
      </c>
      <c r="BO168" s="63">
        <f t="shared" si="8"/>
        <v>2.1367521367521368E-2</v>
      </c>
      <c r="BP168" s="63">
        <f t="shared" si="9"/>
        <v>2.1367521367521368E-2</v>
      </c>
    </row>
    <row r="169" spans="1:68" ht="37.5" customHeight="1" x14ac:dyDescent="0.25">
      <c r="A169" s="53" t="s">
        <v>279</v>
      </c>
      <c r="B169" s="53" t="s">
        <v>280</v>
      </c>
      <c r="C169" s="30">
        <v>4301031202</v>
      </c>
      <c r="D169" s="560">
        <v>4680115881679</v>
      </c>
      <c r="E169" s="561"/>
      <c r="F169" s="542">
        <v>0.35</v>
      </c>
      <c r="G169" s="31">
        <v>6</v>
      </c>
      <c r="H169" s="542">
        <v>2.1</v>
      </c>
      <c r="I169" s="542">
        <v>2.2000000000000002</v>
      </c>
      <c r="J169" s="31">
        <v>234</v>
      </c>
      <c r="K169" s="31" t="s">
        <v>67</v>
      </c>
      <c r="L169" s="31" t="s">
        <v>273</v>
      </c>
      <c r="M169" s="32" t="s">
        <v>68</v>
      </c>
      <c r="N169" s="32"/>
      <c r="O169" s="31">
        <v>40</v>
      </c>
      <c r="P169" s="77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3"/>
      <c r="V169" s="33"/>
      <c r="W169" s="34" t="s">
        <v>69</v>
      </c>
      <c r="X169" s="543">
        <v>10.5</v>
      </c>
      <c r="Y169" s="544">
        <f t="shared" si="5"/>
        <v>10.5</v>
      </c>
      <c r="Z169" s="35">
        <f>IFERROR(IF(Y169=0,"",ROUNDUP(Y169/H169,0)*0.00502),"")</f>
        <v>2.5100000000000001E-2</v>
      </c>
      <c r="AA169" s="55"/>
      <c r="AB169" s="56"/>
      <c r="AC169" s="205" t="s">
        <v>270</v>
      </c>
      <c r="AG169" s="63"/>
      <c r="AJ169" s="66" t="s">
        <v>90</v>
      </c>
      <c r="AK169" s="66">
        <v>37.799999999999997</v>
      </c>
      <c r="BB169" s="206" t="s">
        <v>1</v>
      </c>
      <c r="BM169" s="63">
        <f t="shared" si="6"/>
        <v>11</v>
      </c>
      <c r="BN169" s="63">
        <f t="shared" si="7"/>
        <v>11</v>
      </c>
      <c r="BO169" s="63">
        <f t="shared" si="8"/>
        <v>2.1367521367521368E-2</v>
      </c>
      <c r="BP169" s="63">
        <f t="shared" si="9"/>
        <v>2.1367521367521368E-2</v>
      </c>
    </row>
    <row r="170" spans="1:68" ht="27" hidden="1" customHeight="1" x14ac:dyDescent="0.25">
      <c r="A170" s="53" t="s">
        <v>281</v>
      </c>
      <c r="B170" s="53" t="s">
        <v>282</v>
      </c>
      <c r="C170" s="30">
        <v>4301031158</v>
      </c>
      <c r="D170" s="560">
        <v>4680115880191</v>
      </c>
      <c r="E170" s="561"/>
      <c r="F170" s="542">
        <v>0.4</v>
      </c>
      <c r="G170" s="31">
        <v>6</v>
      </c>
      <c r="H170" s="542">
        <v>2.4</v>
      </c>
      <c r="I170" s="542">
        <v>2.58</v>
      </c>
      <c r="J170" s="31">
        <v>182</v>
      </c>
      <c r="K170" s="31" t="s">
        <v>76</v>
      </c>
      <c r="L170" s="31"/>
      <c r="M170" s="32" t="s">
        <v>68</v>
      </c>
      <c r="N170" s="32"/>
      <c r="O170" s="31">
        <v>40</v>
      </c>
      <c r="P170" s="8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3"/>
      <c r="V170" s="33"/>
      <c r="W170" s="34" t="s">
        <v>69</v>
      </c>
      <c r="X170" s="543">
        <v>0</v>
      </c>
      <c r="Y170" s="544">
        <f t="shared" si="5"/>
        <v>0</v>
      </c>
      <c r="Z170" s="35" t="str">
        <f>IFERROR(IF(Y170=0,"",ROUNDUP(Y170/H170,0)*0.00651),"")</f>
        <v/>
      </c>
      <c r="AA170" s="55"/>
      <c r="AB170" s="56"/>
      <c r="AC170" s="207" t="s">
        <v>270</v>
      </c>
      <c r="AG170" s="63"/>
      <c r="AJ170" s="66"/>
      <c r="AK170" s="66">
        <v>0</v>
      </c>
      <c r="BB170" s="208" t="s">
        <v>1</v>
      </c>
      <c r="BM170" s="63">
        <f t="shared" si="6"/>
        <v>0</v>
      </c>
      <c r="BN170" s="63">
        <f t="shared" si="7"/>
        <v>0</v>
      </c>
      <c r="BO170" s="63">
        <f t="shared" si="8"/>
        <v>0</v>
      </c>
      <c r="BP170" s="63">
        <f t="shared" si="9"/>
        <v>0</v>
      </c>
    </row>
    <row r="171" spans="1:68" ht="27" hidden="1" customHeight="1" x14ac:dyDescent="0.25">
      <c r="A171" s="53" t="s">
        <v>283</v>
      </c>
      <c r="B171" s="53" t="s">
        <v>284</v>
      </c>
      <c r="C171" s="30">
        <v>4301031245</v>
      </c>
      <c r="D171" s="560">
        <v>4680115883963</v>
      </c>
      <c r="E171" s="561"/>
      <c r="F171" s="542">
        <v>0.28000000000000003</v>
      </c>
      <c r="G171" s="31">
        <v>6</v>
      </c>
      <c r="H171" s="542">
        <v>1.68</v>
      </c>
      <c r="I171" s="542">
        <v>1.78</v>
      </c>
      <c r="J171" s="31">
        <v>234</v>
      </c>
      <c r="K171" s="31" t="s">
        <v>67</v>
      </c>
      <c r="L171" s="31"/>
      <c r="M171" s="32" t="s">
        <v>68</v>
      </c>
      <c r="N171" s="32"/>
      <c r="O171" s="31">
        <v>40</v>
      </c>
      <c r="P171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3"/>
      <c r="V171" s="33"/>
      <c r="W171" s="34" t="s">
        <v>69</v>
      </c>
      <c r="X171" s="543">
        <v>0</v>
      </c>
      <c r="Y171" s="544">
        <f t="shared" si="5"/>
        <v>0</v>
      </c>
      <c r="Z171" s="35" t="str">
        <f>IFERROR(IF(Y171=0,"",ROUNDUP(Y171/H171,0)*0.00502),"")</f>
        <v/>
      </c>
      <c r="AA171" s="55"/>
      <c r="AB171" s="56"/>
      <c r="AC171" s="209" t="s">
        <v>285</v>
      </c>
      <c r="AG171" s="63"/>
      <c r="AJ171" s="66"/>
      <c r="AK171" s="66">
        <v>0</v>
      </c>
      <c r="BB171" s="210" t="s">
        <v>1</v>
      </c>
      <c r="BM171" s="63">
        <f t="shared" si="6"/>
        <v>0</v>
      </c>
      <c r="BN171" s="63">
        <f t="shared" si="7"/>
        <v>0</v>
      </c>
      <c r="BO171" s="63">
        <f t="shared" si="8"/>
        <v>0</v>
      </c>
      <c r="BP171" s="63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6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33</v>
      </c>
      <c r="Y172" s="545">
        <f>IFERROR(Y163/H163,"0")+IFERROR(Y164/H164,"0")+IFERROR(Y165/H165,"0")+IFERROR(Y166/H166,"0")+IFERROR(Y167/H167,"0")+IFERROR(Y168/H168,"0")+IFERROR(Y169/H169,"0")+IFERROR(Y170/H170,"0")+IFERROR(Y171/H171,"0")</f>
        <v>33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0.21766000000000005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6" t="s">
        <v>69</v>
      </c>
      <c r="X173" s="545">
        <f>IFERROR(SUM(X163:X171),"0")</f>
        <v>95.1</v>
      </c>
      <c r="Y173" s="545">
        <f>IFERROR(SUM(Y163:Y171),"0")</f>
        <v>95.1</v>
      </c>
      <c r="Z173" s="36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4"/>
      <c r="AB174" s="534"/>
      <c r="AC174" s="534"/>
    </row>
    <row r="175" spans="1:68" ht="27" customHeight="1" x14ac:dyDescent="0.25">
      <c r="A175" s="53" t="s">
        <v>286</v>
      </c>
      <c r="B175" s="53" t="s">
        <v>287</v>
      </c>
      <c r="C175" s="30">
        <v>4301032053</v>
      </c>
      <c r="D175" s="560">
        <v>4680115886780</v>
      </c>
      <c r="E175" s="561"/>
      <c r="F175" s="542">
        <v>7.0000000000000007E-2</v>
      </c>
      <c r="G175" s="31">
        <v>18</v>
      </c>
      <c r="H175" s="542">
        <v>1.26</v>
      </c>
      <c r="I175" s="542">
        <v>1.45</v>
      </c>
      <c r="J175" s="31">
        <v>216</v>
      </c>
      <c r="K175" s="31" t="s">
        <v>288</v>
      </c>
      <c r="L175" s="31"/>
      <c r="M175" s="32" t="s">
        <v>289</v>
      </c>
      <c r="N175" s="32"/>
      <c r="O175" s="31">
        <v>60</v>
      </c>
      <c r="P175" s="6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3"/>
      <c r="V175" s="33"/>
      <c r="W175" s="34" t="s">
        <v>69</v>
      </c>
      <c r="X175" s="543">
        <v>1.26</v>
      </c>
      <c r="Y175" s="544">
        <f>IFERROR(IF(X175="",0,CEILING((X175/$H175),1)*$H175),"")</f>
        <v>1.26</v>
      </c>
      <c r="Z175" s="35">
        <f>IFERROR(IF(Y175=0,"",ROUNDUP(Y175/H175,0)*0.0059),"")</f>
        <v>5.8999999999999999E-3</v>
      </c>
      <c r="AA175" s="55"/>
      <c r="AB175" s="56"/>
      <c r="AC175" s="211" t="s">
        <v>290</v>
      </c>
      <c r="AG175" s="63"/>
      <c r="AJ175" s="66"/>
      <c r="AK175" s="66">
        <v>0</v>
      </c>
      <c r="BB175" s="212" t="s">
        <v>1</v>
      </c>
      <c r="BM175" s="63">
        <f>IFERROR(X175*I175/H175,"0")</f>
        <v>1.45</v>
      </c>
      <c r="BN175" s="63">
        <f>IFERROR(Y175*I175/H175,"0")</f>
        <v>1.45</v>
      </c>
      <c r="BO175" s="63">
        <f>IFERROR(1/J175*(X175/H175),"0")</f>
        <v>4.6296296296296294E-3</v>
      </c>
      <c r="BP175" s="63">
        <f>IFERROR(1/J175*(Y175/H175),"0")</f>
        <v>4.6296296296296294E-3</v>
      </c>
    </row>
    <row r="176" spans="1:68" ht="27" customHeight="1" x14ac:dyDescent="0.25">
      <c r="A176" s="53" t="s">
        <v>291</v>
      </c>
      <c r="B176" s="53" t="s">
        <v>292</v>
      </c>
      <c r="C176" s="30">
        <v>4301032051</v>
      </c>
      <c r="D176" s="560">
        <v>4680115886742</v>
      </c>
      <c r="E176" s="561"/>
      <c r="F176" s="542">
        <v>7.0000000000000007E-2</v>
      </c>
      <c r="G176" s="31">
        <v>18</v>
      </c>
      <c r="H176" s="542">
        <v>1.26</v>
      </c>
      <c r="I176" s="542">
        <v>1.45</v>
      </c>
      <c r="J176" s="31">
        <v>216</v>
      </c>
      <c r="K176" s="31" t="s">
        <v>288</v>
      </c>
      <c r="L176" s="31"/>
      <c r="M176" s="32" t="s">
        <v>289</v>
      </c>
      <c r="N176" s="32"/>
      <c r="O176" s="31">
        <v>90</v>
      </c>
      <c r="P176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3"/>
      <c r="V176" s="33"/>
      <c r="W176" s="34" t="s">
        <v>69</v>
      </c>
      <c r="X176" s="543">
        <v>1.26</v>
      </c>
      <c r="Y176" s="544">
        <f>IFERROR(IF(X176="",0,CEILING((X176/$H176),1)*$H176),"")</f>
        <v>1.26</v>
      </c>
      <c r="Z176" s="35">
        <f>IFERROR(IF(Y176=0,"",ROUNDUP(Y176/H176,0)*0.0059),"")</f>
        <v>5.8999999999999999E-3</v>
      </c>
      <c r="AA176" s="55"/>
      <c r="AB176" s="56"/>
      <c r="AC176" s="213" t="s">
        <v>293</v>
      </c>
      <c r="AG176" s="63"/>
      <c r="AJ176" s="66"/>
      <c r="AK176" s="66">
        <v>0</v>
      </c>
      <c r="BB176" s="214" t="s">
        <v>1</v>
      </c>
      <c r="BM176" s="63">
        <f>IFERROR(X176*I176/H176,"0")</f>
        <v>1.45</v>
      </c>
      <c r="BN176" s="63">
        <f>IFERROR(Y176*I176/H176,"0")</f>
        <v>1.45</v>
      </c>
      <c r="BO176" s="63">
        <f>IFERROR(1/J176*(X176/H176),"0")</f>
        <v>4.6296296296296294E-3</v>
      </c>
      <c r="BP176" s="63">
        <f>IFERROR(1/J176*(Y176/H176),"0")</f>
        <v>4.6296296296296294E-3</v>
      </c>
    </row>
    <row r="177" spans="1:68" ht="27" customHeight="1" x14ac:dyDescent="0.25">
      <c r="A177" s="53" t="s">
        <v>294</v>
      </c>
      <c r="B177" s="53" t="s">
        <v>295</v>
      </c>
      <c r="C177" s="30">
        <v>4301032052</v>
      </c>
      <c r="D177" s="560">
        <v>4680115886766</v>
      </c>
      <c r="E177" s="561"/>
      <c r="F177" s="542">
        <v>7.0000000000000007E-2</v>
      </c>
      <c r="G177" s="31">
        <v>18</v>
      </c>
      <c r="H177" s="542">
        <v>1.26</v>
      </c>
      <c r="I177" s="542">
        <v>1.45</v>
      </c>
      <c r="J177" s="31">
        <v>216</v>
      </c>
      <c r="K177" s="31" t="s">
        <v>288</v>
      </c>
      <c r="L177" s="31"/>
      <c r="M177" s="32" t="s">
        <v>289</v>
      </c>
      <c r="N177" s="32"/>
      <c r="O177" s="31">
        <v>90</v>
      </c>
      <c r="P177" s="6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3"/>
      <c r="V177" s="33"/>
      <c r="W177" s="34" t="s">
        <v>69</v>
      </c>
      <c r="X177" s="543">
        <v>1.26</v>
      </c>
      <c r="Y177" s="544">
        <f>IFERROR(IF(X177="",0,CEILING((X177/$H177),1)*$H177),"")</f>
        <v>1.26</v>
      </c>
      <c r="Z177" s="35">
        <f>IFERROR(IF(Y177=0,"",ROUNDUP(Y177/H177,0)*0.0059),"")</f>
        <v>5.8999999999999999E-3</v>
      </c>
      <c r="AA177" s="55"/>
      <c r="AB177" s="56"/>
      <c r="AC177" s="215" t="s">
        <v>293</v>
      </c>
      <c r="AG177" s="63"/>
      <c r="AJ177" s="66"/>
      <c r="AK177" s="66">
        <v>0</v>
      </c>
      <c r="BB177" s="216" t="s">
        <v>1</v>
      </c>
      <c r="BM177" s="63">
        <f>IFERROR(X177*I177/H177,"0")</f>
        <v>1.45</v>
      </c>
      <c r="BN177" s="63">
        <f>IFERROR(Y177*I177/H177,"0")</f>
        <v>1.45</v>
      </c>
      <c r="BO177" s="63">
        <f>IFERROR(1/J177*(X177/H177),"0")</f>
        <v>4.6296296296296294E-3</v>
      </c>
      <c r="BP177" s="63">
        <f>IFERROR(1/J177*(Y177/H177),"0")</f>
        <v>4.6296296296296294E-3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6" t="s">
        <v>72</v>
      </c>
      <c r="X178" s="545">
        <f>IFERROR(X175/H175,"0")+IFERROR(X176/H176,"0")+IFERROR(X177/H177,"0")</f>
        <v>3</v>
      </c>
      <c r="Y178" s="545">
        <f>IFERROR(Y175/H175,"0")+IFERROR(Y176/H176,"0")+IFERROR(Y177/H177,"0")</f>
        <v>3</v>
      </c>
      <c r="Z178" s="545">
        <f>IFERROR(IF(Z175="",0,Z175),"0")+IFERROR(IF(Z176="",0,Z176),"0")+IFERROR(IF(Z177="",0,Z177),"0")</f>
        <v>1.77E-2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6" t="s">
        <v>69</v>
      </c>
      <c r="X179" s="545">
        <f>IFERROR(SUM(X175:X177),"0")</f>
        <v>3.7800000000000002</v>
      </c>
      <c r="Y179" s="545">
        <f>IFERROR(SUM(Y175:Y177),"0")</f>
        <v>3.7800000000000002</v>
      </c>
      <c r="Z179" s="36"/>
      <c r="AA179" s="546"/>
      <c r="AB179" s="546"/>
      <c r="AC179" s="546"/>
    </row>
    <row r="180" spans="1:68" ht="14.25" hidden="1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4"/>
      <c r="AB180" s="534"/>
      <c r="AC180" s="534"/>
    </row>
    <row r="181" spans="1:68" ht="27" customHeight="1" x14ac:dyDescent="0.25">
      <c r="A181" s="53" t="s">
        <v>297</v>
      </c>
      <c r="B181" s="53" t="s">
        <v>298</v>
      </c>
      <c r="C181" s="30">
        <v>4301170013</v>
      </c>
      <c r="D181" s="560">
        <v>4680115886797</v>
      </c>
      <c r="E181" s="561"/>
      <c r="F181" s="542">
        <v>7.0000000000000007E-2</v>
      </c>
      <c r="G181" s="31">
        <v>18</v>
      </c>
      <c r="H181" s="542">
        <v>1.26</v>
      </c>
      <c r="I181" s="542">
        <v>1.45</v>
      </c>
      <c r="J181" s="31">
        <v>216</v>
      </c>
      <c r="K181" s="31" t="s">
        <v>288</v>
      </c>
      <c r="L181" s="31"/>
      <c r="M181" s="32" t="s">
        <v>289</v>
      </c>
      <c r="N181" s="32"/>
      <c r="O181" s="31">
        <v>90</v>
      </c>
      <c r="P181" s="6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3"/>
      <c r="V181" s="33"/>
      <c r="W181" s="34" t="s">
        <v>69</v>
      </c>
      <c r="X181" s="543">
        <v>1.26</v>
      </c>
      <c r="Y181" s="544">
        <f>IFERROR(IF(X181="",0,CEILING((X181/$H181),1)*$H181),"")</f>
        <v>1.26</v>
      </c>
      <c r="Z181" s="35">
        <f>IFERROR(IF(Y181=0,"",ROUNDUP(Y181/H181,0)*0.0059),"")</f>
        <v>5.8999999999999999E-3</v>
      </c>
      <c r="AA181" s="55"/>
      <c r="AB181" s="56"/>
      <c r="AC181" s="217" t="s">
        <v>293</v>
      </c>
      <c r="AG181" s="63"/>
      <c r="AJ181" s="66"/>
      <c r="AK181" s="66">
        <v>0</v>
      </c>
      <c r="BB181" s="218" t="s">
        <v>1</v>
      </c>
      <c r="BM181" s="63">
        <f>IFERROR(X181*I181/H181,"0")</f>
        <v>1.45</v>
      </c>
      <c r="BN181" s="63">
        <f>IFERROR(Y181*I181/H181,"0")</f>
        <v>1.45</v>
      </c>
      <c r="BO181" s="63">
        <f>IFERROR(1/J181*(X181/H181),"0")</f>
        <v>4.6296296296296294E-3</v>
      </c>
      <c r="BP181" s="63">
        <f>IFERROR(1/J181*(Y181/H181),"0")</f>
        <v>4.6296296296296294E-3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6" t="s">
        <v>72</v>
      </c>
      <c r="X182" s="545">
        <f>IFERROR(X181/H181,"0")</f>
        <v>1</v>
      </c>
      <c r="Y182" s="545">
        <f>IFERROR(Y181/H181,"0")</f>
        <v>1</v>
      </c>
      <c r="Z182" s="545">
        <f>IFERROR(IF(Z181="",0,Z181),"0")</f>
        <v>5.8999999999999999E-3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6" t="s">
        <v>69</v>
      </c>
      <c r="X183" s="545">
        <f>IFERROR(SUM(X181:X181),"0")</f>
        <v>1.26</v>
      </c>
      <c r="Y183" s="545">
        <f>IFERROR(SUM(Y181:Y181),"0")</f>
        <v>1.26</v>
      </c>
      <c r="Z183" s="36"/>
      <c r="AA183" s="546"/>
      <c r="AB183" s="546"/>
      <c r="AC183" s="546"/>
    </row>
    <row r="184" spans="1:68" ht="16.5" hidden="1" customHeight="1" x14ac:dyDescent="0.25">
      <c r="A184" s="59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4"/>
      <c r="AB185" s="534"/>
      <c r="AC185" s="534"/>
    </row>
    <row r="186" spans="1:68" ht="16.5" hidden="1" customHeight="1" x14ac:dyDescent="0.25">
      <c r="A186" s="53" t="s">
        <v>300</v>
      </c>
      <c r="B186" s="53" t="s">
        <v>301</v>
      </c>
      <c r="C186" s="30">
        <v>4301011450</v>
      </c>
      <c r="D186" s="560">
        <v>4680115881402</v>
      </c>
      <c r="E186" s="561"/>
      <c r="F186" s="542">
        <v>1.35</v>
      </c>
      <c r="G186" s="31">
        <v>8</v>
      </c>
      <c r="H186" s="542">
        <v>10.8</v>
      </c>
      <c r="I186" s="542">
        <v>11.234999999999999</v>
      </c>
      <c r="J186" s="31">
        <v>64</v>
      </c>
      <c r="K186" s="31" t="s">
        <v>104</v>
      </c>
      <c r="L186" s="31"/>
      <c r="M186" s="32" t="s">
        <v>106</v>
      </c>
      <c r="N186" s="32"/>
      <c r="O186" s="31">
        <v>55</v>
      </c>
      <c r="P186" s="6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3"/>
      <c r="V186" s="33"/>
      <c r="W186" s="34" t="s">
        <v>69</v>
      </c>
      <c r="X186" s="543">
        <v>0</v>
      </c>
      <c r="Y186" s="544">
        <f>IFERROR(IF(X186="",0,CEILING((X186/$H186),1)*$H186),"")</f>
        <v>0</v>
      </c>
      <c r="Z186" s="35" t="str">
        <f>IFERROR(IF(Y186=0,"",ROUNDUP(Y186/H186,0)*0.01898),"")</f>
        <v/>
      </c>
      <c r="AA186" s="55"/>
      <c r="AB186" s="56"/>
      <c r="AC186" s="219" t="s">
        <v>302</v>
      </c>
      <c r="AG186" s="63"/>
      <c r="AJ186" s="66"/>
      <c r="AK186" s="66">
        <v>0</v>
      </c>
      <c r="BB186" s="220" t="s">
        <v>1</v>
      </c>
      <c r="BM186" s="63">
        <f>IFERROR(X186*I186/H186,"0")</f>
        <v>0</v>
      </c>
      <c r="BN186" s="63">
        <f>IFERROR(Y186*I186/H186,"0")</f>
        <v>0</v>
      </c>
      <c r="BO186" s="63">
        <f>IFERROR(1/J186*(X186/H186),"0")</f>
        <v>0</v>
      </c>
      <c r="BP186" s="63">
        <f>IFERROR(1/J186*(Y186/H186),"0")</f>
        <v>0</v>
      </c>
    </row>
    <row r="187" spans="1:68" ht="27" hidden="1" customHeight="1" x14ac:dyDescent="0.25">
      <c r="A187" s="53" t="s">
        <v>303</v>
      </c>
      <c r="B187" s="53" t="s">
        <v>304</v>
      </c>
      <c r="C187" s="30">
        <v>4301011768</v>
      </c>
      <c r="D187" s="560">
        <v>4680115881396</v>
      </c>
      <c r="E187" s="561"/>
      <c r="F187" s="542">
        <v>0.45</v>
      </c>
      <c r="G187" s="31">
        <v>6</v>
      </c>
      <c r="H187" s="542">
        <v>2.7</v>
      </c>
      <c r="I187" s="542">
        <v>2.88</v>
      </c>
      <c r="J187" s="31">
        <v>182</v>
      </c>
      <c r="K187" s="31" t="s">
        <v>76</v>
      </c>
      <c r="L187" s="31" t="s">
        <v>88</v>
      </c>
      <c r="M187" s="32" t="s">
        <v>106</v>
      </c>
      <c r="N187" s="32"/>
      <c r="O187" s="31">
        <v>55</v>
      </c>
      <c r="P187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3"/>
      <c r="V187" s="33"/>
      <c r="W187" s="34" t="s">
        <v>69</v>
      </c>
      <c r="X187" s="543">
        <v>0</v>
      </c>
      <c r="Y187" s="544">
        <f>IFERROR(IF(X187="",0,CEILING((X187/$H187),1)*$H187),"")</f>
        <v>0</v>
      </c>
      <c r="Z187" s="35" t="str">
        <f>IFERROR(IF(Y187=0,"",ROUNDUP(Y187/H187,0)*0.00651),"")</f>
        <v/>
      </c>
      <c r="AA187" s="55"/>
      <c r="AB187" s="56"/>
      <c r="AC187" s="221" t="s">
        <v>302</v>
      </c>
      <c r="AG187" s="63"/>
      <c r="AJ187" s="66" t="s">
        <v>90</v>
      </c>
      <c r="AK187" s="66">
        <v>37.799999999999997</v>
      </c>
      <c r="BB187" s="222" t="s">
        <v>1</v>
      </c>
      <c r="BM187" s="63">
        <f>IFERROR(X187*I187/H187,"0")</f>
        <v>0</v>
      </c>
      <c r="BN187" s="63">
        <f>IFERROR(Y187*I187/H187,"0")</f>
        <v>0</v>
      </c>
      <c r="BO187" s="63">
        <f>IFERROR(1/J187*(X187/H187),"0")</f>
        <v>0</v>
      </c>
      <c r="BP187" s="63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6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6" t="s">
        <v>69</v>
      </c>
      <c r="X189" s="545">
        <f>IFERROR(SUM(X186:X187),"0")</f>
        <v>0</v>
      </c>
      <c r="Y189" s="545">
        <f>IFERROR(SUM(Y186:Y187),"0")</f>
        <v>0</v>
      </c>
      <c r="Z189" s="36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4"/>
      <c r="AB190" s="534"/>
      <c r="AC190" s="534"/>
    </row>
    <row r="191" spans="1:68" ht="16.5" hidden="1" customHeight="1" x14ac:dyDescent="0.25">
      <c r="A191" s="53" t="s">
        <v>305</v>
      </c>
      <c r="B191" s="53" t="s">
        <v>306</v>
      </c>
      <c r="C191" s="30">
        <v>4301020261</v>
      </c>
      <c r="D191" s="560">
        <v>4680115882935</v>
      </c>
      <c r="E191" s="561"/>
      <c r="F191" s="542">
        <v>1.35</v>
      </c>
      <c r="G191" s="31">
        <v>8</v>
      </c>
      <c r="H191" s="542">
        <v>10.8</v>
      </c>
      <c r="I191" s="542">
        <v>11.234999999999999</v>
      </c>
      <c r="J191" s="31">
        <v>64</v>
      </c>
      <c r="K191" s="31" t="s">
        <v>104</v>
      </c>
      <c r="L191" s="31"/>
      <c r="M191" s="32" t="s">
        <v>106</v>
      </c>
      <c r="N191" s="32"/>
      <c r="O191" s="31">
        <v>50</v>
      </c>
      <c r="P191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3"/>
      <c r="V191" s="33"/>
      <c r="W191" s="34" t="s">
        <v>69</v>
      </c>
      <c r="X191" s="543">
        <v>0</v>
      </c>
      <c r="Y191" s="544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23" t="s">
        <v>307</v>
      </c>
      <c r="AG191" s="63"/>
      <c r="AJ191" s="66"/>
      <c r="AK191" s="66">
        <v>0</v>
      </c>
      <c r="BB191" s="224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16.5" hidden="1" customHeight="1" x14ac:dyDescent="0.25">
      <c r="A192" s="53" t="s">
        <v>308</v>
      </c>
      <c r="B192" s="53" t="s">
        <v>309</v>
      </c>
      <c r="C192" s="30">
        <v>4301020220</v>
      </c>
      <c r="D192" s="560">
        <v>4680115880764</v>
      </c>
      <c r="E192" s="561"/>
      <c r="F192" s="542">
        <v>0.35</v>
      </c>
      <c r="G192" s="31">
        <v>6</v>
      </c>
      <c r="H192" s="542">
        <v>2.1</v>
      </c>
      <c r="I192" s="542">
        <v>2.2799999999999998</v>
      </c>
      <c r="J192" s="31">
        <v>182</v>
      </c>
      <c r="K192" s="31" t="s">
        <v>76</v>
      </c>
      <c r="L192" s="31"/>
      <c r="M192" s="32" t="s">
        <v>106</v>
      </c>
      <c r="N192" s="32"/>
      <c r="O192" s="31">
        <v>50</v>
      </c>
      <c r="P192" s="7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3"/>
      <c r="V192" s="33"/>
      <c r="W192" s="34" t="s">
        <v>69</v>
      </c>
      <c r="X192" s="543">
        <v>0</v>
      </c>
      <c r="Y192" s="544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25" t="s">
        <v>307</v>
      </c>
      <c r="AG192" s="63"/>
      <c r="AJ192" s="66"/>
      <c r="AK192" s="66">
        <v>0</v>
      </c>
      <c r="BB192" s="226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6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6" t="s">
        <v>69</v>
      </c>
      <c r="X194" s="545">
        <f>IFERROR(SUM(X191:X192),"0")</f>
        <v>0</v>
      </c>
      <c r="Y194" s="545">
        <f>IFERROR(SUM(Y191:Y192),"0")</f>
        <v>0</v>
      </c>
      <c r="Z194" s="36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4"/>
      <c r="AB195" s="534"/>
      <c r="AC195" s="534"/>
    </row>
    <row r="196" spans="1:68" ht="27" customHeight="1" x14ac:dyDescent="0.25">
      <c r="A196" s="53" t="s">
        <v>310</v>
      </c>
      <c r="B196" s="53" t="s">
        <v>311</v>
      </c>
      <c r="C196" s="30">
        <v>4301031224</v>
      </c>
      <c r="D196" s="560">
        <v>4680115882683</v>
      </c>
      <c r="E196" s="561"/>
      <c r="F196" s="542">
        <v>0.9</v>
      </c>
      <c r="G196" s="31">
        <v>6</v>
      </c>
      <c r="H196" s="542">
        <v>5.4</v>
      </c>
      <c r="I196" s="542">
        <v>5.61</v>
      </c>
      <c r="J196" s="31">
        <v>132</v>
      </c>
      <c r="K196" s="31" t="s">
        <v>110</v>
      </c>
      <c r="L196" s="31" t="s">
        <v>111</v>
      </c>
      <c r="M196" s="32" t="s">
        <v>68</v>
      </c>
      <c r="N196" s="32"/>
      <c r="O196" s="31">
        <v>40</v>
      </c>
      <c r="P196" s="6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3"/>
      <c r="V196" s="33"/>
      <c r="W196" s="34" t="s">
        <v>69</v>
      </c>
      <c r="X196" s="543">
        <v>27</v>
      </c>
      <c r="Y196" s="544">
        <f t="shared" ref="Y196:Y203" si="10">IFERROR(IF(X196="",0,CEILING((X196/$H196),1)*$H196),"")</f>
        <v>27</v>
      </c>
      <c r="Z196" s="35">
        <f>IFERROR(IF(Y196=0,"",ROUNDUP(Y196/H196,0)*0.00902),"")</f>
        <v>4.5100000000000001E-2</v>
      </c>
      <c r="AA196" s="55"/>
      <c r="AB196" s="56"/>
      <c r="AC196" s="227" t="s">
        <v>312</v>
      </c>
      <c r="AG196" s="63"/>
      <c r="AJ196" s="66" t="s">
        <v>90</v>
      </c>
      <c r="AK196" s="66">
        <v>64.8</v>
      </c>
      <c r="BB196" s="228" t="s">
        <v>1</v>
      </c>
      <c r="BM196" s="63">
        <f t="shared" ref="BM196:BM203" si="11">IFERROR(X196*I196/H196,"0")</f>
        <v>28.049999999999997</v>
      </c>
      <c r="BN196" s="63">
        <f t="shared" ref="BN196:BN203" si="12">IFERROR(Y196*I196/H196,"0")</f>
        <v>28.049999999999997</v>
      </c>
      <c r="BO196" s="63">
        <f t="shared" ref="BO196:BO203" si="13">IFERROR(1/J196*(X196/H196),"0")</f>
        <v>3.787878787878788E-2</v>
      </c>
      <c r="BP196" s="63">
        <f t="shared" ref="BP196:BP203" si="14">IFERROR(1/J196*(Y196/H196),"0")</f>
        <v>3.787878787878788E-2</v>
      </c>
    </row>
    <row r="197" spans="1:68" ht="27" customHeight="1" x14ac:dyDescent="0.25">
      <c r="A197" s="53" t="s">
        <v>313</v>
      </c>
      <c r="B197" s="53" t="s">
        <v>314</v>
      </c>
      <c r="C197" s="30">
        <v>4301031230</v>
      </c>
      <c r="D197" s="560">
        <v>4680115882690</v>
      </c>
      <c r="E197" s="561"/>
      <c r="F197" s="542">
        <v>0.9</v>
      </c>
      <c r="G197" s="31">
        <v>6</v>
      </c>
      <c r="H197" s="542">
        <v>5.4</v>
      </c>
      <c r="I197" s="542">
        <v>5.61</v>
      </c>
      <c r="J197" s="31">
        <v>132</v>
      </c>
      <c r="K197" s="31" t="s">
        <v>110</v>
      </c>
      <c r="L197" s="31" t="s">
        <v>111</v>
      </c>
      <c r="M197" s="32" t="s">
        <v>68</v>
      </c>
      <c r="N197" s="32"/>
      <c r="O197" s="31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3"/>
      <c r="V197" s="33"/>
      <c r="W197" s="34" t="s">
        <v>69</v>
      </c>
      <c r="X197" s="543">
        <v>27</v>
      </c>
      <c r="Y197" s="544">
        <f t="shared" si="10"/>
        <v>27</v>
      </c>
      <c r="Z197" s="35">
        <f>IFERROR(IF(Y197=0,"",ROUNDUP(Y197/H197,0)*0.00902),"")</f>
        <v>4.5100000000000001E-2</v>
      </c>
      <c r="AA197" s="55"/>
      <c r="AB197" s="56"/>
      <c r="AC197" s="229" t="s">
        <v>315</v>
      </c>
      <c r="AG197" s="63"/>
      <c r="AJ197" s="66" t="s">
        <v>90</v>
      </c>
      <c r="AK197" s="66">
        <v>64.8</v>
      </c>
      <c r="BB197" s="230" t="s">
        <v>1</v>
      </c>
      <c r="BM197" s="63">
        <f t="shared" si="11"/>
        <v>28.049999999999997</v>
      </c>
      <c r="BN197" s="63">
        <f t="shared" si="12"/>
        <v>28.049999999999997</v>
      </c>
      <c r="BO197" s="63">
        <f t="shared" si="13"/>
        <v>3.787878787878788E-2</v>
      </c>
      <c r="BP197" s="63">
        <f t="shared" si="14"/>
        <v>3.787878787878788E-2</v>
      </c>
    </row>
    <row r="198" spans="1:68" ht="27" customHeight="1" x14ac:dyDescent="0.25">
      <c r="A198" s="53" t="s">
        <v>316</v>
      </c>
      <c r="B198" s="53" t="s">
        <v>317</v>
      </c>
      <c r="C198" s="30">
        <v>4301031220</v>
      </c>
      <c r="D198" s="560">
        <v>4680115882669</v>
      </c>
      <c r="E198" s="561"/>
      <c r="F198" s="542">
        <v>0.9</v>
      </c>
      <c r="G198" s="31">
        <v>6</v>
      </c>
      <c r="H198" s="542">
        <v>5.4</v>
      </c>
      <c r="I198" s="542">
        <v>5.61</v>
      </c>
      <c r="J198" s="31">
        <v>132</v>
      </c>
      <c r="K198" s="31" t="s">
        <v>110</v>
      </c>
      <c r="L198" s="31" t="s">
        <v>111</v>
      </c>
      <c r="M198" s="32" t="s">
        <v>68</v>
      </c>
      <c r="N198" s="32"/>
      <c r="O198" s="31">
        <v>40</v>
      </c>
      <c r="P198" s="6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3"/>
      <c r="V198" s="33"/>
      <c r="W198" s="34" t="s">
        <v>69</v>
      </c>
      <c r="X198" s="543">
        <v>27</v>
      </c>
      <c r="Y198" s="544">
        <f t="shared" si="10"/>
        <v>27</v>
      </c>
      <c r="Z198" s="35">
        <f>IFERROR(IF(Y198=0,"",ROUNDUP(Y198/H198,0)*0.00902),"")</f>
        <v>4.5100000000000001E-2</v>
      </c>
      <c r="AA198" s="55"/>
      <c r="AB198" s="56"/>
      <c r="AC198" s="231" t="s">
        <v>318</v>
      </c>
      <c r="AG198" s="63"/>
      <c r="AJ198" s="66" t="s">
        <v>90</v>
      </c>
      <c r="AK198" s="66">
        <v>64.8</v>
      </c>
      <c r="BB198" s="232" t="s">
        <v>1</v>
      </c>
      <c r="BM198" s="63">
        <f t="shared" si="11"/>
        <v>28.049999999999997</v>
      </c>
      <c r="BN198" s="63">
        <f t="shared" si="12"/>
        <v>28.049999999999997</v>
      </c>
      <c r="BO198" s="63">
        <f t="shared" si="13"/>
        <v>3.787878787878788E-2</v>
      </c>
      <c r="BP198" s="63">
        <f t="shared" si="14"/>
        <v>3.787878787878788E-2</v>
      </c>
    </row>
    <row r="199" spans="1:68" ht="27" customHeight="1" x14ac:dyDescent="0.25">
      <c r="A199" s="53" t="s">
        <v>319</v>
      </c>
      <c r="B199" s="53" t="s">
        <v>320</v>
      </c>
      <c r="C199" s="30">
        <v>4301031221</v>
      </c>
      <c r="D199" s="560">
        <v>4680115882676</v>
      </c>
      <c r="E199" s="561"/>
      <c r="F199" s="542">
        <v>0.9</v>
      </c>
      <c r="G199" s="31">
        <v>6</v>
      </c>
      <c r="H199" s="542">
        <v>5.4</v>
      </c>
      <c r="I199" s="542">
        <v>5.61</v>
      </c>
      <c r="J199" s="31">
        <v>132</v>
      </c>
      <c r="K199" s="31" t="s">
        <v>110</v>
      </c>
      <c r="L199" s="31" t="s">
        <v>111</v>
      </c>
      <c r="M199" s="32" t="s">
        <v>68</v>
      </c>
      <c r="N199" s="32"/>
      <c r="O199" s="31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3"/>
      <c r="V199" s="33"/>
      <c r="W199" s="34" t="s">
        <v>69</v>
      </c>
      <c r="X199" s="543">
        <v>27</v>
      </c>
      <c r="Y199" s="544">
        <f t="shared" si="10"/>
        <v>27</v>
      </c>
      <c r="Z199" s="35">
        <f>IFERROR(IF(Y199=0,"",ROUNDUP(Y199/H199,0)*0.00902),"")</f>
        <v>4.5100000000000001E-2</v>
      </c>
      <c r="AA199" s="55"/>
      <c r="AB199" s="56"/>
      <c r="AC199" s="233" t="s">
        <v>321</v>
      </c>
      <c r="AG199" s="63"/>
      <c r="AJ199" s="66" t="s">
        <v>90</v>
      </c>
      <c r="AK199" s="66">
        <v>64.8</v>
      </c>
      <c r="BB199" s="234" t="s">
        <v>1</v>
      </c>
      <c r="BM199" s="63">
        <f t="shared" si="11"/>
        <v>28.049999999999997</v>
      </c>
      <c r="BN199" s="63">
        <f t="shared" si="12"/>
        <v>28.049999999999997</v>
      </c>
      <c r="BO199" s="63">
        <f t="shared" si="13"/>
        <v>3.787878787878788E-2</v>
      </c>
      <c r="BP199" s="63">
        <f t="shared" si="14"/>
        <v>3.787878787878788E-2</v>
      </c>
    </row>
    <row r="200" spans="1:68" ht="27" customHeight="1" x14ac:dyDescent="0.25">
      <c r="A200" s="53" t="s">
        <v>322</v>
      </c>
      <c r="B200" s="53" t="s">
        <v>323</v>
      </c>
      <c r="C200" s="30">
        <v>4301031223</v>
      </c>
      <c r="D200" s="560">
        <v>4680115884014</v>
      </c>
      <c r="E200" s="561"/>
      <c r="F200" s="542">
        <v>0.3</v>
      </c>
      <c r="G200" s="31">
        <v>6</v>
      </c>
      <c r="H200" s="542">
        <v>1.8</v>
      </c>
      <c r="I200" s="542">
        <v>1.93</v>
      </c>
      <c r="J200" s="31">
        <v>234</v>
      </c>
      <c r="K200" s="31" t="s">
        <v>67</v>
      </c>
      <c r="L200" s="31" t="s">
        <v>273</v>
      </c>
      <c r="M200" s="32" t="s">
        <v>68</v>
      </c>
      <c r="N200" s="32"/>
      <c r="O200" s="31">
        <v>40</v>
      </c>
      <c r="P200" s="5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3"/>
      <c r="V200" s="33"/>
      <c r="W200" s="34" t="s">
        <v>69</v>
      </c>
      <c r="X200" s="543">
        <v>5.3999999999999986</v>
      </c>
      <c r="Y200" s="544">
        <f t="shared" si="10"/>
        <v>5.4</v>
      </c>
      <c r="Z200" s="35">
        <f>IFERROR(IF(Y200=0,"",ROUNDUP(Y200/H200,0)*0.00502),"")</f>
        <v>1.506E-2</v>
      </c>
      <c r="AA200" s="55"/>
      <c r="AB200" s="56"/>
      <c r="AC200" s="235" t="s">
        <v>312</v>
      </c>
      <c r="AG200" s="63"/>
      <c r="AJ200" s="66" t="s">
        <v>90</v>
      </c>
      <c r="AK200" s="66">
        <v>32.4</v>
      </c>
      <c r="BB200" s="236" t="s">
        <v>1</v>
      </c>
      <c r="BM200" s="63">
        <f t="shared" si="11"/>
        <v>5.7899999999999983</v>
      </c>
      <c r="BN200" s="63">
        <f t="shared" si="12"/>
        <v>5.79</v>
      </c>
      <c r="BO200" s="63">
        <f t="shared" si="13"/>
        <v>1.2820512820512818E-2</v>
      </c>
      <c r="BP200" s="63">
        <f t="shared" si="14"/>
        <v>1.2820512820512822E-2</v>
      </c>
    </row>
    <row r="201" spans="1:68" ht="27" customHeight="1" x14ac:dyDescent="0.25">
      <c r="A201" s="53" t="s">
        <v>324</v>
      </c>
      <c r="B201" s="53" t="s">
        <v>325</v>
      </c>
      <c r="C201" s="30">
        <v>4301031222</v>
      </c>
      <c r="D201" s="560">
        <v>4680115884007</v>
      </c>
      <c r="E201" s="561"/>
      <c r="F201" s="542">
        <v>0.3</v>
      </c>
      <c r="G201" s="31">
        <v>6</v>
      </c>
      <c r="H201" s="542">
        <v>1.8</v>
      </c>
      <c r="I201" s="542">
        <v>1.9</v>
      </c>
      <c r="J201" s="31">
        <v>234</v>
      </c>
      <c r="K201" s="31" t="s">
        <v>67</v>
      </c>
      <c r="L201" s="31" t="s">
        <v>273</v>
      </c>
      <c r="M201" s="32" t="s">
        <v>68</v>
      </c>
      <c r="N201" s="32"/>
      <c r="O201" s="31">
        <v>40</v>
      </c>
      <c r="P201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3"/>
      <c r="V201" s="33"/>
      <c r="W201" s="34" t="s">
        <v>69</v>
      </c>
      <c r="X201" s="543">
        <v>5.3999999999999986</v>
      </c>
      <c r="Y201" s="544">
        <f t="shared" si="10"/>
        <v>5.4</v>
      </c>
      <c r="Z201" s="35">
        <f>IFERROR(IF(Y201=0,"",ROUNDUP(Y201/H201,0)*0.00502),"")</f>
        <v>1.506E-2</v>
      </c>
      <c r="AA201" s="55"/>
      <c r="AB201" s="56"/>
      <c r="AC201" s="237" t="s">
        <v>315</v>
      </c>
      <c r="AG201" s="63"/>
      <c r="AJ201" s="66" t="s">
        <v>90</v>
      </c>
      <c r="AK201" s="66">
        <v>32.4</v>
      </c>
      <c r="BB201" s="238" t="s">
        <v>1</v>
      </c>
      <c r="BM201" s="63">
        <f t="shared" si="11"/>
        <v>5.6999999999999975</v>
      </c>
      <c r="BN201" s="63">
        <f t="shared" si="12"/>
        <v>5.7</v>
      </c>
      <c r="BO201" s="63">
        <f t="shared" si="13"/>
        <v>1.2820512820512818E-2</v>
      </c>
      <c r="BP201" s="63">
        <f t="shared" si="14"/>
        <v>1.2820512820512822E-2</v>
      </c>
    </row>
    <row r="202" spans="1:68" ht="27" customHeight="1" x14ac:dyDescent="0.25">
      <c r="A202" s="53" t="s">
        <v>326</v>
      </c>
      <c r="B202" s="53" t="s">
        <v>327</v>
      </c>
      <c r="C202" s="30">
        <v>4301031229</v>
      </c>
      <c r="D202" s="560">
        <v>4680115884038</v>
      </c>
      <c r="E202" s="561"/>
      <c r="F202" s="542">
        <v>0.3</v>
      </c>
      <c r="G202" s="31">
        <v>6</v>
      </c>
      <c r="H202" s="542">
        <v>1.8</v>
      </c>
      <c r="I202" s="542">
        <v>1.9</v>
      </c>
      <c r="J202" s="31">
        <v>234</v>
      </c>
      <c r="K202" s="31" t="s">
        <v>67</v>
      </c>
      <c r="L202" s="31"/>
      <c r="M202" s="32" t="s">
        <v>68</v>
      </c>
      <c r="N202" s="32"/>
      <c r="O202" s="31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3"/>
      <c r="V202" s="33"/>
      <c r="W202" s="34" t="s">
        <v>69</v>
      </c>
      <c r="X202" s="543">
        <v>5.3999999999999986</v>
      </c>
      <c r="Y202" s="544">
        <f t="shared" si="10"/>
        <v>5.4</v>
      </c>
      <c r="Z202" s="35">
        <f>IFERROR(IF(Y202=0,"",ROUNDUP(Y202/H202,0)*0.00502),"")</f>
        <v>1.506E-2</v>
      </c>
      <c r="AA202" s="55"/>
      <c r="AB202" s="56"/>
      <c r="AC202" s="239" t="s">
        <v>318</v>
      </c>
      <c r="AG202" s="63"/>
      <c r="AJ202" s="66"/>
      <c r="AK202" s="66">
        <v>0</v>
      </c>
      <c r="BB202" s="240" t="s">
        <v>1</v>
      </c>
      <c r="BM202" s="63">
        <f t="shared" si="11"/>
        <v>5.6999999999999975</v>
      </c>
      <c r="BN202" s="63">
        <f t="shared" si="12"/>
        <v>5.7</v>
      </c>
      <c r="BO202" s="63">
        <f t="shared" si="13"/>
        <v>1.2820512820512818E-2</v>
      </c>
      <c r="BP202" s="63">
        <f t="shared" si="14"/>
        <v>1.2820512820512822E-2</v>
      </c>
    </row>
    <row r="203" spans="1:68" ht="27" customHeight="1" x14ac:dyDescent="0.25">
      <c r="A203" s="53" t="s">
        <v>328</v>
      </c>
      <c r="B203" s="53" t="s">
        <v>329</v>
      </c>
      <c r="C203" s="30">
        <v>4301031225</v>
      </c>
      <c r="D203" s="560">
        <v>4680115884021</v>
      </c>
      <c r="E203" s="561"/>
      <c r="F203" s="542">
        <v>0.3</v>
      </c>
      <c r="G203" s="31">
        <v>6</v>
      </c>
      <c r="H203" s="542">
        <v>1.8</v>
      </c>
      <c r="I203" s="542">
        <v>1.9</v>
      </c>
      <c r="J203" s="31">
        <v>234</v>
      </c>
      <c r="K203" s="31" t="s">
        <v>67</v>
      </c>
      <c r="L203" s="31" t="s">
        <v>273</v>
      </c>
      <c r="M203" s="32" t="s">
        <v>68</v>
      </c>
      <c r="N203" s="32"/>
      <c r="O203" s="31">
        <v>40</v>
      </c>
      <c r="P203" s="74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3"/>
      <c r="V203" s="33"/>
      <c r="W203" s="34" t="s">
        <v>69</v>
      </c>
      <c r="X203" s="543">
        <v>5.3999999999999986</v>
      </c>
      <c r="Y203" s="544">
        <f t="shared" si="10"/>
        <v>5.4</v>
      </c>
      <c r="Z203" s="35">
        <f>IFERROR(IF(Y203=0,"",ROUNDUP(Y203/H203,0)*0.00502),"")</f>
        <v>1.506E-2</v>
      </c>
      <c r="AA203" s="55"/>
      <c r="AB203" s="56"/>
      <c r="AC203" s="241" t="s">
        <v>321</v>
      </c>
      <c r="AG203" s="63"/>
      <c r="AJ203" s="66" t="s">
        <v>90</v>
      </c>
      <c r="AK203" s="66">
        <v>32.4</v>
      </c>
      <c r="BB203" s="242" t="s">
        <v>1</v>
      </c>
      <c r="BM203" s="63">
        <f t="shared" si="11"/>
        <v>5.6999999999999975</v>
      </c>
      <c r="BN203" s="63">
        <f t="shared" si="12"/>
        <v>5.7</v>
      </c>
      <c r="BO203" s="63">
        <f t="shared" si="13"/>
        <v>1.2820512820512818E-2</v>
      </c>
      <c r="BP203" s="63">
        <f t="shared" si="14"/>
        <v>1.2820512820512822E-2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6" t="s">
        <v>72</v>
      </c>
      <c r="X204" s="545">
        <f>IFERROR(X196/H196,"0")+IFERROR(X197/H197,"0")+IFERROR(X198/H198,"0")+IFERROR(X199/H199,"0")+IFERROR(X200/H200,"0")+IFERROR(X201/H201,"0")+IFERROR(X202/H202,"0")+IFERROR(X203/H203,"0")</f>
        <v>32</v>
      </c>
      <c r="Y204" s="545">
        <f>IFERROR(Y196/H196,"0")+IFERROR(Y197/H197,"0")+IFERROR(Y198/H198,"0")+IFERROR(Y199/H199,"0")+IFERROR(Y200/H200,"0")+IFERROR(Y201/H201,"0")+IFERROR(Y202/H202,"0")+IFERROR(Y203/H203,"0")</f>
        <v>32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0.24063999999999997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6" t="s">
        <v>69</v>
      </c>
      <c r="X205" s="545">
        <f>IFERROR(SUM(X196:X203),"0")</f>
        <v>129.60000000000002</v>
      </c>
      <c r="Y205" s="545">
        <f>IFERROR(SUM(Y196:Y203),"0")</f>
        <v>129.60000000000002</v>
      </c>
      <c r="Z205" s="36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4"/>
      <c r="AB206" s="534"/>
      <c r="AC206" s="534"/>
    </row>
    <row r="207" spans="1:68" ht="27" customHeight="1" x14ac:dyDescent="0.25">
      <c r="A207" s="53" t="s">
        <v>330</v>
      </c>
      <c r="B207" s="53" t="s">
        <v>331</v>
      </c>
      <c r="C207" s="30">
        <v>4301051408</v>
      </c>
      <c r="D207" s="560">
        <v>4680115881594</v>
      </c>
      <c r="E207" s="561"/>
      <c r="F207" s="542">
        <v>1.35</v>
      </c>
      <c r="G207" s="31">
        <v>6</v>
      </c>
      <c r="H207" s="542">
        <v>8.1</v>
      </c>
      <c r="I207" s="542">
        <v>8.6189999999999998</v>
      </c>
      <c r="J207" s="31">
        <v>64</v>
      </c>
      <c r="K207" s="31" t="s">
        <v>104</v>
      </c>
      <c r="L207" s="31"/>
      <c r="M207" s="32" t="s">
        <v>77</v>
      </c>
      <c r="N207" s="32"/>
      <c r="O207" s="31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3"/>
      <c r="V207" s="33"/>
      <c r="W207" s="34" t="s">
        <v>69</v>
      </c>
      <c r="X207" s="543">
        <v>16.2</v>
      </c>
      <c r="Y207" s="544">
        <f t="shared" ref="Y207:Y215" si="15">IFERROR(IF(X207="",0,CEILING((X207/$H207),1)*$H207),"")</f>
        <v>16.2</v>
      </c>
      <c r="Z207" s="35">
        <f>IFERROR(IF(Y207=0,"",ROUNDUP(Y207/H207,0)*0.01898),"")</f>
        <v>3.7960000000000001E-2</v>
      </c>
      <c r="AA207" s="55"/>
      <c r="AB207" s="56"/>
      <c r="AC207" s="243" t="s">
        <v>332</v>
      </c>
      <c r="AG207" s="63"/>
      <c r="AJ207" s="66"/>
      <c r="AK207" s="66">
        <v>0</v>
      </c>
      <c r="BB207" s="244" t="s">
        <v>1</v>
      </c>
      <c r="BM207" s="63">
        <f t="shared" ref="BM207:BM215" si="16">IFERROR(X207*I207/H207,"0")</f>
        <v>17.238</v>
      </c>
      <c r="BN207" s="63">
        <f t="shared" ref="BN207:BN215" si="17">IFERROR(Y207*I207/H207,"0")</f>
        <v>17.238</v>
      </c>
      <c r="BO207" s="63">
        <f t="shared" ref="BO207:BO215" si="18">IFERROR(1/J207*(X207/H207),"0")</f>
        <v>3.125E-2</v>
      </c>
      <c r="BP207" s="63">
        <f t="shared" ref="BP207:BP215" si="19">IFERROR(1/J207*(Y207/H207),"0")</f>
        <v>3.125E-2</v>
      </c>
    </row>
    <row r="208" spans="1:68" ht="27" customHeight="1" x14ac:dyDescent="0.25">
      <c r="A208" s="53" t="s">
        <v>333</v>
      </c>
      <c r="B208" s="53" t="s">
        <v>334</v>
      </c>
      <c r="C208" s="30">
        <v>4301051411</v>
      </c>
      <c r="D208" s="560">
        <v>4680115881617</v>
      </c>
      <c r="E208" s="561"/>
      <c r="F208" s="542">
        <v>1.35</v>
      </c>
      <c r="G208" s="31">
        <v>6</v>
      </c>
      <c r="H208" s="542">
        <v>8.1</v>
      </c>
      <c r="I208" s="542">
        <v>8.6010000000000009</v>
      </c>
      <c r="J208" s="31">
        <v>64</v>
      </c>
      <c r="K208" s="31" t="s">
        <v>104</v>
      </c>
      <c r="L208" s="31"/>
      <c r="M208" s="32" t="s">
        <v>77</v>
      </c>
      <c r="N208" s="32"/>
      <c r="O208" s="31">
        <v>40</v>
      </c>
      <c r="P208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3"/>
      <c r="V208" s="33"/>
      <c r="W208" s="34" t="s">
        <v>69</v>
      </c>
      <c r="X208" s="543">
        <v>16.2</v>
      </c>
      <c r="Y208" s="544">
        <f t="shared" si="15"/>
        <v>16.2</v>
      </c>
      <c r="Z208" s="35">
        <f>IFERROR(IF(Y208=0,"",ROUNDUP(Y208/H208,0)*0.01898),"")</f>
        <v>3.7960000000000001E-2</v>
      </c>
      <c r="AA208" s="55"/>
      <c r="AB208" s="56"/>
      <c r="AC208" s="245" t="s">
        <v>335</v>
      </c>
      <c r="AG208" s="63"/>
      <c r="AJ208" s="66"/>
      <c r="AK208" s="66">
        <v>0</v>
      </c>
      <c r="BB208" s="246" t="s">
        <v>1</v>
      </c>
      <c r="BM208" s="63">
        <f t="shared" si="16"/>
        <v>17.202000000000002</v>
      </c>
      <c r="BN208" s="63">
        <f t="shared" si="17"/>
        <v>17.202000000000002</v>
      </c>
      <c r="BO208" s="63">
        <f t="shared" si="18"/>
        <v>3.125E-2</v>
      </c>
      <c r="BP208" s="63">
        <f t="shared" si="19"/>
        <v>3.125E-2</v>
      </c>
    </row>
    <row r="209" spans="1:68" ht="27" customHeight="1" x14ac:dyDescent="0.25">
      <c r="A209" s="53" t="s">
        <v>336</v>
      </c>
      <c r="B209" s="53" t="s">
        <v>337</v>
      </c>
      <c r="C209" s="30">
        <v>4301051656</v>
      </c>
      <c r="D209" s="560">
        <v>4680115880573</v>
      </c>
      <c r="E209" s="561"/>
      <c r="F209" s="542">
        <v>1.45</v>
      </c>
      <c r="G209" s="31">
        <v>6</v>
      </c>
      <c r="H209" s="542">
        <v>8.6999999999999993</v>
      </c>
      <c r="I209" s="542">
        <v>9.2189999999999994</v>
      </c>
      <c r="J209" s="31">
        <v>64</v>
      </c>
      <c r="K209" s="31" t="s">
        <v>104</v>
      </c>
      <c r="L209" s="31" t="s">
        <v>105</v>
      </c>
      <c r="M209" s="32" t="s">
        <v>77</v>
      </c>
      <c r="N209" s="32"/>
      <c r="O209" s="31">
        <v>45</v>
      </c>
      <c r="P209" s="8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3"/>
      <c r="V209" s="33"/>
      <c r="W209" s="34" t="s">
        <v>69</v>
      </c>
      <c r="X209" s="543">
        <v>17.399999999999999</v>
      </c>
      <c r="Y209" s="544">
        <f t="shared" si="15"/>
        <v>17.399999999999999</v>
      </c>
      <c r="Z209" s="35">
        <f>IFERROR(IF(Y209=0,"",ROUNDUP(Y209/H209,0)*0.01898),"")</f>
        <v>3.7960000000000001E-2</v>
      </c>
      <c r="AA209" s="55"/>
      <c r="AB209" s="56"/>
      <c r="AC209" s="247" t="s">
        <v>338</v>
      </c>
      <c r="AG209" s="63"/>
      <c r="AJ209" s="66" t="s">
        <v>90</v>
      </c>
      <c r="AK209" s="66">
        <v>69.599999999999994</v>
      </c>
      <c r="BB209" s="248" t="s">
        <v>1</v>
      </c>
      <c r="BM209" s="63">
        <f t="shared" si="16"/>
        <v>18.437999999999999</v>
      </c>
      <c r="BN209" s="63">
        <f t="shared" si="17"/>
        <v>18.437999999999999</v>
      </c>
      <c r="BO209" s="63">
        <f t="shared" si="18"/>
        <v>3.125E-2</v>
      </c>
      <c r="BP209" s="63">
        <f t="shared" si="19"/>
        <v>3.125E-2</v>
      </c>
    </row>
    <row r="210" spans="1:68" ht="27" customHeight="1" x14ac:dyDescent="0.25">
      <c r="A210" s="53" t="s">
        <v>339</v>
      </c>
      <c r="B210" s="53" t="s">
        <v>340</v>
      </c>
      <c r="C210" s="30">
        <v>4301051407</v>
      </c>
      <c r="D210" s="560">
        <v>4680115882195</v>
      </c>
      <c r="E210" s="561"/>
      <c r="F210" s="542">
        <v>0.4</v>
      </c>
      <c r="G210" s="31">
        <v>6</v>
      </c>
      <c r="H210" s="542">
        <v>2.4</v>
      </c>
      <c r="I210" s="542">
        <v>2.67</v>
      </c>
      <c r="J210" s="31">
        <v>182</v>
      </c>
      <c r="K210" s="31" t="s">
        <v>76</v>
      </c>
      <c r="L210" s="31" t="s">
        <v>88</v>
      </c>
      <c r="M210" s="32" t="s">
        <v>77</v>
      </c>
      <c r="N210" s="32"/>
      <c r="O210" s="31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3"/>
      <c r="V210" s="33"/>
      <c r="W210" s="34" t="s">
        <v>69</v>
      </c>
      <c r="X210" s="543">
        <v>2.4</v>
      </c>
      <c r="Y210" s="544">
        <f t="shared" si="15"/>
        <v>2.4</v>
      </c>
      <c r="Z210" s="35">
        <f t="shared" ref="Z210:Z215" si="20">IFERROR(IF(Y210=0,"",ROUNDUP(Y210/H210,0)*0.00651),"")</f>
        <v>6.5100000000000002E-3</v>
      </c>
      <c r="AA210" s="55"/>
      <c r="AB210" s="56"/>
      <c r="AC210" s="249" t="s">
        <v>332</v>
      </c>
      <c r="AG210" s="63"/>
      <c r="AJ210" s="66" t="s">
        <v>90</v>
      </c>
      <c r="AK210" s="66">
        <v>33.6</v>
      </c>
      <c r="BB210" s="250" t="s">
        <v>1</v>
      </c>
      <c r="BM210" s="63">
        <f t="shared" si="16"/>
        <v>2.67</v>
      </c>
      <c r="BN210" s="63">
        <f t="shared" si="17"/>
        <v>2.67</v>
      </c>
      <c r="BO210" s="63">
        <f t="shared" si="18"/>
        <v>5.4945054945054949E-3</v>
      </c>
      <c r="BP210" s="63">
        <f t="shared" si="19"/>
        <v>5.4945054945054949E-3</v>
      </c>
    </row>
    <row r="211" spans="1:68" ht="27" hidden="1" customHeight="1" x14ac:dyDescent="0.25">
      <c r="A211" s="53" t="s">
        <v>341</v>
      </c>
      <c r="B211" s="53" t="s">
        <v>342</v>
      </c>
      <c r="C211" s="30">
        <v>4301051752</v>
      </c>
      <c r="D211" s="560">
        <v>4680115882607</v>
      </c>
      <c r="E211" s="561"/>
      <c r="F211" s="542">
        <v>0.3</v>
      </c>
      <c r="G211" s="31">
        <v>6</v>
      </c>
      <c r="H211" s="542">
        <v>1.8</v>
      </c>
      <c r="I211" s="542">
        <v>2.052</v>
      </c>
      <c r="J211" s="31">
        <v>182</v>
      </c>
      <c r="K211" s="31" t="s">
        <v>76</v>
      </c>
      <c r="L211" s="31" t="s">
        <v>88</v>
      </c>
      <c r="M211" s="32" t="s">
        <v>84</v>
      </c>
      <c r="N211" s="32"/>
      <c r="O211" s="31">
        <v>45</v>
      </c>
      <c r="P211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3"/>
      <c r="V211" s="33"/>
      <c r="W211" s="34" t="s">
        <v>69</v>
      </c>
      <c r="X211" s="543">
        <v>0</v>
      </c>
      <c r="Y211" s="544">
        <f t="shared" si="15"/>
        <v>0</v>
      </c>
      <c r="Z211" s="35" t="str">
        <f t="shared" si="20"/>
        <v/>
      </c>
      <c r="AA211" s="55"/>
      <c r="AB211" s="56"/>
      <c r="AC211" s="251" t="s">
        <v>343</v>
      </c>
      <c r="AG211" s="63"/>
      <c r="AJ211" s="66" t="s">
        <v>90</v>
      </c>
      <c r="AK211" s="66">
        <v>25.2</v>
      </c>
      <c r="BB211" s="252" t="s">
        <v>1</v>
      </c>
      <c r="BM211" s="63">
        <f t="shared" si="16"/>
        <v>0</v>
      </c>
      <c r="BN211" s="63">
        <f t="shared" si="17"/>
        <v>0</v>
      </c>
      <c r="BO211" s="63">
        <f t="shared" si="18"/>
        <v>0</v>
      </c>
      <c r="BP211" s="63">
        <f t="shared" si="19"/>
        <v>0</v>
      </c>
    </row>
    <row r="212" spans="1:68" ht="27" customHeight="1" x14ac:dyDescent="0.25">
      <c r="A212" s="53" t="s">
        <v>344</v>
      </c>
      <c r="B212" s="53" t="s">
        <v>345</v>
      </c>
      <c r="C212" s="30">
        <v>4301051666</v>
      </c>
      <c r="D212" s="560">
        <v>4680115880092</v>
      </c>
      <c r="E212" s="561"/>
      <c r="F212" s="542">
        <v>0.4</v>
      </c>
      <c r="G212" s="31">
        <v>6</v>
      </c>
      <c r="H212" s="542">
        <v>2.4</v>
      </c>
      <c r="I212" s="542">
        <v>2.6520000000000001</v>
      </c>
      <c r="J212" s="31">
        <v>182</v>
      </c>
      <c r="K212" s="31" t="s">
        <v>76</v>
      </c>
      <c r="L212" s="31" t="s">
        <v>88</v>
      </c>
      <c r="M212" s="32" t="s">
        <v>77</v>
      </c>
      <c r="N212" s="32"/>
      <c r="O212" s="31">
        <v>45</v>
      </c>
      <c r="P212" s="7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3"/>
      <c r="V212" s="33"/>
      <c r="W212" s="34" t="s">
        <v>69</v>
      </c>
      <c r="X212" s="543">
        <v>2.4</v>
      </c>
      <c r="Y212" s="544">
        <f t="shared" si="15"/>
        <v>2.4</v>
      </c>
      <c r="Z212" s="35">
        <f t="shared" si="20"/>
        <v>6.5100000000000002E-3</v>
      </c>
      <c r="AA212" s="55"/>
      <c r="AB212" s="56"/>
      <c r="AC212" s="253" t="s">
        <v>338</v>
      </c>
      <c r="AG212" s="63"/>
      <c r="AJ212" s="66" t="s">
        <v>90</v>
      </c>
      <c r="AK212" s="66">
        <v>33.6</v>
      </c>
      <c r="BB212" s="254" t="s">
        <v>1</v>
      </c>
      <c r="BM212" s="63">
        <f t="shared" si="16"/>
        <v>2.6520000000000001</v>
      </c>
      <c r="BN212" s="63">
        <f t="shared" si="17"/>
        <v>2.6520000000000001</v>
      </c>
      <c r="BO212" s="63">
        <f t="shared" si="18"/>
        <v>5.4945054945054949E-3</v>
      </c>
      <c r="BP212" s="63">
        <f t="shared" si="19"/>
        <v>5.4945054945054949E-3</v>
      </c>
    </row>
    <row r="213" spans="1:68" ht="27" customHeight="1" x14ac:dyDescent="0.25">
      <c r="A213" s="53" t="s">
        <v>346</v>
      </c>
      <c r="B213" s="53" t="s">
        <v>347</v>
      </c>
      <c r="C213" s="30">
        <v>4301051668</v>
      </c>
      <c r="D213" s="560">
        <v>4680115880221</v>
      </c>
      <c r="E213" s="561"/>
      <c r="F213" s="542">
        <v>0.4</v>
      </c>
      <c r="G213" s="31">
        <v>6</v>
      </c>
      <c r="H213" s="542">
        <v>2.4</v>
      </c>
      <c r="I213" s="542">
        <v>2.6520000000000001</v>
      </c>
      <c r="J213" s="31">
        <v>182</v>
      </c>
      <c r="K213" s="31" t="s">
        <v>76</v>
      </c>
      <c r="L213" s="31" t="s">
        <v>88</v>
      </c>
      <c r="M213" s="32" t="s">
        <v>77</v>
      </c>
      <c r="N213" s="32"/>
      <c r="O213" s="31">
        <v>45</v>
      </c>
      <c r="P213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3"/>
      <c r="V213" s="33"/>
      <c r="W213" s="34" t="s">
        <v>69</v>
      </c>
      <c r="X213" s="543">
        <v>2.4</v>
      </c>
      <c r="Y213" s="544">
        <f t="shared" si="15"/>
        <v>2.4</v>
      </c>
      <c r="Z213" s="35">
        <f t="shared" si="20"/>
        <v>6.5100000000000002E-3</v>
      </c>
      <c r="AA213" s="55"/>
      <c r="AB213" s="56"/>
      <c r="AC213" s="255" t="s">
        <v>338</v>
      </c>
      <c r="AG213" s="63"/>
      <c r="AJ213" s="66" t="s">
        <v>90</v>
      </c>
      <c r="AK213" s="66">
        <v>33.6</v>
      </c>
      <c r="BB213" s="256" t="s">
        <v>1</v>
      </c>
      <c r="BM213" s="63">
        <f t="shared" si="16"/>
        <v>2.6520000000000001</v>
      </c>
      <c r="BN213" s="63">
        <f t="shared" si="17"/>
        <v>2.6520000000000001</v>
      </c>
      <c r="BO213" s="63">
        <f t="shared" si="18"/>
        <v>5.4945054945054949E-3</v>
      </c>
      <c r="BP213" s="63">
        <f t="shared" si="19"/>
        <v>5.4945054945054949E-3</v>
      </c>
    </row>
    <row r="214" spans="1:68" ht="27" customHeight="1" x14ac:dyDescent="0.25">
      <c r="A214" s="53" t="s">
        <v>348</v>
      </c>
      <c r="B214" s="53" t="s">
        <v>349</v>
      </c>
      <c r="C214" s="30">
        <v>4301051945</v>
      </c>
      <c r="D214" s="560">
        <v>4680115880504</v>
      </c>
      <c r="E214" s="561"/>
      <c r="F214" s="542">
        <v>0.4</v>
      </c>
      <c r="G214" s="31">
        <v>6</v>
      </c>
      <c r="H214" s="542">
        <v>2.4</v>
      </c>
      <c r="I214" s="542">
        <v>2.6520000000000001</v>
      </c>
      <c r="J214" s="31">
        <v>182</v>
      </c>
      <c r="K214" s="31" t="s">
        <v>76</v>
      </c>
      <c r="L214" s="31" t="s">
        <v>88</v>
      </c>
      <c r="M214" s="32" t="s">
        <v>84</v>
      </c>
      <c r="N214" s="32"/>
      <c r="O214" s="31">
        <v>40</v>
      </c>
      <c r="P214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3"/>
      <c r="V214" s="33"/>
      <c r="W214" s="34" t="s">
        <v>69</v>
      </c>
      <c r="X214" s="543">
        <v>4.8000000000000007</v>
      </c>
      <c r="Y214" s="544">
        <f t="shared" si="15"/>
        <v>4.8</v>
      </c>
      <c r="Z214" s="35">
        <f t="shared" si="20"/>
        <v>1.302E-2</v>
      </c>
      <c r="AA214" s="55"/>
      <c r="AB214" s="56"/>
      <c r="AC214" s="257" t="s">
        <v>350</v>
      </c>
      <c r="AG214" s="63"/>
      <c r="AJ214" s="66" t="s">
        <v>90</v>
      </c>
      <c r="AK214" s="66">
        <v>33.6</v>
      </c>
      <c r="BB214" s="258" t="s">
        <v>1</v>
      </c>
      <c r="BM214" s="63">
        <f t="shared" si="16"/>
        <v>5.3040000000000012</v>
      </c>
      <c r="BN214" s="63">
        <f t="shared" si="17"/>
        <v>5.3040000000000003</v>
      </c>
      <c r="BO214" s="63">
        <f t="shared" si="18"/>
        <v>1.0989010989010992E-2</v>
      </c>
      <c r="BP214" s="63">
        <f t="shared" si="19"/>
        <v>1.098901098901099E-2</v>
      </c>
    </row>
    <row r="215" spans="1:68" ht="27" hidden="1" customHeight="1" x14ac:dyDescent="0.25">
      <c r="A215" s="53" t="s">
        <v>351</v>
      </c>
      <c r="B215" s="53" t="s">
        <v>352</v>
      </c>
      <c r="C215" s="30">
        <v>4301051410</v>
      </c>
      <c r="D215" s="560">
        <v>4680115882164</v>
      </c>
      <c r="E215" s="561"/>
      <c r="F215" s="542">
        <v>0.4</v>
      </c>
      <c r="G215" s="31">
        <v>6</v>
      </c>
      <c r="H215" s="542">
        <v>2.4</v>
      </c>
      <c r="I215" s="542">
        <v>2.6579999999999999</v>
      </c>
      <c r="J215" s="31">
        <v>182</v>
      </c>
      <c r="K215" s="31" t="s">
        <v>76</v>
      </c>
      <c r="L215" s="31" t="s">
        <v>88</v>
      </c>
      <c r="M215" s="32" t="s">
        <v>77</v>
      </c>
      <c r="N215" s="32"/>
      <c r="O215" s="31">
        <v>40</v>
      </c>
      <c r="P215" s="8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3"/>
      <c r="V215" s="33"/>
      <c r="W215" s="34" t="s">
        <v>69</v>
      </c>
      <c r="X215" s="543">
        <v>0</v>
      </c>
      <c r="Y215" s="544">
        <f t="shared" si="15"/>
        <v>0</v>
      </c>
      <c r="Z215" s="35" t="str">
        <f t="shared" si="20"/>
        <v/>
      </c>
      <c r="AA215" s="55"/>
      <c r="AB215" s="56"/>
      <c r="AC215" s="259" t="s">
        <v>335</v>
      </c>
      <c r="AG215" s="63"/>
      <c r="AJ215" s="66" t="s">
        <v>90</v>
      </c>
      <c r="AK215" s="66">
        <v>33.6</v>
      </c>
      <c r="BB215" s="260" t="s">
        <v>1</v>
      </c>
      <c r="BM215" s="63">
        <f t="shared" si="16"/>
        <v>0</v>
      </c>
      <c r="BN215" s="63">
        <f t="shared" si="17"/>
        <v>0</v>
      </c>
      <c r="BO215" s="63">
        <f t="shared" si="18"/>
        <v>0</v>
      </c>
      <c r="BP215" s="63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6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</v>
      </c>
      <c r="Y216" s="545">
        <f>IFERROR(Y207/H207,"0")+IFERROR(Y208/H208,"0")+IFERROR(Y209/H209,"0")+IFERROR(Y210/H210,"0")+IFERROR(Y211/H211,"0")+IFERROR(Y212/H212,"0")+IFERROR(Y213/H213,"0")+IFERROR(Y214/H214,"0")+IFERROR(Y215/H215,"0")</f>
        <v>11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0.14643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6" t="s">
        <v>69</v>
      </c>
      <c r="X217" s="545">
        <f>IFERROR(SUM(X207:X215),"0")</f>
        <v>61.8</v>
      </c>
      <c r="Y217" s="545">
        <f>IFERROR(SUM(Y207:Y215),"0")</f>
        <v>61.79999999999999</v>
      </c>
      <c r="Z217" s="36"/>
      <c r="AA217" s="546"/>
      <c r="AB217" s="546"/>
      <c r="AC217" s="546"/>
    </row>
    <row r="218" spans="1:68" ht="14.25" hidden="1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4"/>
      <c r="AB218" s="534"/>
      <c r="AC218" s="534"/>
    </row>
    <row r="219" spans="1:68" ht="27" hidden="1" customHeight="1" x14ac:dyDescent="0.25">
      <c r="A219" s="53" t="s">
        <v>353</v>
      </c>
      <c r="B219" s="53" t="s">
        <v>354</v>
      </c>
      <c r="C219" s="30">
        <v>4301060463</v>
      </c>
      <c r="D219" s="560">
        <v>4680115880818</v>
      </c>
      <c r="E219" s="561"/>
      <c r="F219" s="542">
        <v>0.4</v>
      </c>
      <c r="G219" s="31">
        <v>6</v>
      </c>
      <c r="H219" s="542">
        <v>2.4</v>
      </c>
      <c r="I219" s="542">
        <v>2.6520000000000001</v>
      </c>
      <c r="J219" s="31">
        <v>182</v>
      </c>
      <c r="K219" s="31" t="s">
        <v>76</v>
      </c>
      <c r="L219" s="31" t="s">
        <v>88</v>
      </c>
      <c r="M219" s="32" t="s">
        <v>84</v>
      </c>
      <c r="N219" s="32"/>
      <c r="O219" s="31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3"/>
      <c r="V219" s="33"/>
      <c r="W219" s="34" t="s">
        <v>69</v>
      </c>
      <c r="X219" s="543">
        <v>0</v>
      </c>
      <c r="Y219" s="544">
        <f>IFERROR(IF(X219="",0,CEILING((X219/$H219),1)*$H219),"")</f>
        <v>0</v>
      </c>
      <c r="Z219" s="35" t="str">
        <f>IFERROR(IF(Y219=0,"",ROUNDUP(Y219/H219,0)*0.00651),"")</f>
        <v/>
      </c>
      <c r="AA219" s="55"/>
      <c r="AB219" s="56"/>
      <c r="AC219" s="261" t="s">
        <v>355</v>
      </c>
      <c r="AG219" s="63"/>
      <c r="AJ219" s="66" t="s">
        <v>90</v>
      </c>
      <c r="AK219" s="66">
        <v>33.6</v>
      </c>
      <c r="BB219" s="262" t="s">
        <v>1</v>
      </c>
      <c r="BM219" s="63">
        <f>IFERROR(X219*I219/H219,"0")</f>
        <v>0</v>
      </c>
      <c r="BN219" s="63">
        <f>IFERROR(Y219*I219/H219,"0")</f>
        <v>0</v>
      </c>
      <c r="BO219" s="63">
        <f>IFERROR(1/J219*(X219/H219),"0")</f>
        <v>0</v>
      </c>
      <c r="BP219" s="63">
        <f>IFERROR(1/J219*(Y219/H219),"0")</f>
        <v>0</v>
      </c>
    </row>
    <row r="220" spans="1:68" ht="37.5" hidden="1" customHeight="1" x14ac:dyDescent="0.25">
      <c r="A220" s="53" t="s">
        <v>356</v>
      </c>
      <c r="B220" s="53" t="s">
        <v>357</v>
      </c>
      <c r="C220" s="30">
        <v>4301060389</v>
      </c>
      <c r="D220" s="560">
        <v>4680115880801</v>
      </c>
      <c r="E220" s="561"/>
      <c r="F220" s="542">
        <v>0.4</v>
      </c>
      <c r="G220" s="31">
        <v>6</v>
      </c>
      <c r="H220" s="542">
        <v>2.4</v>
      </c>
      <c r="I220" s="542">
        <v>2.6520000000000001</v>
      </c>
      <c r="J220" s="31">
        <v>182</v>
      </c>
      <c r="K220" s="31" t="s">
        <v>76</v>
      </c>
      <c r="L220" s="31"/>
      <c r="M220" s="32" t="s">
        <v>77</v>
      </c>
      <c r="N220" s="32"/>
      <c r="O220" s="31">
        <v>40</v>
      </c>
      <c r="P220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3"/>
      <c r="V220" s="33"/>
      <c r="W220" s="34" t="s">
        <v>69</v>
      </c>
      <c r="X220" s="543">
        <v>0</v>
      </c>
      <c r="Y220" s="544">
        <f>IFERROR(IF(X220="",0,CEILING((X220/$H220),1)*$H220),"")</f>
        <v>0</v>
      </c>
      <c r="Z220" s="35" t="str">
        <f>IFERROR(IF(Y220=0,"",ROUNDUP(Y220/H220,0)*0.00651),"")</f>
        <v/>
      </c>
      <c r="AA220" s="55"/>
      <c r="AB220" s="56"/>
      <c r="AC220" s="263" t="s">
        <v>358</v>
      </c>
      <c r="AG220" s="63"/>
      <c r="AJ220" s="66"/>
      <c r="AK220" s="66">
        <v>0</v>
      </c>
      <c r="BB220" s="264" t="s">
        <v>1</v>
      </c>
      <c r="BM220" s="63">
        <f>IFERROR(X220*I220/H220,"0")</f>
        <v>0</v>
      </c>
      <c r="BN220" s="63">
        <f>IFERROR(Y220*I220/H220,"0")</f>
        <v>0</v>
      </c>
      <c r="BO220" s="63">
        <f>IFERROR(1/J220*(X220/H220),"0")</f>
        <v>0</v>
      </c>
      <c r="BP220" s="63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6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6" t="s">
        <v>69</v>
      </c>
      <c r="X222" s="545">
        <f>IFERROR(SUM(X219:X220),"0")</f>
        <v>0</v>
      </c>
      <c r="Y222" s="545">
        <f>IFERROR(SUM(Y219:Y220),"0")</f>
        <v>0</v>
      </c>
      <c r="Z222" s="36"/>
      <c r="AA222" s="546"/>
      <c r="AB222" s="546"/>
      <c r="AC222" s="546"/>
    </row>
    <row r="223" spans="1:68" ht="16.5" hidden="1" customHeight="1" x14ac:dyDescent="0.25">
      <c r="A223" s="596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4"/>
      <c r="AB224" s="534"/>
      <c r="AC224" s="534"/>
    </row>
    <row r="225" spans="1:68" ht="27" hidden="1" customHeight="1" x14ac:dyDescent="0.25">
      <c r="A225" s="53" t="s">
        <v>360</v>
      </c>
      <c r="B225" s="53" t="s">
        <v>361</v>
      </c>
      <c r="C225" s="30">
        <v>4301011826</v>
      </c>
      <c r="D225" s="560">
        <v>4680115884137</v>
      </c>
      <c r="E225" s="561"/>
      <c r="F225" s="542">
        <v>1.45</v>
      </c>
      <c r="G225" s="31">
        <v>8</v>
      </c>
      <c r="H225" s="542">
        <v>11.6</v>
      </c>
      <c r="I225" s="542">
        <v>12.035</v>
      </c>
      <c r="J225" s="31">
        <v>64</v>
      </c>
      <c r="K225" s="31" t="s">
        <v>104</v>
      </c>
      <c r="L225" s="31"/>
      <c r="M225" s="32" t="s">
        <v>106</v>
      </c>
      <c r="N225" s="32"/>
      <c r="O225" s="31">
        <v>55</v>
      </c>
      <c r="P225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3"/>
      <c r="V225" s="33"/>
      <c r="W225" s="34" t="s">
        <v>69</v>
      </c>
      <c r="X225" s="543">
        <v>0</v>
      </c>
      <c r="Y225" s="544">
        <f t="shared" ref="Y225:Y234" si="21">IFERROR(IF(X225="",0,CEILING((X225/$H225),1)*$H225),"")</f>
        <v>0</v>
      </c>
      <c r="Z225" s="35" t="str">
        <f>IFERROR(IF(Y225=0,"",ROUNDUP(Y225/H225,0)*0.01898),"")</f>
        <v/>
      </c>
      <c r="AA225" s="55"/>
      <c r="AB225" s="56"/>
      <c r="AC225" s="265" t="s">
        <v>362</v>
      </c>
      <c r="AG225" s="63"/>
      <c r="AJ225" s="66"/>
      <c r="AK225" s="66">
        <v>0</v>
      </c>
      <c r="BB225" s="266" t="s">
        <v>1</v>
      </c>
      <c r="BM225" s="63">
        <f t="shared" ref="BM225:BM234" si="22">IFERROR(X225*I225/H225,"0")</f>
        <v>0</v>
      </c>
      <c r="BN225" s="63">
        <f t="shared" ref="BN225:BN234" si="23">IFERROR(Y225*I225/H225,"0")</f>
        <v>0</v>
      </c>
      <c r="BO225" s="63">
        <f t="shared" ref="BO225:BO234" si="24">IFERROR(1/J225*(X225/H225),"0")</f>
        <v>0</v>
      </c>
      <c r="BP225" s="63">
        <f t="shared" ref="BP225:BP234" si="25">IFERROR(1/J225*(Y225/H225),"0")</f>
        <v>0</v>
      </c>
    </row>
    <row r="226" spans="1:68" ht="27" hidden="1" customHeight="1" x14ac:dyDescent="0.25">
      <c r="A226" s="53" t="s">
        <v>363</v>
      </c>
      <c r="B226" s="53" t="s">
        <v>364</v>
      </c>
      <c r="C226" s="30">
        <v>4301011724</v>
      </c>
      <c r="D226" s="560">
        <v>4680115884236</v>
      </c>
      <c r="E226" s="561"/>
      <c r="F226" s="542">
        <v>1.45</v>
      </c>
      <c r="G226" s="31">
        <v>8</v>
      </c>
      <c r="H226" s="542">
        <v>11.6</v>
      </c>
      <c r="I226" s="542">
        <v>12.035</v>
      </c>
      <c r="J226" s="31">
        <v>64</v>
      </c>
      <c r="K226" s="31" t="s">
        <v>104</v>
      </c>
      <c r="L226" s="31"/>
      <c r="M226" s="32" t="s">
        <v>106</v>
      </c>
      <c r="N226" s="32"/>
      <c r="O226" s="31">
        <v>55</v>
      </c>
      <c r="P226" s="6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3"/>
      <c r="V226" s="33"/>
      <c r="W226" s="34" t="s">
        <v>69</v>
      </c>
      <c r="X226" s="543">
        <v>0</v>
      </c>
      <c r="Y226" s="544">
        <f t="shared" si="21"/>
        <v>0</v>
      </c>
      <c r="Z226" s="35" t="str">
        <f>IFERROR(IF(Y226=0,"",ROUNDUP(Y226/H226,0)*0.01898),"")</f>
        <v/>
      </c>
      <c r="AA226" s="55"/>
      <c r="AB226" s="56"/>
      <c r="AC226" s="267" t="s">
        <v>365</v>
      </c>
      <c r="AG226" s="63"/>
      <c r="AJ226" s="66"/>
      <c r="AK226" s="66">
        <v>0</v>
      </c>
      <c r="BB226" s="268" t="s">
        <v>1</v>
      </c>
      <c r="BM226" s="63">
        <f t="shared" si="22"/>
        <v>0</v>
      </c>
      <c r="BN226" s="63">
        <f t="shared" si="23"/>
        <v>0</v>
      </c>
      <c r="BO226" s="63">
        <f t="shared" si="24"/>
        <v>0</v>
      </c>
      <c r="BP226" s="63">
        <f t="shared" si="25"/>
        <v>0</v>
      </c>
    </row>
    <row r="227" spans="1:68" ht="27" hidden="1" customHeight="1" x14ac:dyDescent="0.25">
      <c r="A227" s="53" t="s">
        <v>366</v>
      </c>
      <c r="B227" s="53" t="s">
        <v>367</v>
      </c>
      <c r="C227" s="30">
        <v>4301011721</v>
      </c>
      <c r="D227" s="560">
        <v>4680115884175</v>
      </c>
      <c r="E227" s="561"/>
      <c r="F227" s="542">
        <v>1.45</v>
      </c>
      <c r="G227" s="31">
        <v>8</v>
      </c>
      <c r="H227" s="542">
        <v>11.6</v>
      </c>
      <c r="I227" s="542">
        <v>12.035</v>
      </c>
      <c r="J227" s="31">
        <v>64</v>
      </c>
      <c r="K227" s="31" t="s">
        <v>104</v>
      </c>
      <c r="L227" s="31"/>
      <c r="M227" s="32" t="s">
        <v>106</v>
      </c>
      <c r="N227" s="32"/>
      <c r="O227" s="31">
        <v>55</v>
      </c>
      <c r="P227" s="6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3"/>
      <c r="V227" s="33"/>
      <c r="W227" s="34" t="s">
        <v>69</v>
      </c>
      <c r="X227" s="543">
        <v>0</v>
      </c>
      <c r="Y227" s="544">
        <f t="shared" si="21"/>
        <v>0</v>
      </c>
      <c r="Z227" s="35" t="str">
        <f>IFERROR(IF(Y227=0,"",ROUNDUP(Y227/H227,0)*0.01898),"")</f>
        <v/>
      </c>
      <c r="AA227" s="55"/>
      <c r="AB227" s="56"/>
      <c r="AC227" s="269" t="s">
        <v>368</v>
      </c>
      <c r="AG227" s="63"/>
      <c r="AJ227" s="66"/>
      <c r="AK227" s="66">
        <v>0</v>
      </c>
      <c r="BB227" s="270" t="s">
        <v>1</v>
      </c>
      <c r="BM227" s="63">
        <f t="shared" si="22"/>
        <v>0</v>
      </c>
      <c r="BN227" s="63">
        <f t="shared" si="23"/>
        <v>0</v>
      </c>
      <c r="BO227" s="63">
        <f t="shared" si="24"/>
        <v>0</v>
      </c>
      <c r="BP227" s="63">
        <f t="shared" si="25"/>
        <v>0</v>
      </c>
    </row>
    <row r="228" spans="1:68" ht="27" hidden="1" customHeight="1" x14ac:dyDescent="0.25">
      <c r="A228" s="53" t="s">
        <v>369</v>
      </c>
      <c r="B228" s="53" t="s">
        <v>370</v>
      </c>
      <c r="C228" s="30">
        <v>4301011824</v>
      </c>
      <c r="D228" s="560">
        <v>4680115884144</v>
      </c>
      <c r="E228" s="561"/>
      <c r="F228" s="542">
        <v>0.4</v>
      </c>
      <c r="G228" s="31">
        <v>10</v>
      </c>
      <c r="H228" s="542">
        <v>4</v>
      </c>
      <c r="I228" s="542">
        <v>4.21</v>
      </c>
      <c r="J228" s="31">
        <v>132</v>
      </c>
      <c r="K228" s="31" t="s">
        <v>110</v>
      </c>
      <c r="L228" s="31" t="s">
        <v>111</v>
      </c>
      <c r="M228" s="32" t="s">
        <v>106</v>
      </c>
      <c r="N228" s="32"/>
      <c r="O228" s="31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3"/>
      <c r="V228" s="33"/>
      <c r="W228" s="34" t="s">
        <v>69</v>
      </c>
      <c r="X228" s="543">
        <v>0</v>
      </c>
      <c r="Y228" s="544">
        <f t="shared" si="21"/>
        <v>0</v>
      </c>
      <c r="Z228" s="35" t="str">
        <f>IFERROR(IF(Y228=0,"",ROUNDUP(Y228/H228,0)*0.00902),"")</f>
        <v/>
      </c>
      <c r="AA228" s="55"/>
      <c r="AB228" s="56"/>
      <c r="AC228" s="271" t="s">
        <v>362</v>
      </c>
      <c r="AG228" s="63"/>
      <c r="AJ228" s="66" t="s">
        <v>90</v>
      </c>
      <c r="AK228" s="66">
        <v>48</v>
      </c>
      <c r="BB228" s="272" t="s">
        <v>1</v>
      </c>
      <c r="BM228" s="63">
        <f t="shared" si="22"/>
        <v>0</v>
      </c>
      <c r="BN228" s="63">
        <f t="shared" si="23"/>
        <v>0</v>
      </c>
      <c r="BO228" s="63">
        <f t="shared" si="24"/>
        <v>0</v>
      </c>
      <c r="BP228" s="63">
        <f t="shared" si="25"/>
        <v>0</v>
      </c>
    </row>
    <row r="229" spans="1:68" ht="27" hidden="1" customHeight="1" x14ac:dyDescent="0.25">
      <c r="A229" s="53" t="s">
        <v>369</v>
      </c>
      <c r="B229" s="53" t="s">
        <v>371</v>
      </c>
      <c r="C229" s="30">
        <v>4301012196</v>
      </c>
      <c r="D229" s="560">
        <v>4680115884144</v>
      </c>
      <c r="E229" s="561"/>
      <c r="F229" s="542">
        <v>0.4</v>
      </c>
      <c r="G229" s="31">
        <v>10</v>
      </c>
      <c r="H229" s="542">
        <v>4</v>
      </c>
      <c r="I229" s="542">
        <v>4.21</v>
      </c>
      <c r="J229" s="31">
        <v>132</v>
      </c>
      <c r="K229" s="31" t="s">
        <v>110</v>
      </c>
      <c r="L229" s="31"/>
      <c r="M229" s="32" t="s">
        <v>106</v>
      </c>
      <c r="N229" s="32"/>
      <c r="O229" s="31">
        <v>55</v>
      </c>
      <c r="P229" s="7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3"/>
      <c r="V229" s="33"/>
      <c r="W229" s="34" t="s">
        <v>69</v>
      </c>
      <c r="X229" s="543">
        <v>0</v>
      </c>
      <c r="Y229" s="544">
        <f t="shared" si="21"/>
        <v>0</v>
      </c>
      <c r="Z229" s="35" t="str">
        <f>IFERROR(IF(Y229=0,"",ROUNDUP(Y229/H229,0)*0.00902),"")</f>
        <v/>
      </c>
      <c r="AA229" s="55"/>
      <c r="AB229" s="56"/>
      <c r="AC229" s="273" t="s">
        <v>362</v>
      </c>
      <c r="AG229" s="63"/>
      <c r="AJ229" s="66"/>
      <c r="AK229" s="66">
        <v>0</v>
      </c>
      <c r="BB229" s="274" t="s">
        <v>1</v>
      </c>
      <c r="BM229" s="63">
        <f t="shared" si="22"/>
        <v>0</v>
      </c>
      <c r="BN229" s="63">
        <f t="shared" si="23"/>
        <v>0</v>
      </c>
      <c r="BO229" s="63">
        <f t="shared" si="24"/>
        <v>0</v>
      </c>
      <c r="BP229" s="63">
        <f t="shared" si="25"/>
        <v>0</v>
      </c>
    </row>
    <row r="230" spans="1:68" ht="27" hidden="1" customHeight="1" x14ac:dyDescent="0.25">
      <c r="A230" s="53" t="s">
        <v>372</v>
      </c>
      <c r="B230" s="53" t="s">
        <v>373</v>
      </c>
      <c r="C230" s="30">
        <v>4301012149</v>
      </c>
      <c r="D230" s="560">
        <v>4680115886551</v>
      </c>
      <c r="E230" s="561"/>
      <c r="F230" s="542">
        <v>0.4</v>
      </c>
      <c r="G230" s="31">
        <v>10</v>
      </c>
      <c r="H230" s="542">
        <v>4</v>
      </c>
      <c r="I230" s="542">
        <v>4.21</v>
      </c>
      <c r="J230" s="31">
        <v>132</v>
      </c>
      <c r="K230" s="31" t="s">
        <v>110</v>
      </c>
      <c r="L230" s="31"/>
      <c r="M230" s="32" t="s">
        <v>106</v>
      </c>
      <c r="N230" s="32"/>
      <c r="O230" s="31">
        <v>55</v>
      </c>
      <c r="P230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3"/>
      <c r="V230" s="33"/>
      <c r="W230" s="34" t="s">
        <v>69</v>
      </c>
      <c r="X230" s="543">
        <v>0</v>
      </c>
      <c r="Y230" s="544">
        <f t="shared" si="21"/>
        <v>0</v>
      </c>
      <c r="Z230" s="35" t="str">
        <f>IFERROR(IF(Y230=0,"",ROUNDUP(Y230/H230,0)*0.00902),"")</f>
        <v/>
      </c>
      <c r="AA230" s="55"/>
      <c r="AB230" s="56"/>
      <c r="AC230" s="275" t="s">
        <v>374</v>
      </c>
      <c r="AG230" s="63"/>
      <c r="AJ230" s="66"/>
      <c r="AK230" s="66">
        <v>0</v>
      </c>
      <c r="BB230" s="276" t="s">
        <v>1</v>
      </c>
      <c r="BM230" s="63">
        <f t="shared" si="22"/>
        <v>0</v>
      </c>
      <c r="BN230" s="63">
        <f t="shared" si="23"/>
        <v>0</v>
      </c>
      <c r="BO230" s="63">
        <f t="shared" si="24"/>
        <v>0</v>
      </c>
      <c r="BP230" s="63">
        <f t="shared" si="25"/>
        <v>0</v>
      </c>
    </row>
    <row r="231" spans="1:68" ht="27" hidden="1" customHeight="1" x14ac:dyDescent="0.25">
      <c r="A231" s="53" t="s">
        <v>375</v>
      </c>
      <c r="B231" s="53" t="s">
        <v>376</v>
      </c>
      <c r="C231" s="30">
        <v>4301011726</v>
      </c>
      <c r="D231" s="560">
        <v>4680115884182</v>
      </c>
      <c r="E231" s="561"/>
      <c r="F231" s="542">
        <v>0.37</v>
      </c>
      <c r="G231" s="31">
        <v>10</v>
      </c>
      <c r="H231" s="542">
        <v>3.7</v>
      </c>
      <c r="I231" s="542">
        <v>3.91</v>
      </c>
      <c r="J231" s="31">
        <v>132</v>
      </c>
      <c r="K231" s="31" t="s">
        <v>110</v>
      </c>
      <c r="L231" s="31"/>
      <c r="M231" s="32" t="s">
        <v>106</v>
      </c>
      <c r="N231" s="32"/>
      <c r="O231" s="31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3"/>
      <c r="V231" s="33"/>
      <c r="W231" s="34" t="s">
        <v>69</v>
      </c>
      <c r="X231" s="543">
        <v>0</v>
      </c>
      <c r="Y231" s="544">
        <f t="shared" si="21"/>
        <v>0</v>
      </c>
      <c r="Z231" s="35" t="str">
        <f>IFERROR(IF(Y231=0,"",ROUNDUP(Y231/H231,0)*0.00902),"")</f>
        <v/>
      </c>
      <c r="AA231" s="55"/>
      <c r="AB231" s="56"/>
      <c r="AC231" s="277" t="s">
        <v>365</v>
      </c>
      <c r="AG231" s="63"/>
      <c r="AJ231" s="66"/>
      <c r="AK231" s="66">
        <v>0</v>
      </c>
      <c r="BB231" s="278" t="s">
        <v>1</v>
      </c>
      <c r="BM231" s="63">
        <f t="shared" si="22"/>
        <v>0</v>
      </c>
      <c r="BN231" s="63">
        <f t="shared" si="23"/>
        <v>0</v>
      </c>
      <c r="BO231" s="63">
        <f t="shared" si="24"/>
        <v>0</v>
      </c>
      <c r="BP231" s="63">
        <f t="shared" si="25"/>
        <v>0</v>
      </c>
    </row>
    <row r="232" spans="1:68" ht="27" hidden="1" customHeight="1" x14ac:dyDescent="0.25">
      <c r="A232" s="53" t="s">
        <v>377</v>
      </c>
      <c r="B232" s="53" t="s">
        <v>378</v>
      </c>
      <c r="C232" s="30">
        <v>4301012228</v>
      </c>
      <c r="D232" s="560">
        <v>4680115887282</v>
      </c>
      <c r="E232" s="561"/>
      <c r="F232" s="542">
        <v>0.4</v>
      </c>
      <c r="G232" s="31">
        <v>6</v>
      </c>
      <c r="H232" s="542">
        <v>2.4</v>
      </c>
      <c r="I232" s="542">
        <v>2.58</v>
      </c>
      <c r="J232" s="31">
        <v>182</v>
      </c>
      <c r="K232" s="31" t="s">
        <v>76</v>
      </c>
      <c r="L232" s="31"/>
      <c r="M232" s="32" t="s">
        <v>106</v>
      </c>
      <c r="N232" s="32"/>
      <c r="O232" s="31">
        <v>55</v>
      </c>
      <c r="P232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3"/>
      <c r="V232" s="33"/>
      <c r="W232" s="34" t="s">
        <v>69</v>
      </c>
      <c r="X232" s="543">
        <v>0</v>
      </c>
      <c r="Y232" s="544">
        <f t="shared" si="21"/>
        <v>0</v>
      </c>
      <c r="Z232" s="35" t="str">
        <f>IFERROR(IF(Y232=0,"",ROUNDUP(Y232/H232,0)*0.00651),"")</f>
        <v/>
      </c>
      <c r="AA232" s="55"/>
      <c r="AB232" s="56"/>
      <c r="AC232" s="279" t="s">
        <v>365</v>
      </c>
      <c r="AG232" s="63"/>
      <c r="AJ232" s="66"/>
      <c r="AK232" s="66">
        <v>0</v>
      </c>
      <c r="BB232" s="280" t="s">
        <v>1</v>
      </c>
      <c r="BM232" s="63">
        <f t="shared" si="22"/>
        <v>0</v>
      </c>
      <c r="BN232" s="63">
        <f t="shared" si="23"/>
        <v>0</v>
      </c>
      <c r="BO232" s="63">
        <f t="shared" si="24"/>
        <v>0</v>
      </c>
      <c r="BP232" s="63">
        <f t="shared" si="25"/>
        <v>0</v>
      </c>
    </row>
    <row r="233" spans="1:68" ht="27" hidden="1" customHeight="1" x14ac:dyDescent="0.25">
      <c r="A233" s="53" t="s">
        <v>379</v>
      </c>
      <c r="B233" s="53" t="s">
        <v>380</v>
      </c>
      <c r="C233" s="30">
        <v>4301011722</v>
      </c>
      <c r="D233" s="560">
        <v>4680115884205</v>
      </c>
      <c r="E233" s="561"/>
      <c r="F233" s="542">
        <v>0.4</v>
      </c>
      <c r="G233" s="31">
        <v>10</v>
      </c>
      <c r="H233" s="542">
        <v>4</v>
      </c>
      <c r="I233" s="542">
        <v>4.21</v>
      </c>
      <c r="J233" s="31">
        <v>132</v>
      </c>
      <c r="K233" s="31" t="s">
        <v>110</v>
      </c>
      <c r="L233" s="31" t="s">
        <v>111</v>
      </c>
      <c r="M233" s="32" t="s">
        <v>106</v>
      </c>
      <c r="N233" s="32"/>
      <c r="O233" s="31">
        <v>55</v>
      </c>
      <c r="P233" s="7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3"/>
      <c r="V233" s="33"/>
      <c r="W233" s="34" t="s">
        <v>69</v>
      </c>
      <c r="X233" s="543">
        <v>0</v>
      </c>
      <c r="Y233" s="544">
        <f t="shared" si="21"/>
        <v>0</v>
      </c>
      <c r="Z233" s="35" t="str">
        <f>IFERROR(IF(Y233=0,"",ROUNDUP(Y233/H233,0)*0.00902),"")</f>
        <v/>
      </c>
      <c r="AA233" s="55"/>
      <c r="AB233" s="56"/>
      <c r="AC233" s="281" t="s">
        <v>368</v>
      </c>
      <c r="AG233" s="63"/>
      <c r="AJ233" s="66" t="s">
        <v>90</v>
      </c>
      <c r="AK233" s="66">
        <v>48</v>
      </c>
      <c r="BB233" s="282" t="s">
        <v>1</v>
      </c>
      <c r="BM233" s="63">
        <f t="shared" si="22"/>
        <v>0</v>
      </c>
      <c r="BN233" s="63">
        <f t="shared" si="23"/>
        <v>0</v>
      </c>
      <c r="BO233" s="63">
        <f t="shared" si="24"/>
        <v>0</v>
      </c>
      <c r="BP233" s="63">
        <f t="shared" si="25"/>
        <v>0</v>
      </c>
    </row>
    <row r="234" spans="1:68" ht="27" hidden="1" customHeight="1" x14ac:dyDescent="0.25">
      <c r="A234" s="53" t="s">
        <v>379</v>
      </c>
      <c r="B234" s="53" t="s">
        <v>381</v>
      </c>
      <c r="C234" s="30">
        <v>4301012195</v>
      </c>
      <c r="D234" s="560">
        <v>4680115884205</v>
      </c>
      <c r="E234" s="561"/>
      <c r="F234" s="542">
        <v>0.4</v>
      </c>
      <c r="G234" s="31">
        <v>10</v>
      </c>
      <c r="H234" s="542">
        <v>4</v>
      </c>
      <c r="I234" s="542">
        <v>4.21</v>
      </c>
      <c r="J234" s="31">
        <v>132</v>
      </c>
      <c r="K234" s="31" t="s">
        <v>110</v>
      </c>
      <c r="L234" s="31"/>
      <c r="M234" s="32" t="s">
        <v>106</v>
      </c>
      <c r="N234" s="32"/>
      <c r="O234" s="31">
        <v>55</v>
      </c>
      <c r="P234" s="8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3"/>
      <c r="V234" s="33"/>
      <c r="W234" s="34" t="s">
        <v>69</v>
      </c>
      <c r="X234" s="543">
        <v>0</v>
      </c>
      <c r="Y234" s="544">
        <f t="shared" si="21"/>
        <v>0</v>
      </c>
      <c r="Z234" s="35" t="str">
        <f>IFERROR(IF(Y234=0,"",ROUNDUP(Y234/H234,0)*0.00902),"")</f>
        <v/>
      </c>
      <c r="AA234" s="55"/>
      <c r="AB234" s="56"/>
      <c r="AC234" s="283" t="s">
        <v>368</v>
      </c>
      <c r="AG234" s="63"/>
      <c r="AJ234" s="66"/>
      <c r="AK234" s="66">
        <v>0</v>
      </c>
      <c r="BB234" s="284" t="s">
        <v>1</v>
      </c>
      <c r="BM234" s="63">
        <f t="shared" si="22"/>
        <v>0</v>
      </c>
      <c r="BN234" s="63">
        <f t="shared" si="23"/>
        <v>0</v>
      </c>
      <c r="BO234" s="63">
        <f t="shared" si="24"/>
        <v>0</v>
      </c>
      <c r="BP234" s="63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6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6" t="s">
        <v>69</v>
      </c>
      <c r="X236" s="545">
        <f>IFERROR(SUM(X225:X234),"0")</f>
        <v>0</v>
      </c>
      <c r="Y236" s="545">
        <f>IFERROR(SUM(Y225:Y234),"0")</f>
        <v>0</v>
      </c>
      <c r="Z236" s="36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4"/>
      <c r="AB237" s="534"/>
      <c r="AC237" s="534"/>
    </row>
    <row r="238" spans="1:68" ht="27" hidden="1" customHeight="1" x14ac:dyDescent="0.25">
      <c r="A238" s="53" t="s">
        <v>382</v>
      </c>
      <c r="B238" s="53" t="s">
        <v>383</v>
      </c>
      <c r="C238" s="30">
        <v>4301020377</v>
      </c>
      <c r="D238" s="560">
        <v>4680115885981</v>
      </c>
      <c r="E238" s="561"/>
      <c r="F238" s="542">
        <v>0.33</v>
      </c>
      <c r="G238" s="31">
        <v>6</v>
      </c>
      <c r="H238" s="542">
        <v>1.98</v>
      </c>
      <c r="I238" s="542">
        <v>2.08</v>
      </c>
      <c r="J238" s="31">
        <v>234</v>
      </c>
      <c r="K238" s="31" t="s">
        <v>67</v>
      </c>
      <c r="L238" s="31"/>
      <c r="M238" s="32" t="s">
        <v>77</v>
      </c>
      <c r="N238" s="32"/>
      <c r="O238" s="31">
        <v>50</v>
      </c>
      <c r="P238" s="71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3"/>
      <c r="V238" s="33"/>
      <c r="W238" s="34" t="s">
        <v>69</v>
      </c>
      <c r="X238" s="543">
        <v>0</v>
      </c>
      <c r="Y238" s="544">
        <f>IFERROR(IF(X238="",0,CEILING((X238/$H238),1)*$H238),"")</f>
        <v>0</v>
      </c>
      <c r="Z238" s="35" t="str">
        <f>IFERROR(IF(Y238=0,"",ROUNDUP(Y238/H238,0)*0.00502),"")</f>
        <v/>
      </c>
      <c r="AA238" s="55"/>
      <c r="AB238" s="56"/>
      <c r="AC238" s="285" t="s">
        <v>384</v>
      </c>
      <c r="AG238" s="63"/>
      <c r="AJ238" s="66"/>
      <c r="AK238" s="66">
        <v>0</v>
      </c>
      <c r="BB238" s="286" t="s">
        <v>1</v>
      </c>
      <c r="BM238" s="63">
        <f>IFERROR(X238*I238/H238,"0")</f>
        <v>0</v>
      </c>
      <c r="BN238" s="63">
        <f>IFERROR(Y238*I238/H238,"0")</f>
        <v>0</v>
      </c>
      <c r="BO238" s="63">
        <f>IFERROR(1/J238*(X238/H238),"0")</f>
        <v>0</v>
      </c>
      <c r="BP238" s="63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6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6" t="s">
        <v>69</v>
      </c>
      <c r="X240" s="545">
        <f>IFERROR(SUM(X238:X238),"0")</f>
        <v>0</v>
      </c>
      <c r="Y240" s="545">
        <f>IFERROR(SUM(Y238:Y238),"0")</f>
        <v>0</v>
      </c>
      <c r="Z240" s="36"/>
      <c r="AA240" s="546"/>
      <c r="AB240" s="546"/>
      <c r="AC240" s="546"/>
    </row>
    <row r="241" spans="1:68" ht="14.25" hidden="1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4"/>
      <c r="AB241" s="534"/>
      <c r="AC241" s="534"/>
    </row>
    <row r="242" spans="1:68" ht="27" hidden="1" customHeight="1" x14ac:dyDescent="0.25">
      <c r="A242" s="53" t="s">
        <v>386</v>
      </c>
      <c r="B242" s="53" t="s">
        <v>387</v>
      </c>
      <c r="C242" s="30">
        <v>4301040362</v>
      </c>
      <c r="D242" s="560">
        <v>4680115886803</v>
      </c>
      <c r="E242" s="561"/>
      <c r="F242" s="542">
        <v>0.12</v>
      </c>
      <c r="G242" s="31">
        <v>15</v>
      </c>
      <c r="H242" s="542">
        <v>1.8</v>
      </c>
      <c r="I242" s="542">
        <v>1.9750000000000001</v>
      </c>
      <c r="J242" s="31">
        <v>216</v>
      </c>
      <c r="K242" s="31" t="s">
        <v>288</v>
      </c>
      <c r="L242" s="31"/>
      <c r="M242" s="32" t="s">
        <v>289</v>
      </c>
      <c r="N242" s="32"/>
      <c r="O242" s="31">
        <v>45</v>
      </c>
      <c r="P242" s="8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3"/>
      <c r="V242" s="33"/>
      <c r="W242" s="34" t="s">
        <v>69</v>
      </c>
      <c r="X242" s="543">
        <v>0</v>
      </c>
      <c r="Y242" s="544">
        <f>IFERROR(IF(X242="",0,CEILING((X242/$H242),1)*$H242),"")</f>
        <v>0</v>
      </c>
      <c r="Z242" s="35" t="str">
        <f>IFERROR(IF(Y242=0,"",ROUNDUP(Y242/H242,0)*0.0059),"")</f>
        <v/>
      </c>
      <c r="AA242" s="55"/>
      <c r="AB242" s="56"/>
      <c r="AC242" s="287" t="s">
        <v>388</v>
      </c>
      <c r="AG242" s="63"/>
      <c r="AJ242" s="66"/>
      <c r="AK242" s="66">
        <v>0</v>
      </c>
      <c r="BB242" s="288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6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6" t="s">
        <v>69</v>
      </c>
      <c r="X244" s="545">
        <f>IFERROR(SUM(X242:X242),"0")</f>
        <v>0</v>
      </c>
      <c r="Y244" s="545">
        <f>IFERROR(SUM(Y242:Y242),"0")</f>
        <v>0</v>
      </c>
      <c r="Z244" s="36"/>
      <c r="AA244" s="546"/>
      <c r="AB244" s="546"/>
      <c r="AC244" s="546"/>
    </row>
    <row r="245" spans="1:68" ht="14.25" hidden="1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4"/>
      <c r="AB245" s="534"/>
      <c r="AC245" s="534"/>
    </row>
    <row r="246" spans="1:68" ht="27" hidden="1" customHeight="1" x14ac:dyDescent="0.25">
      <c r="A246" s="53" t="s">
        <v>390</v>
      </c>
      <c r="B246" s="53" t="s">
        <v>391</v>
      </c>
      <c r="C246" s="30">
        <v>4301041004</v>
      </c>
      <c r="D246" s="560">
        <v>4680115886704</v>
      </c>
      <c r="E246" s="561"/>
      <c r="F246" s="542">
        <v>5.5E-2</v>
      </c>
      <c r="G246" s="31">
        <v>18</v>
      </c>
      <c r="H246" s="542">
        <v>0.99</v>
      </c>
      <c r="I246" s="542">
        <v>1.18</v>
      </c>
      <c r="J246" s="31">
        <v>216</v>
      </c>
      <c r="K246" s="31" t="s">
        <v>288</v>
      </c>
      <c r="L246" s="31"/>
      <c r="M246" s="32" t="s">
        <v>289</v>
      </c>
      <c r="N246" s="32"/>
      <c r="O246" s="31">
        <v>90</v>
      </c>
      <c r="P246" s="7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3"/>
      <c r="V246" s="33"/>
      <c r="W246" s="34" t="s">
        <v>69</v>
      </c>
      <c r="X246" s="543">
        <v>0</v>
      </c>
      <c r="Y246" s="544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289" t="s">
        <v>392</v>
      </c>
      <c r="AG246" s="63"/>
      <c r="AJ246" s="66"/>
      <c r="AK246" s="66">
        <v>0</v>
      </c>
      <c r="BB246" s="290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ht="27" hidden="1" customHeight="1" x14ac:dyDescent="0.25">
      <c r="A247" s="53" t="s">
        <v>393</v>
      </c>
      <c r="B247" s="53" t="s">
        <v>394</v>
      </c>
      <c r="C247" s="30">
        <v>4301041008</v>
      </c>
      <c r="D247" s="560">
        <v>4680115886681</v>
      </c>
      <c r="E247" s="561"/>
      <c r="F247" s="542">
        <v>0.12</v>
      </c>
      <c r="G247" s="31">
        <v>15</v>
      </c>
      <c r="H247" s="542">
        <v>1.8</v>
      </c>
      <c r="I247" s="542">
        <v>1.9750000000000001</v>
      </c>
      <c r="J247" s="31">
        <v>216</v>
      </c>
      <c r="K247" s="31" t="s">
        <v>288</v>
      </c>
      <c r="L247" s="31"/>
      <c r="M247" s="32" t="s">
        <v>289</v>
      </c>
      <c r="N247" s="32"/>
      <c r="O247" s="31">
        <v>90</v>
      </c>
      <c r="P247" s="6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3"/>
      <c r="V247" s="33"/>
      <c r="W247" s="34" t="s">
        <v>69</v>
      </c>
      <c r="X247" s="543">
        <v>0</v>
      </c>
      <c r="Y247" s="544">
        <f>IFERROR(IF(X247="",0,CEILING((X247/$H247),1)*$H247),"")</f>
        <v>0</v>
      </c>
      <c r="Z247" s="35" t="str">
        <f>IFERROR(IF(Y247=0,"",ROUNDUP(Y247/H247,0)*0.0059),"")</f>
        <v/>
      </c>
      <c r="AA247" s="55"/>
      <c r="AB247" s="56"/>
      <c r="AC247" s="291" t="s">
        <v>392</v>
      </c>
      <c r="AG247" s="63"/>
      <c r="AJ247" s="66"/>
      <c r="AK247" s="66">
        <v>0</v>
      </c>
      <c r="BB247" s="292" t="s">
        <v>1</v>
      </c>
      <c r="BM247" s="63">
        <f>IFERROR(X247*I247/H247,"0")</f>
        <v>0</v>
      </c>
      <c r="BN247" s="63">
        <f>IFERROR(Y247*I247/H247,"0")</f>
        <v>0</v>
      </c>
      <c r="BO247" s="63">
        <f>IFERROR(1/J247*(X247/H247),"0")</f>
        <v>0</v>
      </c>
      <c r="BP247" s="63">
        <f>IFERROR(1/J247*(Y247/H247),"0")</f>
        <v>0</v>
      </c>
    </row>
    <row r="248" spans="1:68" ht="27" customHeight="1" x14ac:dyDescent="0.25">
      <c r="A248" s="53" t="s">
        <v>395</v>
      </c>
      <c r="B248" s="53" t="s">
        <v>396</v>
      </c>
      <c r="C248" s="30">
        <v>4301041007</v>
      </c>
      <c r="D248" s="560">
        <v>4680115886735</v>
      </c>
      <c r="E248" s="561"/>
      <c r="F248" s="542">
        <v>0.05</v>
      </c>
      <c r="G248" s="31">
        <v>18</v>
      </c>
      <c r="H248" s="542">
        <v>0.9</v>
      </c>
      <c r="I248" s="542">
        <v>1.0900000000000001</v>
      </c>
      <c r="J248" s="31">
        <v>216</v>
      </c>
      <c r="K248" s="31" t="s">
        <v>288</v>
      </c>
      <c r="L248" s="31"/>
      <c r="M248" s="32" t="s">
        <v>289</v>
      </c>
      <c r="N248" s="32"/>
      <c r="O248" s="31">
        <v>90</v>
      </c>
      <c r="P248" s="7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3"/>
      <c r="V248" s="33"/>
      <c r="W248" s="34" t="s">
        <v>69</v>
      </c>
      <c r="X248" s="543">
        <v>0.9</v>
      </c>
      <c r="Y248" s="544">
        <f>IFERROR(IF(X248="",0,CEILING((X248/$H248),1)*$H248),"")</f>
        <v>0.9</v>
      </c>
      <c r="Z248" s="35">
        <f>IFERROR(IF(Y248=0,"",ROUNDUP(Y248/H248,0)*0.0059),"")</f>
        <v>5.8999999999999999E-3</v>
      </c>
      <c r="AA248" s="55"/>
      <c r="AB248" s="56"/>
      <c r="AC248" s="293" t="s">
        <v>392</v>
      </c>
      <c r="AG248" s="63"/>
      <c r="AJ248" s="66"/>
      <c r="AK248" s="66">
        <v>0</v>
      </c>
      <c r="BB248" s="294" t="s">
        <v>1</v>
      </c>
      <c r="BM248" s="63">
        <f>IFERROR(X248*I248/H248,"0")</f>
        <v>1.0900000000000001</v>
      </c>
      <c r="BN248" s="63">
        <f>IFERROR(Y248*I248/H248,"0")</f>
        <v>1.0900000000000001</v>
      </c>
      <c r="BO248" s="63">
        <f>IFERROR(1/J248*(X248/H248),"0")</f>
        <v>4.6296296296296294E-3</v>
      </c>
      <c r="BP248" s="63">
        <f>IFERROR(1/J248*(Y248/H248),"0")</f>
        <v>4.6296296296296294E-3</v>
      </c>
    </row>
    <row r="249" spans="1:68" ht="27" customHeight="1" x14ac:dyDescent="0.25">
      <c r="A249" s="53" t="s">
        <v>397</v>
      </c>
      <c r="B249" s="53" t="s">
        <v>398</v>
      </c>
      <c r="C249" s="30">
        <v>4301041006</v>
      </c>
      <c r="D249" s="560">
        <v>4680115886728</v>
      </c>
      <c r="E249" s="561"/>
      <c r="F249" s="542">
        <v>5.5E-2</v>
      </c>
      <c r="G249" s="31">
        <v>18</v>
      </c>
      <c r="H249" s="542">
        <v>0.99</v>
      </c>
      <c r="I249" s="542">
        <v>1.18</v>
      </c>
      <c r="J249" s="31">
        <v>216</v>
      </c>
      <c r="K249" s="31" t="s">
        <v>288</v>
      </c>
      <c r="L249" s="31"/>
      <c r="M249" s="32" t="s">
        <v>289</v>
      </c>
      <c r="N249" s="32"/>
      <c r="O249" s="31">
        <v>90</v>
      </c>
      <c r="P249" s="8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3"/>
      <c r="V249" s="33"/>
      <c r="W249" s="34" t="s">
        <v>69</v>
      </c>
      <c r="X249" s="543">
        <v>0.99</v>
      </c>
      <c r="Y249" s="544">
        <f>IFERROR(IF(X249="",0,CEILING((X249/$H249),1)*$H249),"")</f>
        <v>0.99</v>
      </c>
      <c r="Z249" s="35">
        <f>IFERROR(IF(Y249=0,"",ROUNDUP(Y249/H249,0)*0.0059),"")</f>
        <v>5.8999999999999999E-3</v>
      </c>
      <c r="AA249" s="55"/>
      <c r="AB249" s="56"/>
      <c r="AC249" s="295" t="s">
        <v>392</v>
      </c>
      <c r="AG249" s="63"/>
      <c r="AJ249" s="66"/>
      <c r="AK249" s="66">
        <v>0</v>
      </c>
      <c r="BB249" s="296" t="s">
        <v>1</v>
      </c>
      <c r="BM249" s="63">
        <f>IFERROR(X249*I249/H249,"0")</f>
        <v>1.18</v>
      </c>
      <c r="BN249" s="63">
        <f>IFERROR(Y249*I249/H249,"0")</f>
        <v>1.18</v>
      </c>
      <c r="BO249" s="63">
        <f>IFERROR(1/J249*(X249/H249),"0")</f>
        <v>4.6296296296296294E-3</v>
      </c>
      <c r="BP249" s="63">
        <f>IFERROR(1/J249*(Y249/H249),"0")</f>
        <v>4.6296296296296294E-3</v>
      </c>
    </row>
    <row r="250" spans="1:68" ht="27" customHeight="1" x14ac:dyDescent="0.25">
      <c r="A250" s="53" t="s">
        <v>399</v>
      </c>
      <c r="B250" s="53" t="s">
        <v>400</v>
      </c>
      <c r="C250" s="30">
        <v>4301041005</v>
      </c>
      <c r="D250" s="560">
        <v>4680115886711</v>
      </c>
      <c r="E250" s="561"/>
      <c r="F250" s="542">
        <v>5.5E-2</v>
      </c>
      <c r="G250" s="31">
        <v>18</v>
      </c>
      <c r="H250" s="542">
        <v>0.99</v>
      </c>
      <c r="I250" s="542">
        <v>1.18</v>
      </c>
      <c r="J250" s="31">
        <v>216</v>
      </c>
      <c r="K250" s="31" t="s">
        <v>288</v>
      </c>
      <c r="L250" s="31"/>
      <c r="M250" s="32" t="s">
        <v>289</v>
      </c>
      <c r="N250" s="32"/>
      <c r="O250" s="31">
        <v>90</v>
      </c>
      <c r="P250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3"/>
      <c r="V250" s="33"/>
      <c r="W250" s="34" t="s">
        <v>69</v>
      </c>
      <c r="X250" s="543">
        <v>0.99</v>
      </c>
      <c r="Y250" s="544">
        <f>IFERROR(IF(X250="",0,CEILING((X250/$H250),1)*$H250),"")</f>
        <v>0.99</v>
      </c>
      <c r="Z250" s="35">
        <f>IFERROR(IF(Y250=0,"",ROUNDUP(Y250/H250,0)*0.0059),"")</f>
        <v>5.8999999999999999E-3</v>
      </c>
      <c r="AA250" s="55"/>
      <c r="AB250" s="56"/>
      <c r="AC250" s="297" t="s">
        <v>392</v>
      </c>
      <c r="AG250" s="63"/>
      <c r="AJ250" s="66"/>
      <c r="AK250" s="66">
        <v>0</v>
      </c>
      <c r="BB250" s="298" t="s">
        <v>1</v>
      </c>
      <c r="BM250" s="63">
        <f>IFERROR(X250*I250/H250,"0")</f>
        <v>1.18</v>
      </c>
      <c r="BN250" s="63">
        <f>IFERROR(Y250*I250/H250,"0")</f>
        <v>1.18</v>
      </c>
      <c r="BO250" s="63">
        <f>IFERROR(1/J250*(X250/H250),"0")</f>
        <v>4.6296296296296294E-3</v>
      </c>
      <c r="BP250" s="63">
        <f>IFERROR(1/J250*(Y250/H250),"0")</f>
        <v>4.6296296296296294E-3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6" t="s">
        <v>72</v>
      </c>
      <c r="X251" s="545">
        <f>IFERROR(X246/H246,"0")+IFERROR(X247/H247,"0")+IFERROR(X248/H248,"0")+IFERROR(X249/H249,"0")+IFERROR(X250/H250,"0")</f>
        <v>3</v>
      </c>
      <c r="Y251" s="545">
        <f>IFERROR(Y246/H246,"0")+IFERROR(Y247/H247,"0")+IFERROR(Y248/H248,"0")+IFERROR(Y249/H249,"0")+IFERROR(Y250/H250,"0")</f>
        <v>3</v>
      </c>
      <c r="Z251" s="545">
        <f>IFERROR(IF(Z246="",0,Z246),"0")+IFERROR(IF(Z247="",0,Z247),"0")+IFERROR(IF(Z248="",0,Z248),"0")+IFERROR(IF(Z249="",0,Z249),"0")+IFERROR(IF(Z250="",0,Z250),"0")</f>
        <v>1.77E-2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6" t="s">
        <v>69</v>
      </c>
      <c r="X252" s="545">
        <f>IFERROR(SUM(X246:X250),"0")</f>
        <v>2.88</v>
      </c>
      <c r="Y252" s="545">
        <f>IFERROR(SUM(Y246:Y250),"0")</f>
        <v>2.88</v>
      </c>
      <c r="Z252" s="36"/>
      <c r="AA252" s="546"/>
      <c r="AB252" s="546"/>
      <c r="AC252" s="546"/>
    </row>
    <row r="253" spans="1:68" ht="16.5" hidden="1" customHeight="1" x14ac:dyDescent="0.25">
      <c r="A253" s="596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4"/>
      <c r="AB254" s="534"/>
      <c r="AC254" s="534"/>
    </row>
    <row r="255" spans="1:68" ht="27" customHeight="1" x14ac:dyDescent="0.25">
      <c r="A255" s="53" t="s">
        <v>402</v>
      </c>
      <c r="B255" s="53" t="s">
        <v>403</v>
      </c>
      <c r="C255" s="30">
        <v>4301011855</v>
      </c>
      <c r="D255" s="560">
        <v>4680115885837</v>
      </c>
      <c r="E255" s="561"/>
      <c r="F255" s="542">
        <v>1.35</v>
      </c>
      <c r="G255" s="31">
        <v>8</v>
      </c>
      <c r="H255" s="542">
        <v>10.8</v>
      </c>
      <c r="I255" s="542">
        <v>11.234999999999999</v>
      </c>
      <c r="J255" s="31">
        <v>64</v>
      </c>
      <c r="K255" s="31" t="s">
        <v>104</v>
      </c>
      <c r="L255" s="31" t="s">
        <v>105</v>
      </c>
      <c r="M255" s="32" t="s">
        <v>106</v>
      </c>
      <c r="N255" s="32"/>
      <c r="O255" s="31">
        <v>55</v>
      </c>
      <c r="P255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3"/>
      <c r="V255" s="33"/>
      <c r="W255" s="34" t="s">
        <v>69</v>
      </c>
      <c r="X255" s="543">
        <v>108</v>
      </c>
      <c r="Y255" s="544">
        <f>IFERROR(IF(X255="",0,CEILING((X255/$H255),1)*$H255),"")</f>
        <v>108</v>
      </c>
      <c r="Z255" s="35">
        <f>IFERROR(IF(Y255=0,"",ROUNDUP(Y255/H255,0)*0.01898),"")</f>
        <v>0.1898</v>
      </c>
      <c r="AA255" s="55"/>
      <c r="AB255" s="56"/>
      <c r="AC255" s="299" t="s">
        <v>404</v>
      </c>
      <c r="AG255" s="63"/>
      <c r="AJ255" s="66" t="s">
        <v>90</v>
      </c>
      <c r="AK255" s="66">
        <v>86.4</v>
      </c>
      <c r="BB255" s="300" t="s">
        <v>1</v>
      </c>
      <c r="BM255" s="63">
        <f>IFERROR(X255*I255/H255,"0")</f>
        <v>112.34999999999998</v>
      </c>
      <c r="BN255" s="63">
        <f>IFERROR(Y255*I255/H255,"0")</f>
        <v>112.34999999999998</v>
      </c>
      <c r="BO255" s="63">
        <f>IFERROR(1/J255*(X255/H255),"0")</f>
        <v>0.15625</v>
      </c>
      <c r="BP255" s="63">
        <f>IFERROR(1/J255*(Y255/H255),"0")</f>
        <v>0.15625</v>
      </c>
    </row>
    <row r="256" spans="1:68" ht="37.5" customHeight="1" x14ac:dyDescent="0.25">
      <c r="A256" s="53" t="s">
        <v>405</v>
      </c>
      <c r="B256" s="53" t="s">
        <v>406</v>
      </c>
      <c r="C256" s="30">
        <v>4301011853</v>
      </c>
      <c r="D256" s="560">
        <v>4680115885851</v>
      </c>
      <c r="E256" s="561"/>
      <c r="F256" s="542">
        <v>1.35</v>
      </c>
      <c r="G256" s="31">
        <v>8</v>
      </c>
      <c r="H256" s="542">
        <v>10.8</v>
      </c>
      <c r="I256" s="542">
        <v>11.234999999999999</v>
      </c>
      <c r="J256" s="31">
        <v>64</v>
      </c>
      <c r="K256" s="31" t="s">
        <v>104</v>
      </c>
      <c r="L256" s="31"/>
      <c r="M256" s="32" t="s">
        <v>106</v>
      </c>
      <c r="N256" s="32"/>
      <c r="O256" s="31">
        <v>55</v>
      </c>
      <c r="P256" s="6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3"/>
      <c r="V256" s="33"/>
      <c r="W256" s="34" t="s">
        <v>69</v>
      </c>
      <c r="X256" s="543">
        <v>54</v>
      </c>
      <c r="Y256" s="544">
        <f>IFERROR(IF(X256="",0,CEILING((X256/$H256),1)*$H256),"")</f>
        <v>54</v>
      </c>
      <c r="Z256" s="35">
        <f>IFERROR(IF(Y256=0,"",ROUNDUP(Y256/H256,0)*0.01898),"")</f>
        <v>9.4899999999999998E-2</v>
      </c>
      <c r="AA256" s="55"/>
      <c r="AB256" s="56"/>
      <c r="AC256" s="301" t="s">
        <v>407</v>
      </c>
      <c r="AG256" s="63"/>
      <c r="AJ256" s="66"/>
      <c r="AK256" s="66">
        <v>0</v>
      </c>
      <c r="BB256" s="302" t="s">
        <v>1</v>
      </c>
      <c r="BM256" s="63">
        <f>IFERROR(X256*I256/H256,"0")</f>
        <v>56.17499999999999</v>
      </c>
      <c r="BN256" s="63">
        <f>IFERROR(Y256*I256/H256,"0")</f>
        <v>56.17499999999999</v>
      </c>
      <c r="BO256" s="63">
        <f>IFERROR(1/J256*(X256/H256),"0")</f>
        <v>7.8125E-2</v>
      </c>
      <c r="BP256" s="63">
        <f>IFERROR(1/J256*(Y256/H256),"0")</f>
        <v>7.8125E-2</v>
      </c>
    </row>
    <row r="257" spans="1:68" ht="27" customHeight="1" x14ac:dyDescent="0.25">
      <c r="A257" s="53" t="s">
        <v>408</v>
      </c>
      <c r="B257" s="53" t="s">
        <v>409</v>
      </c>
      <c r="C257" s="30">
        <v>4301011850</v>
      </c>
      <c r="D257" s="560">
        <v>4680115885806</v>
      </c>
      <c r="E257" s="561"/>
      <c r="F257" s="542">
        <v>1.35</v>
      </c>
      <c r="G257" s="31">
        <v>8</v>
      </c>
      <c r="H257" s="542">
        <v>10.8</v>
      </c>
      <c r="I257" s="542">
        <v>11.234999999999999</v>
      </c>
      <c r="J257" s="31">
        <v>64</v>
      </c>
      <c r="K257" s="31" t="s">
        <v>104</v>
      </c>
      <c r="L257" s="31" t="s">
        <v>105</v>
      </c>
      <c r="M257" s="32" t="s">
        <v>106</v>
      </c>
      <c r="N257" s="32"/>
      <c r="O257" s="31">
        <v>55</v>
      </c>
      <c r="P257" s="6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3"/>
      <c r="V257" s="33"/>
      <c r="W257" s="34" t="s">
        <v>69</v>
      </c>
      <c r="X257" s="543">
        <v>162</v>
      </c>
      <c r="Y257" s="544">
        <f>IFERROR(IF(X257="",0,CEILING((X257/$H257),1)*$H257),"")</f>
        <v>162</v>
      </c>
      <c r="Z257" s="35">
        <f>IFERROR(IF(Y257=0,"",ROUNDUP(Y257/H257,0)*0.01898),"")</f>
        <v>0.28470000000000001</v>
      </c>
      <c r="AA257" s="55"/>
      <c r="AB257" s="56"/>
      <c r="AC257" s="303" t="s">
        <v>410</v>
      </c>
      <c r="AG257" s="63"/>
      <c r="AJ257" s="66" t="s">
        <v>90</v>
      </c>
      <c r="AK257" s="66">
        <v>86.4</v>
      </c>
      <c r="BB257" s="304" t="s">
        <v>1</v>
      </c>
      <c r="BM257" s="63">
        <f>IFERROR(X257*I257/H257,"0")</f>
        <v>168.52499999999998</v>
      </c>
      <c r="BN257" s="63">
        <f>IFERROR(Y257*I257/H257,"0")</f>
        <v>168.52499999999998</v>
      </c>
      <c r="BO257" s="63">
        <f>IFERROR(1/J257*(X257/H257),"0")</f>
        <v>0.23437499999999997</v>
      </c>
      <c r="BP257" s="63">
        <f>IFERROR(1/J257*(Y257/H257),"0")</f>
        <v>0.23437499999999997</v>
      </c>
    </row>
    <row r="258" spans="1:68" ht="27" customHeight="1" x14ac:dyDescent="0.25">
      <c r="A258" s="53" t="s">
        <v>411</v>
      </c>
      <c r="B258" s="53" t="s">
        <v>412</v>
      </c>
      <c r="C258" s="30">
        <v>4301011852</v>
      </c>
      <c r="D258" s="560">
        <v>4680115885844</v>
      </c>
      <c r="E258" s="561"/>
      <c r="F258" s="542">
        <v>0.4</v>
      </c>
      <c r="G258" s="31">
        <v>10</v>
      </c>
      <c r="H258" s="542">
        <v>4</v>
      </c>
      <c r="I258" s="542">
        <v>4.21</v>
      </c>
      <c r="J258" s="31">
        <v>132</v>
      </c>
      <c r="K258" s="31" t="s">
        <v>110</v>
      </c>
      <c r="L258" s="31"/>
      <c r="M258" s="32" t="s">
        <v>106</v>
      </c>
      <c r="N258" s="32"/>
      <c r="O258" s="31">
        <v>55</v>
      </c>
      <c r="P258" s="8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3"/>
      <c r="V258" s="33"/>
      <c r="W258" s="34" t="s">
        <v>69</v>
      </c>
      <c r="X258" s="543">
        <v>12</v>
      </c>
      <c r="Y258" s="544">
        <f>IFERROR(IF(X258="",0,CEILING((X258/$H258),1)*$H258),"")</f>
        <v>12</v>
      </c>
      <c r="Z258" s="35">
        <f>IFERROR(IF(Y258=0,"",ROUNDUP(Y258/H258,0)*0.00902),"")</f>
        <v>2.7060000000000001E-2</v>
      </c>
      <c r="AA258" s="55"/>
      <c r="AB258" s="56"/>
      <c r="AC258" s="305" t="s">
        <v>413</v>
      </c>
      <c r="AG258" s="63"/>
      <c r="AJ258" s="66"/>
      <c r="AK258" s="66">
        <v>0</v>
      </c>
      <c r="BB258" s="306" t="s">
        <v>1</v>
      </c>
      <c r="BM258" s="63">
        <f>IFERROR(X258*I258/H258,"0")</f>
        <v>12.629999999999999</v>
      </c>
      <c r="BN258" s="63">
        <f>IFERROR(Y258*I258/H258,"0")</f>
        <v>12.629999999999999</v>
      </c>
      <c r="BO258" s="63">
        <f>IFERROR(1/J258*(X258/H258),"0")</f>
        <v>2.2727272727272728E-2</v>
      </c>
      <c r="BP258" s="63">
        <f>IFERROR(1/J258*(Y258/H258),"0")</f>
        <v>2.2727272727272728E-2</v>
      </c>
    </row>
    <row r="259" spans="1:68" ht="37.5" customHeight="1" x14ac:dyDescent="0.25">
      <c r="A259" s="53" t="s">
        <v>414</v>
      </c>
      <c r="B259" s="53" t="s">
        <v>415</v>
      </c>
      <c r="C259" s="30">
        <v>4301011851</v>
      </c>
      <c r="D259" s="560">
        <v>4680115885820</v>
      </c>
      <c r="E259" s="561"/>
      <c r="F259" s="542">
        <v>0.4</v>
      </c>
      <c r="G259" s="31">
        <v>10</v>
      </c>
      <c r="H259" s="542">
        <v>4</v>
      </c>
      <c r="I259" s="542">
        <v>4.21</v>
      </c>
      <c r="J259" s="31">
        <v>132</v>
      </c>
      <c r="K259" s="31" t="s">
        <v>110</v>
      </c>
      <c r="L259" s="31" t="s">
        <v>111</v>
      </c>
      <c r="M259" s="32" t="s">
        <v>106</v>
      </c>
      <c r="N259" s="32"/>
      <c r="O259" s="31">
        <v>55</v>
      </c>
      <c r="P259" s="8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3"/>
      <c r="V259" s="33"/>
      <c r="W259" s="34" t="s">
        <v>69</v>
      </c>
      <c r="X259" s="543">
        <v>12</v>
      </c>
      <c r="Y259" s="544">
        <f>IFERROR(IF(X259="",0,CEILING((X259/$H259),1)*$H259),"")</f>
        <v>12</v>
      </c>
      <c r="Z259" s="35">
        <f>IFERROR(IF(Y259=0,"",ROUNDUP(Y259/H259,0)*0.00902),"")</f>
        <v>2.7060000000000001E-2</v>
      </c>
      <c r="AA259" s="55"/>
      <c r="AB259" s="56"/>
      <c r="AC259" s="307" t="s">
        <v>416</v>
      </c>
      <c r="AG259" s="63"/>
      <c r="AJ259" s="66" t="s">
        <v>90</v>
      </c>
      <c r="AK259" s="66">
        <v>48</v>
      </c>
      <c r="BB259" s="308" t="s">
        <v>1</v>
      </c>
      <c r="BM259" s="63">
        <f>IFERROR(X259*I259/H259,"0")</f>
        <v>12.629999999999999</v>
      </c>
      <c r="BN259" s="63">
        <f>IFERROR(Y259*I259/H259,"0")</f>
        <v>12.629999999999999</v>
      </c>
      <c r="BO259" s="63">
        <f>IFERROR(1/J259*(X259/H259),"0")</f>
        <v>2.2727272727272728E-2</v>
      </c>
      <c r="BP259" s="63">
        <f>IFERROR(1/J259*(Y259/H259),"0")</f>
        <v>2.2727272727272728E-2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6" t="s">
        <v>72</v>
      </c>
      <c r="X260" s="545">
        <f>IFERROR(X255/H255,"0")+IFERROR(X256/H256,"0")+IFERROR(X257/H257,"0")+IFERROR(X258/H258,"0")+IFERROR(X259/H259,"0")</f>
        <v>36</v>
      </c>
      <c r="Y260" s="545">
        <f>IFERROR(Y255/H255,"0")+IFERROR(Y256/H256,"0")+IFERROR(Y257/H257,"0")+IFERROR(Y258/H258,"0")+IFERROR(Y259/H259,"0")</f>
        <v>36</v>
      </c>
      <c r="Z260" s="545">
        <f>IFERROR(IF(Z255="",0,Z255),"0")+IFERROR(IF(Z256="",0,Z256),"0")+IFERROR(IF(Z257="",0,Z257),"0")+IFERROR(IF(Z258="",0,Z258),"0")+IFERROR(IF(Z259="",0,Z259),"0")</f>
        <v>0.62351999999999996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6" t="s">
        <v>69</v>
      </c>
      <c r="X261" s="545">
        <f>IFERROR(SUM(X255:X259),"0")</f>
        <v>348</v>
      </c>
      <c r="Y261" s="545">
        <f>IFERROR(SUM(Y255:Y259),"0")</f>
        <v>348</v>
      </c>
      <c r="Z261" s="36"/>
      <c r="AA261" s="546"/>
      <c r="AB261" s="546"/>
      <c r="AC261" s="546"/>
    </row>
    <row r="262" spans="1:68" ht="16.5" hidden="1" customHeight="1" x14ac:dyDescent="0.25">
      <c r="A262" s="596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4"/>
      <c r="AB263" s="534"/>
      <c r="AC263" s="534"/>
    </row>
    <row r="264" spans="1:68" ht="27" hidden="1" customHeight="1" x14ac:dyDescent="0.25">
      <c r="A264" s="53" t="s">
        <v>418</v>
      </c>
      <c r="B264" s="53" t="s">
        <v>419</v>
      </c>
      <c r="C264" s="30">
        <v>4301011223</v>
      </c>
      <c r="D264" s="560">
        <v>4607091383423</v>
      </c>
      <c r="E264" s="561"/>
      <c r="F264" s="542">
        <v>1.35</v>
      </c>
      <c r="G264" s="31">
        <v>8</v>
      </c>
      <c r="H264" s="542">
        <v>10.8</v>
      </c>
      <c r="I264" s="542">
        <v>11.331</v>
      </c>
      <c r="J264" s="31">
        <v>64</v>
      </c>
      <c r="K264" s="31" t="s">
        <v>104</v>
      </c>
      <c r="L264" s="31"/>
      <c r="M264" s="32" t="s">
        <v>77</v>
      </c>
      <c r="N264" s="32"/>
      <c r="O264" s="31">
        <v>35</v>
      </c>
      <c r="P264" s="8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3"/>
      <c r="V264" s="33"/>
      <c r="W264" s="34" t="s">
        <v>69</v>
      </c>
      <c r="X264" s="543">
        <v>0</v>
      </c>
      <c r="Y264" s="544">
        <f>IFERROR(IF(X264="",0,CEILING((X264/$H264),1)*$H264),"")</f>
        <v>0</v>
      </c>
      <c r="Z264" s="35" t="str">
        <f>IFERROR(IF(Y264=0,"",ROUNDUP(Y264/H264,0)*0.01898),"")</f>
        <v/>
      </c>
      <c r="AA264" s="55"/>
      <c r="AB264" s="56"/>
      <c r="AC264" s="309" t="s">
        <v>107</v>
      </c>
      <c r="AG264" s="63"/>
      <c r="AJ264" s="66"/>
      <c r="AK264" s="66">
        <v>0</v>
      </c>
      <c r="BB264" s="310" t="s">
        <v>1</v>
      </c>
      <c r="BM264" s="63">
        <f>IFERROR(X264*I264/H264,"0")</f>
        <v>0</v>
      </c>
      <c r="BN264" s="63">
        <f>IFERROR(Y264*I264/H264,"0")</f>
        <v>0</v>
      </c>
      <c r="BO264" s="63">
        <f>IFERROR(1/J264*(X264/H264),"0")</f>
        <v>0</v>
      </c>
      <c r="BP264" s="63">
        <f>IFERROR(1/J264*(Y264/H264),"0")</f>
        <v>0</v>
      </c>
    </row>
    <row r="265" spans="1:68" ht="27" hidden="1" customHeight="1" x14ac:dyDescent="0.25">
      <c r="A265" s="53" t="s">
        <v>420</v>
      </c>
      <c r="B265" s="53" t="s">
        <v>421</v>
      </c>
      <c r="C265" s="30">
        <v>4301012199</v>
      </c>
      <c r="D265" s="560">
        <v>4680115886957</v>
      </c>
      <c r="E265" s="561"/>
      <c r="F265" s="542">
        <v>1.35</v>
      </c>
      <c r="G265" s="31">
        <v>8</v>
      </c>
      <c r="H265" s="542">
        <v>10.8</v>
      </c>
      <c r="I265" s="542">
        <v>11.234999999999999</v>
      </c>
      <c r="J265" s="31">
        <v>64</v>
      </c>
      <c r="K265" s="31" t="s">
        <v>104</v>
      </c>
      <c r="L265" s="31"/>
      <c r="M265" s="32" t="s">
        <v>77</v>
      </c>
      <c r="N265" s="32"/>
      <c r="O265" s="31">
        <v>30</v>
      </c>
      <c r="P265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3"/>
      <c r="V265" s="33"/>
      <c r="W265" s="34" t="s">
        <v>69</v>
      </c>
      <c r="X265" s="543">
        <v>0</v>
      </c>
      <c r="Y265" s="544">
        <f>IFERROR(IF(X265="",0,CEILING((X265/$H265),1)*$H265),"")</f>
        <v>0</v>
      </c>
      <c r="Z265" s="35" t="str">
        <f>IFERROR(IF(Y265=0,"",ROUNDUP(Y265/H265,0)*0.01898),"")</f>
        <v/>
      </c>
      <c r="AA265" s="55"/>
      <c r="AB265" s="56"/>
      <c r="AC265" s="311" t="s">
        <v>422</v>
      </c>
      <c r="AG265" s="63"/>
      <c r="AJ265" s="66"/>
      <c r="AK265" s="66">
        <v>0</v>
      </c>
      <c r="BB265" s="312" t="s">
        <v>1</v>
      </c>
      <c r="BM265" s="63">
        <f>IFERROR(X265*I265/H265,"0")</f>
        <v>0</v>
      </c>
      <c r="BN265" s="63">
        <f>IFERROR(Y265*I265/H265,"0")</f>
        <v>0</v>
      </c>
      <c r="BO265" s="63">
        <f>IFERROR(1/J265*(X265/H265),"0")</f>
        <v>0</v>
      </c>
      <c r="BP265" s="63">
        <f>IFERROR(1/J265*(Y265/H265),"0")</f>
        <v>0</v>
      </c>
    </row>
    <row r="266" spans="1:68" ht="27" hidden="1" customHeight="1" x14ac:dyDescent="0.25">
      <c r="A266" s="53" t="s">
        <v>423</v>
      </c>
      <c r="B266" s="53" t="s">
        <v>424</v>
      </c>
      <c r="C266" s="30">
        <v>4301012098</v>
      </c>
      <c r="D266" s="560">
        <v>4680115885660</v>
      </c>
      <c r="E266" s="561"/>
      <c r="F266" s="542">
        <v>1.35</v>
      </c>
      <c r="G266" s="31">
        <v>8</v>
      </c>
      <c r="H266" s="542">
        <v>10.8</v>
      </c>
      <c r="I266" s="542">
        <v>11.234999999999999</v>
      </c>
      <c r="J266" s="31">
        <v>64</v>
      </c>
      <c r="K266" s="31" t="s">
        <v>104</v>
      </c>
      <c r="L266" s="31"/>
      <c r="M266" s="32" t="s">
        <v>77</v>
      </c>
      <c r="N266" s="32"/>
      <c r="O266" s="31">
        <v>35</v>
      </c>
      <c r="P266" s="8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3"/>
      <c r="V266" s="33"/>
      <c r="W266" s="34" t="s">
        <v>69</v>
      </c>
      <c r="X266" s="543">
        <v>0</v>
      </c>
      <c r="Y266" s="544">
        <f>IFERROR(IF(X266="",0,CEILING((X266/$H266),1)*$H266),"")</f>
        <v>0</v>
      </c>
      <c r="Z266" s="35" t="str">
        <f>IFERROR(IF(Y266=0,"",ROUNDUP(Y266/H266,0)*0.01898),"")</f>
        <v/>
      </c>
      <c r="AA266" s="55"/>
      <c r="AB266" s="56"/>
      <c r="AC266" s="313" t="s">
        <v>368</v>
      </c>
      <c r="AG266" s="63"/>
      <c r="AJ266" s="66"/>
      <c r="AK266" s="66">
        <v>0</v>
      </c>
      <c r="BB266" s="314" t="s">
        <v>1</v>
      </c>
      <c r="BM266" s="63">
        <f>IFERROR(X266*I266/H266,"0")</f>
        <v>0</v>
      </c>
      <c r="BN266" s="63">
        <f>IFERROR(Y266*I266/H266,"0")</f>
        <v>0</v>
      </c>
      <c r="BO266" s="63">
        <f>IFERROR(1/J266*(X266/H266),"0")</f>
        <v>0</v>
      </c>
      <c r="BP266" s="63">
        <f>IFERROR(1/J266*(Y266/H266),"0")</f>
        <v>0</v>
      </c>
    </row>
    <row r="267" spans="1:68" ht="37.5" hidden="1" customHeight="1" x14ac:dyDescent="0.25">
      <c r="A267" s="53" t="s">
        <v>425</v>
      </c>
      <c r="B267" s="53" t="s">
        <v>426</v>
      </c>
      <c r="C267" s="30">
        <v>4301012176</v>
      </c>
      <c r="D267" s="560">
        <v>4680115886773</v>
      </c>
      <c r="E267" s="561"/>
      <c r="F267" s="542">
        <v>0.9</v>
      </c>
      <c r="G267" s="31">
        <v>10</v>
      </c>
      <c r="H267" s="542">
        <v>9</v>
      </c>
      <c r="I267" s="542">
        <v>9.4350000000000005</v>
      </c>
      <c r="J267" s="31">
        <v>64</v>
      </c>
      <c r="K267" s="31" t="s">
        <v>104</v>
      </c>
      <c r="L267" s="31"/>
      <c r="M267" s="32" t="s">
        <v>106</v>
      </c>
      <c r="N267" s="32"/>
      <c r="O267" s="31">
        <v>31</v>
      </c>
      <c r="P267" s="74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3"/>
      <c r="V267" s="33"/>
      <c r="W267" s="34" t="s">
        <v>69</v>
      </c>
      <c r="X267" s="543">
        <v>0</v>
      </c>
      <c r="Y267" s="544">
        <f>IFERROR(IF(X267="",0,CEILING((X267/$H267),1)*$H267),"")</f>
        <v>0</v>
      </c>
      <c r="Z267" s="35" t="str">
        <f>IFERROR(IF(Y267=0,"",ROUNDUP(Y267/H267,0)*0.01898),"")</f>
        <v/>
      </c>
      <c r="AA267" s="55"/>
      <c r="AB267" s="56"/>
      <c r="AC267" s="315" t="s">
        <v>427</v>
      </c>
      <c r="AG267" s="63"/>
      <c r="AJ267" s="66"/>
      <c r="AK267" s="66">
        <v>0</v>
      </c>
      <c r="BB267" s="316" t="s">
        <v>1</v>
      </c>
      <c r="BM267" s="63">
        <f>IFERROR(X267*I267/H267,"0")</f>
        <v>0</v>
      </c>
      <c r="BN267" s="63">
        <f>IFERROR(Y267*I267/H267,"0")</f>
        <v>0</v>
      </c>
      <c r="BO267" s="63">
        <f>IFERROR(1/J267*(X267/H267),"0")</f>
        <v>0</v>
      </c>
      <c r="BP267" s="63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6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6" t="s">
        <v>69</v>
      </c>
      <c r="X269" s="545">
        <f>IFERROR(SUM(X264:X267),"0")</f>
        <v>0</v>
      </c>
      <c r="Y269" s="545">
        <f>IFERROR(SUM(Y264:Y267),"0")</f>
        <v>0</v>
      </c>
      <c r="Z269" s="36"/>
      <c r="AA269" s="546"/>
      <c r="AB269" s="546"/>
      <c r="AC269" s="546"/>
    </row>
    <row r="270" spans="1:68" ht="16.5" hidden="1" customHeight="1" x14ac:dyDescent="0.25">
      <c r="A270" s="596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4"/>
      <c r="AB271" s="534"/>
      <c r="AC271" s="534"/>
    </row>
    <row r="272" spans="1:68" ht="27" hidden="1" customHeight="1" x14ac:dyDescent="0.25">
      <c r="A272" s="53" t="s">
        <v>429</v>
      </c>
      <c r="B272" s="53" t="s">
        <v>430</v>
      </c>
      <c r="C272" s="30">
        <v>4301051893</v>
      </c>
      <c r="D272" s="560">
        <v>4680115886186</v>
      </c>
      <c r="E272" s="561"/>
      <c r="F272" s="542">
        <v>0.3</v>
      </c>
      <c r="G272" s="31">
        <v>6</v>
      </c>
      <c r="H272" s="542">
        <v>1.8</v>
      </c>
      <c r="I272" s="542">
        <v>1.98</v>
      </c>
      <c r="J272" s="31">
        <v>182</v>
      </c>
      <c r="K272" s="31" t="s">
        <v>76</v>
      </c>
      <c r="L272" s="31"/>
      <c r="M272" s="32" t="s">
        <v>77</v>
      </c>
      <c r="N272" s="32"/>
      <c r="O272" s="31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3"/>
      <c r="V272" s="33"/>
      <c r="W272" s="34" t="s">
        <v>69</v>
      </c>
      <c r="X272" s="543">
        <v>0</v>
      </c>
      <c r="Y272" s="544">
        <f>IFERROR(IF(X272="",0,CEILING((X272/$H272),1)*$H272),"")</f>
        <v>0</v>
      </c>
      <c r="Z272" s="35" t="str">
        <f>IFERROR(IF(Y272=0,"",ROUNDUP(Y272/H272,0)*0.00651),"")</f>
        <v/>
      </c>
      <c r="AA272" s="55"/>
      <c r="AB272" s="56"/>
      <c r="AC272" s="317" t="s">
        <v>431</v>
      </c>
      <c r="AG272" s="63"/>
      <c r="AJ272" s="66"/>
      <c r="AK272" s="66">
        <v>0</v>
      </c>
      <c r="BB272" s="318" t="s">
        <v>1</v>
      </c>
      <c r="BM272" s="63">
        <f>IFERROR(X272*I272/H272,"0")</f>
        <v>0</v>
      </c>
      <c r="BN272" s="63">
        <f>IFERROR(Y272*I272/H272,"0")</f>
        <v>0</v>
      </c>
      <c r="BO272" s="63">
        <f>IFERROR(1/J272*(X272/H272),"0")</f>
        <v>0</v>
      </c>
      <c r="BP272" s="63">
        <f>IFERROR(1/J272*(Y272/H272),"0")</f>
        <v>0</v>
      </c>
    </row>
    <row r="273" spans="1:68" ht="27" customHeight="1" x14ac:dyDescent="0.25">
      <c r="A273" s="53" t="s">
        <v>432</v>
      </c>
      <c r="B273" s="53" t="s">
        <v>433</v>
      </c>
      <c r="C273" s="30">
        <v>4301051795</v>
      </c>
      <c r="D273" s="560">
        <v>4680115881228</v>
      </c>
      <c r="E273" s="561"/>
      <c r="F273" s="542">
        <v>0.4</v>
      </c>
      <c r="G273" s="31">
        <v>6</v>
      </c>
      <c r="H273" s="542">
        <v>2.4</v>
      </c>
      <c r="I273" s="542">
        <v>2.6520000000000001</v>
      </c>
      <c r="J273" s="31">
        <v>182</v>
      </c>
      <c r="K273" s="31" t="s">
        <v>76</v>
      </c>
      <c r="L273" s="31"/>
      <c r="M273" s="32" t="s">
        <v>84</v>
      </c>
      <c r="N273" s="32"/>
      <c r="O273" s="31">
        <v>40</v>
      </c>
      <c r="P273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3"/>
      <c r="V273" s="33"/>
      <c r="W273" s="34" t="s">
        <v>69</v>
      </c>
      <c r="X273" s="543">
        <v>9.6</v>
      </c>
      <c r="Y273" s="544">
        <f>IFERROR(IF(X273="",0,CEILING((X273/$H273),1)*$H273),"")</f>
        <v>9.6</v>
      </c>
      <c r="Z273" s="35">
        <f>IFERROR(IF(Y273=0,"",ROUNDUP(Y273/H273,0)*0.00651),"")</f>
        <v>2.6040000000000001E-2</v>
      </c>
      <c r="AA273" s="55"/>
      <c r="AB273" s="56"/>
      <c r="AC273" s="319" t="s">
        <v>434</v>
      </c>
      <c r="AG273" s="63"/>
      <c r="AJ273" s="66"/>
      <c r="AK273" s="66">
        <v>0</v>
      </c>
      <c r="BB273" s="320" t="s">
        <v>1</v>
      </c>
      <c r="BM273" s="63">
        <f>IFERROR(X273*I273/H273,"0")</f>
        <v>10.608000000000001</v>
      </c>
      <c r="BN273" s="63">
        <f>IFERROR(Y273*I273/H273,"0")</f>
        <v>10.608000000000001</v>
      </c>
      <c r="BO273" s="63">
        <f>IFERROR(1/J273*(X273/H273),"0")</f>
        <v>2.197802197802198E-2</v>
      </c>
      <c r="BP273" s="63">
        <f>IFERROR(1/J273*(Y273/H273),"0")</f>
        <v>2.197802197802198E-2</v>
      </c>
    </row>
    <row r="274" spans="1:68" ht="27" customHeight="1" x14ac:dyDescent="0.25">
      <c r="A274" s="53" t="s">
        <v>435</v>
      </c>
      <c r="B274" s="53" t="s">
        <v>436</v>
      </c>
      <c r="C274" s="30">
        <v>4301051388</v>
      </c>
      <c r="D274" s="560">
        <v>4680115881211</v>
      </c>
      <c r="E274" s="561"/>
      <c r="F274" s="542">
        <v>0.4</v>
      </c>
      <c r="G274" s="31">
        <v>6</v>
      </c>
      <c r="H274" s="542">
        <v>2.4</v>
      </c>
      <c r="I274" s="542">
        <v>2.58</v>
      </c>
      <c r="J274" s="31">
        <v>182</v>
      </c>
      <c r="K274" s="31" t="s">
        <v>76</v>
      </c>
      <c r="L274" s="31" t="s">
        <v>88</v>
      </c>
      <c r="M274" s="32" t="s">
        <v>77</v>
      </c>
      <c r="N274" s="32"/>
      <c r="O274" s="31">
        <v>45</v>
      </c>
      <c r="P274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3"/>
      <c r="V274" s="33"/>
      <c r="W274" s="34" t="s">
        <v>69</v>
      </c>
      <c r="X274" s="543">
        <v>12</v>
      </c>
      <c r="Y274" s="544">
        <f>IFERROR(IF(X274="",0,CEILING((X274/$H274),1)*$H274),"")</f>
        <v>12</v>
      </c>
      <c r="Z274" s="35">
        <f>IFERROR(IF(Y274=0,"",ROUNDUP(Y274/H274,0)*0.00651),"")</f>
        <v>3.2550000000000003E-2</v>
      </c>
      <c r="AA274" s="55"/>
      <c r="AB274" s="56"/>
      <c r="AC274" s="321" t="s">
        <v>431</v>
      </c>
      <c r="AG274" s="63"/>
      <c r="AJ274" s="66" t="s">
        <v>90</v>
      </c>
      <c r="AK274" s="66">
        <v>33.6</v>
      </c>
      <c r="BB274" s="322" t="s">
        <v>1</v>
      </c>
      <c r="BM274" s="63">
        <f>IFERROR(X274*I274/H274,"0")</f>
        <v>12.9</v>
      </c>
      <c r="BN274" s="63">
        <f>IFERROR(Y274*I274/H274,"0")</f>
        <v>12.9</v>
      </c>
      <c r="BO274" s="63">
        <f>IFERROR(1/J274*(X274/H274),"0")</f>
        <v>2.7472527472527476E-2</v>
      </c>
      <c r="BP274" s="63">
        <f>IFERROR(1/J274*(Y274/H274),"0")</f>
        <v>2.7472527472527476E-2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6" t="s">
        <v>72</v>
      </c>
      <c r="X275" s="545">
        <f>IFERROR(X272/H272,"0")+IFERROR(X273/H273,"0")+IFERROR(X274/H274,"0")</f>
        <v>9</v>
      </c>
      <c r="Y275" s="545">
        <f>IFERROR(Y272/H272,"0")+IFERROR(Y273/H273,"0")+IFERROR(Y274/H274,"0")</f>
        <v>9</v>
      </c>
      <c r="Z275" s="545">
        <f>IFERROR(IF(Z272="",0,Z272),"0")+IFERROR(IF(Z273="",0,Z273),"0")+IFERROR(IF(Z274="",0,Z274),"0")</f>
        <v>5.8590000000000003E-2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6" t="s">
        <v>69</v>
      </c>
      <c r="X276" s="545">
        <f>IFERROR(SUM(X272:X274),"0")</f>
        <v>21.6</v>
      </c>
      <c r="Y276" s="545">
        <f>IFERROR(SUM(Y272:Y274),"0")</f>
        <v>21.6</v>
      </c>
      <c r="Z276" s="36"/>
      <c r="AA276" s="546"/>
      <c r="AB276" s="546"/>
      <c r="AC276" s="546"/>
    </row>
    <row r="277" spans="1:68" ht="16.5" hidden="1" customHeight="1" x14ac:dyDescent="0.25">
      <c r="A277" s="596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4"/>
      <c r="AB278" s="534"/>
      <c r="AC278" s="534"/>
    </row>
    <row r="279" spans="1:68" ht="27" customHeight="1" x14ac:dyDescent="0.25">
      <c r="A279" s="53" t="s">
        <v>438</v>
      </c>
      <c r="B279" s="53" t="s">
        <v>439</v>
      </c>
      <c r="C279" s="30">
        <v>4301031307</v>
      </c>
      <c r="D279" s="560">
        <v>4680115880344</v>
      </c>
      <c r="E279" s="561"/>
      <c r="F279" s="542">
        <v>0.28000000000000003</v>
      </c>
      <c r="G279" s="31">
        <v>6</v>
      </c>
      <c r="H279" s="542">
        <v>1.68</v>
      </c>
      <c r="I279" s="542">
        <v>1.78</v>
      </c>
      <c r="J279" s="31">
        <v>234</v>
      </c>
      <c r="K279" s="31" t="s">
        <v>67</v>
      </c>
      <c r="L279" s="31"/>
      <c r="M279" s="32" t="s">
        <v>68</v>
      </c>
      <c r="N279" s="32"/>
      <c r="O279" s="31">
        <v>40</v>
      </c>
      <c r="P279" s="6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3"/>
      <c r="V279" s="33"/>
      <c r="W279" s="34" t="s">
        <v>69</v>
      </c>
      <c r="X279" s="543">
        <v>8.4</v>
      </c>
      <c r="Y279" s="544">
        <f>IFERROR(IF(X279="",0,CEILING((X279/$H279),1)*$H279),"")</f>
        <v>8.4</v>
      </c>
      <c r="Z279" s="35">
        <f>IFERROR(IF(Y279=0,"",ROUNDUP(Y279/H279,0)*0.00502),"")</f>
        <v>2.5100000000000001E-2</v>
      </c>
      <c r="AA279" s="55"/>
      <c r="AB279" s="56"/>
      <c r="AC279" s="323" t="s">
        <v>440</v>
      </c>
      <c r="AG279" s="63"/>
      <c r="AJ279" s="66"/>
      <c r="AK279" s="66">
        <v>0</v>
      </c>
      <c r="BB279" s="324" t="s">
        <v>1</v>
      </c>
      <c r="BM279" s="63">
        <f>IFERROR(X279*I279/H279,"0")</f>
        <v>8.9000000000000021</v>
      </c>
      <c r="BN279" s="63">
        <f>IFERROR(Y279*I279/H279,"0")</f>
        <v>8.9000000000000021</v>
      </c>
      <c r="BO279" s="63">
        <f>IFERROR(1/J279*(X279/H279),"0")</f>
        <v>2.1367521367521368E-2</v>
      </c>
      <c r="BP279" s="63">
        <f>IFERROR(1/J279*(Y279/H279),"0")</f>
        <v>2.1367521367521368E-2</v>
      </c>
    </row>
    <row r="280" spans="1:68" ht="27" customHeight="1" x14ac:dyDescent="0.25">
      <c r="A280" s="53" t="s">
        <v>441</v>
      </c>
      <c r="B280" s="53" t="s">
        <v>442</v>
      </c>
      <c r="C280" s="30">
        <v>4301031429</v>
      </c>
      <c r="D280" s="560">
        <v>4680115886919</v>
      </c>
      <c r="E280" s="561"/>
      <c r="F280" s="542">
        <v>0.4</v>
      </c>
      <c r="G280" s="31">
        <v>6</v>
      </c>
      <c r="H280" s="542">
        <v>2.4</v>
      </c>
      <c r="I280" s="542">
        <v>2.58</v>
      </c>
      <c r="J280" s="31">
        <v>182</v>
      </c>
      <c r="K280" s="31" t="s">
        <v>76</v>
      </c>
      <c r="L280" s="31"/>
      <c r="M280" s="32" t="s">
        <v>68</v>
      </c>
      <c r="N280" s="32"/>
      <c r="O280" s="31">
        <v>40</v>
      </c>
      <c r="P280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3"/>
      <c r="V280" s="33"/>
      <c r="W280" s="34" t="s">
        <v>69</v>
      </c>
      <c r="X280" s="543">
        <v>12</v>
      </c>
      <c r="Y280" s="544">
        <f>IFERROR(IF(X280="",0,CEILING((X280/$H280),1)*$H280),"")</f>
        <v>12</v>
      </c>
      <c r="Z280" s="35">
        <f>IFERROR(IF(Y280=0,"",ROUNDUP(Y280/H280,0)*0.00651),"")</f>
        <v>3.2550000000000003E-2</v>
      </c>
      <c r="AA280" s="55"/>
      <c r="AB280" s="56"/>
      <c r="AC280" s="325" t="s">
        <v>443</v>
      </c>
      <c r="AG280" s="63"/>
      <c r="AJ280" s="66"/>
      <c r="AK280" s="66">
        <v>0</v>
      </c>
      <c r="BB280" s="326" t="s">
        <v>1</v>
      </c>
      <c r="BM280" s="63">
        <f>IFERROR(X280*I280/H280,"0")</f>
        <v>12.9</v>
      </c>
      <c r="BN280" s="63">
        <f>IFERROR(Y280*I280/H280,"0")</f>
        <v>12.9</v>
      </c>
      <c r="BO280" s="63">
        <f>IFERROR(1/J280*(X280/H280),"0")</f>
        <v>2.7472527472527476E-2</v>
      </c>
      <c r="BP280" s="63">
        <f>IFERROR(1/J280*(Y280/H280),"0")</f>
        <v>2.7472527472527476E-2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6" t="s">
        <v>72</v>
      </c>
      <c r="X281" s="545">
        <f>IFERROR(X279/H279,"0")+IFERROR(X280/H280,"0")</f>
        <v>10</v>
      </c>
      <c r="Y281" s="545">
        <f>IFERROR(Y279/H279,"0")+IFERROR(Y280/H280,"0")</f>
        <v>10</v>
      </c>
      <c r="Z281" s="545">
        <f>IFERROR(IF(Z279="",0,Z279),"0")+IFERROR(IF(Z280="",0,Z280),"0")</f>
        <v>5.7650000000000007E-2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6" t="s">
        <v>69</v>
      </c>
      <c r="X282" s="545">
        <f>IFERROR(SUM(X279:X280),"0")</f>
        <v>20.399999999999999</v>
      </c>
      <c r="Y282" s="545">
        <f>IFERROR(SUM(Y279:Y280),"0")</f>
        <v>20.399999999999999</v>
      </c>
      <c r="Z282" s="36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4"/>
      <c r="AB283" s="534"/>
      <c r="AC283" s="534"/>
    </row>
    <row r="284" spans="1:68" ht="37.5" hidden="1" customHeight="1" x14ac:dyDescent="0.25">
      <c r="A284" s="53" t="s">
        <v>444</v>
      </c>
      <c r="B284" s="53" t="s">
        <v>445</v>
      </c>
      <c r="C284" s="30">
        <v>4301051782</v>
      </c>
      <c r="D284" s="560">
        <v>4680115884618</v>
      </c>
      <c r="E284" s="561"/>
      <c r="F284" s="542">
        <v>0.6</v>
      </c>
      <c r="G284" s="31">
        <v>6</v>
      </c>
      <c r="H284" s="542">
        <v>3.6</v>
      </c>
      <c r="I284" s="542">
        <v>3.81</v>
      </c>
      <c r="J284" s="31">
        <v>132</v>
      </c>
      <c r="K284" s="31" t="s">
        <v>110</v>
      </c>
      <c r="L284" s="31" t="s">
        <v>111</v>
      </c>
      <c r="M284" s="32" t="s">
        <v>77</v>
      </c>
      <c r="N284" s="32"/>
      <c r="O284" s="31">
        <v>45</v>
      </c>
      <c r="P284" s="7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3"/>
      <c r="V284" s="33"/>
      <c r="W284" s="34" t="s">
        <v>69</v>
      </c>
      <c r="X284" s="543">
        <v>0</v>
      </c>
      <c r="Y284" s="544">
        <f>IFERROR(IF(X284="",0,CEILING((X284/$H284),1)*$H284),"")</f>
        <v>0</v>
      </c>
      <c r="Z284" s="35" t="str">
        <f>IFERROR(IF(Y284=0,"",ROUNDUP(Y284/H284,0)*0.00902),"")</f>
        <v/>
      </c>
      <c r="AA284" s="55"/>
      <c r="AB284" s="56"/>
      <c r="AC284" s="327" t="s">
        <v>446</v>
      </c>
      <c r="AG284" s="63"/>
      <c r="AJ284" s="66" t="s">
        <v>90</v>
      </c>
      <c r="AK284" s="66">
        <v>43.2</v>
      </c>
      <c r="BB284" s="328" t="s">
        <v>1</v>
      </c>
      <c r="BM284" s="63">
        <f>IFERROR(X284*I284/H284,"0")</f>
        <v>0</v>
      </c>
      <c r="BN284" s="63">
        <f>IFERROR(Y284*I284/H284,"0")</f>
        <v>0</v>
      </c>
      <c r="BO284" s="63">
        <f>IFERROR(1/J284*(X284/H284),"0")</f>
        <v>0</v>
      </c>
      <c r="BP284" s="63">
        <f>IFERROR(1/J284*(Y284/H284),"0")</f>
        <v>0</v>
      </c>
    </row>
    <row r="285" spans="1:68" hidden="1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6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6" t="s">
        <v>69</v>
      </c>
      <c r="X286" s="545">
        <f>IFERROR(SUM(X284:X284),"0")</f>
        <v>0</v>
      </c>
      <c r="Y286" s="545">
        <f>IFERROR(SUM(Y284:Y284),"0")</f>
        <v>0</v>
      </c>
      <c r="Z286" s="36"/>
      <c r="AA286" s="546"/>
      <c r="AB286" s="546"/>
      <c r="AC286" s="546"/>
    </row>
    <row r="287" spans="1:68" ht="16.5" hidden="1" customHeight="1" x14ac:dyDescent="0.25">
      <c r="A287" s="596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hidden="1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4"/>
      <c r="AB288" s="534"/>
      <c r="AC288" s="534"/>
    </row>
    <row r="289" spans="1:68" ht="27" customHeight="1" x14ac:dyDescent="0.25">
      <c r="A289" s="53" t="s">
        <v>448</v>
      </c>
      <c r="B289" s="53" t="s">
        <v>449</v>
      </c>
      <c r="C289" s="30">
        <v>4301012126</v>
      </c>
      <c r="D289" s="560">
        <v>4607091386004</v>
      </c>
      <c r="E289" s="561"/>
      <c r="F289" s="542">
        <v>1.35</v>
      </c>
      <c r="G289" s="31">
        <v>8</v>
      </c>
      <c r="H289" s="542">
        <v>10.8</v>
      </c>
      <c r="I289" s="542">
        <v>11.234999999999999</v>
      </c>
      <c r="J289" s="31">
        <v>64</v>
      </c>
      <c r="K289" s="31" t="s">
        <v>104</v>
      </c>
      <c r="L289" s="31"/>
      <c r="M289" s="32" t="s">
        <v>106</v>
      </c>
      <c r="N289" s="32"/>
      <c r="O289" s="31">
        <v>55</v>
      </c>
      <c r="P289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3"/>
      <c r="V289" s="33"/>
      <c r="W289" s="34" t="s">
        <v>69</v>
      </c>
      <c r="X289" s="543">
        <v>324</v>
      </c>
      <c r="Y289" s="544">
        <f t="shared" ref="Y289:Y294" si="26">IFERROR(IF(X289="",0,CEILING((X289/$H289),1)*$H289),"")</f>
        <v>324</v>
      </c>
      <c r="Z289" s="35">
        <f>IFERROR(IF(Y289=0,"",ROUNDUP(Y289/H289,0)*0.01898),"")</f>
        <v>0.56940000000000002</v>
      </c>
      <c r="AA289" s="55"/>
      <c r="AB289" s="56"/>
      <c r="AC289" s="329" t="s">
        <v>450</v>
      </c>
      <c r="AG289" s="63"/>
      <c r="AJ289" s="66"/>
      <c r="AK289" s="66">
        <v>0</v>
      </c>
      <c r="BB289" s="330" t="s">
        <v>1</v>
      </c>
      <c r="BM289" s="63">
        <f t="shared" ref="BM289:BM294" si="27">IFERROR(X289*I289/H289,"0")</f>
        <v>337.04999999999995</v>
      </c>
      <c r="BN289" s="63">
        <f t="shared" ref="BN289:BN294" si="28">IFERROR(Y289*I289/H289,"0")</f>
        <v>337.04999999999995</v>
      </c>
      <c r="BO289" s="63">
        <f t="shared" ref="BO289:BO294" si="29">IFERROR(1/J289*(X289/H289),"0")</f>
        <v>0.46874999999999994</v>
      </c>
      <c r="BP289" s="63">
        <f t="shared" ref="BP289:BP294" si="30">IFERROR(1/J289*(Y289/H289),"0")</f>
        <v>0.46874999999999994</v>
      </c>
    </row>
    <row r="290" spans="1:68" ht="27" customHeight="1" x14ac:dyDescent="0.25">
      <c r="A290" s="53" t="s">
        <v>451</v>
      </c>
      <c r="B290" s="53" t="s">
        <v>452</v>
      </c>
      <c r="C290" s="30">
        <v>4301012024</v>
      </c>
      <c r="D290" s="560">
        <v>4680115885615</v>
      </c>
      <c r="E290" s="561"/>
      <c r="F290" s="542">
        <v>1.35</v>
      </c>
      <c r="G290" s="31">
        <v>8</v>
      </c>
      <c r="H290" s="542">
        <v>10.8</v>
      </c>
      <c r="I290" s="542">
        <v>11.234999999999999</v>
      </c>
      <c r="J290" s="31">
        <v>64</v>
      </c>
      <c r="K290" s="31" t="s">
        <v>104</v>
      </c>
      <c r="L290" s="31" t="s">
        <v>105</v>
      </c>
      <c r="M290" s="32" t="s">
        <v>77</v>
      </c>
      <c r="N290" s="32"/>
      <c r="O290" s="31">
        <v>55</v>
      </c>
      <c r="P290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3"/>
      <c r="V290" s="33"/>
      <c r="W290" s="34" t="s">
        <v>69</v>
      </c>
      <c r="X290" s="543">
        <v>162</v>
      </c>
      <c r="Y290" s="544">
        <f t="shared" si="26"/>
        <v>162</v>
      </c>
      <c r="Z290" s="35">
        <f>IFERROR(IF(Y290=0,"",ROUNDUP(Y290/H290,0)*0.01898),"")</f>
        <v>0.28470000000000001</v>
      </c>
      <c r="AA290" s="55"/>
      <c r="AB290" s="56"/>
      <c r="AC290" s="331" t="s">
        <v>453</v>
      </c>
      <c r="AG290" s="63"/>
      <c r="AJ290" s="66" t="s">
        <v>90</v>
      </c>
      <c r="AK290" s="66">
        <v>86.4</v>
      </c>
      <c r="BB290" s="332" t="s">
        <v>1</v>
      </c>
      <c r="BM290" s="63">
        <f t="shared" si="27"/>
        <v>168.52499999999998</v>
      </c>
      <c r="BN290" s="63">
        <f t="shared" si="28"/>
        <v>168.52499999999998</v>
      </c>
      <c r="BO290" s="63">
        <f t="shared" si="29"/>
        <v>0.23437499999999997</v>
      </c>
      <c r="BP290" s="63">
        <f t="shared" si="30"/>
        <v>0.23437499999999997</v>
      </c>
    </row>
    <row r="291" spans="1:68" ht="37.5" customHeight="1" x14ac:dyDescent="0.25">
      <c r="A291" s="53" t="s">
        <v>454</v>
      </c>
      <c r="B291" s="53" t="s">
        <v>455</v>
      </c>
      <c r="C291" s="30">
        <v>4301011858</v>
      </c>
      <c r="D291" s="560">
        <v>4680115885646</v>
      </c>
      <c r="E291" s="561"/>
      <c r="F291" s="542">
        <v>1.35</v>
      </c>
      <c r="G291" s="31">
        <v>8</v>
      </c>
      <c r="H291" s="542">
        <v>10.8</v>
      </c>
      <c r="I291" s="542">
        <v>11.234999999999999</v>
      </c>
      <c r="J291" s="31">
        <v>64</v>
      </c>
      <c r="K291" s="31" t="s">
        <v>104</v>
      </c>
      <c r="L291" s="31" t="s">
        <v>105</v>
      </c>
      <c r="M291" s="32" t="s">
        <v>106</v>
      </c>
      <c r="N291" s="32"/>
      <c r="O291" s="31">
        <v>55</v>
      </c>
      <c r="P291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3"/>
      <c r="V291" s="33"/>
      <c r="W291" s="34" t="s">
        <v>69</v>
      </c>
      <c r="X291" s="543">
        <v>86.4</v>
      </c>
      <c r="Y291" s="544">
        <f t="shared" si="26"/>
        <v>86.4</v>
      </c>
      <c r="Z291" s="35">
        <f>IFERROR(IF(Y291=0,"",ROUNDUP(Y291/H291,0)*0.01898),"")</f>
        <v>0.15184</v>
      </c>
      <c r="AA291" s="55"/>
      <c r="AB291" s="56"/>
      <c r="AC291" s="333" t="s">
        <v>456</v>
      </c>
      <c r="AG291" s="63"/>
      <c r="AJ291" s="66" t="s">
        <v>90</v>
      </c>
      <c r="AK291" s="66">
        <v>86.4</v>
      </c>
      <c r="BB291" s="334" t="s">
        <v>1</v>
      </c>
      <c r="BM291" s="63">
        <f t="shared" si="27"/>
        <v>89.88</v>
      </c>
      <c r="BN291" s="63">
        <f t="shared" si="28"/>
        <v>89.88</v>
      </c>
      <c r="BO291" s="63">
        <f t="shared" si="29"/>
        <v>0.125</v>
      </c>
      <c r="BP291" s="63">
        <f t="shared" si="30"/>
        <v>0.125</v>
      </c>
    </row>
    <row r="292" spans="1:68" ht="27" hidden="1" customHeight="1" x14ac:dyDescent="0.25">
      <c r="A292" s="53" t="s">
        <v>457</v>
      </c>
      <c r="B292" s="53" t="s">
        <v>458</v>
      </c>
      <c r="C292" s="30">
        <v>4301012016</v>
      </c>
      <c r="D292" s="560">
        <v>4680115885554</v>
      </c>
      <c r="E292" s="561"/>
      <c r="F292" s="542">
        <v>1.35</v>
      </c>
      <c r="G292" s="31">
        <v>8</v>
      </c>
      <c r="H292" s="542">
        <v>10.8</v>
      </c>
      <c r="I292" s="542">
        <v>11.234999999999999</v>
      </c>
      <c r="J292" s="31">
        <v>64</v>
      </c>
      <c r="K292" s="31" t="s">
        <v>104</v>
      </c>
      <c r="L292" s="31"/>
      <c r="M292" s="32" t="s">
        <v>77</v>
      </c>
      <c r="N292" s="32"/>
      <c r="O292" s="31">
        <v>55</v>
      </c>
      <c r="P292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3"/>
      <c r="V292" s="33"/>
      <c r="W292" s="34" t="s">
        <v>69</v>
      </c>
      <c r="X292" s="543">
        <v>0</v>
      </c>
      <c r="Y292" s="544">
        <f t="shared" si="26"/>
        <v>0</v>
      </c>
      <c r="Z292" s="35" t="str">
        <f>IFERROR(IF(Y292=0,"",ROUNDUP(Y292/H292,0)*0.01898),"")</f>
        <v/>
      </c>
      <c r="AA292" s="55"/>
      <c r="AB292" s="56"/>
      <c r="AC292" s="335" t="s">
        <v>459</v>
      </c>
      <c r="AG292" s="63"/>
      <c r="AJ292" s="66" t="s">
        <v>90</v>
      </c>
      <c r="AK292" s="66">
        <v>10.8</v>
      </c>
      <c r="BB292" s="336" t="s">
        <v>1</v>
      </c>
      <c r="BM292" s="63">
        <f t="shared" si="27"/>
        <v>0</v>
      </c>
      <c r="BN292" s="63">
        <f t="shared" si="28"/>
        <v>0</v>
      </c>
      <c r="BO292" s="63">
        <f t="shared" si="29"/>
        <v>0</v>
      </c>
      <c r="BP292" s="63">
        <f t="shared" si="30"/>
        <v>0</v>
      </c>
    </row>
    <row r="293" spans="1:68" ht="27" customHeight="1" x14ac:dyDescent="0.25">
      <c r="A293" s="53" t="s">
        <v>460</v>
      </c>
      <c r="B293" s="53" t="s">
        <v>461</v>
      </c>
      <c r="C293" s="30">
        <v>4301011857</v>
      </c>
      <c r="D293" s="560">
        <v>4680115885622</v>
      </c>
      <c r="E293" s="561"/>
      <c r="F293" s="542">
        <v>0.4</v>
      </c>
      <c r="G293" s="31">
        <v>10</v>
      </c>
      <c r="H293" s="542">
        <v>4</v>
      </c>
      <c r="I293" s="542">
        <v>4.21</v>
      </c>
      <c r="J293" s="31">
        <v>132</v>
      </c>
      <c r="K293" s="31" t="s">
        <v>110</v>
      </c>
      <c r="L293" s="31" t="s">
        <v>111</v>
      </c>
      <c r="M293" s="32" t="s">
        <v>106</v>
      </c>
      <c r="N293" s="32"/>
      <c r="O293" s="31">
        <v>55</v>
      </c>
      <c r="P293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3"/>
      <c r="V293" s="33"/>
      <c r="W293" s="34" t="s">
        <v>69</v>
      </c>
      <c r="X293" s="543">
        <v>16</v>
      </c>
      <c r="Y293" s="544">
        <f t="shared" si="26"/>
        <v>16</v>
      </c>
      <c r="Z293" s="35">
        <f>IFERROR(IF(Y293=0,"",ROUNDUP(Y293/H293,0)*0.00902),"")</f>
        <v>3.6080000000000001E-2</v>
      </c>
      <c r="AA293" s="55"/>
      <c r="AB293" s="56"/>
      <c r="AC293" s="337" t="s">
        <v>453</v>
      </c>
      <c r="AG293" s="63"/>
      <c r="AJ293" s="66" t="s">
        <v>90</v>
      </c>
      <c r="AK293" s="66">
        <v>48</v>
      </c>
      <c r="BB293" s="338" t="s">
        <v>1</v>
      </c>
      <c r="BM293" s="63">
        <f t="shared" si="27"/>
        <v>16.84</v>
      </c>
      <c r="BN293" s="63">
        <f t="shared" si="28"/>
        <v>16.84</v>
      </c>
      <c r="BO293" s="63">
        <f t="shared" si="29"/>
        <v>3.0303030303030304E-2</v>
      </c>
      <c r="BP293" s="63">
        <f t="shared" si="30"/>
        <v>3.0303030303030304E-2</v>
      </c>
    </row>
    <row r="294" spans="1:68" ht="27" customHeight="1" x14ac:dyDescent="0.25">
      <c r="A294" s="53" t="s">
        <v>462</v>
      </c>
      <c r="B294" s="53" t="s">
        <v>463</v>
      </c>
      <c r="C294" s="30">
        <v>4301011859</v>
      </c>
      <c r="D294" s="560">
        <v>4680115885608</v>
      </c>
      <c r="E294" s="561"/>
      <c r="F294" s="542">
        <v>0.4</v>
      </c>
      <c r="G294" s="31">
        <v>10</v>
      </c>
      <c r="H294" s="542">
        <v>4</v>
      </c>
      <c r="I294" s="542">
        <v>4.21</v>
      </c>
      <c r="J294" s="31">
        <v>132</v>
      </c>
      <c r="K294" s="31" t="s">
        <v>110</v>
      </c>
      <c r="L294" s="31" t="s">
        <v>111</v>
      </c>
      <c r="M294" s="32" t="s">
        <v>106</v>
      </c>
      <c r="N294" s="32"/>
      <c r="O294" s="31">
        <v>55</v>
      </c>
      <c r="P294" s="5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3"/>
      <c r="V294" s="33"/>
      <c r="W294" s="34" t="s">
        <v>69</v>
      </c>
      <c r="X294" s="543">
        <v>20</v>
      </c>
      <c r="Y294" s="544">
        <f t="shared" si="26"/>
        <v>20</v>
      </c>
      <c r="Z294" s="35">
        <f>IFERROR(IF(Y294=0,"",ROUNDUP(Y294/H294,0)*0.00902),"")</f>
        <v>4.5100000000000001E-2</v>
      </c>
      <c r="AA294" s="55"/>
      <c r="AB294" s="56"/>
      <c r="AC294" s="339" t="s">
        <v>464</v>
      </c>
      <c r="AG294" s="63"/>
      <c r="AJ294" s="66" t="s">
        <v>90</v>
      </c>
      <c r="AK294" s="66">
        <v>48</v>
      </c>
      <c r="BB294" s="340" t="s">
        <v>1</v>
      </c>
      <c r="BM294" s="63">
        <f t="shared" si="27"/>
        <v>21.05</v>
      </c>
      <c r="BN294" s="63">
        <f t="shared" si="28"/>
        <v>21.05</v>
      </c>
      <c r="BO294" s="63">
        <f t="shared" si="29"/>
        <v>3.787878787878788E-2</v>
      </c>
      <c r="BP294" s="63">
        <f t="shared" si="30"/>
        <v>3.787878787878788E-2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6" t="s">
        <v>72</v>
      </c>
      <c r="X295" s="545">
        <f>IFERROR(X289/H289,"0")+IFERROR(X290/H290,"0")+IFERROR(X291/H291,"0")+IFERROR(X292/H292,"0")+IFERROR(X293/H293,"0")+IFERROR(X294/H294,"0")</f>
        <v>61.999999999999993</v>
      </c>
      <c r="Y295" s="545">
        <f>IFERROR(Y289/H289,"0")+IFERROR(Y290/H290,"0")+IFERROR(Y291/H291,"0")+IFERROR(Y292/H292,"0")+IFERROR(Y293/H293,"0")+IFERROR(Y294/H294,"0")</f>
        <v>61.999999999999993</v>
      </c>
      <c r="Z295" s="545">
        <f>IFERROR(IF(Z289="",0,Z289),"0")+IFERROR(IF(Z290="",0,Z290),"0")+IFERROR(IF(Z291="",0,Z291),"0")+IFERROR(IF(Z292="",0,Z292),"0")+IFERROR(IF(Z293="",0,Z293),"0")+IFERROR(IF(Z294="",0,Z294),"0")</f>
        <v>1.0871199999999999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6" t="s">
        <v>69</v>
      </c>
      <c r="X296" s="545">
        <f>IFERROR(SUM(X289:X294),"0")</f>
        <v>608.4</v>
      </c>
      <c r="Y296" s="545">
        <f>IFERROR(SUM(Y289:Y294),"0")</f>
        <v>608.4</v>
      </c>
      <c r="Z296" s="36"/>
      <c r="AA296" s="546"/>
      <c r="AB296" s="546"/>
      <c r="AC296" s="546"/>
    </row>
    <row r="297" spans="1:68" ht="14.25" hidden="1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4"/>
      <c r="AB297" s="534"/>
      <c r="AC297" s="534"/>
    </row>
    <row r="298" spans="1:68" ht="27" customHeight="1" x14ac:dyDescent="0.25">
      <c r="A298" s="53" t="s">
        <v>465</v>
      </c>
      <c r="B298" s="53" t="s">
        <v>466</v>
      </c>
      <c r="C298" s="30">
        <v>4301030878</v>
      </c>
      <c r="D298" s="560">
        <v>4607091387193</v>
      </c>
      <c r="E298" s="561"/>
      <c r="F298" s="542">
        <v>0.7</v>
      </c>
      <c r="G298" s="31">
        <v>6</v>
      </c>
      <c r="H298" s="542">
        <v>4.2</v>
      </c>
      <c r="I298" s="542">
        <v>4.47</v>
      </c>
      <c r="J298" s="31">
        <v>132</v>
      </c>
      <c r="K298" s="31" t="s">
        <v>110</v>
      </c>
      <c r="L298" s="31" t="s">
        <v>111</v>
      </c>
      <c r="M298" s="32" t="s">
        <v>68</v>
      </c>
      <c r="N298" s="32"/>
      <c r="O298" s="31">
        <v>35</v>
      </c>
      <c r="P298" s="6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3"/>
      <c r="V298" s="33"/>
      <c r="W298" s="34" t="s">
        <v>69</v>
      </c>
      <c r="X298" s="543">
        <v>126</v>
      </c>
      <c r="Y298" s="544">
        <f t="shared" ref="Y298:Y304" si="31">IFERROR(IF(X298="",0,CEILING((X298/$H298),1)*$H298),"")</f>
        <v>126</v>
      </c>
      <c r="Z298" s="35">
        <f>IFERROR(IF(Y298=0,"",ROUNDUP(Y298/H298,0)*0.00902),"")</f>
        <v>0.27060000000000001</v>
      </c>
      <c r="AA298" s="55"/>
      <c r="AB298" s="56"/>
      <c r="AC298" s="341" t="s">
        <v>467</v>
      </c>
      <c r="AG298" s="63"/>
      <c r="AJ298" s="66" t="s">
        <v>90</v>
      </c>
      <c r="AK298" s="66">
        <v>50.4</v>
      </c>
      <c r="BB298" s="342" t="s">
        <v>1</v>
      </c>
      <c r="BM298" s="63">
        <f t="shared" ref="BM298:BM304" si="32">IFERROR(X298*I298/H298,"0")</f>
        <v>134.09999999999997</v>
      </c>
      <c r="BN298" s="63">
        <f t="shared" ref="BN298:BN304" si="33">IFERROR(Y298*I298/H298,"0")</f>
        <v>134.09999999999997</v>
      </c>
      <c r="BO298" s="63">
        <f t="shared" ref="BO298:BO304" si="34">IFERROR(1/J298*(X298/H298),"0")</f>
        <v>0.22727272727272729</v>
      </c>
      <c r="BP298" s="63">
        <f t="shared" ref="BP298:BP304" si="35">IFERROR(1/J298*(Y298/H298),"0")</f>
        <v>0.22727272727272729</v>
      </c>
    </row>
    <row r="299" spans="1:68" ht="27" customHeight="1" x14ac:dyDescent="0.25">
      <c r="A299" s="53" t="s">
        <v>468</v>
      </c>
      <c r="B299" s="53" t="s">
        <v>469</v>
      </c>
      <c r="C299" s="30">
        <v>4301031153</v>
      </c>
      <c r="D299" s="560">
        <v>4607091387230</v>
      </c>
      <c r="E299" s="561"/>
      <c r="F299" s="542">
        <v>0.7</v>
      </c>
      <c r="G299" s="31">
        <v>6</v>
      </c>
      <c r="H299" s="542">
        <v>4.2</v>
      </c>
      <c r="I299" s="542">
        <v>4.47</v>
      </c>
      <c r="J299" s="31">
        <v>132</v>
      </c>
      <c r="K299" s="31" t="s">
        <v>110</v>
      </c>
      <c r="L299" s="31" t="s">
        <v>111</v>
      </c>
      <c r="M299" s="32" t="s">
        <v>68</v>
      </c>
      <c r="N299" s="32"/>
      <c r="O299" s="31">
        <v>40</v>
      </c>
      <c r="P299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3"/>
      <c r="V299" s="33"/>
      <c r="W299" s="34" t="s">
        <v>69</v>
      </c>
      <c r="X299" s="543">
        <v>84</v>
      </c>
      <c r="Y299" s="544">
        <f t="shared" si="31"/>
        <v>84</v>
      </c>
      <c r="Z299" s="35">
        <f>IFERROR(IF(Y299=0,"",ROUNDUP(Y299/H299,0)*0.00902),"")</f>
        <v>0.1804</v>
      </c>
      <c r="AA299" s="55"/>
      <c r="AB299" s="56"/>
      <c r="AC299" s="343" t="s">
        <v>470</v>
      </c>
      <c r="AG299" s="63"/>
      <c r="AJ299" s="66" t="s">
        <v>90</v>
      </c>
      <c r="AK299" s="66">
        <v>50.4</v>
      </c>
      <c r="BB299" s="344" t="s">
        <v>1</v>
      </c>
      <c r="BM299" s="63">
        <f t="shared" si="32"/>
        <v>89.399999999999991</v>
      </c>
      <c r="BN299" s="63">
        <f t="shared" si="33"/>
        <v>89.399999999999991</v>
      </c>
      <c r="BO299" s="63">
        <f t="shared" si="34"/>
        <v>0.15151515151515152</v>
      </c>
      <c r="BP299" s="63">
        <f t="shared" si="35"/>
        <v>0.15151515151515152</v>
      </c>
    </row>
    <row r="300" spans="1:68" ht="27" customHeight="1" x14ac:dyDescent="0.25">
      <c r="A300" s="53" t="s">
        <v>471</v>
      </c>
      <c r="B300" s="53" t="s">
        <v>472</v>
      </c>
      <c r="C300" s="30">
        <v>4301031154</v>
      </c>
      <c r="D300" s="560">
        <v>4607091387292</v>
      </c>
      <c r="E300" s="561"/>
      <c r="F300" s="542">
        <v>0.73</v>
      </c>
      <c r="G300" s="31">
        <v>6</v>
      </c>
      <c r="H300" s="542">
        <v>4.38</v>
      </c>
      <c r="I300" s="542">
        <v>4.6500000000000004</v>
      </c>
      <c r="J300" s="31">
        <v>132</v>
      </c>
      <c r="K300" s="31" t="s">
        <v>110</v>
      </c>
      <c r="L300" s="31"/>
      <c r="M300" s="32" t="s">
        <v>68</v>
      </c>
      <c r="N300" s="32"/>
      <c r="O300" s="31">
        <v>45</v>
      </c>
      <c r="P300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3"/>
      <c r="V300" s="33"/>
      <c r="W300" s="34" t="s">
        <v>69</v>
      </c>
      <c r="X300" s="543">
        <v>21.9</v>
      </c>
      <c r="Y300" s="544">
        <f t="shared" si="31"/>
        <v>21.9</v>
      </c>
      <c r="Z300" s="35">
        <f>IFERROR(IF(Y300=0,"",ROUNDUP(Y300/H300,0)*0.00902),"")</f>
        <v>4.5100000000000001E-2</v>
      </c>
      <c r="AA300" s="55"/>
      <c r="AB300" s="56"/>
      <c r="AC300" s="345" t="s">
        <v>473</v>
      </c>
      <c r="AG300" s="63"/>
      <c r="AJ300" s="66"/>
      <c r="AK300" s="66">
        <v>0</v>
      </c>
      <c r="BB300" s="346" t="s">
        <v>1</v>
      </c>
      <c r="BM300" s="63">
        <f t="shared" si="32"/>
        <v>23.250000000000004</v>
      </c>
      <c r="BN300" s="63">
        <f t="shared" si="33"/>
        <v>23.250000000000004</v>
      </c>
      <c r="BO300" s="63">
        <f t="shared" si="34"/>
        <v>3.787878787878788E-2</v>
      </c>
      <c r="BP300" s="63">
        <f t="shared" si="35"/>
        <v>3.787878787878788E-2</v>
      </c>
    </row>
    <row r="301" spans="1:68" ht="27" customHeight="1" x14ac:dyDescent="0.25">
      <c r="A301" s="53" t="s">
        <v>474</v>
      </c>
      <c r="B301" s="53" t="s">
        <v>475</v>
      </c>
      <c r="C301" s="30">
        <v>4301031152</v>
      </c>
      <c r="D301" s="560">
        <v>4607091387285</v>
      </c>
      <c r="E301" s="561"/>
      <c r="F301" s="542">
        <v>0.35</v>
      </c>
      <c r="G301" s="31">
        <v>6</v>
      </c>
      <c r="H301" s="542">
        <v>2.1</v>
      </c>
      <c r="I301" s="542">
        <v>2.23</v>
      </c>
      <c r="J301" s="31">
        <v>234</v>
      </c>
      <c r="K301" s="31" t="s">
        <v>67</v>
      </c>
      <c r="L301" s="31" t="s">
        <v>273</v>
      </c>
      <c r="M301" s="32" t="s">
        <v>68</v>
      </c>
      <c r="N301" s="32"/>
      <c r="O301" s="31">
        <v>40</v>
      </c>
      <c r="P301" s="6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3"/>
      <c r="V301" s="33"/>
      <c r="W301" s="34" t="s">
        <v>69</v>
      </c>
      <c r="X301" s="543">
        <v>12.6</v>
      </c>
      <c r="Y301" s="544">
        <f t="shared" si="31"/>
        <v>12.600000000000001</v>
      </c>
      <c r="Z301" s="35">
        <f>IFERROR(IF(Y301=0,"",ROUNDUP(Y301/H301,0)*0.00502),"")</f>
        <v>3.0120000000000001E-2</v>
      </c>
      <c r="AA301" s="55"/>
      <c r="AB301" s="56"/>
      <c r="AC301" s="347" t="s">
        <v>470</v>
      </c>
      <c r="AG301" s="63"/>
      <c r="AJ301" s="66" t="s">
        <v>90</v>
      </c>
      <c r="AK301" s="66">
        <v>37.799999999999997</v>
      </c>
      <c r="BB301" s="348" t="s">
        <v>1</v>
      </c>
      <c r="BM301" s="63">
        <f t="shared" si="32"/>
        <v>13.379999999999999</v>
      </c>
      <c r="BN301" s="63">
        <f t="shared" si="33"/>
        <v>13.38</v>
      </c>
      <c r="BO301" s="63">
        <f t="shared" si="34"/>
        <v>2.5641025641025644E-2</v>
      </c>
      <c r="BP301" s="63">
        <f t="shared" si="35"/>
        <v>2.5641025641025644E-2</v>
      </c>
    </row>
    <row r="302" spans="1:68" ht="27" customHeight="1" x14ac:dyDescent="0.25">
      <c r="A302" s="53" t="s">
        <v>476</v>
      </c>
      <c r="B302" s="53" t="s">
        <v>477</v>
      </c>
      <c r="C302" s="30">
        <v>4301031305</v>
      </c>
      <c r="D302" s="560">
        <v>4607091389845</v>
      </c>
      <c r="E302" s="561"/>
      <c r="F302" s="542">
        <v>0.35</v>
      </c>
      <c r="G302" s="31">
        <v>6</v>
      </c>
      <c r="H302" s="542">
        <v>2.1</v>
      </c>
      <c r="I302" s="542">
        <v>2.2000000000000002</v>
      </c>
      <c r="J302" s="31">
        <v>234</v>
      </c>
      <c r="K302" s="31" t="s">
        <v>67</v>
      </c>
      <c r="L302" s="31" t="s">
        <v>273</v>
      </c>
      <c r="M302" s="32" t="s">
        <v>68</v>
      </c>
      <c r="N302" s="32"/>
      <c r="O302" s="31">
        <v>40</v>
      </c>
      <c r="P302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3"/>
      <c r="V302" s="33"/>
      <c r="W302" s="34" t="s">
        <v>69</v>
      </c>
      <c r="X302" s="543">
        <v>12.6</v>
      </c>
      <c r="Y302" s="544">
        <f t="shared" si="31"/>
        <v>12.600000000000001</v>
      </c>
      <c r="Z302" s="35">
        <f>IFERROR(IF(Y302=0,"",ROUNDUP(Y302/H302,0)*0.00502),"")</f>
        <v>3.0120000000000001E-2</v>
      </c>
      <c r="AA302" s="55"/>
      <c r="AB302" s="56"/>
      <c r="AC302" s="349" t="s">
        <v>478</v>
      </c>
      <c r="AG302" s="63"/>
      <c r="AJ302" s="66" t="s">
        <v>90</v>
      </c>
      <c r="AK302" s="66">
        <v>37.799999999999997</v>
      </c>
      <c r="BB302" s="350" t="s">
        <v>1</v>
      </c>
      <c r="BM302" s="63">
        <f t="shared" si="32"/>
        <v>13.200000000000001</v>
      </c>
      <c r="BN302" s="63">
        <f t="shared" si="33"/>
        <v>13.200000000000003</v>
      </c>
      <c r="BO302" s="63">
        <f t="shared" si="34"/>
        <v>2.5641025641025644E-2</v>
      </c>
      <c r="BP302" s="63">
        <f t="shared" si="35"/>
        <v>2.5641025641025644E-2</v>
      </c>
    </row>
    <row r="303" spans="1:68" ht="27" hidden="1" customHeight="1" x14ac:dyDescent="0.25">
      <c r="A303" s="53" t="s">
        <v>479</v>
      </c>
      <c r="B303" s="53" t="s">
        <v>480</v>
      </c>
      <c r="C303" s="30">
        <v>4301031306</v>
      </c>
      <c r="D303" s="560">
        <v>4680115882881</v>
      </c>
      <c r="E303" s="561"/>
      <c r="F303" s="542">
        <v>0.28000000000000003</v>
      </c>
      <c r="G303" s="31">
        <v>6</v>
      </c>
      <c r="H303" s="542">
        <v>1.68</v>
      </c>
      <c r="I303" s="542">
        <v>1.81</v>
      </c>
      <c r="J303" s="31">
        <v>234</v>
      </c>
      <c r="K303" s="31" t="s">
        <v>67</v>
      </c>
      <c r="L303" s="31"/>
      <c r="M303" s="32" t="s">
        <v>68</v>
      </c>
      <c r="N303" s="32"/>
      <c r="O303" s="31">
        <v>40</v>
      </c>
      <c r="P303" s="7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3"/>
      <c r="V303" s="33"/>
      <c r="W303" s="34" t="s">
        <v>69</v>
      </c>
      <c r="X303" s="543">
        <v>0</v>
      </c>
      <c r="Y303" s="544">
        <f t="shared" si="31"/>
        <v>0</v>
      </c>
      <c r="Z303" s="35" t="str">
        <f>IFERROR(IF(Y303=0,"",ROUNDUP(Y303/H303,0)*0.00502),"")</f>
        <v/>
      </c>
      <c r="AA303" s="55"/>
      <c r="AB303" s="56"/>
      <c r="AC303" s="351" t="s">
        <v>478</v>
      </c>
      <c r="AG303" s="63"/>
      <c r="AJ303" s="66"/>
      <c r="AK303" s="66">
        <v>0</v>
      </c>
      <c r="BB303" s="352" t="s">
        <v>1</v>
      </c>
      <c r="BM303" s="63">
        <f t="shared" si="32"/>
        <v>0</v>
      </c>
      <c r="BN303" s="63">
        <f t="shared" si="33"/>
        <v>0</v>
      </c>
      <c r="BO303" s="63">
        <f t="shared" si="34"/>
        <v>0</v>
      </c>
      <c r="BP303" s="63">
        <f t="shared" si="35"/>
        <v>0</v>
      </c>
    </row>
    <row r="304" spans="1:68" ht="27" hidden="1" customHeight="1" x14ac:dyDescent="0.25">
      <c r="A304" s="53" t="s">
        <v>481</v>
      </c>
      <c r="B304" s="53" t="s">
        <v>482</v>
      </c>
      <c r="C304" s="30">
        <v>4301031066</v>
      </c>
      <c r="D304" s="560">
        <v>4607091383836</v>
      </c>
      <c r="E304" s="561"/>
      <c r="F304" s="542">
        <v>0.3</v>
      </c>
      <c r="G304" s="31">
        <v>6</v>
      </c>
      <c r="H304" s="542">
        <v>1.8</v>
      </c>
      <c r="I304" s="542">
        <v>2.028</v>
      </c>
      <c r="J304" s="31">
        <v>182</v>
      </c>
      <c r="K304" s="31" t="s">
        <v>76</v>
      </c>
      <c r="L304" s="31" t="s">
        <v>88</v>
      </c>
      <c r="M304" s="32" t="s">
        <v>68</v>
      </c>
      <c r="N304" s="32"/>
      <c r="O304" s="31">
        <v>40</v>
      </c>
      <c r="P304" s="7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3"/>
      <c r="V304" s="33"/>
      <c r="W304" s="34" t="s">
        <v>69</v>
      </c>
      <c r="X304" s="543">
        <v>0</v>
      </c>
      <c r="Y304" s="544">
        <f t="shared" si="31"/>
        <v>0</v>
      </c>
      <c r="Z304" s="35" t="str">
        <f>IFERROR(IF(Y304=0,"",ROUNDUP(Y304/H304,0)*0.00651),"")</f>
        <v/>
      </c>
      <c r="AA304" s="55"/>
      <c r="AB304" s="56"/>
      <c r="AC304" s="353" t="s">
        <v>483</v>
      </c>
      <c r="AG304" s="63"/>
      <c r="AJ304" s="66" t="s">
        <v>90</v>
      </c>
      <c r="AK304" s="66">
        <v>25.2</v>
      </c>
      <c r="BB304" s="354" t="s">
        <v>1</v>
      </c>
      <c r="BM304" s="63">
        <f t="shared" si="32"/>
        <v>0</v>
      </c>
      <c r="BN304" s="63">
        <f t="shared" si="33"/>
        <v>0</v>
      </c>
      <c r="BO304" s="63">
        <f t="shared" si="34"/>
        <v>0</v>
      </c>
      <c r="BP304" s="63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6" t="s">
        <v>72</v>
      </c>
      <c r="X305" s="545">
        <f>IFERROR(X298/H298,"0")+IFERROR(X299/H299,"0")+IFERROR(X300/H300,"0")+IFERROR(X301/H301,"0")+IFERROR(X302/H302,"0")+IFERROR(X303/H303,"0")+IFERROR(X304/H304,"0")</f>
        <v>67</v>
      </c>
      <c r="Y305" s="545">
        <f>IFERROR(Y298/H298,"0")+IFERROR(Y299/H299,"0")+IFERROR(Y300/H300,"0")+IFERROR(Y301/H301,"0")+IFERROR(Y302/H302,"0")+IFERROR(Y303/H303,"0")+IFERROR(Y304/H304,"0")</f>
        <v>67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0.55634000000000006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6" t="s">
        <v>69</v>
      </c>
      <c r="X306" s="545">
        <f>IFERROR(SUM(X298:X304),"0")</f>
        <v>257.10000000000002</v>
      </c>
      <c r="Y306" s="545">
        <f>IFERROR(SUM(Y298:Y304),"0")</f>
        <v>257.10000000000002</v>
      </c>
      <c r="Z306" s="36"/>
      <c r="AA306" s="546"/>
      <c r="AB306" s="546"/>
      <c r="AC306" s="546"/>
    </row>
    <row r="307" spans="1:68" ht="14.25" hidden="1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4"/>
      <c r="AB307" s="534"/>
      <c r="AC307" s="534"/>
    </row>
    <row r="308" spans="1:68" ht="27" customHeight="1" x14ac:dyDescent="0.25">
      <c r="A308" s="53" t="s">
        <v>484</v>
      </c>
      <c r="B308" s="53" t="s">
        <v>485</v>
      </c>
      <c r="C308" s="30">
        <v>4301051100</v>
      </c>
      <c r="D308" s="560">
        <v>4607091387766</v>
      </c>
      <c r="E308" s="561"/>
      <c r="F308" s="542">
        <v>1.3</v>
      </c>
      <c r="G308" s="31">
        <v>6</v>
      </c>
      <c r="H308" s="542">
        <v>7.8</v>
      </c>
      <c r="I308" s="542">
        <v>8.3130000000000006</v>
      </c>
      <c r="J308" s="31">
        <v>64</v>
      </c>
      <c r="K308" s="31" t="s">
        <v>104</v>
      </c>
      <c r="L308" s="31" t="s">
        <v>105</v>
      </c>
      <c r="M308" s="32" t="s">
        <v>77</v>
      </c>
      <c r="N308" s="32"/>
      <c r="O308" s="31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3"/>
      <c r="V308" s="33"/>
      <c r="W308" s="34" t="s">
        <v>69</v>
      </c>
      <c r="X308" s="543">
        <v>998.4</v>
      </c>
      <c r="Y308" s="544">
        <f>IFERROR(IF(X308="",0,CEILING((X308/$H308),1)*$H308),"")</f>
        <v>998.4</v>
      </c>
      <c r="Z308" s="35">
        <f>IFERROR(IF(Y308=0,"",ROUNDUP(Y308/H308,0)*0.01898),"")</f>
        <v>2.42944</v>
      </c>
      <c r="AA308" s="55"/>
      <c r="AB308" s="56"/>
      <c r="AC308" s="355" t="s">
        <v>486</v>
      </c>
      <c r="AG308" s="63"/>
      <c r="AJ308" s="66" t="s">
        <v>90</v>
      </c>
      <c r="AK308" s="66">
        <v>62.4</v>
      </c>
      <c r="BB308" s="356" t="s">
        <v>1</v>
      </c>
      <c r="BM308" s="63">
        <f>IFERROR(X308*I308/H308,"0")</f>
        <v>1064.0640000000001</v>
      </c>
      <c r="BN308" s="63">
        <f>IFERROR(Y308*I308/H308,"0")</f>
        <v>1064.0640000000001</v>
      </c>
      <c r="BO308" s="63">
        <f>IFERROR(1/J308*(X308/H308),"0")</f>
        <v>2</v>
      </c>
      <c r="BP308" s="63">
        <f>IFERROR(1/J308*(Y308/H308),"0")</f>
        <v>2</v>
      </c>
    </row>
    <row r="309" spans="1:68" ht="27" customHeight="1" x14ac:dyDescent="0.25">
      <c r="A309" s="53" t="s">
        <v>487</v>
      </c>
      <c r="B309" s="53" t="s">
        <v>488</v>
      </c>
      <c r="C309" s="30">
        <v>4301051818</v>
      </c>
      <c r="D309" s="560">
        <v>4607091387957</v>
      </c>
      <c r="E309" s="561"/>
      <c r="F309" s="542">
        <v>1.3</v>
      </c>
      <c r="G309" s="31">
        <v>6</v>
      </c>
      <c r="H309" s="542">
        <v>7.8</v>
      </c>
      <c r="I309" s="542">
        <v>8.3190000000000008</v>
      </c>
      <c r="J309" s="31">
        <v>64</v>
      </c>
      <c r="K309" s="31" t="s">
        <v>104</v>
      </c>
      <c r="L309" s="31"/>
      <c r="M309" s="32" t="s">
        <v>77</v>
      </c>
      <c r="N309" s="32"/>
      <c r="O309" s="31">
        <v>40</v>
      </c>
      <c r="P309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3"/>
      <c r="V309" s="33"/>
      <c r="W309" s="34" t="s">
        <v>69</v>
      </c>
      <c r="X309" s="543">
        <v>15.6</v>
      </c>
      <c r="Y309" s="544">
        <f>IFERROR(IF(X309="",0,CEILING((X309/$H309),1)*$H309),"")</f>
        <v>15.6</v>
      </c>
      <c r="Z309" s="35">
        <f>IFERROR(IF(Y309=0,"",ROUNDUP(Y309/H309,0)*0.01898),"")</f>
        <v>3.7960000000000001E-2</v>
      </c>
      <c r="AA309" s="55"/>
      <c r="AB309" s="56"/>
      <c r="AC309" s="357" t="s">
        <v>489</v>
      </c>
      <c r="AG309" s="63"/>
      <c r="AJ309" s="66"/>
      <c r="AK309" s="66">
        <v>0</v>
      </c>
      <c r="BB309" s="358" t="s">
        <v>1</v>
      </c>
      <c r="BM309" s="63">
        <f>IFERROR(X309*I309/H309,"0")</f>
        <v>16.638000000000002</v>
      </c>
      <c r="BN309" s="63">
        <f>IFERROR(Y309*I309/H309,"0")</f>
        <v>16.638000000000002</v>
      </c>
      <c r="BO309" s="63">
        <f>IFERROR(1/J309*(X309/H309),"0")</f>
        <v>3.125E-2</v>
      </c>
      <c r="BP309" s="63">
        <f>IFERROR(1/J309*(Y309/H309),"0")</f>
        <v>3.125E-2</v>
      </c>
    </row>
    <row r="310" spans="1:68" ht="27" customHeight="1" x14ac:dyDescent="0.25">
      <c r="A310" s="53" t="s">
        <v>490</v>
      </c>
      <c r="B310" s="53" t="s">
        <v>491</v>
      </c>
      <c r="C310" s="30">
        <v>4301051819</v>
      </c>
      <c r="D310" s="560">
        <v>4607091387964</v>
      </c>
      <c r="E310" s="561"/>
      <c r="F310" s="542">
        <v>1.35</v>
      </c>
      <c r="G310" s="31">
        <v>6</v>
      </c>
      <c r="H310" s="542">
        <v>8.1</v>
      </c>
      <c r="I310" s="542">
        <v>8.6010000000000009</v>
      </c>
      <c r="J310" s="31">
        <v>64</v>
      </c>
      <c r="K310" s="31" t="s">
        <v>104</v>
      </c>
      <c r="L310" s="31"/>
      <c r="M310" s="32" t="s">
        <v>77</v>
      </c>
      <c r="N310" s="32"/>
      <c r="O310" s="31">
        <v>40</v>
      </c>
      <c r="P310" s="72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3"/>
      <c r="V310" s="33"/>
      <c r="W310" s="34" t="s">
        <v>69</v>
      </c>
      <c r="X310" s="543">
        <v>16.2</v>
      </c>
      <c r="Y310" s="544">
        <f>IFERROR(IF(X310="",0,CEILING((X310/$H310),1)*$H310),"")</f>
        <v>16.2</v>
      </c>
      <c r="Z310" s="35">
        <f>IFERROR(IF(Y310=0,"",ROUNDUP(Y310/H310,0)*0.01898),"")</f>
        <v>3.7960000000000001E-2</v>
      </c>
      <c r="AA310" s="55"/>
      <c r="AB310" s="56"/>
      <c r="AC310" s="359" t="s">
        <v>492</v>
      </c>
      <c r="AG310" s="63"/>
      <c r="AJ310" s="66"/>
      <c r="AK310" s="66">
        <v>0</v>
      </c>
      <c r="BB310" s="360" t="s">
        <v>1</v>
      </c>
      <c r="BM310" s="63">
        <f>IFERROR(X310*I310/H310,"0")</f>
        <v>17.202000000000002</v>
      </c>
      <c r="BN310" s="63">
        <f>IFERROR(Y310*I310/H310,"0")</f>
        <v>17.202000000000002</v>
      </c>
      <c r="BO310" s="63">
        <f>IFERROR(1/J310*(X310/H310),"0")</f>
        <v>3.125E-2</v>
      </c>
      <c r="BP310" s="63">
        <f>IFERROR(1/J310*(Y310/H310),"0")</f>
        <v>3.125E-2</v>
      </c>
    </row>
    <row r="311" spans="1:68" ht="27" customHeight="1" x14ac:dyDescent="0.25">
      <c r="A311" s="53" t="s">
        <v>493</v>
      </c>
      <c r="B311" s="53" t="s">
        <v>494</v>
      </c>
      <c r="C311" s="30">
        <v>4301051734</v>
      </c>
      <c r="D311" s="560">
        <v>4680115884588</v>
      </c>
      <c r="E311" s="561"/>
      <c r="F311" s="542">
        <v>0.5</v>
      </c>
      <c r="G311" s="31">
        <v>6</v>
      </c>
      <c r="H311" s="542">
        <v>3</v>
      </c>
      <c r="I311" s="542">
        <v>3.246</v>
      </c>
      <c r="J311" s="31">
        <v>182</v>
      </c>
      <c r="K311" s="31" t="s">
        <v>76</v>
      </c>
      <c r="L311" s="31" t="s">
        <v>88</v>
      </c>
      <c r="M311" s="32" t="s">
        <v>77</v>
      </c>
      <c r="N311" s="32"/>
      <c r="O311" s="31">
        <v>40</v>
      </c>
      <c r="P311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3"/>
      <c r="V311" s="33"/>
      <c r="W311" s="34" t="s">
        <v>69</v>
      </c>
      <c r="X311" s="543">
        <v>9</v>
      </c>
      <c r="Y311" s="544">
        <f>IFERROR(IF(X311="",0,CEILING((X311/$H311),1)*$H311),"")</f>
        <v>9</v>
      </c>
      <c r="Z311" s="35">
        <f>IFERROR(IF(Y311=0,"",ROUNDUP(Y311/H311,0)*0.00651),"")</f>
        <v>1.9529999999999999E-2</v>
      </c>
      <c r="AA311" s="55"/>
      <c r="AB311" s="56"/>
      <c r="AC311" s="361" t="s">
        <v>495</v>
      </c>
      <c r="AG311" s="63"/>
      <c r="AJ311" s="66" t="s">
        <v>90</v>
      </c>
      <c r="AK311" s="66">
        <v>42</v>
      </c>
      <c r="BB311" s="362" t="s">
        <v>1</v>
      </c>
      <c r="BM311" s="63">
        <f>IFERROR(X311*I311/H311,"0")</f>
        <v>9.7379999999999995</v>
      </c>
      <c r="BN311" s="63">
        <f>IFERROR(Y311*I311/H311,"0")</f>
        <v>9.7379999999999995</v>
      </c>
      <c r="BO311" s="63">
        <f>IFERROR(1/J311*(X311/H311),"0")</f>
        <v>1.6483516483516484E-2</v>
      </c>
      <c r="BP311" s="63">
        <f>IFERROR(1/J311*(Y311/H311),"0")</f>
        <v>1.6483516483516484E-2</v>
      </c>
    </row>
    <row r="312" spans="1:68" ht="27" customHeight="1" x14ac:dyDescent="0.25">
      <c r="A312" s="53" t="s">
        <v>496</v>
      </c>
      <c r="B312" s="53" t="s">
        <v>497</v>
      </c>
      <c r="C312" s="30">
        <v>4301051578</v>
      </c>
      <c r="D312" s="560">
        <v>4607091387513</v>
      </c>
      <c r="E312" s="561"/>
      <c r="F312" s="542">
        <v>0.45</v>
      </c>
      <c r="G312" s="31">
        <v>6</v>
      </c>
      <c r="H312" s="542">
        <v>2.7</v>
      </c>
      <c r="I312" s="542">
        <v>2.9580000000000002</v>
      </c>
      <c r="J312" s="31">
        <v>182</v>
      </c>
      <c r="K312" s="31" t="s">
        <v>76</v>
      </c>
      <c r="L312" s="31"/>
      <c r="M312" s="32" t="s">
        <v>84</v>
      </c>
      <c r="N312" s="32"/>
      <c r="O312" s="31">
        <v>40</v>
      </c>
      <c r="P312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3"/>
      <c r="V312" s="33"/>
      <c r="W312" s="34" t="s">
        <v>69</v>
      </c>
      <c r="X312" s="543">
        <v>2.7</v>
      </c>
      <c r="Y312" s="544">
        <f>IFERROR(IF(X312="",0,CEILING((X312/$H312),1)*$H312),"")</f>
        <v>2.7</v>
      </c>
      <c r="Z312" s="35">
        <f>IFERROR(IF(Y312=0,"",ROUNDUP(Y312/H312,0)*0.00651),"")</f>
        <v>6.5100000000000002E-3</v>
      </c>
      <c r="AA312" s="55"/>
      <c r="AB312" s="56"/>
      <c r="AC312" s="363" t="s">
        <v>498</v>
      </c>
      <c r="AG312" s="63"/>
      <c r="AJ312" s="66"/>
      <c r="AK312" s="66">
        <v>0</v>
      </c>
      <c r="BB312" s="364" t="s">
        <v>1</v>
      </c>
      <c r="BM312" s="63">
        <f>IFERROR(X312*I312/H312,"0")</f>
        <v>2.9580000000000002</v>
      </c>
      <c r="BN312" s="63">
        <f>IFERROR(Y312*I312/H312,"0")</f>
        <v>2.9580000000000002</v>
      </c>
      <c r="BO312" s="63">
        <f>IFERROR(1/J312*(X312/H312),"0")</f>
        <v>5.4945054945054949E-3</v>
      </c>
      <c r="BP312" s="63">
        <f>IFERROR(1/J312*(Y312/H312),"0")</f>
        <v>5.4945054945054949E-3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6" t="s">
        <v>72</v>
      </c>
      <c r="X313" s="545">
        <f>IFERROR(X308/H308,"0")+IFERROR(X309/H309,"0")+IFERROR(X310/H310,"0")+IFERROR(X311/H311,"0")+IFERROR(X312/H312,"0")</f>
        <v>136</v>
      </c>
      <c r="Y313" s="545">
        <f>IFERROR(Y308/H308,"0")+IFERROR(Y309/H309,"0")+IFERROR(Y310/H310,"0")+IFERROR(Y311/H311,"0")+IFERROR(Y312/H312,"0")</f>
        <v>136</v>
      </c>
      <c r="Z313" s="545">
        <f>IFERROR(IF(Z308="",0,Z308),"0")+IFERROR(IF(Z309="",0,Z309),"0")+IFERROR(IF(Z310="",0,Z310),"0")+IFERROR(IF(Z311="",0,Z311),"0")+IFERROR(IF(Z312="",0,Z312),"0")</f>
        <v>2.5314000000000001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6" t="s">
        <v>69</v>
      </c>
      <c r="X314" s="545">
        <f>IFERROR(SUM(X308:X312),"0")</f>
        <v>1041.9000000000001</v>
      </c>
      <c r="Y314" s="545">
        <f>IFERROR(SUM(Y308:Y312),"0")</f>
        <v>1041.9000000000001</v>
      </c>
      <c r="Z314" s="36"/>
      <c r="AA314" s="546"/>
      <c r="AB314" s="546"/>
      <c r="AC314" s="546"/>
    </row>
    <row r="315" spans="1:68" ht="14.25" hidden="1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4"/>
      <c r="AB315" s="534"/>
      <c r="AC315" s="534"/>
    </row>
    <row r="316" spans="1:68" ht="27" customHeight="1" x14ac:dyDescent="0.25">
      <c r="A316" s="53" t="s">
        <v>499</v>
      </c>
      <c r="B316" s="53" t="s">
        <v>500</v>
      </c>
      <c r="C316" s="30">
        <v>4301060387</v>
      </c>
      <c r="D316" s="560">
        <v>4607091380880</v>
      </c>
      <c r="E316" s="561"/>
      <c r="F316" s="542">
        <v>1.4</v>
      </c>
      <c r="G316" s="31">
        <v>6</v>
      </c>
      <c r="H316" s="542">
        <v>8.4</v>
      </c>
      <c r="I316" s="542">
        <v>8.9190000000000005</v>
      </c>
      <c r="J316" s="31">
        <v>64</v>
      </c>
      <c r="K316" s="31" t="s">
        <v>104</v>
      </c>
      <c r="L316" s="31" t="s">
        <v>105</v>
      </c>
      <c r="M316" s="32" t="s">
        <v>77</v>
      </c>
      <c r="N316" s="32"/>
      <c r="O316" s="31">
        <v>30</v>
      </c>
      <c r="P316" s="8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3"/>
      <c r="V316" s="33"/>
      <c r="W316" s="34" t="s">
        <v>69</v>
      </c>
      <c r="X316" s="543">
        <v>16.8</v>
      </c>
      <c r="Y316" s="544">
        <f>IFERROR(IF(X316="",0,CEILING((X316/$H316),1)*$H316),"")</f>
        <v>16.8</v>
      </c>
      <c r="Z316" s="35">
        <f>IFERROR(IF(Y316=0,"",ROUNDUP(Y316/H316,0)*0.01898),"")</f>
        <v>3.7960000000000001E-2</v>
      </c>
      <c r="AA316" s="55"/>
      <c r="AB316" s="56"/>
      <c r="AC316" s="365" t="s">
        <v>501</v>
      </c>
      <c r="AG316" s="63"/>
      <c r="AJ316" s="66" t="s">
        <v>90</v>
      </c>
      <c r="AK316" s="66">
        <v>67.2</v>
      </c>
      <c r="BB316" s="366" t="s">
        <v>1</v>
      </c>
      <c r="BM316" s="63">
        <f>IFERROR(X316*I316/H316,"0")</f>
        <v>17.838000000000001</v>
      </c>
      <c r="BN316" s="63">
        <f>IFERROR(Y316*I316/H316,"0")</f>
        <v>17.838000000000001</v>
      </c>
      <c r="BO316" s="63">
        <f>IFERROR(1/J316*(X316/H316),"0")</f>
        <v>3.125E-2</v>
      </c>
      <c r="BP316" s="63">
        <f>IFERROR(1/J316*(Y316/H316),"0")</f>
        <v>3.125E-2</v>
      </c>
    </row>
    <row r="317" spans="1:68" ht="27" customHeight="1" x14ac:dyDescent="0.25">
      <c r="A317" s="53" t="s">
        <v>502</v>
      </c>
      <c r="B317" s="53" t="s">
        <v>503</v>
      </c>
      <c r="C317" s="30">
        <v>4301060406</v>
      </c>
      <c r="D317" s="560">
        <v>4607091384482</v>
      </c>
      <c r="E317" s="561"/>
      <c r="F317" s="542">
        <v>1.3</v>
      </c>
      <c r="G317" s="31">
        <v>6</v>
      </c>
      <c r="H317" s="542">
        <v>7.8</v>
      </c>
      <c r="I317" s="542">
        <v>8.3190000000000008</v>
      </c>
      <c r="J317" s="31">
        <v>64</v>
      </c>
      <c r="K317" s="31" t="s">
        <v>104</v>
      </c>
      <c r="L317" s="31" t="s">
        <v>105</v>
      </c>
      <c r="M317" s="32" t="s">
        <v>77</v>
      </c>
      <c r="N317" s="32"/>
      <c r="O317" s="31">
        <v>30</v>
      </c>
      <c r="P317" s="6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3"/>
      <c r="V317" s="33"/>
      <c r="W317" s="34" t="s">
        <v>69</v>
      </c>
      <c r="X317" s="543">
        <v>15.6</v>
      </c>
      <c r="Y317" s="544">
        <f>IFERROR(IF(X317="",0,CEILING((X317/$H317),1)*$H317),"")</f>
        <v>15.6</v>
      </c>
      <c r="Z317" s="35">
        <f>IFERROR(IF(Y317=0,"",ROUNDUP(Y317/H317,0)*0.01898),"")</f>
        <v>3.7960000000000001E-2</v>
      </c>
      <c r="AA317" s="55"/>
      <c r="AB317" s="56"/>
      <c r="AC317" s="367" t="s">
        <v>504</v>
      </c>
      <c r="AG317" s="63"/>
      <c r="AJ317" s="66" t="s">
        <v>90</v>
      </c>
      <c r="AK317" s="66">
        <v>62.4</v>
      </c>
      <c r="BB317" s="368" t="s">
        <v>1</v>
      </c>
      <c r="BM317" s="63">
        <f>IFERROR(X317*I317/H317,"0")</f>
        <v>16.638000000000002</v>
      </c>
      <c r="BN317" s="63">
        <f>IFERROR(Y317*I317/H317,"0")</f>
        <v>16.638000000000002</v>
      </c>
      <c r="BO317" s="63">
        <f>IFERROR(1/J317*(X317/H317),"0")</f>
        <v>3.125E-2</v>
      </c>
      <c r="BP317" s="63">
        <f>IFERROR(1/J317*(Y317/H317),"0")</f>
        <v>3.125E-2</v>
      </c>
    </row>
    <row r="318" spans="1:68" ht="16.5" customHeight="1" x14ac:dyDescent="0.25">
      <c r="A318" s="53" t="s">
        <v>505</v>
      </c>
      <c r="B318" s="53" t="s">
        <v>506</v>
      </c>
      <c r="C318" s="30">
        <v>4301060484</v>
      </c>
      <c r="D318" s="560">
        <v>4607091380897</v>
      </c>
      <c r="E318" s="561"/>
      <c r="F318" s="542">
        <v>1.4</v>
      </c>
      <c r="G318" s="31">
        <v>6</v>
      </c>
      <c r="H318" s="542">
        <v>8.4</v>
      </c>
      <c r="I318" s="542">
        <v>8.9190000000000005</v>
      </c>
      <c r="J318" s="31">
        <v>64</v>
      </c>
      <c r="K318" s="31" t="s">
        <v>104</v>
      </c>
      <c r="L318" s="31" t="s">
        <v>105</v>
      </c>
      <c r="M318" s="32" t="s">
        <v>84</v>
      </c>
      <c r="N318" s="32"/>
      <c r="O318" s="31">
        <v>30</v>
      </c>
      <c r="P318" s="67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3"/>
      <c r="V318" s="33"/>
      <c r="W318" s="34" t="s">
        <v>69</v>
      </c>
      <c r="X318" s="543">
        <v>25.2</v>
      </c>
      <c r="Y318" s="544">
        <f>IFERROR(IF(X318="",0,CEILING((X318/$H318),1)*$H318),"")</f>
        <v>25.200000000000003</v>
      </c>
      <c r="Z318" s="35">
        <f>IFERROR(IF(Y318=0,"",ROUNDUP(Y318/H318,0)*0.01898),"")</f>
        <v>5.6940000000000004E-2</v>
      </c>
      <c r="AA318" s="55"/>
      <c r="AB318" s="56"/>
      <c r="AC318" s="369" t="s">
        <v>507</v>
      </c>
      <c r="AG318" s="63"/>
      <c r="AJ318" s="66" t="s">
        <v>90</v>
      </c>
      <c r="AK318" s="66">
        <v>67.2</v>
      </c>
      <c r="BB318" s="370" t="s">
        <v>1</v>
      </c>
      <c r="BM318" s="63">
        <f>IFERROR(X318*I318/H318,"0")</f>
        <v>26.757000000000001</v>
      </c>
      <c r="BN318" s="63">
        <f>IFERROR(Y318*I318/H318,"0")</f>
        <v>26.757000000000001</v>
      </c>
      <c r="BO318" s="63">
        <f>IFERROR(1/J318*(X318/H318),"0")</f>
        <v>4.6875E-2</v>
      </c>
      <c r="BP318" s="63">
        <f>IFERROR(1/J318*(Y318/H318),"0")</f>
        <v>4.6875E-2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6" t="s">
        <v>72</v>
      </c>
      <c r="X319" s="545">
        <f>IFERROR(X316/H316,"0")+IFERROR(X317/H317,"0")+IFERROR(X318/H318,"0")</f>
        <v>7</v>
      </c>
      <c r="Y319" s="545">
        <f>IFERROR(Y316/H316,"0")+IFERROR(Y317/H317,"0")+IFERROR(Y318/H318,"0")</f>
        <v>7</v>
      </c>
      <c r="Z319" s="545">
        <f>IFERROR(IF(Z316="",0,Z316),"0")+IFERROR(IF(Z317="",0,Z317),"0")+IFERROR(IF(Z318="",0,Z318),"0")</f>
        <v>0.13286000000000001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6" t="s">
        <v>69</v>
      </c>
      <c r="X320" s="545">
        <f>IFERROR(SUM(X316:X318),"0")</f>
        <v>57.599999999999994</v>
      </c>
      <c r="Y320" s="545">
        <f>IFERROR(SUM(Y316:Y318),"0")</f>
        <v>57.6</v>
      </c>
      <c r="Z320" s="36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4"/>
      <c r="AB321" s="534"/>
      <c r="AC321" s="534"/>
    </row>
    <row r="322" spans="1:68" ht="27" customHeight="1" x14ac:dyDescent="0.25">
      <c r="A322" s="53" t="s">
        <v>508</v>
      </c>
      <c r="B322" s="53" t="s">
        <v>509</v>
      </c>
      <c r="C322" s="30">
        <v>4301030235</v>
      </c>
      <c r="D322" s="560">
        <v>4607091388381</v>
      </c>
      <c r="E322" s="561"/>
      <c r="F322" s="542">
        <v>0.38</v>
      </c>
      <c r="G322" s="31">
        <v>8</v>
      </c>
      <c r="H322" s="542">
        <v>3.04</v>
      </c>
      <c r="I322" s="542">
        <v>3.33</v>
      </c>
      <c r="J322" s="31">
        <v>132</v>
      </c>
      <c r="K322" s="31" t="s">
        <v>110</v>
      </c>
      <c r="L322" s="31"/>
      <c r="M322" s="32" t="s">
        <v>96</v>
      </c>
      <c r="N322" s="32"/>
      <c r="O322" s="31">
        <v>180</v>
      </c>
      <c r="P322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3"/>
      <c r="V322" s="33"/>
      <c r="W322" s="34" t="s">
        <v>69</v>
      </c>
      <c r="X322" s="543">
        <v>3.04</v>
      </c>
      <c r="Y322" s="544">
        <f>IFERROR(IF(X322="",0,CEILING((X322/$H322),1)*$H322),"")</f>
        <v>3.04</v>
      </c>
      <c r="Z322" s="35">
        <f>IFERROR(IF(Y322=0,"",ROUNDUP(Y322/H322,0)*0.00902),"")</f>
        <v>9.0200000000000002E-3</v>
      </c>
      <c r="AA322" s="55"/>
      <c r="AB322" s="56"/>
      <c r="AC322" s="371" t="s">
        <v>510</v>
      </c>
      <c r="AG322" s="63"/>
      <c r="AJ322" s="66"/>
      <c r="AK322" s="66">
        <v>0</v>
      </c>
      <c r="BB322" s="372" t="s">
        <v>1</v>
      </c>
      <c r="BM322" s="63">
        <f>IFERROR(X322*I322/H322,"0")</f>
        <v>3.33</v>
      </c>
      <c r="BN322" s="63">
        <f>IFERROR(Y322*I322/H322,"0")</f>
        <v>3.33</v>
      </c>
      <c r="BO322" s="63">
        <f>IFERROR(1/J322*(X322/H322),"0")</f>
        <v>7.575757575757576E-3</v>
      </c>
      <c r="BP322" s="63">
        <f>IFERROR(1/J322*(Y322/H322),"0")</f>
        <v>7.575757575757576E-3</v>
      </c>
    </row>
    <row r="323" spans="1:68" ht="27" customHeight="1" x14ac:dyDescent="0.25">
      <c r="A323" s="53" t="s">
        <v>511</v>
      </c>
      <c r="B323" s="53" t="s">
        <v>512</v>
      </c>
      <c r="C323" s="30">
        <v>4301030232</v>
      </c>
      <c r="D323" s="560">
        <v>4607091388374</v>
      </c>
      <c r="E323" s="561"/>
      <c r="F323" s="542">
        <v>0.38</v>
      </c>
      <c r="G323" s="31">
        <v>8</v>
      </c>
      <c r="H323" s="542">
        <v>3.04</v>
      </c>
      <c r="I323" s="542">
        <v>3.29</v>
      </c>
      <c r="J323" s="31">
        <v>132</v>
      </c>
      <c r="K323" s="31" t="s">
        <v>110</v>
      </c>
      <c r="L323" s="31"/>
      <c r="M323" s="32" t="s">
        <v>96</v>
      </c>
      <c r="N323" s="32"/>
      <c r="O323" s="31">
        <v>180</v>
      </c>
      <c r="P323" s="641" t="s">
        <v>513</v>
      </c>
      <c r="Q323" s="551"/>
      <c r="R323" s="551"/>
      <c r="S323" s="551"/>
      <c r="T323" s="552"/>
      <c r="U323" s="33"/>
      <c r="V323" s="33"/>
      <c r="W323" s="34" t="s">
        <v>69</v>
      </c>
      <c r="X323" s="543">
        <v>6.08</v>
      </c>
      <c r="Y323" s="544">
        <f>IFERROR(IF(X323="",0,CEILING((X323/$H323),1)*$H323),"")</f>
        <v>6.08</v>
      </c>
      <c r="Z323" s="35">
        <f>IFERROR(IF(Y323=0,"",ROUNDUP(Y323/H323,0)*0.00902),"")</f>
        <v>1.804E-2</v>
      </c>
      <c r="AA323" s="55"/>
      <c r="AB323" s="56"/>
      <c r="AC323" s="373" t="s">
        <v>510</v>
      </c>
      <c r="AG323" s="63"/>
      <c r="AJ323" s="66"/>
      <c r="AK323" s="66">
        <v>0</v>
      </c>
      <c r="BB323" s="374" t="s">
        <v>1</v>
      </c>
      <c r="BM323" s="63">
        <f>IFERROR(X323*I323/H323,"0")</f>
        <v>6.58</v>
      </c>
      <c r="BN323" s="63">
        <f>IFERROR(Y323*I323/H323,"0")</f>
        <v>6.58</v>
      </c>
      <c r="BO323" s="63">
        <f>IFERROR(1/J323*(X323/H323),"0")</f>
        <v>1.5151515151515152E-2</v>
      </c>
      <c r="BP323" s="63">
        <f>IFERROR(1/J323*(Y323/H323),"0")</f>
        <v>1.5151515151515152E-2</v>
      </c>
    </row>
    <row r="324" spans="1:68" ht="27" customHeight="1" x14ac:dyDescent="0.25">
      <c r="A324" s="53" t="s">
        <v>514</v>
      </c>
      <c r="B324" s="53" t="s">
        <v>515</v>
      </c>
      <c r="C324" s="30">
        <v>4301032015</v>
      </c>
      <c r="D324" s="560">
        <v>4607091383102</v>
      </c>
      <c r="E324" s="561"/>
      <c r="F324" s="542">
        <v>0.17</v>
      </c>
      <c r="G324" s="31">
        <v>15</v>
      </c>
      <c r="H324" s="542">
        <v>2.5499999999999998</v>
      </c>
      <c r="I324" s="542">
        <v>2.9550000000000001</v>
      </c>
      <c r="J324" s="31">
        <v>182</v>
      </c>
      <c r="K324" s="31" t="s">
        <v>76</v>
      </c>
      <c r="L324" s="31"/>
      <c r="M324" s="32" t="s">
        <v>96</v>
      </c>
      <c r="N324" s="32"/>
      <c r="O324" s="31">
        <v>180</v>
      </c>
      <c r="P324" s="7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3"/>
      <c r="V324" s="33"/>
      <c r="W324" s="34" t="s">
        <v>69</v>
      </c>
      <c r="X324" s="543">
        <v>2.5499999999999998</v>
      </c>
      <c r="Y324" s="544">
        <f>IFERROR(IF(X324="",0,CEILING((X324/$H324),1)*$H324),"")</f>
        <v>2.5499999999999998</v>
      </c>
      <c r="Z324" s="35">
        <f>IFERROR(IF(Y324=0,"",ROUNDUP(Y324/H324,0)*0.00651),"")</f>
        <v>6.5100000000000002E-3</v>
      </c>
      <c r="AA324" s="55"/>
      <c r="AB324" s="56"/>
      <c r="AC324" s="375" t="s">
        <v>516</v>
      </c>
      <c r="AG324" s="63"/>
      <c r="AJ324" s="66"/>
      <c r="AK324" s="66">
        <v>0</v>
      </c>
      <c r="BB324" s="376" t="s">
        <v>1</v>
      </c>
      <c r="BM324" s="63">
        <f>IFERROR(X324*I324/H324,"0")</f>
        <v>2.9550000000000001</v>
      </c>
      <c r="BN324" s="63">
        <f>IFERROR(Y324*I324/H324,"0")</f>
        <v>2.9550000000000001</v>
      </c>
      <c r="BO324" s="63">
        <f>IFERROR(1/J324*(X324/H324),"0")</f>
        <v>5.4945054945054949E-3</v>
      </c>
      <c r="BP324" s="63">
        <f>IFERROR(1/J324*(Y324/H324),"0")</f>
        <v>5.4945054945054949E-3</v>
      </c>
    </row>
    <row r="325" spans="1:68" ht="27" customHeight="1" x14ac:dyDescent="0.25">
      <c r="A325" s="53" t="s">
        <v>517</v>
      </c>
      <c r="B325" s="53" t="s">
        <v>518</v>
      </c>
      <c r="C325" s="30">
        <v>4301030233</v>
      </c>
      <c r="D325" s="560">
        <v>4607091388404</v>
      </c>
      <c r="E325" s="561"/>
      <c r="F325" s="542">
        <v>0.17</v>
      </c>
      <c r="G325" s="31">
        <v>15</v>
      </c>
      <c r="H325" s="542">
        <v>2.5499999999999998</v>
      </c>
      <c r="I325" s="542">
        <v>2.88</v>
      </c>
      <c r="J325" s="31">
        <v>182</v>
      </c>
      <c r="K325" s="31" t="s">
        <v>76</v>
      </c>
      <c r="L325" s="31" t="s">
        <v>88</v>
      </c>
      <c r="M325" s="32" t="s">
        <v>96</v>
      </c>
      <c r="N325" s="32"/>
      <c r="O325" s="31">
        <v>180</v>
      </c>
      <c r="P325" s="6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3"/>
      <c r="V325" s="33"/>
      <c r="W325" s="34" t="s">
        <v>69</v>
      </c>
      <c r="X325" s="543">
        <v>5.1000000000000014</v>
      </c>
      <c r="Y325" s="544">
        <f>IFERROR(IF(X325="",0,CEILING((X325/$H325),1)*$H325),"")</f>
        <v>5.0999999999999996</v>
      </c>
      <c r="Z325" s="35">
        <f>IFERROR(IF(Y325=0,"",ROUNDUP(Y325/H325,0)*0.00651),"")</f>
        <v>1.302E-2</v>
      </c>
      <c r="AA325" s="55"/>
      <c r="AB325" s="56"/>
      <c r="AC325" s="377" t="s">
        <v>510</v>
      </c>
      <c r="AG325" s="63"/>
      <c r="AJ325" s="66" t="s">
        <v>90</v>
      </c>
      <c r="AK325" s="66">
        <v>35.700000000000003</v>
      </c>
      <c r="BB325" s="378" t="s">
        <v>1</v>
      </c>
      <c r="BM325" s="63">
        <f>IFERROR(X325*I325/H325,"0")</f>
        <v>5.7600000000000025</v>
      </c>
      <c r="BN325" s="63">
        <f>IFERROR(Y325*I325/H325,"0")</f>
        <v>5.76</v>
      </c>
      <c r="BO325" s="63">
        <f>IFERROR(1/J325*(X325/H325),"0")</f>
        <v>1.0989010989010995E-2</v>
      </c>
      <c r="BP325" s="63">
        <f>IFERROR(1/J325*(Y325/H325),"0")</f>
        <v>1.098901098901099E-2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6" t="s">
        <v>72</v>
      </c>
      <c r="X326" s="545">
        <f>IFERROR(X322/H322,"0")+IFERROR(X323/H323,"0")+IFERROR(X324/H324,"0")+IFERROR(X325/H325,"0")</f>
        <v>6.0000000000000009</v>
      </c>
      <c r="Y326" s="545">
        <f>IFERROR(Y322/H322,"0")+IFERROR(Y323/H323,"0")+IFERROR(Y324/H324,"0")+IFERROR(Y325/H325,"0")</f>
        <v>6</v>
      </c>
      <c r="Z326" s="545">
        <f>IFERROR(IF(Z322="",0,Z322),"0")+IFERROR(IF(Z323="",0,Z323),"0")+IFERROR(IF(Z324="",0,Z324),"0")+IFERROR(IF(Z325="",0,Z325),"0")</f>
        <v>4.6590000000000006E-2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6" t="s">
        <v>69</v>
      </c>
      <c r="X327" s="545">
        <f>IFERROR(SUM(X322:X325),"0")</f>
        <v>16.770000000000003</v>
      </c>
      <c r="Y327" s="545">
        <f>IFERROR(SUM(Y322:Y325),"0")</f>
        <v>16.770000000000003</v>
      </c>
      <c r="Z327" s="36"/>
      <c r="AA327" s="546"/>
      <c r="AB327" s="546"/>
      <c r="AC327" s="546"/>
    </row>
    <row r="328" spans="1:68" ht="14.25" hidden="1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4"/>
      <c r="AB328" s="534"/>
      <c r="AC328" s="534"/>
    </row>
    <row r="329" spans="1:68" ht="16.5" hidden="1" customHeight="1" x14ac:dyDescent="0.25">
      <c r="A329" s="53" t="s">
        <v>520</v>
      </c>
      <c r="B329" s="53" t="s">
        <v>521</v>
      </c>
      <c r="C329" s="30">
        <v>4301180007</v>
      </c>
      <c r="D329" s="560">
        <v>4680115881808</v>
      </c>
      <c r="E329" s="561"/>
      <c r="F329" s="542">
        <v>0.1</v>
      </c>
      <c r="G329" s="31">
        <v>20</v>
      </c>
      <c r="H329" s="542">
        <v>2</v>
      </c>
      <c r="I329" s="542">
        <v>2.2400000000000002</v>
      </c>
      <c r="J329" s="31">
        <v>238</v>
      </c>
      <c r="K329" s="31" t="s">
        <v>76</v>
      </c>
      <c r="L329" s="31"/>
      <c r="M329" s="32" t="s">
        <v>522</v>
      </c>
      <c r="N329" s="32"/>
      <c r="O329" s="31">
        <v>730</v>
      </c>
      <c r="P329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3"/>
      <c r="V329" s="33"/>
      <c r="W329" s="34" t="s">
        <v>69</v>
      </c>
      <c r="X329" s="543">
        <v>0</v>
      </c>
      <c r="Y329" s="544">
        <f>IFERROR(IF(X329="",0,CEILING((X329/$H329),1)*$H329),"")</f>
        <v>0</v>
      </c>
      <c r="Z329" s="35" t="str">
        <f>IFERROR(IF(Y329=0,"",ROUNDUP(Y329/H329,0)*0.00474),"")</f>
        <v/>
      </c>
      <c r="AA329" s="55"/>
      <c r="AB329" s="56"/>
      <c r="AC329" s="379" t="s">
        <v>523</v>
      </c>
      <c r="AG329" s="63"/>
      <c r="AJ329" s="66"/>
      <c r="AK329" s="66">
        <v>0</v>
      </c>
      <c r="BB329" s="380" t="s">
        <v>1</v>
      </c>
      <c r="BM329" s="63">
        <f>IFERROR(X329*I329/H329,"0")</f>
        <v>0</v>
      </c>
      <c r="BN329" s="63">
        <f>IFERROR(Y329*I329/H329,"0")</f>
        <v>0</v>
      </c>
      <c r="BO329" s="63">
        <f>IFERROR(1/J329*(X329/H329),"0")</f>
        <v>0</v>
      </c>
      <c r="BP329" s="63">
        <f>IFERROR(1/J329*(Y329/H329),"0")</f>
        <v>0</v>
      </c>
    </row>
    <row r="330" spans="1:68" ht="27" hidden="1" customHeight="1" x14ac:dyDescent="0.25">
      <c r="A330" s="53" t="s">
        <v>524</v>
      </c>
      <c r="B330" s="53" t="s">
        <v>525</v>
      </c>
      <c r="C330" s="30">
        <v>4301180006</v>
      </c>
      <c r="D330" s="560">
        <v>4680115881822</v>
      </c>
      <c r="E330" s="561"/>
      <c r="F330" s="542">
        <v>0.1</v>
      </c>
      <c r="G330" s="31">
        <v>20</v>
      </c>
      <c r="H330" s="542">
        <v>2</v>
      </c>
      <c r="I330" s="542">
        <v>2.2400000000000002</v>
      </c>
      <c r="J330" s="31">
        <v>238</v>
      </c>
      <c r="K330" s="31" t="s">
        <v>76</v>
      </c>
      <c r="L330" s="31"/>
      <c r="M330" s="32" t="s">
        <v>522</v>
      </c>
      <c r="N330" s="32"/>
      <c r="O330" s="31">
        <v>730</v>
      </c>
      <c r="P330" s="7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3"/>
      <c r="V330" s="33"/>
      <c r="W330" s="34" t="s">
        <v>69</v>
      </c>
      <c r="X330" s="543">
        <v>0</v>
      </c>
      <c r="Y330" s="544">
        <f>IFERROR(IF(X330="",0,CEILING((X330/$H330),1)*$H330),"")</f>
        <v>0</v>
      </c>
      <c r="Z330" s="35" t="str">
        <f>IFERROR(IF(Y330=0,"",ROUNDUP(Y330/H330,0)*0.00474),"")</f>
        <v/>
      </c>
      <c r="AA330" s="55"/>
      <c r="AB330" s="56"/>
      <c r="AC330" s="381" t="s">
        <v>523</v>
      </c>
      <c r="AG330" s="63"/>
      <c r="AJ330" s="66"/>
      <c r="AK330" s="66">
        <v>0</v>
      </c>
      <c r="BB330" s="382" t="s">
        <v>1</v>
      </c>
      <c r="BM330" s="63">
        <f>IFERROR(X330*I330/H330,"0")</f>
        <v>0</v>
      </c>
      <c r="BN330" s="63">
        <f>IFERROR(Y330*I330/H330,"0")</f>
        <v>0</v>
      </c>
      <c r="BO330" s="63">
        <f>IFERROR(1/J330*(X330/H330),"0")</f>
        <v>0</v>
      </c>
      <c r="BP330" s="63">
        <f>IFERROR(1/J330*(Y330/H330),"0")</f>
        <v>0</v>
      </c>
    </row>
    <row r="331" spans="1:68" ht="27" hidden="1" customHeight="1" x14ac:dyDescent="0.25">
      <c r="A331" s="53" t="s">
        <v>526</v>
      </c>
      <c r="B331" s="53" t="s">
        <v>527</v>
      </c>
      <c r="C331" s="30">
        <v>4301180001</v>
      </c>
      <c r="D331" s="560">
        <v>4680115880016</v>
      </c>
      <c r="E331" s="561"/>
      <c r="F331" s="542">
        <v>0.1</v>
      </c>
      <c r="G331" s="31">
        <v>20</v>
      </c>
      <c r="H331" s="542">
        <v>2</v>
      </c>
      <c r="I331" s="542">
        <v>2.2400000000000002</v>
      </c>
      <c r="J331" s="31">
        <v>238</v>
      </c>
      <c r="K331" s="31" t="s">
        <v>76</v>
      </c>
      <c r="L331" s="31"/>
      <c r="M331" s="32" t="s">
        <v>522</v>
      </c>
      <c r="N331" s="32"/>
      <c r="O331" s="31">
        <v>730</v>
      </c>
      <c r="P331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3"/>
      <c r="V331" s="33"/>
      <c r="W331" s="34" t="s">
        <v>69</v>
      </c>
      <c r="X331" s="543">
        <v>0</v>
      </c>
      <c r="Y331" s="544">
        <f>IFERROR(IF(X331="",0,CEILING((X331/$H331),1)*$H331),"")</f>
        <v>0</v>
      </c>
      <c r="Z331" s="35" t="str">
        <f>IFERROR(IF(Y331=0,"",ROUNDUP(Y331/H331,0)*0.00474),"")</f>
        <v/>
      </c>
      <c r="AA331" s="55"/>
      <c r="AB331" s="56"/>
      <c r="AC331" s="383" t="s">
        <v>523</v>
      </c>
      <c r="AG331" s="63"/>
      <c r="AJ331" s="66"/>
      <c r="AK331" s="66">
        <v>0</v>
      </c>
      <c r="BB331" s="384" t="s">
        <v>1</v>
      </c>
      <c r="BM331" s="63">
        <f>IFERROR(X331*I331/H331,"0")</f>
        <v>0</v>
      </c>
      <c r="BN331" s="63">
        <f>IFERROR(Y331*I331/H331,"0")</f>
        <v>0</v>
      </c>
      <c r="BO331" s="63">
        <f>IFERROR(1/J331*(X331/H331),"0")</f>
        <v>0</v>
      </c>
      <c r="BP331" s="63">
        <f>IFERROR(1/J331*(Y331/H331),"0")</f>
        <v>0</v>
      </c>
    </row>
    <row r="332" spans="1:68" hidden="1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6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6" t="s">
        <v>69</v>
      </c>
      <c r="X333" s="545">
        <f>IFERROR(SUM(X329:X331),"0")</f>
        <v>0</v>
      </c>
      <c r="Y333" s="545">
        <f>IFERROR(SUM(Y329:Y331),"0")</f>
        <v>0</v>
      </c>
      <c r="Z333" s="36"/>
      <c r="AA333" s="546"/>
      <c r="AB333" s="546"/>
      <c r="AC333" s="546"/>
    </row>
    <row r="334" spans="1:68" ht="16.5" hidden="1" customHeight="1" x14ac:dyDescent="0.25">
      <c r="A334" s="596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4"/>
      <c r="AB335" s="534"/>
      <c r="AC335" s="534"/>
    </row>
    <row r="336" spans="1:68" ht="27" customHeight="1" x14ac:dyDescent="0.25">
      <c r="A336" s="53" t="s">
        <v>529</v>
      </c>
      <c r="B336" s="53" t="s">
        <v>530</v>
      </c>
      <c r="C336" s="30">
        <v>4301051489</v>
      </c>
      <c r="D336" s="560">
        <v>4607091387919</v>
      </c>
      <c r="E336" s="561"/>
      <c r="F336" s="542">
        <v>1.35</v>
      </c>
      <c r="G336" s="31">
        <v>6</v>
      </c>
      <c r="H336" s="542">
        <v>8.1</v>
      </c>
      <c r="I336" s="542">
        <v>8.6189999999999998</v>
      </c>
      <c r="J336" s="31">
        <v>64</v>
      </c>
      <c r="K336" s="31" t="s">
        <v>104</v>
      </c>
      <c r="L336" s="31" t="s">
        <v>105</v>
      </c>
      <c r="M336" s="32" t="s">
        <v>84</v>
      </c>
      <c r="N336" s="32"/>
      <c r="O336" s="31">
        <v>45</v>
      </c>
      <c r="P336" s="63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3"/>
      <c r="V336" s="33"/>
      <c r="W336" s="34" t="s">
        <v>69</v>
      </c>
      <c r="X336" s="543">
        <v>64.8</v>
      </c>
      <c r="Y336" s="544">
        <f>IFERROR(IF(X336="",0,CEILING((X336/$H336),1)*$H336),"")</f>
        <v>64.8</v>
      </c>
      <c r="Z336" s="35">
        <f>IFERROR(IF(Y336=0,"",ROUNDUP(Y336/H336,0)*0.01898),"")</f>
        <v>0.15184</v>
      </c>
      <c r="AA336" s="55"/>
      <c r="AB336" s="56"/>
      <c r="AC336" s="385" t="s">
        <v>531</v>
      </c>
      <c r="AG336" s="63"/>
      <c r="AJ336" s="66" t="s">
        <v>90</v>
      </c>
      <c r="AK336" s="66">
        <v>64.8</v>
      </c>
      <c r="BB336" s="386" t="s">
        <v>1</v>
      </c>
      <c r="BM336" s="63">
        <f>IFERROR(X336*I336/H336,"0")</f>
        <v>68.951999999999998</v>
      </c>
      <c r="BN336" s="63">
        <f>IFERROR(Y336*I336/H336,"0")</f>
        <v>68.951999999999998</v>
      </c>
      <c r="BO336" s="63">
        <f>IFERROR(1/J336*(X336/H336),"0")</f>
        <v>0.125</v>
      </c>
      <c r="BP336" s="63">
        <f>IFERROR(1/J336*(Y336/H336),"0")</f>
        <v>0.125</v>
      </c>
    </row>
    <row r="337" spans="1:68" ht="27" customHeight="1" x14ac:dyDescent="0.25">
      <c r="A337" s="53" t="s">
        <v>532</v>
      </c>
      <c r="B337" s="53" t="s">
        <v>533</v>
      </c>
      <c r="C337" s="30">
        <v>4301051461</v>
      </c>
      <c r="D337" s="560">
        <v>4680115883604</v>
      </c>
      <c r="E337" s="561"/>
      <c r="F337" s="542">
        <v>0.35</v>
      </c>
      <c r="G337" s="31">
        <v>6</v>
      </c>
      <c r="H337" s="542">
        <v>2.1</v>
      </c>
      <c r="I337" s="542">
        <v>2.3519999999999999</v>
      </c>
      <c r="J337" s="31">
        <v>182</v>
      </c>
      <c r="K337" s="31" t="s">
        <v>76</v>
      </c>
      <c r="L337" s="31" t="s">
        <v>88</v>
      </c>
      <c r="M337" s="32" t="s">
        <v>77</v>
      </c>
      <c r="N337" s="32"/>
      <c r="O337" s="31">
        <v>45</v>
      </c>
      <c r="P337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3"/>
      <c r="V337" s="33"/>
      <c r="W337" s="34" t="s">
        <v>69</v>
      </c>
      <c r="X337" s="543">
        <v>10.5</v>
      </c>
      <c r="Y337" s="544">
        <f>IFERROR(IF(X337="",0,CEILING((X337/$H337),1)*$H337),"")</f>
        <v>10.5</v>
      </c>
      <c r="Z337" s="35">
        <f>IFERROR(IF(Y337=0,"",ROUNDUP(Y337/H337,0)*0.00651),"")</f>
        <v>3.2550000000000003E-2</v>
      </c>
      <c r="AA337" s="55"/>
      <c r="AB337" s="56"/>
      <c r="AC337" s="387" t="s">
        <v>534</v>
      </c>
      <c r="AG337" s="63"/>
      <c r="AJ337" s="66" t="s">
        <v>90</v>
      </c>
      <c r="AK337" s="66">
        <v>29.4</v>
      </c>
      <c r="BB337" s="388" t="s">
        <v>1</v>
      </c>
      <c r="BM337" s="63">
        <f>IFERROR(X337*I337/H337,"0")</f>
        <v>11.759999999999998</v>
      </c>
      <c r="BN337" s="63">
        <f>IFERROR(Y337*I337/H337,"0")</f>
        <v>11.759999999999998</v>
      </c>
      <c r="BO337" s="63">
        <f>IFERROR(1/J337*(X337/H337),"0")</f>
        <v>2.7472527472527476E-2</v>
      </c>
      <c r="BP337" s="63">
        <f>IFERROR(1/J337*(Y337/H337),"0")</f>
        <v>2.7472527472527476E-2</v>
      </c>
    </row>
    <row r="338" spans="1:68" ht="27" customHeight="1" x14ac:dyDescent="0.25">
      <c r="A338" s="53" t="s">
        <v>535</v>
      </c>
      <c r="B338" s="53" t="s">
        <v>536</v>
      </c>
      <c r="C338" s="30">
        <v>4301051864</v>
      </c>
      <c r="D338" s="560">
        <v>4680115883567</v>
      </c>
      <c r="E338" s="561"/>
      <c r="F338" s="542">
        <v>0.35</v>
      </c>
      <c r="G338" s="31">
        <v>6</v>
      </c>
      <c r="H338" s="542">
        <v>2.1</v>
      </c>
      <c r="I338" s="542">
        <v>2.34</v>
      </c>
      <c r="J338" s="31">
        <v>182</v>
      </c>
      <c r="K338" s="31" t="s">
        <v>76</v>
      </c>
      <c r="L338" s="31" t="s">
        <v>88</v>
      </c>
      <c r="M338" s="32" t="s">
        <v>84</v>
      </c>
      <c r="N338" s="32"/>
      <c r="O338" s="31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3"/>
      <c r="V338" s="33"/>
      <c r="W338" s="34" t="s">
        <v>69</v>
      </c>
      <c r="X338" s="543">
        <v>10.5</v>
      </c>
      <c r="Y338" s="544">
        <f>IFERROR(IF(X338="",0,CEILING((X338/$H338),1)*$H338),"")</f>
        <v>10.5</v>
      </c>
      <c r="Z338" s="35">
        <f>IFERROR(IF(Y338=0,"",ROUNDUP(Y338/H338,0)*0.00651),"")</f>
        <v>3.2550000000000003E-2</v>
      </c>
      <c r="AA338" s="55"/>
      <c r="AB338" s="56"/>
      <c r="AC338" s="389" t="s">
        <v>537</v>
      </c>
      <c r="AG338" s="63"/>
      <c r="AJ338" s="66" t="s">
        <v>90</v>
      </c>
      <c r="AK338" s="66">
        <v>29.4</v>
      </c>
      <c r="BB338" s="390" t="s">
        <v>1</v>
      </c>
      <c r="BM338" s="63">
        <f>IFERROR(X338*I338/H338,"0")</f>
        <v>11.7</v>
      </c>
      <c r="BN338" s="63">
        <f>IFERROR(Y338*I338/H338,"0")</f>
        <v>11.7</v>
      </c>
      <c r="BO338" s="63">
        <f>IFERROR(1/J338*(X338/H338),"0")</f>
        <v>2.7472527472527476E-2</v>
      </c>
      <c r="BP338" s="63">
        <f>IFERROR(1/J338*(Y338/H338),"0")</f>
        <v>2.7472527472527476E-2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6" t="s">
        <v>72</v>
      </c>
      <c r="X339" s="545">
        <f>IFERROR(X336/H336,"0")+IFERROR(X337/H337,"0")+IFERROR(X338/H338,"0")</f>
        <v>18</v>
      </c>
      <c r="Y339" s="545">
        <f>IFERROR(Y336/H336,"0")+IFERROR(Y337/H337,"0")+IFERROR(Y338/H338,"0")</f>
        <v>18</v>
      </c>
      <c r="Z339" s="545">
        <f>IFERROR(IF(Z336="",0,Z336),"0")+IFERROR(IF(Z337="",0,Z337),"0")+IFERROR(IF(Z338="",0,Z338),"0")</f>
        <v>0.21693999999999999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6" t="s">
        <v>69</v>
      </c>
      <c r="X340" s="545">
        <f>IFERROR(SUM(X336:X338),"0")</f>
        <v>85.8</v>
      </c>
      <c r="Y340" s="545">
        <f>IFERROR(SUM(Y336:Y338),"0")</f>
        <v>85.8</v>
      </c>
      <c r="Z340" s="36"/>
      <c r="AA340" s="546"/>
      <c r="AB340" s="546"/>
      <c r="AC340" s="546"/>
    </row>
    <row r="341" spans="1:68" ht="27.75" hidden="1" customHeight="1" x14ac:dyDescent="0.2">
      <c r="A341" s="642" t="s">
        <v>538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47"/>
      <c r="AB341" s="47"/>
      <c r="AC341" s="47"/>
    </row>
    <row r="342" spans="1:68" ht="16.5" hidden="1" customHeight="1" x14ac:dyDescent="0.25">
      <c r="A342" s="596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4"/>
      <c r="AB343" s="534"/>
      <c r="AC343" s="534"/>
    </row>
    <row r="344" spans="1:68" ht="37.5" customHeight="1" x14ac:dyDescent="0.25">
      <c r="A344" s="53" t="s">
        <v>540</v>
      </c>
      <c r="B344" s="53" t="s">
        <v>541</v>
      </c>
      <c r="C344" s="30">
        <v>4301011869</v>
      </c>
      <c r="D344" s="560">
        <v>4680115884847</v>
      </c>
      <c r="E344" s="561"/>
      <c r="F344" s="542">
        <v>2.5</v>
      </c>
      <c r="G344" s="31">
        <v>6</v>
      </c>
      <c r="H344" s="542">
        <v>15</v>
      </c>
      <c r="I344" s="542">
        <v>15.48</v>
      </c>
      <c r="J344" s="31">
        <v>48</v>
      </c>
      <c r="K344" s="31" t="s">
        <v>104</v>
      </c>
      <c r="L344" s="31"/>
      <c r="M344" s="32" t="s">
        <v>68</v>
      </c>
      <c r="N344" s="32"/>
      <c r="O344" s="31">
        <v>60</v>
      </c>
      <c r="P344" s="5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3"/>
      <c r="V344" s="33"/>
      <c r="W344" s="34" t="s">
        <v>69</v>
      </c>
      <c r="X344" s="543">
        <v>720</v>
      </c>
      <c r="Y344" s="544">
        <f t="shared" ref="Y344:Y350" si="36">IFERROR(IF(X344="",0,CEILING((X344/$H344),1)*$H344),"")</f>
        <v>720</v>
      </c>
      <c r="Z344" s="35">
        <f>IFERROR(IF(Y344=0,"",ROUNDUP(Y344/H344,0)*0.02175),"")</f>
        <v>1.044</v>
      </c>
      <c r="AA344" s="55"/>
      <c r="AB344" s="56"/>
      <c r="AC344" s="391" t="s">
        <v>542</v>
      </c>
      <c r="AG344" s="63"/>
      <c r="AJ344" s="66" t="s">
        <v>90</v>
      </c>
      <c r="AK344" s="66">
        <v>15</v>
      </c>
      <c r="BB344" s="392" t="s">
        <v>1</v>
      </c>
      <c r="BM344" s="63">
        <f t="shared" ref="BM344:BM350" si="37">IFERROR(X344*I344/H344,"0")</f>
        <v>743.04000000000008</v>
      </c>
      <c r="BN344" s="63">
        <f t="shared" ref="BN344:BN350" si="38">IFERROR(Y344*I344/H344,"0")</f>
        <v>743.04000000000008</v>
      </c>
      <c r="BO344" s="63">
        <f t="shared" ref="BO344:BO350" si="39">IFERROR(1/J344*(X344/H344),"0")</f>
        <v>1</v>
      </c>
      <c r="BP344" s="63">
        <f t="shared" ref="BP344:BP350" si="40">IFERROR(1/J344*(Y344/H344),"0")</f>
        <v>1</v>
      </c>
    </row>
    <row r="345" spans="1:68" ht="27" customHeight="1" x14ac:dyDescent="0.25">
      <c r="A345" s="53" t="s">
        <v>543</v>
      </c>
      <c r="B345" s="53" t="s">
        <v>544</v>
      </c>
      <c r="C345" s="30">
        <v>4301011870</v>
      </c>
      <c r="D345" s="560">
        <v>4680115884854</v>
      </c>
      <c r="E345" s="561"/>
      <c r="F345" s="542">
        <v>2.5</v>
      </c>
      <c r="G345" s="31">
        <v>6</v>
      </c>
      <c r="H345" s="542">
        <v>15</v>
      </c>
      <c r="I345" s="542">
        <v>15.48</v>
      </c>
      <c r="J345" s="31">
        <v>48</v>
      </c>
      <c r="K345" s="31" t="s">
        <v>104</v>
      </c>
      <c r="L345" s="31"/>
      <c r="M345" s="32" t="s">
        <v>68</v>
      </c>
      <c r="N345" s="32"/>
      <c r="O345" s="31">
        <v>60</v>
      </c>
      <c r="P345" s="68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3"/>
      <c r="V345" s="33"/>
      <c r="W345" s="34" t="s">
        <v>69</v>
      </c>
      <c r="X345" s="543">
        <v>450</v>
      </c>
      <c r="Y345" s="544">
        <f t="shared" si="36"/>
        <v>450</v>
      </c>
      <c r="Z345" s="35">
        <f>IFERROR(IF(Y345=0,"",ROUNDUP(Y345/H345,0)*0.02175),"")</f>
        <v>0.65249999999999997</v>
      </c>
      <c r="AA345" s="55"/>
      <c r="AB345" s="56"/>
      <c r="AC345" s="393" t="s">
        <v>545</v>
      </c>
      <c r="AG345" s="63"/>
      <c r="AJ345" s="66" t="s">
        <v>90</v>
      </c>
      <c r="AK345" s="66">
        <v>15</v>
      </c>
      <c r="BB345" s="394" t="s">
        <v>1</v>
      </c>
      <c r="BM345" s="63">
        <f t="shared" si="37"/>
        <v>464.4</v>
      </c>
      <c r="BN345" s="63">
        <f t="shared" si="38"/>
        <v>464.4</v>
      </c>
      <c r="BO345" s="63">
        <f t="shared" si="39"/>
        <v>0.625</v>
      </c>
      <c r="BP345" s="63">
        <f t="shared" si="40"/>
        <v>0.625</v>
      </c>
    </row>
    <row r="346" spans="1:68" ht="27" customHeight="1" x14ac:dyDescent="0.25">
      <c r="A346" s="53" t="s">
        <v>546</v>
      </c>
      <c r="B346" s="53" t="s">
        <v>547</v>
      </c>
      <c r="C346" s="30">
        <v>4301011832</v>
      </c>
      <c r="D346" s="560">
        <v>4607091383997</v>
      </c>
      <c r="E346" s="561"/>
      <c r="F346" s="542">
        <v>2.5</v>
      </c>
      <c r="G346" s="31">
        <v>6</v>
      </c>
      <c r="H346" s="542">
        <v>15</v>
      </c>
      <c r="I346" s="542">
        <v>15.48</v>
      </c>
      <c r="J346" s="31">
        <v>48</v>
      </c>
      <c r="K346" s="31" t="s">
        <v>104</v>
      </c>
      <c r="L346" s="31" t="s">
        <v>105</v>
      </c>
      <c r="M346" s="32" t="s">
        <v>84</v>
      </c>
      <c r="N346" s="32"/>
      <c r="O346" s="31">
        <v>60</v>
      </c>
      <c r="P346" s="65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3"/>
      <c r="V346" s="33"/>
      <c r="W346" s="34" t="s">
        <v>69</v>
      </c>
      <c r="X346" s="543">
        <v>720</v>
      </c>
      <c r="Y346" s="544">
        <f t="shared" si="36"/>
        <v>720</v>
      </c>
      <c r="Z346" s="35">
        <f>IFERROR(IF(Y346=0,"",ROUNDUP(Y346/H346,0)*0.02175),"")</f>
        <v>1.044</v>
      </c>
      <c r="AA346" s="55"/>
      <c r="AB346" s="56"/>
      <c r="AC346" s="395" t="s">
        <v>548</v>
      </c>
      <c r="AG346" s="63"/>
      <c r="AJ346" s="66" t="s">
        <v>90</v>
      </c>
      <c r="AK346" s="66">
        <v>120</v>
      </c>
      <c r="BB346" s="396" t="s">
        <v>1</v>
      </c>
      <c r="BM346" s="63">
        <f t="shared" si="37"/>
        <v>743.04000000000008</v>
      </c>
      <c r="BN346" s="63">
        <f t="shared" si="38"/>
        <v>743.04000000000008</v>
      </c>
      <c r="BO346" s="63">
        <f t="shared" si="39"/>
        <v>1</v>
      </c>
      <c r="BP346" s="63">
        <f t="shared" si="40"/>
        <v>1</v>
      </c>
    </row>
    <row r="347" spans="1:68" ht="37.5" hidden="1" customHeight="1" x14ac:dyDescent="0.25">
      <c r="A347" s="53" t="s">
        <v>549</v>
      </c>
      <c r="B347" s="53" t="s">
        <v>550</v>
      </c>
      <c r="C347" s="30">
        <v>4301011867</v>
      </c>
      <c r="D347" s="560">
        <v>4680115884830</v>
      </c>
      <c r="E347" s="561"/>
      <c r="F347" s="542">
        <v>2.5</v>
      </c>
      <c r="G347" s="31">
        <v>6</v>
      </c>
      <c r="H347" s="542">
        <v>15</v>
      </c>
      <c r="I347" s="542">
        <v>15.48</v>
      </c>
      <c r="J347" s="31">
        <v>48</v>
      </c>
      <c r="K347" s="31" t="s">
        <v>104</v>
      </c>
      <c r="L347" s="31"/>
      <c r="M347" s="32" t="s">
        <v>68</v>
      </c>
      <c r="N347" s="32"/>
      <c r="O347" s="31">
        <v>60</v>
      </c>
      <c r="P347" s="6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3"/>
      <c r="V347" s="33"/>
      <c r="W347" s="34" t="s">
        <v>69</v>
      </c>
      <c r="X347" s="543">
        <v>0</v>
      </c>
      <c r="Y347" s="544">
        <f t="shared" si="36"/>
        <v>0</v>
      </c>
      <c r="Z347" s="35" t="str">
        <f>IFERROR(IF(Y347=0,"",ROUNDUP(Y347/H347,0)*0.02175),"")</f>
        <v/>
      </c>
      <c r="AA347" s="55"/>
      <c r="AB347" s="56"/>
      <c r="AC347" s="397" t="s">
        <v>551</v>
      </c>
      <c r="AG347" s="63"/>
      <c r="AJ347" s="66" t="s">
        <v>90</v>
      </c>
      <c r="AK347" s="66">
        <v>15</v>
      </c>
      <c r="BB347" s="398" t="s">
        <v>1</v>
      </c>
      <c r="BM347" s="63">
        <f t="shared" si="37"/>
        <v>0</v>
      </c>
      <c r="BN347" s="63">
        <f t="shared" si="38"/>
        <v>0</v>
      </c>
      <c r="BO347" s="63">
        <f t="shared" si="39"/>
        <v>0</v>
      </c>
      <c r="BP347" s="63">
        <f t="shared" si="40"/>
        <v>0</v>
      </c>
    </row>
    <row r="348" spans="1:68" ht="27" customHeight="1" x14ac:dyDescent="0.25">
      <c r="A348" s="53" t="s">
        <v>552</v>
      </c>
      <c r="B348" s="53" t="s">
        <v>553</v>
      </c>
      <c r="C348" s="30">
        <v>4301011433</v>
      </c>
      <c r="D348" s="560">
        <v>4680115882638</v>
      </c>
      <c r="E348" s="561"/>
      <c r="F348" s="542">
        <v>0.4</v>
      </c>
      <c r="G348" s="31">
        <v>10</v>
      </c>
      <c r="H348" s="542">
        <v>4</v>
      </c>
      <c r="I348" s="542">
        <v>4.21</v>
      </c>
      <c r="J348" s="31">
        <v>132</v>
      </c>
      <c r="K348" s="31" t="s">
        <v>110</v>
      </c>
      <c r="L348" s="31"/>
      <c r="M348" s="32" t="s">
        <v>106</v>
      </c>
      <c r="N348" s="32"/>
      <c r="O348" s="31">
        <v>90</v>
      </c>
      <c r="P348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3"/>
      <c r="V348" s="33"/>
      <c r="W348" s="34" t="s">
        <v>69</v>
      </c>
      <c r="X348" s="543">
        <v>8</v>
      </c>
      <c r="Y348" s="544">
        <f t="shared" si="36"/>
        <v>8</v>
      </c>
      <c r="Z348" s="35">
        <f>IFERROR(IF(Y348=0,"",ROUNDUP(Y348/H348,0)*0.00902),"")</f>
        <v>1.804E-2</v>
      </c>
      <c r="AA348" s="55"/>
      <c r="AB348" s="56"/>
      <c r="AC348" s="399" t="s">
        <v>554</v>
      </c>
      <c r="AG348" s="63"/>
      <c r="AJ348" s="66"/>
      <c r="AK348" s="66">
        <v>0</v>
      </c>
      <c r="BB348" s="400" t="s">
        <v>1</v>
      </c>
      <c r="BM348" s="63">
        <f t="shared" si="37"/>
        <v>8.42</v>
      </c>
      <c r="BN348" s="63">
        <f t="shared" si="38"/>
        <v>8.42</v>
      </c>
      <c r="BO348" s="63">
        <f t="shared" si="39"/>
        <v>1.5151515151515152E-2</v>
      </c>
      <c r="BP348" s="63">
        <f t="shared" si="40"/>
        <v>1.5151515151515152E-2</v>
      </c>
    </row>
    <row r="349" spans="1:68" ht="27" hidden="1" customHeight="1" x14ac:dyDescent="0.25">
      <c r="A349" s="53" t="s">
        <v>555</v>
      </c>
      <c r="B349" s="53" t="s">
        <v>556</v>
      </c>
      <c r="C349" s="30">
        <v>4301011952</v>
      </c>
      <c r="D349" s="560">
        <v>4680115884922</v>
      </c>
      <c r="E349" s="561"/>
      <c r="F349" s="542">
        <v>0.5</v>
      </c>
      <c r="G349" s="31">
        <v>10</v>
      </c>
      <c r="H349" s="542">
        <v>5</v>
      </c>
      <c r="I349" s="542">
        <v>5.21</v>
      </c>
      <c r="J349" s="31">
        <v>132</v>
      </c>
      <c r="K349" s="31" t="s">
        <v>110</v>
      </c>
      <c r="L349" s="31"/>
      <c r="M349" s="32" t="s">
        <v>68</v>
      </c>
      <c r="N349" s="32"/>
      <c r="O349" s="31">
        <v>60</v>
      </c>
      <c r="P349" s="6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3"/>
      <c r="V349" s="33"/>
      <c r="W349" s="34" t="s">
        <v>69</v>
      </c>
      <c r="X349" s="543">
        <v>0</v>
      </c>
      <c r="Y349" s="544">
        <f t="shared" si="36"/>
        <v>0</v>
      </c>
      <c r="Z349" s="35" t="str">
        <f>IFERROR(IF(Y349=0,"",ROUNDUP(Y349/H349,0)*0.00902),"")</f>
        <v/>
      </c>
      <c r="AA349" s="55"/>
      <c r="AB349" s="56"/>
      <c r="AC349" s="401" t="s">
        <v>545</v>
      </c>
      <c r="AG349" s="63"/>
      <c r="AJ349" s="66"/>
      <c r="AK349" s="66">
        <v>0</v>
      </c>
      <c r="BB349" s="402" t="s">
        <v>1</v>
      </c>
      <c r="BM349" s="63">
        <f t="shared" si="37"/>
        <v>0</v>
      </c>
      <c r="BN349" s="63">
        <f t="shared" si="38"/>
        <v>0</v>
      </c>
      <c r="BO349" s="63">
        <f t="shared" si="39"/>
        <v>0</v>
      </c>
      <c r="BP349" s="63">
        <f t="shared" si="40"/>
        <v>0</v>
      </c>
    </row>
    <row r="350" spans="1:68" ht="37.5" hidden="1" customHeight="1" x14ac:dyDescent="0.25">
      <c r="A350" s="53" t="s">
        <v>557</v>
      </c>
      <c r="B350" s="53" t="s">
        <v>558</v>
      </c>
      <c r="C350" s="30">
        <v>4301011868</v>
      </c>
      <c r="D350" s="560">
        <v>4680115884861</v>
      </c>
      <c r="E350" s="561"/>
      <c r="F350" s="542">
        <v>0.5</v>
      </c>
      <c r="G350" s="31">
        <v>10</v>
      </c>
      <c r="H350" s="542">
        <v>5</v>
      </c>
      <c r="I350" s="542">
        <v>5.21</v>
      </c>
      <c r="J350" s="31">
        <v>132</v>
      </c>
      <c r="K350" s="31" t="s">
        <v>110</v>
      </c>
      <c r="L350" s="31" t="s">
        <v>111</v>
      </c>
      <c r="M350" s="32" t="s">
        <v>68</v>
      </c>
      <c r="N350" s="32"/>
      <c r="O350" s="31">
        <v>60</v>
      </c>
      <c r="P350" s="8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3"/>
      <c r="V350" s="33"/>
      <c r="W350" s="34" t="s">
        <v>69</v>
      </c>
      <c r="X350" s="543">
        <v>0</v>
      </c>
      <c r="Y350" s="544">
        <f t="shared" si="36"/>
        <v>0</v>
      </c>
      <c r="Z350" s="35" t="str">
        <f>IFERROR(IF(Y350=0,"",ROUNDUP(Y350/H350,0)*0.00902),"")</f>
        <v/>
      </c>
      <c r="AA350" s="55"/>
      <c r="AB350" s="56"/>
      <c r="AC350" s="403" t="s">
        <v>551</v>
      </c>
      <c r="AG350" s="63"/>
      <c r="AJ350" s="66" t="s">
        <v>90</v>
      </c>
      <c r="AK350" s="66">
        <v>60</v>
      </c>
      <c r="BB350" s="404" t="s">
        <v>1</v>
      </c>
      <c r="BM350" s="63">
        <f t="shared" si="37"/>
        <v>0</v>
      </c>
      <c r="BN350" s="63">
        <f t="shared" si="38"/>
        <v>0</v>
      </c>
      <c r="BO350" s="63">
        <f t="shared" si="39"/>
        <v>0</v>
      </c>
      <c r="BP350" s="63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6" t="s">
        <v>72</v>
      </c>
      <c r="X351" s="545">
        <f>IFERROR(X344/H344,"0")+IFERROR(X345/H345,"0")+IFERROR(X346/H346,"0")+IFERROR(X347/H347,"0")+IFERROR(X348/H348,"0")+IFERROR(X349/H349,"0")+IFERROR(X350/H350,"0")</f>
        <v>128</v>
      </c>
      <c r="Y351" s="545">
        <f>IFERROR(Y344/H344,"0")+IFERROR(Y345/H345,"0")+IFERROR(Y346/H346,"0")+IFERROR(Y347/H347,"0")+IFERROR(Y348/H348,"0")+IFERROR(Y349/H349,"0")+IFERROR(Y350/H350,"0")</f>
        <v>128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2.75854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6" t="s">
        <v>69</v>
      </c>
      <c r="X352" s="545">
        <f>IFERROR(SUM(X344:X350),"0")</f>
        <v>1898</v>
      </c>
      <c r="Y352" s="545">
        <f>IFERROR(SUM(Y344:Y350),"0")</f>
        <v>1898</v>
      </c>
      <c r="Z352" s="36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4"/>
      <c r="AB353" s="534"/>
      <c r="AC353" s="534"/>
    </row>
    <row r="354" spans="1:68" ht="27" customHeight="1" x14ac:dyDescent="0.25">
      <c r="A354" s="53" t="s">
        <v>559</v>
      </c>
      <c r="B354" s="53" t="s">
        <v>560</v>
      </c>
      <c r="C354" s="30">
        <v>4301020178</v>
      </c>
      <c r="D354" s="560">
        <v>4607091383980</v>
      </c>
      <c r="E354" s="561"/>
      <c r="F354" s="542">
        <v>2.5</v>
      </c>
      <c r="G354" s="31">
        <v>6</v>
      </c>
      <c r="H354" s="542">
        <v>15</v>
      </c>
      <c r="I354" s="542">
        <v>15.48</v>
      </c>
      <c r="J354" s="31">
        <v>48</v>
      </c>
      <c r="K354" s="31" t="s">
        <v>104</v>
      </c>
      <c r="L354" s="31"/>
      <c r="M354" s="32" t="s">
        <v>106</v>
      </c>
      <c r="N354" s="32"/>
      <c r="O354" s="31">
        <v>50</v>
      </c>
      <c r="P354" s="6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3"/>
      <c r="V354" s="33"/>
      <c r="W354" s="34" t="s">
        <v>69</v>
      </c>
      <c r="X354" s="543">
        <v>720</v>
      </c>
      <c r="Y354" s="544">
        <f>IFERROR(IF(X354="",0,CEILING((X354/$H354),1)*$H354),"")</f>
        <v>720</v>
      </c>
      <c r="Z354" s="35">
        <f>IFERROR(IF(Y354=0,"",ROUNDUP(Y354/H354,0)*0.02175),"")</f>
        <v>1.044</v>
      </c>
      <c r="AA354" s="55"/>
      <c r="AB354" s="56"/>
      <c r="AC354" s="405" t="s">
        <v>561</v>
      </c>
      <c r="AG354" s="63"/>
      <c r="AJ354" s="66" t="s">
        <v>90</v>
      </c>
      <c r="AK354" s="66">
        <v>15</v>
      </c>
      <c r="BB354" s="406" t="s">
        <v>1</v>
      </c>
      <c r="BM354" s="63">
        <f>IFERROR(X354*I354/H354,"0")</f>
        <v>743.04000000000008</v>
      </c>
      <c r="BN354" s="63">
        <f>IFERROR(Y354*I354/H354,"0")</f>
        <v>743.04000000000008</v>
      </c>
      <c r="BO354" s="63">
        <f>IFERROR(1/J354*(X354/H354),"0")</f>
        <v>1</v>
      </c>
      <c r="BP354" s="63">
        <f>IFERROR(1/J354*(Y354/H354),"0")</f>
        <v>1</v>
      </c>
    </row>
    <row r="355" spans="1:68" ht="16.5" hidden="1" customHeight="1" x14ac:dyDescent="0.25">
      <c r="A355" s="53" t="s">
        <v>562</v>
      </c>
      <c r="B355" s="53" t="s">
        <v>563</v>
      </c>
      <c r="C355" s="30">
        <v>4301020179</v>
      </c>
      <c r="D355" s="560">
        <v>4607091384178</v>
      </c>
      <c r="E355" s="561"/>
      <c r="F355" s="542">
        <v>0.4</v>
      </c>
      <c r="G355" s="31">
        <v>10</v>
      </c>
      <c r="H355" s="542">
        <v>4</v>
      </c>
      <c r="I355" s="542">
        <v>4.21</v>
      </c>
      <c r="J355" s="31">
        <v>132</v>
      </c>
      <c r="K355" s="31" t="s">
        <v>110</v>
      </c>
      <c r="L355" s="31"/>
      <c r="M355" s="32" t="s">
        <v>106</v>
      </c>
      <c r="N355" s="32"/>
      <c r="O355" s="31">
        <v>50</v>
      </c>
      <c r="P355" s="5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3"/>
      <c r="V355" s="33"/>
      <c r="W355" s="34" t="s">
        <v>69</v>
      </c>
      <c r="X355" s="543">
        <v>0</v>
      </c>
      <c r="Y355" s="544">
        <f>IFERROR(IF(X355="",0,CEILING((X355/$H355),1)*$H355),"")</f>
        <v>0</v>
      </c>
      <c r="Z355" s="35" t="str">
        <f>IFERROR(IF(Y355=0,"",ROUNDUP(Y355/H355,0)*0.00902),"")</f>
        <v/>
      </c>
      <c r="AA355" s="55"/>
      <c r="AB355" s="56"/>
      <c r="AC355" s="407" t="s">
        <v>561</v>
      </c>
      <c r="AG355" s="63"/>
      <c r="AJ355" s="66"/>
      <c r="AK355" s="66">
        <v>0</v>
      </c>
      <c r="BB355" s="408" t="s">
        <v>1</v>
      </c>
      <c r="BM355" s="63">
        <f>IFERROR(X355*I355/H355,"0")</f>
        <v>0</v>
      </c>
      <c r="BN355" s="63">
        <f>IFERROR(Y355*I355/H355,"0")</f>
        <v>0</v>
      </c>
      <c r="BO355" s="63">
        <f>IFERROR(1/J355*(X355/H355),"0")</f>
        <v>0</v>
      </c>
      <c r="BP355" s="63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6" t="s">
        <v>72</v>
      </c>
      <c r="X356" s="545">
        <f>IFERROR(X354/H354,"0")+IFERROR(X355/H355,"0")</f>
        <v>48</v>
      </c>
      <c r="Y356" s="545">
        <f>IFERROR(Y354/H354,"0")+IFERROR(Y355/H355,"0")</f>
        <v>48</v>
      </c>
      <c r="Z356" s="545">
        <f>IFERROR(IF(Z354="",0,Z354),"0")+IFERROR(IF(Z355="",0,Z355),"0")</f>
        <v>1.044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6" t="s">
        <v>69</v>
      </c>
      <c r="X357" s="545">
        <f>IFERROR(SUM(X354:X355),"0")</f>
        <v>720</v>
      </c>
      <c r="Y357" s="545">
        <f>IFERROR(SUM(Y354:Y355),"0")</f>
        <v>720</v>
      </c>
      <c r="Z357" s="36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4"/>
      <c r="AB358" s="534"/>
      <c r="AC358" s="534"/>
    </row>
    <row r="359" spans="1:68" ht="27" customHeight="1" x14ac:dyDescent="0.25">
      <c r="A359" s="53" t="s">
        <v>564</v>
      </c>
      <c r="B359" s="53" t="s">
        <v>565</v>
      </c>
      <c r="C359" s="30">
        <v>4301051903</v>
      </c>
      <c r="D359" s="560">
        <v>4607091383928</v>
      </c>
      <c r="E359" s="561"/>
      <c r="F359" s="542">
        <v>1.5</v>
      </c>
      <c r="G359" s="31">
        <v>6</v>
      </c>
      <c r="H359" s="542">
        <v>9</v>
      </c>
      <c r="I359" s="542">
        <v>9.5250000000000004</v>
      </c>
      <c r="J359" s="31">
        <v>64</v>
      </c>
      <c r="K359" s="31" t="s">
        <v>104</v>
      </c>
      <c r="L359" s="31" t="s">
        <v>105</v>
      </c>
      <c r="M359" s="32" t="s">
        <v>77</v>
      </c>
      <c r="N359" s="32"/>
      <c r="O359" s="31">
        <v>40</v>
      </c>
      <c r="P359" s="65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3"/>
      <c r="V359" s="33"/>
      <c r="W359" s="34" t="s">
        <v>69</v>
      </c>
      <c r="X359" s="543">
        <v>18</v>
      </c>
      <c r="Y359" s="544">
        <f>IFERROR(IF(X359="",0,CEILING((X359/$H359),1)*$H359),"")</f>
        <v>18</v>
      </c>
      <c r="Z359" s="35">
        <f>IFERROR(IF(Y359=0,"",ROUNDUP(Y359/H359,0)*0.01898),"")</f>
        <v>3.7960000000000001E-2</v>
      </c>
      <c r="AA359" s="55"/>
      <c r="AB359" s="56"/>
      <c r="AC359" s="409" t="s">
        <v>566</v>
      </c>
      <c r="AG359" s="63"/>
      <c r="AJ359" s="66" t="s">
        <v>90</v>
      </c>
      <c r="AK359" s="66">
        <v>72</v>
      </c>
      <c r="BB359" s="410" t="s">
        <v>1</v>
      </c>
      <c r="BM359" s="63">
        <f>IFERROR(X359*I359/H359,"0")</f>
        <v>19.05</v>
      </c>
      <c r="BN359" s="63">
        <f>IFERROR(Y359*I359/H359,"0")</f>
        <v>19.05</v>
      </c>
      <c r="BO359" s="63">
        <f>IFERROR(1/J359*(X359/H359),"0")</f>
        <v>3.125E-2</v>
      </c>
      <c r="BP359" s="63">
        <f>IFERROR(1/J359*(Y359/H359),"0")</f>
        <v>3.125E-2</v>
      </c>
    </row>
    <row r="360" spans="1:68" ht="27" customHeight="1" x14ac:dyDescent="0.25">
      <c r="A360" s="53" t="s">
        <v>567</v>
      </c>
      <c r="B360" s="53" t="s">
        <v>568</v>
      </c>
      <c r="C360" s="30">
        <v>4301051897</v>
      </c>
      <c r="D360" s="560">
        <v>4607091384260</v>
      </c>
      <c r="E360" s="561"/>
      <c r="F360" s="542">
        <v>1.5</v>
      </c>
      <c r="G360" s="31">
        <v>6</v>
      </c>
      <c r="H360" s="542">
        <v>9</v>
      </c>
      <c r="I360" s="542">
        <v>9.5190000000000001</v>
      </c>
      <c r="J360" s="31">
        <v>64</v>
      </c>
      <c r="K360" s="31" t="s">
        <v>104</v>
      </c>
      <c r="L360" s="31" t="s">
        <v>105</v>
      </c>
      <c r="M360" s="32" t="s">
        <v>77</v>
      </c>
      <c r="N360" s="32"/>
      <c r="O360" s="31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3"/>
      <c r="V360" s="33"/>
      <c r="W360" s="34" t="s">
        <v>69</v>
      </c>
      <c r="X360" s="543">
        <v>18</v>
      </c>
      <c r="Y360" s="544">
        <f>IFERROR(IF(X360="",0,CEILING((X360/$H360),1)*$H360),"")</f>
        <v>18</v>
      </c>
      <c r="Z360" s="35">
        <f>IFERROR(IF(Y360=0,"",ROUNDUP(Y360/H360,0)*0.01898),"")</f>
        <v>3.7960000000000001E-2</v>
      </c>
      <c r="AA360" s="55"/>
      <c r="AB360" s="56"/>
      <c r="AC360" s="411" t="s">
        <v>569</v>
      </c>
      <c r="AG360" s="63"/>
      <c r="AJ360" s="66" t="s">
        <v>90</v>
      </c>
      <c r="AK360" s="66">
        <v>72</v>
      </c>
      <c r="BB360" s="412" t="s">
        <v>1</v>
      </c>
      <c r="BM360" s="63">
        <f>IFERROR(X360*I360/H360,"0")</f>
        <v>19.038</v>
      </c>
      <c r="BN360" s="63">
        <f>IFERROR(Y360*I360/H360,"0")</f>
        <v>19.038</v>
      </c>
      <c r="BO360" s="63">
        <f>IFERROR(1/J360*(X360/H360),"0")</f>
        <v>3.125E-2</v>
      </c>
      <c r="BP360" s="63">
        <f>IFERROR(1/J360*(Y360/H360),"0")</f>
        <v>3.125E-2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6" t="s">
        <v>72</v>
      </c>
      <c r="X361" s="545">
        <f>IFERROR(X359/H359,"0")+IFERROR(X360/H360,"0")</f>
        <v>4</v>
      </c>
      <c r="Y361" s="545">
        <f>IFERROR(Y359/H359,"0")+IFERROR(Y360/H360,"0")</f>
        <v>4</v>
      </c>
      <c r="Z361" s="545">
        <f>IFERROR(IF(Z359="",0,Z359),"0")+IFERROR(IF(Z360="",0,Z360),"0")</f>
        <v>7.5920000000000001E-2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6" t="s">
        <v>69</v>
      </c>
      <c r="X362" s="545">
        <f>IFERROR(SUM(X359:X360),"0")</f>
        <v>36</v>
      </c>
      <c r="Y362" s="545">
        <f>IFERROR(SUM(Y359:Y360),"0")</f>
        <v>36</v>
      </c>
      <c r="Z362" s="36"/>
      <c r="AA362" s="546"/>
      <c r="AB362" s="546"/>
      <c r="AC362" s="546"/>
    </row>
    <row r="363" spans="1:68" ht="14.25" hidden="1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4"/>
      <c r="AB363" s="534"/>
      <c r="AC363" s="534"/>
    </row>
    <row r="364" spans="1:68" ht="16.5" hidden="1" customHeight="1" x14ac:dyDescent="0.25">
      <c r="A364" s="53" t="s">
        <v>570</v>
      </c>
      <c r="B364" s="53" t="s">
        <v>571</v>
      </c>
      <c r="C364" s="30">
        <v>4301060524</v>
      </c>
      <c r="D364" s="560">
        <v>4607091384673</v>
      </c>
      <c r="E364" s="561"/>
      <c r="F364" s="542">
        <v>1.5</v>
      </c>
      <c r="G364" s="31">
        <v>6</v>
      </c>
      <c r="H364" s="542">
        <v>9</v>
      </c>
      <c r="I364" s="542">
        <v>9.5190000000000001</v>
      </c>
      <c r="J364" s="31">
        <v>64</v>
      </c>
      <c r="K364" s="31" t="s">
        <v>104</v>
      </c>
      <c r="L364" s="31"/>
      <c r="M364" s="32" t="s">
        <v>77</v>
      </c>
      <c r="N364" s="32"/>
      <c r="O364" s="31">
        <v>40</v>
      </c>
      <c r="P364" s="6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3"/>
      <c r="V364" s="33"/>
      <c r="W364" s="34" t="s">
        <v>69</v>
      </c>
      <c r="X364" s="543">
        <v>0</v>
      </c>
      <c r="Y364" s="544">
        <f>IFERROR(IF(X364="",0,CEILING((X364/$H364),1)*$H364),"")</f>
        <v>0</v>
      </c>
      <c r="Z364" s="35" t="str">
        <f>IFERROR(IF(Y364=0,"",ROUNDUP(Y364/H364,0)*0.01898),"")</f>
        <v/>
      </c>
      <c r="AA364" s="55"/>
      <c r="AB364" s="56"/>
      <c r="AC364" s="413" t="s">
        <v>572</v>
      </c>
      <c r="AG364" s="63"/>
      <c r="AJ364" s="66"/>
      <c r="AK364" s="66">
        <v>0</v>
      </c>
      <c r="BB364" s="414" t="s">
        <v>1</v>
      </c>
      <c r="BM364" s="63">
        <f>IFERROR(X364*I364/H364,"0")</f>
        <v>0</v>
      </c>
      <c r="BN364" s="63">
        <f>IFERROR(Y364*I364/H364,"0")</f>
        <v>0</v>
      </c>
      <c r="BO364" s="63">
        <f>IFERROR(1/J364*(X364/H364),"0")</f>
        <v>0</v>
      </c>
      <c r="BP364" s="63">
        <f>IFERROR(1/J364*(Y364/H364),"0")</f>
        <v>0</v>
      </c>
    </row>
    <row r="365" spans="1:68" hidden="1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6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6" t="s">
        <v>69</v>
      </c>
      <c r="X366" s="545">
        <f>IFERROR(SUM(X364:X364),"0")</f>
        <v>0</v>
      </c>
      <c r="Y366" s="545">
        <f>IFERROR(SUM(Y364:Y364),"0")</f>
        <v>0</v>
      </c>
      <c r="Z366" s="36"/>
      <c r="AA366" s="546"/>
      <c r="AB366" s="546"/>
      <c r="AC366" s="546"/>
    </row>
    <row r="367" spans="1:68" ht="16.5" hidden="1" customHeight="1" x14ac:dyDescent="0.25">
      <c r="A367" s="596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4"/>
      <c r="AB368" s="534"/>
      <c r="AC368" s="534"/>
    </row>
    <row r="369" spans="1:68" ht="37.5" hidden="1" customHeight="1" x14ac:dyDescent="0.25">
      <c r="A369" s="53" t="s">
        <v>574</v>
      </c>
      <c r="B369" s="53" t="s">
        <v>575</v>
      </c>
      <c r="C369" s="30">
        <v>4301011875</v>
      </c>
      <c r="D369" s="560">
        <v>4680115884885</v>
      </c>
      <c r="E369" s="561"/>
      <c r="F369" s="542">
        <v>0.8</v>
      </c>
      <c r="G369" s="31">
        <v>15</v>
      </c>
      <c r="H369" s="542">
        <v>12</v>
      </c>
      <c r="I369" s="542">
        <v>12.435</v>
      </c>
      <c r="J369" s="31">
        <v>64</v>
      </c>
      <c r="K369" s="31" t="s">
        <v>104</v>
      </c>
      <c r="L369" s="31" t="s">
        <v>105</v>
      </c>
      <c r="M369" s="32" t="s">
        <v>68</v>
      </c>
      <c r="N369" s="32"/>
      <c r="O369" s="31">
        <v>60</v>
      </c>
      <c r="P369" s="6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3"/>
      <c r="V369" s="33"/>
      <c r="W369" s="34" t="s">
        <v>69</v>
      </c>
      <c r="X369" s="543">
        <v>0</v>
      </c>
      <c r="Y369" s="544">
        <f>IFERROR(IF(X369="",0,CEILING((X369/$H369),1)*$H369),"")</f>
        <v>0</v>
      </c>
      <c r="Z369" s="35" t="str">
        <f>IFERROR(IF(Y369=0,"",ROUNDUP(Y369/H369,0)*0.01898),"")</f>
        <v/>
      </c>
      <c r="AA369" s="55"/>
      <c r="AB369" s="56"/>
      <c r="AC369" s="415" t="s">
        <v>576</v>
      </c>
      <c r="AG369" s="63"/>
      <c r="AJ369" s="66" t="s">
        <v>90</v>
      </c>
      <c r="AK369" s="66">
        <v>96</v>
      </c>
      <c r="BB369" s="416" t="s">
        <v>1</v>
      </c>
      <c r="BM369" s="63">
        <f>IFERROR(X369*I369/H369,"0")</f>
        <v>0</v>
      </c>
      <c r="BN369" s="63">
        <f>IFERROR(Y369*I369/H369,"0")</f>
        <v>0</v>
      </c>
      <c r="BO369" s="63">
        <f>IFERROR(1/J369*(X369/H369),"0")</f>
        <v>0</v>
      </c>
      <c r="BP369" s="63">
        <f>IFERROR(1/J369*(Y369/H369),"0")</f>
        <v>0</v>
      </c>
    </row>
    <row r="370" spans="1:68" ht="37.5" hidden="1" customHeight="1" x14ac:dyDescent="0.25">
      <c r="A370" s="53" t="s">
        <v>577</v>
      </c>
      <c r="B370" s="53" t="s">
        <v>578</v>
      </c>
      <c r="C370" s="30">
        <v>4301011871</v>
      </c>
      <c r="D370" s="560">
        <v>4680115884908</v>
      </c>
      <c r="E370" s="561"/>
      <c r="F370" s="542">
        <v>0.4</v>
      </c>
      <c r="G370" s="31">
        <v>10</v>
      </c>
      <c r="H370" s="542">
        <v>4</v>
      </c>
      <c r="I370" s="542">
        <v>4.21</v>
      </c>
      <c r="J370" s="31">
        <v>132</v>
      </c>
      <c r="K370" s="31" t="s">
        <v>110</v>
      </c>
      <c r="L370" s="31" t="s">
        <v>111</v>
      </c>
      <c r="M370" s="32" t="s">
        <v>68</v>
      </c>
      <c r="N370" s="32"/>
      <c r="O370" s="31">
        <v>60</v>
      </c>
      <c r="P370" s="5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3"/>
      <c r="V370" s="33"/>
      <c r="W370" s="34" t="s">
        <v>69</v>
      </c>
      <c r="X370" s="543">
        <v>0</v>
      </c>
      <c r="Y370" s="544">
        <f>IFERROR(IF(X370="",0,CEILING((X370/$H370),1)*$H370),"")</f>
        <v>0</v>
      </c>
      <c r="Z370" s="35" t="str">
        <f>IFERROR(IF(Y370=0,"",ROUNDUP(Y370/H370,0)*0.00902),"")</f>
        <v/>
      </c>
      <c r="AA370" s="55"/>
      <c r="AB370" s="56"/>
      <c r="AC370" s="417" t="s">
        <v>576</v>
      </c>
      <c r="AG370" s="63"/>
      <c r="AJ370" s="66" t="s">
        <v>90</v>
      </c>
      <c r="AK370" s="66">
        <v>48</v>
      </c>
      <c r="BB370" s="418" t="s">
        <v>1</v>
      </c>
      <c r="BM370" s="63">
        <f>IFERROR(X370*I370/H370,"0")</f>
        <v>0</v>
      </c>
      <c r="BN370" s="63">
        <f>IFERROR(Y370*I370/H370,"0")</f>
        <v>0</v>
      </c>
      <c r="BO370" s="63">
        <f>IFERROR(1/J370*(X370/H370),"0")</f>
        <v>0</v>
      </c>
      <c r="BP370" s="63">
        <f>IFERROR(1/J370*(Y370/H370),"0")</f>
        <v>0</v>
      </c>
    </row>
    <row r="371" spans="1:68" hidden="1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6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6" t="s">
        <v>69</v>
      </c>
      <c r="X372" s="545">
        <f>IFERROR(SUM(X369:X370),"0")</f>
        <v>0</v>
      </c>
      <c r="Y372" s="545">
        <f>IFERROR(SUM(Y369:Y370),"0")</f>
        <v>0</v>
      </c>
      <c r="Z372" s="36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4"/>
      <c r="AB373" s="534"/>
      <c r="AC373" s="534"/>
    </row>
    <row r="374" spans="1:68" ht="27" hidden="1" customHeight="1" x14ac:dyDescent="0.25">
      <c r="A374" s="53" t="s">
        <v>579</v>
      </c>
      <c r="B374" s="53" t="s">
        <v>580</v>
      </c>
      <c r="C374" s="30">
        <v>4301031303</v>
      </c>
      <c r="D374" s="560">
        <v>4607091384802</v>
      </c>
      <c r="E374" s="561"/>
      <c r="F374" s="542">
        <v>0.73</v>
      </c>
      <c r="G374" s="31">
        <v>6</v>
      </c>
      <c r="H374" s="542">
        <v>4.38</v>
      </c>
      <c r="I374" s="542">
        <v>4.6500000000000004</v>
      </c>
      <c r="J374" s="31">
        <v>132</v>
      </c>
      <c r="K374" s="31" t="s">
        <v>110</v>
      </c>
      <c r="L374" s="31" t="s">
        <v>111</v>
      </c>
      <c r="M374" s="32" t="s">
        <v>68</v>
      </c>
      <c r="N374" s="32"/>
      <c r="O374" s="31">
        <v>35</v>
      </c>
      <c r="P374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3"/>
      <c r="V374" s="33"/>
      <c r="W374" s="34" t="s">
        <v>69</v>
      </c>
      <c r="X374" s="543">
        <v>0</v>
      </c>
      <c r="Y374" s="544">
        <f>IFERROR(IF(X374="",0,CEILING((X374/$H374),1)*$H374),"")</f>
        <v>0</v>
      </c>
      <c r="Z374" s="35" t="str">
        <f>IFERROR(IF(Y374=0,"",ROUNDUP(Y374/H374,0)*0.00902),"")</f>
        <v/>
      </c>
      <c r="AA374" s="55"/>
      <c r="AB374" s="56"/>
      <c r="AC374" s="419" t="s">
        <v>581</v>
      </c>
      <c r="AG374" s="63"/>
      <c r="AJ374" s="66" t="s">
        <v>90</v>
      </c>
      <c r="AK374" s="66">
        <v>52.56</v>
      </c>
      <c r="BB374" s="420" t="s">
        <v>1</v>
      </c>
      <c r="BM374" s="63">
        <f>IFERROR(X374*I374/H374,"0")</f>
        <v>0</v>
      </c>
      <c r="BN374" s="63">
        <f>IFERROR(Y374*I374/H374,"0")</f>
        <v>0</v>
      </c>
      <c r="BO374" s="63">
        <f>IFERROR(1/J374*(X374/H374),"0")</f>
        <v>0</v>
      </c>
      <c r="BP374" s="63">
        <f>IFERROR(1/J374*(Y374/H374),"0")</f>
        <v>0</v>
      </c>
    </row>
    <row r="375" spans="1:68" ht="27" hidden="1" customHeight="1" x14ac:dyDescent="0.25">
      <c r="A375" s="53" t="s">
        <v>579</v>
      </c>
      <c r="B375" s="53" t="s">
        <v>582</v>
      </c>
      <c r="C375" s="30">
        <v>4301031457</v>
      </c>
      <c r="D375" s="560">
        <v>4607091384802</v>
      </c>
      <c r="E375" s="561"/>
      <c r="F375" s="542">
        <v>0.7</v>
      </c>
      <c r="G375" s="31">
        <v>6</v>
      </c>
      <c r="H375" s="542">
        <v>4.2</v>
      </c>
      <c r="I375" s="542">
        <v>4.47</v>
      </c>
      <c r="J375" s="31">
        <v>132</v>
      </c>
      <c r="K375" s="31" t="s">
        <v>110</v>
      </c>
      <c r="L375" s="31"/>
      <c r="M375" s="32" t="s">
        <v>68</v>
      </c>
      <c r="N375" s="32"/>
      <c r="O375" s="31">
        <v>50</v>
      </c>
      <c r="P375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3"/>
      <c r="V375" s="33"/>
      <c r="W375" s="34" t="s">
        <v>69</v>
      </c>
      <c r="X375" s="543">
        <v>0</v>
      </c>
      <c r="Y375" s="544">
        <f>IFERROR(IF(X375="",0,CEILING((X375/$H375),1)*$H375),"")</f>
        <v>0</v>
      </c>
      <c r="Z375" s="35" t="str">
        <f>IFERROR(IF(Y375=0,"",ROUNDUP(Y375/H375,0)*0.00902),"")</f>
        <v/>
      </c>
      <c r="AA375" s="55"/>
      <c r="AB375" s="56"/>
      <c r="AC375" s="421" t="s">
        <v>583</v>
      </c>
      <c r="AG375" s="63"/>
      <c r="AJ375" s="66"/>
      <c r="AK375" s="66">
        <v>0</v>
      </c>
      <c r="BB375" s="422" t="s">
        <v>1</v>
      </c>
      <c r="BM375" s="63">
        <f>IFERROR(X375*I375/H375,"0")</f>
        <v>0</v>
      </c>
      <c r="BN375" s="63">
        <f>IFERROR(Y375*I375/H375,"0")</f>
        <v>0</v>
      </c>
      <c r="BO375" s="63">
        <f>IFERROR(1/J375*(X375/H375),"0")</f>
        <v>0</v>
      </c>
      <c r="BP375" s="63">
        <f>IFERROR(1/J375*(Y375/H375),"0")</f>
        <v>0</v>
      </c>
    </row>
    <row r="376" spans="1:68" hidden="1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6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6" t="s">
        <v>69</v>
      </c>
      <c r="X377" s="545">
        <f>IFERROR(SUM(X374:X375),"0")</f>
        <v>0</v>
      </c>
      <c r="Y377" s="545">
        <f>IFERROR(SUM(Y374:Y375),"0")</f>
        <v>0</v>
      </c>
      <c r="Z377" s="36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4"/>
      <c r="AB378" s="534"/>
      <c r="AC378" s="534"/>
    </row>
    <row r="379" spans="1:68" ht="27" customHeight="1" x14ac:dyDescent="0.25">
      <c r="A379" s="53" t="s">
        <v>584</v>
      </c>
      <c r="B379" s="53" t="s">
        <v>585</v>
      </c>
      <c r="C379" s="30">
        <v>4301051899</v>
      </c>
      <c r="D379" s="560">
        <v>4607091384246</v>
      </c>
      <c r="E379" s="561"/>
      <c r="F379" s="542">
        <v>1.5</v>
      </c>
      <c r="G379" s="31">
        <v>6</v>
      </c>
      <c r="H379" s="542">
        <v>9</v>
      </c>
      <c r="I379" s="542">
        <v>9.5190000000000001</v>
      </c>
      <c r="J379" s="31">
        <v>64</v>
      </c>
      <c r="K379" s="31" t="s">
        <v>104</v>
      </c>
      <c r="L379" s="31" t="s">
        <v>105</v>
      </c>
      <c r="M379" s="32" t="s">
        <v>77</v>
      </c>
      <c r="N379" s="32"/>
      <c r="O379" s="31">
        <v>40</v>
      </c>
      <c r="P379" s="8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3"/>
      <c r="V379" s="33"/>
      <c r="W379" s="34" t="s">
        <v>69</v>
      </c>
      <c r="X379" s="543">
        <v>18</v>
      </c>
      <c r="Y379" s="544">
        <f>IFERROR(IF(X379="",0,CEILING((X379/$H379),1)*$H379),"")</f>
        <v>18</v>
      </c>
      <c r="Z379" s="35">
        <f>IFERROR(IF(Y379=0,"",ROUNDUP(Y379/H379,0)*0.01898),"")</f>
        <v>3.7960000000000001E-2</v>
      </c>
      <c r="AA379" s="55"/>
      <c r="AB379" s="56"/>
      <c r="AC379" s="423" t="s">
        <v>586</v>
      </c>
      <c r="AG379" s="63"/>
      <c r="AJ379" s="66" t="s">
        <v>90</v>
      </c>
      <c r="AK379" s="66">
        <v>72</v>
      </c>
      <c r="BB379" s="424" t="s">
        <v>1</v>
      </c>
      <c r="BM379" s="63">
        <f>IFERROR(X379*I379/H379,"0")</f>
        <v>19.038</v>
      </c>
      <c r="BN379" s="63">
        <f>IFERROR(Y379*I379/H379,"0")</f>
        <v>19.038</v>
      </c>
      <c r="BO379" s="63">
        <f>IFERROR(1/J379*(X379/H379),"0")</f>
        <v>3.125E-2</v>
      </c>
      <c r="BP379" s="63">
        <f>IFERROR(1/J379*(Y379/H379),"0")</f>
        <v>3.125E-2</v>
      </c>
    </row>
    <row r="380" spans="1:68" ht="27" hidden="1" customHeight="1" x14ac:dyDescent="0.25">
      <c r="A380" s="53" t="s">
        <v>587</v>
      </c>
      <c r="B380" s="53" t="s">
        <v>588</v>
      </c>
      <c r="C380" s="30">
        <v>4301051660</v>
      </c>
      <c r="D380" s="560">
        <v>4607091384253</v>
      </c>
      <c r="E380" s="561"/>
      <c r="F380" s="542">
        <v>0.4</v>
      </c>
      <c r="G380" s="31">
        <v>6</v>
      </c>
      <c r="H380" s="542">
        <v>2.4</v>
      </c>
      <c r="I380" s="542">
        <v>2.6640000000000001</v>
      </c>
      <c r="J380" s="31">
        <v>182</v>
      </c>
      <c r="K380" s="31" t="s">
        <v>76</v>
      </c>
      <c r="L380" s="31" t="s">
        <v>88</v>
      </c>
      <c r="M380" s="32" t="s">
        <v>77</v>
      </c>
      <c r="N380" s="32"/>
      <c r="O380" s="31">
        <v>40</v>
      </c>
      <c r="P380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3"/>
      <c r="V380" s="33"/>
      <c r="W380" s="34" t="s">
        <v>69</v>
      </c>
      <c r="X380" s="543">
        <v>0</v>
      </c>
      <c r="Y380" s="544">
        <f>IFERROR(IF(X380="",0,CEILING((X380/$H380),1)*$H380),"")</f>
        <v>0</v>
      </c>
      <c r="Z380" s="35" t="str">
        <f>IFERROR(IF(Y380=0,"",ROUNDUP(Y380/H380,0)*0.00651),"")</f>
        <v/>
      </c>
      <c r="AA380" s="55"/>
      <c r="AB380" s="56"/>
      <c r="AC380" s="425" t="s">
        <v>586</v>
      </c>
      <c r="AG380" s="63"/>
      <c r="AJ380" s="66" t="s">
        <v>90</v>
      </c>
      <c r="AK380" s="66">
        <v>33.6</v>
      </c>
      <c r="BB380" s="426" t="s">
        <v>1</v>
      </c>
      <c r="BM380" s="63">
        <f>IFERROR(X380*I380/H380,"0")</f>
        <v>0</v>
      </c>
      <c r="BN380" s="63">
        <f>IFERROR(Y380*I380/H380,"0")</f>
        <v>0</v>
      </c>
      <c r="BO380" s="63">
        <f>IFERROR(1/J380*(X380/H380),"0")</f>
        <v>0</v>
      </c>
      <c r="BP380" s="63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6" t="s">
        <v>72</v>
      </c>
      <c r="X381" s="545">
        <f>IFERROR(X379/H379,"0")+IFERROR(X380/H380,"0")</f>
        <v>2</v>
      </c>
      <c r="Y381" s="545">
        <f>IFERROR(Y379/H379,"0")+IFERROR(Y380/H380,"0")</f>
        <v>2</v>
      </c>
      <c r="Z381" s="545">
        <f>IFERROR(IF(Z379="",0,Z379),"0")+IFERROR(IF(Z380="",0,Z380),"0")</f>
        <v>3.7960000000000001E-2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6" t="s">
        <v>69</v>
      </c>
      <c r="X382" s="545">
        <f>IFERROR(SUM(X379:X380),"0")</f>
        <v>18</v>
      </c>
      <c r="Y382" s="545">
        <f>IFERROR(SUM(Y379:Y380),"0")</f>
        <v>18</v>
      </c>
      <c r="Z382" s="36"/>
      <c r="AA382" s="546"/>
      <c r="AB382" s="546"/>
      <c r="AC382" s="546"/>
    </row>
    <row r="383" spans="1:68" ht="27.75" hidden="1" customHeight="1" x14ac:dyDescent="0.2">
      <c r="A383" s="642" t="s">
        <v>589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47"/>
      <c r="AB383" s="47"/>
      <c r="AC383" s="47"/>
    </row>
    <row r="384" spans="1:68" ht="16.5" hidden="1" customHeight="1" x14ac:dyDescent="0.25">
      <c r="A384" s="596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4"/>
      <c r="AB385" s="534"/>
      <c r="AC385" s="534"/>
    </row>
    <row r="386" spans="1:68" ht="27" customHeight="1" x14ac:dyDescent="0.25">
      <c r="A386" s="53" t="s">
        <v>591</v>
      </c>
      <c r="B386" s="53" t="s">
        <v>592</v>
      </c>
      <c r="C386" s="30">
        <v>4301031405</v>
      </c>
      <c r="D386" s="560">
        <v>4680115886100</v>
      </c>
      <c r="E386" s="561"/>
      <c r="F386" s="542">
        <v>0.9</v>
      </c>
      <c r="G386" s="31">
        <v>6</v>
      </c>
      <c r="H386" s="542">
        <v>5.4</v>
      </c>
      <c r="I386" s="542">
        <v>5.61</v>
      </c>
      <c r="J386" s="31">
        <v>132</v>
      </c>
      <c r="K386" s="31" t="s">
        <v>110</v>
      </c>
      <c r="L386" s="31" t="s">
        <v>111</v>
      </c>
      <c r="M386" s="32" t="s">
        <v>68</v>
      </c>
      <c r="N386" s="32"/>
      <c r="O386" s="31">
        <v>50</v>
      </c>
      <c r="P386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3"/>
      <c r="V386" s="33"/>
      <c r="W386" s="34" t="s">
        <v>69</v>
      </c>
      <c r="X386" s="543">
        <v>27</v>
      </c>
      <c r="Y386" s="544">
        <f t="shared" ref="Y386:Y394" si="41">IFERROR(IF(X386="",0,CEILING((X386/$H386),1)*$H386),"")</f>
        <v>27</v>
      </c>
      <c r="Z386" s="35">
        <f>IFERROR(IF(Y386=0,"",ROUNDUP(Y386/H386,0)*0.00902),"")</f>
        <v>4.5100000000000001E-2</v>
      </c>
      <c r="AA386" s="55"/>
      <c r="AB386" s="56"/>
      <c r="AC386" s="427" t="s">
        <v>593</v>
      </c>
      <c r="AG386" s="63"/>
      <c r="AJ386" s="66" t="s">
        <v>90</v>
      </c>
      <c r="AK386" s="66">
        <v>64.8</v>
      </c>
      <c r="BB386" s="428" t="s">
        <v>1</v>
      </c>
      <c r="BM386" s="63">
        <f t="shared" ref="BM386:BM394" si="42">IFERROR(X386*I386/H386,"0")</f>
        <v>28.049999999999997</v>
      </c>
      <c r="BN386" s="63">
        <f t="shared" ref="BN386:BN394" si="43">IFERROR(Y386*I386/H386,"0")</f>
        <v>28.049999999999997</v>
      </c>
      <c r="BO386" s="63">
        <f t="shared" ref="BO386:BO394" si="44">IFERROR(1/J386*(X386/H386),"0")</f>
        <v>3.787878787878788E-2</v>
      </c>
      <c r="BP386" s="63">
        <f t="shared" ref="BP386:BP394" si="45">IFERROR(1/J386*(Y386/H386),"0")</f>
        <v>3.787878787878788E-2</v>
      </c>
    </row>
    <row r="387" spans="1:68" ht="27" hidden="1" customHeight="1" x14ac:dyDescent="0.25">
      <c r="A387" s="53" t="s">
        <v>594</v>
      </c>
      <c r="B387" s="53" t="s">
        <v>595</v>
      </c>
      <c r="C387" s="30">
        <v>4301031406</v>
      </c>
      <c r="D387" s="560">
        <v>4680115886117</v>
      </c>
      <c r="E387" s="561"/>
      <c r="F387" s="542">
        <v>0.9</v>
      </c>
      <c r="G387" s="31">
        <v>6</v>
      </c>
      <c r="H387" s="542">
        <v>5.4</v>
      </c>
      <c r="I387" s="542">
        <v>5.61</v>
      </c>
      <c r="J387" s="31">
        <v>132</v>
      </c>
      <c r="K387" s="31" t="s">
        <v>110</v>
      </c>
      <c r="L387" s="31"/>
      <c r="M387" s="32" t="s">
        <v>68</v>
      </c>
      <c r="N387" s="32"/>
      <c r="O387" s="31">
        <v>50</v>
      </c>
      <c r="P387" s="73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3"/>
      <c r="V387" s="33"/>
      <c r="W387" s="34" t="s">
        <v>69</v>
      </c>
      <c r="X387" s="543">
        <v>0</v>
      </c>
      <c r="Y387" s="544">
        <f t="shared" si="41"/>
        <v>0</v>
      </c>
      <c r="Z387" s="35" t="str">
        <f>IFERROR(IF(Y387=0,"",ROUNDUP(Y387/H387,0)*0.00902),"")</f>
        <v/>
      </c>
      <c r="AA387" s="55"/>
      <c r="AB387" s="56"/>
      <c r="AC387" s="429" t="s">
        <v>596</v>
      </c>
      <c r="AG387" s="63"/>
      <c r="AJ387" s="66"/>
      <c r="AK387" s="66">
        <v>0</v>
      </c>
      <c r="BB387" s="430" t="s">
        <v>1</v>
      </c>
      <c r="BM387" s="63">
        <f t="shared" si="42"/>
        <v>0</v>
      </c>
      <c r="BN387" s="63">
        <f t="shared" si="43"/>
        <v>0</v>
      </c>
      <c r="BO387" s="63">
        <f t="shared" si="44"/>
        <v>0</v>
      </c>
      <c r="BP387" s="63">
        <f t="shared" si="45"/>
        <v>0</v>
      </c>
    </row>
    <row r="388" spans="1:68" ht="27" customHeight="1" x14ac:dyDescent="0.25">
      <c r="A388" s="53" t="s">
        <v>597</v>
      </c>
      <c r="B388" s="53" t="s">
        <v>598</v>
      </c>
      <c r="C388" s="30">
        <v>4301031402</v>
      </c>
      <c r="D388" s="560">
        <v>4680115886124</v>
      </c>
      <c r="E388" s="561"/>
      <c r="F388" s="542">
        <v>0.9</v>
      </c>
      <c r="G388" s="31">
        <v>6</v>
      </c>
      <c r="H388" s="542">
        <v>5.4</v>
      </c>
      <c r="I388" s="542">
        <v>5.61</v>
      </c>
      <c r="J388" s="31">
        <v>132</v>
      </c>
      <c r="K388" s="31" t="s">
        <v>110</v>
      </c>
      <c r="L388" s="31" t="s">
        <v>111</v>
      </c>
      <c r="M388" s="32" t="s">
        <v>68</v>
      </c>
      <c r="N388" s="32"/>
      <c r="O388" s="31">
        <v>50</v>
      </c>
      <c r="P388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3"/>
      <c r="V388" s="33"/>
      <c r="W388" s="34" t="s">
        <v>69</v>
      </c>
      <c r="X388" s="543">
        <v>27</v>
      </c>
      <c r="Y388" s="544">
        <f t="shared" si="41"/>
        <v>27</v>
      </c>
      <c r="Z388" s="35">
        <f>IFERROR(IF(Y388=0,"",ROUNDUP(Y388/H388,0)*0.00902),"")</f>
        <v>4.5100000000000001E-2</v>
      </c>
      <c r="AA388" s="55"/>
      <c r="AB388" s="56"/>
      <c r="AC388" s="431" t="s">
        <v>599</v>
      </c>
      <c r="AG388" s="63"/>
      <c r="AJ388" s="66" t="s">
        <v>90</v>
      </c>
      <c r="AK388" s="66">
        <v>64.8</v>
      </c>
      <c r="BB388" s="432" t="s">
        <v>1</v>
      </c>
      <c r="BM388" s="63">
        <f t="shared" si="42"/>
        <v>28.049999999999997</v>
      </c>
      <c r="BN388" s="63">
        <f t="shared" si="43"/>
        <v>28.049999999999997</v>
      </c>
      <c r="BO388" s="63">
        <f t="shared" si="44"/>
        <v>3.787878787878788E-2</v>
      </c>
      <c r="BP388" s="63">
        <f t="shared" si="45"/>
        <v>3.787878787878788E-2</v>
      </c>
    </row>
    <row r="389" spans="1:68" ht="27" hidden="1" customHeight="1" x14ac:dyDescent="0.25">
      <c r="A389" s="53" t="s">
        <v>600</v>
      </c>
      <c r="B389" s="53" t="s">
        <v>601</v>
      </c>
      <c r="C389" s="30">
        <v>4301031366</v>
      </c>
      <c r="D389" s="560">
        <v>4680115883147</v>
      </c>
      <c r="E389" s="561"/>
      <c r="F389" s="542">
        <v>0.28000000000000003</v>
      </c>
      <c r="G389" s="31">
        <v>6</v>
      </c>
      <c r="H389" s="542">
        <v>1.68</v>
      </c>
      <c r="I389" s="542">
        <v>1.81</v>
      </c>
      <c r="J389" s="31">
        <v>234</v>
      </c>
      <c r="K389" s="31" t="s">
        <v>67</v>
      </c>
      <c r="L389" s="31"/>
      <c r="M389" s="32" t="s">
        <v>68</v>
      </c>
      <c r="N389" s="32"/>
      <c r="O389" s="31">
        <v>50</v>
      </c>
      <c r="P389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3"/>
      <c r="V389" s="33"/>
      <c r="W389" s="34" t="s">
        <v>69</v>
      </c>
      <c r="X389" s="543">
        <v>0</v>
      </c>
      <c r="Y389" s="544">
        <f t="shared" si="41"/>
        <v>0</v>
      </c>
      <c r="Z389" s="35" t="str">
        <f t="shared" ref="Z389:Z394" si="46">IFERROR(IF(Y389=0,"",ROUNDUP(Y389/H389,0)*0.00502),"")</f>
        <v/>
      </c>
      <c r="AA389" s="55"/>
      <c r="AB389" s="56"/>
      <c r="AC389" s="433" t="s">
        <v>593</v>
      </c>
      <c r="AG389" s="63"/>
      <c r="AJ389" s="66"/>
      <c r="AK389" s="66">
        <v>0</v>
      </c>
      <c r="BB389" s="434" t="s">
        <v>1</v>
      </c>
      <c r="BM389" s="63">
        <f t="shared" si="42"/>
        <v>0</v>
      </c>
      <c r="BN389" s="63">
        <f t="shared" si="43"/>
        <v>0</v>
      </c>
      <c r="BO389" s="63">
        <f t="shared" si="44"/>
        <v>0</v>
      </c>
      <c r="BP389" s="63">
        <f t="shared" si="45"/>
        <v>0</v>
      </c>
    </row>
    <row r="390" spans="1:68" ht="27" customHeight="1" x14ac:dyDescent="0.25">
      <c r="A390" s="53" t="s">
        <v>602</v>
      </c>
      <c r="B390" s="53" t="s">
        <v>603</v>
      </c>
      <c r="C390" s="30">
        <v>4301031362</v>
      </c>
      <c r="D390" s="560">
        <v>4607091384338</v>
      </c>
      <c r="E390" s="561"/>
      <c r="F390" s="542">
        <v>0.35</v>
      </c>
      <c r="G390" s="31">
        <v>6</v>
      </c>
      <c r="H390" s="542">
        <v>2.1</v>
      </c>
      <c r="I390" s="542">
        <v>2.23</v>
      </c>
      <c r="J390" s="31">
        <v>234</v>
      </c>
      <c r="K390" s="31" t="s">
        <v>67</v>
      </c>
      <c r="L390" s="31"/>
      <c r="M390" s="32" t="s">
        <v>68</v>
      </c>
      <c r="N390" s="32"/>
      <c r="O390" s="31">
        <v>50</v>
      </c>
      <c r="P390" s="7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3"/>
      <c r="V390" s="33"/>
      <c r="W390" s="34" t="s">
        <v>69</v>
      </c>
      <c r="X390" s="543">
        <v>6.3</v>
      </c>
      <c r="Y390" s="544">
        <f t="shared" si="41"/>
        <v>6.3000000000000007</v>
      </c>
      <c r="Z390" s="35">
        <f t="shared" si="46"/>
        <v>1.506E-2</v>
      </c>
      <c r="AA390" s="55"/>
      <c r="AB390" s="56"/>
      <c r="AC390" s="435" t="s">
        <v>593</v>
      </c>
      <c r="AG390" s="63"/>
      <c r="AJ390" s="66"/>
      <c r="AK390" s="66">
        <v>0</v>
      </c>
      <c r="BB390" s="436" t="s">
        <v>1</v>
      </c>
      <c r="BM390" s="63">
        <f t="shared" si="42"/>
        <v>6.6899999999999995</v>
      </c>
      <c r="BN390" s="63">
        <f t="shared" si="43"/>
        <v>6.69</v>
      </c>
      <c r="BO390" s="63">
        <f t="shared" si="44"/>
        <v>1.2820512820512822E-2</v>
      </c>
      <c r="BP390" s="63">
        <f t="shared" si="45"/>
        <v>1.2820512820512822E-2</v>
      </c>
    </row>
    <row r="391" spans="1:68" ht="37.5" customHeight="1" x14ac:dyDescent="0.25">
      <c r="A391" s="53" t="s">
        <v>604</v>
      </c>
      <c r="B391" s="53" t="s">
        <v>605</v>
      </c>
      <c r="C391" s="30">
        <v>4301031361</v>
      </c>
      <c r="D391" s="560">
        <v>4607091389524</v>
      </c>
      <c r="E391" s="561"/>
      <c r="F391" s="542">
        <v>0.35</v>
      </c>
      <c r="G391" s="31">
        <v>6</v>
      </c>
      <c r="H391" s="542">
        <v>2.1</v>
      </c>
      <c r="I391" s="542">
        <v>2.23</v>
      </c>
      <c r="J391" s="31">
        <v>234</v>
      </c>
      <c r="K391" s="31" t="s">
        <v>67</v>
      </c>
      <c r="L391" s="31"/>
      <c r="M391" s="32" t="s">
        <v>68</v>
      </c>
      <c r="N391" s="32"/>
      <c r="O391" s="31">
        <v>50</v>
      </c>
      <c r="P391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3"/>
      <c r="V391" s="33"/>
      <c r="W391" s="34" t="s">
        <v>69</v>
      </c>
      <c r="X391" s="543">
        <v>10.5</v>
      </c>
      <c r="Y391" s="544">
        <f t="shared" si="41"/>
        <v>10.5</v>
      </c>
      <c r="Z391" s="35">
        <f t="shared" si="46"/>
        <v>2.5100000000000001E-2</v>
      </c>
      <c r="AA391" s="55"/>
      <c r="AB391" s="56"/>
      <c r="AC391" s="437" t="s">
        <v>606</v>
      </c>
      <c r="AG391" s="63"/>
      <c r="AJ391" s="66"/>
      <c r="AK391" s="66">
        <v>0</v>
      </c>
      <c r="BB391" s="438" t="s">
        <v>1</v>
      </c>
      <c r="BM391" s="63">
        <f t="shared" si="42"/>
        <v>11.149999999999999</v>
      </c>
      <c r="BN391" s="63">
        <f t="shared" si="43"/>
        <v>11.149999999999999</v>
      </c>
      <c r="BO391" s="63">
        <f t="shared" si="44"/>
        <v>2.1367521367521368E-2</v>
      </c>
      <c r="BP391" s="63">
        <f t="shared" si="45"/>
        <v>2.1367521367521368E-2</v>
      </c>
    </row>
    <row r="392" spans="1:68" ht="27" hidden="1" customHeight="1" x14ac:dyDescent="0.25">
      <c r="A392" s="53" t="s">
        <v>607</v>
      </c>
      <c r="B392" s="53" t="s">
        <v>608</v>
      </c>
      <c r="C392" s="30">
        <v>4301031364</v>
      </c>
      <c r="D392" s="560">
        <v>4680115883161</v>
      </c>
      <c r="E392" s="561"/>
      <c r="F392" s="542">
        <v>0.28000000000000003</v>
      </c>
      <c r="G392" s="31">
        <v>6</v>
      </c>
      <c r="H392" s="542">
        <v>1.68</v>
      </c>
      <c r="I392" s="542">
        <v>1.81</v>
      </c>
      <c r="J392" s="31">
        <v>234</v>
      </c>
      <c r="K392" s="31" t="s">
        <v>67</v>
      </c>
      <c r="L392" s="31"/>
      <c r="M392" s="32" t="s">
        <v>68</v>
      </c>
      <c r="N392" s="32"/>
      <c r="O392" s="31">
        <v>50</v>
      </c>
      <c r="P392" s="8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3"/>
      <c r="V392" s="33"/>
      <c r="W392" s="34" t="s">
        <v>69</v>
      </c>
      <c r="X392" s="543">
        <v>0</v>
      </c>
      <c r="Y392" s="544">
        <f t="shared" si="41"/>
        <v>0</v>
      </c>
      <c r="Z392" s="35" t="str">
        <f t="shared" si="46"/>
        <v/>
      </c>
      <c r="AA392" s="55"/>
      <c r="AB392" s="56"/>
      <c r="AC392" s="439" t="s">
        <v>609</v>
      </c>
      <c r="AG392" s="63"/>
      <c r="AJ392" s="66"/>
      <c r="AK392" s="66">
        <v>0</v>
      </c>
      <c r="BB392" s="440" t="s">
        <v>1</v>
      </c>
      <c r="BM392" s="63">
        <f t="shared" si="42"/>
        <v>0</v>
      </c>
      <c r="BN392" s="63">
        <f t="shared" si="43"/>
        <v>0</v>
      </c>
      <c r="BO392" s="63">
        <f t="shared" si="44"/>
        <v>0</v>
      </c>
      <c r="BP392" s="63">
        <f t="shared" si="45"/>
        <v>0</v>
      </c>
    </row>
    <row r="393" spans="1:68" ht="27" customHeight="1" x14ac:dyDescent="0.25">
      <c r="A393" s="53" t="s">
        <v>610</v>
      </c>
      <c r="B393" s="53" t="s">
        <v>611</v>
      </c>
      <c r="C393" s="30">
        <v>4301031358</v>
      </c>
      <c r="D393" s="560">
        <v>4607091389531</v>
      </c>
      <c r="E393" s="561"/>
      <c r="F393" s="542">
        <v>0.35</v>
      </c>
      <c r="G393" s="31">
        <v>6</v>
      </c>
      <c r="H393" s="542">
        <v>2.1</v>
      </c>
      <c r="I393" s="542">
        <v>2.23</v>
      </c>
      <c r="J393" s="31">
        <v>234</v>
      </c>
      <c r="K393" s="31" t="s">
        <v>67</v>
      </c>
      <c r="L393" s="31"/>
      <c r="M393" s="32" t="s">
        <v>68</v>
      </c>
      <c r="N393" s="32"/>
      <c r="O393" s="31">
        <v>50</v>
      </c>
      <c r="P393" s="7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3"/>
      <c r="V393" s="33"/>
      <c r="W393" s="34" t="s">
        <v>69</v>
      </c>
      <c r="X393" s="543">
        <v>10.5</v>
      </c>
      <c r="Y393" s="544">
        <f t="shared" si="41"/>
        <v>10.5</v>
      </c>
      <c r="Z393" s="35">
        <f t="shared" si="46"/>
        <v>2.5100000000000001E-2</v>
      </c>
      <c r="AA393" s="55"/>
      <c r="AB393" s="56"/>
      <c r="AC393" s="441" t="s">
        <v>612</v>
      </c>
      <c r="AG393" s="63"/>
      <c r="AJ393" s="66"/>
      <c r="AK393" s="66">
        <v>0</v>
      </c>
      <c r="BB393" s="442" t="s">
        <v>1</v>
      </c>
      <c r="BM393" s="63">
        <f t="shared" si="42"/>
        <v>11.149999999999999</v>
      </c>
      <c r="BN393" s="63">
        <f t="shared" si="43"/>
        <v>11.149999999999999</v>
      </c>
      <c r="BO393" s="63">
        <f t="shared" si="44"/>
        <v>2.1367521367521368E-2</v>
      </c>
      <c r="BP393" s="63">
        <f t="shared" si="45"/>
        <v>2.1367521367521368E-2</v>
      </c>
    </row>
    <row r="394" spans="1:68" ht="37.5" hidden="1" customHeight="1" x14ac:dyDescent="0.25">
      <c r="A394" s="53" t="s">
        <v>613</v>
      </c>
      <c r="B394" s="53" t="s">
        <v>614</v>
      </c>
      <c r="C394" s="30">
        <v>4301031360</v>
      </c>
      <c r="D394" s="560">
        <v>4607091384345</v>
      </c>
      <c r="E394" s="561"/>
      <c r="F394" s="542">
        <v>0.35</v>
      </c>
      <c r="G394" s="31">
        <v>6</v>
      </c>
      <c r="H394" s="542">
        <v>2.1</v>
      </c>
      <c r="I394" s="542">
        <v>2.23</v>
      </c>
      <c r="J394" s="31">
        <v>234</v>
      </c>
      <c r="K394" s="31" t="s">
        <v>67</v>
      </c>
      <c r="L394" s="31"/>
      <c r="M394" s="32" t="s">
        <v>68</v>
      </c>
      <c r="N394" s="32"/>
      <c r="O394" s="31">
        <v>50</v>
      </c>
      <c r="P394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3"/>
      <c r="V394" s="33"/>
      <c r="W394" s="34" t="s">
        <v>69</v>
      </c>
      <c r="X394" s="543">
        <v>0</v>
      </c>
      <c r="Y394" s="544">
        <f t="shared" si="41"/>
        <v>0</v>
      </c>
      <c r="Z394" s="35" t="str">
        <f t="shared" si="46"/>
        <v/>
      </c>
      <c r="AA394" s="55"/>
      <c r="AB394" s="56"/>
      <c r="AC394" s="443" t="s">
        <v>609</v>
      </c>
      <c r="AG394" s="63"/>
      <c r="AJ394" s="66"/>
      <c r="AK394" s="66">
        <v>0</v>
      </c>
      <c r="BB394" s="444" t="s">
        <v>1</v>
      </c>
      <c r="BM394" s="63">
        <f t="shared" si="42"/>
        <v>0</v>
      </c>
      <c r="BN394" s="63">
        <f t="shared" si="43"/>
        <v>0</v>
      </c>
      <c r="BO394" s="63">
        <f t="shared" si="44"/>
        <v>0</v>
      </c>
      <c r="BP394" s="63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6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23</v>
      </c>
      <c r="Y395" s="545">
        <f>IFERROR(Y386/H386,"0")+IFERROR(Y387/H387,"0")+IFERROR(Y388/H388,"0")+IFERROR(Y389/H389,"0")+IFERROR(Y390/H390,"0")+IFERROR(Y391/H391,"0")+IFERROR(Y392/H392,"0")+IFERROR(Y393/H393,"0")+IFERROR(Y394/H394,"0")</f>
        <v>23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0.15546000000000001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6" t="s">
        <v>69</v>
      </c>
      <c r="X396" s="545">
        <f>IFERROR(SUM(X386:X394),"0")</f>
        <v>81.3</v>
      </c>
      <c r="Y396" s="545">
        <f>IFERROR(SUM(Y386:Y394),"0")</f>
        <v>81.3</v>
      </c>
      <c r="Z396" s="36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4"/>
      <c r="AB397" s="534"/>
      <c r="AC397" s="534"/>
    </row>
    <row r="398" spans="1:68" ht="27" customHeight="1" x14ac:dyDescent="0.25">
      <c r="A398" s="53" t="s">
        <v>615</v>
      </c>
      <c r="B398" s="53" t="s">
        <v>616</v>
      </c>
      <c r="C398" s="30">
        <v>4301051284</v>
      </c>
      <c r="D398" s="560">
        <v>4607091384352</v>
      </c>
      <c r="E398" s="561"/>
      <c r="F398" s="542">
        <v>0.6</v>
      </c>
      <c r="G398" s="31">
        <v>4</v>
      </c>
      <c r="H398" s="542">
        <v>2.4</v>
      </c>
      <c r="I398" s="542">
        <v>2.6459999999999999</v>
      </c>
      <c r="J398" s="31">
        <v>132</v>
      </c>
      <c r="K398" s="31" t="s">
        <v>110</v>
      </c>
      <c r="L398" s="31" t="s">
        <v>111</v>
      </c>
      <c r="M398" s="32" t="s">
        <v>77</v>
      </c>
      <c r="N398" s="32"/>
      <c r="O398" s="31">
        <v>45</v>
      </c>
      <c r="P398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3"/>
      <c r="V398" s="33"/>
      <c r="W398" s="34" t="s">
        <v>69</v>
      </c>
      <c r="X398" s="543">
        <v>4.8</v>
      </c>
      <c r="Y398" s="544">
        <f>IFERROR(IF(X398="",0,CEILING((X398/$H398),1)*$H398),"")</f>
        <v>4.8</v>
      </c>
      <c r="Z398" s="35">
        <f>IFERROR(IF(Y398=0,"",ROUNDUP(Y398/H398,0)*0.00902),"")</f>
        <v>1.804E-2</v>
      </c>
      <c r="AA398" s="55"/>
      <c r="AB398" s="56"/>
      <c r="AC398" s="445" t="s">
        <v>617</v>
      </c>
      <c r="AG398" s="63"/>
      <c r="AJ398" s="66" t="s">
        <v>90</v>
      </c>
      <c r="AK398" s="66">
        <v>28.8</v>
      </c>
      <c r="BB398" s="446" t="s">
        <v>1</v>
      </c>
      <c r="BM398" s="63">
        <f>IFERROR(X398*I398/H398,"0")</f>
        <v>5.2919999999999998</v>
      </c>
      <c r="BN398" s="63">
        <f>IFERROR(Y398*I398/H398,"0")</f>
        <v>5.2919999999999998</v>
      </c>
      <c r="BO398" s="63">
        <f>IFERROR(1/J398*(X398/H398),"0")</f>
        <v>1.5151515151515152E-2</v>
      </c>
      <c r="BP398" s="63">
        <f>IFERROR(1/J398*(Y398/H398),"0")</f>
        <v>1.5151515151515152E-2</v>
      </c>
    </row>
    <row r="399" spans="1:68" ht="27" hidden="1" customHeight="1" x14ac:dyDescent="0.25">
      <c r="A399" s="53" t="s">
        <v>618</v>
      </c>
      <c r="B399" s="53" t="s">
        <v>619</v>
      </c>
      <c r="C399" s="30">
        <v>4301051431</v>
      </c>
      <c r="D399" s="560">
        <v>4607091389654</v>
      </c>
      <c r="E399" s="561"/>
      <c r="F399" s="542">
        <v>0.33</v>
      </c>
      <c r="G399" s="31">
        <v>6</v>
      </c>
      <c r="H399" s="542">
        <v>1.98</v>
      </c>
      <c r="I399" s="542">
        <v>2.238</v>
      </c>
      <c r="J399" s="31">
        <v>182</v>
      </c>
      <c r="K399" s="31" t="s">
        <v>76</v>
      </c>
      <c r="L399" s="31" t="s">
        <v>88</v>
      </c>
      <c r="M399" s="32" t="s">
        <v>77</v>
      </c>
      <c r="N399" s="32"/>
      <c r="O399" s="31">
        <v>45</v>
      </c>
      <c r="P399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3"/>
      <c r="V399" s="33"/>
      <c r="W399" s="34" t="s">
        <v>69</v>
      </c>
      <c r="X399" s="543">
        <v>0</v>
      </c>
      <c r="Y399" s="544">
        <f>IFERROR(IF(X399="",0,CEILING((X399/$H399),1)*$H399),"")</f>
        <v>0</v>
      </c>
      <c r="Z399" s="35" t="str">
        <f>IFERROR(IF(Y399=0,"",ROUNDUP(Y399/H399,0)*0.00651),"")</f>
        <v/>
      </c>
      <c r="AA399" s="55"/>
      <c r="AB399" s="56"/>
      <c r="AC399" s="447" t="s">
        <v>620</v>
      </c>
      <c r="AG399" s="63"/>
      <c r="AJ399" s="66" t="s">
        <v>90</v>
      </c>
      <c r="AK399" s="66">
        <v>27.72</v>
      </c>
      <c r="BB399" s="448" t="s">
        <v>1</v>
      </c>
      <c r="BM399" s="63">
        <f>IFERROR(X399*I399/H399,"0")</f>
        <v>0</v>
      </c>
      <c r="BN399" s="63">
        <f>IFERROR(Y399*I399/H399,"0")</f>
        <v>0</v>
      </c>
      <c r="BO399" s="63">
        <f>IFERROR(1/J399*(X399/H399),"0")</f>
        <v>0</v>
      </c>
      <c r="BP399" s="63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6" t="s">
        <v>72</v>
      </c>
      <c r="X400" s="545">
        <f>IFERROR(X398/H398,"0")+IFERROR(X399/H399,"0")</f>
        <v>2</v>
      </c>
      <c r="Y400" s="545">
        <f>IFERROR(Y398/H398,"0")+IFERROR(Y399/H399,"0")</f>
        <v>2</v>
      </c>
      <c r="Z400" s="545">
        <f>IFERROR(IF(Z398="",0,Z398),"0")+IFERROR(IF(Z399="",0,Z399),"0")</f>
        <v>1.804E-2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6" t="s">
        <v>69</v>
      </c>
      <c r="X401" s="545">
        <f>IFERROR(SUM(X398:X399),"0")</f>
        <v>4.8</v>
      </c>
      <c r="Y401" s="545">
        <f>IFERROR(SUM(Y398:Y399),"0")</f>
        <v>4.8</v>
      </c>
      <c r="Z401" s="36"/>
      <c r="AA401" s="546"/>
      <c r="AB401" s="546"/>
      <c r="AC401" s="546"/>
    </row>
    <row r="402" spans="1:68" ht="16.5" hidden="1" customHeight="1" x14ac:dyDescent="0.25">
      <c r="A402" s="596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4"/>
      <c r="AB403" s="534"/>
      <c r="AC403" s="534"/>
    </row>
    <row r="404" spans="1:68" ht="27" hidden="1" customHeight="1" x14ac:dyDescent="0.25">
      <c r="A404" s="53" t="s">
        <v>622</v>
      </c>
      <c r="B404" s="53" t="s">
        <v>623</v>
      </c>
      <c r="C404" s="30">
        <v>4301020319</v>
      </c>
      <c r="D404" s="560">
        <v>4680115885240</v>
      </c>
      <c r="E404" s="561"/>
      <c r="F404" s="542">
        <v>0.35</v>
      </c>
      <c r="G404" s="31">
        <v>6</v>
      </c>
      <c r="H404" s="542">
        <v>2.1</v>
      </c>
      <c r="I404" s="542">
        <v>2.31</v>
      </c>
      <c r="J404" s="31">
        <v>182</v>
      </c>
      <c r="K404" s="31" t="s">
        <v>76</v>
      </c>
      <c r="L404" s="31"/>
      <c r="M404" s="32" t="s">
        <v>68</v>
      </c>
      <c r="N404" s="32"/>
      <c r="O404" s="31">
        <v>40</v>
      </c>
      <c r="P40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3"/>
      <c r="V404" s="33"/>
      <c r="W404" s="34" t="s">
        <v>69</v>
      </c>
      <c r="X404" s="543">
        <v>0</v>
      </c>
      <c r="Y404" s="544">
        <f>IFERROR(IF(X404="",0,CEILING((X404/$H404),1)*$H404),"")</f>
        <v>0</v>
      </c>
      <c r="Z404" s="35" t="str">
        <f>IFERROR(IF(Y404=0,"",ROUNDUP(Y404/H404,0)*0.00651),"")</f>
        <v/>
      </c>
      <c r="AA404" s="55"/>
      <c r="AB404" s="56"/>
      <c r="AC404" s="449" t="s">
        <v>624</v>
      </c>
      <c r="AG404" s="63"/>
      <c r="AJ404" s="66"/>
      <c r="AK404" s="66">
        <v>0</v>
      </c>
      <c r="BB404" s="450" t="s">
        <v>1</v>
      </c>
      <c r="BM404" s="63">
        <f>IFERROR(X404*I404/H404,"0")</f>
        <v>0</v>
      </c>
      <c r="BN404" s="63">
        <f>IFERROR(Y404*I404/H404,"0")</f>
        <v>0</v>
      </c>
      <c r="BO404" s="63">
        <f>IFERROR(1/J404*(X404/H404),"0")</f>
        <v>0</v>
      </c>
      <c r="BP404" s="63">
        <f>IFERROR(1/J404*(Y404/H404),"0")</f>
        <v>0</v>
      </c>
    </row>
    <row r="405" spans="1:68" hidden="1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6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6" t="s">
        <v>69</v>
      </c>
      <c r="X406" s="545">
        <f>IFERROR(SUM(X404:X404),"0")</f>
        <v>0</v>
      </c>
      <c r="Y406" s="545">
        <f>IFERROR(SUM(Y404:Y404),"0")</f>
        <v>0</v>
      </c>
      <c r="Z406" s="36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4"/>
      <c r="AB407" s="534"/>
      <c r="AC407" s="534"/>
    </row>
    <row r="408" spans="1:68" ht="27" customHeight="1" x14ac:dyDescent="0.25">
      <c r="A408" s="53" t="s">
        <v>625</v>
      </c>
      <c r="B408" s="53" t="s">
        <v>626</v>
      </c>
      <c r="C408" s="30">
        <v>4301031403</v>
      </c>
      <c r="D408" s="560">
        <v>4680115886094</v>
      </c>
      <c r="E408" s="561"/>
      <c r="F408" s="542">
        <v>0.9</v>
      </c>
      <c r="G408" s="31">
        <v>6</v>
      </c>
      <c r="H408" s="542">
        <v>5.4</v>
      </c>
      <c r="I408" s="542">
        <v>5.61</v>
      </c>
      <c r="J408" s="31">
        <v>132</v>
      </c>
      <c r="K408" s="31" t="s">
        <v>110</v>
      </c>
      <c r="L408" s="31" t="s">
        <v>111</v>
      </c>
      <c r="M408" s="32" t="s">
        <v>106</v>
      </c>
      <c r="N408" s="32"/>
      <c r="O408" s="31">
        <v>50</v>
      </c>
      <c r="P408" s="6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3"/>
      <c r="V408" s="33"/>
      <c r="W408" s="34" t="s">
        <v>69</v>
      </c>
      <c r="X408" s="543">
        <v>27</v>
      </c>
      <c r="Y408" s="544">
        <f>IFERROR(IF(X408="",0,CEILING((X408/$H408),1)*$H408),"")</f>
        <v>27</v>
      </c>
      <c r="Z408" s="35">
        <f>IFERROR(IF(Y408=0,"",ROUNDUP(Y408/H408,0)*0.00902),"")</f>
        <v>4.5100000000000001E-2</v>
      </c>
      <c r="AA408" s="55"/>
      <c r="AB408" s="56"/>
      <c r="AC408" s="451" t="s">
        <v>627</v>
      </c>
      <c r="AG408" s="63"/>
      <c r="AJ408" s="66" t="s">
        <v>90</v>
      </c>
      <c r="AK408" s="66">
        <v>64.8</v>
      </c>
      <c r="BB408" s="452" t="s">
        <v>1</v>
      </c>
      <c r="BM408" s="63">
        <f>IFERROR(X408*I408/H408,"0")</f>
        <v>28.049999999999997</v>
      </c>
      <c r="BN408" s="63">
        <f>IFERROR(Y408*I408/H408,"0")</f>
        <v>28.049999999999997</v>
      </c>
      <c r="BO408" s="63">
        <f>IFERROR(1/J408*(X408/H408),"0")</f>
        <v>3.787878787878788E-2</v>
      </c>
      <c r="BP408" s="63">
        <f>IFERROR(1/J408*(Y408/H408),"0")</f>
        <v>3.787878787878788E-2</v>
      </c>
    </row>
    <row r="409" spans="1:68" ht="27" customHeight="1" x14ac:dyDescent="0.25">
      <c r="A409" s="53" t="s">
        <v>628</v>
      </c>
      <c r="B409" s="53" t="s">
        <v>629</v>
      </c>
      <c r="C409" s="30">
        <v>4301031363</v>
      </c>
      <c r="D409" s="560">
        <v>4607091389425</v>
      </c>
      <c r="E409" s="561"/>
      <c r="F409" s="542">
        <v>0.35</v>
      </c>
      <c r="G409" s="31">
        <v>6</v>
      </c>
      <c r="H409" s="542">
        <v>2.1</v>
      </c>
      <c r="I409" s="542">
        <v>2.23</v>
      </c>
      <c r="J409" s="31">
        <v>234</v>
      </c>
      <c r="K409" s="31" t="s">
        <v>67</v>
      </c>
      <c r="L409" s="31"/>
      <c r="M409" s="32" t="s">
        <v>68</v>
      </c>
      <c r="N409" s="32"/>
      <c r="O409" s="31">
        <v>50</v>
      </c>
      <c r="P409" s="64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3"/>
      <c r="V409" s="33"/>
      <c r="W409" s="34" t="s">
        <v>69</v>
      </c>
      <c r="X409" s="543">
        <v>10.5</v>
      </c>
      <c r="Y409" s="544">
        <f>IFERROR(IF(X409="",0,CEILING((X409/$H409),1)*$H409),"")</f>
        <v>10.5</v>
      </c>
      <c r="Z409" s="35">
        <f>IFERROR(IF(Y409=0,"",ROUNDUP(Y409/H409,0)*0.00502),"")</f>
        <v>2.5100000000000001E-2</v>
      </c>
      <c r="AA409" s="55"/>
      <c r="AB409" s="56"/>
      <c r="AC409" s="453" t="s">
        <v>630</v>
      </c>
      <c r="AG409" s="63"/>
      <c r="AJ409" s="66"/>
      <c r="AK409" s="66">
        <v>0</v>
      </c>
      <c r="BB409" s="454" t="s">
        <v>1</v>
      </c>
      <c r="BM409" s="63">
        <f>IFERROR(X409*I409/H409,"0")</f>
        <v>11.149999999999999</v>
      </c>
      <c r="BN409" s="63">
        <f>IFERROR(Y409*I409/H409,"0")</f>
        <v>11.149999999999999</v>
      </c>
      <c r="BO409" s="63">
        <f>IFERROR(1/J409*(X409/H409),"0")</f>
        <v>2.1367521367521368E-2</v>
      </c>
      <c r="BP409" s="63">
        <f>IFERROR(1/J409*(Y409/H409),"0")</f>
        <v>2.1367521367521368E-2</v>
      </c>
    </row>
    <row r="410" spans="1:68" ht="27" hidden="1" customHeight="1" x14ac:dyDescent="0.25">
      <c r="A410" s="53" t="s">
        <v>631</v>
      </c>
      <c r="B410" s="53" t="s">
        <v>632</v>
      </c>
      <c r="C410" s="30">
        <v>4301031373</v>
      </c>
      <c r="D410" s="560">
        <v>4680115880771</v>
      </c>
      <c r="E410" s="561"/>
      <c r="F410" s="542">
        <v>0.28000000000000003</v>
      </c>
      <c r="G410" s="31">
        <v>6</v>
      </c>
      <c r="H410" s="542">
        <v>1.68</v>
      </c>
      <c r="I410" s="542">
        <v>1.81</v>
      </c>
      <c r="J410" s="31">
        <v>234</v>
      </c>
      <c r="K410" s="31" t="s">
        <v>67</v>
      </c>
      <c r="L410" s="31"/>
      <c r="M410" s="32" t="s">
        <v>68</v>
      </c>
      <c r="N410" s="32"/>
      <c r="O410" s="31">
        <v>50</v>
      </c>
      <c r="P410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3"/>
      <c r="V410" s="33"/>
      <c r="W410" s="34" t="s">
        <v>69</v>
      </c>
      <c r="X410" s="543">
        <v>0</v>
      </c>
      <c r="Y410" s="544">
        <f>IFERROR(IF(X410="",0,CEILING((X410/$H410),1)*$H410),"")</f>
        <v>0</v>
      </c>
      <c r="Z410" s="35" t="str">
        <f>IFERROR(IF(Y410=0,"",ROUNDUP(Y410/H410,0)*0.00502),"")</f>
        <v/>
      </c>
      <c r="AA410" s="55"/>
      <c r="AB410" s="56"/>
      <c r="AC410" s="455" t="s">
        <v>633</v>
      </c>
      <c r="AG410" s="63"/>
      <c r="AJ410" s="66"/>
      <c r="AK410" s="66">
        <v>0</v>
      </c>
      <c r="BB410" s="456" t="s">
        <v>1</v>
      </c>
      <c r="BM410" s="63">
        <f>IFERROR(X410*I410/H410,"0")</f>
        <v>0</v>
      </c>
      <c r="BN410" s="63">
        <f>IFERROR(Y410*I410/H410,"0")</f>
        <v>0</v>
      </c>
      <c r="BO410" s="63">
        <f>IFERROR(1/J410*(X410/H410),"0")</f>
        <v>0</v>
      </c>
      <c r="BP410" s="63">
        <f>IFERROR(1/J410*(Y410/H410),"0")</f>
        <v>0</v>
      </c>
    </row>
    <row r="411" spans="1:68" ht="27" customHeight="1" x14ac:dyDescent="0.25">
      <c r="A411" s="53" t="s">
        <v>634</v>
      </c>
      <c r="B411" s="53" t="s">
        <v>635</v>
      </c>
      <c r="C411" s="30">
        <v>4301031359</v>
      </c>
      <c r="D411" s="560">
        <v>4607091389500</v>
      </c>
      <c r="E411" s="561"/>
      <c r="F411" s="542">
        <v>0.35</v>
      </c>
      <c r="G411" s="31">
        <v>6</v>
      </c>
      <c r="H411" s="542">
        <v>2.1</v>
      </c>
      <c r="I411" s="542">
        <v>2.23</v>
      </c>
      <c r="J411" s="31">
        <v>234</v>
      </c>
      <c r="K411" s="31" t="s">
        <v>67</v>
      </c>
      <c r="L411" s="31"/>
      <c r="M411" s="32" t="s">
        <v>68</v>
      </c>
      <c r="N411" s="32"/>
      <c r="O411" s="31">
        <v>50</v>
      </c>
      <c r="P411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3"/>
      <c r="V411" s="33"/>
      <c r="W411" s="34" t="s">
        <v>69</v>
      </c>
      <c r="X411" s="543">
        <v>10.5</v>
      </c>
      <c r="Y411" s="544">
        <f>IFERROR(IF(X411="",0,CEILING((X411/$H411),1)*$H411),"")</f>
        <v>10.5</v>
      </c>
      <c r="Z411" s="35">
        <f>IFERROR(IF(Y411=0,"",ROUNDUP(Y411/H411,0)*0.00502),"")</f>
        <v>2.5100000000000001E-2</v>
      </c>
      <c r="AA411" s="55"/>
      <c r="AB411" s="56"/>
      <c r="AC411" s="457" t="s">
        <v>633</v>
      </c>
      <c r="AG411" s="63"/>
      <c r="AJ411" s="66"/>
      <c r="AK411" s="66">
        <v>0</v>
      </c>
      <c r="BB411" s="458" t="s">
        <v>1</v>
      </c>
      <c r="BM411" s="63">
        <f>IFERROR(X411*I411/H411,"0")</f>
        <v>11.149999999999999</v>
      </c>
      <c r="BN411" s="63">
        <f>IFERROR(Y411*I411/H411,"0")</f>
        <v>11.149999999999999</v>
      </c>
      <c r="BO411" s="63">
        <f>IFERROR(1/J411*(X411/H411),"0")</f>
        <v>2.1367521367521368E-2</v>
      </c>
      <c r="BP411" s="63">
        <f>IFERROR(1/J411*(Y411/H411),"0")</f>
        <v>2.1367521367521368E-2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6" t="s">
        <v>72</v>
      </c>
      <c r="X412" s="545">
        <f>IFERROR(X408/H408,"0")+IFERROR(X409/H409,"0")+IFERROR(X410/H410,"0")+IFERROR(X411/H411,"0")</f>
        <v>15</v>
      </c>
      <c r="Y412" s="545">
        <f>IFERROR(Y408/H408,"0")+IFERROR(Y409/H409,"0")+IFERROR(Y410/H410,"0")+IFERROR(Y411/H411,"0")</f>
        <v>15</v>
      </c>
      <c r="Z412" s="545">
        <f>IFERROR(IF(Z408="",0,Z408),"0")+IFERROR(IF(Z409="",0,Z409),"0")+IFERROR(IF(Z410="",0,Z410),"0")+IFERROR(IF(Z411="",0,Z411),"0")</f>
        <v>9.5299999999999996E-2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6" t="s">
        <v>69</v>
      </c>
      <c r="X413" s="545">
        <f>IFERROR(SUM(X408:X411),"0")</f>
        <v>48</v>
      </c>
      <c r="Y413" s="545">
        <f>IFERROR(SUM(Y408:Y411),"0")</f>
        <v>48</v>
      </c>
      <c r="Z413" s="36"/>
      <c r="AA413" s="546"/>
      <c r="AB413" s="546"/>
      <c r="AC413" s="546"/>
    </row>
    <row r="414" spans="1:68" ht="16.5" hidden="1" customHeight="1" x14ac:dyDescent="0.25">
      <c r="A414" s="596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4"/>
      <c r="AB415" s="534"/>
      <c r="AC415" s="534"/>
    </row>
    <row r="416" spans="1:68" ht="27" hidden="1" customHeight="1" x14ac:dyDescent="0.25">
      <c r="A416" s="53" t="s">
        <v>637</v>
      </c>
      <c r="B416" s="53" t="s">
        <v>638</v>
      </c>
      <c r="C416" s="30">
        <v>4301031347</v>
      </c>
      <c r="D416" s="560">
        <v>4680115885110</v>
      </c>
      <c r="E416" s="561"/>
      <c r="F416" s="542">
        <v>0.2</v>
      </c>
      <c r="G416" s="31">
        <v>6</v>
      </c>
      <c r="H416" s="542">
        <v>1.2</v>
      </c>
      <c r="I416" s="542">
        <v>2.1</v>
      </c>
      <c r="J416" s="31">
        <v>182</v>
      </c>
      <c r="K416" s="31" t="s">
        <v>76</v>
      </c>
      <c r="L416" s="31"/>
      <c r="M416" s="32" t="s">
        <v>68</v>
      </c>
      <c r="N416" s="32"/>
      <c r="O416" s="31">
        <v>50</v>
      </c>
      <c r="P416" s="76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3"/>
      <c r="V416" s="33"/>
      <c r="W416" s="34" t="s">
        <v>69</v>
      </c>
      <c r="X416" s="543">
        <v>0</v>
      </c>
      <c r="Y416" s="544">
        <f>IFERROR(IF(X416="",0,CEILING((X416/$H416),1)*$H416),"")</f>
        <v>0</v>
      </c>
      <c r="Z416" s="35" t="str">
        <f>IFERROR(IF(Y416=0,"",ROUNDUP(Y416/H416,0)*0.00651),"")</f>
        <v/>
      </c>
      <c r="AA416" s="55"/>
      <c r="AB416" s="56"/>
      <c r="AC416" s="459" t="s">
        <v>639</v>
      </c>
      <c r="AG416" s="63"/>
      <c r="AJ416" s="66"/>
      <c r="AK416" s="66">
        <v>0</v>
      </c>
      <c r="BB416" s="460" t="s">
        <v>1</v>
      </c>
      <c r="BM416" s="63">
        <f>IFERROR(X416*I416/H416,"0")</f>
        <v>0</v>
      </c>
      <c r="BN416" s="63">
        <f>IFERROR(Y416*I416/H416,"0")</f>
        <v>0</v>
      </c>
      <c r="BO416" s="63">
        <f>IFERROR(1/J416*(X416/H416),"0")</f>
        <v>0</v>
      </c>
      <c r="BP416" s="63">
        <f>IFERROR(1/J416*(Y416/H416),"0")</f>
        <v>0</v>
      </c>
    </row>
    <row r="417" spans="1:68" hidden="1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6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6" t="s">
        <v>69</v>
      </c>
      <c r="X418" s="545">
        <f>IFERROR(SUM(X416:X416),"0")</f>
        <v>0</v>
      </c>
      <c r="Y418" s="545">
        <f>IFERROR(SUM(Y416:Y416),"0")</f>
        <v>0</v>
      </c>
      <c r="Z418" s="36"/>
      <c r="AA418" s="546"/>
      <c r="AB418" s="546"/>
      <c r="AC418" s="546"/>
    </row>
    <row r="419" spans="1:68" ht="27.75" hidden="1" customHeight="1" x14ac:dyDescent="0.2">
      <c r="A419" s="642" t="s">
        <v>640</v>
      </c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3"/>
      <c r="P419" s="643"/>
      <c r="Q419" s="643"/>
      <c r="R419" s="643"/>
      <c r="S419" s="643"/>
      <c r="T419" s="643"/>
      <c r="U419" s="643"/>
      <c r="V419" s="643"/>
      <c r="W419" s="643"/>
      <c r="X419" s="643"/>
      <c r="Y419" s="643"/>
      <c r="Z419" s="643"/>
      <c r="AA419" s="47"/>
      <c r="AB419" s="47"/>
      <c r="AC419" s="47"/>
    </row>
    <row r="420" spans="1:68" ht="16.5" hidden="1" customHeight="1" x14ac:dyDescent="0.25">
      <c r="A420" s="596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4"/>
      <c r="AB421" s="534"/>
      <c r="AC421" s="534"/>
    </row>
    <row r="422" spans="1:68" ht="27" hidden="1" customHeight="1" x14ac:dyDescent="0.25">
      <c r="A422" s="53" t="s">
        <v>641</v>
      </c>
      <c r="B422" s="53" t="s">
        <v>642</v>
      </c>
      <c r="C422" s="30">
        <v>4301011795</v>
      </c>
      <c r="D422" s="560">
        <v>4607091389067</v>
      </c>
      <c r="E422" s="561"/>
      <c r="F422" s="542">
        <v>0.88</v>
      </c>
      <c r="G422" s="31">
        <v>6</v>
      </c>
      <c r="H422" s="542">
        <v>5.28</v>
      </c>
      <c r="I422" s="542">
        <v>5.64</v>
      </c>
      <c r="J422" s="31">
        <v>104</v>
      </c>
      <c r="K422" s="31" t="s">
        <v>104</v>
      </c>
      <c r="L422" s="31" t="s">
        <v>105</v>
      </c>
      <c r="M422" s="32" t="s">
        <v>106</v>
      </c>
      <c r="N422" s="32"/>
      <c r="O422" s="31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3"/>
      <c r="V422" s="33"/>
      <c r="W422" s="34" t="s">
        <v>69</v>
      </c>
      <c r="X422" s="543">
        <v>0</v>
      </c>
      <c r="Y422" s="544">
        <f t="shared" ref="Y422:Y432" si="47">IFERROR(IF(X422="",0,CEILING((X422/$H422),1)*$H422),"")</f>
        <v>0</v>
      </c>
      <c r="Z422" s="35" t="str">
        <f t="shared" ref="Z422:Z427" si="48">IFERROR(IF(Y422=0,"",ROUNDUP(Y422/H422,0)*0.01196),"")</f>
        <v/>
      </c>
      <c r="AA422" s="55"/>
      <c r="AB422" s="56"/>
      <c r="AC422" s="461" t="s">
        <v>107</v>
      </c>
      <c r="AG422" s="63"/>
      <c r="AJ422" s="66" t="s">
        <v>90</v>
      </c>
      <c r="AK422" s="66">
        <v>42.24</v>
      </c>
      <c r="BB422" s="462" t="s">
        <v>1</v>
      </c>
      <c r="BM422" s="63">
        <f t="shared" ref="BM422:BM432" si="49">IFERROR(X422*I422/H422,"0")</f>
        <v>0</v>
      </c>
      <c r="BN422" s="63">
        <f t="shared" ref="BN422:BN432" si="50">IFERROR(Y422*I422/H422,"0")</f>
        <v>0</v>
      </c>
      <c r="BO422" s="63">
        <f t="shared" ref="BO422:BO432" si="51">IFERROR(1/J422*(X422/H422),"0")</f>
        <v>0</v>
      </c>
      <c r="BP422" s="63">
        <f t="shared" ref="BP422:BP432" si="52">IFERROR(1/J422*(Y422/H422),"0")</f>
        <v>0</v>
      </c>
    </row>
    <row r="423" spans="1:68" ht="27" hidden="1" customHeight="1" x14ac:dyDescent="0.25">
      <c r="A423" s="53" t="s">
        <v>643</v>
      </c>
      <c r="B423" s="53" t="s">
        <v>644</v>
      </c>
      <c r="C423" s="30">
        <v>4301011961</v>
      </c>
      <c r="D423" s="560">
        <v>4680115885271</v>
      </c>
      <c r="E423" s="561"/>
      <c r="F423" s="542">
        <v>0.88</v>
      </c>
      <c r="G423" s="31">
        <v>6</v>
      </c>
      <c r="H423" s="542">
        <v>5.28</v>
      </c>
      <c r="I423" s="542">
        <v>5.64</v>
      </c>
      <c r="J423" s="31">
        <v>104</v>
      </c>
      <c r="K423" s="31" t="s">
        <v>104</v>
      </c>
      <c r="L423" s="31" t="s">
        <v>105</v>
      </c>
      <c r="M423" s="32" t="s">
        <v>106</v>
      </c>
      <c r="N423" s="32"/>
      <c r="O423" s="31">
        <v>60</v>
      </c>
      <c r="P423" s="79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3"/>
      <c r="V423" s="33"/>
      <c r="W423" s="34" t="s">
        <v>69</v>
      </c>
      <c r="X423" s="543">
        <v>0</v>
      </c>
      <c r="Y423" s="544">
        <f t="shared" si="47"/>
        <v>0</v>
      </c>
      <c r="Z423" s="35" t="str">
        <f t="shared" si="48"/>
        <v/>
      </c>
      <c r="AA423" s="55"/>
      <c r="AB423" s="56"/>
      <c r="AC423" s="463" t="s">
        <v>645</v>
      </c>
      <c r="AG423" s="63"/>
      <c r="AJ423" s="66" t="s">
        <v>90</v>
      </c>
      <c r="AK423" s="66">
        <v>42.24</v>
      </c>
      <c r="BB423" s="464" t="s">
        <v>1</v>
      </c>
      <c r="BM423" s="63">
        <f t="shared" si="49"/>
        <v>0</v>
      </c>
      <c r="BN423" s="63">
        <f t="shared" si="50"/>
        <v>0</v>
      </c>
      <c r="BO423" s="63">
        <f t="shared" si="51"/>
        <v>0</v>
      </c>
      <c r="BP423" s="63">
        <f t="shared" si="52"/>
        <v>0</v>
      </c>
    </row>
    <row r="424" spans="1:68" ht="27" hidden="1" customHeight="1" x14ac:dyDescent="0.25">
      <c r="A424" s="53" t="s">
        <v>646</v>
      </c>
      <c r="B424" s="53" t="s">
        <v>647</v>
      </c>
      <c r="C424" s="30">
        <v>4301011376</v>
      </c>
      <c r="D424" s="560">
        <v>4680115885226</v>
      </c>
      <c r="E424" s="561"/>
      <c r="F424" s="542">
        <v>0.88</v>
      </c>
      <c r="G424" s="31">
        <v>6</v>
      </c>
      <c r="H424" s="542">
        <v>5.28</v>
      </c>
      <c r="I424" s="542">
        <v>5.64</v>
      </c>
      <c r="J424" s="31">
        <v>104</v>
      </c>
      <c r="K424" s="31" t="s">
        <v>104</v>
      </c>
      <c r="L424" s="31" t="s">
        <v>105</v>
      </c>
      <c r="M424" s="32" t="s">
        <v>77</v>
      </c>
      <c r="N424" s="32"/>
      <c r="O424" s="31">
        <v>60</v>
      </c>
      <c r="P424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3"/>
      <c r="V424" s="33"/>
      <c r="W424" s="34" t="s">
        <v>69</v>
      </c>
      <c r="X424" s="543">
        <v>0</v>
      </c>
      <c r="Y424" s="544">
        <f t="shared" si="47"/>
        <v>0</v>
      </c>
      <c r="Z424" s="35" t="str">
        <f t="shared" si="48"/>
        <v/>
      </c>
      <c r="AA424" s="55"/>
      <c r="AB424" s="56"/>
      <c r="AC424" s="465" t="s">
        <v>648</v>
      </c>
      <c r="AG424" s="63"/>
      <c r="AJ424" s="66" t="s">
        <v>90</v>
      </c>
      <c r="AK424" s="66">
        <v>42.24</v>
      </c>
      <c r="BB424" s="466" t="s">
        <v>1</v>
      </c>
      <c r="BM424" s="63">
        <f t="shared" si="49"/>
        <v>0</v>
      </c>
      <c r="BN424" s="63">
        <f t="shared" si="50"/>
        <v>0</v>
      </c>
      <c r="BO424" s="63">
        <f t="shared" si="51"/>
        <v>0</v>
      </c>
      <c r="BP424" s="63">
        <f t="shared" si="52"/>
        <v>0</v>
      </c>
    </row>
    <row r="425" spans="1:68" ht="27" hidden="1" customHeight="1" x14ac:dyDescent="0.25">
      <c r="A425" s="53" t="s">
        <v>649</v>
      </c>
      <c r="B425" s="53" t="s">
        <v>650</v>
      </c>
      <c r="C425" s="30">
        <v>4301012145</v>
      </c>
      <c r="D425" s="560">
        <v>4607091383522</v>
      </c>
      <c r="E425" s="561"/>
      <c r="F425" s="542">
        <v>0.88</v>
      </c>
      <c r="G425" s="31">
        <v>6</v>
      </c>
      <c r="H425" s="542">
        <v>5.28</v>
      </c>
      <c r="I425" s="542">
        <v>5.64</v>
      </c>
      <c r="J425" s="31">
        <v>104</v>
      </c>
      <c r="K425" s="31" t="s">
        <v>104</v>
      </c>
      <c r="L425" s="31"/>
      <c r="M425" s="32" t="s">
        <v>106</v>
      </c>
      <c r="N425" s="32"/>
      <c r="O425" s="31">
        <v>60</v>
      </c>
      <c r="P425" s="7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3"/>
      <c r="V425" s="33"/>
      <c r="W425" s="34" t="s">
        <v>69</v>
      </c>
      <c r="X425" s="543">
        <v>0</v>
      </c>
      <c r="Y425" s="544">
        <f t="shared" si="47"/>
        <v>0</v>
      </c>
      <c r="Z425" s="35" t="str">
        <f t="shared" si="48"/>
        <v/>
      </c>
      <c r="AA425" s="55"/>
      <c r="AB425" s="56"/>
      <c r="AC425" s="467" t="s">
        <v>651</v>
      </c>
      <c r="AG425" s="63"/>
      <c r="AJ425" s="66"/>
      <c r="AK425" s="66">
        <v>0</v>
      </c>
      <c r="BB425" s="468" t="s">
        <v>1</v>
      </c>
      <c r="BM425" s="63">
        <f t="shared" si="49"/>
        <v>0</v>
      </c>
      <c r="BN425" s="63">
        <f t="shared" si="50"/>
        <v>0</v>
      </c>
      <c r="BO425" s="63">
        <f t="shared" si="51"/>
        <v>0</v>
      </c>
      <c r="BP425" s="63">
        <f t="shared" si="52"/>
        <v>0</v>
      </c>
    </row>
    <row r="426" spans="1:68" ht="16.5" hidden="1" customHeight="1" x14ac:dyDescent="0.25">
      <c r="A426" s="53" t="s">
        <v>652</v>
      </c>
      <c r="B426" s="53" t="s">
        <v>653</v>
      </c>
      <c r="C426" s="30">
        <v>4301011774</v>
      </c>
      <c r="D426" s="560">
        <v>4680115884502</v>
      </c>
      <c r="E426" s="561"/>
      <c r="F426" s="542">
        <v>0.88</v>
      </c>
      <c r="G426" s="31">
        <v>6</v>
      </c>
      <c r="H426" s="542">
        <v>5.28</v>
      </c>
      <c r="I426" s="542">
        <v>5.64</v>
      </c>
      <c r="J426" s="31">
        <v>104</v>
      </c>
      <c r="K426" s="31" t="s">
        <v>104</v>
      </c>
      <c r="L426" s="31"/>
      <c r="M426" s="32" t="s">
        <v>106</v>
      </c>
      <c r="N426" s="32"/>
      <c r="O426" s="31">
        <v>60</v>
      </c>
      <c r="P426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3"/>
      <c r="V426" s="33"/>
      <c r="W426" s="34" t="s">
        <v>69</v>
      </c>
      <c r="X426" s="543">
        <v>0</v>
      </c>
      <c r="Y426" s="544">
        <f t="shared" si="47"/>
        <v>0</v>
      </c>
      <c r="Z426" s="35" t="str">
        <f t="shared" si="48"/>
        <v/>
      </c>
      <c r="AA426" s="55"/>
      <c r="AB426" s="56"/>
      <c r="AC426" s="469" t="s">
        <v>654</v>
      </c>
      <c r="AG426" s="63"/>
      <c r="AJ426" s="66"/>
      <c r="AK426" s="66">
        <v>0</v>
      </c>
      <c r="BB426" s="470" t="s">
        <v>1</v>
      </c>
      <c r="BM426" s="63">
        <f t="shared" si="49"/>
        <v>0</v>
      </c>
      <c r="BN426" s="63">
        <f t="shared" si="50"/>
        <v>0</v>
      </c>
      <c r="BO426" s="63">
        <f t="shared" si="51"/>
        <v>0</v>
      </c>
      <c r="BP426" s="63">
        <f t="shared" si="52"/>
        <v>0</v>
      </c>
    </row>
    <row r="427" spans="1:68" ht="27" customHeight="1" x14ac:dyDescent="0.25">
      <c r="A427" s="53" t="s">
        <v>655</v>
      </c>
      <c r="B427" s="53" t="s">
        <v>656</v>
      </c>
      <c r="C427" s="30">
        <v>4301011771</v>
      </c>
      <c r="D427" s="560">
        <v>4607091389104</v>
      </c>
      <c r="E427" s="561"/>
      <c r="F427" s="542">
        <v>0.88</v>
      </c>
      <c r="G427" s="31">
        <v>6</v>
      </c>
      <c r="H427" s="542">
        <v>5.28</v>
      </c>
      <c r="I427" s="542">
        <v>5.64</v>
      </c>
      <c r="J427" s="31">
        <v>104</v>
      </c>
      <c r="K427" s="31" t="s">
        <v>104</v>
      </c>
      <c r="L427" s="31" t="s">
        <v>105</v>
      </c>
      <c r="M427" s="32" t="s">
        <v>106</v>
      </c>
      <c r="N427" s="32"/>
      <c r="O427" s="31">
        <v>60</v>
      </c>
      <c r="P427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3"/>
      <c r="V427" s="33"/>
      <c r="W427" s="34" t="s">
        <v>69</v>
      </c>
      <c r="X427" s="543">
        <v>10.56</v>
      </c>
      <c r="Y427" s="544">
        <f t="shared" si="47"/>
        <v>10.56</v>
      </c>
      <c r="Z427" s="35">
        <f t="shared" si="48"/>
        <v>2.392E-2</v>
      </c>
      <c r="AA427" s="55"/>
      <c r="AB427" s="56"/>
      <c r="AC427" s="471" t="s">
        <v>657</v>
      </c>
      <c r="AG427" s="63"/>
      <c r="AJ427" s="66" t="s">
        <v>90</v>
      </c>
      <c r="AK427" s="66">
        <v>42.24</v>
      </c>
      <c r="BB427" s="472" t="s">
        <v>1</v>
      </c>
      <c r="BM427" s="63">
        <f t="shared" si="49"/>
        <v>11.28</v>
      </c>
      <c r="BN427" s="63">
        <f t="shared" si="50"/>
        <v>11.28</v>
      </c>
      <c r="BO427" s="63">
        <f t="shared" si="51"/>
        <v>1.9230769230769232E-2</v>
      </c>
      <c r="BP427" s="63">
        <f t="shared" si="52"/>
        <v>1.9230769230769232E-2</v>
      </c>
    </row>
    <row r="428" spans="1:68" ht="27" hidden="1" customHeight="1" x14ac:dyDescent="0.25">
      <c r="A428" s="53" t="s">
        <v>658</v>
      </c>
      <c r="B428" s="53" t="s">
        <v>659</v>
      </c>
      <c r="C428" s="30">
        <v>4301012125</v>
      </c>
      <c r="D428" s="560">
        <v>4680115886391</v>
      </c>
      <c r="E428" s="561"/>
      <c r="F428" s="542">
        <v>0.4</v>
      </c>
      <c r="G428" s="31">
        <v>6</v>
      </c>
      <c r="H428" s="542">
        <v>2.4</v>
      </c>
      <c r="I428" s="542">
        <v>2.58</v>
      </c>
      <c r="J428" s="31">
        <v>182</v>
      </c>
      <c r="K428" s="31" t="s">
        <v>76</v>
      </c>
      <c r="L428" s="31"/>
      <c r="M428" s="32" t="s">
        <v>77</v>
      </c>
      <c r="N428" s="32"/>
      <c r="O428" s="31">
        <v>60</v>
      </c>
      <c r="P428" s="7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3"/>
      <c r="V428" s="33"/>
      <c r="W428" s="34" t="s">
        <v>69</v>
      </c>
      <c r="X428" s="543">
        <v>0</v>
      </c>
      <c r="Y428" s="544">
        <f t="shared" si="47"/>
        <v>0</v>
      </c>
      <c r="Z428" s="35" t="str">
        <f>IFERROR(IF(Y428=0,"",ROUNDUP(Y428/H428,0)*0.00651),"")</f>
        <v/>
      </c>
      <c r="AA428" s="55"/>
      <c r="AB428" s="56"/>
      <c r="AC428" s="473" t="s">
        <v>107</v>
      </c>
      <c r="AG428" s="63"/>
      <c r="AJ428" s="66"/>
      <c r="AK428" s="66">
        <v>0</v>
      </c>
      <c r="BB428" s="474" t="s">
        <v>1</v>
      </c>
      <c r="BM428" s="63">
        <f t="shared" si="49"/>
        <v>0</v>
      </c>
      <c r="BN428" s="63">
        <f t="shared" si="50"/>
        <v>0</v>
      </c>
      <c r="BO428" s="63">
        <f t="shared" si="51"/>
        <v>0</v>
      </c>
      <c r="BP428" s="63">
        <f t="shared" si="52"/>
        <v>0</v>
      </c>
    </row>
    <row r="429" spans="1:68" ht="27" hidden="1" customHeight="1" x14ac:dyDescent="0.25">
      <c r="A429" s="53" t="s">
        <v>660</v>
      </c>
      <c r="B429" s="53" t="s">
        <v>661</v>
      </c>
      <c r="C429" s="30">
        <v>4301012035</v>
      </c>
      <c r="D429" s="560">
        <v>4680115880603</v>
      </c>
      <c r="E429" s="561"/>
      <c r="F429" s="542">
        <v>0.6</v>
      </c>
      <c r="G429" s="31">
        <v>8</v>
      </c>
      <c r="H429" s="542">
        <v>4.8</v>
      </c>
      <c r="I429" s="542">
        <v>6.93</v>
      </c>
      <c r="J429" s="31">
        <v>132</v>
      </c>
      <c r="K429" s="31" t="s">
        <v>110</v>
      </c>
      <c r="L429" s="31"/>
      <c r="M429" s="32" t="s">
        <v>106</v>
      </c>
      <c r="N429" s="32"/>
      <c r="O429" s="31">
        <v>60</v>
      </c>
      <c r="P429" s="7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3"/>
      <c r="V429" s="33"/>
      <c r="W429" s="34" t="s">
        <v>69</v>
      </c>
      <c r="X429" s="543">
        <v>0</v>
      </c>
      <c r="Y429" s="544">
        <f t="shared" si="47"/>
        <v>0</v>
      </c>
      <c r="Z429" s="35" t="str">
        <f>IFERROR(IF(Y429=0,"",ROUNDUP(Y429/H429,0)*0.00902),"")</f>
        <v/>
      </c>
      <c r="AA429" s="55"/>
      <c r="AB429" s="56"/>
      <c r="AC429" s="475" t="s">
        <v>107</v>
      </c>
      <c r="AG429" s="63"/>
      <c r="AJ429" s="66"/>
      <c r="AK429" s="66">
        <v>0</v>
      </c>
      <c r="BB429" s="476" t="s">
        <v>1</v>
      </c>
      <c r="BM429" s="63">
        <f t="shared" si="49"/>
        <v>0</v>
      </c>
      <c r="BN429" s="63">
        <f t="shared" si="50"/>
        <v>0</v>
      </c>
      <c r="BO429" s="63">
        <f t="shared" si="51"/>
        <v>0</v>
      </c>
      <c r="BP429" s="63">
        <f t="shared" si="52"/>
        <v>0</v>
      </c>
    </row>
    <row r="430" spans="1:68" ht="27" hidden="1" customHeight="1" x14ac:dyDescent="0.25">
      <c r="A430" s="53" t="s">
        <v>662</v>
      </c>
      <c r="B430" s="53" t="s">
        <v>663</v>
      </c>
      <c r="C430" s="30">
        <v>4301012036</v>
      </c>
      <c r="D430" s="560">
        <v>4680115882782</v>
      </c>
      <c r="E430" s="561"/>
      <c r="F430" s="542">
        <v>0.6</v>
      </c>
      <c r="G430" s="31">
        <v>8</v>
      </c>
      <c r="H430" s="542">
        <v>4.8</v>
      </c>
      <c r="I430" s="542">
        <v>6.96</v>
      </c>
      <c r="J430" s="31">
        <v>120</v>
      </c>
      <c r="K430" s="31" t="s">
        <v>110</v>
      </c>
      <c r="L430" s="31"/>
      <c r="M430" s="32" t="s">
        <v>106</v>
      </c>
      <c r="N430" s="32"/>
      <c r="O430" s="31">
        <v>60</v>
      </c>
      <c r="P430" s="6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3"/>
      <c r="V430" s="33"/>
      <c r="W430" s="34" t="s">
        <v>69</v>
      </c>
      <c r="X430" s="543">
        <v>0</v>
      </c>
      <c r="Y430" s="544">
        <f t="shared" si="47"/>
        <v>0</v>
      </c>
      <c r="Z430" s="35" t="str">
        <f>IFERROR(IF(Y430=0,"",ROUNDUP(Y430/H430,0)*0.00937),"")</f>
        <v/>
      </c>
      <c r="AA430" s="55"/>
      <c r="AB430" s="56"/>
      <c r="AC430" s="477" t="s">
        <v>645</v>
      </c>
      <c r="AG430" s="63"/>
      <c r="AJ430" s="66"/>
      <c r="AK430" s="66">
        <v>0</v>
      </c>
      <c r="BB430" s="478" t="s">
        <v>1</v>
      </c>
      <c r="BM430" s="63">
        <f t="shared" si="49"/>
        <v>0</v>
      </c>
      <c r="BN430" s="63">
        <f t="shared" si="50"/>
        <v>0</v>
      </c>
      <c r="BO430" s="63">
        <f t="shared" si="51"/>
        <v>0</v>
      </c>
      <c r="BP430" s="63">
        <f t="shared" si="52"/>
        <v>0</v>
      </c>
    </row>
    <row r="431" spans="1:68" ht="27" hidden="1" customHeight="1" x14ac:dyDescent="0.25">
      <c r="A431" s="53" t="s">
        <v>664</v>
      </c>
      <c r="B431" s="53" t="s">
        <v>665</v>
      </c>
      <c r="C431" s="30">
        <v>4301012050</v>
      </c>
      <c r="D431" s="560">
        <v>4680115885479</v>
      </c>
      <c r="E431" s="561"/>
      <c r="F431" s="542">
        <v>0.4</v>
      </c>
      <c r="G431" s="31">
        <v>6</v>
      </c>
      <c r="H431" s="542">
        <v>2.4</v>
      </c>
      <c r="I431" s="542">
        <v>2.58</v>
      </c>
      <c r="J431" s="31">
        <v>182</v>
      </c>
      <c r="K431" s="31" t="s">
        <v>76</v>
      </c>
      <c r="L431" s="31"/>
      <c r="M431" s="32" t="s">
        <v>106</v>
      </c>
      <c r="N431" s="32"/>
      <c r="O431" s="31">
        <v>60</v>
      </c>
      <c r="P431" s="76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3"/>
      <c r="V431" s="33"/>
      <c r="W431" s="34" t="s">
        <v>69</v>
      </c>
      <c r="X431" s="543">
        <v>0</v>
      </c>
      <c r="Y431" s="544">
        <f t="shared" si="47"/>
        <v>0</v>
      </c>
      <c r="Z431" s="35" t="str">
        <f>IFERROR(IF(Y431=0,"",ROUNDUP(Y431/H431,0)*0.00651),"")</f>
        <v/>
      </c>
      <c r="AA431" s="55"/>
      <c r="AB431" s="56"/>
      <c r="AC431" s="479" t="s">
        <v>666</v>
      </c>
      <c r="AG431" s="63"/>
      <c r="AJ431" s="66"/>
      <c r="AK431" s="66">
        <v>0</v>
      </c>
      <c r="BB431" s="480" t="s">
        <v>1</v>
      </c>
      <c r="BM431" s="63">
        <f t="shared" si="49"/>
        <v>0</v>
      </c>
      <c r="BN431" s="63">
        <f t="shared" si="50"/>
        <v>0</v>
      </c>
      <c r="BO431" s="63">
        <f t="shared" si="51"/>
        <v>0</v>
      </c>
      <c r="BP431" s="63">
        <f t="shared" si="52"/>
        <v>0</v>
      </c>
    </row>
    <row r="432" spans="1:68" ht="27" hidden="1" customHeight="1" x14ac:dyDescent="0.25">
      <c r="A432" s="53" t="s">
        <v>667</v>
      </c>
      <c r="B432" s="53" t="s">
        <v>668</v>
      </c>
      <c r="C432" s="30">
        <v>4301012034</v>
      </c>
      <c r="D432" s="560">
        <v>4607091389982</v>
      </c>
      <c r="E432" s="561"/>
      <c r="F432" s="542">
        <v>0.6</v>
      </c>
      <c r="G432" s="31">
        <v>8</v>
      </c>
      <c r="H432" s="542">
        <v>4.8</v>
      </c>
      <c r="I432" s="542">
        <v>6.93</v>
      </c>
      <c r="J432" s="31">
        <v>132</v>
      </c>
      <c r="K432" s="31" t="s">
        <v>110</v>
      </c>
      <c r="L432" s="31"/>
      <c r="M432" s="32" t="s">
        <v>106</v>
      </c>
      <c r="N432" s="32"/>
      <c r="O432" s="31">
        <v>60</v>
      </c>
      <c r="P432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3"/>
      <c r="V432" s="33"/>
      <c r="W432" s="34" t="s">
        <v>69</v>
      </c>
      <c r="X432" s="543">
        <v>0</v>
      </c>
      <c r="Y432" s="544">
        <f t="shared" si="47"/>
        <v>0</v>
      </c>
      <c r="Z432" s="35" t="str">
        <f>IFERROR(IF(Y432=0,"",ROUNDUP(Y432/H432,0)*0.00902),"")</f>
        <v/>
      </c>
      <c r="AA432" s="55"/>
      <c r="AB432" s="56"/>
      <c r="AC432" s="481" t="s">
        <v>657</v>
      </c>
      <c r="AG432" s="63"/>
      <c r="AJ432" s="66"/>
      <c r="AK432" s="66">
        <v>0</v>
      </c>
      <c r="BB432" s="482" t="s">
        <v>1</v>
      </c>
      <c r="BM432" s="63">
        <f t="shared" si="49"/>
        <v>0</v>
      </c>
      <c r="BN432" s="63">
        <f t="shared" si="50"/>
        <v>0</v>
      </c>
      <c r="BO432" s="63">
        <f t="shared" si="51"/>
        <v>0</v>
      </c>
      <c r="BP432" s="63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6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2.392E-2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6" t="s">
        <v>69</v>
      </c>
      <c r="X434" s="545">
        <f>IFERROR(SUM(X422:X432),"0")</f>
        <v>10.56</v>
      </c>
      <c r="Y434" s="545">
        <f>IFERROR(SUM(Y422:Y432),"0")</f>
        <v>10.56</v>
      </c>
      <c r="Z434" s="36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4"/>
      <c r="AB435" s="534"/>
      <c r="AC435" s="534"/>
    </row>
    <row r="436" spans="1:68" ht="16.5" customHeight="1" x14ac:dyDescent="0.25">
      <c r="A436" s="53" t="s">
        <v>669</v>
      </c>
      <c r="B436" s="53" t="s">
        <v>670</v>
      </c>
      <c r="C436" s="30">
        <v>4301020334</v>
      </c>
      <c r="D436" s="560">
        <v>4607091388930</v>
      </c>
      <c r="E436" s="561"/>
      <c r="F436" s="542">
        <v>0.88</v>
      </c>
      <c r="G436" s="31">
        <v>6</v>
      </c>
      <c r="H436" s="542">
        <v>5.28</v>
      </c>
      <c r="I436" s="542">
        <v>5.64</v>
      </c>
      <c r="J436" s="31">
        <v>104</v>
      </c>
      <c r="K436" s="31" t="s">
        <v>104</v>
      </c>
      <c r="L436" s="31" t="s">
        <v>105</v>
      </c>
      <c r="M436" s="32" t="s">
        <v>77</v>
      </c>
      <c r="N436" s="32"/>
      <c r="O436" s="31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3"/>
      <c r="V436" s="33"/>
      <c r="W436" s="34" t="s">
        <v>69</v>
      </c>
      <c r="X436" s="543">
        <v>10.56</v>
      </c>
      <c r="Y436" s="544">
        <f>IFERROR(IF(X436="",0,CEILING((X436/$H436),1)*$H436),"")</f>
        <v>10.56</v>
      </c>
      <c r="Z436" s="35">
        <f>IFERROR(IF(Y436=0,"",ROUNDUP(Y436/H436,0)*0.01196),"")</f>
        <v>2.392E-2</v>
      </c>
      <c r="AA436" s="55"/>
      <c r="AB436" s="56"/>
      <c r="AC436" s="483" t="s">
        <v>671</v>
      </c>
      <c r="AG436" s="63"/>
      <c r="AJ436" s="66" t="s">
        <v>90</v>
      </c>
      <c r="AK436" s="66">
        <v>42.24</v>
      </c>
      <c r="BB436" s="484" t="s">
        <v>1</v>
      </c>
      <c r="BM436" s="63">
        <f>IFERROR(X436*I436/H436,"0")</f>
        <v>11.28</v>
      </c>
      <c r="BN436" s="63">
        <f>IFERROR(Y436*I436/H436,"0")</f>
        <v>11.28</v>
      </c>
      <c r="BO436" s="63">
        <f>IFERROR(1/J436*(X436/H436),"0")</f>
        <v>1.9230769230769232E-2</v>
      </c>
      <c r="BP436" s="63">
        <f>IFERROR(1/J436*(Y436/H436),"0")</f>
        <v>1.9230769230769232E-2</v>
      </c>
    </row>
    <row r="437" spans="1:68" ht="16.5" hidden="1" customHeight="1" x14ac:dyDescent="0.25">
      <c r="A437" s="53" t="s">
        <v>672</v>
      </c>
      <c r="B437" s="53" t="s">
        <v>673</v>
      </c>
      <c r="C437" s="30">
        <v>4301020384</v>
      </c>
      <c r="D437" s="560">
        <v>4680115886407</v>
      </c>
      <c r="E437" s="561"/>
      <c r="F437" s="542">
        <v>0.4</v>
      </c>
      <c r="G437" s="31">
        <v>6</v>
      </c>
      <c r="H437" s="542">
        <v>2.4</v>
      </c>
      <c r="I437" s="542">
        <v>2.58</v>
      </c>
      <c r="J437" s="31">
        <v>182</v>
      </c>
      <c r="K437" s="31" t="s">
        <v>76</v>
      </c>
      <c r="L437" s="31"/>
      <c r="M437" s="32" t="s">
        <v>77</v>
      </c>
      <c r="N437" s="32"/>
      <c r="O437" s="31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3"/>
      <c r="V437" s="33"/>
      <c r="W437" s="34" t="s">
        <v>69</v>
      </c>
      <c r="X437" s="543">
        <v>0</v>
      </c>
      <c r="Y437" s="544">
        <f>IFERROR(IF(X437="",0,CEILING((X437/$H437),1)*$H437),"")</f>
        <v>0</v>
      </c>
      <c r="Z437" s="35" t="str">
        <f>IFERROR(IF(Y437=0,"",ROUNDUP(Y437/H437,0)*0.00651),"")</f>
        <v/>
      </c>
      <c r="AA437" s="55"/>
      <c r="AB437" s="56"/>
      <c r="AC437" s="485" t="s">
        <v>671</v>
      </c>
      <c r="AG437" s="63"/>
      <c r="AJ437" s="66"/>
      <c r="AK437" s="66">
        <v>0</v>
      </c>
      <c r="BB437" s="486" t="s">
        <v>1</v>
      </c>
      <c r="BM437" s="63">
        <f>IFERROR(X437*I437/H437,"0")</f>
        <v>0</v>
      </c>
      <c r="BN437" s="63">
        <f>IFERROR(Y437*I437/H437,"0")</f>
        <v>0</v>
      </c>
      <c r="BO437" s="63">
        <f>IFERROR(1/J437*(X437/H437),"0")</f>
        <v>0</v>
      </c>
      <c r="BP437" s="63">
        <f>IFERROR(1/J437*(Y437/H437),"0")</f>
        <v>0</v>
      </c>
    </row>
    <row r="438" spans="1:68" ht="16.5" hidden="1" customHeight="1" x14ac:dyDescent="0.25">
      <c r="A438" s="53" t="s">
        <v>674</v>
      </c>
      <c r="B438" s="53" t="s">
        <v>675</v>
      </c>
      <c r="C438" s="30">
        <v>4301020385</v>
      </c>
      <c r="D438" s="560">
        <v>4680115880054</v>
      </c>
      <c r="E438" s="561"/>
      <c r="F438" s="542">
        <v>0.6</v>
      </c>
      <c r="G438" s="31">
        <v>8</v>
      </c>
      <c r="H438" s="542">
        <v>4.8</v>
      </c>
      <c r="I438" s="542">
        <v>6.93</v>
      </c>
      <c r="J438" s="31">
        <v>132</v>
      </c>
      <c r="K438" s="31" t="s">
        <v>110</v>
      </c>
      <c r="L438" s="31"/>
      <c r="M438" s="32" t="s">
        <v>106</v>
      </c>
      <c r="N438" s="32"/>
      <c r="O438" s="31">
        <v>70</v>
      </c>
      <c r="P438" s="7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3"/>
      <c r="V438" s="33"/>
      <c r="W438" s="34" t="s">
        <v>69</v>
      </c>
      <c r="X438" s="543">
        <v>0</v>
      </c>
      <c r="Y438" s="544">
        <f>IFERROR(IF(X438="",0,CEILING((X438/$H438),1)*$H438),"")</f>
        <v>0</v>
      </c>
      <c r="Z438" s="35" t="str">
        <f>IFERROR(IF(Y438=0,"",ROUNDUP(Y438/H438,0)*0.00902),"")</f>
        <v/>
      </c>
      <c r="AA438" s="55"/>
      <c r="AB438" s="56"/>
      <c r="AC438" s="487" t="s">
        <v>671</v>
      </c>
      <c r="AG438" s="63"/>
      <c r="AJ438" s="66"/>
      <c r="AK438" s="66">
        <v>0</v>
      </c>
      <c r="BB438" s="488" t="s">
        <v>1</v>
      </c>
      <c r="BM438" s="63">
        <f>IFERROR(X438*I438/H438,"0")</f>
        <v>0</v>
      </c>
      <c r="BN438" s="63">
        <f>IFERROR(Y438*I438/H438,"0")</f>
        <v>0</v>
      </c>
      <c r="BO438" s="63">
        <f>IFERROR(1/J438*(X438/H438),"0")</f>
        <v>0</v>
      </c>
      <c r="BP438" s="63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6" t="s">
        <v>72</v>
      </c>
      <c r="X439" s="545">
        <f>IFERROR(X436/H436,"0")+IFERROR(X437/H437,"0")+IFERROR(X438/H438,"0")</f>
        <v>2</v>
      </c>
      <c r="Y439" s="545">
        <f>IFERROR(Y436/H436,"0")+IFERROR(Y437/H437,"0")+IFERROR(Y438/H438,"0")</f>
        <v>2</v>
      </c>
      <c r="Z439" s="545">
        <f>IFERROR(IF(Z436="",0,Z436),"0")+IFERROR(IF(Z437="",0,Z437),"0")+IFERROR(IF(Z438="",0,Z438),"0")</f>
        <v>2.392E-2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6" t="s">
        <v>69</v>
      </c>
      <c r="X440" s="545">
        <f>IFERROR(SUM(X436:X438),"0")</f>
        <v>10.56</v>
      </c>
      <c r="Y440" s="545">
        <f>IFERROR(SUM(Y436:Y438),"0")</f>
        <v>10.56</v>
      </c>
      <c r="Z440" s="36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4"/>
      <c r="AB441" s="534"/>
      <c r="AC441" s="534"/>
    </row>
    <row r="442" spans="1:68" ht="27" hidden="1" customHeight="1" x14ac:dyDescent="0.25">
      <c r="A442" s="53" t="s">
        <v>676</v>
      </c>
      <c r="B442" s="53" t="s">
        <v>677</v>
      </c>
      <c r="C442" s="30">
        <v>4301031349</v>
      </c>
      <c r="D442" s="560">
        <v>4680115883116</v>
      </c>
      <c r="E442" s="561"/>
      <c r="F442" s="542">
        <v>0.88</v>
      </c>
      <c r="G442" s="31">
        <v>6</v>
      </c>
      <c r="H442" s="542">
        <v>5.28</v>
      </c>
      <c r="I442" s="542">
        <v>5.64</v>
      </c>
      <c r="J442" s="31">
        <v>104</v>
      </c>
      <c r="K442" s="31" t="s">
        <v>104</v>
      </c>
      <c r="L442" s="31" t="s">
        <v>105</v>
      </c>
      <c r="M442" s="32" t="s">
        <v>106</v>
      </c>
      <c r="N442" s="32"/>
      <c r="O442" s="31">
        <v>70</v>
      </c>
      <c r="P442" s="7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3"/>
      <c r="V442" s="33"/>
      <c r="W442" s="34" t="s">
        <v>69</v>
      </c>
      <c r="X442" s="543">
        <v>0</v>
      </c>
      <c r="Y442" s="544">
        <f t="shared" ref="Y442:Y447" si="53">IFERROR(IF(X442="",0,CEILING((X442/$H442),1)*$H442),"")</f>
        <v>0</v>
      </c>
      <c r="Z442" s="35" t="str">
        <f>IFERROR(IF(Y442=0,"",ROUNDUP(Y442/H442,0)*0.01196),"")</f>
        <v/>
      </c>
      <c r="AA442" s="55"/>
      <c r="AB442" s="56"/>
      <c r="AC442" s="489" t="s">
        <v>678</v>
      </c>
      <c r="AG442" s="63"/>
      <c r="AJ442" s="66" t="s">
        <v>90</v>
      </c>
      <c r="AK442" s="66">
        <v>42.24</v>
      </c>
      <c r="BB442" s="490" t="s">
        <v>1</v>
      </c>
      <c r="BM442" s="63">
        <f t="shared" ref="BM442:BM447" si="54">IFERROR(X442*I442/H442,"0")</f>
        <v>0</v>
      </c>
      <c r="BN442" s="63">
        <f t="shared" ref="BN442:BN447" si="55">IFERROR(Y442*I442/H442,"0")</f>
        <v>0</v>
      </c>
      <c r="BO442" s="63">
        <f t="shared" ref="BO442:BO447" si="56">IFERROR(1/J442*(X442/H442),"0")</f>
        <v>0</v>
      </c>
      <c r="BP442" s="63">
        <f t="shared" ref="BP442:BP447" si="57">IFERROR(1/J442*(Y442/H442),"0")</f>
        <v>0</v>
      </c>
    </row>
    <row r="443" spans="1:68" ht="27" customHeight="1" x14ac:dyDescent="0.25">
      <c r="A443" s="53" t="s">
        <v>679</v>
      </c>
      <c r="B443" s="53" t="s">
        <v>680</v>
      </c>
      <c r="C443" s="30">
        <v>4301031350</v>
      </c>
      <c r="D443" s="560">
        <v>4680115883093</v>
      </c>
      <c r="E443" s="561"/>
      <c r="F443" s="542">
        <v>0.88</v>
      </c>
      <c r="G443" s="31">
        <v>6</v>
      </c>
      <c r="H443" s="542">
        <v>5.28</v>
      </c>
      <c r="I443" s="542">
        <v>5.64</v>
      </c>
      <c r="J443" s="31">
        <v>104</v>
      </c>
      <c r="K443" s="31" t="s">
        <v>104</v>
      </c>
      <c r="L443" s="31" t="s">
        <v>105</v>
      </c>
      <c r="M443" s="32" t="s">
        <v>68</v>
      </c>
      <c r="N443" s="32"/>
      <c r="O443" s="31">
        <v>70</v>
      </c>
      <c r="P443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3"/>
      <c r="V443" s="33"/>
      <c r="W443" s="34" t="s">
        <v>69</v>
      </c>
      <c r="X443" s="543">
        <v>5.28</v>
      </c>
      <c r="Y443" s="544">
        <f t="shared" si="53"/>
        <v>5.28</v>
      </c>
      <c r="Z443" s="35">
        <f>IFERROR(IF(Y443=0,"",ROUNDUP(Y443/H443,0)*0.01196),"")</f>
        <v>1.196E-2</v>
      </c>
      <c r="AA443" s="55"/>
      <c r="AB443" s="56"/>
      <c r="AC443" s="491" t="s">
        <v>681</v>
      </c>
      <c r="AG443" s="63"/>
      <c r="AJ443" s="66" t="s">
        <v>90</v>
      </c>
      <c r="AK443" s="66">
        <v>42.24</v>
      </c>
      <c r="BB443" s="492" t="s">
        <v>1</v>
      </c>
      <c r="BM443" s="63">
        <f t="shared" si="54"/>
        <v>5.64</v>
      </c>
      <c r="BN443" s="63">
        <f t="shared" si="55"/>
        <v>5.64</v>
      </c>
      <c r="BO443" s="63">
        <f t="shared" si="56"/>
        <v>9.6153846153846159E-3</v>
      </c>
      <c r="BP443" s="63">
        <f t="shared" si="57"/>
        <v>9.6153846153846159E-3</v>
      </c>
    </row>
    <row r="444" spans="1:68" ht="27" customHeight="1" x14ac:dyDescent="0.25">
      <c r="A444" s="53" t="s">
        <v>682</v>
      </c>
      <c r="B444" s="53" t="s">
        <v>683</v>
      </c>
      <c r="C444" s="30">
        <v>4301031353</v>
      </c>
      <c r="D444" s="560">
        <v>4680115883109</v>
      </c>
      <c r="E444" s="561"/>
      <c r="F444" s="542">
        <v>0.88</v>
      </c>
      <c r="G444" s="31">
        <v>6</v>
      </c>
      <c r="H444" s="542">
        <v>5.28</v>
      </c>
      <c r="I444" s="542">
        <v>5.64</v>
      </c>
      <c r="J444" s="31">
        <v>104</v>
      </c>
      <c r="K444" s="31" t="s">
        <v>104</v>
      </c>
      <c r="L444" s="31" t="s">
        <v>105</v>
      </c>
      <c r="M444" s="32" t="s">
        <v>68</v>
      </c>
      <c r="N444" s="32"/>
      <c r="O444" s="31">
        <v>70</v>
      </c>
      <c r="P444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3"/>
      <c r="V444" s="33"/>
      <c r="W444" s="34" t="s">
        <v>69</v>
      </c>
      <c r="X444" s="543">
        <v>5.28</v>
      </c>
      <c r="Y444" s="544">
        <f t="shared" si="53"/>
        <v>5.28</v>
      </c>
      <c r="Z444" s="35">
        <f>IFERROR(IF(Y444=0,"",ROUNDUP(Y444/H444,0)*0.01196),"")</f>
        <v>1.196E-2</v>
      </c>
      <c r="AA444" s="55"/>
      <c r="AB444" s="56"/>
      <c r="AC444" s="493" t="s">
        <v>684</v>
      </c>
      <c r="AG444" s="63"/>
      <c r="AJ444" s="66" t="s">
        <v>90</v>
      </c>
      <c r="AK444" s="66">
        <v>42.24</v>
      </c>
      <c r="BB444" s="494" t="s">
        <v>1</v>
      </c>
      <c r="BM444" s="63">
        <f t="shared" si="54"/>
        <v>5.64</v>
      </c>
      <c r="BN444" s="63">
        <f t="shared" si="55"/>
        <v>5.64</v>
      </c>
      <c r="BO444" s="63">
        <f t="shared" si="56"/>
        <v>9.6153846153846159E-3</v>
      </c>
      <c r="BP444" s="63">
        <f t="shared" si="57"/>
        <v>9.6153846153846159E-3</v>
      </c>
    </row>
    <row r="445" spans="1:68" ht="27" hidden="1" customHeight="1" x14ac:dyDescent="0.25">
      <c r="A445" s="53" t="s">
        <v>685</v>
      </c>
      <c r="B445" s="53" t="s">
        <v>686</v>
      </c>
      <c r="C445" s="30">
        <v>4301031419</v>
      </c>
      <c r="D445" s="560">
        <v>4680115882072</v>
      </c>
      <c r="E445" s="561"/>
      <c r="F445" s="542">
        <v>0.6</v>
      </c>
      <c r="G445" s="31">
        <v>8</v>
      </c>
      <c r="H445" s="542">
        <v>4.8</v>
      </c>
      <c r="I445" s="542">
        <v>6.93</v>
      </c>
      <c r="J445" s="31">
        <v>132</v>
      </c>
      <c r="K445" s="31" t="s">
        <v>110</v>
      </c>
      <c r="L445" s="31"/>
      <c r="M445" s="32" t="s">
        <v>106</v>
      </c>
      <c r="N445" s="32"/>
      <c r="O445" s="31">
        <v>70</v>
      </c>
      <c r="P445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3"/>
      <c r="V445" s="33"/>
      <c r="W445" s="34" t="s">
        <v>69</v>
      </c>
      <c r="X445" s="543">
        <v>0</v>
      </c>
      <c r="Y445" s="544">
        <f t="shared" si="53"/>
        <v>0</v>
      </c>
      <c r="Z445" s="35" t="str">
        <f>IFERROR(IF(Y445=0,"",ROUNDUP(Y445/H445,0)*0.00902),"")</f>
        <v/>
      </c>
      <c r="AA445" s="55"/>
      <c r="AB445" s="56"/>
      <c r="AC445" s="495" t="s">
        <v>678</v>
      </c>
      <c r="AG445" s="63"/>
      <c r="AJ445" s="66"/>
      <c r="AK445" s="66">
        <v>0</v>
      </c>
      <c r="BB445" s="496" t="s">
        <v>1</v>
      </c>
      <c r="BM445" s="63">
        <f t="shared" si="54"/>
        <v>0</v>
      </c>
      <c r="BN445" s="63">
        <f t="shared" si="55"/>
        <v>0</v>
      </c>
      <c r="BO445" s="63">
        <f t="shared" si="56"/>
        <v>0</v>
      </c>
      <c r="BP445" s="63">
        <f t="shared" si="57"/>
        <v>0</v>
      </c>
    </row>
    <row r="446" spans="1:68" ht="27" hidden="1" customHeight="1" x14ac:dyDescent="0.25">
      <c r="A446" s="53" t="s">
        <v>687</v>
      </c>
      <c r="B446" s="53" t="s">
        <v>688</v>
      </c>
      <c r="C446" s="30">
        <v>4301031418</v>
      </c>
      <c r="D446" s="560">
        <v>4680115882102</v>
      </c>
      <c r="E446" s="561"/>
      <c r="F446" s="542">
        <v>0.6</v>
      </c>
      <c r="G446" s="31">
        <v>8</v>
      </c>
      <c r="H446" s="542">
        <v>4.8</v>
      </c>
      <c r="I446" s="542">
        <v>6.69</v>
      </c>
      <c r="J446" s="31">
        <v>132</v>
      </c>
      <c r="K446" s="31" t="s">
        <v>110</v>
      </c>
      <c r="L446" s="31"/>
      <c r="M446" s="32" t="s">
        <v>68</v>
      </c>
      <c r="N446" s="32"/>
      <c r="O446" s="31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3"/>
      <c r="V446" s="33"/>
      <c r="W446" s="34" t="s">
        <v>69</v>
      </c>
      <c r="X446" s="543">
        <v>0</v>
      </c>
      <c r="Y446" s="544">
        <f t="shared" si="53"/>
        <v>0</v>
      </c>
      <c r="Z446" s="35" t="str">
        <f>IFERROR(IF(Y446=0,"",ROUNDUP(Y446/H446,0)*0.00902),"")</f>
        <v/>
      </c>
      <c r="AA446" s="55"/>
      <c r="AB446" s="56"/>
      <c r="AC446" s="497" t="s">
        <v>681</v>
      </c>
      <c r="AG446" s="63"/>
      <c r="AJ446" s="66"/>
      <c r="AK446" s="66">
        <v>0</v>
      </c>
      <c r="BB446" s="498" t="s">
        <v>1</v>
      </c>
      <c r="BM446" s="63">
        <f t="shared" si="54"/>
        <v>0</v>
      </c>
      <c r="BN446" s="63">
        <f t="shared" si="55"/>
        <v>0</v>
      </c>
      <c r="BO446" s="63">
        <f t="shared" si="56"/>
        <v>0</v>
      </c>
      <c r="BP446" s="63">
        <f t="shared" si="57"/>
        <v>0</v>
      </c>
    </row>
    <row r="447" spans="1:68" ht="27" hidden="1" customHeight="1" x14ac:dyDescent="0.25">
      <c r="A447" s="53" t="s">
        <v>689</v>
      </c>
      <c r="B447" s="53" t="s">
        <v>690</v>
      </c>
      <c r="C447" s="30">
        <v>4301031417</v>
      </c>
      <c r="D447" s="560">
        <v>4680115882096</v>
      </c>
      <c r="E447" s="561"/>
      <c r="F447" s="542">
        <v>0.6</v>
      </c>
      <c r="G447" s="31">
        <v>8</v>
      </c>
      <c r="H447" s="542">
        <v>4.8</v>
      </c>
      <c r="I447" s="542">
        <v>6.69</v>
      </c>
      <c r="J447" s="31">
        <v>132</v>
      </c>
      <c r="K447" s="31" t="s">
        <v>110</v>
      </c>
      <c r="L447" s="31"/>
      <c r="M447" s="32" t="s">
        <v>68</v>
      </c>
      <c r="N447" s="32"/>
      <c r="O447" s="31">
        <v>70</v>
      </c>
      <c r="P447" s="5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3"/>
      <c r="V447" s="33"/>
      <c r="W447" s="34" t="s">
        <v>69</v>
      </c>
      <c r="X447" s="543">
        <v>0</v>
      </c>
      <c r="Y447" s="544">
        <f t="shared" si="53"/>
        <v>0</v>
      </c>
      <c r="Z447" s="35" t="str">
        <f>IFERROR(IF(Y447=0,"",ROUNDUP(Y447/H447,0)*0.00902),"")</f>
        <v/>
      </c>
      <c r="AA447" s="55"/>
      <c r="AB447" s="56"/>
      <c r="AC447" s="499" t="s">
        <v>684</v>
      </c>
      <c r="AG447" s="63"/>
      <c r="AJ447" s="66"/>
      <c r="AK447" s="66">
        <v>0</v>
      </c>
      <c r="BB447" s="500" t="s">
        <v>1</v>
      </c>
      <c r="BM447" s="63">
        <f t="shared" si="54"/>
        <v>0</v>
      </c>
      <c r="BN447" s="63">
        <f t="shared" si="55"/>
        <v>0</v>
      </c>
      <c r="BO447" s="63">
        <f t="shared" si="56"/>
        <v>0</v>
      </c>
      <c r="BP447" s="63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6" t="s">
        <v>72</v>
      </c>
      <c r="X448" s="545">
        <f>IFERROR(X442/H442,"0")+IFERROR(X443/H443,"0")+IFERROR(X444/H444,"0")+IFERROR(X445/H445,"0")+IFERROR(X446/H446,"0")+IFERROR(X447/H447,"0")</f>
        <v>2</v>
      </c>
      <c r="Y448" s="545">
        <f>IFERROR(Y442/H442,"0")+IFERROR(Y443/H443,"0")+IFERROR(Y444/H444,"0")+IFERROR(Y445/H445,"0")+IFERROR(Y446/H446,"0")+IFERROR(Y447/H447,"0")</f>
        <v>2</v>
      </c>
      <c r="Z448" s="545">
        <f>IFERROR(IF(Z442="",0,Z442),"0")+IFERROR(IF(Z443="",0,Z443),"0")+IFERROR(IF(Z444="",0,Z444),"0")+IFERROR(IF(Z445="",0,Z445),"0")+IFERROR(IF(Z446="",0,Z446),"0")+IFERROR(IF(Z447="",0,Z447),"0")</f>
        <v>2.392E-2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6" t="s">
        <v>69</v>
      </c>
      <c r="X449" s="545">
        <f>IFERROR(SUM(X442:X447),"0")</f>
        <v>10.56</v>
      </c>
      <c r="Y449" s="545">
        <f>IFERROR(SUM(Y442:Y447),"0")</f>
        <v>10.56</v>
      </c>
      <c r="Z449" s="36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4"/>
      <c r="AB450" s="534"/>
      <c r="AC450" s="534"/>
    </row>
    <row r="451" spans="1:68" ht="16.5" hidden="1" customHeight="1" x14ac:dyDescent="0.25">
      <c r="A451" s="53" t="s">
        <v>691</v>
      </c>
      <c r="B451" s="53" t="s">
        <v>692</v>
      </c>
      <c r="C451" s="30">
        <v>4301051232</v>
      </c>
      <c r="D451" s="560">
        <v>4607091383409</v>
      </c>
      <c r="E451" s="561"/>
      <c r="F451" s="542">
        <v>1.3</v>
      </c>
      <c r="G451" s="31">
        <v>6</v>
      </c>
      <c r="H451" s="542">
        <v>7.8</v>
      </c>
      <c r="I451" s="542">
        <v>8.3010000000000002</v>
      </c>
      <c r="J451" s="31">
        <v>64</v>
      </c>
      <c r="K451" s="31" t="s">
        <v>104</v>
      </c>
      <c r="L451" s="31"/>
      <c r="M451" s="32" t="s">
        <v>77</v>
      </c>
      <c r="N451" s="32"/>
      <c r="O451" s="31">
        <v>45</v>
      </c>
      <c r="P451" s="73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3"/>
      <c r="V451" s="33"/>
      <c r="W451" s="34" t="s">
        <v>69</v>
      </c>
      <c r="X451" s="543">
        <v>0</v>
      </c>
      <c r="Y451" s="544">
        <f>IFERROR(IF(X451="",0,CEILING((X451/$H451),1)*$H451),"")</f>
        <v>0</v>
      </c>
      <c r="Z451" s="35" t="str">
        <f>IFERROR(IF(Y451=0,"",ROUNDUP(Y451/H451,0)*0.01898),"")</f>
        <v/>
      </c>
      <c r="AA451" s="55"/>
      <c r="AB451" s="56"/>
      <c r="AC451" s="501" t="s">
        <v>693</v>
      </c>
      <c r="AG451" s="63"/>
      <c r="AJ451" s="66"/>
      <c r="AK451" s="66">
        <v>0</v>
      </c>
      <c r="BB451" s="502" t="s">
        <v>1</v>
      </c>
      <c r="BM451" s="63">
        <f>IFERROR(X451*I451/H451,"0")</f>
        <v>0</v>
      </c>
      <c r="BN451" s="63">
        <f>IFERROR(Y451*I451/H451,"0")</f>
        <v>0</v>
      </c>
      <c r="BO451" s="63">
        <f>IFERROR(1/J451*(X451/H451),"0")</f>
        <v>0</v>
      </c>
      <c r="BP451" s="63">
        <f>IFERROR(1/J451*(Y451/H451),"0")</f>
        <v>0</v>
      </c>
    </row>
    <row r="452" spans="1:68" ht="16.5" hidden="1" customHeight="1" x14ac:dyDescent="0.25">
      <c r="A452" s="53" t="s">
        <v>694</v>
      </c>
      <c r="B452" s="53" t="s">
        <v>695</v>
      </c>
      <c r="C452" s="30">
        <v>4301051233</v>
      </c>
      <c r="D452" s="560">
        <v>4607091383416</v>
      </c>
      <c r="E452" s="561"/>
      <c r="F452" s="542">
        <v>1.3</v>
      </c>
      <c r="G452" s="31">
        <v>6</v>
      </c>
      <c r="H452" s="542">
        <v>7.8</v>
      </c>
      <c r="I452" s="542">
        <v>8.3010000000000002</v>
      </c>
      <c r="J452" s="31">
        <v>64</v>
      </c>
      <c r="K452" s="31" t="s">
        <v>104</v>
      </c>
      <c r="L452" s="31"/>
      <c r="M452" s="32" t="s">
        <v>77</v>
      </c>
      <c r="N452" s="32"/>
      <c r="O452" s="31">
        <v>45</v>
      </c>
      <c r="P452" s="86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3"/>
      <c r="V452" s="33"/>
      <c r="W452" s="34" t="s">
        <v>69</v>
      </c>
      <c r="X452" s="543">
        <v>0</v>
      </c>
      <c r="Y452" s="544">
        <f>IFERROR(IF(X452="",0,CEILING((X452/$H452),1)*$H452),"")</f>
        <v>0</v>
      </c>
      <c r="Z452" s="35" t="str">
        <f>IFERROR(IF(Y452=0,"",ROUNDUP(Y452/H452,0)*0.01898),"")</f>
        <v/>
      </c>
      <c r="AA452" s="55"/>
      <c r="AB452" s="56"/>
      <c r="AC452" s="503" t="s">
        <v>696</v>
      </c>
      <c r="AG452" s="63"/>
      <c r="AJ452" s="66"/>
      <c r="AK452" s="66">
        <v>0</v>
      </c>
      <c r="BB452" s="504" t="s">
        <v>1</v>
      </c>
      <c r="BM452" s="63">
        <f>IFERROR(X452*I452/H452,"0")</f>
        <v>0</v>
      </c>
      <c r="BN452" s="63">
        <f>IFERROR(Y452*I452/H452,"0")</f>
        <v>0</v>
      </c>
      <c r="BO452" s="63">
        <f>IFERROR(1/J452*(X452/H452),"0")</f>
        <v>0</v>
      </c>
      <c r="BP452" s="63">
        <f>IFERROR(1/J452*(Y452/H452),"0")</f>
        <v>0</v>
      </c>
    </row>
    <row r="453" spans="1:68" ht="27" hidden="1" customHeight="1" x14ac:dyDescent="0.25">
      <c r="A453" s="53" t="s">
        <v>697</v>
      </c>
      <c r="B453" s="53" t="s">
        <v>698</v>
      </c>
      <c r="C453" s="30">
        <v>4301051064</v>
      </c>
      <c r="D453" s="560">
        <v>4680115883536</v>
      </c>
      <c r="E453" s="561"/>
      <c r="F453" s="542">
        <v>0.3</v>
      </c>
      <c r="G453" s="31">
        <v>6</v>
      </c>
      <c r="H453" s="542">
        <v>1.8</v>
      </c>
      <c r="I453" s="542">
        <v>2.0459999999999998</v>
      </c>
      <c r="J453" s="31">
        <v>182</v>
      </c>
      <c r="K453" s="31" t="s">
        <v>76</v>
      </c>
      <c r="L453" s="31"/>
      <c r="M453" s="32" t="s">
        <v>77</v>
      </c>
      <c r="N453" s="32"/>
      <c r="O453" s="31">
        <v>45</v>
      </c>
      <c r="P453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3"/>
      <c r="V453" s="33"/>
      <c r="W453" s="34" t="s">
        <v>69</v>
      </c>
      <c r="X453" s="543">
        <v>0</v>
      </c>
      <c r="Y453" s="544">
        <f>IFERROR(IF(X453="",0,CEILING((X453/$H453),1)*$H453),"")</f>
        <v>0</v>
      </c>
      <c r="Z453" s="35" t="str">
        <f>IFERROR(IF(Y453=0,"",ROUNDUP(Y453/H453,0)*0.00651),"")</f>
        <v/>
      </c>
      <c r="AA453" s="55"/>
      <c r="AB453" s="56"/>
      <c r="AC453" s="505" t="s">
        <v>699</v>
      </c>
      <c r="AG453" s="63"/>
      <c r="AJ453" s="66"/>
      <c r="AK453" s="66">
        <v>0</v>
      </c>
      <c r="BB453" s="506" t="s">
        <v>1</v>
      </c>
      <c r="BM453" s="63">
        <f>IFERROR(X453*I453/H453,"0")</f>
        <v>0</v>
      </c>
      <c r="BN453" s="63">
        <f>IFERROR(Y453*I453/H453,"0")</f>
        <v>0</v>
      </c>
      <c r="BO453" s="63">
        <f>IFERROR(1/J453*(X453/H453),"0")</f>
        <v>0</v>
      </c>
      <c r="BP453" s="63">
        <f>IFERROR(1/J453*(Y453/H453),"0")</f>
        <v>0</v>
      </c>
    </row>
    <row r="454" spans="1:68" hidden="1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6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6" t="s">
        <v>69</v>
      </c>
      <c r="X455" s="545">
        <f>IFERROR(SUM(X451:X453),"0")</f>
        <v>0</v>
      </c>
      <c r="Y455" s="545">
        <f>IFERROR(SUM(Y451:Y453),"0")</f>
        <v>0</v>
      </c>
      <c r="Z455" s="36"/>
      <c r="AA455" s="546"/>
      <c r="AB455" s="546"/>
      <c r="AC455" s="546"/>
    </row>
    <row r="456" spans="1:68" ht="27.75" hidden="1" customHeight="1" x14ac:dyDescent="0.2">
      <c r="A456" s="642" t="s">
        <v>700</v>
      </c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3"/>
      <c r="P456" s="643"/>
      <c r="Q456" s="643"/>
      <c r="R456" s="643"/>
      <c r="S456" s="643"/>
      <c r="T456" s="643"/>
      <c r="U456" s="643"/>
      <c r="V456" s="643"/>
      <c r="W456" s="643"/>
      <c r="X456" s="643"/>
      <c r="Y456" s="643"/>
      <c r="Z456" s="643"/>
      <c r="AA456" s="47"/>
      <c r="AB456" s="47"/>
      <c r="AC456" s="47"/>
    </row>
    <row r="457" spans="1:68" ht="16.5" hidden="1" customHeight="1" x14ac:dyDescent="0.25">
      <c r="A457" s="596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4"/>
      <c r="AB458" s="534"/>
      <c r="AC458" s="534"/>
    </row>
    <row r="459" spans="1:68" ht="27" hidden="1" customHeight="1" x14ac:dyDescent="0.25">
      <c r="A459" s="53" t="s">
        <v>701</v>
      </c>
      <c r="B459" s="53" t="s">
        <v>702</v>
      </c>
      <c r="C459" s="30">
        <v>4301011763</v>
      </c>
      <c r="D459" s="560">
        <v>4640242181011</v>
      </c>
      <c r="E459" s="561"/>
      <c r="F459" s="542">
        <v>1.35</v>
      </c>
      <c r="G459" s="31">
        <v>8</v>
      </c>
      <c r="H459" s="542">
        <v>10.8</v>
      </c>
      <c r="I459" s="542">
        <v>11.234999999999999</v>
      </c>
      <c r="J459" s="31">
        <v>64</v>
      </c>
      <c r="K459" s="31" t="s">
        <v>104</v>
      </c>
      <c r="L459" s="31"/>
      <c r="M459" s="32" t="s">
        <v>77</v>
      </c>
      <c r="N459" s="32"/>
      <c r="O459" s="31">
        <v>55</v>
      </c>
      <c r="P459" s="6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3"/>
      <c r="V459" s="33"/>
      <c r="W459" s="34" t="s">
        <v>69</v>
      </c>
      <c r="X459" s="543">
        <v>0</v>
      </c>
      <c r="Y459" s="544">
        <f>IFERROR(IF(X459="",0,CEILING((X459/$H459),1)*$H459),"")</f>
        <v>0</v>
      </c>
      <c r="Z459" s="35" t="str">
        <f>IFERROR(IF(Y459=0,"",ROUNDUP(Y459/H459,0)*0.01898),"")</f>
        <v/>
      </c>
      <c r="AA459" s="55"/>
      <c r="AB459" s="56"/>
      <c r="AC459" s="507" t="s">
        <v>703</v>
      </c>
      <c r="AG459" s="63"/>
      <c r="AJ459" s="66"/>
      <c r="AK459" s="66">
        <v>0</v>
      </c>
      <c r="BB459" s="508" t="s">
        <v>1</v>
      </c>
      <c r="BM459" s="63">
        <f>IFERROR(X459*I459/H459,"0")</f>
        <v>0</v>
      </c>
      <c r="BN459" s="63">
        <f>IFERROR(Y459*I459/H459,"0")</f>
        <v>0</v>
      </c>
      <c r="BO459" s="63">
        <f>IFERROR(1/J459*(X459/H459),"0")</f>
        <v>0</v>
      </c>
      <c r="BP459" s="63">
        <f>IFERROR(1/J459*(Y459/H459),"0")</f>
        <v>0</v>
      </c>
    </row>
    <row r="460" spans="1:68" ht="27" hidden="1" customHeight="1" x14ac:dyDescent="0.25">
      <c r="A460" s="53" t="s">
        <v>704</v>
      </c>
      <c r="B460" s="53" t="s">
        <v>705</v>
      </c>
      <c r="C460" s="30">
        <v>4301011585</v>
      </c>
      <c r="D460" s="560">
        <v>4640242180441</v>
      </c>
      <c r="E460" s="561"/>
      <c r="F460" s="542">
        <v>1.5</v>
      </c>
      <c r="G460" s="31">
        <v>8</v>
      </c>
      <c r="H460" s="542">
        <v>12</v>
      </c>
      <c r="I460" s="542">
        <v>12.435</v>
      </c>
      <c r="J460" s="31">
        <v>64</v>
      </c>
      <c r="K460" s="31" t="s">
        <v>104</v>
      </c>
      <c r="L460" s="31"/>
      <c r="M460" s="32" t="s">
        <v>106</v>
      </c>
      <c r="N460" s="32"/>
      <c r="O460" s="31">
        <v>50</v>
      </c>
      <c r="P460" s="66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3"/>
      <c r="V460" s="33"/>
      <c r="W460" s="34" t="s">
        <v>69</v>
      </c>
      <c r="X460" s="543">
        <v>0</v>
      </c>
      <c r="Y460" s="544">
        <f>IFERROR(IF(X460="",0,CEILING((X460/$H460),1)*$H460),"")</f>
        <v>0</v>
      </c>
      <c r="Z460" s="35" t="str">
        <f>IFERROR(IF(Y460=0,"",ROUNDUP(Y460/H460,0)*0.01898),"")</f>
        <v/>
      </c>
      <c r="AA460" s="55"/>
      <c r="AB460" s="56"/>
      <c r="AC460" s="509" t="s">
        <v>706</v>
      </c>
      <c r="AG460" s="63"/>
      <c r="AJ460" s="66"/>
      <c r="AK460" s="66">
        <v>0</v>
      </c>
      <c r="BB460" s="510" t="s">
        <v>1</v>
      </c>
      <c r="BM460" s="63">
        <f>IFERROR(X460*I460/H460,"0")</f>
        <v>0</v>
      </c>
      <c r="BN460" s="63">
        <f>IFERROR(Y460*I460/H460,"0")</f>
        <v>0</v>
      </c>
      <c r="BO460" s="63">
        <f>IFERROR(1/J460*(X460/H460),"0")</f>
        <v>0</v>
      </c>
      <c r="BP460" s="63">
        <f>IFERROR(1/J460*(Y460/H460),"0")</f>
        <v>0</v>
      </c>
    </row>
    <row r="461" spans="1:68" ht="27" hidden="1" customHeight="1" x14ac:dyDescent="0.25">
      <c r="A461" s="53" t="s">
        <v>707</v>
      </c>
      <c r="B461" s="53" t="s">
        <v>708</v>
      </c>
      <c r="C461" s="30">
        <v>4301011584</v>
      </c>
      <c r="D461" s="560">
        <v>4640242180564</v>
      </c>
      <c r="E461" s="561"/>
      <c r="F461" s="542">
        <v>1.5</v>
      </c>
      <c r="G461" s="31">
        <v>8</v>
      </c>
      <c r="H461" s="542">
        <v>12</v>
      </c>
      <c r="I461" s="542">
        <v>12.435</v>
      </c>
      <c r="J461" s="31">
        <v>64</v>
      </c>
      <c r="K461" s="31" t="s">
        <v>104</v>
      </c>
      <c r="L461" s="31" t="s">
        <v>105</v>
      </c>
      <c r="M461" s="32" t="s">
        <v>106</v>
      </c>
      <c r="N461" s="32"/>
      <c r="O461" s="31">
        <v>50</v>
      </c>
      <c r="P461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3"/>
      <c r="V461" s="33"/>
      <c r="W461" s="34" t="s">
        <v>69</v>
      </c>
      <c r="X461" s="543">
        <v>0</v>
      </c>
      <c r="Y461" s="544">
        <f>IFERROR(IF(X461="",0,CEILING((X461/$H461),1)*$H461),"")</f>
        <v>0</v>
      </c>
      <c r="Z461" s="35" t="str">
        <f>IFERROR(IF(Y461=0,"",ROUNDUP(Y461/H461,0)*0.01898),"")</f>
        <v/>
      </c>
      <c r="AA461" s="55"/>
      <c r="AB461" s="56"/>
      <c r="AC461" s="511" t="s">
        <v>709</v>
      </c>
      <c r="AG461" s="63"/>
      <c r="AJ461" s="66" t="s">
        <v>90</v>
      </c>
      <c r="AK461" s="66">
        <v>96</v>
      </c>
      <c r="BB461" s="512" t="s">
        <v>1</v>
      </c>
      <c r="BM461" s="63">
        <f>IFERROR(X461*I461/H461,"0")</f>
        <v>0</v>
      </c>
      <c r="BN461" s="63">
        <f>IFERROR(Y461*I461/H461,"0")</f>
        <v>0</v>
      </c>
      <c r="BO461" s="63">
        <f>IFERROR(1/J461*(X461/H461),"0")</f>
        <v>0</v>
      </c>
      <c r="BP461" s="63">
        <f>IFERROR(1/J461*(Y461/H461),"0")</f>
        <v>0</v>
      </c>
    </row>
    <row r="462" spans="1:68" ht="27" hidden="1" customHeight="1" x14ac:dyDescent="0.25">
      <c r="A462" s="53" t="s">
        <v>710</v>
      </c>
      <c r="B462" s="53" t="s">
        <v>711</v>
      </c>
      <c r="C462" s="30">
        <v>4301011764</v>
      </c>
      <c r="D462" s="560">
        <v>4640242181189</v>
      </c>
      <c r="E462" s="561"/>
      <c r="F462" s="542">
        <v>0.4</v>
      </c>
      <c r="G462" s="31">
        <v>10</v>
      </c>
      <c r="H462" s="542">
        <v>4</v>
      </c>
      <c r="I462" s="542">
        <v>4.21</v>
      </c>
      <c r="J462" s="31">
        <v>132</v>
      </c>
      <c r="K462" s="31" t="s">
        <v>110</v>
      </c>
      <c r="L462" s="31"/>
      <c r="M462" s="32" t="s">
        <v>77</v>
      </c>
      <c r="N462" s="32"/>
      <c r="O462" s="31">
        <v>55</v>
      </c>
      <c r="P462" s="6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3"/>
      <c r="V462" s="33"/>
      <c r="W462" s="34" t="s">
        <v>69</v>
      </c>
      <c r="X462" s="543">
        <v>0</v>
      </c>
      <c r="Y462" s="544">
        <f>IFERROR(IF(X462="",0,CEILING((X462/$H462),1)*$H462),"")</f>
        <v>0</v>
      </c>
      <c r="Z462" s="35" t="str">
        <f>IFERROR(IF(Y462=0,"",ROUNDUP(Y462/H462,0)*0.00902),"")</f>
        <v/>
      </c>
      <c r="AA462" s="55"/>
      <c r="AB462" s="56"/>
      <c r="AC462" s="513" t="s">
        <v>703</v>
      </c>
      <c r="AG462" s="63"/>
      <c r="AJ462" s="66"/>
      <c r="AK462" s="66">
        <v>0</v>
      </c>
      <c r="BB462" s="514" t="s">
        <v>1</v>
      </c>
      <c r="BM462" s="63">
        <f>IFERROR(X462*I462/H462,"0")</f>
        <v>0</v>
      </c>
      <c r="BN462" s="63">
        <f>IFERROR(Y462*I462/H462,"0")</f>
        <v>0</v>
      </c>
      <c r="BO462" s="63">
        <f>IFERROR(1/J462*(X462/H462),"0")</f>
        <v>0</v>
      </c>
      <c r="BP462" s="63">
        <f>IFERROR(1/J462*(Y462/H462),"0")</f>
        <v>0</v>
      </c>
    </row>
    <row r="463" spans="1:68" hidden="1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6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6" t="s">
        <v>69</v>
      </c>
      <c r="X464" s="545">
        <f>IFERROR(SUM(X459:X462),"0")</f>
        <v>0</v>
      </c>
      <c r="Y464" s="545">
        <f>IFERROR(SUM(Y459:Y462),"0")</f>
        <v>0</v>
      </c>
      <c r="Z464" s="36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4"/>
      <c r="AB465" s="534"/>
      <c r="AC465" s="534"/>
    </row>
    <row r="466" spans="1:68" ht="27" hidden="1" customHeight="1" x14ac:dyDescent="0.25">
      <c r="A466" s="53" t="s">
        <v>712</v>
      </c>
      <c r="B466" s="53" t="s">
        <v>713</v>
      </c>
      <c r="C466" s="30">
        <v>4301020400</v>
      </c>
      <c r="D466" s="560">
        <v>4640242180519</v>
      </c>
      <c r="E466" s="561"/>
      <c r="F466" s="542">
        <v>1.5</v>
      </c>
      <c r="G466" s="31">
        <v>8</v>
      </c>
      <c r="H466" s="542">
        <v>12</v>
      </c>
      <c r="I466" s="542">
        <v>12.435</v>
      </c>
      <c r="J466" s="31">
        <v>64</v>
      </c>
      <c r="K466" s="31" t="s">
        <v>104</v>
      </c>
      <c r="L466" s="31"/>
      <c r="M466" s="32" t="s">
        <v>106</v>
      </c>
      <c r="N466" s="32"/>
      <c r="O466" s="31">
        <v>50</v>
      </c>
      <c r="P466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3"/>
      <c r="V466" s="33"/>
      <c r="W466" s="34" t="s">
        <v>69</v>
      </c>
      <c r="X466" s="543">
        <v>0</v>
      </c>
      <c r="Y466" s="544">
        <f>IFERROR(IF(X466="",0,CEILING((X466/$H466),1)*$H466),"")</f>
        <v>0</v>
      </c>
      <c r="Z466" s="35" t="str">
        <f>IFERROR(IF(Y466=0,"",ROUNDUP(Y466/H466,0)*0.01898),"")</f>
        <v/>
      </c>
      <c r="AA466" s="55"/>
      <c r="AB466" s="56"/>
      <c r="AC466" s="515" t="s">
        <v>714</v>
      </c>
      <c r="AG466" s="63"/>
      <c r="AJ466" s="66"/>
      <c r="AK466" s="66">
        <v>0</v>
      </c>
      <c r="BB466" s="516" t="s">
        <v>1</v>
      </c>
      <c r="BM466" s="63">
        <f>IFERROR(X466*I466/H466,"0")</f>
        <v>0</v>
      </c>
      <c r="BN466" s="63">
        <f>IFERROR(Y466*I466/H466,"0")</f>
        <v>0</v>
      </c>
      <c r="BO466" s="63">
        <f>IFERROR(1/J466*(X466/H466),"0")</f>
        <v>0</v>
      </c>
      <c r="BP466" s="63">
        <f>IFERROR(1/J466*(Y466/H466),"0")</f>
        <v>0</v>
      </c>
    </row>
    <row r="467" spans="1:68" ht="27" hidden="1" customHeight="1" x14ac:dyDescent="0.25">
      <c r="A467" s="53" t="s">
        <v>715</v>
      </c>
      <c r="B467" s="53" t="s">
        <v>716</v>
      </c>
      <c r="C467" s="30">
        <v>4301020260</v>
      </c>
      <c r="D467" s="560">
        <v>4640242180526</v>
      </c>
      <c r="E467" s="561"/>
      <c r="F467" s="542">
        <v>1.8</v>
      </c>
      <c r="G467" s="31">
        <v>6</v>
      </c>
      <c r="H467" s="542">
        <v>10.8</v>
      </c>
      <c r="I467" s="542">
        <v>11.234999999999999</v>
      </c>
      <c r="J467" s="31">
        <v>64</v>
      </c>
      <c r="K467" s="31" t="s">
        <v>104</v>
      </c>
      <c r="L467" s="31"/>
      <c r="M467" s="32" t="s">
        <v>106</v>
      </c>
      <c r="N467" s="32"/>
      <c r="O467" s="31">
        <v>50</v>
      </c>
      <c r="P467" s="7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3"/>
      <c r="V467" s="33"/>
      <c r="W467" s="34" t="s">
        <v>69</v>
      </c>
      <c r="X467" s="543">
        <v>0</v>
      </c>
      <c r="Y467" s="544">
        <f>IFERROR(IF(X467="",0,CEILING((X467/$H467),1)*$H467),"")</f>
        <v>0</v>
      </c>
      <c r="Z467" s="35" t="str">
        <f>IFERROR(IF(Y467=0,"",ROUNDUP(Y467/H467,0)*0.01898),"")</f>
        <v/>
      </c>
      <c r="AA467" s="55"/>
      <c r="AB467" s="56"/>
      <c r="AC467" s="517" t="s">
        <v>717</v>
      </c>
      <c r="AG467" s="63"/>
      <c r="AJ467" s="66"/>
      <c r="AK467" s="66">
        <v>0</v>
      </c>
      <c r="BB467" s="518" t="s">
        <v>1</v>
      </c>
      <c r="BM467" s="63">
        <f>IFERROR(X467*I467/H467,"0")</f>
        <v>0</v>
      </c>
      <c r="BN467" s="63">
        <f>IFERROR(Y467*I467/H467,"0")</f>
        <v>0</v>
      </c>
      <c r="BO467" s="63">
        <f>IFERROR(1/J467*(X467/H467),"0")</f>
        <v>0</v>
      </c>
      <c r="BP467" s="63">
        <f>IFERROR(1/J467*(Y467/H467),"0")</f>
        <v>0</v>
      </c>
    </row>
    <row r="468" spans="1:68" ht="27" hidden="1" customHeight="1" x14ac:dyDescent="0.25">
      <c r="A468" s="53" t="s">
        <v>718</v>
      </c>
      <c r="B468" s="53" t="s">
        <v>719</v>
      </c>
      <c r="C468" s="30">
        <v>4301020295</v>
      </c>
      <c r="D468" s="560">
        <v>4640242181363</v>
      </c>
      <c r="E468" s="561"/>
      <c r="F468" s="542">
        <v>0.4</v>
      </c>
      <c r="G468" s="31">
        <v>10</v>
      </c>
      <c r="H468" s="542">
        <v>4</v>
      </c>
      <c r="I468" s="542">
        <v>4.21</v>
      </c>
      <c r="J468" s="31">
        <v>132</v>
      </c>
      <c r="K468" s="31" t="s">
        <v>110</v>
      </c>
      <c r="L468" s="31"/>
      <c r="M468" s="32" t="s">
        <v>106</v>
      </c>
      <c r="N468" s="32"/>
      <c r="O468" s="31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3"/>
      <c r="V468" s="33"/>
      <c r="W468" s="34" t="s">
        <v>69</v>
      </c>
      <c r="X468" s="543">
        <v>0</v>
      </c>
      <c r="Y468" s="544">
        <f>IFERROR(IF(X468="",0,CEILING((X468/$H468),1)*$H468),"")</f>
        <v>0</v>
      </c>
      <c r="Z468" s="35" t="str">
        <f>IFERROR(IF(Y468=0,"",ROUNDUP(Y468/H468,0)*0.00902),"")</f>
        <v/>
      </c>
      <c r="AA468" s="55"/>
      <c r="AB468" s="56"/>
      <c r="AC468" s="519" t="s">
        <v>720</v>
      </c>
      <c r="AG468" s="63"/>
      <c r="AJ468" s="66"/>
      <c r="AK468" s="66">
        <v>0</v>
      </c>
      <c r="BB468" s="520" t="s">
        <v>1</v>
      </c>
      <c r="BM468" s="63">
        <f>IFERROR(X468*I468/H468,"0")</f>
        <v>0</v>
      </c>
      <c r="BN468" s="63">
        <f>IFERROR(Y468*I468/H468,"0")</f>
        <v>0</v>
      </c>
      <c r="BO468" s="63">
        <f>IFERROR(1/J468*(X468/H468),"0")</f>
        <v>0</v>
      </c>
      <c r="BP468" s="63">
        <f>IFERROR(1/J468*(Y468/H468),"0")</f>
        <v>0</v>
      </c>
    </row>
    <row r="469" spans="1:68" hidden="1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6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6" t="s">
        <v>69</v>
      </c>
      <c r="X470" s="545">
        <f>IFERROR(SUM(X466:X468),"0")</f>
        <v>0</v>
      </c>
      <c r="Y470" s="545">
        <f>IFERROR(SUM(Y466:Y468),"0")</f>
        <v>0</v>
      </c>
      <c r="Z470" s="36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4"/>
      <c r="AB471" s="534"/>
      <c r="AC471" s="534"/>
    </row>
    <row r="472" spans="1:68" ht="27" customHeight="1" x14ac:dyDescent="0.25">
      <c r="A472" s="53" t="s">
        <v>721</v>
      </c>
      <c r="B472" s="53" t="s">
        <v>722</v>
      </c>
      <c r="C472" s="30">
        <v>4301031280</v>
      </c>
      <c r="D472" s="560">
        <v>4640242180816</v>
      </c>
      <c r="E472" s="561"/>
      <c r="F472" s="542">
        <v>0.7</v>
      </c>
      <c r="G472" s="31">
        <v>6</v>
      </c>
      <c r="H472" s="542">
        <v>4.2</v>
      </c>
      <c r="I472" s="542">
        <v>4.47</v>
      </c>
      <c r="J472" s="31">
        <v>132</v>
      </c>
      <c r="K472" s="31" t="s">
        <v>110</v>
      </c>
      <c r="L472" s="31" t="s">
        <v>111</v>
      </c>
      <c r="M472" s="32" t="s">
        <v>68</v>
      </c>
      <c r="N472" s="32"/>
      <c r="O472" s="31">
        <v>40</v>
      </c>
      <c r="P472" s="64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3"/>
      <c r="V472" s="33"/>
      <c r="W472" s="34" t="s">
        <v>69</v>
      </c>
      <c r="X472" s="543">
        <v>33.6</v>
      </c>
      <c r="Y472" s="544">
        <f>IFERROR(IF(X472="",0,CEILING((X472/$H472),1)*$H472),"")</f>
        <v>33.6</v>
      </c>
      <c r="Z472" s="35">
        <f>IFERROR(IF(Y472=0,"",ROUNDUP(Y472/H472,0)*0.00902),"")</f>
        <v>7.2160000000000002E-2</v>
      </c>
      <c r="AA472" s="55"/>
      <c r="AB472" s="56"/>
      <c r="AC472" s="521" t="s">
        <v>723</v>
      </c>
      <c r="AG472" s="63"/>
      <c r="AJ472" s="66" t="s">
        <v>90</v>
      </c>
      <c r="AK472" s="66">
        <v>50.4</v>
      </c>
      <c r="BB472" s="522" t="s">
        <v>1</v>
      </c>
      <c r="BM472" s="63">
        <f>IFERROR(X472*I472/H472,"0")</f>
        <v>35.76</v>
      </c>
      <c r="BN472" s="63">
        <f>IFERROR(Y472*I472/H472,"0")</f>
        <v>35.76</v>
      </c>
      <c r="BO472" s="63">
        <f>IFERROR(1/J472*(X472/H472),"0")</f>
        <v>6.0606060606060608E-2</v>
      </c>
      <c r="BP472" s="63">
        <f>IFERROR(1/J472*(Y472/H472),"0")</f>
        <v>6.0606060606060608E-2</v>
      </c>
    </row>
    <row r="473" spans="1:68" ht="27" customHeight="1" x14ac:dyDescent="0.25">
      <c r="A473" s="53" t="s">
        <v>724</v>
      </c>
      <c r="B473" s="53" t="s">
        <v>725</v>
      </c>
      <c r="C473" s="30">
        <v>4301031244</v>
      </c>
      <c r="D473" s="560">
        <v>4640242180595</v>
      </c>
      <c r="E473" s="561"/>
      <c r="F473" s="542">
        <v>0.7</v>
      </c>
      <c r="G473" s="31">
        <v>6</v>
      </c>
      <c r="H473" s="542">
        <v>4.2</v>
      </c>
      <c r="I473" s="542">
        <v>4.47</v>
      </c>
      <c r="J473" s="31">
        <v>132</v>
      </c>
      <c r="K473" s="31" t="s">
        <v>110</v>
      </c>
      <c r="L473" s="31" t="s">
        <v>111</v>
      </c>
      <c r="M473" s="32" t="s">
        <v>68</v>
      </c>
      <c r="N473" s="32"/>
      <c r="O473" s="31">
        <v>40</v>
      </c>
      <c r="P473" s="8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3"/>
      <c r="V473" s="33"/>
      <c r="W473" s="34" t="s">
        <v>69</v>
      </c>
      <c r="X473" s="543">
        <v>33.6</v>
      </c>
      <c r="Y473" s="544">
        <f>IFERROR(IF(X473="",0,CEILING((X473/$H473),1)*$H473),"")</f>
        <v>33.6</v>
      </c>
      <c r="Z473" s="35">
        <f>IFERROR(IF(Y473=0,"",ROUNDUP(Y473/H473,0)*0.00902),"")</f>
        <v>7.2160000000000002E-2</v>
      </c>
      <c r="AA473" s="55"/>
      <c r="AB473" s="56"/>
      <c r="AC473" s="523" t="s">
        <v>726</v>
      </c>
      <c r="AG473" s="63"/>
      <c r="AJ473" s="66" t="s">
        <v>90</v>
      </c>
      <c r="AK473" s="66">
        <v>50.4</v>
      </c>
      <c r="BB473" s="524" t="s">
        <v>1</v>
      </c>
      <c r="BM473" s="63">
        <f>IFERROR(X473*I473/H473,"0")</f>
        <v>35.76</v>
      </c>
      <c r="BN473" s="63">
        <f>IFERROR(Y473*I473/H473,"0")</f>
        <v>35.76</v>
      </c>
      <c r="BO473" s="63">
        <f>IFERROR(1/J473*(X473/H473),"0")</f>
        <v>6.0606060606060608E-2</v>
      </c>
      <c r="BP473" s="63">
        <f>IFERROR(1/J473*(Y473/H473),"0")</f>
        <v>6.0606060606060608E-2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6" t="s">
        <v>72</v>
      </c>
      <c r="X474" s="545">
        <f>IFERROR(X472/H472,"0")+IFERROR(X473/H473,"0")</f>
        <v>16</v>
      </c>
      <c r="Y474" s="545">
        <f>IFERROR(Y472/H472,"0")+IFERROR(Y473/H473,"0")</f>
        <v>16</v>
      </c>
      <c r="Z474" s="545">
        <f>IFERROR(IF(Z472="",0,Z472),"0")+IFERROR(IF(Z473="",0,Z473),"0")</f>
        <v>0.14432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6" t="s">
        <v>69</v>
      </c>
      <c r="X475" s="545">
        <f>IFERROR(SUM(X472:X473),"0")</f>
        <v>67.2</v>
      </c>
      <c r="Y475" s="545">
        <f>IFERROR(SUM(Y472:Y473),"0")</f>
        <v>67.2</v>
      </c>
      <c r="Z475" s="36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4"/>
      <c r="AB476" s="534"/>
      <c r="AC476" s="534"/>
    </row>
    <row r="477" spans="1:68" ht="27" customHeight="1" x14ac:dyDescent="0.25">
      <c r="A477" s="53" t="s">
        <v>727</v>
      </c>
      <c r="B477" s="53" t="s">
        <v>728</v>
      </c>
      <c r="C477" s="30">
        <v>4301052046</v>
      </c>
      <c r="D477" s="560">
        <v>4640242180533</v>
      </c>
      <c r="E477" s="561"/>
      <c r="F477" s="542">
        <v>1.5</v>
      </c>
      <c r="G477" s="31">
        <v>6</v>
      </c>
      <c r="H477" s="542">
        <v>9</v>
      </c>
      <c r="I477" s="542">
        <v>9.5190000000000001</v>
      </c>
      <c r="J477" s="31">
        <v>64</v>
      </c>
      <c r="K477" s="31" t="s">
        <v>104</v>
      </c>
      <c r="L477" s="31" t="s">
        <v>105</v>
      </c>
      <c r="M477" s="32" t="s">
        <v>84</v>
      </c>
      <c r="N477" s="32"/>
      <c r="O477" s="31">
        <v>45</v>
      </c>
      <c r="P477" s="7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3"/>
      <c r="V477" s="33"/>
      <c r="W477" s="34" t="s">
        <v>69</v>
      </c>
      <c r="X477" s="543">
        <v>27</v>
      </c>
      <c r="Y477" s="544">
        <f>IFERROR(IF(X477="",0,CEILING((X477/$H477),1)*$H477),"")</f>
        <v>27</v>
      </c>
      <c r="Z477" s="35">
        <f>IFERROR(IF(Y477=0,"",ROUNDUP(Y477/H477,0)*0.01898),"")</f>
        <v>5.6940000000000004E-2</v>
      </c>
      <c r="AA477" s="55"/>
      <c r="AB477" s="56"/>
      <c r="AC477" s="525" t="s">
        <v>729</v>
      </c>
      <c r="AG477" s="63"/>
      <c r="AJ477" s="66" t="s">
        <v>90</v>
      </c>
      <c r="AK477" s="66">
        <v>72</v>
      </c>
      <c r="BB477" s="526" t="s">
        <v>1</v>
      </c>
      <c r="BM477" s="63">
        <f>IFERROR(X477*I477/H477,"0")</f>
        <v>28.556999999999999</v>
      </c>
      <c r="BN477" s="63">
        <f>IFERROR(Y477*I477/H477,"0")</f>
        <v>28.556999999999999</v>
      </c>
      <c r="BO477" s="63">
        <f>IFERROR(1/J477*(X477/H477),"0")</f>
        <v>4.6875E-2</v>
      </c>
      <c r="BP477" s="63">
        <f>IFERROR(1/J477*(Y477/H477),"0")</f>
        <v>4.6875E-2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6" t="s">
        <v>72</v>
      </c>
      <c r="X478" s="545">
        <f>IFERROR(X477/H477,"0")</f>
        <v>3</v>
      </c>
      <c r="Y478" s="545">
        <f>IFERROR(Y477/H477,"0")</f>
        <v>3</v>
      </c>
      <c r="Z478" s="545">
        <f>IFERROR(IF(Z477="",0,Z477),"0")</f>
        <v>5.6940000000000004E-2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6" t="s">
        <v>69</v>
      </c>
      <c r="X479" s="545">
        <f>IFERROR(SUM(X477:X477),"0")</f>
        <v>27</v>
      </c>
      <c r="Y479" s="545">
        <f>IFERROR(SUM(Y477:Y477),"0")</f>
        <v>27</v>
      </c>
      <c r="Z479" s="36"/>
      <c r="AA479" s="546"/>
      <c r="AB479" s="546"/>
      <c r="AC479" s="546"/>
    </row>
    <row r="480" spans="1:68" ht="14.25" hidden="1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4"/>
      <c r="AB480" s="534"/>
      <c r="AC480" s="534"/>
    </row>
    <row r="481" spans="1:68" ht="27" customHeight="1" x14ac:dyDescent="0.25">
      <c r="A481" s="53" t="s">
        <v>730</v>
      </c>
      <c r="B481" s="53" t="s">
        <v>731</v>
      </c>
      <c r="C481" s="30">
        <v>4301060491</v>
      </c>
      <c r="D481" s="560">
        <v>4640242180120</v>
      </c>
      <c r="E481" s="561"/>
      <c r="F481" s="542">
        <v>1.5</v>
      </c>
      <c r="G481" s="31">
        <v>6</v>
      </c>
      <c r="H481" s="542">
        <v>9</v>
      </c>
      <c r="I481" s="542">
        <v>9.4350000000000005</v>
      </c>
      <c r="J481" s="31">
        <v>64</v>
      </c>
      <c r="K481" s="31" t="s">
        <v>104</v>
      </c>
      <c r="L481" s="31"/>
      <c r="M481" s="32" t="s">
        <v>77</v>
      </c>
      <c r="N481" s="32"/>
      <c r="O481" s="31">
        <v>40</v>
      </c>
      <c r="P481" s="8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3"/>
      <c r="V481" s="33"/>
      <c r="W481" s="34" t="s">
        <v>69</v>
      </c>
      <c r="X481" s="543">
        <v>18</v>
      </c>
      <c r="Y481" s="544">
        <f>IFERROR(IF(X481="",0,CEILING((X481/$H481),1)*$H481),"")</f>
        <v>18</v>
      </c>
      <c r="Z481" s="35">
        <f>IFERROR(IF(Y481=0,"",ROUNDUP(Y481/H481,0)*0.01898),"")</f>
        <v>3.7960000000000001E-2</v>
      </c>
      <c r="AA481" s="55"/>
      <c r="AB481" s="56"/>
      <c r="AC481" s="527" t="s">
        <v>732</v>
      </c>
      <c r="AG481" s="63"/>
      <c r="AJ481" s="66"/>
      <c r="AK481" s="66">
        <v>0</v>
      </c>
      <c r="BB481" s="528" t="s">
        <v>1</v>
      </c>
      <c r="BM481" s="63">
        <f>IFERROR(X481*I481/H481,"0")</f>
        <v>18.87</v>
      </c>
      <c r="BN481" s="63">
        <f>IFERROR(Y481*I481/H481,"0")</f>
        <v>18.87</v>
      </c>
      <c r="BO481" s="63">
        <f>IFERROR(1/J481*(X481/H481),"0")</f>
        <v>3.125E-2</v>
      </c>
      <c r="BP481" s="63">
        <f>IFERROR(1/J481*(Y481/H481),"0")</f>
        <v>3.125E-2</v>
      </c>
    </row>
    <row r="482" spans="1:68" ht="27" hidden="1" customHeight="1" x14ac:dyDescent="0.25">
      <c r="A482" s="53" t="s">
        <v>733</v>
      </c>
      <c r="B482" s="53" t="s">
        <v>734</v>
      </c>
      <c r="C482" s="30">
        <v>4301060493</v>
      </c>
      <c r="D482" s="560">
        <v>4640242180137</v>
      </c>
      <c r="E482" s="561"/>
      <c r="F482" s="542">
        <v>1.5</v>
      </c>
      <c r="G482" s="31">
        <v>6</v>
      </c>
      <c r="H482" s="542">
        <v>9</v>
      </c>
      <c r="I482" s="542">
        <v>9.4350000000000005</v>
      </c>
      <c r="J482" s="31">
        <v>64</v>
      </c>
      <c r="K482" s="31" t="s">
        <v>104</v>
      </c>
      <c r="L482" s="31"/>
      <c r="M482" s="32" t="s">
        <v>77</v>
      </c>
      <c r="N482" s="32"/>
      <c r="O482" s="31">
        <v>40</v>
      </c>
      <c r="P482" s="8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3"/>
      <c r="V482" s="33"/>
      <c r="W482" s="34" t="s">
        <v>69</v>
      </c>
      <c r="X482" s="543">
        <v>0</v>
      </c>
      <c r="Y482" s="544">
        <f>IFERROR(IF(X482="",0,CEILING((X482/$H482),1)*$H482),"")</f>
        <v>0</v>
      </c>
      <c r="Z482" s="35" t="str">
        <f>IFERROR(IF(Y482=0,"",ROUNDUP(Y482/H482,0)*0.01898),"")</f>
        <v/>
      </c>
      <c r="AA482" s="55"/>
      <c r="AB482" s="56"/>
      <c r="AC482" s="529" t="s">
        <v>735</v>
      </c>
      <c r="AG482" s="63"/>
      <c r="AJ482" s="66"/>
      <c r="AK482" s="66">
        <v>0</v>
      </c>
      <c r="BB482" s="530" t="s">
        <v>1</v>
      </c>
      <c r="BM482" s="63">
        <f>IFERROR(X482*I482/H482,"0")</f>
        <v>0</v>
      </c>
      <c r="BN482" s="63">
        <f>IFERROR(Y482*I482/H482,"0")</f>
        <v>0</v>
      </c>
      <c r="BO482" s="63">
        <f>IFERROR(1/J482*(X482/H482),"0")</f>
        <v>0</v>
      </c>
      <c r="BP482" s="63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6" t="s">
        <v>72</v>
      </c>
      <c r="X483" s="545">
        <f>IFERROR(X481/H481,"0")+IFERROR(X482/H482,"0")</f>
        <v>2</v>
      </c>
      <c r="Y483" s="545">
        <f>IFERROR(Y481/H481,"0")+IFERROR(Y482/H482,"0")</f>
        <v>2</v>
      </c>
      <c r="Z483" s="545">
        <f>IFERROR(IF(Z481="",0,Z481),"0")+IFERROR(IF(Z482="",0,Z482),"0")</f>
        <v>3.7960000000000001E-2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6" t="s">
        <v>69</v>
      </c>
      <c r="X484" s="545">
        <f>IFERROR(SUM(X481:X482),"0")</f>
        <v>18</v>
      </c>
      <c r="Y484" s="545">
        <f>IFERROR(SUM(Y481:Y482),"0")</f>
        <v>18</v>
      </c>
      <c r="Z484" s="36"/>
      <c r="AA484" s="546"/>
      <c r="AB484" s="546"/>
      <c r="AC484" s="546"/>
    </row>
    <row r="485" spans="1:68" ht="16.5" hidden="1" customHeight="1" x14ac:dyDescent="0.25">
      <c r="A485" s="596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4"/>
      <c r="AB486" s="534"/>
      <c r="AC486" s="534"/>
    </row>
    <row r="487" spans="1:68" ht="27" hidden="1" customHeight="1" x14ac:dyDescent="0.25">
      <c r="A487" s="53" t="s">
        <v>737</v>
      </c>
      <c r="B487" s="53" t="s">
        <v>738</v>
      </c>
      <c r="C487" s="30">
        <v>4301020314</v>
      </c>
      <c r="D487" s="560">
        <v>4640242180090</v>
      </c>
      <c r="E487" s="561"/>
      <c r="F487" s="542">
        <v>1.5</v>
      </c>
      <c r="G487" s="31">
        <v>8</v>
      </c>
      <c r="H487" s="542">
        <v>12</v>
      </c>
      <c r="I487" s="542">
        <v>12.435</v>
      </c>
      <c r="J487" s="31">
        <v>64</v>
      </c>
      <c r="K487" s="31" t="s">
        <v>104</v>
      </c>
      <c r="L487" s="31"/>
      <c r="M487" s="32" t="s">
        <v>106</v>
      </c>
      <c r="N487" s="32"/>
      <c r="O487" s="31">
        <v>50</v>
      </c>
      <c r="P487" s="67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3"/>
      <c r="V487" s="33"/>
      <c r="W487" s="34" t="s">
        <v>69</v>
      </c>
      <c r="X487" s="543">
        <v>0</v>
      </c>
      <c r="Y487" s="544">
        <f>IFERROR(IF(X487="",0,CEILING((X487/$H487),1)*$H487),"")</f>
        <v>0</v>
      </c>
      <c r="Z487" s="35" t="str">
        <f>IFERROR(IF(Y487=0,"",ROUNDUP(Y487/H487,0)*0.01898),"")</f>
        <v/>
      </c>
      <c r="AA487" s="55"/>
      <c r="AB487" s="56"/>
      <c r="AC487" s="531" t="s">
        <v>739</v>
      </c>
      <c r="AG487" s="63"/>
      <c r="AJ487" s="66"/>
      <c r="AK487" s="66">
        <v>0</v>
      </c>
      <c r="BB487" s="532" t="s">
        <v>1</v>
      </c>
      <c r="BM487" s="63">
        <f>IFERROR(X487*I487/H487,"0")</f>
        <v>0</v>
      </c>
      <c r="BN487" s="63">
        <f>IFERROR(Y487*I487/H487,"0")</f>
        <v>0</v>
      </c>
      <c r="BO487" s="63">
        <f>IFERROR(1/J487*(X487/H487),"0")</f>
        <v>0</v>
      </c>
      <c r="BP487" s="63">
        <f>IFERROR(1/J487*(Y487/H487),"0")</f>
        <v>0</v>
      </c>
    </row>
    <row r="488" spans="1:68" hidden="1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6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6" t="s">
        <v>69</v>
      </c>
      <c r="X489" s="545">
        <f>IFERROR(SUM(X487:X487),"0")</f>
        <v>0</v>
      </c>
      <c r="Y489" s="545">
        <f>IFERROR(SUM(Y487:Y487),"0")</f>
        <v>0</v>
      </c>
      <c r="Z489" s="36"/>
      <c r="AA489" s="546"/>
      <c r="AB489" s="546"/>
      <c r="AC489" s="546"/>
    </row>
    <row r="490" spans="1:68" ht="15" customHeight="1" x14ac:dyDescent="0.2">
      <c r="A490" s="73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3"/>
      <c r="P490" s="588" t="s">
        <v>740</v>
      </c>
      <c r="Q490" s="589"/>
      <c r="R490" s="589"/>
      <c r="S490" s="589"/>
      <c r="T490" s="589"/>
      <c r="U490" s="589"/>
      <c r="V490" s="575"/>
      <c r="W490" s="36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6752.670000000001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6752.670000000001</v>
      </c>
      <c r="Z490" s="36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3"/>
      <c r="P491" s="588" t="s">
        <v>741</v>
      </c>
      <c r="Q491" s="589"/>
      <c r="R491" s="589"/>
      <c r="S491" s="589"/>
      <c r="T491" s="589"/>
      <c r="U491" s="589"/>
      <c r="V491" s="575"/>
      <c r="W491" s="36" t="s">
        <v>69</v>
      </c>
      <c r="X491" s="545">
        <f>IFERROR(SUM(BM22:BM487),"0")</f>
        <v>7062.0880000000006</v>
      </c>
      <c r="Y491" s="545">
        <f>IFERROR(SUM(BN22:BN487),"0")</f>
        <v>7062.0880000000006</v>
      </c>
      <c r="Z491" s="36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3"/>
      <c r="P492" s="588" t="s">
        <v>742</v>
      </c>
      <c r="Q492" s="589"/>
      <c r="R492" s="589"/>
      <c r="S492" s="589"/>
      <c r="T492" s="589"/>
      <c r="U492" s="589"/>
      <c r="V492" s="575"/>
      <c r="W492" s="36" t="s">
        <v>743</v>
      </c>
      <c r="X492" s="37">
        <f>ROUNDUP(SUM(BO22:BO487),0)</f>
        <v>11</v>
      </c>
      <c r="Y492" s="37">
        <f>ROUNDUP(SUM(BP22:BP487),0)</f>
        <v>11</v>
      </c>
      <c r="Z492" s="36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3"/>
      <c r="P493" s="588" t="s">
        <v>744</v>
      </c>
      <c r="Q493" s="589"/>
      <c r="R493" s="589"/>
      <c r="S493" s="589"/>
      <c r="T493" s="589"/>
      <c r="U493" s="589"/>
      <c r="V493" s="575"/>
      <c r="W493" s="36" t="s">
        <v>69</v>
      </c>
      <c r="X493" s="545">
        <f>GrossWeightTotal+PalletQtyTotal*25</f>
        <v>7337.0880000000006</v>
      </c>
      <c r="Y493" s="545">
        <f>GrossWeightTotalR+PalletQtyTotalR*25</f>
        <v>7337.0880000000006</v>
      </c>
      <c r="Z493" s="36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3"/>
      <c r="P494" s="588" t="s">
        <v>745</v>
      </c>
      <c r="Q494" s="589"/>
      <c r="R494" s="589"/>
      <c r="S494" s="589"/>
      <c r="T494" s="589"/>
      <c r="U494" s="589"/>
      <c r="V494" s="575"/>
      <c r="W494" s="36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824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824</v>
      </c>
      <c r="Z494" s="36"/>
      <c r="AA494" s="546"/>
      <c r="AB494" s="546"/>
      <c r="AC494" s="546"/>
    </row>
    <row r="495" spans="1:68" ht="14.25" hidden="1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3"/>
      <c r="P495" s="588" t="s">
        <v>746</v>
      </c>
      <c r="Q495" s="589"/>
      <c r="R495" s="589"/>
      <c r="S495" s="589"/>
      <c r="T495" s="589"/>
      <c r="U495" s="589"/>
      <c r="V495" s="575"/>
      <c r="W495" s="38" t="s">
        <v>747</v>
      </c>
      <c r="X495" s="36"/>
      <c r="Y495" s="36"/>
      <c r="Z495" s="36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12.487730000000003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39" t="s">
        <v>748</v>
      </c>
      <c r="B497" s="537" t="s">
        <v>63</v>
      </c>
      <c r="C497" s="590" t="s">
        <v>99</v>
      </c>
      <c r="D497" s="594"/>
      <c r="E497" s="594"/>
      <c r="F497" s="594"/>
      <c r="G497" s="594"/>
      <c r="H497" s="595"/>
      <c r="I497" s="590" t="s">
        <v>257</v>
      </c>
      <c r="J497" s="594"/>
      <c r="K497" s="594"/>
      <c r="L497" s="594"/>
      <c r="M497" s="594"/>
      <c r="N497" s="594"/>
      <c r="O497" s="594"/>
      <c r="P497" s="594"/>
      <c r="Q497" s="594"/>
      <c r="R497" s="595"/>
      <c r="S497" s="590" t="s">
        <v>538</v>
      </c>
      <c r="T497" s="595"/>
      <c r="U497" s="590" t="s">
        <v>589</v>
      </c>
      <c r="V497" s="594"/>
      <c r="W497" s="595"/>
      <c r="X497" s="537" t="s">
        <v>640</v>
      </c>
      <c r="Y497" s="590" t="s">
        <v>700</v>
      </c>
      <c r="Z497" s="595"/>
      <c r="AB497" s="51"/>
      <c r="AC497" s="51"/>
      <c r="AF497" s="533"/>
    </row>
    <row r="498" spans="1:32" ht="14.25" customHeight="1" thickTop="1" x14ac:dyDescent="0.2">
      <c r="A498" s="841" t="s">
        <v>749</v>
      </c>
      <c r="B498" s="590" t="s">
        <v>63</v>
      </c>
      <c r="C498" s="590" t="s">
        <v>100</v>
      </c>
      <c r="D498" s="590" t="s">
        <v>117</v>
      </c>
      <c r="E498" s="590" t="s">
        <v>173</v>
      </c>
      <c r="F498" s="590" t="s">
        <v>192</v>
      </c>
      <c r="G498" s="590" t="s">
        <v>222</v>
      </c>
      <c r="H498" s="590" t="s">
        <v>99</v>
      </c>
      <c r="I498" s="590" t="s">
        <v>258</v>
      </c>
      <c r="J498" s="590" t="s">
        <v>299</v>
      </c>
      <c r="K498" s="590" t="s">
        <v>359</v>
      </c>
      <c r="L498" s="590" t="s">
        <v>401</v>
      </c>
      <c r="M498" s="590" t="s">
        <v>417</v>
      </c>
      <c r="N498" s="533"/>
      <c r="O498" s="590" t="s">
        <v>428</v>
      </c>
      <c r="P498" s="590" t="s">
        <v>437</v>
      </c>
      <c r="Q498" s="590" t="s">
        <v>447</v>
      </c>
      <c r="R498" s="590" t="s">
        <v>528</v>
      </c>
      <c r="S498" s="590" t="s">
        <v>539</v>
      </c>
      <c r="T498" s="590" t="s">
        <v>573</v>
      </c>
      <c r="U498" s="590" t="s">
        <v>590</v>
      </c>
      <c r="V498" s="590" t="s">
        <v>621</v>
      </c>
      <c r="W498" s="590" t="s">
        <v>636</v>
      </c>
      <c r="X498" s="590" t="s">
        <v>640</v>
      </c>
      <c r="Y498" s="590" t="s">
        <v>700</v>
      </c>
      <c r="Z498" s="590" t="s">
        <v>736</v>
      </c>
      <c r="AB498" s="51"/>
      <c r="AC498" s="51"/>
      <c r="AF498" s="533"/>
    </row>
    <row r="499" spans="1:32" ht="13.5" customHeight="1" thickBot="1" x14ac:dyDescent="0.25">
      <c r="A499" s="842"/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33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  <c r="Z499" s="591"/>
      <c r="AB499" s="51"/>
      <c r="AC499" s="51"/>
      <c r="AF499" s="533"/>
    </row>
    <row r="500" spans="1:32" ht="18" customHeight="1" thickTop="1" thickBot="1" x14ac:dyDescent="0.25">
      <c r="A500" s="39" t="s">
        <v>750</v>
      </c>
      <c r="B500" s="45">
        <f>IFERROR(Y22*1,"0")+IFERROR(Y26*1,"0")+IFERROR(Y27*1,"0")+IFERROR(Y28*1,"0")+IFERROR(Y29*1,"0")+IFERROR(Y30*1,"0")+IFERROR(Y34*1,"0")</f>
        <v>5.04</v>
      </c>
      <c r="C500" s="45">
        <f>IFERROR(Y40*1,"0")+IFERROR(Y41*1,"0")+IFERROR(Y42*1,"0")+IFERROR(Y46*1,"0")</f>
        <v>162</v>
      </c>
      <c r="D500" s="45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413.14000000000004</v>
      </c>
      <c r="E500" s="45">
        <f>IFERROR(Y86*1,"0")+IFERROR(Y87*1,"0")+IFERROR(Y88*1,"0")+IFERROR(Y92*1,"0")+IFERROR(Y93*1,"0")+IFERROR(Y94*1,"0")+IFERROR(Y95*1,"0")</f>
        <v>186.3</v>
      </c>
      <c r="F500" s="45">
        <f>IFERROR(Y100*1,"0")+IFERROR(Y101*1,"0")+IFERROR(Y102*1,"0")+IFERROR(Y103*1,"0")+IFERROR(Y107*1,"0")+IFERROR(Y108*1,"0")+IFERROR(Y109*1,"0")+IFERROR(Y113*1,"0")+IFERROR(Y114*1,"0")+IFERROR(Y115*1,"0")+IFERROR(Y116*1,"0")+IFERROR(Y120*1,"0")</f>
        <v>178.20000000000002</v>
      </c>
      <c r="G500" s="45">
        <f>IFERROR(Y125*1,"0")+IFERROR(Y126*1,"0")+IFERROR(Y130*1,"0")+IFERROR(Y131*1,"0")+IFERROR(Y135*1,"0")+IFERROR(Y136*1,"0")</f>
        <v>5.28</v>
      </c>
      <c r="H500" s="45">
        <f>IFERROR(Y141*1,"0")+IFERROR(Y142*1,"0")+IFERROR(Y143*1,"0")+IFERROR(Y147*1,"0")+IFERROR(Y148*1,"0")+IFERROR(Y149*1,"0")+IFERROR(Y153*1,"0")</f>
        <v>94.800000000000011</v>
      </c>
      <c r="I500" s="45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106.08000000000001</v>
      </c>
      <c r="J500" s="45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191.40000000000003</v>
      </c>
      <c r="K500" s="45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2.88</v>
      </c>
      <c r="L500" s="45">
        <f>IFERROR(Y255*1,"0")+IFERROR(Y256*1,"0")+IFERROR(Y257*1,"0")+IFERROR(Y258*1,"0")+IFERROR(Y259*1,"0")</f>
        <v>348</v>
      </c>
      <c r="M500" s="45">
        <f>IFERROR(Y264*1,"0")+IFERROR(Y265*1,"0")+IFERROR(Y266*1,"0")+IFERROR(Y267*1,"0")</f>
        <v>0</v>
      </c>
      <c r="N500" s="533"/>
      <c r="O500" s="45">
        <f>IFERROR(Y272*1,"0")+IFERROR(Y273*1,"0")+IFERROR(Y274*1,"0")</f>
        <v>21.6</v>
      </c>
      <c r="P500" s="45">
        <f>IFERROR(Y279*1,"0")+IFERROR(Y280*1,"0")+IFERROR(Y284*1,"0")</f>
        <v>20.399999999999999</v>
      </c>
      <c r="Q500" s="45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1981.7699999999998</v>
      </c>
      <c r="R500" s="45">
        <f>IFERROR(Y336*1,"0")+IFERROR(Y337*1,"0")+IFERROR(Y338*1,"0")</f>
        <v>85.8</v>
      </c>
      <c r="S500" s="45">
        <f>IFERROR(Y344*1,"0")+IFERROR(Y345*1,"0")+IFERROR(Y346*1,"0")+IFERROR(Y347*1,"0")+IFERROR(Y348*1,"0")+IFERROR(Y349*1,"0")+IFERROR(Y350*1,"0")+IFERROR(Y354*1,"0")+IFERROR(Y355*1,"0")+IFERROR(Y359*1,"0")+IFERROR(Y360*1,"0")+IFERROR(Y364*1,"0")</f>
        <v>2654</v>
      </c>
      <c r="T500" s="45">
        <f>IFERROR(Y369*1,"0")+IFERROR(Y370*1,"0")+IFERROR(Y374*1,"0")+IFERROR(Y375*1,"0")+IFERROR(Y379*1,"0")+IFERROR(Y380*1,"0")</f>
        <v>18</v>
      </c>
      <c r="U500" s="45">
        <f>IFERROR(Y386*1,"0")+IFERROR(Y387*1,"0")+IFERROR(Y388*1,"0")+IFERROR(Y389*1,"0")+IFERROR(Y390*1,"0")+IFERROR(Y391*1,"0")+IFERROR(Y392*1,"0")+IFERROR(Y393*1,"0")+IFERROR(Y394*1,"0")+IFERROR(Y398*1,"0")+IFERROR(Y399*1,"0")</f>
        <v>86.1</v>
      </c>
      <c r="V500" s="45">
        <f>IFERROR(Y404*1,"0")+IFERROR(Y408*1,"0")+IFERROR(Y409*1,"0")+IFERROR(Y410*1,"0")+IFERROR(Y411*1,"0")</f>
        <v>48</v>
      </c>
      <c r="W500" s="45">
        <f>IFERROR(Y416*1,"0")</f>
        <v>0</v>
      </c>
      <c r="X500" s="45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31.680000000000003</v>
      </c>
      <c r="Y500" s="45">
        <f>IFERROR(Y459*1,"0")+IFERROR(Y460*1,"0")+IFERROR(Y461*1,"0")+IFERROR(Y462*1,"0")+IFERROR(Y466*1,"0")+IFERROR(Y467*1,"0")+IFERROR(Y468*1,"0")+IFERROR(Y472*1,"0")+IFERROR(Y473*1,"0")+IFERROR(Y477*1,"0")+IFERROR(Y481*1,"0")+IFERROR(Y482*1,"0")</f>
        <v>112.2</v>
      </c>
      <c r="Z500" s="45">
        <f>IFERROR(Y487*1,"0")</f>
        <v>0</v>
      </c>
      <c r="AB500" s="51"/>
      <c r="AC500" s="51"/>
      <c r="AF500" s="533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0"/>
        <filter val="0,99"/>
        <filter val="1 041,90"/>
        <filter val="1 898,00"/>
        <filter val="1,00"/>
        <filter val="1,26"/>
        <filter val="10,00"/>
        <filter val="10,50"/>
        <filter val="10,56"/>
        <filter val="10,80"/>
        <filter val="108,00"/>
        <filter val="11"/>
        <filter val="11,00"/>
        <filter val="12,00"/>
        <filter val="12,60"/>
        <filter val="126,00"/>
        <filter val="128,00"/>
        <filter val="129,60"/>
        <filter val="13,00"/>
        <filter val="13,50"/>
        <filter val="136,00"/>
        <filter val="15,00"/>
        <filter val="15,60"/>
        <filter val="16,00"/>
        <filter val="16,20"/>
        <filter val="16,77"/>
        <filter val="16,80"/>
        <filter val="162,00"/>
        <filter val="17,04"/>
        <filter val="17,40"/>
        <filter val="175,50"/>
        <filter val="18,00"/>
        <filter val="194,20"/>
        <filter val="2,00"/>
        <filter val="2,40"/>
        <filter val="2,52"/>
        <filter val="2,55"/>
        <filter val="2,70"/>
        <filter val="2,88"/>
        <filter val="20,00"/>
        <filter val="20,40"/>
        <filter val="21,00"/>
        <filter val="21,60"/>
        <filter val="21,90"/>
        <filter val="23,00"/>
        <filter val="25,00"/>
        <filter val="25,20"/>
        <filter val="257,10"/>
        <filter val="27,00"/>
        <filter val="28,80"/>
        <filter val="3,00"/>
        <filter val="3,04"/>
        <filter val="3,60"/>
        <filter val="3,78"/>
        <filter val="32,00"/>
        <filter val="324,00"/>
        <filter val="33,00"/>
        <filter val="33,60"/>
        <filter val="348,00"/>
        <filter val="35,40"/>
        <filter val="36,00"/>
        <filter val="38,40"/>
        <filter val="4,00"/>
        <filter val="4,80"/>
        <filter val="44,80"/>
        <filter val="450,00"/>
        <filter val="48,00"/>
        <filter val="5,00"/>
        <filter val="5,04"/>
        <filter val="5,10"/>
        <filter val="5,28"/>
        <filter val="5,40"/>
        <filter val="5,94"/>
        <filter val="54,00"/>
        <filter val="57,60"/>
        <filter val="59,40"/>
        <filter val="6 752,67"/>
        <filter val="6,00"/>
        <filter val="6,08"/>
        <filter val="6,30"/>
        <filter val="608,40"/>
        <filter val="61,80"/>
        <filter val="62,00"/>
        <filter val="63,00"/>
        <filter val="64,80"/>
        <filter val="67,00"/>
        <filter val="67,20"/>
        <filter val="7 062,09"/>
        <filter val="7 337,09"/>
        <filter val="7,00"/>
        <filter val="7,20"/>
        <filter val="720,00"/>
        <filter val="78,30"/>
        <filter val="8,00"/>
        <filter val="8,40"/>
        <filter val="81,00"/>
        <filter val="81,30"/>
        <filter val="824,00"/>
        <filter val="84,00"/>
        <filter val="85,80"/>
        <filter val="86,40"/>
        <filter val="9,00"/>
        <filter val="9,60"/>
        <filter val="95,10"/>
        <filter val="998,40"/>
      </filters>
    </filterColumn>
    <filterColumn colId="29" showButton="0"/>
    <filterColumn colId="30" showButton="0"/>
  </autoFilter>
  <mergeCells count="876"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W17:W18"/>
    <mergeCell ref="A50:Z50"/>
    <mergeCell ref="P96:V96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P166:T166"/>
    <mergeCell ref="D301:E301"/>
    <mergeCell ref="D445:E445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147:E147"/>
    <mergeCell ref="D209:E209"/>
    <mergeCell ref="P188:V188"/>
    <mergeCell ref="D274:E274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P258:T25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A117:O118"/>
    <mergeCell ref="P187:T187"/>
    <mergeCell ref="D375:E375"/>
    <mergeCell ref="P429:T429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A123:Z123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P127:V127"/>
    <mergeCell ref="D390:E390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203:E203"/>
    <mergeCell ref="A480:Z480"/>
    <mergeCell ref="D467:E467"/>
    <mergeCell ref="P424:T424"/>
    <mergeCell ref="D345:E345"/>
    <mergeCell ref="A82:O83"/>
    <mergeCell ref="D399:E399"/>
    <mergeCell ref="A439:O440"/>
    <mergeCell ref="P309:T309"/>
    <mergeCell ref="P88:T88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P433:V433"/>
    <mergeCell ref="P308:T308"/>
    <mergeCell ref="D416:E416"/>
    <mergeCell ref="P427:T427"/>
    <mergeCell ref="D264:E264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P83:V83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A180:Z180"/>
    <mergeCell ref="D487:E487"/>
    <mergeCell ref="P74:T74"/>
    <mergeCell ref="P243:V243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12:M12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P51:T51"/>
    <mergeCell ref="P15:T16"/>
    <mergeCell ref="A69:O70"/>
    <mergeCell ref="D93:E93"/>
    <mergeCell ref="D391:E391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P477:T477"/>
    <mergeCell ref="D349:E349"/>
    <mergeCell ref="P455:V455"/>
    <mergeCell ref="A454:O455"/>
    <mergeCell ref="R498:R499"/>
    <mergeCell ref="P313:V313"/>
    <mergeCell ref="P380:T380"/>
    <mergeCell ref="A119:Z119"/>
    <mergeCell ref="P244:V244"/>
    <mergeCell ref="A367:Z367"/>
    <mergeCell ref="P115:T115"/>
    <mergeCell ref="P238:T238"/>
    <mergeCell ref="D438:E438"/>
    <mergeCell ref="D267:E267"/>
    <mergeCell ref="D425:E425"/>
    <mergeCell ref="D359:E359"/>
    <mergeCell ref="A486:Z486"/>
    <mergeCell ref="P483:V483"/>
    <mergeCell ref="J9:M9"/>
    <mergeCell ref="D348:E348"/>
    <mergeCell ref="P141:T141"/>
    <mergeCell ref="P454:V454"/>
    <mergeCell ref="D62:E62"/>
    <mergeCell ref="D56:E56"/>
    <mergeCell ref="D51:E51"/>
    <mergeCell ref="A38:Z38"/>
    <mergeCell ref="P58:V58"/>
    <mergeCell ref="A13:M13"/>
    <mergeCell ref="D87:E87"/>
    <mergeCell ref="D61:E61"/>
    <mergeCell ref="A15:M15"/>
    <mergeCell ref="D346:E346"/>
    <mergeCell ref="P229:T229"/>
    <mergeCell ref="A419:Z419"/>
    <mergeCell ref="D477:E477"/>
    <mergeCell ref="P375:T375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214:T214"/>
    <mergeCell ref="D213:E213"/>
    <mergeCell ref="D374:E374"/>
    <mergeCell ref="P232:T232"/>
    <mergeCell ref="P330:T330"/>
    <mergeCell ref="A435:Z435"/>
    <mergeCell ref="P177:T177"/>
    <mergeCell ref="P57:V57"/>
    <mergeCell ref="G17:G18"/>
    <mergeCell ref="D80:E80"/>
    <mergeCell ref="P46:T46"/>
    <mergeCell ref="P240:V240"/>
    <mergeCell ref="P41:T41"/>
    <mergeCell ref="A35:O36"/>
    <mergeCell ref="D22:E22"/>
    <mergeCell ref="P301:T301"/>
    <mergeCell ref="P34:T34"/>
    <mergeCell ref="A400:O401"/>
    <mergeCell ref="D257:E257"/>
    <mergeCell ref="H17:H18"/>
    <mergeCell ref="A146:Z146"/>
    <mergeCell ref="P388:T388"/>
    <mergeCell ref="P159:T159"/>
    <mergeCell ref="D125:E125"/>
    <mergeCell ref="D220:E220"/>
    <mergeCell ref="A195:Z195"/>
    <mergeCell ref="P434:V434"/>
    <mergeCell ref="A433:O434"/>
    <mergeCell ref="A253:Z253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398:T398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227:T227"/>
    <mergeCell ref="D498:D499"/>
    <mergeCell ref="P93:T93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121:V121"/>
    <mergeCell ref="P382:V382"/>
    <mergeCell ref="P357:V357"/>
    <mergeCell ref="D459:E459"/>
    <mergeCell ref="P130:T130"/>
    <mergeCell ref="D136:E136"/>
    <mergeCell ref="A271:Z271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D292:E292"/>
    <mergeCell ref="A243:O244"/>
    <mergeCell ref="D227:E227"/>
    <mergeCell ref="A463:O464"/>
    <mergeCell ref="X498:X499"/>
    <mergeCell ref="P247:T247"/>
    <mergeCell ref="P114:T114"/>
    <mergeCell ref="A328:Z328"/>
    <mergeCell ref="A157:Z157"/>
    <mergeCell ref="D149:E149"/>
    <mergeCell ref="D447:E447"/>
    <mergeCell ref="A127:O128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474:V474"/>
    <mergeCell ref="P401:V401"/>
    <mergeCell ref="P268:V268"/>
    <mergeCell ref="P339:V339"/>
    <mergeCell ref="D318:E318"/>
    <mergeCell ref="D389:E389"/>
    <mergeCell ref="P201:T201"/>
    <mergeCell ref="P97:V97"/>
    <mergeCell ref="P176:T176"/>
    <mergeCell ref="P279:T279"/>
    <mergeCell ref="A420:Z420"/>
    <mergeCell ref="P472:T472"/>
    <mergeCell ref="D393:E393"/>
    <mergeCell ref="A224:Z224"/>
    <mergeCell ref="P108:T108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P75:T75"/>
    <mergeCell ref="P406:V406"/>
    <mergeCell ref="P317:T317"/>
    <mergeCell ref="D86:E86"/>
    <mergeCell ref="D430:E430"/>
    <mergeCell ref="D175:E175"/>
    <mergeCell ref="P186:T186"/>
    <mergeCell ref="D392:E392"/>
    <mergeCell ref="V11:W11"/>
    <mergeCell ref="P469:V469"/>
    <mergeCell ref="A465:Z465"/>
    <mergeCell ref="A223:Z223"/>
    <mergeCell ref="A326:O327"/>
    <mergeCell ref="D165:E165"/>
    <mergeCell ref="P62:T62"/>
    <mergeCell ref="A457:Z457"/>
    <mergeCell ref="A110:O111"/>
    <mergeCell ref="P107:T107"/>
    <mergeCell ref="P101:T101"/>
    <mergeCell ref="P63:V63"/>
    <mergeCell ref="D386:E386"/>
    <mergeCell ref="D215:E215"/>
    <mergeCell ref="P194:V194"/>
    <mergeCell ref="A106:Z106"/>
    <mergeCell ref="D323:E323"/>
    <mergeCell ref="D394:E394"/>
    <mergeCell ref="D279:E279"/>
    <mergeCell ref="A254:Z254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D76:E76"/>
    <mergeCell ref="P365:V365"/>
    <mergeCell ref="P144:V144"/>
    <mergeCell ref="A25:Z25"/>
    <mergeCell ref="P67:T67"/>
    <mergeCell ref="P181:T181"/>
    <mergeCell ref="A9:C9"/>
    <mergeCell ref="P125:T125"/>
    <mergeCell ref="D202:E202"/>
    <mergeCell ref="P32:V32"/>
    <mergeCell ref="Q13:R13"/>
    <mergeCell ref="P47:V47"/>
    <mergeCell ref="AA17:AA18"/>
    <mergeCell ref="H10:M10"/>
    <mergeCell ref="AC17:AC18"/>
    <mergeCell ref="A104:O105"/>
    <mergeCell ref="A415:Z415"/>
    <mergeCell ref="L498:L499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1"/>
    </row>
    <row r="3" spans="2:8" x14ac:dyDescent="0.2">
      <c r="B3" s="46" t="s">
        <v>752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753</v>
      </c>
      <c r="D6" s="46" t="s">
        <v>754</v>
      </c>
      <c r="E6" s="46"/>
    </row>
    <row r="8" spans="2:8" x14ac:dyDescent="0.2">
      <c r="B8" s="46" t="s">
        <v>19</v>
      </c>
      <c r="C8" s="46" t="s">
        <v>753</v>
      </c>
      <c r="D8" s="46"/>
      <c r="E8" s="46"/>
    </row>
    <row r="10" spans="2:8" x14ac:dyDescent="0.2">
      <c r="B10" s="46" t="s">
        <v>755</v>
      </c>
      <c r="C10" s="46"/>
      <c r="D10" s="46"/>
      <c r="E10" s="46"/>
    </row>
    <row r="11" spans="2:8" x14ac:dyDescent="0.2">
      <c r="B11" s="46" t="s">
        <v>756</v>
      </c>
      <c r="C11" s="46"/>
      <c r="D11" s="46"/>
      <c r="E11" s="46"/>
    </row>
    <row r="12" spans="2:8" x14ac:dyDescent="0.2">
      <c r="B12" s="46" t="s">
        <v>757</v>
      </c>
      <c r="C12" s="46"/>
      <c r="D12" s="46"/>
      <c r="E12" s="46"/>
    </row>
    <row r="13" spans="2:8" x14ac:dyDescent="0.2">
      <c r="B13" s="46" t="s">
        <v>758</v>
      </c>
      <c r="C13" s="46"/>
      <c r="D13" s="46"/>
      <c r="E13" s="46"/>
    </row>
    <row r="14" spans="2:8" x14ac:dyDescent="0.2">
      <c r="B14" s="46" t="s">
        <v>759</v>
      </c>
      <c r="C14" s="46"/>
      <c r="D14" s="46"/>
      <c r="E14" s="46"/>
    </row>
    <row r="15" spans="2:8" x14ac:dyDescent="0.2">
      <c r="B15" s="46" t="s">
        <v>760</v>
      </c>
      <c r="C15" s="46"/>
      <c r="D15" s="46"/>
      <c r="E15" s="46"/>
    </row>
    <row r="16" spans="2:8" x14ac:dyDescent="0.2">
      <c r="B16" s="46" t="s">
        <v>761</v>
      </c>
      <c r="C16" s="46"/>
      <c r="D16" s="46"/>
      <c r="E16" s="46"/>
    </row>
    <row r="17" spans="2:5" x14ac:dyDescent="0.2">
      <c r="B17" s="46" t="s">
        <v>762</v>
      </c>
      <c r="C17" s="46"/>
      <c r="D17" s="46"/>
      <c r="E17" s="46"/>
    </row>
    <row r="18" spans="2:5" x14ac:dyDescent="0.2">
      <c r="B18" s="46" t="s">
        <v>763</v>
      </c>
      <c r="C18" s="46"/>
      <c r="D18" s="46"/>
      <c r="E18" s="46"/>
    </row>
    <row r="19" spans="2:5" x14ac:dyDescent="0.2">
      <c r="B19" s="46" t="s">
        <v>764</v>
      </c>
      <c r="C19" s="46"/>
      <c r="D19" s="46"/>
      <c r="E19" s="46"/>
    </row>
    <row r="20" spans="2:5" x14ac:dyDescent="0.2">
      <c r="B20" s="46" t="s">
        <v>765</v>
      </c>
      <c r="C20" s="46"/>
      <c r="D20" s="46"/>
      <c r="E20" s="46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