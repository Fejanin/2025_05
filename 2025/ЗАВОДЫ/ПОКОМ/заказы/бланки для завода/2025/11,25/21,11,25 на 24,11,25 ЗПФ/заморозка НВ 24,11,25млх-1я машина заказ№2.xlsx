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1EF8CA-D3F6-433E-97B5-639C0A732C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Y254" i="1" s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1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Y60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BO29" i="1"/>
  <c r="BM29" i="1"/>
  <c r="Z29" i="1"/>
  <c r="Y29" i="1"/>
  <c r="P29" i="1"/>
  <c r="BO28" i="1"/>
  <c r="BM28" i="1"/>
  <c r="Z28" i="1"/>
  <c r="Y28" i="1"/>
  <c r="Y30" i="1" s="1"/>
  <c r="P28" i="1"/>
  <c r="X24" i="1"/>
  <c r="X27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5" i="1" l="1"/>
  <c r="Y82" i="1"/>
  <c r="Y92" i="1"/>
  <c r="BN87" i="1"/>
  <c r="BN89" i="1"/>
  <c r="BN91" i="1"/>
  <c r="Y98" i="1"/>
  <c r="Y110" i="1"/>
  <c r="Z109" i="1"/>
  <c r="BN103" i="1"/>
  <c r="BN105" i="1"/>
  <c r="BN107" i="1"/>
  <c r="Z114" i="1"/>
  <c r="BN117" i="1"/>
  <c r="BP117" i="1"/>
  <c r="Y118" i="1"/>
  <c r="Z124" i="1"/>
  <c r="BN122" i="1"/>
  <c r="Y125" i="1"/>
  <c r="Z130" i="1"/>
  <c r="BN134" i="1"/>
  <c r="BN135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Y164" i="1"/>
  <c r="Z171" i="1"/>
  <c r="BN174" i="1"/>
  <c r="BP174" i="1"/>
  <c r="Y175" i="1"/>
  <c r="BN180" i="1"/>
  <c r="BP180" i="1"/>
  <c r="Y181" i="1"/>
  <c r="Z188" i="1"/>
  <c r="BN184" i="1"/>
  <c r="BN185" i="1"/>
  <c r="BN187" i="1"/>
  <c r="J9" i="1"/>
  <c r="X277" i="1"/>
  <c r="X276" i="1"/>
  <c r="Y172" i="1"/>
  <c r="Y213" i="1"/>
  <c r="Y260" i="1"/>
  <c r="F9" i="1"/>
  <c r="F10" i="1"/>
  <c r="BN22" i="1"/>
  <c r="BP22" i="1"/>
  <c r="Y23" i="1"/>
  <c r="Z30" i="1"/>
  <c r="BN28" i="1"/>
  <c r="BP28" i="1"/>
  <c r="Y31" i="1"/>
  <c r="X278" i="1"/>
  <c r="Y45" i="1"/>
  <c r="BN42" i="1"/>
  <c r="BN44" i="1"/>
  <c r="Y59" i="1"/>
  <c r="Y66" i="1"/>
  <c r="Z65" i="1"/>
  <c r="BN63" i="1"/>
  <c r="Z71" i="1"/>
  <c r="BN75" i="1"/>
  <c r="BP75" i="1"/>
  <c r="Y76" i="1"/>
  <c r="Z82" i="1"/>
  <c r="BN80" i="1"/>
  <c r="BP80" i="1"/>
  <c r="Y83" i="1"/>
  <c r="Z92" i="1"/>
  <c r="Z98" i="1"/>
  <c r="BN96" i="1"/>
  <c r="BP96" i="1"/>
  <c r="Y99" i="1"/>
  <c r="Y114" i="1"/>
  <c r="BN113" i="1"/>
  <c r="Y124" i="1"/>
  <c r="Y130" i="1"/>
  <c r="BN129" i="1"/>
  <c r="BN169" i="1"/>
  <c r="Z196" i="1"/>
  <c r="BN192" i="1"/>
  <c r="Y197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H9" i="1"/>
  <c r="BN29" i="1"/>
  <c r="BP29" i="1"/>
  <c r="BN34" i="1"/>
  <c r="BP34" i="1"/>
  <c r="BN36" i="1"/>
  <c r="Y37" i="1"/>
  <c r="BN41" i="1"/>
  <c r="BP41" i="1"/>
  <c r="BN43" i="1"/>
  <c r="Y46" i="1"/>
  <c r="BN58" i="1"/>
  <c r="BP58" i="1"/>
  <c r="BN62" i="1"/>
  <c r="BP62" i="1"/>
  <c r="BN64" i="1"/>
  <c r="Y65" i="1"/>
  <c r="BN69" i="1"/>
  <c r="BP69" i="1"/>
  <c r="Y72" i="1"/>
  <c r="BN81" i="1"/>
  <c r="BP81" i="1"/>
  <c r="BN86" i="1"/>
  <c r="BP86" i="1"/>
  <c r="BN88" i="1"/>
  <c r="BN90" i="1"/>
  <c r="Y93" i="1"/>
  <c r="BN97" i="1"/>
  <c r="BP97" i="1"/>
  <c r="BN102" i="1"/>
  <c r="BP102" i="1"/>
  <c r="BN104" i="1"/>
  <c r="BN106" i="1"/>
  <c r="BN108" i="1"/>
  <c r="Y109" i="1"/>
  <c r="BN112" i="1"/>
  <c r="BP112" i="1"/>
  <c r="Y115" i="1"/>
  <c r="BN123" i="1"/>
  <c r="BP123" i="1"/>
  <c r="BN128" i="1"/>
  <c r="BP128" i="1"/>
  <c r="Y131" i="1"/>
  <c r="Y137" i="1"/>
  <c r="BP134" i="1"/>
  <c r="Y163" i="1"/>
  <c r="Y171" i="1"/>
  <c r="BP168" i="1"/>
  <c r="BN168" i="1"/>
  <c r="BP170" i="1"/>
  <c r="BN170" i="1"/>
  <c r="Y189" i="1"/>
  <c r="Y196" i="1"/>
  <c r="Y201" i="1"/>
  <c r="BP200" i="1"/>
  <c r="BN200" i="1"/>
  <c r="Y212" i="1"/>
  <c r="BP209" i="1"/>
  <c r="BN209" i="1"/>
  <c r="BP211" i="1"/>
  <c r="BN211" i="1"/>
  <c r="Z218" i="1"/>
  <c r="Y249" i="1"/>
  <c r="Y253" i="1"/>
  <c r="Y259" i="1"/>
  <c r="BP256" i="1"/>
  <c r="BN256" i="1"/>
  <c r="BP258" i="1"/>
  <c r="BN258" i="1"/>
  <c r="Z272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6" i="1" l="1"/>
  <c r="Y274" i="1"/>
  <c r="Y278" i="1"/>
  <c r="Y275" i="1"/>
  <c r="Y277" i="1" s="1"/>
  <c r="Z279" i="1"/>
  <c r="A287" i="1" l="1"/>
  <c r="C287" i="1"/>
  <c r="B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<sst xmlns="http://schemas.openxmlformats.org/spreadsheetml/2006/main" count="1230" uniqueCount="397">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</sst>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29" t="s">
        <v>7</v>
      </c>
      <c r="B5" s="318"/>
      <c r="C5" s="319"/>
      <c r="D5" s="325"/>
      <c r="E5" s="326"/>
      <c r="F5" s="443" t="s">
        <v>8</v>
      </c>
      <c r="G5" s="319"/>
      <c r="H5" s="325" t="s">
        <v>396</v>
      </c>
      <c r="I5" s="371"/>
      <c r="J5" s="371"/>
      <c r="K5" s="371"/>
      <c r="L5" s="371"/>
      <c r="M5" s="326"/>
      <c r="N5" s="61"/>
      <c r="P5" s="24" t="s">
        <v>9</v>
      </c>
      <c r="Q5" s="428">
        <v>45985</v>
      </c>
      <c r="R5" s="347"/>
      <c r="T5" s="364" t="s">
        <v>10</v>
      </c>
      <c r="U5" s="365"/>
      <c r="V5" s="366" t="s">
        <v>11</v>
      </c>
      <c r="W5" s="347"/>
      <c r="AB5" s="51"/>
      <c r="AC5" s="51"/>
      <c r="AD5" s="51"/>
      <c r="AE5" s="51"/>
    </row>
    <row r="6" spans="1:32" s="265" customFormat="1" ht="24" customHeight="1" x14ac:dyDescent="0.2">
      <c r="A6" s="329" t="s">
        <v>12</v>
      </c>
      <c r="B6" s="318"/>
      <c r="C6" s="319"/>
      <c r="D6" s="410" t="s">
        <v>13</v>
      </c>
      <c r="E6" s="411"/>
      <c r="F6" s="411"/>
      <c r="G6" s="411"/>
      <c r="H6" s="411"/>
      <c r="I6" s="411"/>
      <c r="J6" s="411"/>
      <c r="K6" s="411"/>
      <c r="L6" s="411"/>
      <c r="M6" s="347"/>
      <c r="N6" s="62"/>
      <c r="P6" s="24" t="s">
        <v>14</v>
      </c>
      <c r="Q6" s="42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5"/>
      <c r="V6" s="401" t="s">
        <v>16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0"/>
      <c r="U7" s="365"/>
      <c r="V7" s="402"/>
      <c r="W7" s="403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7"/>
      <c r="C8" s="278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32">
        <v>0.41666666666666669</v>
      </c>
      <c r="R8" s="307"/>
      <c r="T8" s="280"/>
      <c r="U8" s="365"/>
      <c r="V8" s="402"/>
      <c r="W8" s="403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7"/>
      <c r="E9" s="275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6"/>
      <c r="P9" s="26" t="s">
        <v>20</v>
      </c>
      <c r="Q9" s="344"/>
      <c r="R9" s="345"/>
      <c r="T9" s="280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7"/>
      <c r="E10" s="275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70" t="str">
        <f>IFERROR(VLOOKUP($D$10,Proxy,2,FALSE),"")</f>
        <v/>
      </c>
      <c r="I10" s="280"/>
      <c r="J10" s="280"/>
      <c r="K10" s="280"/>
      <c r="L10" s="280"/>
      <c r="M10" s="280"/>
      <c r="N10" s="264"/>
      <c r="P10" s="26" t="s">
        <v>21</v>
      </c>
      <c r="Q10" s="373"/>
      <c r="R10" s="374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0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43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32"/>
      <c r="R12" s="307"/>
      <c r="S12" s="23"/>
      <c r="U12" s="24"/>
      <c r="V12" s="293"/>
      <c r="W12" s="280"/>
      <c r="AB12" s="51"/>
      <c r="AC12" s="51"/>
      <c r="AD12" s="51"/>
      <c r="AE12" s="51"/>
    </row>
    <row r="13" spans="1:32" s="265" customFormat="1" ht="23.25" customHeight="1" x14ac:dyDescent="0.2">
      <c r="A13" s="343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20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43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5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2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35</v>
      </c>
      <c r="B17" s="297" t="s">
        <v>36</v>
      </c>
      <c r="C17" s="352" t="s">
        <v>37</v>
      </c>
      <c r="D17" s="297" t="s">
        <v>38</v>
      </c>
      <c r="E17" s="336"/>
      <c r="F17" s="297" t="s">
        <v>39</v>
      </c>
      <c r="G17" s="297" t="s">
        <v>40</v>
      </c>
      <c r="H17" s="297" t="s">
        <v>41</v>
      </c>
      <c r="I17" s="297" t="s">
        <v>42</v>
      </c>
      <c r="J17" s="297" t="s">
        <v>43</v>
      </c>
      <c r="K17" s="297" t="s">
        <v>44</v>
      </c>
      <c r="L17" s="297" t="s">
        <v>45</v>
      </c>
      <c r="M17" s="297" t="s">
        <v>46</v>
      </c>
      <c r="N17" s="297" t="s">
        <v>47</v>
      </c>
      <c r="O17" s="297" t="s">
        <v>48</v>
      </c>
      <c r="P17" s="297" t="s">
        <v>49</v>
      </c>
      <c r="Q17" s="335"/>
      <c r="R17" s="335"/>
      <c r="S17" s="335"/>
      <c r="T17" s="336"/>
      <c r="U17" s="449" t="s">
        <v>50</v>
      </c>
      <c r="V17" s="319"/>
      <c r="W17" s="297" t="s">
        <v>51</v>
      </c>
      <c r="X17" s="297" t="s">
        <v>52</v>
      </c>
      <c r="Y17" s="450" t="s">
        <v>53</v>
      </c>
      <c r="Z17" s="408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8"/>
      <c r="AF17" s="439"/>
      <c r="AG17" s="69"/>
      <c r="BD17" s="68" t="s">
        <v>59</v>
      </c>
    </row>
    <row r="18" spans="1:68" ht="14.25" customHeight="1" x14ac:dyDescent="0.2">
      <c r="A18" s="298"/>
      <c r="B18" s="298"/>
      <c r="C18" s="298"/>
      <c r="D18" s="337"/>
      <c r="E18" s="339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8"/>
      <c r="X18" s="298"/>
      <c r="Y18" s="451"/>
      <c r="Z18" s="409"/>
      <c r="AA18" s="398"/>
      <c r="AB18" s="398"/>
      <c r="AC18" s="398"/>
      <c r="AD18" s="440"/>
      <c r="AE18" s="441"/>
      <c r="AF18" s="442"/>
      <c r="AG18" s="69"/>
      <c r="BD18" s="68"/>
    </row>
    <row r="19" spans="1:68" ht="27.75" hidden="1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304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2"/>
      <c r="AB21" s="262"/>
      <c r="AC21" s="26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7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7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304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2"/>
      <c r="AB27" s="262"/>
      <c r="AC27" s="262"/>
    </row>
    <row r="28" spans="1:68" ht="27" hidden="1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7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28</v>
      </c>
      <c r="Y30" s="270">
        <f>IFERROR(SUM(Y28:Y29),"0")</f>
        <v>28</v>
      </c>
      <c r="Z30" s="270">
        <f>IFERROR(IF(Z28="",0,Z28),"0")+IFERROR(IF(Z29="",0,Z29),"0")</f>
        <v>0.26347999999999999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7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42</v>
      </c>
      <c r="Y31" s="270">
        <f>IFERROR(SUMPRODUCT(Y28:Y29*H28:H29),"0")</f>
        <v>42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304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2"/>
      <c r="AB33" s="262"/>
      <c r="AC33" s="262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7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7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304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2"/>
      <c r="AB40" s="262"/>
      <c r="AC40" s="262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5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69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6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7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12</v>
      </c>
      <c r="Y45" s="270">
        <f>IFERROR(SUM(Y41:Y44),"0")</f>
        <v>12</v>
      </c>
      <c r="Z45" s="270">
        <f>IFERROR(IF(Z41="",0,Z41),"0")+IFERROR(IF(Z42="",0,Z42),"0")+IFERROR(IF(Z43="",0,Z43),"0")+IFERROR(IF(Z44="",0,Z44),"0")</f>
        <v>0.186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7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84</v>
      </c>
      <c r="Y46" s="270">
        <f>IFERROR(SUMPRODUCT(Y41:Y44*H41:H44),"0")</f>
        <v>84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304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2"/>
      <c r="AB48" s="262"/>
      <c r="AC48" s="262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7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7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2"/>
      <c r="AB52" s="262"/>
      <c r="AC52" s="262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5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7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7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2"/>
      <c r="AB56" s="262"/>
      <c r="AC56" s="262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7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7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2"/>
      <c r="AB61" s="262"/>
      <c r="AC61" s="262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125</v>
      </c>
      <c r="B63" s="54" t="s">
        <v>126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128</v>
      </c>
      <c r="B64" s="54" t="s">
        <v>129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45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7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7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130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304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2"/>
      <c r="AB68" s="262"/>
      <c r="AC68" s="262"/>
    </row>
    <row r="69" spans="1:68" ht="27" hidden="1" customHeight="1" x14ac:dyDescent="0.25">
      <c r="A69" s="54" t="s">
        <v>131</v>
      </c>
      <c r="B69" s="54" t="s">
        <v>132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135</v>
      </c>
      <c r="B70" s="54" t="s">
        <v>136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69</v>
      </c>
      <c r="X70" s="268">
        <v>12</v>
      </c>
      <c r="Y70" s="269">
        <f>IFERROR(IF(X70="","",X70),"")</f>
        <v>12</v>
      </c>
      <c r="Z70" s="36">
        <f>IFERROR(IF(X70="","",X70*0.00866),"")</f>
        <v>0.10391999999999998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62.558399999999992</v>
      </c>
      <c r="BN70" s="67">
        <f>IFERROR(Y70*I70,"0")</f>
        <v>62.558399999999992</v>
      </c>
      <c r="BO70" s="67">
        <f>IFERROR(X70/J70,"0")</f>
        <v>8.3333333333333329E-2</v>
      </c>
      <c r="BP70" s="67">
        <f>IFERROR(Y70/J70,"0")</f>
        <v>8.3333333333333329E-2</v>
      </c>
    </row>
    <row r="71" spans="1:68" x14ac:dyDescent="0.2">
      <c r="A71" s="286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7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12</v>
      </c>
      <c r="Y71" s="270">
        <f>IFERROR(SUM(Y69:Y70),"0")</f>
        <v>12</v>
      </c>
      <c r="Z71" s="270">
        <f>IFERROR(IF(Z69="",0,Z69),"0")+IFERROR(IF(Z70="",0,Z70),"0")</f>
        <v>0.10391999999999998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7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60</v>
      </c>
      <c r="Y72" s="270">
        <f>IFERROR(SUMPRODUCT(Y69:Y70*H69:H70),"0")</f>
        <v>60</v>
      </c>
      <c r="Z72" s="37"/>
      <c r="AA72" s="271"/>
      <c r="AB72" s="271"/>
      <c r="AC72" s="271"/>
    </row>
    <row r="73" spans="1:68" ht="16.5" hidden="1" customHeight="1" x14ac:dyDescent="0.25">
      <c r="A73" s="279" t="s">
        <v>137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304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2"/>
      <c r="AB74" s="262"/>
      <c r="AC74" s="262"/>
    </row>
    <row r="75" spans="1:68" ht="27" hidden="1" customHeight="1" x14ac:dyDescent="0.25">
      <c r="A75" s="54" t="s">
        <v>138</v>
      </c>
      <c r="B75" s="54" t="s">
        <v>139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6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7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7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79" t="s">
        <v>141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304" t="s">
        <v>142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2"/>
      <c r="AB79" s="262"/>
      <c r="AC79" s="262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3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69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hidden="1" customHeight="1" x14ac:dyDescent="0.25">
      <c r="A81" s="54" t="s">
        <v>146</v>
      </c>
      <c r="B81" s="54" t="s">
        <v>147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6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7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28</v>
      </c>
      <c r="Y82" s="270">
        <f>IFERROR(SUM(Y80:Y81),"0")</f>
        <v>28</v>
      </c>
      <c r="Z82" s="270">
        <f>IFERROR(IF(Z80="",0,Z80),"0")+IFERROR(IF(Z81="",0,Z81),"0")</f>
        <v>0.50063999999999997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7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100.8</v>
      </c>
      <c r="Y83" s="270">
        <f>IFERROR(SUMPRODUCT(Y80:Y81*H80:H81),"0")</f>
        <v>100.8</v>
      </c>
      <c r="Z83" s="37"/>
      <c r="AA83" s="271"/>
      <c r="AB83" s="271"/>
      <c r="AC83" s="271"/>
    </row>
    <row r="84" spans="1:68" ht="16.5" hidden="1" customHeight="1" x14ac:dyDescent="0.25">
      <c r="A84" s="279" t="s">
        <v>149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304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2"/>
      <c r="AB85" s="262"/>
      <c r="AC85" s="262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69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hidden="1" customHeight="1" x14ac:dyDescent="0.25">
      <c r="A87" s="54" t="s">
        <v>152</v>
      </c>
      <c r="B87" s="54" t="s">
        <v>153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69</v>
      </c>
      <c r="X87" s="268">
        <v>0</v>
      </c>
      <c r="Y87" s="269">
        <f t="shared" si="0"/>
        <v>0</v>
      </c>
      <c r="Z87" s="36">
        <f t="shared" si="1"/>
        <v>0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0</v>
      </c>
      <c r="BN87" s="67">
        <f t="shared" si="3"/>
        <v>0</v>
      </c>
      <c r="BO87" s="67">
        <f t="shared" si="4"/>
        <v>0</v>
      </c>
      <c r="BP87" s="67">
        <f t="shared" si="5"/>
        <v>0</v>
      </c>
    </row>
    <row r="88" spans="1:68" ht="27" customHeight="1" x14ac:dyDescent="0.25">
      <c r="A88" s="54" t="s">
        <v>154</v>
      </c>
      <c r="B88" s="54" t="s">
        <v>155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69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hidden="1" customHeight="1" x14ac:dyDescent="0.25">
      <c r="A89" s="54" t="s">
        <v>157</v>
      </c>
      <c r="B89" s="54" t="s">
        <v>158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69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159</v>
      </c>
      <c r="B90" s="54" t="s">
        <v>160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161</v>
      </c>
      <c r="B91" s="54" t="s">
        <v>162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7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42</v>
      </c>
      <c r="Y92" s="270">
        <f>IFERROR(SUM(Y86:Y91),"0")</f>
        <v>42</v>
      </c>
      <c r="Z92" s="270">
        <f>IFERROR(IF(Z86="",0,Z86),"0")+IFERROR(IF(Z87="",0,Z87),"0")+IFERROR(IF(Z88="",0,Z88),"0")+IFERROR(IF(Z89="",0,Z89),"0")+IFERROR(IF(Z90="",0,Z90),"0")+IFERROR(IF(Z91="",0,Z91),"0")</f>
        <v>0.75095999999999996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7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139.44</v>
      </c>
      <c r="Y93" s="270">
        <f>IFERROR(SUMPRODUCT(Y86:Y91*H86:H91),"0")</f>
        <v>139.44</v>
      </c>
      <c r="Z93" s="37"/>
      <c r="AA93" s="271"/>
      <c r="AB93" s="271"/>
      <c r="AC93" s="271"/>
    </row>
    <row r="94" spans="1:68" ht="16.5" hidden="1" customHeight="1" x14ac:dyDescent="0.25">
      <c r="A94" s="279" t="s">
        <v>164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304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2"/>
      <c r="AB95" s="262"/>
      <c r="AC95" s="262"/>
    </row>
    <row r="96" spans="1:68" ht="27" hidden="1" customHeight="1" x14ac:dyDescent="0.25">
      <c r="A96" s="54" t="s">
        <v>165</v>
      </c>
      <c r="B96" s="54" t="s">
        <v>166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168</v>
      </c>
      <c r="B97" s="54" t="s">
        <v>169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6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7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7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79" t="s">
        <v>170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304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2"/>
      <c r="AB101" s="262"/>
      <c r="AC101" s="262"/>
    </row>
    <row r="102" spans="1:68" ht="27" hidden="1" customHeight="1" x14ac:dyDescent="0.25">
      <c r="A102" s="54" t="s">
        <v>171</v>
      </c>
      <c r="B102" s="54" t="s">
        <v>172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hidden="1" customHeight="1" x14ac:dyDescent="0.25">
      <c r="A103" s="54" t="s">
        <v>174</v>
      </c>
      <c r="B103" s="54" t="s">
        <v>175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176</v>
      </c>
      <c r="B104" s="54" t="s">
        <v>177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69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hidden="1" customHeight="1" x14ac:dyDescent="0.25">
      <c r="A105" s="54" t="s">
        <v>178</v>
      </c>
      <c r="B105" s="54" t="s">
        <v>179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181</v>
      </c>
      <c r="B106" s="54" t="s">
        <v>182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hidden="1" customHeight="1" x14ac:dyDescent="0.25">
      <c r="A107" s="54" t="s">
        <v>183</v>
      </c>
      <c r="B107" s="54" t="s">
        <v>184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idden="1" x14ac:dyDescent="0.2">
      <c r="A109" s="286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7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0</v>
      </c>
      <c r="Y109" s="270">
        <f>IFERROR(SUM(Y102:Y108),"0")</f>
        <v>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7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0</v>
      </c>
      <c r="Y110" s="270">
        <f>IFERROR(SUMPRODUCT(Y102:Y108*H102:H108),"0")</f>
        <v>0</v>
      </c>
      <c r="Z110" s="37"/>
      <c r="AA110" s="271"/>
      <c r="AB110" s="271"/>
      <c r="AC110" s="271"/>
    </row>
    <row r="111" spans="1:68" ht="14.25" hidden="1" customHeight="1" x14ac:dyDescent="0.25">
      <c r="A111" s="304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2"/>
      <c r="AB111" s="262"/>
      <c r="AC111" s="262"/>
    </row>
    <row r="112" spans="1:68" ht="27" hidden="1" customHeight="1" x14ac:dyDescent="0.25">
      <c r="A112" s="54" t="s">
        <v>188</v>
      </c>
      <c r="B112" s="54" t="s">
        <v>189</v>
      </c>
      <c r="C112" s="31">
        <v>4301135670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2"/>
      <c r="R112" s="282"/>
      <c r="S112" s="282"/>
      <c r="T112" s="283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190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hidden="1" customHeight="1" x14ac:dyDescent="0.25">
      <c r="A113" s="54" t="s">
        <v>191</v>
      </c>
      <c r="B113" s="54" t="s">
        <v>192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193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7"/>
      <c r="P114" s="276" t="s">
        <v>72</v>
      </c>
      <c r="Q114" s="277"/>
      <c r="R114" s="277"/>
      <c r="S114" s="277"/>
      <c r="T114" s="277"/>
      <c r="U114" s="277"/>
      <c r="V114" s="278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hidden="1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7"/>
      <c r="P115" s="276" t="s">
        <v>72</v>
      </c>
      <c r="Q115" s="277"/>
      <c r="R115" s="277"/>
      <c r="S115" s="277"/>
      <c r="T115" s="277"/>
      <c r="U115" s="277"/>
      <c r="V115" s="278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194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2"/>
      <c r="AB116" s="262"/>
      <c r="AC116" s="262"/>
    </row>
    <row r="117" spans="1:68" ht="27" hidden="1" customHeight="1" x14ac:dyDescent="0.25">
      <c r="A117" s="54" t="s">
        <v>195</v>
      </c>
      <c r="B117" s="54" t="s">
        <v>196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7"/>
      <c r="P118" s="276" t="s">
        <v>72</v>
      </c>
      <c r="Q118" s="277"/>
      <c r="R118" s="277"/>
      <c r="S118" s="277"/>
      <c r="T118" s="277"/>
      <c r="U118" s="277"/>
      <c r="V118" s="278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7"/>
      <c r="P119" s="276" t="s">
        <v>72</v>
      </c>
      <c r="Q119" s="277"/>
      <c r="R119" s="277"/>
      <c r="S119" s="277"/>
      <c r="T119" s="277"/>
      <c r="U119" s="277"/>
      <c r="V119" s="278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9" t="s">
        <v>198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3"/>
      <c r="AB120" s="263"/>
      <c r="AC120" s="263"/>
    </row>
    <row r="121" spans="1:68" ht="14.25" hidden="1" customHeight="1" x14ac:dyDescent="0.25">
      <c r="A121" s="304" t="s">
        <v>120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2"/>
      <c r="AB121" s="262"/>
      <c r="AC121" s="262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69</v>
      </c>
      <c r="X122" s="268">
        <v>42</v>
      </c>
      <c r="Y122" s="269">
        <f>IFERROR(IF(X122="","",X122),"")</f>
        <v>42</v>
      </c>
      <c r="Z122" s="36">
        <f>IFERROR(IF(X122="","",X122*0.01788),"")</f>
        <v>0.75095999999999996</v>
      </c>
      <c r="AA122" s="56"/>
      <c r="AB122" s="57"/>
      <c r="AC122" s="152" t="s">
        <v>201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155.55119999999999</v>
      </c>
      <c r="BN122" s="67">
        <f>IFERROR(Y122*I122,"0")</f>
        <v>155.55119999999999</v>
      </c>
      <c r="BO122" s="67">
        <f>IFERROR(X122/J122,"0")</f>
        <v>0.6</v>
      </c>
      <c r="BP122" s="67">
        <f>IFERROR(Y122/J122,"0")</f>
        <v>0.6</v>
      </c>
    </row>
    <row r="123" spans="1:68" ht="27" hidden="1" customHeight="1" x14ac:dyDescent="0.25">
      <c r="A123" s="54" t="s">
        <v>202</v>
      </c>
      <c r="B123" s="54" t="s">
        <v>203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123</v>
      </c>
      <c r="M123" s="33" t="s">
        <v>68</v>
      </c>
      <c r="N123" s="33"/>
      <c r="O123" s="32">
        <v>180</v>
      </c>
      <c r="P123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69</v>
      </c>
      <c r="X123" s="268">
        <v>0</v>
      </c>
      <c r="Y123" s="269">
        <f>IFERROR(IF(X123="","",X123),"")</f>
        <v>0</v>
      </c>
      <c r="Z123" s="36">
        <f>IFERROR(IF(X123="","",X123*0.01788),"")</f>
        <v>0</v>
      </c>
      <c r="AA123" s="56"/>
      <c r="AB123" s="57"/>
      <c r="AC123" s="154" t="s">
        <v>140</v>
      </c>
      <c r="AG123" s="67"/>
      <c r="AJ123" s="71" t="s">
        <v>124</v>
      </c>
      <c r="AK123" s="71">
        <v>70</v>
      </c>
      <c r="BB123" s="155" t="s">
        <v>83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6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7"/>
      <c r="P124" s="276" t="s">
        <v>72</v>
      </c>
      <c r="Q124" s="277"/>
      <c r="R124" s="277"/>
      <c r="S124" s="277"/>
      <c r="T124" s="277"/>
      <c r="U124" s="277"/>
      <c r="V124" s="278"/>
      <c r="W124" s="37" t="s">
        <v>69</v>
      </c>
      <c r="X124" s="270">
        <f>IFERROR(SUM(X122:X123),"0")</f>
        <v>42</v>
      </c>
      <c r="Y124" s="270">
        <f>IFERROR(SUM(Y122:Y123),"0")</f>
        <v>42</v>
      </c>
      <c r="Z124" s="270">
        <f>IFERROR(IF(Z122="",0,Z122),"0")+IFERROR(IF(Z123="",0,Z123),"0")</f>
        <v>0.75095999999999996</v>
      </c>
      <c r="AA124" s="271"/>
      <c r="AB124" s="271"/>
      <c r="AC124" s="271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7"/>
      <c r="P125" s="276" t="s">
        <v>72</v>
      </c>
      <c r="Q125" s="277"/>
      <c r="R125" s="277"/>
      <c r="S125" s="277"/>
      <c r="T125" s="277"/>
      <c r="U125" s="277"/>
      <c r="V125" s="278"/>
      <c r="W125" s="37" t="s">
        <v>73</v>
      </c>
      <c r="X125" s="270">
        <f>IFERROR(SUMPRODUCT(X122:X123*H122:H123),"0")</f>
        <v>126</v>
      </c>
      <c r="Y125" s="270">
        <f>IFERROR(SUMPRODUCT(Y122:Y123*H122:H123),"0")</f>
        <v>126</v>
      </c>
      <c r="Z125" s="37"/>
      <c r="AA125" s="271"/>
      <c r="AB125" s="271"/>
      <c r="AC125" s="271"/>
    </row>
    <row r="126" spans="1:68" ht="16.5" hidden="1" customHeight="1" x14ac:dyDescent="0.25">
      <c r="A126" s="279" t="s">
        <v>204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3"/>
      <c r="AB126" s="263"/>
      <c r="AC126" s="263"/>
    </row>
    <row r="127" spans="1:68" ht="14.25" hidden="1" customHeight="1" x14ac:dyDescent="0.25">
      <c r="A127" s="304" t="s">
        <v>120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5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69</v>
      </c>
      <c r="X128" s="268">
        <v>42</v>
      </c>
      <c r="Y128" s="269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157.416</v>
      </c>
      <c r="BN128" s="67">
        <f>IFERROR(Y128*I128,"0")</f>
        <v>157.416</v>
      </c>
      <c r="BO128" s="67">
        <f>IFERROR(X128/J128,"0")</f>
        <v>0.6</v>
      </c>
      <c r="BP128" s="67">
        <f>IFERROR(Y128/J128,"0")</f>
        <v>0.6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69</v>
      </c>
      <c r="X129" s="268">
        <v>14</v>
      </c>
      <c r="Y129" s="269">
        <f>IFERROR(IF(X129="","",X129),"")</f>
        <v>14</v>
      </c>
      <c r="Z129" s="36">
        <f>IFERROR(IF(X129="","",X129*0.01788),"")</f>
        <v>0.25031999999999999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51.850399999999993</v>
      </c>
      <c r="BN129" s="67">
        <f>IFERROR(Y129*I129,"0")</f>
        <v>51.850399999999993</v>
      </c>
      <c r="BO129" s="67">
        <f>IFERROR(X129/J129,"0")</f>
        <v>0.2</v>
      </c>
      <c r="BP129" s="67">
        <f>IFERROR(Y129/J129,"0")</f>
        <v>0.2</v>
      </c>
    </row>
    <row r="130" spans="1:68" x14ac:dyDescent="0.2">
      <c r="A130" s="286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7"/>
      <c r="P130" s="276" t="s">
        <v>72</v>
      </c>
      <c r="Q130" s="277"/>
      <c r="R130" s="277"/>
      <c r="S130" s="277"/>
      <c r="T130" s="277"/>
      <c r="U130" s="277"/>
      <c r="V130" s="278"/>
      <c r="W130" s="37" t="s">
        <v>69</v>
      </c>
      <c r="X130" s="270">
        <f>IFERROR(SUM(X128:X129),"0")</f>
        <v>56</v>
      </c>
      <c r="Y130" s="270">
        <f>IFERROR(SUM(Y128:Y129),"0")</f>
        <v>56</v>
      </c>
      <c r="Z130" s="270">
        <f>IFERROR(IF(Z128="",0,Z128),"0")+IFERROR(IF(Z129="",0,Z129),"0")</f>
        <v>1.0012799999999999</v>
      </c>
      <c r="AA130" s="271"/>
      <c r="AB130" s="271"/>
      <c r="AC130" s="271"/>
    </row>
    <row r="131" spans="1:68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7"/>
      <c r="P131" s="276" t="s">
        <v>72</v>
      </c>
      <c r="Q131" s="277"/>
      <c r="R131" s="277"/>
      <c r="S131" s="277"/>
      <c r="T131" s="277"/>
      <c r="U131" s="277"/>
      <c r="V131" s="278"/>
      <c r="W131" s="37" t="s">
        <v>73</v>
      </c>
      <c r="X131" s="270">
        <f>IFERROR(SUMPRODUCT(X128:X129*H128:H129),"0")</f>
        <v>168</v>
      </c>
      <c r="Y131" s="270">
        <f>IFERROR(SUMPRODUCT(Y128:Y129*H128:H129),"0")</f>
        <v>168</v>
      </c>
      <c r="Z131" s="37"/>
      <c r="AA131" s="271"/>
      <c r="AB131" s="271"/>
      <c r="AC131" s="271"/>
    </row>
    <row r="132" spans="1:68" ht="16.5" hidden="1" customHeight="1" x14ac:dyDescent="0.25">
      <c r="A132" s="279" t="s">
        <v>211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3"/>
      <c r="AB132" s="263"/>
      <c r="AC132" s="263"/>
    </row>
    <row r="133" spans="1:68" ht="14.25" hidden="1" customHeight="1" x14ac:dyDescent="0.25">
      <c r="A133" s="304" t="s">
        <v>120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3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69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201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hidden="1" customHeight="1" x14ac:dyDescent="0.25">
      <c r="A135" s="54" t="s">
        <v>214</v>
      </c>
      <c r="B135" s="54" t="s">
        <v>215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5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201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7"/>
      <c r="P136" s="276" t="s">
        <v>72</v>
      </c>
      <c r="Q136" s="277"/>
      <c r="R136" s="277"/>
      <c r="S136" s="277"/>
      <c r="T136" s="277"/>
      <c r="U136" s="277"/>
      <c r="V136" s="278"/>
      <c r="W136" s="37" t="s">
        <v>69</v>
      </c>
      <c r="X136" s="270">
        <f>IFERROR(SUM(X134:X135),"0")</f>
        <v>28</v>
      </c>
      <c r="Y136" s="270">
        <f>IFERROR(SUM(Y134:Y135),"0")</f>
        <v>28</v>
      </c>
      <c r="Z136" s="270">
        <f>IFERROR(IF(Z134="",0,Z134),"0")+IFERROR(IF(Z135="",0,Z135),"0")</f>
        <v>0.50063999999999997</v>
      </c>
      <c r="AA136" s="271"/>
      <c r="AB136" s="271"/>
      <c r="AC136" s="271"/>
    </row>
    <row r="137" spans="1:68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7"/>
      <c r="P137" s="276" t="s">
        <v>72</v>
      </c>
      <c r="Q137" s="277"/>
      <c r="R137" s="277"/>
      <c r="S137" s="277"/>
      <c r="T137" s="277"/>
      <c r="U137" s="277"/>
      <c r="V137" s="278"/>
      <c r="W137" s="37" t="s">
        <v>73</v>
      </c>
      <c r="X137" s="270">
        <f>IFERROR(SUMPRODUCT(X134:X135*H134:H135),"0")</f>
        <v>67.2</v>
      </c>
      <c r="Y137" s="270">
        <f>IFERROR(SUMPRODUCT(Y134:Y135*H134:H135),"0")</f>
        <v>67.2</v>
      </c>
      <c r="Z137" s="37"/>
      <c r="AA137" s="271"/>
      <c r="AB137" s="271"/>
      <c r="AC137" s="271"/>
    </row>
    <row r="138" spans="1:68" ht="16.5" hidden="1" customHeight="1" x14ac:dyDescent="0.25">
      <c r="A138" s="279" t="s">
        <v>216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3"/>
      <c r="AB138" s="263"/>
      <c r="AC138" s="263"/>
    </row>
    <row r="139" spans="1:68" ht="14.25" hidden="1" customHeight="1" x14ac:dyDescent="0.25">
      <c r="A139" s="304" t="s">
        <v>120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2"/>
      <c r="AB139" s="262"/>
      <c r="AC139" s="262"/>
    </row>
    <row r="140" spans="1:68" ht="27" hidden="1" customHeight="1" x14ac:dyDescent="0.25">
      <c r="A140" s="54" t="s">
        <v>217</v>
      </c>
      <c r="B140" s="54" t="s">
        <v>218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6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6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7"/>
      <c r="P141" s="276" t="s">
        <v>72</v>
      </c>
      <c r="Q141" s="277"/>
      <c r="R141" s="277"/>
      <c r="S141" s="277"/>
      <c r="T141" s="277"/>
      <c r="U141" s="277"/>
      <c r="V141" s="278"/>
      <c r="W141" s="37" t="s">
        <v>69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hidden="1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7"/>
      <c r="P142" s="276" t="s">
        <v>72</v>
      </c>
      <c r="Q142" s="277"/>
      <c r="R142" s="277"/>
      <c r="S142" s="277"/>
      <c r="T142" s="277"/>
      <c r="U142" s="277"/>
      <c r="V142" s="278"/>
      <c r="W142" s="37" t="s">
        <v>73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79" t="s">
        <v>220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3"/>
      <c r="AB143" s="263"/>
      <c r="AC143" s="263"/>
    </row>
    <row r="144" spans="1:68" ht="14.25" hidden="1" customHeight="1" x14ac:dyDescent="0.25">
      <c r="A144" s="304" t="s">
        <v>120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2"/>
      <c r="AB144" s="262"/>
      <c r="AC144" s="262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7"/>
      <c r="P146" s="276" t="s">
        <v>72</v>
      </c>
      <c r="Q146" s="277"/>
      <c r="R146" s="277"/>
      <c r="S146" s="277"/>
      <c r="T146" s="277"/>
      <c r="U146" s="277"/>
      <c r="V146" s="278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7"/>
      <c r="P147" s="276" t="s">
        <v>72</v>
      </c>
      <c r="Q147" s="277"/>
      <c r="R147" s="277"/>
      <c r="S147" s="277"/>
      <c r="T147" s="277"/>
      <c r="U147" s="277"/>
      <c r="V147" s="278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9" t="s">
        <v>223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3"/>
      <c r="AB148" s="263"/>
      <c r="AC148" s="263"/>
    </row>
    <row r="149" spans="1:68" ht="14.25" hidden="1" customHeight="1" x14ac:dyDescent="0.25">
      <c r="A149" s="304" t="s">
        <v>194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2"/>
      <c r="AB149" s="262"/>
      <c r="AC149" s="262"/>
    </row>
    <row r="150" spans="1:68" ht="27" hidden="1" customHeight="1" x14ac:dyDescent="0.25">
      <c r="A150" s="54" t="s">
        <v>224</v>
      </c>
      <c r="B150" s="54" t="s">
        <v>225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7"/>
      <c r="P151" s="276" t="s">
        <v>72</v>
      </c>
      <c r="Q151" s="277"/>
      <c r="R151" s="277"/>
      <c r="S151" s="277"/>
      <c r="T151" s="277"/>
      <c r="U151" s="277"/>
      <c r="V151" s="278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7"/>
      <c r="P152" s="276" t="s">
        <v>72</v>
      </c>
      <c r="Q152" s="277"/>
      <c r="R152" s="277"/>
      <c r="S152" s="277"/>
      <c r="T152" s="277"/>
      <c r="U152" s="277"/>
      <c r="V152" s="278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79" t="s">
        <v>228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3"/>
      <c r="AB153" s="263"/>
      <c r="AC153" s="263"/>
    </row>
    <row r="154" spans="1:68" ht="14.25" hidden="1" customHeight="1" x14ac:dyDescent="0.25">
      <c r="A154" s="304" t="s">
        <v>120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69</v>
      </c>
      <c r="X155" s="268">
        <v>56</v>
      </c>
      <c r="Y155" s="269">
        <f>IFERROR(IF(X155="","",X155),"")</f>
        <v>56</v>
      </c>
      <c r="Z155" s="36">
        <f>IFERROR(IF(X155="","",X155*0.00941),"")</f>
        <v>0.52695999999999998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117.70079999999999</v>
      </c>
      <c r="BN155" s="67">
        <f>IFERROR(Y155*I155,"0")</f>
        <v>117.70079999999999</v>
      </c>
      <c r="BO155" s="67">
        <f>IFERROR(X155/J155,"0")</f>
        <v>0.4</v>
      </c>
      <c r="BP155" s="67">
        <f>IFERROR(Y155/J155,"0")</f>
        <v>0.4</v>
      </c>
    </row>
    <row r="156" spans="1:68" x14ac:dyDescent="0.2">
      <c r="A156" s="286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7"/>
      <c r="P156" s="276" t="s">
        <v>72</v>
      </c>
      <c r="Q156" s="277"/>
      <c r="R156" s="277"/>
      <c r="S156" s="277"/>
      <c r="T156" s="277"/>
      <c r="U156" s="277"/>
      <c r="V156" s="278"/>
      <c r="W156" s="37" t="s">
        <v>69</v>
      </c>
      <c r="X156" s="270">
        <f>IFERROR(SUM(X155:X155),"0")</f>
        <v>56</v>
      </c>
      <c r="Y156" s="270">
        <f>IFERROR(SUM(Y155:Y155),"0")</f>
        <v>56</v>
      </c>
      <c r="Z156" s="270">
        <f>IFERROR(IF(Z155="",0,Z155),"0")</f>
        <v>0.52695999999999998</v>
      </c>
      <c r="AA156" s="271"/>
      <c r="AB156" s="271"/>
      <c r="AC156" s="271"/>
    </row>
    <row r="157" spans="1:68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7"/>
      <c r="P157" s="276" t="s">
        <v>72</v>
      </c>
      <c r="Q157" s="277"/>
      <c r="R157" s="277"/>
      <c r="S157" s="277"/>
      <c r="T157" s="277"/>
      <c r="U157" s="277"/>
      <c r="V157" s="278"/>
      <c r="W157" s="37" t="s">
        <v>73</v>
      </c>
      <c r="X157" s="270">
        <f>IFERROR(SUMPRODUCT(X155:X155*H155:H155),"0")</f>
        <v>94.08</v>
      </c>
      <c r="Y157" s="270">
        <f>IFERROR(SUMPRODUCT(Y155:Y155*H155:H155),"0")</f>
        <v>94.08</v>
      </c>
      <c r="Z157" s="37"/>
      <c r="AA157" s="271"/>
      <c r="AB157" s="271"/>
      <c r="AC157" s="271"/>
    </row>
    <row r="158" spans="1:68" ht="27.75" hidden="1" customHeight="1" x14ac:dyDescent="0.2">
      <c r="A158" s="320" t="s">
        <v>232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79" t="s">
        <v>233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3"/>
      <c r="AB159" s="263"/>
      <c r="AC159" s="263"/>
    </row>
    <row r="160" spans="1:68" ht="14.25" hidden="1" customHeight="1" x14ac:dyDescent="0.25">
      <c r="A160" s="304" t="s">
        <v>63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2"/>
      <c r="AB160" s="262"/>
      <c r="AC160" s="262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69</v>
      </c>
      <c r="X162" s="268">
        <v>48</v>
      </c>
      <c r="Y162" s="269">
        <f>IFERROR(IF(X162="","",X162),"")</f>
        <v>48</v>
      </c>
      <c r="Z162" s="36">
        <f>IFERROR(IF(X162="","",X162*0.00866),"")</f>
        <v>0.41567999999999994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250.23359999999997</v>
      </c>
      <c r="BN162" s="67">
        <f>IFERROR(Y162*I162,"0")</f>
        <v>250.23359999999997</v>
      </c>
      <c r="BO162" s="67">
        <f>IFERROR(X162/J162,"0")</f>
        <v>0.33333333333333331</v>
      </c>
      <c r="BP162" s="67">
        <f>IFERROR(Y162/J162,"0")</f>
        <v>0.33333333333333331</v>
      </c>
    </row>
    <row r="163" spans="1:68" x14ac:dyDescent="0.2">
      <c r="A163" s="286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7"/>
      <c r="P163" s="276" t="s">
        <v>72</v>
      </c>
      <c r="Q163" s="277"/>
      <c r="R163" s="277"/>
      <c r="S163" s="277"/>
      <c r="T163" s="277"/>
      <c r="U163" s="277"/>
      <c r="V163" s="278"/>
      <c r="W163" s="37" t="s">
        <v>69</v>
      </c>
      <c r="X163" s="270">
        <f>IFERROR(SUM(X161:X162),"0")</f>
        <v>48</v>
      </c>
      <c r="Y163" s="270">
        <f>IFERROR(SUM(Y161:Y162),"0")</f>
        <v>48</v>
      </c>
      <c r="Z163" s="270">
        <f>IFERROR(IF(Z161="",0,Z161),"0")+IFERROR(IF(Z162="",0,Z162),"0")</f>
        <v>0.41567999999999994</v>
      </c>
      <c r="AA163" s="271"/>
      <c r="AB163" s="271"/>
      <c r="AC163" s="271"/>
    </row>
    <row r="164" spans="1:68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7"/>
      <c r="P164" s="276" t="s">
        <v>72</v>
      </c>
      <c r="Q164" s="277"/>
      <c r="R164" s="277"/>
      <c r="S164" s="277"/>
      <c r="T164" s="277"/>
      <c r="U164" s="277"/>
      <c r="V164" s="278"/>
      <c r="W164" s="37" t="s">
        <v>73</v>
      </c>
      <c r="X164" s="270">
        <f>IFERROR(SUMPRODUCT(X161:X162*H161:H162),"0")</f>
        <v>240</v>
      </c>
      <c r="Y164" s="270">
        <f>IFERROR(SUMPRODUCT(Y161:Y162*H161:H162),"0")</f>
        <v>240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240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79" t="s">
        <v>241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3"/>
      <c r="AB166" s="263"/>
      <c r="AC166" s="263"/>
    </row>
    <row r="167" spans="1:68" ht="14.25" hidden="1" customHeight="1" x14ac:dyDescent="0.25">
      <c r="A167" s="304" t="s">
        <v>76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9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69</v>
      </c>
      <c r="X168" s="268">
        <v>14</v>
      </c>
      <c r="Y168" s="269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47.432000000000002</v>
      </c>
      <c r="BN169" s="67">
        <f>IFERROR(Y169*I169,"0")</f>
        <v>47.432000000000002</v>
      </c>
      <c r="BO169" s="67">
        <f>IFERROR(X169/J169,"0")</f>
        <v>0.2</v>
      </c>
      <c r="BP169" s="67">
        <f>IFERROR(Y169/J169,"0")</f>
        <v>0.2</v>
      </c>
    </row>
    <row r="170" spans="1:68" ht="27" hidden="1" customHeight="1" x14ac:dyDescent="0.25">
      <c r="A170" s="54" t="s">
        <v>248</v>
      </c>
      <c r="B170" s="54" t="s">
        <v>249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69</v>
      </c>
      <c r="X170" s="268">
        <v>0</v>
      </c>
      <c r="Y170" s="269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86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7"/>
      <c r="P171" s="276" t="s">
        <v>72</v>
      </c>
      <c r="Q171" s="277"/>
      <c r="R171" s="277"/>
      <c r="S171" s="277"/>
      <c r="T171" s="277"/>
      <c r="U171" s="277"/>
      <c r="V171" s="278"/>
      <c r="W171" s="37" t="s">
        <v>69</v>
      </c>
      <c r="X171" s="270">
        <f>IFERROR(SUM(X168:X170),"0")</f>
        <v>28</v>
      </c>
      <c r="Y171" s="270">
        <f>IFERROR(SUM(Y168:Y170),"0")</f>
        <v>28</v>
      </c>
      <c r="Z171" s="270">
        <f>IFERROR(IF(Z168="",0,Z168),"0")+IFERROR(IF(Z169="",0,Z169),"0")+IFERROR(IF(Z170="",0,Z170),"0")</f>
        <v>0.50063999999999997</v>
      </c>
      <c r="AA171" s="271"/>
      <c r="AB171" s="271"/>
      <c r="AC171" s="271"/>
    </row>
    <row r="172" spans="1:68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7"/>
      <c r="P172" s="276" t="s">
        <v>72</v>
      </c>
      <c r="Q172" s="277"/>
      <c r="R172" s="277"/>
      <c r="S172" s="277"/>
      <c r="T172" s="277"/>
      <c r="U172" s="277"/>
      <c r="V172" s="278"/>
      <c r="W172" s="37" t="s">
        <v>73</v>
      </c>
      <c r="X172" s="270">
        <f>IFERROR(SUMPRODUCT(X168:X170*H168:H170),"0")</f>
        <v>84</v>
      </c>
      <c r="Y172" s="270">
        <f>IFERROR(SUMPRODUCT(Y168:Y170*H168:H170),"0")</f>
        <v>84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251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2"/>
      <c r="AB173" s="262"/>
      <c r="AC173" s="262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48" t="s">
        <v>256</v>
      </c>
      <c r="Q174" s="282"/>
      <c r="R174" s="282"/>
      <c r="S174" s="282"/>
      <c r="T174" s="283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7"/>
      <c r="P175" s="276" t="s">
        <v>72</v>
      </c>
      <c r="Q175" s="277"/>
      <c r="R175" s="277"/>
      <c r="S175" s="277"/>
      <c r="T175" s="277"/>
      <c r="U175" s="277"/>
      <c r="V175" s="278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7"/>
      <c r="P176" s="276" t="s">
        <v>72</v>
      </c>
      <c r="Q176" s="277"/>
      <c r="R176" s="277"/>
      <c r="S176" s="277"/>
      <c r="T176" s="277"/>
      <c r="U176" s="277"/>
      <c r="V176" s="278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259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79" t="s">
        <v>260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3"/>
      <c r="AB178" s="263"/>
      <c r="AC178" s="263"/>
    </row>
    <row r="179" spans="1:68" ht="14.25" hidden="1" customHeight="1" x14ac:dyDescent="0.25">
      <c r="A179" s="304" t="s">
        <v>76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7"/>
      <c r="P181" s="276" t="s">
        <v>72</v>
      </c>
      <c r="Q181" s="277"/>
      <c r="R181" s="277"/>
      <c r="S181" s="277"/>
      <c r="T181" s="277"/>
      <c r="U181" s="277"/>
      <c r="V181" s="278"/>
      <c r="W181" s="37" t="s">
        <v>69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7"/>
      <c r="P182" s="276" t="s">
        <v>72</v>
      </c>
      <c r="Q182" s="277"/>
      <c r="R182" s="277"/>
      <c r="S182" s="277"/>
      <c r="T182" s="277"/>
      <c r="U182" s="277"/>
      <c r="V182" s="278"/>
      <c r="W182" s="37" t="s">
        <v>73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120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2"/>
      <c r="AB183" s="262"/>
      <c r="AC183" s="262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54" t="s">
        <v>269</v>
      </c>
      <c r="Q185" s="282"/>
      <c r="R185" s="282"/>
      <c r="S185" s="282"/>
      <c r="T185" s="283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80</v>
      </c>
      <c r="M187" s="33" t="s">
        <v>68</v>
      </c>
      <c r="N187" s="33"/>
      <c r="O187" s="32">
        <v>180</v>
      </c>
      <c r="P187" s="3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82</v>
      </c>
      <c r="AK187" s="71">
        <v>14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7"/>
      <c r="P188" s="276" t="s">
        <v>72</v>
      </c>
      <c r="Q188" s="277"/>
      <c r="R188" s="277"/>
      <c r="S188" s="277"/>
      <c r="T188" s="277"/>
      <c r="U188" s="277"/>
      <c r="V188" s="278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hidden="1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7"/>
      <c r="P189" s="276" t="s">
        <v>72</v>
      </c>
      <c r="Q189" s="277"/>
      <c r="R189" s="277"/>
      <c r="S189" s="277"/>
      <c r="T189" s="277"/>
      <c r="U189" s="277"/>
      <c r="V189" s="278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hidden="1" customHeight="1" x14ac:dyDescent="0.25">
      <c r="A190" s="279" t="s">
        <v>276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3"/>
      <c r="AB190" s="263"/>
      <c r="AC190" s="263"/>
    </row>
    <row r="191" spans="1:68" ht="14.25" hidden="1" customHeight="1" x14ac:dyDescent="0.25">
      <c r="A191" s="304" t="s">
        <v>63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2"/>
      <c r="AB191" s="262"/>
      <c r="AC191" s="262"/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9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280</v>
      </c>
      <c r="B193" s="54" t="s">
        <v>281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7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6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7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7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9" t="s">
        <v>286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304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69</v>
      </c>
      <c r="X200" s="268">
        <v>12</v>
      </c>
      <c r="Y200" s="269">
        <f>IFERROR(IF(X200="","",X200),"")</f>
        <v>12</v>
      </c>
      <c r="Z200" s="36">
        <f>IFERROR(IF(X200="","",X200*0.0155),"")</f>
        <v>0.186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62.760000000000005</v>
      </c>
      <c r="BN200" s="67">
        <f>IFERROR(Y200*I200,"0")</f>
        <v>62.760000000000005</v>
      </c>
      <c r="BO200" s="67">
        <f>IFERROR(X200/J200,"0")</f>
        <v>0.14285714285714285</v>
      </c>
      <c r="BP200" s="67">
        <f>IFERROR(Y200/J200,"0")</f>
        <v>0.14285714285714285</v>
      </c>
    </row>
    <row r="201" spans="1:68" x14ac:dyDescent="0.2">
      <c r="A201" s="286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7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12</v>
      </c>
      <c r="Y201" s="270">
        <f>IFERROR(SUM(Y200:Y200),"0")</f>
        <v>12</v>
      </c>
      <c r="Z201" s="270">
        <f>IFERROR(IF(Z200="",0,Z200),"0")</f>
        <v>0.186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7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60</v>
      </c>
      <c r="Y202" s="270">
        <f>IFERROR(SUMPRODUCT(Y200:Y200*H200:H200),"0")</f>
        <v>60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304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2"/>
      <c r="AB204" s="262"/>
      <c r="AC204" s="262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7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7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9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69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296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35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7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7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304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2"/>
      <c r="AB215" s="262"/>
      <c r="AC215" s="262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7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7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304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2"/>
      <c r="AB222" s="262"/>
      <c r="AC222" s="262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5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7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7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304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7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69</v>
      </c>
      <c r="X229" s="268">
        <v>12</v>
      </c>
      <c r="Y229" s="269">
        <f>IFERROR(IF(X229="","",X229),"")</f>
        <v>12</v>
      </c>
      <c r="Z229" s="36">
        <f>IFERROR(IF(X229="","",X229*0.0155),"")</f>
        <v>0.186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63.143999999999991</v>
      </c>
      <c r="BN229" s="67">
        <f>IFERROR(Y229*I229,"0")</f>
        <v>63.143999999999991</v>
      </c>
      <c r="BO229" s="67">
        <f>IFERROR(X229/J229,"0")</f>
        <v>0.14285714285714285</v>
      </c>
      <c r="BP229" s="67">
        <f>IFERROR(Y229/J229,"0")</f>
        <v>0.14285714285714285</v>
      </c>
    </row>
    <row r="230" spans="1:68" x14ac:dyDescent="0.2">
      <c r="A230" s="286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7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12</v>
      </c>
      <c r="Y230" s="270">
        <f>IFERROR(SUM(Y229:Y229),"0")</f>
        <v>12</v>
      </c>
      <c r="Z230" s="270">
        <f>IFERROR(IF(Z229="",0,Z229),"0")</f>
        <v>0.186</v>
      </c>
      <c r="AA230" s="271"/>
      <c r="AB230" s="271"/>
      <c r="AC230" s="271"/>
    </row>
    <row r="231" spans="1:68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7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60</v>
      </c>
      <c r="Y231" s="270">
        <f>IFERROR(SUMPRODUCT(Y229:Y229*H229:H229),"0")</f>
        <v>60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304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2"/>
      <c r="AB234" s="262"/>
      <c r="AC234" s="262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6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7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7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2"/>
      <c r="AB238" s="262"/>
      <c r="AC238" s="262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36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7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7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304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2"/>
      <c r="AB244" s="262"/>
      <c r="AC244" s="262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69</v>
      </c>
      <c r="X246" s="268">
        <v>24</v>
      </c>
      <c r="Y246" s="269">
        <f>IFERROR(IF(X246="","",X246),"")</f>
        <v>24</v>
      </c>
      <c r="Z246" s="36">
        <f>IFERROR(IF(X246="","",X246*0.0155),"")</f>
        <v>0.372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174.72</v>
      </c>
      <c r="BN246" s="67">
        <f>IFERROR(Y246*I246,"0")</f>
        <v>174.72</v>
      </c>
      <c r="BO246" s="67">
        <f>IFERROR(X246/J246,"0")</f>
        <v>0.2857142857142857</v>
      </c>
      <c r="BP246" s="67">
        <f>IFERROR(Y246/J246,"0")</f>
        <v>0.2857142857142857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21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7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24</v>
      </c>
      <c r="Y248" s="270">
        <f>IFERROR(SUM(Y245:Y247),"0")</f>
        <v>24</v>
      </c>
      <c r="Z248" s="270">
        <f>IFERROR(IF(Z245="",0,Z245),"0")+IFERROR(IF(Z246="",0,Z246),"0")+IFERROR(IF(Z247="",0,Z247),"0")</f>
        <v>0.372</v>
      </c>
      <c r="AA248" s="271"/>
      <c r="AB248" s="271"/>
      <c r="AC248" s="271"/>
    </row>
    <row r="249" spans="1:68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7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168</v>
      </c>
      <c r="Y249" s="270">
        <f>IFERROR(SUMPRODUCT(Y245:Y247*H245:H247),"0")</f>
        <v>168</v>
      </c>
      <c r="Z249" s="37"/>
      <c r="AA249" s="271"/>
      <c r="AB249" s="271"/>
      <c r="AC249" s="271"/>
    </row>
    <row r="250" spans="1:68" ht="14.25" hidden="1" customHeight="1" x14ac:dyDescent="0.25">
      <c r="A250" s="304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0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69</v>
      </c>
      <c r="X251" s="268">
        <v>12</v>
      </c>
      <c r="Y251" s="269">
        <f>IFERROR(IF(X251="","",X251),"")</f>
        <v>12</v>
      </c>
      <c r="Z251" s="36">
        <f>IFERROR(IF(X251="","",X251*0.0155),"")</f>
        <v>0.186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75.12</v>
      </c>
      <c r="BN251" s="67">
        <f>IFERROR(Y251*I251,"0")</f>
        <v>75.12</v>
      </c>
      <c r="BO251" s="67">
        <f>IFERROR(X251/J251,"0")</f>
        <v>0.14285714285714285</v>
      </c>
      <c r="BP251" s="67">
        <f>IFERROR(Y251/J251,"0")</f>
        <v>0.14285714285714285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7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12</v>
      </c>
      <c r="Y253" s="270">
        <f>IFERROR(SUM(Y251:Y252),"0")</f>
        <v>12</v>
      </c>
      <c r="Z253" s="270">
        <f>IFERROR(IF(Z251="",0,Z251),"0")+IFERROR(IF(Z252="",0,Z252),"0")</f>
        <v>0.186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7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72</v>
      </c>
      <c r="Y254" s="270">
        <f>IFERROR(SUMPRODUCT(Y251:Y252*H251:H252),"0")</f>
        <v>72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69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69</v>
      </c>
      <c r="X257" s="268">
        <v>48</v>
      </c>
      <c r="Y257" s="269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251.28000000000003</v>
      </c>
      <c r="BN257" s="67">
        <f>IFERROR(Y257*I257,"0")</f>
        <v>251.28000000000003</v>
      </c>
      <c r="BO257" s="67">
        <f>IFERROR(X257/J257,"0")</f>
        <v>0.5714285714285714</v>
      </c>
      <c r="BP257" s="67">
        <f>IFERROR(Y257/J257,"0")</f>
        <v>0.5714285714285714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7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62</v>
      </c>
      <c r="Y259" s="270">
        <f>IFERROR(SUM(Y256:Y258),"0")</f>
        <v>62</v>
      </c>
      <c r="Z259" s="270">
        <f>IFERROR(IF(Z256="",0,Z256),"0")+IFERROR(IF(Z257="",0,Z257),"0")+IFERROR(IF(Z258="",0,Z258),"0")</f>
        <v>0.87504000000000004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7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277.8</v>
      </c>
      <c r="Y260" s="270">
        <f>IFERROR(SUMPRODUCT(Y256:Y258*H256:H258),"0")</f>
        <v>277.8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2"/>
      <c r="AB261" s="262"/>
      <c r="AC261" s="262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69</v>
      </c>
      <c r="X263" s="268">
        <v>42</v>
      </c>
      <c r="Y263" s="269">
        <f t="shared" si="12"/>
        <v>42</v>
      </c>
      <c r="Z263" s="36">
        <f>IFERROR(IF(X263="","",X263*0.00936),"")</f>
        <v>0.39312000000000002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163.464</v>
      </c>
      <c r="BN263" s="67">
        <f t="shared" si="14"/>
        <v>163.464</v>
      </c>
      <c r="BO263" s="67">
        <f t="shared" si="15"/>
        <v>0.33333333333333331</v>
      </c>
      <c r="BP263" s="67">
        <f t="shared" si="16"/>
        <v>0.33333333333333331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69</v>
      </c>
      <c r="X265" s="268">
        <v>28</v>
      </c>
      <c r="Y265" s="269">
        <f t="shared" si="12"/>
        <v>28</v>
      </c>
      <c r="Z265" s="36">
        <f t="shared" ref="Z265:Z270" si="17">IFERROR(IF(X265="","",X265*0.00936),"")</f>
        <v>0.26207999999999998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89.376000000000005</v>
      </c>
      <c r="BN265" s="67">
        <f t="shared" si="14"/>
        <v>89.376000000000005</v>
      </c>
      <c r="BO265" s="67">
        <f t="shared" si="15"/>
        <v>0.22222222222222221</v>
      </c>
      <c r="BP265" s="67">
        <f t="shared" si="16"/>
        <v>0.22222222222222221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8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4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7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82</v>
      </c>
      <c r="Y272" s="270">
        <f>IFERROR(SUM(Y262:Y271),"0")</f>
        <v>82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0.84120000000000006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7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305.39999999999998</v>
      </c>
      <c r="Y273" s="270">
        <f>IFERROR(SUMPRODUCT(Y262:Y271*H262:H271),"0")</f>
        <v>305.39999999999998</v>
      </c>
      <c r="Z273" s="37"/>
      <c r="AA273" s="271"/>
      <c r="AB273" s="271"/>
      <c r="AC273" s="271"/>
    </row>
    <row r="274" spans="1:32" ht="15" customHeight="1" x14ac:dyDescent="0.2">
      <c r="A274" s="427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5"/>
      <c r="P274" s="317" t="s">
        <v>367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2288.1600000000003</v>
      </c>
      <c r="Y274" s="270">
        <f>IFERROR(Y24+Y31+Y38+Y46+Y51+Y55+Y60+Y66+Y72+Y77+Y83+Y93+Y99+Y110+Y115+Y119+Y125+Y131+Y137+Y142+Y147+Y152+Y157+Y164+Y172+Y176+Y182+Y189+Y197+Y202+Y207+Y213+Y219+Y225+Y231+Y237+Y241+Y249+Y254+Y260+Y273,"0")</f>
        <v>2288.1600000000003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5"/>
      <c r="P275" s="317" t="s">
        <v>368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2535.6380000000004</v>
      </c>
      <c r="Y275" s="270">
        <f>IFERROR(SUM(BN22:BN271),"0")</f>
        <v>2535.6380000000004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5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7</v>
      </c>
      <c r="Y276" s="38">
        <f>ROUNDUP(SUM(BP22:BP271),0)</f>
        <v>7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5"/>
      <c r="P277" s="317" t="s">
        <v>371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2710.6380000000004</v>
      </c>
      <c r="Y277" s="270">
        <f>GrossWeightTotalR+PalletQtyTotalR*25</f>
        <v>2710.6380000000004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5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624</v>
      </c>
      <c r="Y278" s="270">
        <f>IFERROR(Y23+Y30+Y37+Y45+Y50+Y54+Y59+Y65+Y71+Y76+Y82+Y92+Y98+Y109+Y114+Y118+Y124+Y130+Y136+Y141+Y146+Y151+Y156+Y163+Y171+Y175+Y181+Y188+Y196+Y201+Y206+Y212+Y218+Y224+Y230+Y236+Y240+Y248+Y253+Y259+Y272,"0")</f>
        <v>624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5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8.8340399999999999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2" t="s">
        <v>74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0" t="s">
        <v>232</v>
      </c>
      <c r="V281" s="260" t="s">
        <v>240</v>
      </c>
      <c r="W281" s="272" t="s">
        <v>259</v>
      </c>
      <c r="X281" s="308"/>
      <c r="Y281" s="308"/>
      <c r="Z281" s="308"/>
      <c r="AA281" s="309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290" t="s">
        <v>376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130</v>
      </c>
      <c r="H282" s="272" t="s">
        <v>137</v>
      </c>
      <c r="I282" s="272" t="s">
        <v>141</v>
      </c>
      <c r="J282" s="272" t="s">
        <v>149</v>
      </c>
      <c r="K282" s="272" t="s">
        <v>164</v>
      </c>
      <c r="L282" s="272" t="s">
        <v>170</v>
      </c>
      <c r="M282" s="272" t="s">
        <v>198</v>
      </c>
      <c r="N282" s="261"/>
      <c r="O282" s="272" t="s">
        <v>204</v>
      </c>
      <c r="P282" s="272" t="s">
        <v>211</v>
      </c>
      <c r="Q282" s="272" t="s">
        <v>216</v>
      </c>
      <c r="R282" s="272" t="s">
        <v>220</v>
      </c>
      <c r="S282" s="272" t="s">
        <v>223</v>
      </c>
      <c r="T282" s="272" t="s">
        <v>228</v>
      </c>
      <c r="U282" s="272" t="s">
        <v>233</v>
      </c>
      <c r="V282" s="272" t="s">
        <v>241</v>
      </c>
      <c r="W282" s="272" t="s">
        <v>260</v>
      </c>
      <c r="X282" s="272" t="s">
        <v>276</v>
      </c>
      <c r="Y282" s="272" t="s">
        <v>286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1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1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42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84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60</v>
      </c>
      <c r="H284" s="46">
        <f>IFERROR(X75*H75,"0")</f>
        <v>0</v>
      </c>
      <c r="I284" s="46">
        <f>IFERROR(X80*H80,"0")+IFERROR(X81*H81,"0")</f>
        <v>100.8</v>
      </c>
      <c r="J284" s="46">
        <f>IFERROR(X86*H86,"0")+IFERROR(X87*H87,"0")+IFERROR(X88*H88,"0")+IFERROR(X89*H89,"0")+IFERROR(X90*H90,"0")+IFERROR(X91*H91,"0")</f>
        <v>139.44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0</v>
      </c>
      <c r="M284" s="46">
        <f>IFERROR(X122*H122,"0")+IFERROR(X123*H123,"0")</f>
        <v>126</v>
      </c>
      <c r="N284" s="261"/>
      <c r="O284" s="46">
        <f>IFERROR(X128*H128,"0")+IFERROR(X129*H129,"0")</f>
        <v>168</v>
      </c>
      <c r="P284" s="46">
        <f>IFERROR(X134*H134,"0")+IFERROR(X135*H135,"0")</f>
        <v>67.2</v>
      </c>
      <c r="Q284" s="46">
        <f>IFERROR(X140*H140,"0")</f>
        <v>0</v>
      </c>
      <c r="R284" s="46">
        <f>IFERROR(X145*H145,"0")</f>
        <v>0</v>
      </c>
      <c r="S284" s="46">
        <f>IFERROR(X150*H150,"0")</f>
        <v>0</v>
      </c>
      <c r="T284" s="46">
        <f>IFERROR(X155*H155,"0")</f>
        <v>94.08</v>
      </c>
      <c r="U284" s="46">
        <f>IFERROR(X161*H161,"0")+IFERROR(X162*H162,"0")</f>
        <v>240</v>
      </c>
      <c r="V284" s="46">
        <f>IFERROR(X168*H168,"0")+IFERROR(X169*H169,"0")+IFERROR(X170*H170,"0")+IFERROR(X174*H174,"0")</f>
        <v>84</v>
      </c>
      <c r="W284" s="46">
        <f>IFERROR(X180*H180,"0")+IFERROR(X184*H184,"0")+IFERROR(X185*H185,"0")+IFERROR(X186*H186,"0")+IFERROR(X187*H187,"0")</f>
        <v>38.64</v>
      </c>
      <c r="X284" s="46">
        <f>IFERROR(X192*H192,"0")+IFERROR(X193*H193,"0")+IFERROR(X194*H194,"0")+IFERROR(X195*H195,"0")</f>
        <v>0</v>
      </c>
      <c r="Y284" s="46">
        <f>IFERROR(X200*H200,"0")</f>
        <v>60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60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823.19999999999993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739.2</v>
      </c>
      <c r="B287" s="60">
        <f>SUMPRODUCT(--(BB:BB="ПГП"),--(W:W="кор"),H:H,Y:Y)+SUMPRODUCT(--(BB:BB="ПГП"),--(W:W="кг"),Y:Y)</f>
        <v>1548.96</v>
      </c>
      <c r="C287" s="60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2,00"/>
        <filter val="126,00"/>
        <filter val="139,44"/>
        <filter val="14,00"/>
        <filter val="168,00"/>
        <filter val="2 288,16"/>
        <filter val="2 535,64"/>
        <filter val="2 710,64"/>
        <filter val="24,00"/>
        <filter val="240,00"/>
        <filter val="277,80"/>
        <filter val="28,00"/>
        <filter val="305,40"/>
        <filter val="33,60"/>
        <filter val="38,64"/>
        <filter val="42,00"/>
        <filter val="48,00"/>
        <filter val="56,00"/>
        <filter val="60,00"/>
        <filter val="62,00"/>
        <filter val="624,00"/>
        <filter val="67,20"/>
        <filter val="7"/>
        <filter val="72,00"/>
        <filter val="82,00"/>
        <filter val="84,00"/>
        <filter val="94,08"/>
      </filters>
    </filterColumn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D262:E262"/>
    <mergeCell ref="A39:Z39"/>
    <mergeCell ref="D239:E239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170:E170"/>
    <mergeCell ref="N17:N18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V282:V283"/>
    <mergeCell ref="D282:D283"/>
    <mergeCell ref="P174:T174"/>
    <mergeCell ref="D266:E266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107:T107"/>
    <mergeCell ref="D150:E150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106:T106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P72:V72"/>
    <mergeCell ref="P122:T122"/>
    <mergeCell ref="P43:T43"/>
    <mergeCell ref="P65:V65"/>
    <mergeCell ref="P136:V136"/>
    <mergeCell ref="A126:Z126"/>
    <mergeCell ref="A95:Z95"/>
    <mergeCell ref="A68:Z68"/>
    <mergeCell ref="P93:V93"/>
    <mergeCell ref="D87:E87"/>
    <mergeCell ref="D75:E75"/>
    <mergeCell ref="P62:T62"/>
    <mergeCell ref="D49:E49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164:V164"/>
    <mergeCell ref="D145:E145"/>
    <mergeCell ref="D210:E210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C17:C18"/>
    <mergeCell ref="D103:E10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229:E229"/>
    <mergeCell ref="D108:E108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A12:M12"/>
    <mergeCell ref="A19:Z19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44:Z14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3 X117 X128 X134 X161 X174 X185 X192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12 X122 X129 X135 X140 X145 X150 X155 X162 X168:X170 X180 X184 X186:X187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3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