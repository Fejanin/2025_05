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471849-65D4-49B2-8AF6-87698D0EE7B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BP327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P28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BP218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BP195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Z29" i="1" l="1"/>
  <c r="BN29" i="1"/>
  <c r="Z56" i="1"/>
  <c r="BN56" i="1"/>
  <c r="Z61" i="1"/>
  <c r="BN61" i="1"/>
  <c r="Z79" i="1"/>
  <c r="BN79" i="1"/>
  <c r="Z99" i="1"/>
  <c r="BN99" i="1"/>
  <c r="Z115" i="1"/>
  <c r="BN115" i="1"/>
  <c r="Z141" i="1"/>
  <c r="BN141" i="1"/>
  <c r="Z164" i="1"/>
  <c r="BN164" i="1"/>
  <c r="Z174" i="1"/>
  <c r="BN174" i="1"/>
  <c r="Z197" i="1"/>
  <c r="BN197" i="1"/>
  <c r="Z208" i="1"/>
  <c r="BN208" i="1"/>
  <c r="Z218" i="1"/>
  <c r="BN218" i="1"/>
  <c r="Z231" i="1"/>
  <c r="BN231" i="1"/>
  <c r="Z249" i="1"/>
  <c r="BN249" i="1"/>
  <c r="Z263" i="1"/>
  <c r="BN263" i="1"/>
  <c r="Z283" i="1"/>
  <c r="Z284" i="1" s="1"/>
  <c r="BN283" i="1"/>
  <c r="BP283" i="1"/>
  <c r="Y284" i="1"/>
  <c r="Z288" i="1"/>
  <c r="BN288" i="1"/>
  <c r="Z300" i="1"/>
  <c r="BN300" i="1"/>
  <c r="Z310" i="1"/>
  <c r="BN310" i="1"/>
  <c r="Z327" i="1"/>
  <c r="BN327" i="1"/>
  <c r="Z344" i="1"/>
  <c r="BN344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BP302" i="1"/>
  <c r="BN302" i="1"/>
  <c r="Z302" i="1"/>
  <c r="BP314" i="1"/>
  <c r="BN314" i="1"/>
  <c r="Z314" i="1"/>
  <c r="Z317" i="1" s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41" i="1"/>
  <c r="BN41" i="1"/>
  <c r="Y57" i="1"/>
  <c r="Z54" i="1"/>
  <c r="BN54" i="1"/>
  <c r="Z67" i="1"/>
  <c r="BN67" i="1"/>
  <c r="Z75" i="1"/>
  <c r="BN75" i="1"/>
  <c r="Y81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2" i="1"/>
  <c r="BN162" i="1"/>
  <c r="BP162" i="1"/>
  <c r="Z166" i="1"/>
  <c r="BN166" i="1"/>
  <c r="Z170" i="1"/>
  <c r="BN170" i="1"/>
  <c r="Y178" i="1"/>
  <c r="Z176" i="1"/>
  <c r="BN176" i="1"/>
  <c r="Y177" i="1"/>
  <c r="Z180" i="1"/>
  <c r="Z181" i="1" s="1"/>
  <c r="BN180" i="1"/>
  <c r="BP180" i="1"/>
  <c r="Y181" i="1"/>
  <c r="Z185" i="1"/>
  <c r="BN185" i="1"/>
  <c r="Z195" i="1"/>
  <c r="BN195" i="1"/>
  <c r="Z200" i="1"/>
  <c r="BN200" i="1"/>
  <c r="Z206" i="1"/>
  <c r="BN206" i="1"/>
  <c r="BP206" i="1"/>
  <c r="Z210" i="1"/>
  <c r="BN210" i="1"/>
  <c r="Z214" i="1"/>
  <c r="BN214" i="1"/>
  <c r="Y220" i="1"/>
  <c r="Z225" i="1"/>
  <c r="BN225" i="1"/>
  <c r="Z229" i="1"/>
  <c r="BN229" i="1"/>
  <c r="Z233" i="1"/>
  <c r="BN233" i="1"/>
  <c r="Z247" i="1"/>
  <c r="BN247" i="1"/>
  <c r="Z254" i="1"/>
  <c r="BN254" i="1"/>
  <c r="Z258" i="1"/>
  <c r="BN258" i="1"/>
  <c r="Z265" i="1"/>
  <c r="BN265" i="1"/>
  <c r="Z279" i="1"/>
  <c r="BN279" i="1"/>
  <c r="Q498" i="1"/>
  <c r="Z290" i="1"/>
  <c r="BN290" i="1"/>
  <c r="Z296" i="1"/>
  <c r="BN296" i="1"/>
  <c r="BP296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Y337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79" i="1"/>
  <c r="Y453" i="1"/>
  <c r="Y452" i="1"/>
  <c r="H9" i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Y330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Z259" i="1" s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Y317" i="1"/>
  <c r="BP343" i="1"/>
  <c r="BN343" i="1"/>
  <c r="Z343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BP289" i="1"/>
  <c r="BN289" i="1"/>
  <c r="Z289" i="1"/>
  <c r="Z293" i="1" s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Y482" i="1"/>
  <c r="Z498" i="1"/>
  <c r="Y486" i="1"/>
  <c r="BP485" i="1"/>
  <c r="BN485" i="1"/>
  <c r="Z485" i="1"/>
  <c r="Z486" i="1" s="1"/>
  <c r="Y487" i="1"/>
  <c r="Z374" i="1" l="1"/>
  <c r="Z324" i="1"/>
  <c r="Z215" i="1"/>
  <c r="Z250" i="1"/>
  <c r="Z171" i="1"/>
  <c r="Z136" i="1"/>
  <c r="Z88" i="1"/>
  <c r="Z461" i="1"/>
  <c r="Z311" i="1"/>
  <c r="Z481" i="1"/>
  <c r="Z437" i="1"/>
  <c r="Z398" i="1"/>
  <c r="Z303" i="1"/>
  <c r="Z274" i="1"/>
  <c r="Z410" i="1"/>
  <c r="Z349" i="1"/>
  <c r="Z203" i="1"/>
  <c r="Z109" i="1"/>
  <c r="Z57" i="1"/>
  <c r="Z330" i="1"/>
  <c r="Z126" i="1"/>
  <c r="Z116" i="1"/>
  <c r="Z103" i="1"/>
  <c r="Z446" i="1"/>
  <c r="Z431" i="1"/>
  <c r="Y490" i="1"/>
  <c r="Z95" i="1"/>
  <c r="Z393" i="1"/>
  <c r="Z234" i="1"/>
  <c r="Z143" i="1"/>
  <c r="Z76" i="1"/>
  <c r="Z63" i="1"/>
  <c r="Z43" i="1"/>
  <c r="Z31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<sst xmlns="http://schemas.openxmlformats.org/spreadsheetml/2006/main" count="2279" uniqueCount="764">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</sst>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45970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Воскресенье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144</v>
      </c>
      <c r="Y41" s="540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36</v>
      </c>
      <c r="Y43" s="541">
        <f>IFERROR(Y40/H40,"0")+IFERROR(Y41/H41,"0")+IFERROR(Y42/H42,"0")</f>
        <v>36</v>
      </c>
      <c r="Z43" s="541">
        <f>IFERROR(IF(Z40="",0,Z40),"0")+IFERROR(IF(Z41="",0,Z41),"0")+IFERROR(IF(Z42="",0,Z42),"0")</f>
        <v>0.32472000000000001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144</v>
      </c>
      <c r="Y44" s="541">
        <f>IFERROR(SUM(Y40:Y42),"0")</f>
        <v>144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350</v>
      </c>
      <c r="Y52" s="540">
        <f t="shared" si="0"/>
        <v>356.40000000000003</v>
      </c>
      <c r="Z52" s="36">
        <f>IFERROR(IF(Y52=0,"",ROUNDUP(Y52/H52,0)*0.01898),"")</f>
        <v>0.62634000000000001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363.28703703703707</v>
      </c>
      <c r="BN52" s="64">
        <f t="shared" si="2"/>
        <v>369.93</v>
      </c>
      <c r="BO52" s="64">
        <f t="shared" si="3"/>
        <v>0.5063657407407407</v>
      </c>
      <c r="BP52" s="64">
        <f t="shared" si="4"/>
        <v>0.515625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315</v>
      </c>
      <c r="Y56" s="540">
        <f t="shared" si="0"/>
        <v>315</v>
      </c>
      <c r="Z56" s="36">
        <f>IFERROR(IF(Y56=0,"",ROUNDUP(Y56/H56,0)*0.00902),"")</f>
        <v>0.63139999999999996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328.3</v>
      </c>
      <c r="BN56" s="64">
        <f t="shared" si="2"/>
        <v>328.3</v>
      </c>
      <c r="BO56" s="64">
        <f t="shared" si="3"/>
        <v>0.53030303030303028</v>
      </c>
      <c r="BP56" s="64">
        <f t="shared" si="4"/>
        <v>0.53030303030303028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102.4074074074074</v>
      </c>
      <c r="Y57" s="541">
        <f>IFERROR(Y51/H51,"0")+IFERROR(Y52/H52,"0")+IFERROR(Y53/H53,"0")+IFERROR(Y54/H54,"0")+IFERROR(Y55/H55,"0")+IFERROR(Y56/H56,"0")</f>
        <v>103</v>
      </c>
      <c r="Z57" s="541">
        <f>IFERROR(IF(Z51="",0,Z51),"0")+IFERROR(IF(Z52="",0,Z52),"0")+IFERROR(IF(Z53="",0,Z53),"0")+IFERROR(IF(Z54="",0,Z54),"0")+IFERROR(IF(Z55="",0,Z55),"0")+IFERROR(IF(Z56="",0,Z56),"0")</f>
        <v>1.2577400000000001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665</v>
      </c>
      <c r="Y58" s="541">
        <f>IFERROR(SUM(Y51:Y56),"0")</f>
        <v>671.40000000000009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350</v>
      </c>
      <c r="Y60" s="540">
        <f>IFERROR(IF(X60="",0,CEILING((X60/$H60),1)*$H60),"")</f>
        <v>356.40000000000003</v>
      </c>
      <c r="Z60" s="36">
        <f>IFERROR(IF(Y60=0,"",ROUNDUP(Y60/H60,0)*0.01898),"")</f>
        <v>0.62634000000000001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363.28703703703707</v>
      </c>
      <c r="BN60" s="64">
        <f>IFERROR(Y60*I60/H60,"0")</f>
        <v>369.93</v>
      </c>
      <c r="BO60" s="64">
        <f>IFERROR(1/J60*(X60/H60),"0")</f>
        <v>0.5063657407407407</v>
      </c>
      <c r="BP60" s="64">
        <f>IFERROR(1/J60*(Y60/H60),"0")</f>
        <v>0.515625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270</v>
      </c>
      <c r="Y62" s="540">
        <f>IFERROR(IF(X62="",0,CEILING((X62/$H62),1)*$H62),"")</f>
        <v>270</v>
      </c>
      <c r="Z62" s="36">
        <f>IFERROR(IF(Y62=0,"",ROUNDUP(Y62/H62,0)*0.00651),"")</f>
        <v>0.65100000000000002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288</v>
      </c>
      <c r="BN62" s="64">
        <f>IFERROR(Y62*I62/H62,"0")</f>
        <v>288</v>
      </c>
      <c r="BO62" s="64">
        <f>IFERROR(1/J62*(X62/H62),"0")</f>
        <v>0.5494505494505495</v>
      </c>
      <c r="BP62" s="64">
        <f>IFERROR(1/J62*(Y62/H62),"0")</f>
        <v>0.5494505494505495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132.40740740740739</v>
      </c>
      <c r="Y63" s="541">
        <f>IFERROR(Y60/H60,"0")+IFERROR(Y61/H61,"0")+IFERROR(Y62/H62,"0")</f>
        <v>133</v>
      </c>
      <c r="Z63" s="541">
        <f>IFERROR(IF(Z60="",0,Z60),"0")+IFERROR(IF(Z61="",0,Z61),"0")+IFERROR(IF(Z62="",0,Z62),"0")</f>
        <v>1.2773400000000001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620</v>
      </c>
      <c r="Y64" s="541">
        <f>IFERROR(SUM(Y60:Y62),"0")</f>
        <v>626.40000000000009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90</v>
      </c>
      <c r="Y79" s="540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94.730769230769241</v>
      </c>
      <c r="BN79" s="64">
        <f>IFERROR(Y79*I79/H79,"0")</f>
        <v>98.52000000000001</v>
      </c>
      <c r="BO79" s="64">
        <f>IFERROR(1/J79*(X79/H79),"0")</f>
        <v>0.18028846153846154</v>
      </c>
      <c r="BP79" s="64">
        <f>IFERROR(1/J79*(Y79/H79),"0")</f>
        <v>0.1875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11.538461538461538</v>
      </c>
      <c r="Y81" s="541">
        <f>IFERROR(Y79/H79,"0")+IFERROR(Y80/H80,"0")</f>
        <v>12</v>
      </c>
      <c r="Z81" s="541">
        <f>IFERROR(IF(Z79="",0,Z79),"0")+IFERROR(IF(Z80="",0,Z80),"0")</f>
        <v>0.22776000000000002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90</v>
      </c>
      <c r="Y82" s="541">
        <f>IFERROR(SUM(Y79:Y80),"0")</f>
        <v>93.6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360</v>
      </c>
      <c r="Y87" s="540">
        <f>IFERROR(IF(X87="",0,CEILING((X87/$H87),1)*$H87),"")</f>
        <v>360</v>
      </c>
      <c r="Z87" s="36">
        <f>IFERROR(IF(Y87=0,"",ROUNDUP(Y87/H87,0)*0.00902),"")</f>
        <v>0.72160000000000002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375.20000000000005</v>
      </c>
      <c r="BN87" s="64">
        <f>IFERROR(Y87*I87/H87,"0")</f>
        <v>375.20000000000005</v>
      </c>
      <c r="BO87" s="64">
        <f>IFERROR(1/J87*(X87/H87),"0")</f>
        <v>0.60606060606060608</v>
      </c>
      <c r="BP87" s="64">
        <f>IFERROR(1/J87*(Y87/H87),"0")</f>
        <v>0.60606060606060608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89.259259259259267</v>
      </c>
      <c r="Y88" s="541">
        <f>IFERROR(Y85/H85,"0")+IFERROR(Y86/H86,"0")+IFERROR(Y87/H87,"0")</f>
        <v>90</v>
      </c>
      <c r="Z88" s="541">
        <f>IFERROR(IF(Z85="",0,Z85),"0")+IFERROR(IF(Z86="",0,Z86),"0")+IFERROR(IF(Z87="",0,Z87),"0")</f>
        <v>0.91139999999999999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460</v>
      </c>
      <c r="Y89" s="541">
        <f>IFERROR(SUM(Y85:Y87),"0")</f>
        <v>468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470</v>
      </c>
      <c r="Y91" s="540">
        <f>IFERROR(IF(X91="",0,CEILING((X91/$H91),1)*$H91),"")</f>
        <v>477.9</v>
      </c>
      <c r="Z91" s="36">
        <f>IFERROR(IF(Y91=0,"",ROUNDUP(Y91/H91,0)*0.01898),"")</f>
        <v>1.11982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498.66419753086421</v>
      </c>
      <c r="BN91" s="64">
        <f>IFERROR(Y91*I91/H91,"0")</f>
        <v>507.04599999999994</v>
      </c>
      <c r="BO91" s="64">
        <f>IFERROR(1/J91*(X91/H91),"0")</f>
        <v>0.90663580246913589</v>
      </c>
      <c r="BP91" s="64">
        <f>IFERROR(1/J91*(Y91/H91),"0")</f>
        <v>0.921875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174.69135802469134</v>
      </c>
      <c r="Y95" s="541">
        <f>IFERROR(Y91/H91,"0")+IFERROR(Y92/H92,"0")+IFERROR(Y93/H93,"0")+IFERROR(Y94/H94,"0")</f>
        <v>176</v>
      </c>
      <c r="Z95" s="541">
        <f>IFERROR(IF(Z91="",0,Z91),"0")+IFERROR(IF(Z92="",0,Z92),"0")+IFERROR(IF(Z93="",0,Z93),"0")+IFERROR(IF(Z94="",0,Z94),"0")</f>
        <v>1.8814900000000001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785</v>
      </c>
      <c r="Y96" s="541">
        <f>IFERROR(SUM(Y91:Y94),"0")</f>
        <v>793.8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630</v>
      </c>
      <c r="Y101" s="540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140</v>
      </c>
      <c r="Y103" s="541">
        <f>IFERROR(Y99/H99,"0")+IFERROR(Y100/H100,"0")+IFERROR(Y101/H101,"0")+IFERROR(Y102/H102,"0")</f>
        <v>140</v>
      </c>
      <c r="Z103" s="541">
        <f>IFERROR(IF(Z99="",0,Z99),"0")+IFERROR(IF(Z100="",0,Z100),"0")+IFERROR(IF(Z101="",0,Z101),"0")+IFERROR(IF(Z102="",0,Z102),"0")</f>
        <v>1.2627999999999999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630</v>
      </c>
      <c r="Y104" s="541">
        <f>IFERROR(SUM(Y99:Y102),"0")</f>
        <v>630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470</v>
      </c>
      <c r="Y112" s="540">
        <f>IFERROR(IF(X112="",0,CEILING((X112/$H112),1)*$H112),"")</f>
        <v>477.9</v>
      </c>
      <c r="Z112" s="36">
        <f>IFERROR(IF(Y112=0,"",ROUNDUP(Y112/H112,0)*0.01898),"")</f>
        <v>1.11982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498.31604938271602</v>
      </c>
      <c r="BN112" s="64">
        <f>IFERROR(Y112*I112/H112,"0")</f>
        <v>506.69199999999995</v>
      </c>
      <c r="BO112" s="64">
        <f>IFERROR(1/J112*(X112/H112),"0")</f>
        <v>0.90663580246913589</v>
      </c>
      <c r="BP112" s="64">
        <f>IFERROR(1/J112*(Y112/H112),"0")</f>
        <v>0.921875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450</v>
      </c>
      <c r="Y114" s="540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15</v>
      </c>
      <c r="Y115" s="540">
        <f>IFERROR(IF(X115="",0,CEILING((X115/$H115),1)*$H115),"")</f>
        <v>16.2</v>
      </c>
      <c r="Z115" s="36">
        <f>IFERROR(IF(Y115=0,"",ROUNDUP(Y115/H115,0)*0.00651),"")</f>
        <v>5.8590000000000003E-2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16.5</v>
      </c>
      <c r="BN115" s="64">
        <f>IFERROR(Y115*I115/H115,"0")</f>
        <v>17.82</v>
      </c>
      <c r="BO115" s="64">
        <f>IFERROR(1/J115*(X115/H115),"0")</f>
        <v>4.5787545787545791E-2</v>
      </c>
      <c r="BP115" s="64">
        <f>IFERROR(1/J115*(Y115/H115),"0")</f>
        <v>4.9450549450549455E-2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233.02469135802468</v>
      </c>
      <c r="Y116" s="541">
        <f>IFERROR(Y112/H112,"0")+IFERROR(Y113/H113,"0")+IFERROR(Y114/H114,"0")+IFERROR(Y115/H115,"0")</f>
        <v>235</v>
      </c>
      <c r="Z116" s="541">
        <f>IFERROR(IF(Z112="",0,Z112),"0")+IFERROR(IF(Z113="",0,Z113),"0")+IFERROR(IF(Z114="",0,Z114),"0")+IFERROR(IF(Z115="",0,Z115),"0")</f>
        <v>2.2655800000000004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935</v>
      </c>
      <c r="Y117" s="541">
        <f>IFERROR(SUM(Y112:Y115),"0")</f>
        <v>945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16.5</v>
      </c>
      <c r="Y119" s="540">
        <f>IFERROR(IF(X119="",0,CEILING((X119/$H119),1)*$H119),"")</f>
        <v>17.82</v>
      </c>
      <c r="Z119" s="36">
        <f>IFERROR(IF(Y119=0,"",ROUNDUP(Y119/H119,0)*0.00651),"")</f>
        <v>5.8590000000000003E-2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18.649999999999999</v>
      </c>
      <c r="BN119" s="64">
        <f>IFERROR(Y119*I119/H119,"0")</f>
        <v>20.141999999999999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8.3333333333333339</v>
      </c>
      <c r="Y120" s="541">
        <f>IFERROR(Y119/H119,"0")</f>
        <v>9</v>
      </c>
      <c r="Z120" s="541">
        <f>IFERROR(IF(Z119="",0,Z119),"0")</f>
        <v>5.8590000000000003E-2</v>
      </c>
      <c r="AA120" s="542"/>
      <c r="AB120" s="542"/>
      <c r="AC120" s="542"/>
    </row>
    <row r="121" spans="1:68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16.5</v>
      </c>
      <c r="Y121" s="541">
        <f>IFERROR(SUM(Y119:Y119),"0")</f>
        <v>17.82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56</v>
      </c>
      <c r="Y130" s="540">
        <f>IFERROR(IF(X130="",0,CEILING((X130/$H130),1)*$H130),"")</f>
        <v>56</v>
      </c>
      <c r="Z130" s="36">
        <f>IFERROR(IF(Y130=0,"",ROUNDUP(Y130/H130,0)*0.00651),"")</f>
        <v>0.13020000000000001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61.36</v>
      </c>
      <c r="BN130" s="64">
        <f>IFERROR(Y130*I130/H130,"0")</f>
        <v>61.36</v>
      </c>
      <c r="BO130" s="64">
        <f>IFERROR(1/J130*(X130/H130),"0")</f>
        <v>0.1098901098901099</v>
      </c>
      <c r="BP130" s="64">
        <f>IFERROR(1/J130*(Y130/H130),"0")</f>
        <v>0.1098901098901099</v>
      </c>
    </row>
    <row r="131" spans="1:68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20</v>
      </c>
      <c r="Y131" s="541">
        <f>IFERROR(Y129/H129,"0")+IFERROR(Y130/H130,"0")</f>
        <v>20</v>
      </c>
      <c r="Z131" s="541">
        <f>IFERROR(IF(Z129="",0,Z129),"0")+IFERROR(IF(Z130="",0,Z130),"0")</f>
        <v>0.13020000000000001</v>
      </c>
      <c r="AA131" s="542"/>
      <c r="AB131" s="542"/>
      <c r="AC131" s="542"/>
    </row>
    <row r="132" spans="1:68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56</v>
      </c>
      <c r="Y132" s="541">
        <f>IFERROR(SUM(Y129:Y130),"0")</f>
        <v>56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70</v>
      </c>
      <c r="Y162" s="540">
        <f t="shared" ref="Y162:Y170" si="5">IFERROR(IF(X162="",0,CEILING((X162/$H162),1)*$H162),"")</f>
        <v>71.400000000000006</v>
      </c>
      <c r="Z162" s="36">
        <f>IFERROR(IF(Y162=0,"",ROUNDUP(Y162/H162,0)*0.00902),"")</f>
        <v>0.15334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74.166666666666657</v>
      </c>
      <c r="BN162" s="64">
        <f t="shared" ref="BN162:BN170" si="7">IFERROR(Y162*I162/H162,"0")</f>
        <v>75.650000000000006</v>
      </c>
      <c r="BO162" s="64">
        <f t="shared" ref="BO162:BO170" si="8">IFERROR(1/J162*(X162/H162),"0")</f>
        <v>0.12626262626262624</v>
      </c>
      <c r="BP162" s="64">
        <f t="shared" ref="BP162:BP170" si="9">IFERROR(1/J162*(Y162/H162),"0")</f>
        <v>0.12878787878787878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40</v>
      </c>
      <c r="Y163" s="540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42.38095238095238</v>
      </c>
      <c r="BN163" s="64">
        <f t="shared" si="7"/>
        <v>44.5</v>
      </c>
      <c r="BO163" s="64">
        <f t="shared" si="8"/>
        <v>7.2150072150072145E-2</v>
      </c>
      <c r="BP163" s="64">
        <f t="shared" si="9"/>
        <v>7.575757575757576E-2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120</v>
      </c>
      <c r="Y164" s="540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175</v>
      </c>
      <c r="Y165" s="540">
        <f t="shared" si="5"/>
        <v>176.4</v>
      </c>
      <c r="Z165" s="36">
        <f>IFERROR(IF(Y165=0,"",ROUNDUP(Y165/H165,0)*0.00502),"")</f>
        <v>0.42168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185.83333333333331</v>
      </c>
      <c r="BN165" s="64">
        <f t="shared" si="7"/>
        <v>187.32</v>
      </c>
      <c r="BO165" s="64">
        <f t="shared" si="8"/>
        <v>0.35612535612535612</v>
      </c>
      <c r="BP165" s="64">
        <f t="shared" si="9"/>
        <v>0.35897435897435903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245</v>
      </c>
      <c r="Y168" s="540">
        <f t="shared" si="5"/>
        <v>245.70000000000002</v>
      </c>
      <c r="Z168" s="36">
        <f>IFERROR(IF(Y168=0,"",ROUNDUP(Y168/H168,0)*0.00502),"")</f>
        <v>0.58733999999999997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256.66666666666663</v>
      </c>
      <c r="BN168" s="64">
        <f t="shared" si="7"/>
        <v>257.40000000000003</v>
      </c>
      <c r="BO168" s="64">
        <f t="shared" si="8"/>
        <v>0.4985754985754986</v>
      </c>
      <c r="BP168" s="64">
        <f t="shared" si="9"/>
        <v>0.5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321.42857142857139</v>
      </c>
      <c r="Y171" s="541">
        <f>IFERROR(Y162/H162,"0")+IFERROR(Y163/H163,"0")+IFERROR(Y164/H164,"0")+IFERROR(Y165/H165,"0")+IFERROR(Y166/H166,"0")+IFERROR(Y167/H167,"0")+IFERROR(Y168/H168,"0")+IFERROR(Y169/H169,"0")+IFERROR(Y170/H170,"0")</f>
        <v>324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1.8504800000000001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790</v>
      </c>
      <c r="Y172" s="541">
        <f>IFERROR(SUM(Y162:Y170),"0")</f>
        <v>798.00000000000011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7.0000000000000009</v>
      </c>
      <c r="Y175" s="540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22.222222222222221</v>
      </c>
      <c r="Y177" s="541">
        <f>IFERROR(Y174/H174,"0")+IFERROR(Y175/H175,"0")+IFERROR(Y176/H176,"0")</f>
        <v>24</v>
      </c>
      <c r="Z177" s="541">
        <f>IFERROR(IF(Z174="",0,Z174),"0")+IFERROR(IF(Z175="",0,Z175),"0")+IFERROR(IF(Z176="",0,Z176),"0")</f>
        <v>0.1416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28</v>
      </c>
      <c r="Y178" s="541">
        <f>IFERROR(SUM(Y174:Y176),"0")</f>
        <v>30.240000000000002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10.5</v>
      </c>
      <c r="Y180" s="540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8.3333333333333339</v>
      </c>
      <c r="Y181" s="541">
        <f>IFERROR(Y180/H180,"0")</f>
        <v>9</v>
      </c>
      <c r="Z181" s="541">
        <f>IFERROR(IF(Z180="",0,Z180),"0")</f>
        <v>5.3100000000000001E-2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10.5</v>
      </c>
      <c r="Y182" s="541">
        <f>IFERROR(SUM(Y180:Y180),"0")</f>
        <v>11.34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220</v>
      </c>
      <c r="Y195" s="540">
        <f t="shared" ref="Y195:Y202" si="10">IFERROR(IF(X195="",0,CEILING((X195/$H195),1)*$H195),"")</f>
        <v>221.4</v>
      </c>
      <c r="Z195" s="36">
        <f>IFERROR(IF(Y195=0,"",ROUNDUP(Y195/H195,0)*0.00902),"")</f>
        <v>0.36982000000000004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227.7407407407407</v>
      </c>
      <c r="BN195" s="64">
        <f t="shared" ref="BN195:BN202" si="12">IFERROR(Y195*I195/H195,"0")</f>
        <v>229.18999999999997</v>
      </c>
      <c r="BO195" s="64">
        <f t="shared" ref="BO195:BO202" si="13">IFERROR(1/J195*(X195/H195),"0")</f>
        <v>0.30864197530864196</v>
      </c>
      <c r="BP195" s="64">
        <f t="shared" ref="BP195:BP202" si="14">IFERROR(1/J195*(Y195/H195),"0")</f>
        <v>0.31060606060606061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800</v>
      </c>
      <c r="Y197" s="540">
        <f t="shared" si="10"/>
        <v>804.6</v>
      </c>
      <c r="Z197" s="36">
        <f>IFERROR(IF(Y197=0,"",ROUNDUP(Y197/H197,0)*0.00902),"")</f>
        <v>1.34398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828.14814814814804</v>
      </c>
      <c r="BN197" s="64">
        <f t="shared" si="12"/>
        <v>832.91</v>
      </c>
      <c r="BO197" s="64">
        <f t="shared" si="13"/>
        <v>1.122334455667789</v>
      </c>
      <c r="BP197" s="64">
        <f t="shared" si="14"/>
        <v>1.1287878787878789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140</v>
      </c>
      <c r="Y198" s="540">
        <f t="shared" si="10"/>
        <v>140.4</v>
      </c>
      <c r="Z198" s="36">
        <f>IFERROR(IF(Y198=0,"",ROUNDUP(Y198/H198,0)*0.00902),"")</f>
        <v>0.23452000000000001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144.92592592592592</v>
      </c>
      <c r="BN198" s="64">
        <f t="shared" si="12"/>
        <v>145.34</v>
      </c>
      <c r="BO198" s="64">
        <f t="shared" si="13"/>
        <v>0.19640852974186307</v>
      </c>
      <c r="BP198" s="64">
        <f t="shared" si="14"/>
        <v>0.19696969696969696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150</v>
      </c>
      <c r="Y199" s="540">
        <f t="shared" si="10"/>
        <v>151.20000000000002</v>
      </c>
      <c r="Z199" s="36">
        <f>IFERROR(IF(Y199=0,"",ROUNDUP(Y199/H199,0)*0.00502),"")</f>
        <v>0.42168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160.83333333333334</v>
      </c>
      <c r="BN199" s="64">
        <f t="shared" si="12"/>
        <v>162.12</v>
      </c>
      <c r="BO199" s="64">
        <f t="shared" si="13"/>
        <v>0.35612535612535612</v>
      </c>
      <c r="BP199" s="64">
        <f t="shared" si="14"/>
        <v>0.35897435897435909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90</v>
      </c>
      <c r="Y200" s="540">
        <f t="shared" si="10"/>
        <v>90</v>
      </c>
      <c r="Z200" s="36">
        <f>IFERROR(IF(Y200=0,"",ROUNDUP(Y200/H200,0)*0.00502),"")</f>
        <v>0.251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95</v>
      </c>
      <c r="BN200" s="64">
        <f t="shared" si="12"/>
        <v>95</v>
      </c>
      <c r="BO200" s="64">
        <f t="shared" si="13"/>
        <v>0.21367521367521369</v>
      </c>
      <c r="BP200" s="64">
        <f t="shared" si="14"/>
        <v>0.21367521367521369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90</v>
      </c>
      <c r="Y201" s="540">
        <f t="shared" si="10"/>
        <v>90</v>
      </c>
      <c r="Z201" s="36">
        <f>IFERROR(IF(Y201=0,"",ROUNDUP(Y201/H201,0)*0.00502),"")</f>
        <v>0.251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95</v>
      </c>
      <c r="BN201" s="64">
        <f t="shared" si="12"/>
        <v>95</v>
      </c>
      <c r="BO201" s="64">
        <f t="shared" si="13"/>
        <v>0.21367521367521369</v>
      </c>
      <c r="BP201" s="64">
        <f t="shared" si="14"/>
        <v>0.21367521367521369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60</v>
      </c>
      <c r="Y202" s="540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440.7407407407407</v>
      </c>
      <c r="Y203" s="541">
        <f>IFERROR(Y195/H195,"0")+IFERROR(Y196/H196,"0")+IFERROR(Y197/H197,"0")+IFERROR(Y198/H198,"0")+IFERROR(Y199/H199,"0")+IFERROR(Y200/H200,"0")+IFERROR(Y201/H201,"0")+IFERROR(Y202/H202,"0")</f>
        <v>444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3.1328799999999997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1600</v>
      </c>
      <c r="Y204" s="541">
        <f>IFERROR(SUM(Y195:Y202),"0")</f>
        <v>1612.8000000000002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360</v>
      </c>
      <c r="Y209" s="540">
        <f t="shared" si="15"/>
        <v>360</v>
      </c>
      <c r="Z209" s="36">
        <f t="shared" ref="Z209:Z214" si="20">IFERROR(IF(Y209=0,"",ROUNDUP(Y209/H209,0)*0.00651),"")</f>
        <v>0.97650000000000003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400.5</v>
      </c>
      <c r="BN209" s="64">
        <f t="shared" si="17"/>
        <v>400.5</v>
      </c>
      <c r="BO209" s="64">
        <f t="shared" si="18"/>
        <v>0.82417582417582425</v>
      </c>
      <c r="BP209" s="64">
        <f t="shared" si="19"/>
        <v>0.82417582417582425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640</v>
      </c>
      <c r="Y211" s="540">
        <f t="shared" si="15"/>
        <v>640.79999999999995</v>
      </c>
      <c r="Z211" s="36">
        <f t="shared" si="20"/>
        <v>1.73817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707.20000000000016</v>
      </c>
      <c r="BN211" s="64">
        <f t="shared" si="17"/>
        <v>708.08399999999995</v>
      </c>
      <c r="BO211" s="64">
        <f t="shared" si="18"/>
        <v>1.4652014652014653</v>
      </c>
      <c r="BP211" s="64">
        <f t="shared" si="19"/>
        <v>1.4670329670329672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160</v>
      </c>
      <c r="Y213" s="540">
        <f t="shared" si="15"/>
        <v>160.79999999999998</v>
      </c>
      <c r="Z213" s="36">
        <f t="shared" si="20"/>
        <v>0.43617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176.80000000000004</v>
      </c>
      <c r="BN213" s="64">
        <f t="shared" si="17"/>
        <v>177.684</v>
      </c>
      <c r="BO213" s="64">
        <f t="shared" si="18"/>
        <v>0.36630036630036633</v>
      </c>
      <c r="BP213" s="64">
        <f t="shared" si="19"/>
        <v>0.36813186813186816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280</v>
      </c>
      <c r="Y214" s="540">
        <f t="shared" si="15"/>
        <v>280.8</v>
      </c>
      <c r="Z214" s="36">
        <f t="shared" si="20"/>
        <v>0.76167000000000007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310.10000000000002</v>
      </c>
      <c r="BN214" s="64">
        <f t="shared" si="17"/>
        <v>310.98599999999999</v>
      </c>
      <c r="BO214" s="64">
        <f t="shared" si="18"/>
        <v>0.64102564102564108</v>
      </c>
      <c r="BP214" s="64">
        <f t="shared" si="19"/>
        <v>0.64285714285714302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611.49425287356325</v>
      </c>
      <c r="Y215" s="541">
        <f>IFERROR(Y206/H206,"0")+IFERROR(Y207/H207,"0")+IFERROR(Y208/H208,"0")+IFERROR(Y209/H209,"0")+IFERROR(Y210/H210,"0")+IFERROR(Y211/H211,"0")+IFERROR(Y212/H212,"0")+IFERROR(Y213/H213,"0")+IFERROR(Y214/H214,"0")</f>
        <v>613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4.1402700000000001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1540</v>
      </c>
      <c r="Y216" s="541">
        <f>IFERROR(SUM(Y206:Y214),"0")</f>
        <v>1546.7999999999997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20</v>
      </c>
      <c r="Y220" s="541">
        <f>IFERROR(Y218/H218,"0")+IFERROR(Y219/H219,"0")</f>
        <v>21</v>
      </c>
      <c r="Z220" s="541">
        <f>IFERROR(IF(Z218="",0,Z218),"0")+IFERROR(IF(Z219="",0,Z219),"0")</f>
        <v>0.13671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48</v>
      </c>
      <c r="Y221" s="541">
        <f>IFERROR(SUM(Y218:Y219),"0")</f>
        <v>50.399999999999991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40</v>
      </c>
      <c r="Y226" s="540">
        <f t="shared" si="21"/>
        <v>46.4</v>
      </c>
      <c r="Z226" s="36">
        <f>IFERROR(IF(Y226=0,"",ROUNDUP(Y226/H226,0)*0.01898),"")</f>
        <v>7.5920000000000001E-2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41.413793103448278</v>
      </c>
      <c r="BN226" s="64">
        <f t="shared" si="23"/>
        <v>48.04</v>
      </c>
      <c r="BO226" s="64">
        <f t="shared" si="24"/>
        <v>5.387931034482759E-2</v>
      </c>
      <c r="BP226" s="64">
        <f t="shared" si="25"/>
        <v>6.25E-2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16</v>
      </c>
      <c r="Y227" s="540">
        <f t="shared" si="21"/>
        <v>16</v>
      </c>
      <c r="Z227" s="36">
        <f>IFERROR(IF(Y227=0,"",ROUNDUP(Y227/H227,0)*0.00902),"")</f>
        <v>3.6080000000000001E-2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16.760000000000002</v>
      </c>
      <c r="BN227" s="64">
        <f t="shared" si="23"/>
        <v>16.760000000000002</v>
      </c>
      <c r="BO227" s="64">
        <f t="shared" si="24"/>
        <v>3.0303030303030304E-2</v>
      </c>
      <c r="BP227" s="64">
        <f t="shared" si="25"/>
        <v>3.0303030303030304E-2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72</v>
      </c>
      <c r="Y232" s="540">
        <f t="shared" si="21"/>
        <v>72</v>
      </c>
      <c r="Z232" s="36">
        <f>IFERROR(IF(Y232=0,"",ROUNDUP(Y232/H232,0)*0.00902),"")</f>
        <v>0.16236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75.42</v>
      </c>
      <c r="BN232" s="64">
        <f t="shared" si="23"/>
        <v>75.42</v>
      </c>
      <c r="BO232" s="64">
        <f t="shared" si="24"/>
        <v>0.13636363636363635</v>
      </c>
      <c r="BP232" s="64">
        <f t="shared" si="25"/>
        <v>0.13636363636363635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25.448275862068968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26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0.27435999999999999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128</v>
      </c>
      <c r="Y235" s="541">
        <f>IFERROR(SUM(Y224:Y233),"0")</f>
        <v>134.4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12</v>
      </c>
      <c r="Y241" s="540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6.6666666666666661</v>
      </c>
      <c r="Y242" s="541">
        <f>IFERROR(Y241/H241,"0")</f>
        <v>7</v>
      </c>
      <c r="Z242" s="541">
        <f>IFERROR(IF(Z241="",0,Z241),"0")</f>
        <v>4.1299999999999996E-2</v>
      </c>
      <c r="AA242" s="542"/>
      <c r="AB242" s="542"/>
      <c r="AC242" s="542"/>
    </row>
    <row r="243" spans="1:68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12</v>
      </c>
      <c r="Y243" s="541">
        <f>IFERROR(SUM(Y241:Y241),"0")</f>
        <v>12.6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112</v>
      </c>
      <c r="Y272" s="540">
        <f>IFERROR(IF(X272="",0,CEILING((X272/$H272),1)*$H272),"")</f>
        <v>112.8</v>
      </c>
      <c r="Z272" s="36">
        <f>IFERROR(IF(Y272=0,"",ROUNDUP(Y272/H272,0)*0.00651),"")</f>
        <v>0.30597000000000002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123.76</v>
      </c>
      <c r="BN272" s="64">
        <f>IFERROR(Y272*I272/H272,"0")</f>
        <v>124.64400000000001</v>
      </c>
      <c r="BO272" s="64">
        <f>IFERROR(1/J272*(X272/H272),"0")</f>
        <v>0.25641025641025644</v>
      </c>
      <c r="BP272" s="64">
        <f>IFERROR(1/J272*(Y272/H272),"0")</f>
        <v>0.25824175824175827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160</v>
      </c>
      <c r="Y273" s="540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113.33333333333334</v>
      </c>
      <c r="Y274" s="541">
        <f>IFERROR(Y271/H271,"0")+IFERROR(Y272/H272,"0")+IFERROR(Y273/H273,"0")</f>
        <v>114</v>
      </c>
      <c r="Z274" s="541">
        <f>IFERROR(IF(Z271="",0,Z271),"0")+IFERROR(IF(Z272="",0,Z272),"0")+IFERROR(IF(Z273="",0,Z273),"0")</f>
        <v>0.74214000000000002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272</v>
      </c>
      <c r="Y275" s="541">
        <f>IFERROR(SUM(Y271:Y273),"0")</f>
        <v>273.59999999999997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70</v>
      </c>
      <c r="Y300" s="540">
        <f t="shared" si="26"/>
        <v>71.400000000000006</v>
      </c>
      <c r="Z300" s="36">
        <f>IFERROR(IF(Y300=0,"",ROUNDUP(Y300/H300,0)*0.00502),"")</f>
        <v>0.17068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73.333333333333329</v>
      </c>
      <c r="BN300" s="64">
        <f t="shared" si="28"/>
        <v>74.8</v>
      </c>
      <c r="BO300" s="64">
        <f t="shared" si="29"/>
        <v>0.14245014245014245</v>
      </c>
      <c r="BP300" s="64">
        <f t="shared" si="30"/>
        <v>0.14529914529914531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39</v>
      </c>
      <c r="Y302" s="540">
        <f t="shared" si="26"/>
        <v>39.6</v>
      </c>
      <c r="Z302" s="36">
        <f>IFERROR(IF(Y302=0,"",ROUNDUP(Y302/H302,0)*0.00651),"")</f>
        <v>0.14322000000000001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43.94</v>
      </c>
      <c r="BN302" s="64">
        <f t="shared" si="28"/>
        <v>44.616</v>
      </c>
      <c r="BO302" s="64">
        <f t="shared" si="29"/>
        <v>0.11904761904761907</v>
      </c>
      <c r="BP302" s="64">
        <f t="shared" si="30"/>
        <v>0.12087912087912089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55</v>
      </c>
      <c r="Y303" s="541">
        <f>IFERROR(Y296/H296,"0")+IFERROR(Y297/H297,"0")+IFERROR(Y298/H298,"0")+IFERROR(Y299/H299,"0")+IFERROR(Y300/H300,"0")+IFERROR(Y301/H301,"0")+IFERROR(Y302/H302,"0")</f>
        <v>56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0.31390000000000001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109</v>
      </c>
      <c r="Y304" s="541">
        <f>IFERROR(SUM(Y296:Y302),"0")</f>
        <v>111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30</v>
      </c>
      <c r="Y314" s="540">
        <f>IFERROR(IF(X314="",0,CEILING((X314/$H314),1)*$H314),"")</f>
        <v>33.6</v>
      </c>
      <c r="Z314" s="36">
        <f>IFERROR(IF(Y314=0,"",ROUNDUP(Y314/H314,0)*0.01898),"")</f>
        <v>7.5920000000000001E-2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31.764285714285712</v>
      </c>
      <c r="BN314" s="64">
        <f>IFERROR(Y314*I314/H314,"0")</f>
        <v>35.576000000000001</v>
      </c>
      <c r="BO314" s="64">
        <f>IFERROR(1/J314*(X314/H314),"0")</f>
        <v>5.5803571428571425E-2</v>
      </c>
      <c r="BP314" s="64">
        <f>IFERROR(1/J314*(Y314/H314),"0")</f>
        <v>6.25E-2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200</v>
      </c>
      <c r="Y315" s="540">
        <f>IFERROR(IF(X315="",0,CEILING((X315/$H315),1)*$H315),"")</f>
        <v>202.79999999999998</v>
      </c>
      <c r="Z315" s="36">
        <f>IFERROR(IF(Y315=0,"",ROUNDUP(Y315/H315,0)*0.01898),"")</f>
        <v>0.49348000000000003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212.66666666666669</v>
      </c>
      <c r="BN315" s="64">
        <f>IFERROR(Y315*I315/H315,"0")</f>
        <v>215.64399999999998</v>
      </c>
      <c r="BO315" s="64">
        <f>IFERROR(1/J315*(X315/H315),"0")</f>
        <v>0.40064102564102566</v>
      </c>
      <c r="BP315" s="64">
        <f>IFERROR(1/J315*(Y315/H315),"0")</f>
        <v>0.40625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450</v>
      </c>
      <c r="Y316" s="540">
        <f>IFERROR(IF(X316="",0,CEILING((X316/$H316),1)*$H316),"")</f>
        <v>453.6</v>
      </c>
      <c r="Z316" s="36">
        <f>IFERROR(IF(Y316=0,"",ROUNDUP(Y316/H316,0)*0.01898),"")</f>
        <v>1.0249200000000001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476.46428571428572</v>
      </c>
      <c r="BN316" s="64">
        <f>IFERROR(Y316*I316/H316,"0")</f>
        <v>480.27600000000001</v>
      </c>
      <c r="BO316" s="64">
        <f>IFERROR(1/J316*(X316/H316),"0")</f>
        <v>0.8370535714285714</v>
      </c>
      <c r="BP316" s="64">
        <f>IFERROR(1/J316*(Y316/H316),"0")</f>
        <v>0.84375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82.783882783882774</v>
      </c>
      <c r="Y317" s="541">
        <f>IFERROR(Y314/H314,"0")+IFERROR(Y315/H315,"0")+IFERROR(Y316/H316,"0")</f>
        <v>84</v>
      </c>
      <c r="Z317" s="541">
        <f>IFERROR(IF(Z314="",0,Z314),"0")+IFERROR(IF(Z315="",0,Z315),"0")+IFERROR(IF(Z316="",0,Z316),"0")</f>
        <v>1.5943200000000002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680</v>
      </c>
      <c r="Y318" s="541">
        <f>IFERROR(SUM(Y314:Y316),"0")</f>
        <v>690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100</v>
      </c>
      <c r="Y329" s="540">
        <f>IFERROR(IF(X329="",0,CEILING((X329/$H329),1)*$H329),"")</f>
        <v>100</v>
      </c>
      <c r="Z329" s="36">
        <f>IFERROR(IF(Y329=0,"",ROUNDUP(Y329/H329,0)*0.00474),"")</f>
        <v>0.23700000000000002</v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112.00000000000001</v>
      </c>
      <c r="BN329" s="64">
        <f>IFERROR(Y329*I329/H329,"0")</f>
        <v>112.00000000000001</v>
      </c>
      <c r="BO329" s="64">
        <f>IFERROR(1/J329*(X329/H329),"0")</f>
        <v>0.21008403361344538</v>
      </c>
      <c r="BP329" s="64">
        <f>IFERROR(1/J329*(Y329/H329),"0")</f>
        <v>0.21008403361344538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50</v>
      </c>
      <c r="Y330" s="541">
        <f>IFERROR(Y327/H327,"0")+IFERROR(Y328/H328,"0")+IFERROR(Y329/H329,"0")</f>
        <v>50</v>
      </c>
      <c r="Z330" s="541">
        <f>IFERROR(IF(Z327="",0,Z327),"0")+IFERROR(IF(Z328="",0,Z328),"0")+IFERROR(IF(Z329="",0,Z329),"0")</f>
        <v>0.23700000000000002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100</v>
      </c>
      <c r="Y331" s="541">
        <f>IFERROR(SUM(Y327:Y329),"0")</f>
        <v>100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700</v>
      </c>
      <c r="Y335" s="540">
        <f>IFERROR(IF(X335="",0,CEILING((X335/$H335),1)*$H335),"")</f>
        <v>701.4</v>
      </c>
      <c r="Z335" s="36">
        <f>IFERROR(IF(Y335=0,"",ROUNDUP(Y335/H335,0)*0.00651),"")</f>
        <v>2.1743399999999999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783.99999999999989</v>
      </c>
      <c r="BN335" s="64">
        <f>IFERROR(Y335*I335/H335,"0")</f>
        <v>785.56799999999987</v>
      </c>
      <c r="BO335" s="64">
        <f>IFERROR(1/J335*(X335/H335),"0")</f>
        <v>1.8315018315018314</v>
      </c>
      <c r="BP335" s="64">
        <f>IFERROR(1/J335*(Y335/H335),"0")</f>
        <v>1.8351648351648353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525</v>
      </c>
      <c r="Y336" s="540">
        <f>IFERROR(IF(X336="",0,CEILING((X336/$H336),1)*$H336),"")</f>
        <v>525</v>
      </c>
      <c r="Z336" s="36">
        <f>IFERROR(IF(Y336=0,"",ROUNDUP(Y336/H336,0)*0.00651),"")</f>
        <v>1.6274999999999999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585</v>
      </c>
      <c r="BN336" s="64">
        <f>IFERROR(Y336*I336/H336,"0")</f>
        <v>585</v>
      </c>
      <c r="BO336" s="64">
        <f>IFERROR(1/J336*(X336/H336),"0")</f>
        <v>1.3736263736263736</v>
      </c>
      <c r="BP336" s="64">
        <f>IFERROR(1/J336*(Y336/H336),"0")</f>
        <v>1.3736263736263736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583.33333333333326</v>
      </c>
      <c r="Y337" s="541">
        <f>IFERROR(Y334/H334,"0")+IFERROR(Y335/H335,"0")+IFERROR(Y336/H336,"0")</f>
        <v>584</v>
      </c>
      <c r="Z337" s="541">
        <f>IFERROR(IF(Z334="",0,Z334),"0")+IFERROR(IF(Z335="",0,Z335),"0")+IFERROR(IF(Z336="",0,Z336),"0")</f>
        <v>3.8018399999999999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1225</v>
      </c>
      <c r="Y338" s="541">
        <f>IFERROR(SUM(Y334:Y336),"0")</f>
        <v>1226.4000000000001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800</v>
      </c>
      <c r="Y342" s="540">
        <f t="shared" ref="Y342:Y348" si="31">IFERROR(IF(X342="",0,CEILING((X342/$H342),1)*$H342),"")</f>
        <v>810</v>
      </c>
      <c r="Z342" s="36">
        <f>IFERROR(IF(Y342=0,"",ROUNDUP(Y342/H342,0)*0.02175),"")</f>
        <v>1.1744999999999999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825.06666666666672</v>
      </c>
      <c r="BN342" s="64">
        <f t="shared" ref="BN342:BN348" si="33">IFERROR(Y342*I342/H342,"0")</f>
        <v>835.38</v>
      </c>
      <c r="BO342" s="64">
        <f t="shared" ref="BO342:BO348" si="34">IFERROR(1/J342*(X342/H342),"0")</f>
        <v>1.1111111111111112</v>
      </c>
      <c r="BP342" s="64">
        <f t="shared" ref="BP342:BP348" si="35">IFERROR(1/J342*(Y342/H342),"0")</f>
        <v>1.125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300</v>
      </c>
      <c r="Y343" s="540">
        <f t="shared" si="31"/>
        <v>300</v>
      </c>
      <c r="Z343" s="36">
        <f>IFERROR(IF(Y343=0,"",ROUNDUP(Y343/H343,0)*0.02175),"")</f>
        <v>0.43499999999999994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309.39999999999998</v>
      </c>
      <c r="BN343" s="64">
        <f t="shared" si="33"/>
        <v>309.39999999999998</v>
      </c>
      <c r="BO343" s="64">
        <f t="shared" si="34"/>
        <v>0.41666666666666663</v>
      </c>
      <c r="BP343" s="64">
        <f t="shared" si="35"/>
        <v>0.41666666666666663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500</v>
      </c>
      <c r="Y344" s="540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515.66666666666663</v>
      </c>
      <c r="BN344" s="64">
        <f t="shared" si="33"/>
        <v>525.98</v>
      </c>
      <c r="BO344" s="64">
        <f t="shared" si="34"/>
        <v>0.69444444444444442</v>
      </c>
      <c r="BP344" s="64">
        <f t="shared" si="35"/>
        <v>0.70833333333333326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35</v>
      </c>
      <c r="Y348" s="540">
        <f t="shared" si="31"/>
        <v>35</v>
      </c>
      <c r="Z348" s="36">
        <f>IFERROR(IF(Y348=0,"",ROUNDUP(Y348/H348,0)*0.00902),"")</f>
        <v>6.3140000000000002E-2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36.33</v>
      </c>
      <c r="BN348" s="64">
        <f t="shared" si="33"/>
        <v>36.33</v>
      </c>
      <c r="BO348" s="64">
        <f t="shared" si="34"/>
        <v>5.3030303030303032E-2</v>
      </c>
      <c r="BP348" s="64">
        <f t="shared" si="35"/>
        <v>5.3030303030303032E-2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153.66666666666669</v>
      </c>
      <c r="Y349" s="541">
        <f>IFERROR(Y342/H342,"0")+IFERROR(Y343/H343,"0")+IFERROR(Y344/H344,"0")+IFERROR(Y345/H345,"0")+IFERROR(Y346/H346,"0")+IFERROR(Y347/H347,"0")+IFERROR(Y348/H348,"0")</f>
        <v>155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3.2821399999999996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2235</v>
      </c>
      <c r="Y350" s="541">
        <f>IFERROR(SUM(Y342:Y348),"0")</f>
        <v>2255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hidden="1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0</v>
      </c>
      <c r="Y352" s="540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20</v>
      </c>
      <c r="Y353" s="540">
        <f>IFERROR(IF(X353="",0,CEILING((X353/$H353),1)*$H353),"")</f>
        <v>20</v>
      </c>
      <c r="Z353" s="36">
        <f>IFERROR(IF(Y353=0,"",ROUNDUP(Y353/H353,0)*0.00902),"")</f>
        <v>4.5100000000000001E-2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20.950000000000003</v>
      </c>
      <c r="BN353" s="64">
        <f>IFERROR(Y353*I353/H353,"0")</f>
        <v>20.950000000000003</v>
      </c>
      <c r="BO353" s="64">
        <f>IFERROR(1/J353*(X353/H353),"0")</f>
        <v>3.787878787878788E-2</v>
      </c>
      <c r="BP353" s="64">
        <f>IFERROR(1/J353*(Y353/H353),"0")</f>
        <v>3.787878787878788E-2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5</v>
      </c>
      <c r="Y354" s="541">
        <f>IFERROR(Y352/H352,"0")+IFERROR(Y353/H353,"0")</f>
        <v>5</v>
      </c>
      <c r="Z354" s="541">
        <f>IFERROR(IF(Z352="",0,Z352),"0")+IFERROR(IF(Z353="",0,Z353),"0")</f>
        <v>4.5100000000000001E-2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20</v>
      </c>
      <c r="Y355" s="541">
        <f>IFERROR(SUM(Y352:Y353),"0")</f>
        <v>20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hidden="1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30</v>
      </c>
      <c r="Y362" s="540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3.3333333333333335</v>
      </c>
      <c r="Y363" s="541">
        <f>IFERROR(Y362/H362,"0")</f>
        <v>4</v>
      </c>
      <c r="Z363" s="541">
        <f>IFERROR(IF(Z362="",0,Z362),"0")</f>
        <v>7.5920000000000001E-2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30</v>
      </c>
      <c r="Y364" s="541">
        <f>IFERROR(SUM(Y362:Y362),"0")</f>
        <v>36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80</v>
      </c>
      <c r="Y367" s="540">
        <f>IFERROR(IF(X367="",0,CEILING((X367/$H367),1)*$H367),"")</f>
        <v>84</v>
      </c>
      <c r="Z367" s="36">
        <f>IFERROR(IF(Y367=0,"",ROUNDUP(Y367/H367,0)*0.01898),"")</f>
        <v>0.13286000000000001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82.733333333333334</v>
      </c>
      <c r="BN367" s="64">
        <f>IFERROR(Y367*I367/H367,"0")</f>
        <v>86.87</v>
      </c>
      <c r="BO367" s="64">
        <f>IFERROR(1/J367*(X367/H367),"0")</f>
        <v>0.10416666666666667</v>
      </c>
      <c r="BP367" s="64">
        <f>IFERROR(1/J367*(Y367/H367),"0")</f>
        <v>0.109375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6.666666666666667</v>
      </c>
      <c r="Y369" s="541">
        <f>IFERROR(Y367/H367,"0")+IFERROR(Y368/H368,"0")</f>
        <v>7</v>
      </c>
      <c r="Z369" s="541">
        <f>IFERROR(IF(Z367="",0,Z367),"0")+IFERROR(IF(Z368="",0,Z368),"0")</f>
        <v>0.13286000000000001</v>
      </c>
      <c r="AA369" s="542"/>
      <c r="AB369" s="542"/>
      <c r="AC369" s="542"/>
    </row>
    <row r="370" spans="1:68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80</v>
      </c>
      <c r="Y370" s="541">
        <f>IFERROR(SUM(Y367:Y368),"0")</f>
        <v>84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20</v>
      </c>
      <c r="Y377" s="540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2.2222222222222223</v>
      </c>
      <c r="Y379" s="541">
        <f>IFERROR(Y377/H377,"0")+IFERROR(Y378/H378,"0")</f>
        <v>3</v>
      </c>
      <c r="Z379" s="541">
        <f>IFERROR(IF(Z377="",0,Z377),"0")+IFERROR(IF(Z378="",0,Z378),"0")</f>
        <v>5.6940000000000004E-2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20</v>
      </c>
      <c r="Y380" s="541">
        <f>IFERROR(SUM(Y377:Y378),"0")</f>
        <v>27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17.5</v>
      </c>
      <c r="Y409" s="540">
        <f>IFERROR(IF(X409="",0,CEILING((X409/$H409),1)*$H409),"")</f>
        <v>18.900000000000002</v>
      </c>
      <c r="Z409" s="36">
        <f>IFERROR(IF(Y409=0,"",ROUNDUP(Y409/H409,0)*0.00502),"")</f>
        <v>4.5179999999999998E-2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18.583333333333332</v>
      </c>
      <c r="BN409" s="64">
        <f>IFERROR(Y409*I409/H409,"0")</f>
        <v>20.07</v>
      </c>
      <c r="BO409" s="64">
        <f>IFERROR(1/J409*(X409/H409),"0")</f>
        <v>3.5612535612535613E-2</v>
      </c>
      <c r="BP409" s="64">
        <f>IFERROR(1/J409*(Y409/H409),"0")</f>
        <v>3.8461538461538464E-2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8.3333333333333321</v>
      </c>
      <c r="Y410" s="541">
        <f>IFERROR(Y406/H406,"0")+IFERROR(Y407/H407,"0")+IFERROR(Y408/H408,"0")+IFERROR(Y409/H409,"0")</f>
        <v>9</v>
      </c>
      <c r="Z410" s="541">
        <f>IFERROR(IF(Z406="",0,Z406),"0")+IFERROR(IF(Z407="",0,Z407),"0")+IFERROR(IF(Z408="",0,Z408),"0")+IFERROR(IF(Z409="",0,Z409),"0")</f>
        <v>4.5179999999999998E-2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17.5</v>
      </c>
      <c r="Y411" s="541">
        <f>IFERROR(SUM(Y406:Y409),"0")</f>
        <v>18.900000000000002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100</v>
      </c>
      <c r="Y420" s="540">
        <f t="shared" ref="Y420:Y430" si="42">IFERROR(IF(X420="",0,CEILING((X420/$H420),1)*$H420),"")</f>
        <v>100.32000000000001</v>
      </c>
      <c r="Z420" s="36">
        <f t="shared" ref="Z420:Z425" si="43">IFERROR(IF(Y420=0,"",ROUNDUP(Y420/H420,0)*0.01196),"")</f>
        <v>0.22724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106.62878787878788</v>
      </c>
      <c r="BN420" s="64">
        <f t="shared" ref="BN420:BN430" si="45">IFERROR(Y420*I420/H420,"0")</f>
        <v>106.97</v>
      </c>
      <c r="BO420" s="64">
        <f t="shared" ref="BO420:BO430" si="46">IFERROR(1/J420*(X420/H420),"0")</f>
        <v>0.18210955710955709</v>
      </c>
      <c r="BP420" s="64">
        <f t="shared" ref="BP420:BP430" si="47">IFERROR(1/J420*(Y420/H420),"0")</f>
        <v>0.18269230769230771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250</v>
      </c>
      <c r="Y425" s="540">
        <f t="shared" si="42"/>
        <v>253.44</v>
      </c>
      <c r="Z425" s="36">
        <f t="shared" si="43"/>
        <v>0.57408000000000003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266.57196969696969</v>
      </c>
      <c r="BN425" s="64">
        <f t="shared" si="45"/>
        <v>270.23999999999995</v>
      </c>
      <c r="BO425" s="64">
        <f t="shared" si="46"/>
        <v>0.45527389277389274</v>
      </c>
      <c r="BP425" s="64">
        <f t="shared" si="47"/>
        <v>0.46153846153846156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135.22727272727272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136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1.4795600000000002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690</v>
      </c>
      <c r="Y432" s="541">
        <f>IFERROR(SUM(Y420:Y430),"0")</f>
        <v>694.08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60</v>
      </c>
      <c r="Y440" s="540">
        <f t="shared" ref="Y440:Y445" si="48">IFERROR(IF(X440="",0,CEILING((X440/$H440),1)*$H440),"")</f>
        <v>63.36</v>
      </c>
      <c r="Z440" s="36">
        <f>IFERROR(IF(Y440=0,"",ROUNDUP(Y440/H440,0)*0.01196),"")</f>
        <v>0.14352000000000001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63.977272727272727</v>
      </c>
      <c r="BN440" s="64">
        <f t="shared" ref="BN440:BN445" si="50">IFERROR(Y440*I440/H440,"0")</f>
        <v>67.559999999999988</v>
      </c>
      <c r="BO440" s="64">
        <f t="shared" ref="BO440:BO445" si="51">IFERROR(1/J440*(X440/H440),"0")</f>
        <v>0.10926573426573427</v>
      </c>
      <c r="BP440" s="64">
        <f t="shared" ref="BP440:BP445" si="52">IFERROR(1/J440*(Y440/H440),"0")</f>
        <v>0.11538461538461539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150</v>
      </c>
      <c r="Y441" s="540">
        <f t="shared" si="48"/>
        <v>153.12</v>
      </c>
      <c r="Z441" s="36">
        <f>IFERROR(IF(Y441=0,"",ROUNDUP(Y441/H441,0)*0.01196),"")</f>
        <v>0.34683999999999998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159.94318181818181</v>
      </c>
      <c r="BN441" s="64">
        <f t="shared" si="50"/>
        <v>163.26999999999998</v>
      </c>
      <c r="BO441" s="64">
        <f t="shared" si="51"/>
        <v>0.27316433566433568</v>
      </c>
      <c r="BP441" s="64">
        <f t="shared" si="52"/>
        <v>0.27884615384615385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160</v>
      </c>
      <c r="Y442" s="540">
        <f t="shared" si="48"/>
        <v>163.68</v>
      </c>
      <c r="Z442" s="36">
        <f>IFERROR(IF(Y442=0,"",ROUNDUP(Y442/H442,0)*0.01196),"")</f>
        <v>0.37075999999999998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170.60606060606059</v>
      </c>
      <c r="BN442" s="64">
        <f t="shared" si="50"/>
        <v>174.53</v>
      </c>
      <c r="BO442" s="64">
        <f t="shared" si="51"/>
        <v>0.29137529137529139</v>
      </c>
      <c r="BP442" s="64">
        <f t="shared" si="52"/>
        <v>0.29807692307692307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36</v>
      </c>
      <c r="Y443" s="540">
        <f t="shared" si="48"/>
        <v>38.4</v>
      </c>
      <c r="Z443" s="36">
        <f>IFERROR(IF(Y443=0,"",ROUNDUP(Y443/H443,0)*0.00902),"")</f>
        <v>7.2160000000000002E-2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51.825000000000003</v>
      </c>
      <c r="BN443" s="64">
        <f t="shared" si="50"/>
        <v>55.28</v>
      </c>
      <c r="BO443" s="64">
        <f t="shared" si="51"/>
        <v>5.6818181818181823E-2</v>
      </c>
      <c r="BP443" s="64">
        <f t="shared" si="52"/>
        <v>6.0606060606060608E-2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48</v>
      </c>
      <c r="Y444" s="540">
        <f t="shared" si="48"/>
        <v>48</v>
      </c>
      <c r="Z444" s="36">
        <f>IFERROR(IF(Y444=0,"",ROUNDUP(Y444/H444,0)*0.00902),"")</f>
        <v>9.0200000000000002E-2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66.7</v>
      </c>
      <c r="BN444" s="64">
        <f t="shared" si="50"/>
        <v>66.7</v>
      </c>
      <c r="BO444" s="64">
        <f t="shared" si="51"/>
        <v>7.575757575757576E-2</v>
      </c>
      <c r="BP444" s="64">
        <f t="shared" si="52"/>
        <v>7.575757575757576E-2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102</v>
      </c>
      <c r="Y445" s="540">
        <f t="shared" si="48"/>
        <v>105.6</v>
      </c>
      <c r="Z445" s="36">
        <f>IFERROR(IF(Y445=0,"",ROUNDUP(Y445/H445,0)*0.00902),"")</f>
        <v>0.19844000000000001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141.73750000000001</v>
      </c>
      <c r="BN445" s="64">
        <f t="shared" si="50"/>
        <v>146.74</v>
      </c>
      <c r="BO445" s="64">
        <f t="shared" si="51"/>
        <v>0.16098484848484848</v>
      </c>
      <c r="BP445" s="64">
        <f t="shared" si="52"/>
        <v>0.16666666666666669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108.82575757575756</v>
      </c>
      <c r="Y446" s="541">
        <f>IFERROR(Y440/H440,"0")+IFERROR(Y441/H441,"0")+IFERROR(Y442/H442,"0")+IFERROR(Y443/H443,"0")+IFERROR(Y444/H444,"0")+IFERROR(Y445/H445,"0")</f>
        <v>112</v>
      </c>
      <c r="Z446" s="541">
        <f>IFERROR(IF(Z440="",0,Z440),"0")+IFERROR(IF(Z441="",0,Z441),"0")+IFERROR(IF(Z442="",0,Z442),"0")+IFERROR(IF(Z443="",0,Z443),"0")+IFERROR(IF(Z444="",0,Z444),"0")+IFERROR(IF(Z445="",0,Z445),"0")</f>
        <v>1.2219199999999999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556</v>
      </c>
      <c r="Y447" s="541">
        <f>IFERROR(SUM(Y440:Y445),"0")</f>
        <v>572.16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1100</v>
      </c>
      <c r="Y475" s="540">
        <f>IFERROR(IF(X475="",0,CEILING((X475/$H475),1)*$H475),"")</f>
        <v>1107</v>
      </c>
      <c r="Z475" s="36">
        <f>IFERROR(IF(Y475=0,"",ROUNDUP(Y475/H475,0)*0.01898),"")</f>
        <v>2.3345400000000001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1160.3777777777777</v>
      </c>
      <c r="BN475" s="64">
        <f>IFERROR(Y475*I475/H475,"0")</f>
        <v>1167.7619999999999</v>
      </c>
      <c r="BO475" s="64">
        <f>IFERROR(1/J475*(X475/H475),"0")</f>
        <v>1.9097222222222223</v>
      </c>
      <c r="BP475" s="64">
        <f>IFERROR(1/J475*(Y475/H475),"0")</f>
        <v>1.921875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122.22222222222223</v>
      </c>
      <c r="Y476" s="541">
        <f>IFERROR(Y475/H475,"0")</f>
        <v>123</v>
      </c>
      <c r="Z476" s="541">
        <f>IFERROR(IF(Z475="",0,Z475),"0")</f>
        <v>2.3345400000000001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1100</v>
      </c>
      <c r="Y477" s="541">
        <f>IFERROR(SUM(Y475:Y475),"0")</f>
        <v>1107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16018.25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16188.059999999998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17197.052807829677</v>
      </c>
      <c r="Y489" s="541">
        <f>IFERROR(SUM(BN22:BN485),"0")</f>
        <v>17378.841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30</v>
      </c>
      <c r="Y490" s="38">
        <f>ROUNDUP(SUM(BP22:BP485),0)</f>
        <v>31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17947.052807829677</v>
      </c>
      <c r="Y491" s="541">
        <f>GrossWeightTotalR+PalletQtyTotalR*25</f>
        <v>18153.841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3935.9642076739769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3968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35.561889999999991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144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1391.4</v>
      </c>
      <c r="E498" s="46">
        <f>IFERROR(Y85*1,"0")+IFERROR(Y86*1,"0")+IFERROR(Y87*1,"0")+IFERROR(Y91*1,"0")+IFERROR(Y92*1,"0")+IFERROR(Y93*1,"0")+IFERROR(Y94*1,"0")</f>
        <v>1261.8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1592.8200000000002</v>
      </c>
      <c r="G498" s="46">
        <f>IFERROR(Y124*1,"0")+IFERROR(Y125*1,"0")+IFERROR(Y129*1,"0")+IFERROR(Y130*1,"0")+IFERROR(Y134*1,"0")+IFERROR(Y135*1,"0")</f>
        <v>202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839.58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3210.0000000000005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157.79999999999998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273.59999999999997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901</v>
      </c>
      <c r="R498" s="46">
        <f>IFERROR(Y334*1,"0")+IFERROR(Y335*1,"0")+IFERROR(Y336*1,"0")</f>
        <v>1226.4000000000001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2311</v>
      </c>
      <c r="T498" s="46">
        <f>IFERROR(Y367*1,"0")+IFERROR(Y368*1,"0")+IFERROR(Y372*1,"0")+IFERROR(Y373*1,"0")+IFERROR(Y377*1,"0")+IFERROR(Y378*1,"0")</f>
        <v>111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18.900000000000002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1419.3600000000001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1107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25,00"/>
        <filter val="1 540,00"/>
        <filter val="1 600,00"/>
        <filter val="10,50"/>
        <filter val="100,00"/>
        <filter val="102,00"/>
        <filter val="102,41"/>
        <filter val="108,83"/>
        <filter val="109,00"/>
        <filter val="11,54"/>
        <filter val="112,00"/>
        <filter val="113,33"/>
        <filter val="12,00"/>
        <filter val="120,00"/>
        <filter val="122,22"/>
        <filter val="128,00"/>
        <filter val="132,41"/>
        <filter val="135,23"/>
        <filter val="14,00"/>
        <filter val="140,00"/>
        <filter val="144,00"/>
        <filter val="15,00"/>
        <filter val="150,00"/>
        <filter val="153,67"/>
        <filter val="16 018,25"/>
        <filter val="16,00"/>
        <filter val="16,50"/>
        <filter val="16,67"/>
        <filter val="160,00"/>
        <filter val="17 197,05"/>
        <filter val="17 947,05"/>
        <filter val="17,50"/>
        <filter val="174,69"/>
        <filter val="175,00"/>
        <filter val="2 235,00"/>
        <filter val="2,22"/>
        <filter val="2,75"/>
        <filter val="20,00"/>
        <filter val="200,00"/>
        <filter val="22,22"/>
        <filter val="220,00"/>
        <filter val="233,02"/>
        <filter val="245,00"/>
        <filter val="25,00"/>
        <filter val="25,45"/>
        <filter val="250,00"/>
        <filter val="270,00"/>
        <filter val="272,00"/>
        <filter val="28,00"/>
        <filter val="28,41"/>
        <filter val="280,00"/>
        <filter val="3 935,96"/>
        <filter val="3,33"/>
        <filter val="30"/>
        <filter val="30,00"/>
        <filter val="300,00"/>
        <filter val="315,00"/>
        <filter val="321,43"/>
        <filter val="35,00"/>
        <filter val="350,00"/>
        <filter val="36,00"/>
        <filter val="360,00"/>
        <filter val="39,00"/>
        <filter val="40,00"/>
        <filter val="440,74"/>
        <filter val="450,00"/>
        <filter val="460,00"/>
        <filter val="470,00"/>
        <filter val="48,00"/>
        <filter val="5,00"/>
        <filter val="50,00"/>
        <filter val="500,00"/>
        <filter val="525,00"/>
        <filter val="55,00"/>
        <filter val="556,00"/>
        <filter val="56,00"/>
        <filter val="583,33"/>
        <filter val="6,67"/>
        <filter val="6,94"/>
        <filter val="60,00"/>
        <filter val="600,00"/>
        <filter val="611,49"/>
        <filter val="620,00"/>
        <filter val="630,00"/>
        <filter val="640,00"/>
        <filter val="66,00"/>
        <filter val="665,00"/>
        <filter val="680,00"/>
        <filter val="690,00"/>
        <filter val="7,00"/>
        <filter val="70,00"/>
        <filter val="700,00"/>
        <filter val="72,00"/>
        <filter val="785,00"/>
        <filter val="790,00"/>
        <filter val="8,33"/>
        <filter val="80,00"/>
        <filter val="800,00"/>
        <filter val="82,78"/>
        <filter val="89,26"/>
        <filter val="9,75"/>
        <filter val="90,00"/>
        <filter val="935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