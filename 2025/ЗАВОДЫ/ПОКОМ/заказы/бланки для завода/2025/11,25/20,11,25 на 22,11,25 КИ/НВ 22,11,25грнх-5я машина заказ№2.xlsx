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CC14738-31AC-409C-A488-BA6C5398C38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Y286" i="1" s="1"/>
  <c r="X282" i="1"/>
  <c r="X281" i="1"/>
  <c r="BO280" i="1"/>
  <c r="BM280" i="1"/>
  <c r="Y280" i="1"/>
  <c r="P280" i="1"/>
  <c r="BO279" i="1"/>
  <c r="BM279" i="1"/>
  <c r="Y279" i="1"/>
  <c r="BP279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BP191" i="1" s="1"/>
  <c r="P191" i="1"/>
  <c r="X189" i="1"/>
  <c r="X188" i="1"/>
  <c r="BO187" i="1"/>
  <c r="BM187" i="1"/>
  <c r="Y187" i="1"/>
  <c r="BP187" i="1" s="1"/>
  <c r="P187" i="1"/>
  <c r="BO186" i="1"/>
  <c r="BM186" i="1"/>
  <c r="Y186" i="1"/>
  <c r="Y188" i="1" s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BP162" i="1" s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BP148" i="1" s="1"/>
  <c r="P148" i="1"/>
  <c r="BO147" i="1"/>
  <c r="BM147" i="1"/>
  <c r="Y147" i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BP26" i="1" l="1"/>
  <c r="BN26" i="1"/>
  <c r="BP42" i="1"/>
  <c r="BN42" i="1"/>
  <c r="Z42" i="1"/>
  <c r="BP80" i="1"/>
  <c r="BN80" i="1"/>
  <c r="Z80" i="1"/>
  <c r="BP85" i="1"/>
  <c r="BN85" i="1"/>
  <c r="Z85" i="1"/>
  <c r="BP112" i="1"/>
  <c r="BN112" i="1"/>
  <c r="Z112" i="1"/>
  <c r="BP164" i="1"/>
  <c r="BN164" i="1"/>
  <c r="Z164" i="1"/>
  <c r="BP201" i="1"/>
  <c r="BN201" i="1"/>
  <c r="Z201" i="1"/>
  <c r="BP229" i="1"/>
  <c r="BN229" i="1"/>
  <c r="Z229" i="1"/>
  <c r="BP267" i="1"/>
  <c r="BN267" i="1"/>
  <c r="Z267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Z22" i="1"/>
  <c r="Z23" i="1" s="1"/>
  <c r="BN22" i="1"/>
  <c r="BP22" i="1"/>
  <c r="Z26" i="1"/>
  <c r="BP61" i="1"/>
  <c r="BN61" i="1"/>
  <c r="Z61" i="1"/>
  <c r="BP100" i="1"/>
  <c r="BN100" i="1"/>
  <c r="Z100" i="1"/>
  <c r="BP135" i="1"/>
  <c r="BN135" i="1"/>
  <c r="Z135" i="1"/>
  <c r="BP140" i="1"/>
  <c r="BN140" i="1"/>
  <c r="Z140" i="1"/>
  <c r="BP176" i="1"/>
  <c r="BN176" i="1"/>
  <c r="Z176" i="1"/>
  <c r="BP211" i="1"/>
  <c r="BN211" i="1"/>
  <c r="Z211" i="1"/>
  <c r="BP212" i="1"/>
  <c r="BN212" i="1"/>
  <c r="Z212" i="1"/>
  <c r="BP249" i="1"/>
  <c r="BN249" i="1"/>
  <c r="Z249" i="1"/>
  <c r="BP299" i="1"/>
  <c r="BN299" i="1"/>
  <c r="Z299" i="1"/>
  <c r="BP328" i="1"/>
  <c r="BN328" i="1"/>
  <c r="Z328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331" i="1"/>
  <c r="BP293" i="1"/>
  <c r="BN293" i="1"/>
  <c r="BP301" i="1"/>
  <c r="BN301" i="1"/>
  <c r="Z301" i="1"/>
  <c r="BP315" i="1"/>
  <c r="BN315" i="1"/>
  <c r="Z315" i="1"/>
  <c r="Z318" i="1" s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X493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Y63" i="1"/>
  <c r="Z68" i="1"/>
  <c r="BN68" i="1"/>
  <c r="Z74" i="1"/>
  <c r="BN74" i="1"/>
  <c r="Z87" i="1"/>
  <c r="BN87" i="1"/>
  <c r="Y95" i="1"/>
  <c r="Z93" i="1"/>
  <c r="BN93" i="1"/>
  <c r="Z102" i="1"/>
  <c r="BN102" i="1"/>
  <c r="Z108" i="1"/>
  <c r="BN108" i="1"/>
  <c r="Y116" i="1"/>
  <c r="Z114" i="1"/>
  <c r="BN114" i="1"/>
  <c r="Z129" i="1"/>
  <c r="BN129" i="1"/>
  <c r="BP129" i="1"/>
  <c r="Z142" i="1"/>
  <c r="BN142" i="1"/>
  <c r="Y150" i="1"/>
  <c r="Z148" i="1"/>
  <c r="BN148" i="1"/>
  <c r="Y149" i="1"/>
  <c r="Z162" i="1"/>
  <c r="BN162" i="1"/>
  <c r="Z166" i="1"/>
  <c r="BN166" i="1"/>
  <c r="Z170" i="1"/>
  <c r="BN170" i="1"/>
  <c r="Z187" i="1"/>
  <c r="BN187" i="1"/>
  <c r="Z191" i="1"/>
  <c r="BN191" i="1"/>
  <c r="Z199" i="1"/>
  <c r="BN199" i="1"/>
  <c r="Z203" i="1"/>
  <c r="BN203" i="1"/>
  <c r="Z209" i="1"/>
  <c r="BN209" i="1"/>
  <c r="Z214" i="1"/>
  <c r="BN214" i="1"/>
  <c r="Z227" i="1"/>
  <c r="BN227" i="1"/>
  <c r="Z231" i="1"/>
  <c r="BN231" i="1"/>
  <c r="Z247" i="1"/>
  <c r="BN247" i="1"/>
  <c r="Z256" i="1"/>
  <c r="BN256" i="1"/>
  <c r="Z265" i="1"/>
  <c r="BN265" i="1"/>
  <c r="Z272" i="1"/>
  <c r="BN272" i="1"/>
  <c r="Z279" i="1"/>
  <c r="BN279" i="1"/>
  <c r="Z284" i="1"/>
  <c r="BN284" i="1"/>
  <c r="BP284" i="1"/>
  <c r="Z293" i="1"/>
  <c r="BP309" i="1"/>
  <c r="BN309" i="1"/>
  <c r="Z309" i="1"/>
  <c r="Y326" i="1"/>
  <c r="BP321" i="1"/>
  <c r="BN321" i="1"/>
  <c r="Z321" i="1"/>
  <c r="Y325" i="1"/>
  <c r="BP330" i="1"/>
  <c r="BN330" i="1"/>
  <c r="Z330" i="1"/>
  <c r="Y338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18" i="1"/>
  <c r="Y380" i="1"/>
  <c r="Y454" i="1"/>
  <c r="Y453" i="1"/>
  <c r="F9" i="1"/>
  <c r="J9" i="1"/>
  <c r="F10" i="1"/>
  <c r="Y31" i="1"/>
  <c r="Y43" i="1"/>
  <c r="Y58" i="1"/>
  <c r="Y64" i="1"/>
  <c r="Y69" i="1"/>
  <c r="BP73" i="1"/>
  <c r="BN73" i="1"/>
  <c r="Z73" i="1"/>
  <c r="BP86" i="1"/>
  <c r="BN86" i="1"/>
  <c r="Z86" i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3" i="1" s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H9" i="1"/>
  <c r="B499" i="1"/>
  <c r="X490" i="1"/>
  <c r="X491" i="1"/>
  <c r="Y24" i="1"/>
  <c r="Z27" i="1"/>
  <c r="BN27" i="1"/>
  <c r="Z29" i="1"/>
  <c r="BN29" i="1"/>
  <c r="C499" i="1"/>
  <c r="Z41" i="1"/>
  <c r="Z43" i="1" s="1"/>
  <c r="BN41" i="1"/>
  <c r="Y44" i="1"/>
  <c r="D499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Y132" i="1"/>
  <c r="Y137" i="1"/>
  <c r="BP134" i="1"/>
  <c r="BN134" i="1"/>
  <c r="Z134" i="1"/>
  <c r="Y143" i="1"/>
  <c r="BP147" i="1"/>
  <c r="BN147" i="1"/>
  <c r="Z147" i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Z325" i="1" s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BP316" i="1"/>
  <c r="BN316" i="1"/>
  <c r="Z316" i="1"/>
  <c r="BP329" i="1"/>
  <c r="BN329" i="1"/>
  <c r="Z329" i="1"/>
  <c r="Z331" i="1" s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149" i="1" l="1"/>
  <c r="Z136" i="1"/>
  <c r="Z63" i="1"/>
  <c r="Z88" i="1"/>
  <c r="Y491" i="1"/>
  <c r="Z31" i="1"/>
  <c r="Z235" i="1"/>
  <c r="Z216" i="1"/>
  <c r="Z172" i="1"/>
  <c r="Z76" i="1"/>
  <c r="Z462" i="1"/>
  <c r="Z438" i="1"/>
  <c r="Z411" i="1"/>
  <c r="Z350" i="1"/>
  <c r="Z375" i="1"/>
  <c r="Z305" i="1"/>
  <c r="Z295" i="1"/>
  <c r="Z131" i="1"/>
  <c r="Z116" i="1"/>
  <c r="Z57" i="1"/>
  <c r="Y490" i="1"/>
  <c r="Y493" i="1"/>
  <c r="Y492" i="1"/>
  <c r="Z447" i="1"/>
  <c r="Z432" i="1"/>
  <c r="Z312" i="1"/>
  <c r="Z204" i="1"/>
  <c r="Z178" i="1"/>
  <c r="Z103" i="1"/>
  <c r="Z394" i="1"/>
  <c r="Z69" i="1"/>
  <c r="Y489" i="1"/>
  <c r="X492" i="1"/>
  <c r="Z268" i="1"/>
  <c r="Z260" i="1"/>
  <c r="Z251" i="1"/>
  <c r="Z494" i="1" l="1"/>
</calcChain>
</file>

<file path=xl/sharedStrings.xml><?xml version="1.0" encoding="utf-8"?>
<sst xmlns="http://schemas.openxmlformats.org/spreadsheetml/2006/main" count="2259" uniqueCount="768">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</sst>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3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589" t="s">
        <v>0</v>
      </c>
      <c r="E1" s="580"/>
      <c r="F1" s="580"/>
      <c r="G1" s="12" t="s">
        <v>1</v>
      </c>
      <c r="H1" s="589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592"/>
      <c r="C5" s="593"/>
      <c r="D5" s="625"/>
      <c r="E5" s="626"/>
      <c r="F5" s="831" t="s">
        <v>9</v>
      </c>
      <c r="G5" s="593"/>
      <c r="H5" s="625" t="s">
        <v>767</v>
      </c>
      <c r="I5" s="782"/>
      <c r="J5" s="782"/>
      <c r="K5" s="782"/>
      <c r="L5" s="782"/>
      <c r="M5" s="626"/>
      <c r="N5" s="58"/>
      <c r="P5" s="24" t="s">
        <v>10</v>
      </c>
      <c r="Q5" s="809">
        <v>45983</v>
      </c>
      <c r="R5" s="651"/>
      <c r="T5" s="706" t="s">
        <v>11</v>
      </c>
      <c r="U5" s="707"/>
      <c r="V5" s="708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592"/>
      <c r="C6" s="593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51"/>
      <c r="N6" s="59"/>
      <c r="P6" s="24" t="s">
        <v>15</v>
      </c>
      <c r="Q6" s="810" t="str">
        <f>IF(Q5=0," ",CHOOSE(WEEKDAY(Q5,2),"Понедельник","Вторник","Среда","Четверг","Пятница","Суббота","Воскресенье"))</f>
        <v>Суббота</v>
      </c>
      <c r="R6" s="549"/>
      <c r="T6" s="714" t="s">
        <v>16</v>
      </c>
      <c r="U6" s="707"/>
      <c r="V6" s="730" t="s">
        <v>17</v>
      </c>
      <c r="W6" s="59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46"/>
      <c r="U7" s="707"/>
      <c r="V7" s="731"/>
      <c r="W7" s="732"/>
      <c r="AB7" s="51"/>
      <c r="AC7" s="51"/>
      <c r="AD7" s="51"/>
      <c r="AE7" s="51"/>
    </row>
    <row r="8" spans="1:32" s="535" customFormat="1" ht="25.5" customHeight="1" x14ac:dyDescent="0.2">
      <c r="A8" s="814" t="s">
        <v>18</v>
      </c>
      <c r="B8" s="555"/>
      <c r="C8" s="556"/>
      <c r="D8" s="619" t="s">
        <v>19</v>
      </c>
      <c r="E8" s="620"/>
      <c r="F8" s="620"/>
      <c r="G8" s="620"/>
      <c r="H8" s="620"/>
      <c r="I8" s="620"/>
      <c r="J8" s="620"/>
      <c r="K8" s="620"/>
      <c r="L8" s="620"/>
      <c r="M8" s="621"/>
      <c r="N8" s="61"/>
      <c r="P8" s="24" t="s">
        <v>20</v>
      </c>
      <c r="Q8" s="653">
        <v>0.54166666666666663</v>
      </c>
      <c r="R8" s="613"/>
      <c r="T8" s="546"/>
      <c r="U8" s="707"/>
      <c r="V8" s="731"/>
      <c r="W8" s="732"/>
      <c r="AB8" s="51"/>
      <c r="AC8" s="51"/>
      <c r="AD8" s="51"/>
      <c r="AE8" s="51"/>
    </row>
    <row r="9" spans="1:32" s="535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87"/>
      <c r="E9" s="563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48"/>
      <c r="R9" s="649"/>
      <c r="T9" s="546"/>
      <c r="U9" s="707"/>
      <c r="V9" s="733"/>
      <c r="W9" s="73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87"/>
      <c r="E10" s="563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763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15"/>
      <c r="R10" s="71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3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591" t="s">
        <v>29</v>
      </c>
      <c r="B12" s="592"/>
      <c r="C12" s="592"/>
      <c r="D12" s="592"/>
      <c r="E12" s="592"/>
      <c r="F12" s="592"/>
      <c r="G12" s="592"/>
      <c r="H12" s="592"/>
      <c r="I12" s="592"/>
      <c r="J12" s="592"/>
      <c r="K12" s="592"/>
      <c r="L12" s="592"/>
      <c r="M12" s="593"/>
      <c r="N12" s="62"/>
      <c r="P12" s="24" t="s">
        <v>30</v>
      </c>
      <c r="Q12" s="653"/>
      <c r="R12" s="613"/>
      <c r="S12" s="23"/>
      <c r="U12" s="24"/>
      <c r="V12" s="580"/>
      <c r="W12" s="546"/>
      <c r="AB12" s="51"/>
      <c r="AC12" s="51"/>
      <c r="AD12" s="51"/>
      <c r="AE12" s="51"/>
    </row>
    <row r="13" spans="1:32" s="535" customFormat="1" ht="23.25" customHeight="1" x14ac:dyDescent="0.2">
      <c r="A13" s="591" t="s">
        <v>31</v>
      </c>
      <c r="B13" s="592"/>
      <c r="C13" s="592"/>
      <c r="D13" s="592"/>
      <c r="E13" s="592"/>
      <c r="F13" s="592"/>
      <c r="G13" s="592"/>
      <c r="H13" s="592"/>
      <c r="I13" s="592"/>
      <c r="J13" s="592"/>
      <c r="K13" s="592"/>
      <c r="L13" s="592"/>
      <c r="M13" s="593"/>
      <c r="N13" s="62"/>
      <c r="O13" s="26"/>
      <c r="P13" s="26" t="s">
        <v>32</v>
      </c>
      <c r="Q13" s="793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591" t="s">
        <v>33</v>
      </c>
      <c r="B14" s="592"/>
      <c r="C14" s="592"/>
      <c r="D14" s="592"/>
      <c r="E14" s="592"/>
      <c r="F14" s="592"/>
      <c r="G14" s="592"/>
      <c r="H14" s="592"/>
      <c r="I14" s="592"/>
      <c r="J14" s="592"/>
      <c r="K14" s="592"/>
      <c r="L14" s="592"/>
      <c r="M14" s="59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8" t="s">
        <v>34</v>
      </c>
      <c r="B15" s="592"/>
      <c r="C15" s="592"/>
      <c r="D15" s="592"/>
      <c r="E15" s="592"/>
      <c r="F15" s="592"/>
      <c r="G15" s="592"/>
      <c r="H15" s="592"/>
      <c r="I15" s="592"/>
      <c r="J15" s="592"/>
      <c r="K15" s="592"/>
      <c r="L15" s="592"/>
      <c r="M15" s="593"/>
      <c r="N15" s="63"/>
      <c r="P15" s="633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34"/>
      <c r="Q16" s="634"/>
      <c r="R16" s="634"/>
      <c r="S16" s="634"/>
      <c r="T16" s="6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02" t="s">
        <v>36</v>
      </c>
      <c r="B17" s="602" t="s">
        <v>37</v>
      </c>
      <c r="C17" s="683" t="s">
        <v>38</v>
      </c>
      <c r="D17" s="602" t="s">
        <v>39</v>
      </c>
      <c r="E17" s="643"/>
      <c r="F17" s="602" t="s">
        <v>40</v>
      </c>
      <c r="G17" s="602" t="s">
        <v>41</v>
      </c>
      <c r="H17" s="602" t="s">
        <v>42</v>
      </c>
      <c r="I17" s="602" t="s">
        <v>43</v>
      </c>
      <c r="J17" s="602" t="s">
        <v>44</v>
      </c>
      <c r="K17" s="602" t="s">
        <v>45</v>
      </c>
      <c r="L17" s="602" t="s">
        <v>46</v>
      </c>
      <c r="M17" s="602" t="s">
        <v>47</v>
      </c>
      <c r="N17" s="602" t="s">
        <v>48</v>
      </c>
      <c r="O17" s="602" t="s">
        <v>49</v>
      </c>
      <c r="P17" s="602" t="s">
        <v>50</v>
      </c>
      <c r="Q17" s="642"/>
      <c r="R17" s="642"/>
      <c r="S17" s="642"/>
      <c r="T17" s="643"/>
      <c r="U17" s="811" t="s">
        <v>51</v>
      </c>
      <c r="V17" s="593"/>
      <c r="W17" s="602" t="s">
        <v>52</v>
      </c>
      <c r="X17" s="602" t="s">
        <v>53</v>
      </c>
      <c r="Y17" s="812" t="s">
        <v>54</v>
      </c>
      <c r="Z17" s="735" t="s">
        <v>55</v>
      </c>
      <c r="AA17" s="761" t="s">
        <v>56</v>
      </c>
      <c r="AB17" s="761" t="s">
        <v>57</v>
      </c>
      <c r="AC17" s="761" t="s">
        <v>58</v>
      </c>
      <c r="AD17" s="76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603"/>
      <c r="B18" s="603"/>
      <c r="C18" s="603"/>
      <c r="D18" s="644"/>
      <c r="E18" s="646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44"/>
      <c r="Q18" s="645"/>
      <c r="R18" s="645"/>
      <c r="S18" s="645"/>
      <c r="T18" s="646"/>
      <c r="U18" s="67" t="s">
        <v>61</v>
      </c>
      <c r="V18" s="67" t="s">
        <v>62</v>
      </c>
      <c r="W18" s="603"/>
      <c r="X18" s="603"/>
      <c r="Y18" s="813"/>
      <c r="Z18" s="736"/>
      <c r="AA18" s="762"/>
      <c r="AB18" s="762"/>
      <c r="AC18" s="762"/>
      <c r="AD18" s="828"/>
      <c r="AE18" s="829"/>
      <c r="AF18" s="830"/>
      <c r="AG18" s="66"/>
      <c r="BD18" s="65"/>
    </row>
    <row r="19" spans="1:68" ht="27.75" hidden="1" customHeight="1" x14ac:dyDescent="0.2">
      <c r="A19" s="697" t="s">
        <v>63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561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hidden="1" customHeight="1" x14ac:dyDescent="0.25">
      <c r="A21" s="560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1"/>
      <c r="R22" s="551"/>
      <c r="S22" s="551"/>
      <c r="T22" s="552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45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47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47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0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85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1"/>
      <c r="R26" s="551"/>
      <c r="S26" s="551"/>
      <c r="T26" s="552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1"/>
      <c r="R27" s="551"/>
      <c r="S27" s="551"/>
      <c r="T27" s="552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8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1"/>
      <c r="R28" s="551"/>
      <c r="S28" s="551"/>
      <c r="T28" s="552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1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1"/>
      <c r="R29" s="551"/>
      <c r="S29" s="551"/>
      <c r="T29" s="552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1"/>
      <c r="R30" s="551"/>
      <c r="S30" s="551"/>
      <c r="T30" s="552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45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47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47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0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2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1"/>
      <c r="R34" s="551"/>
      <c r="S34" s="551"/>
      <c r="T34" s="552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45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47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47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97" t="s">
        <v>97</v>
      </c>
      <c r="B37" s="698"/>
      <c r="C37" s="69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8"/>
      <c r="V37" s="698"/>
      <c r="W37" s="698"/>
      <c r="X37" s="698"/>
      <c r="Y37" s="698"/>
      <c r="Z37" s="698"/>
      <c r="AA37" s="48"/>
      <c r="AB37" s="48"/>
      <c r="AC37" s="48"/>
    </row>
    <row r="38" spans="1:68" ht="16.5" hidden="1" customHeight="1" x14ac:dyDescent="0.25">
      <c r="A38" s="561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hidden="1" customHeight="1" x14ac:dyDescent="0.25">
      <c r="A39" s="560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1"/>
      <c r="R40" s="551"/>
      <c r="S40" s="551"/>
      <c r="T40" s="552"/>
      <c r="U40" s="34"/>
      <c r="V40" s="34"/>
      <c r="W40" s="35" t="s">
        <v>69</v>
      </c>
      <c r="X40" s="541">
        <v>1296</v>
      </c>
      <c r="Y40" s="542">
        <f>IFERROR(IF(X40="",0,CEILING((X40/$H40),1)*$H40),"")</f>
        <v>1296</v>
      </c>
      <c r="Z40" s="36">
        <f>IFERROR(IF(Y40=0,"",ROUNDUP(Y40/H40,0)*0.01898),"")</f>
        <v>2.2776000000000001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1345.2</v>
      </c>
      <c r="BN40" s="64">
        <f>IFERROR(Y40*I40/H40,"0")</f>
        <v>1345.2</v>
      </c>
      <c r="BO40" s="64">
        <f>IFERROR(1/J40*(X40/H40),"0")</f>
        <v>1.8749999999999998</v>
      </c>
      <c r="BP40" s="64">
        <f>IFERROR(1/J40*(Y40/H40),"0")</f>
        <v>1.8749999999999998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1"/>
      <c r="R41" s="551"/>
      <c r="S41" s="551"/>
      <c r="T41" s="552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1"/>
      <c r="R42" s="551"/>
      <c r="S42" s="551"/>
      <c r="T42" s="552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45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47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3">
        <f>IFERROR(X40/H40,"0")+IFERROR(X41/H41,"0")+IFERROR(X42/H42,"0")</f>
        <v>119.99999999999999</v>
      </c>
      <c r="Y43" s="543">
        <f>IFERROR(Y40/H40,"0")+IFERROR(Y41/H41,"0")+IFERROR(Y42/H42,"0")</f>
        <v>119.99999999999999</v>
      </c>
      <c r="Z43" s="543">
        <f>IFERROR(IF(Z40="",0,Z40),"0")+IFERROR(IF(Z41="",0,Z41),"0")+IFERROR(IF(Z42="",0,Z42),"0")</f>
        <v>2.2776000000000001</v>
      </c>
      <c r="AA43" s="544"/>
      <c r="AB43" s="544"/>
      <c r="AC43" s="544"/>
    </row>
    <row r="44" spans="1:68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47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3">
        <f>IFERROR(SUM(X40:X42),"0")</f>
        <v>1296</v>
      </c>
      <c r="Y44" s="543">
        <f>IFERROR(SUM(Y40:Y42),"0")</f>
        <v>1296</v>
      </c>
      <c r="Z44" s="37"/>
      <c r="AA44" s="544"/>
      <c r="AB44" s="544"/>
      <c r="AC44" s="544"/>
    </row>
    <row r="45" spans="1:68" ht="14.25" hidden="1" customHeight="1" x14ac:dyDescent="0.25">
      <c r="A45" s="560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1"/>
      <c r="R46" s="551"/>
      <c r="S46" s="551"/>
      <c r="T46" s="552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45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47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47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1" t="s">
        <v>116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hidden="1" customHeight="1" x14ac:dyDescent="0.25">
      <c r="A50" s="560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3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1"/>
      <c r="R51" s="551"/>
      <c r="S51" s="551"/>
      <c r="T51" s="552"/>
      <c r="U51" s="34"/>
      <c r="V51" s="34"/>
      <c r="W51" s="35" t="s">
        <v>69</v>
      </c>
      <c r="X51" s="541">
        <v>537.6</v>
      </c>
      <c r="Y51" s="542">
        <f t="shared" ref="Y51:Y56" si="0">IFERROR(IF(X51="",0,CEILING((X51/$H51),1)*$H51),"")</f>
        <v>537.59999999999991</v>
      </c>
      <c r="Z51" s="36">
        <f>IFERROR(IF(Y51=0,"",ROUNDUP(Y51/H51,0)*0.01898),"")</f>
        <v>0.91104000000000007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557.28000000000009</v>
      </c>
      <c r="BN51" s="64">
        <f t="shared" ref="BN51:BN56" si="2">IFERROR(Y51*I51/H51,"0")</f>
        <v>557.27999999999986</v>
      </c>
      <c r="BO51" s="64">
        <f t="shared" ref="BO51:BO56" si="3">IFERROR(1/J51*(X51/H51),"0")</f>
        <v>0.75000000000000011</v>
      </c>
      <c r="BP51" s="64">
        <f t="shared" ref="BP51:BP56" si="4">IFERROR(1/J51*(Y51/H51),"0")</f>
        <v>0.74999999999999989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1"/>
      <c r="R52" s="551"/>
      <c r="S52" s="551"/>
      <c r="T52" s="552"/>
      <c r="U52" s="34"/>
      <c r="V52" s="34"/>
      <c r="W52" s="35" t="s">
        <v>69</v>
      </c>
      <c r="X52" s="541">
        <v>604.79999999999995</v>
      </c>
      <c r="Y52" s="542">
        <f t="shared" si="0"/>
        <v>604.80000000000007</v>
      </c>
      <c r="Z52" s="36">
        <f>IFERROR(IF(Y52=0,"",ROUNDUP(Y52/H52,0)*0.01898),"")</f>
        <v>1.06288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627.76</v>
      </c>
      <c r="BN52" s="64">
        <f t="shared" si="2"/>
        <v>627.76</v>
      </c>
      <c r="BO52" s="64">
        <f t="shared" si="3"/>
        <v>0.87499999999999989</v>
      </c>
      <c r="BP52" s="64">
        <f t="shared" si="4"/>
        <v>0.875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1"/>
      <c r="R53" s="551"/>
      <c r="S53" s="551"/>
      <c r="T53" s="552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1"/>
      <c r="R54" s="551"/>
      <c r="S54" s="551"/>
      <c r="T54" s="552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7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1"/>
      <c r="R55" s="551"/>
      <c r="S55" s="551"/>
      <c r="T55" s="552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1"/>
      <c r="R56" s="551"/>
      <c r="S56" s="551"/>
      <c r="T56" s="552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45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47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3">
        <f>IFERROR(X51/H51,"0")+IFERROR(X52/H52,"0")+IFERROR(X53/H53,"0")+IFERROR(X54/H54,"0")+IFERROR(X55/H55,"0")+IFERROR(X56/H56,"0")</f>
        <v>104</v>
      </c>
      <c r="Y57" s="543">
        <f>IFERROR(Y51/H51,"0")+IFERROR(Y52/H52,"0")+IFERROR(Y53/H53,"0")+IFERROR(Y54/H54,"0")+IFERROR(Y55/H55,"0")+IFERROR(Y56/H56,"0")</f>
        <v>104</v>
      </c>
      <c r="Z57" s="543">
        <f>IFERROR(IF(Z51="",0,Z51),"0")+IFERROR(IF(Z52="",0,Z52),"0")+IFERROR(IF(Z53="",0,Z53),"0")+IFERROR(IF(Z54="",0,Z54),"0")+IFERROR(IF(Z55="",0,Z55),"0")+IFERROR(IF(Z56="",0,Z56),"0")</f>
        <v>1.9739200000000001</v>
      </c>
      <c r="AA57" s="544"/>
      <c r="AB57" s="544"/>
      <c r="AC57" s="544"/>
    </row>
    <row r="58" spans="1:68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47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3">
        <f>IFERROR(SUM(X51:X56),"0")</f>
        <v>1142.4000000000001</v>
      </c>
      <c r="Y58" s="543">
        <f>IFERROR(SUM(Y51:Y56),"0")</f>
        <v>1142.4000000000001</v>
      </c>
      <c r="Z58" s="37"/>
      <c r="AA58" s="544"/>
      <c r="AB58" s="544"/>
      <c r="AC58" s="544"/>
    </row>
    <row r="59" spans="1:68" ht="14.25" hidden="1" customHeight="1" x14ac:dyDescent="0.25">
      <c r="A59" s="560" t="s">
        <v>135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1"/>
      <c r="R60" s="551"/>
      <c r="S60" s="551"/>
      <c r="T60" s="552"/>
      <c r="U60" s="34"/>
      <c r="V60" s="34"/>
      <c r="W60" s="35" t="s">
        <v>69</v>
      </c>
      <c r="X60" s="541">
        <v>604.79999999999995</v>
      </c>
      <c r="Y60" s="542">
        <f>IFERROR(IF(X60="",0,CEILING((X60/$H60),1)*$H60),"")</f>
        <v>604.80000000000007</v>
      </c>
      <c r="Z60" s="36">
        <f>IFERROR(IF(Y60=0,"",ROUNDUP(Y60/H60,0)*0.01898),"")</f>
        <v>1.06288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627.76</v>
      </c>
      <c r="BN60" s="64">
        <f>IFERROR(Y60*I60/H60,"0")</f>
        <v>627.76</v>
      </c>
      <c r="BO60" s="64">
        <f>IFERROR(1/J60*(X60/H60),"0")</f>
        <v>0.87499999999999989</v>
      </c>
      <c r="BP60" s="64">
        <f>IFERROR(1/J60*(Y60/H60),"0")</f>
        <v>0.875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1"/>
      <c r="R61" s="551"/>
      <c r="S61" s="551"/>
      <c r="T61" s="552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1"/>
      <c r="R62" s="551"/>
      <c r="S62" s="551"/>
      <c r="T62" s="552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45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47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3">
        <f>IFERROR(X60/H60,"0")+IFERROR(X61/H61,"0")+IFERROR(X62/H62,"0")</f>
        <v>55.999999999999993</v>
      </c>
      <c r="Y63" s="543">
        <f>IFERROR(Y60/H60,"0")+IFERROR(Y61/H61,"0")+IFERROR(Y62/H62,"0")</f>
        <v>56</v>
      </c>
      <c r="Z63" s="543">
        <f>IFERROR(IF(Z60="",0,Z60),"0")+IFERROR(IF(Z61="",0,Z61),"0")+IFERROR(IF(Z62="",0,Z62),"0")</f>
        <v>1.06288</v>
      </c>
      <c r="AA63" s="544"/>
      <c r="AB63" s="544"/>
      <c r="AC63" s="544"/>
    </row>
    <row r="64" spans="1:68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47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3">
        <f>IFERROR(SUM(X60:X62),"0")</f>
        <v>604.79999999999995</v>
      </c>
      <c r="Y64" s="543">
        <f>IFERROR(SUM(Y60:Y62),"0")</f>
        <v>604.80000000000007</v>
      </c>
      <c r="Z64" s="37"/>
      <c r="AA64" s="544"/>
      <c r="AB64" s="544"/>
      <c r="AC64" s="544"/>
    </row>
    <row r="65" spans="1:68" ht="14.25" hidden="1" customHeight="1" x14ac:dyDescent="0.25">
      <c r="A65" s="560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1"/>
      <c r="R66" s="551"/>
      <c r="S66" s="551"/>
      <c r="T66" s="552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1"/>
      <c r="R67" s="551"/>
      <c r="S67" s="551"/>
      <c r="T67" s="552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9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1"/>
      <c r="R68" s="551"/>
      <c r="S68" s="551"/>
      <c r="T68" s="552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45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47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47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0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1"/>
      <c r="R72" s="551"/>
      <c r="S72" s="551"/>
      <c r="T72" s="552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1"/>
      <c r="R73" s="551"/>
      <c r="S73" s="551"/>
      <c r="T73" s="552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55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1"/>
      <c r="R74" s="551"/>
      <c r="S74" s="551"/>
      <c r="T74" s="552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1"/>
      <c r="R75" s="551"/>
      <c r="S75" s="551"/>
      <c r="T75" s="552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45"/>
      <c r="B76" s="546"/>
      <c r="C76" s="546"/>
      <c r="D76" s="546"/>
      <c r="E76" s="546"/>
      <c r="F76" s="546"/>
      <c r="G76" s="546"/>
      <c r="H76" s="546"/>
      <c r="I76" s="546"/>
      <c r="J76" s="546"/>
      <c r="K76" s="546"/>
      <c r="L76" s="546"/>
      <c r="M76" s="546"/>
      <c r="N76" s="546"/>
      <c r="O76" s="547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46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47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0" t="s">
        <v>163</v>
      </c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46"/>
      <c r="P78" s="546"/>
      <c r="Q78" s="546"/>
      <c r="R78" s="546"/>
      <c r="S78" s="546"/>
      <c r="T78" s="546"/>
      <c r="U78" s="546"/>
      <c r="V78" s="546"/>
      <c r="W78" s="546"/>
      <c r="X78" s="546"/>
      <c r="Y78" s="546"/>
      <c r="Z78" s="546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1"/>
      <c r="R79" s="551"/>
      <c r="S79" s="551"/>
      <c r="T79" s="552"/>
      <c r="U79" s="34"/>
      <c r="V79" s="34"/>
      <c r="W79" s="35" t="s">
        <v>69</v>
      </c>
      <c r="X79" s="541">
        <v>187.2</v>
      </c>
      <c r="Y79" s="542">
        <f>IFERROR(IF(X79="",0,CEILING((X79/$H79),1)*$H79),"")</f>
        <v>187.2</v>
      </c>
      <c r="Z79" s="36">
        <f>IFERROR(IF(Y79=0,"",ROUNDUP(Y79/H79,0)*0.01898),"")</f>
        <v>0.45552000000000004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197.04000000000002</v>
      </c>
      <c r="BN79" s="64">
        <f>IFERROR(Y79*I79/H79,"0")</f>
        <v>197.04000000000002</v>
      </c>
      <c r="BO79" s="64">
        <f>IFERROR(1/J79*(X79/H79),"0")</f>
        <v>0.375</v>
      </c>
      <c r="BP79" s="64">
        <f>IFERROR(1/J79*(Y79/H79),"0")</f>
        <v>0.375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1"/>
      <c r="R80" s="551"/>
      <c r="S80" s="551"/>
      <c r="T80" s="552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45"/>
      <c r="B81" s="546"/>
      <c r="C81" s="546"/>
      <c r="D81" s="546"/>
      <c r="E81" s="546"/>
      <c r="F81" s="546"/>
      <c r="G81" s="546"/>
      <c r="H81" s="546"/>
      <c r="I81" s="546"/>
      <c r="J81" s="546"/>
      <c r="K81" s="546"/>
      <c r="L81" s="546"/>
      <c r="M81" s="546"/>
      <c r="N81" s="546"/>
      <c r="O81" s="547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3">
        <f>IFERROR(X79/H79,"0")+IFERROR(X80/H80,"0")</f>
        <v>24</v>
      </c>
      <c r="Y81" s="543">
        <f>IFERROR(Y79/H79,"0")+IFERROR(Y80/H80,"0")</f>
        <v>24</v>
      </c>
      <c r="Z81" s="543">
        <f>IFERROR(IF(Z79="",0,Z79),"0")+IFERROR(IF(Z80="",0,Z80),"0")</f>
        <v>0.45552000000000004</v>
      </c>
      <c r="AA81" s="544"/>
      <c r="AB81" s="544"/>
      <c r="AC81" s="544"/>
    </row>
    <row r="82" spans="1:68" x14ac:dyDescent="0.2">
      <c r="A82" s="546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47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3">
        <f>IFERROR(SUM(X79:X80),"0")</f>
        <v>187.2</v>
      </c>
      <c r="Y82" s="543">
        <f>IFERROR(SUM(Y79:Y80),"0")</f>
        <v>187.2</v>
      </c>
      <c r="Z82" s="37"/>
      <c r="AA82" s="544"/>
      <c r="AB82" s="544"/>
      <c r="AC82" s="544"/>
    </row>
    <row r="83" spans="1:68" ht="16.5" hidden="1" customHeight="1" x14ac:dyDescent="0.25">
      <c r="A83" s="561" t="s">
        <v>170</v>
      </c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46"/>
      <c r="P83" s="546"/>
      <c r="Q83" s="546"/>
      <c r="R83" s="546"/>
      <c r="S83" s="546"/>
      <c r="T83" s="546"/>
      <c r="U83" s="546"/>
      <c r="V83" s="546"/>
      <c r="W83" s="546"/>
      <c r="X83" s="546"/>
      <c r="Y83" s="546"/>
      <c r="Z83" s="546"/>
      <c r="AA83" s="536"/>
      <c r="AB83" s="536"/>
      <c r="AC83" s="536"/>
    </row>
    <row r="84" spans="1:68" ht="14.25" hidden="1" customHeight="1" x14ac:dyDescent="0.25">
      <c r="A84" s="560" t="s">
        <v>99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1"/>
      <c r="R85" s="551"/>
      <c r="S85" s="551"/>
      <c r="T85" s="552"/>
      <c r="U85" s="34"/>
      <c r="V85" s="34"/>
      <c r="W85" s="35" t="s">
        <v>69</v>
      </c>
      <c r="X85" s="541">
        <v>691.2</v>
      </c>
      <c r="Y85" s="542">
        <f>IFERROR(IF(X85="",0,CEILING((X85/$H85),1)*$H85),"")</f>
        <v>691.2</v>
      </c>
      <c r="Z85" s="36">
        <f>IFERROR(IF(Y85=0,"",ROUNDUP(Y85/H85,0)*0.01898),"")</f>
        <v>1.21472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717.44</v>
      </c>
      <c r="BN85" s="64">
        <f>IFERROR(Y85*I85/H85,"0")</f>
        <v>717.44</v>
      </c>
      <c r="BO85" s="64">
        <f>IFERROR(1/J85*(X85/H85),"0")</f>
        <v>1</v>
      </c>
      <c r="BP85" s="64">
        <f>IFERROR(1/J85*(Y85/H85),"0")</f>
        <v>1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1"/>
      <c r="R86" s="551"/>
      <c r="S86" s="551"/>
      <c r="T86" s="552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5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1"/>
      <c r="R87" s="551"/>
      <c r="S87" s="551"/>
      <c r="T87" s="552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45"/>
      <c r="B88" s="546"/>
      <c r="C88" s="546"/>
      <c r="D88" s="546"/>
      <c r="E88" s="546"/>
      <c r="F88" s="546"/>
      <c r="G88" s="546"/>
      <c r="H88" s="546"/>
      <c r="I88" s="546"/>
      <c r="J88" s="546"/>
      <c r="K88" s="546"/>
      <c r="L88" s="546"/>
      <c r="M88" s="546"/>
      <c r="N88" s="546"/>
      <c r="O88" s="547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3">
        <f>IFERROR(X85/H85,"0")+IFERROR(X86/H86,"0")+IFERROR(X87/H87,"0")</f>
        <v>64</v>
      </c>
      <c r="Y88" s="543">
        <f>IFERROR(Y85/H85,"0")+IFERROR(Y86/H86,"0")+IFERROR(Y87/H87,"0")</f>
        <v>64</v>
      </c>
      <c r="Z88" s="543">
        <f>IFERROR(IF(Z85="",0,Z85),"0")+IFERROR(IF(Z86="",0,Z86),"0")+IFERROR(IF(Z87="",0,Z87),"0")</f>
        <v>1.21472</v>
      </c>
      <c r="AA88" s="544"/>
      <c r="AB88" s="544"/>
      <c r="AC88" s="544"/>
    </row>
    <row r="89" spans="1:68" x14ac:dyDescent="0.2">
      <c r="A89" s="546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47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3">
        <f>IFERROR(SUM(X85:X87),"0")</f>
        <v>691.2</v>
      </c>
      <c r="Y89" s="543">
        <f>IFERROR(SUM(Y85:Y87),"0")</f>
        <v>691.2</v>
      </c>
      <c r="Z89" s="37"/>
      <c r="AA89" s="544"/>
      <c r="AB89" s="544"/>
      <c r="AC89" s="544"/>
    </row>
    <row r="90" spans="1:68" ht="14.25" hidden="1" customHeight="1" x14ac:dyDescent="0.25">
      <c r="A90" s="560" t="s">
        <v>73</v>
      </c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46"/>
      <c r="P90" s="546"/>
      <c r="Q90" s="546"/>
      <c r="R90" s="546"/>
      <c r="S90" s="546"/>
      <c r="T90" s="546"/>
      <c r="U90" s="546"/>
      <c r="V90" s="546"/>
      <c r="W90" s="546"/>
      <c r="X90" s="546"/>
      <c r="Y90" s="546"/>
      <c r="Z90" s="546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8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1"/>
      <c r="R91" s="551"/>
      <c r="S91" s="551"/>
      <c r="T91" s="552"/>
      <c r="U91" s="34"/>
      <c r="V91" s="34"/>
      <c r="W91" s="35" t="s">
        <v>69</v>
      </c>
      <c r="X91" s="541">
        <v>324</v>
      </c>
      <c r="Y91" s="542">
        <f>IFERROR(IF(X91="",0,CEILING((X91/$H91),1)*$H91),"")</f>
        <v>324</v>
      </c>
      <c r="Z91" s="36">
        <f>IFERROR(IF(Y91=0,"",ROUNDUP(Y91/H91,0)*0.01898),"")</f>
        <v>0.75919999999999999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343.76</v>
      </c>
      <c r="BN91" s="64">
        <f>IFERROR(Y91*I91/H91,"0")</f>
        <v>343.76</v>
      </c>
      <c r="BO91" s="64">
        <f>IFERROR(1/J91*(X91/H91),"0")</f>
        <v>0.625</v>
      </c>
      <c r="BP91" s="64">
        <f>IFERROR(1/J91*(Y91/H91),"0")</f>
        <v>0.625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1"/>
      <c r="R92" s="551"/>
      <c r="S92" s="551"/>
      <c r="T92" s="552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5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1"/>
      <c r="R93" s="551"/>
      <c r="S93" s="551"/>
      <c r="T93" s="552"/>
      <c r="U93" s="34"/>
      <c r="V93" s="34"/>
      <c r="W93" s="35" t="s">
        <v>69</v>
      </c>
      <c r="X93" s="541">
        <v>151.19999999999999</v>
      </c>
      <c r="Y93" s="542">
        <f>IFERROR(IF(X93="",0,CEILING((X93/$H93),1)*$H93),"")</f>
        <v>151.20000000000002</v>
      </c>
      <c r="Z93" s="36">
        <f>IFERROR(IF(Y93=0,"",ROUNDUP(Y93/H93,0)*0.00651),"")</f>
        <v>0.36456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165.31199999999995</v>
      </c>
      <c r="BN93" s="64">
        <f>IFERROR(Y93*I93/H93,"0")</f>
        <v>165.31200000000001</v>
      </c>
      <c r="BO93" s="64">
        <f>IFERROR(1/J93*(X93/H93),"0")</f>
        <v>0.30769230769230765</v>
      </c>
      <c r="BP93" s="64">
        <f>IFERROR(1/J93*(Y93/H93),"0")</f>
        <v>0.30769230769230771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1"/>
      <c r="R94" s="551"/>
      <c r="S94" s="551"/>
      <c r="T94" s="552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45"/>
      <c r="B95" s="546"/>
      <c r="C95" s="546"/>
      <c r="D95" s="546"/>
      <c r="E95" s="546"/>
      <c r="F95" s="546"/>
      <c r="G95" s="546"/>
      <c r="H95" s="546"/>
      <c r="I95" s="546"/>
      <c r="J95" s="546"/>
      <c r="K95" s="546"/>
      <c r="L95" s="546"/>
      <c r="M95" s="546"/>
      <c r="N95" s="546"/>
      <c r="O95" s="547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3">
        <f>IFERROR(X91/H91,"0")+IFERROR(X92/H92,"0")+IFERROR(X93/H93,"0")+IFERROR(X94/H94,"0")</f>
        <v>96</v>
      </c>
      <c r="Y95" s="543">
        <f>IFERROR(Y91/H91,"0")+IFERROR(Y92/H92,"0")+IFERROR(Y93/H93,"0")+IFERROR(Y94/H94,"0")</f>
        <v>96</v>
      </c>
      <c r="Z95" s="543">
        <f>IFERROR(IF(Z91="",0,Z91),"0")+IFERROR(IF(Z92="",0,Z92),"0")+IFERROR(IF(Z93="",0,Z93),"0")+IFERROR(IF(Z94="",0,Z94),"0")</f>
        <v>1.1237599999999999</v>
      </c>
      <c r="AA95" s="544"/>
      <c r="AB95" s="544"/>
      <c r="AC95" s="544"/>
    </row>
    <row r="96" spans="1:68" x14ac:dyDescent="0.2">
      <c r="A96" s="546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47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3">
        <f>IFERROR(SUM(X91:X94),"0")</f>
        <v>475.2</v>
      </c>
      <c r="Y96" s="543">
        <f>IFERROR(SUM(Y91:Y94),"0")</f>
        <v>475.20000000000005</v>
      </c>
      <c r="Z96" s="37"/>
      <c r="AA96" s="544"/>
      <c r="AB96" s="544"/>
      <c r="AC96" s="544"/>
    </row>
    <row r="97" spans="1:68" ht="16.5" hidden="1" customHeight="1" x14ac:dyDescent="0.25">
      <c r="A97" s="561" t="s">
        <v>189</v>
      </c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46"/>
      <c r="P97" s="546"/>
      <c r="Q97" s="546"/>
      <c r="R97" s="546"/>
      <c r="S97" s="546"/>
      <c r="T97" s="546"/>
      <c r="U97" s="546"/>
      <c r="V97" s="546"/>
      <c r="W97" s="546"/>
      <c r="X97" s="546"/>
      <c r="Y97" s="546"/>
      <c r="Z97" s="546"/>
      <c r="AA97" s="536"/>
      <c r="AB97" s="536"/>
      <c r="AC97" s="536"/>
    </row>
    <row r="98" spans="1:68" ht="14.25" hidden="1" customHeight="1" x14ac:dyDescent="0.25">
      <c r="A98" s="560" t="s">
        <v>99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1"/>
      <c r="R99" s="551"/>
      <c r="S99" s="551"/>
      <c r="T99" s="552"/>
      <c r="U99" s="34"/>
      <c r="V99" s="34"/>
      <c r="W99" s="35" t="s">
        <v>69</v>
      </c>
      <c r="X99" s="541">
        <v>950.4</v>
      </c>
      <c r="Y99" s="542">
        <f>IFERROR(IF(X99="",0,CEILING((X99/$H99),1)*$H99),"")</f>
        <v>950.40000000000009</v>
      </c>
      <c r="Z99" s="36">
        <f>IFERROR(IF(Y99=0,"",ROUNDUP(Y99/H99,0)*0.01898),"")</f>
        <v>1.6702399999999999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986.48</v>
      </c>
      <c r="BN99" s="64">
        <f>IFERROR(Y99*I99/H99,"0")</f>
        <v>986.48000000000013</v>
      </c>
      <c r="BO99" s="64">
        <f>IFERROR(1/J99*(X99/H99),"0")</f>
        <v>1.3749999999999998</v>
      </c>
      <c r="BP99" s="64">
        <f>IFERROR(1/J99*(Y99/H99),"0")</f>
        <v>1.375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1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1"/>
      <c r="R100" s="551"/>
      <c r="S100" s="551"/>
      <c r="T100" s="552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1"/>
      <c r="R101" s="551"/>
      <c r="S101" s="551"/>
      <c r="T101" s="552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1"/>
      <c r="R102" s="551"/>
      <c r="S102" s="551"/>
      <c r="T102" s="552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45"/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6"/>
      <c r="N103" s="546"/>
      <c r="O103" s="547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3">
        <f>IFERROR(X99/H99,"0")+IFERROR(X100/H100,"0")+IFERROR(X101/H101,"0")+IFERROR(X102/H102,"0")</f>
        <v>87.999999999999986</v>
      </c>
      <c r="Y103" s="543">
        <f>IFERROR(Y99/H99,"0")+IFERROR(Y100/H100,"0")+IFERROR(Y101/H101,"0")+IFERROR(Y102/H102,"0")</f>
        <v>88</v>
      </c>
      <c r="Z103" s="543">
        <f>IFERROR(IF(Z99="",0,Z99),"0")+IFERROR(IF(Z100="",0,Z100),"0")+IFERROR(IF(Z101="",0,Z101),"0")+IFERROR(IF(Z102="",0,Z102),"0")</f>
        <v>1.6702399999999999</v>
      </c>
      <c r="AA103" s="544"/>
      <c r="AB103" s="544"/>
      <c r="AC103" s="544"/>
    </row>
    <row r="104" spans="1:68" x14ac:dyDescent="0.2">
      <c r="A104" s="546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47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3">
        <f>IFERROR(SUM(X99:X102),"0")</f>
        <v>950.4</v>
      </c>
      <c r="Y104" s="543">
        <f>IFERROR(SUM(Y99:Y102),"0")</f>
        <v>950.40000000000009</v>
      </c>
      <c r="Z104" s="37"/>
      <c r="AA104" s="544"/>
      <c r="AB104" s="544"/>
      <c r="AC104" s="544"/>
    </row>
    <row r="105" spans="1:68" ht="14.25" hidden="1" customHeight="1" x14ac:dyDescent="0.25">
      <c r="A105" s="560" t="s">
        <v>135</v>
      </c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46"/>
      <c r="P105" s="546"/>
      <c r="Q105" s="546"/>
      <c r="R105" s="546"/>
      <c r="S105" s="546"/>
      <c r="T105" s="546"/>
      <c r="U105" s="546"/>
      <c r="V105" s="546"/>
      <c r="W105" s="546"/>
      <c r="X105" s="546"/>
      <c r="Y105" s="546"/>
      <c r="Z105" s="546"/>
      <c r="AA105" s="537"/>
      <c r="AB105" s="537"/>
      <c r="AC105" s="537"/>
    </row>
    <row r="106" spans="1:68" ht="16.5" hidden="1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1"/>
      <c r="R106" s="551"/>
      <c r="S106" s="551"/>
      <c r="T106" s="552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5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1"/>
      <c r="R107" s="551"/>
      <c r="S107" s="551"/>
      <c r="T107" s="552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6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1"/>
      <c r="R108" s="551"/>
      <c r="S108" s="551"/>
      <c r="T108" s="552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45"/>
      <c r="B109" s="546"/>
      <c r="C109" s="546"/>
      <c r="D109" s="546"/>
      <c r="E109" s="546"/>
      <c r="F109" s="546"/>
      <c r="G109" s="546"/>
      <c r="H109" s="546"/>
      <c r="I109" s="546"/>
      <c r="J109" s="546"/>
      <c r="K109" s="546"/>
      <c r="L109" s="546"/>
      <c r="M109" s="546"/>
      <c r="N109" s="546"/>
      <c r="O109" s="547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46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47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0" t="s">
        <v>73</v>
      </c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46"/>
      <c r="P111" s="546"/>
      <c r="Q111" s="546"/>
      <c r="R111" s="546"/>
      <c r="S111" s="546"/>
      <c r="T111" s="546"/>
      <c r="U111" s="546"/>
      <c r="V111" s="546"/>
      <c r="W111" s="546"/>
      <c r="X111" s="546"/>
      <c r="Y111" s="546"/>
      <c r="Z111" s="546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1"/>
      <c r="R112" s="551"/>
      <c r="S112" s="551"/>
      <c r="T112" s="552"/>
      <c r="U112" s="34"/>
      <c r="V112" s="34"/>
      <c r="W112" s="35" t="s">
        <v>69</v>
      </c>
      <c r="X112" s="541">
        <v>518.4</v>
      </c>
      <c r="Y112" s="542">
        <f>IFERROR(IF(X112="",0,CEILING((X112/$H112),1)*$H112),"")</f>
        <v>518.4</v>
      </c>
      <c r="Z112" s="36">
        <f>IFERROR(IF(Y112=0,"",ROUNDUP(Y112/H112,0)*0.01898),"")</f>
        <v>1.21472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549.63199999999995</v>
      </c>
      <c r="BN112" s="64">
        <f>IFERROR(Y112*I112/H112,"0")</f>
        <v>549.63199999999995</v>
      </c>
      <c r="BO112" s="64">
        <f>IFERROR(1/J112*(X112/H112),"0")</f>
        <v>1</v>
      </c>
      <c r="BP112" s="64">
        <f>IFERROR(1/J112*(Y112/H112),"0")</f>
        <v>1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72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1"/>
      <c r="R113" s="551"/>
      <c r="S113" s="551"/>
      <c r="T113" s="552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82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1"/>
      <c r="R114" s="551"/>
      <c r="S114" s="551"/>
      <c r="T114" s="552"/>
      <c r="U114" s="34"/>
      <c r="V114" s="34"/>
      <c r="W114" s="35" t="s">
        <v>69</v>
      </c>
      <c r="X114" s="541">
        <v>97.2</v>
      </c>
      <c r="Y114" s="542">
        <f>IFERROR(IF(X114="",0,CEILING((X114/$H114),1)*$H114),"")</f>
        <v>97.2</v>
      </c>
      <c r="Z114" s="36">
        <f>IFERROR(IF(Y114=0,"",ROUNDUP(Y114/H114,0)*0.00651),"")</f>
        <v>0.23436000000000001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106.27199999999999</v>
      </c>
      <c r="BN114" s="64">
        <f>IFERROR(Y114*I114/H114,"0")</f>
        <v>106.27199999999999</v>
      </c>
      <c r="BO114" s="64">
        <f>IFERROR(1/J114*(X114/H114),"0")</f>
        <v>0.19780219780219782</v>
      </c>
      <c r="BP114" s="64">
        <f>IFERROR(1/J114*(Y114/H114),"0")</f>
        <v>0.19780219780219782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1"/>
      <c r="R115" s="551"/>
      <c r="S115" s="551"/>
      <c r="T115" s="552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45"/>
      <c r="B116" s="546"/>
      <c r="C116" s="546"/>
      <c r="D116" s="546"/>
      <c r="E116" s="546"/>
      <c r="F116" s="546"/>
      <c r="G116" s="546"/>
      <c r="H116" s="546"/>
      <c r="I116" s="546"/>
      <c r="J116" s="546"/>
      <c r="K116" s="546"/>
      <c r="L116" s="546"/>
      <c r="M116" s="546"/>
      <c r="N116" s="546"/>
      <c r="O116" s="547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3">
        <f>IFERROR(X112/H112,"0")+IFERROR(X113/H113,"0")+IFERROR(X114/H114,"0")+IFERROR(X115/H115,"0")</f>
        <v>100</v>
      </c>
      <c r="Y116" s="543">
        <f>IFERROR(Y112/H112,"0")+IFERROR(Y113/H113,"0")+IFERROR(Y114/H114,"0")+IFERROR(Y115/H115,"0")</f>
        <v>100</v>
      </c>
      <c r="Z116" s="543">
        <f>IFERROR(IF(Z112="",0,Z112),"0")+IFERROR(IF(Z113="",0,Z113),"0")+IFERROR(IF(Z114="",0,Z114),"0")+IFERROR(IF(Z115="",0,Z115),"0")</f>
        <v>1.4490799999999999</v>
      </c>
      <c r="AA116" s="544"/>
      <c r="AB116" s="544"/>
      <c r="AC116" s="544"/>
    </row>
    <row r="117" spans="1:68" x14ac:dyDescent="0.2">
      <c r="A117" s="546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47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3">
        <f>IFERROR(SUM(X112:X115),"0")</f>
        <v>615.6</v>
      </c>
      <c r="Y117" s="543">
        <f>IFERROR(SUM(Y112:Y115),"0")</f>
        <v>615.6</v>
      </c>
      <c r="Z117" s="37"/>
      <c r="AA117" s="544"/>
      <c r="AB117" s="544"/>
      <c r="AC117" s="544"/>
    </row>
    <row r="118" spans="1:68" ht="14.25" hidden="1" customHeight="1" x14ac:dyDescent="0.25">
      <c r="A118" s="560" t="s">
        <v>163</v>
      </c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46"/>
      <c r="P118" s="546"/>
      <c r="Q118" s="546"/>
      <c r="R118" s="546"/>
      <c r="S118" s="546"/>
      <c r="T118" s="546"/>
      <c r="U118" s="546"/>
      <c r="V118" s="546"/>
      <c r="W118" s="546"/>
      <c r="X118" s="546"/>
      <c r="Y118" s="546"/>
      <c r="Z118" s="546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1"/>
      <c r="R119" s="551"/>
      <c r="S119" s="551"/>
      <c r="T119" s="552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45"/>
      <c r="B120" s="546"/>
      <c r="C120" s="546"/>
      <c r="D120" s="546"/>
      <c r="E120" s="546"/>
      <c r="F120" s="546"/>
      <c r="G120" s="546"/>
      <c r="H120" s="546"/>
      <c r="I120" s="546"/>
      <c r="J120" s="546"/>
      <c r="K120" s="546"/>
      <c r="L120" s="546"/>
      <c r="M120" s="546"/>
      <c r="N120" s="546"/>
      <c r="O120" s="547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46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47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1" t="s">
        <v>220</v>
      </c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46"/>
      <c r="P122" s="546"/>
      <c r="Q122" s="546"/>
      <c r="R122" s="546"/>
      <c r="S122" s="546"/>
      <c r="T122" s="546"/>
      <c r="U122" s="546"/>
      <c r="V122" s="546"/>
      <c r="W122" s="546"/>
      <c r="X122" s="546"/>
      <c r="Y122" s="546"/>
      <c r="Z122" s="546"/>
      <c r="AA122" s="536"/>
      <c r="AB122" s="536"/>
      <c r="AC122" s="536"/>
    </row>
    <row r="123" spans="1:68" ht="14.25" hidden="1" customHeight="1" x14ac:dyDescent="0.25">
      <c r="A123" s="560" t="s">
        <v>99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5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1"/>
      <c r="R124" s="551"/>
      <c r="S124" s="551"/>
      <c r="T124" s="552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1"/>
      <c r="R125" s="551"/>
      <c r="S125" s="551"/>
      <c r="T125" s="552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45"/>
      <c r="B126" s="546"/>
      <c r="C126" s="546"/>
      <c r="D126" s="546"/>
      <c r="E126" s="546"/>
      <c r="F126" s="546"/>
      <c r="G126" s="546"/>
      <c r="H126" s="546"/>
      <c r="I126" s="546"/>
      <c r="J126" s="546"/>
      <c r="K126" s="546"/>
      <c r="L126" s="546"/>
      <c r="M126" s="546"/>
      <c r="N126" s="546"/>
      <c r="O126" s="547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46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47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0" t="s">
        <v>64</v>
      </c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46"/>
      <c r="P128" s="546"/>
      <c r="Q128" s="546"/>
      <c r="R128" s="546"/>
      <c r="S128" s="546"/>
      <c r="T128" s="546"/>
      <c r="U128" s="546"/>
      <c r="V128" s="546"/>
      <c r="W128" s="546"/>
      <c r="X128" s="546"/>
      <c r="Y128" s="546"/>
      <c r="Z128" s="546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7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1"/>
      <c r="R129" s="551"/>
      <c r="S129" s="551"/>
      <c r="T129" s="552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1"/>
      <c r="R130" s="551"/>
      <c r="S130" s="551"/>
      <c r="T130" s="552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45"/>
      <c r="B131" s="546"/>
      <c r="C131" s="546"/>
      <c r="D131" s="546"/>
      <c r="E131" s="546"/>
      <c r="F131" s="546"/>
      <c r="G131" s="546"/>
      <c r="H131" s="546"/>
      <c r="I131" s="546"/>
      <c r="J131" s="546"/>
      <c r="K131" s="546"/>
      <c r="L131" s="546"/>
      <c r="M131" s="546"/>
      <c r="N131" s="546"/>
      <c r="O131" s="547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46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47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0" t="s">
        <v>73</v>
      </c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46"/>
      <c r="P133" s="546"/>
      <c r="Q133" s="546"/>
      <c r="R133" s="546"/>
      <c r="S133" s="546"/>
      <c r="T133" s="546"/>
      <c r="U133" s="546"/>
      <c r="V133" s="546"/>
      <c r="W133" s="546"/>
      <c r="X133" s="546"/>
      <c r="Y133" s="546"/>
      <c r="Z133" s="546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1"/>
      <c r="R134" s="551"/>
      <c r="S134" s="551"/>
      <c r="T134" s="552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1"/>
      <c r="R135" s="551"/>
      <c r="S135" s="551"/>
      <c r="T135" s="552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45"/>
      <c r="B136" s="546"/>
      <c r="C136" s="546"/>
      <c r="D136" s="546"/>
      <c r="E136" s="546"/>
      <c r="F136" s="546"/>
      <c r="G136" s="546"/>
      <c r="H136" s="546"/>
      <c r="I136" s="546"/>
      <c r="J136" s="546"/>
      <c r="K136" s="546"/>
      <c r="L136" s="546"/>
      <c r="M136" s="546"/>
      <c r="N136" s="546"/>
      <c r="O136" s="547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46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47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1" t="s">
        <v>97</v>
      </c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46"/>
      <c r="P138" s="546"/>
      <c r="Q138" s="546"/>
      <c r="R138" s="546"/>
      <c r="S138" s="546"/>
      <c r="T138" s="546"/>
      <c r="U138" s="546"/>
      <c r="V138" s="546"/>
      <c r="W138" s="546"/>
      <c r="X138" s="546"/>
      <c r="Y138" s="546"/>
      <c r="Z138" s="546"/>
      <c r="AA138" s="536"/>
      <c r="AB138" s="536"/>
      <c r="AC138" s="536"/>
    </row>
    <row r="139" spans="1:68" ht="14.25" hidden="1" customHeight="1" x14ac:dyDescent="0.25">
      <c r="A139" s="560" t="s">
        <v>99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1"/>
      <c r="R140" s="551"/>
      <c r="S140" s="551"/>
      <c r="T140" s="552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1"/>
      <c r="R141" s="551"/>
      <c r="S141" s="551"/>
      <c r="T141" s="552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71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1"/>
      <c r="R142" s="551"/>
      <c r="S142" s="551"/>
      <c r="T142" s="552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45"/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6"/>
      <c r="N143" s="546"/>
      <c r="O143" s="547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46"/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47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0" t="s">
        <v>64</v>
      </c>
      <c r="B145" s="546"/>
      <c r="C145" s="546"/>
      <c r="D145" s="546"/>
      <c r="E145" s="546"/>
      <c r="F145" s="546"/>
      <c r="G145" s="546"/>
      <c r="H145" s="546"/>
      <c r="I145" s="546"/>
      <c r="J145" s="546"/>
      <c r="K145" s="546"/>
      <c r="L145" s="546"/>
      <c r="M145" s="546"/>
      <c r="N145" s="546"/>
      <c r="O145" s="546"/>
      <c r="P145" s="546"/>
      <c r="Q145" s="546"/>
      <c r="R145" s="546"/>
      <c r="S145" s="546"/>
      <c r="T145" s="546"/>
      <c r="U145" s="546"/>
      <c r="V145" s="546"/>
      <c r="W145" s="546"/>
      <c r="X145" s="546"/>
      <c r="Y145" s="546"/>
      <c r="Z145" s="546"/>
      <c r="AA145" s="537"/>
      <c r="AB145" s="537"/>
      <c r="AC145" s="537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1"/>
      <c r="R146" s="551"/>
      <c r="S146" s="551"/>
      <c r="T146" s="552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1"/>
      <c r="R147" s="551"/>
      <c r="S147" s="551"/>
      <c r="T147" s="552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3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1"/>
      <c r="R148" s="551"/>
      <c r="S148" s="551"/>
      <c r="T148" s="552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45"/>
      <c r="B149" s="546"/>
      <c r="C149" s="546"/>
      <c r="D149" s="546"/>
      <c r="E149" s="546"/>
      <c r="F149" s="546"/>
      <c r="G149" s="546"/>
      <c r="H149" s="546"/>
      <c r="I149" s="546"/>
      <c r="J149" s="546"/>
      <c r="K149" s="546"/>
      <c r="L149" s="546"/>
      <c r="M149" s="546"/>
      <c r="N149" s="546"/>
      <c r="O149" s="547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46"/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47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60" t="s">
        <v>73</v>
      </c>
      <c r="B151" s="546"/>
      <c r="C151" s="546"/>
      <c r="D151" s="546"/>
      <c r="E151" s="546"/>
      <c r="F151" s="546"/>
      <c r="G151" s="546"/>
      <c r="H151" s="546"/>
      <c r="I151" s="546"/>
      <c r="J151" s="546"/>
      <c r="K151" s="546"/>
      <c r="L151" s="546"/>
      <c r="M151" s="546"/>
      <c r="N151" s="546"/>
      <c r="O151" s="546"/>
      <c r="P151" s="546"/>
      <c r="Q151" s="546"/>
      <c r="R151" s="546"/>
      <c r="S151" s="546"/>
      <c r="T151" s="546"/>
      <c r="U151" s="546"/>
      <c r="V151" s="546"/>
      <c r="W151" s="546"/>
      <c r="X151" s="546"/>
      <c r="Y151" s="546"/>
      <c r="Z151" s="546"/>
      <c r="AA151" s="537"/>
      <c r="AB151" s="537"/>
      <c r="AC151" s="537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6" t="s">
        <v>252</v>
      </c>
      <c r="Q152" s="551"/>
      <c r="R152" s="551"/>
      <c r="S152" s="551"/>
      <c r="T152" s="552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45"/>
      <c r="B153" s="546"/>
      <c r="C153" s="546"/>
      <c r="D153" s="546"/>
      <c r="E153" s="546"/>
      <c r="F153" s="546"/>
      <c r="G153" s="546"/>
      <c r="H153" s="546"/>
      <c r="I153" s="546"/>
      <c r="J153" s="546"/>
      <c r="K153" s="546"/>
      <c r="L153" s="546"/>
      <c r="M153" s="546"/>
      <c r="N153" s="546"/>
      <c r="O153" s="547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46"/>
      <c r="B154" s="546"/>
      <c r="C154" s="546"/>
      <c r="D154" s="546"/>
      <c r="E154" s="546"/>
      <c r="F154" s="546"/>
      <c r="G154" s="546"/>
      <c r="H154" s="546"/>
      <c r="I154" s="546"/>
      <c r="J154" s="546"/>
      <c r="K154" s="546"/>
      <c r="L154" s="546"/>
      <c r="M154" s="546"/>
      <c r="N154" s="546"/>
      <c r="O154" s="547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97" t="s">
        <v>255</v>
      </c>
      <c r="B155" s="698"/>
      <c r="C155" s="698"/>
      <c r="D155" s="698"/>
      <c r="E155" s="698"/>
      <c r="F155" s="698"/>
      <c r="G155" s="698"/>
      <c r="H155" s="698"/>
      <c r="I155" s="698"/>
      <c r="J155" s="698"/>
      <c r="K155" s="698"/>
      <c r="L155" s="698"/>
      <c r="M155" s="698"/>
      <c r="N155" s="698"/>
      <c r="O155" s="698"/>
      <c r="P155" s="698"/>
      <c r="Q155" s="698"/>
      <c r="R155" s="698"/>
      <c r="S155" s="698"/>
      <c r="T155" s="698"/>
      <c r="U155" s="698"/>
      <c r="V155" s="698"/>
      <c r="W155" s="698"/>
      <c r="X155" s="698"/>
      <c r="Y155" s="698"/>
      <c r="Z155" s="698"/>
      <c r="AA155" s="48"/>
      <c r="AB155" s="48"/>
      <c r="AC155" s="48"/>
    </row>
    <row r="156" spans="1:68" ht="16.5" hidden="1" customHeight="1" x14ac:dyDescent="0.25">
      <c r="A156" s="561" t="s">
        <v>256</v>
      </c>
      <c r="B156" s="546"/>
      <c r="C156" s="546"/>
      <c r="D156" s="546"/>
      <c r="E156" s="546"/>
      <c r="F156" s="546"/>
      <c r="G156" s="546"/>
      <c r="H156" s="546"/>
      <c r="I156" s="546"/>
      <c r="J156" s="546"/>
      <c r="K156" s="546"/>
      <c r="L156" s="546"/>
      <c r="M156" s="546"/>
      <c r="N156" s="546"/>
      <c r="O156" s="546"/>
      <c r="P156" s="546"/>
      <c r="Q156" s="546"/>
      <c r="R156" s="546"/>
      <c r="S156" s="546"/>
      <c r="T156" s="546"/>
      <c r="U156" s="546"/>
      <c r="V156" s="546"/>
      <c r="W156" s="546"/>
      <c r="X156" s="546"/>
      <c r="Y156" s="546"/>
      <c r="Z156" s="546"/>
      <c r="AA156" s="536"/>
      <c r="AB156" s="536"/>
      <c r="AC156" s="536"/>
    </row>
    <row r="157" spans="1:68" ht="14.25" hidden="1" customHeight="1" x14ac:dyDescent="0.25">
      <c r="A157" s="560" t="s">
        <v>135</v>
      </c>
      <c r="B157" s="546"/>
      <c r="C157" s="546"/>
      <c r="D157" s="546"/>
      <c r="E157" s="546"/>
      <c r="F157" s="546"/>
      <c r="G157" s="546"/>
      <c r="H157" s="546"/>
      <c r="I157" s="546"/>
      <c r="J157" s="546"/>
      <c r="K157" s="546"/>
      <c r="L157" s="546"/>
      <c r="M157" s="546"/>
      <c r="N157" s="546"/>
      <c r="O157" s="546"/>
      <c r="P157" s="546"/>
      <c r="Q157" s="546"/>
      <c r="R157" s="546"/>
      <c r="S157" s="546"/>
      <c r="T157" s="546"/>
      <c r="U157" s="546"/>
      <c r="V157" s="546"/>
      <c r="W157" s="546"/>
      <c r="X157" s="546"/>
      <c r="Y157" s="546"/>
      <c r="Z157" s="546"/>
      <c r="AA157" s="537"/>
      <c r="AB157" s="537"/>
      <c r="AC157" s="537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1"/>
      <c r="R158" s="551"/>
      <c r="S158" s="551"/>
      <c r="T158" s="552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45"/>
      <c r="B159" s="546"/>
      <c r="C159" s="546"/>
      <c r="D159" s="546"/>
      <c r="E159" s="546"/>
      <c r="F159" s="546"/>
      <c r="G159" s="546"/>
      <c r="H159" s="546"/>
      <c r="I159" s="546"/>
      <c r="J159" s="546"/>
      <c r="K159" s="546"/>
      <c r="L159" s="546"/>
      <c r="M159" s="546"/>
      <c r="N159" s="546"/>
      <c r="O159" s="547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46"/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47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0" t="s">
        <v>64</v>
      </c>
      <c r="B161" s="546"/>
      <c r="C161" s="546"/>
      <c r="D161" s="546"/>
      <c r="E161" s="546"/>
      <c r="F161" s="546"/>
      <c r="G161" s="546"/>
      <c r="H161" s="546"/>
      <c r="I161" s="546"/>
      <c r="J161" s="546"/>
      <c r="K161" s="546"/>
      <c r="L161" s="546"/>
      <c r="M161" s="546"/>
      <c r="N161" s="546"/>
      <c r="O161" s="546"/>
      <c r="P161" s="546"/>
      <c r="Q161" s="546"/>
      <c r="R161" s="546"/>
      <c r="S161" s="546"/>
      <c r="T161" s="546"/>
      <c r="U161" s="546"/>
      <c r="V161" s="546"/>
      <c r="W161" s="546"/>
      <c r="X161" s="546"/>
      <c r="Y161" s="546"/>
      <c r="Z161" s="546"/>
      <c r="AA161" s="537"/>
      <c r="AB161" s="537"/>
      <c r="AC161" s="537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8" t="s">
        <v>262</v>
      </c>
      <c r="Q162" s="551"/>
      <c r="R162" s="551"/>
      <c r="S162" s="551"/>
      <c r="T162" s="552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1"/>
      <c r="R163" s="551"/>
      <c r="S163" s="551"/>
      <c r="T163" s="552"/>
      <c r="U163" s="34"/>
      <c r="V163" s="34"/>
      <c r="W163" s="35" t="s">
        <v>69</v>
      </c>
      <c r="X163" s="541">
        <v>151.19999999999999</v>
      </c>
      <c r="Y163" s="542">
        <f t="shared" si="5"/>
        <v>151.20000000000002</v>
      </c>
      <c r="Z163" s="36">
        <f>IFERROR(IF(Y163=0,"",ROUNDUP(Y163/H163,0)*0.00902),"")</f>
        <v>0.32472000000000001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160.19999999999999</v>
      </c>
      <c r="BN163" s="64">
        <f t="shared" si="7"/>
        <v>160.20000000000002</v>
      </c>
      <c r="BO163" s="64">
        <f t="shared" si="8"/>
        <v>0.27272727272727271</v>
      </c>
      <c r="BP163" s="64">
        <f t="shared" si="9"/>
        <v>0.27272727272727271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1"/>
      <c r="R164" s="551"/>
      <c r="S164" s="551"/>
      <c r="T164" s="552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1"/>
      <c r="R165" s="551"/>
      <c r="S165" s="551"/>
      <c r="T165" s="552"/>
      <c r="U165" s="34"/>
      <c r="V165" s="34"/>
      <c r="W165" s="35" t="s">
        <v>69</v>
      </c>
      <c r="X165" s="541">
        <v>403.2</v>
      </c>
      <c r="Y165" s="542">
        <f t="shared" si="5"/>
        <v>403.20000000000005</v>
      </c>
      <c r="Z165" s="36">
        <f>IFERROR(IF(Y165=0,"",ROUNDUP(Y165/H165,0)*0.00902),"")</f>
        <v>0.86592000000000002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421.43999999999994</v>
      </c>
      <c r="BN165" s="64">
        <f t="shared" si="7"/>
        <v>421.44</v>
      </c>
      <c r="BO165" s="64">
        <f t="shared" si="8"/>
        <v>0.72727272727272729</v>
      </c>
      <c r="BP165" s="64">
        <f t="shared" si="9"/>
        <v>0.72727272727272729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1"/>
      <c r="R166" s="551"/>
      <c r="S166" s="551"/>
      <c r="T166" s="552"/>
      <c r="U166" s="34"/>
      <c r="V166" s="34"/>
      <c r="W166" s="35" t="s">
        <v>69</v>
      </c>
      <c r="X166" s="541">
        <v>226.8</v>
      </c>
      <c r="Y166" s="542">
        <f t="shared" si="5"/>
        <v>226.8</v>
      </c>
      <c r="Z166" s="36">
        <f>IFERROR(IF(Y166=0,"",ROUNDUP(Y166/H166,0)*0.00502),"")</f>
        <v>0.54215999999999998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240.84</v>
      </c>
      <c r="BN166" s="64">
        <f t="shared" si="7"/>
        <v>240.84</v>
      </c>
      <c r="BO166" s="64">
        <f t="shared" si="8"/>
        <v>0.46153846153846156</v>
      </c>
      <c r="BP166" s="64">
        <f t="shared" si="9"/>
        <v>0.46153846153846156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1"/>
      <c r="R167" s="551"/>
      <c r="S167" s="551"/>
      <c r="T167" s="552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1"/>
      <c r="R168" s="551"/>
      <c r="S168" s="551"/>
      <c r="T168" s="552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1"/>
      <c r="R169" s="551"/>
      <c r="S169" s="551"/>
      <c r="T169" s="552"/>
      <c r="U169" s="34"/>
      <c r="V169" s="34"/>
      <c r="W169" s="35" t="s">
        <v>69</v>
      </c>
      <c r="X169" s="541">
        <v>567</v>
      </c>
      <c r="Y169" s="542">
        <f t="shared" si="5"/>
        <v>567</v>
      </c>
      <c r="Z169" s="36">
        <f>IFERROR(IF(Y169=0,"",ROUNDUP(Y169/H169,0)*0.00502),"")</f>
        <v>1.3553999999999999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594</v>
      </c>
      <c r="BN169" s="64">
        <f t="shared" si="7"/>
        <v>594</v>
      </c>
      <c r="BO169" s="64">
        <f t="shared" si="8"/>
        <v>1.153846153846154</v>
      </c>
      <c r="BP169" s="64">
        <f t="shared" si="9"/>
        <v>1.153846153846154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1"/>
      <c r="R170" s="551"/>
      <c r="S170" s="551"/>
      <c r="T170" s="552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5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1"/>
      <c r="R171" s="551"/>
      <c r="S171" s="551"/>
      <c r="T171" s="552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45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47"/>
      <c r="P172" s="554" t="s">
        <v>71</v>
      </c>
      <c r="Q172" s="555"/>
      <c r="R172" s="555"/>
      <c r="S172" s="555"/>
      <c r="T172" s="555"/>
      <c r="U172" s="555"/>
      <c r="V172" s="556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510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510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3.0882000000000001</v>
      </c>
      <c r="AA172" s="544"/>
      <c r="AB172" s="544"/>
      <c r="AC172" s="544"/>
    </row>
    <row r="173" spans="1:68" x14ac:dyDescent="0.2">
      <c r="A173" s="546"/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47"/>
      <c r="P173" s="554" t="s">
        <v>71</v>
      </c>
      <c r="Q173" s="555"/>
      <c r="R173" s="555"/>
      <c r="S173" s="555"/>
      <c r="T173" s="555"/>
      <c r="U173" s="555"/>
      <c r="V173" s="556"/>
      <c r="W173" s="37" t="s">
        <v>69</v>
      </c>
      <c r="X173" s="543">
        <f>IFERROR(SUM(X162:X171),"0")</f>
        <v>1348.2</v>
      </c>
      <c r="Y173" s="543">
        <f>IFERROR(SUM(Y162:Y171),"0")</f>
        <v>1348.2</v>
      </c>
      <c r="Z173" s="37"/>
      <c r="AA173" s="544"/>
      <c r="AB173" s="544"/>
      <c r="AC173" s="544"/>
    </row>
    <row r="174" spans="1:68" ht="14.25" hidden="1" customHeight="1" x14ac:dyDescent="0.25">
      <c r="A174" s="560" t="s">
        <v>91</v>
      </c>
      <c r="B174" s="546"/>
      <c r="C174" s="546"/>
      <c r="D174" s="546"/>
      <c r="E174" s="546"/>
      <c r="F174" s="546"/>
      <c r="G174" s="546"/>
      <c r="H174" s="546"/>
      <c r="I174" s="546"/>
      <c r="J174" s="546"/>
      <c r="K174" s="546"/>
      <c r="L174" s="546"/>
      <c r="M174" s="546"/>
      <c r="N174" s="546"/>
      <c r="O174" s="546"/>
      <c r="P174" s="546"/>
      <c r="Q174" s="546"/>
      <c r="R174" s="546"/>
      <c r="S174" s="546"/>
      <c r="T174" s="546"/>
      <c r="U174" s="546"/>
      <c r="V174" s="546"/>
      <c r="W174" s="546"/>
      <c r="X174" s="546"/>
      <c r="Y174" s="546"/>
      <c r="Z174" s="546"/>
      <c r="AA174" s="537"/>
      <c r="AB174" s="537"/>
      <c r="AC174" s="537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1"/>
      <c r="R175" s="551"/>
      <c r="S175" s="551"/>
      <c r="T175" s="552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1"/>
      <c r="R176" s="551"/>
      <c r="S176" s="551"/>
      <c r="T176" s="552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1"/>
      <c r="R177" s="551"/>
      <c r="S177" s="551"/>
      <c r="T177" s="552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45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47"/>
      <c r="P178" s="554" t="s">
        <v>71</v>
      </c>
      <c r="Q178" s="555"/>
      <c r="R178" s="555"/>
      <c r="S178" s="555"/>
      <c r="T178" s="555"/>
      <c r="U178" s="555"/>
      <c r="V178" s="556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46"/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47"/>
      <c r="P179" s="554" t="s">
        <v>71</v>
      </c>
      <c r="Q179" s="555"/>
      <c r="R179" s="555"/>
      <c r="S179" s="555"/>
      <c r="T179" s="555"/>
      <c r="U179" s="555"/>
      <c r="V179" s="556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60" t="s">
        <v>298</v>
      </c>
      <c r="B180" s="546"/>
      <c r="C180" s="546"/>
      <c r="D180" s="546"/>
      <c r="E180" s="546"/>
      <c r="F180" s="546"/>
      <c r="G180" s="546"/>
      <c r="H180" s="546"/>
      <c r="I180" s="546"/>
      <c r="J180" s="546"/>
      <c r="K180" s="546"/>
      <c r="L180" s="546"/>
      <c r="M180" s="546"/>
      <c r="N180" s="546"/>
      <c r="O180" s="546"/>
      <c r="P180" s="546"/>
      <c r="Q180" s="546"/>
      <c r="R180" s="546"/>
      <c r="S180" s="546"/>
      <c r="T180" s="546"/>
      <c r="U180" s="546"/>
      <c r="V180" s="546"/>
      <c r="W180" s="546"/>
      <c r="X180" s="546"/>
      <c r="Y180" s="546"/>
      <c r="Z180" s="546"/>
      <c r="AA180" s="537"/>
      <c r="AB180" s="537"/>
      <c r="AC180" s="537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1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1"/>
      <c r="R181" s="551"/>
      <c r="S181" s="551"/>
      <c r="T181" s="552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45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47"/>
      <c r="P182" s="554" t="s">
        <v>71</v>
      </c>
      <c r="Q182" s="555"/>
      <c r="R182" s="555"/>
      <c r="S182" s="555"/>
      <c r="T182" s="555"/>
      <c r="U182" s="555"/>
      <c r="V182" s="556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46"/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47"/>
      <c r="P183" s="554" t="s">
        <v>71</v>
      </c>
      <c r="Q183" s="555"/>
      <c r="R183" s="555"/>
      <c r="S183" s="555"/>
      <c r="T183" s="555"/>
      <c r="U183" s="555"/>
      <c r="V183" s="556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61" t="s">
        <v>301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6"/>
      <c r="AB184" s="536"/>
      <c r="AC184" s="536"/>
    </row>
    <row r="185" spans="1:68" ht="14.25" hidden="1" customHeight="1" x14ac:dyDescent="0.25">
      <c r="A185" s="560" t="s">
        <v>99</v>
      </c>
      <c r="B185" s="546"/>
      <c r="C185" s="546"/>
      <c r="D185" s="546"/>
      <c r="E185" s="546"/>
      <c r="F185" s="546"/>
      <c r="G185" s="546"/>
      <c r="H185" s="546"/>
      <c r="I185" s="546"/>
      <c r="J185" s="546"/>
      <c r="K185" s="546"/>
      <c r="L185" s="546"/>
      <c r="M185" s="546"/>
      <c r="N185" s="546"/>
      <c r="O185" s="546"/>
      <c r="P185" s="546"/>
      <c r="Q185" s="546"/>
      <c r="R185" s="546"/>
      <c r="S185" s="546"/>
      <c r="T185" s="546"/>
      <c r="U185" s="546"/>
      <c r="V185" s="546"/>
      <c r="W185" s="546"/>
      <c r="X185" s="546"/>
      <c r="Y185" s="546"/>
      <c r="Z185" s="546"/>
      <c r="AA185" s="537"/>
      <c r="AB185" s="537"/>
      <c r="AC185" s="537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1"/>
      <c r="R186" s="551"/>
      <c r="S186" s="551"/>
      <c r="T186" s="552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1"/>
      <c r="R187" s="551"/>
      <c r="S187" s="551"/>
      <c r="T187" s="552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45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47"/>
      <c r="P188" s="554" t="s">
        <v>71</v>
      </c>
      <c r="Q188" s="555"/>
      <c r="R188" s="555"/>
      <c r="S188" s="555"/>
      <c r="T188" s="555"/>
      <c r="U188" s="555"/>
      <c r="V188" s="556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46"/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47"/>
      <c r="P189" s="554" t="s">
        <v>71</v>
      </c>
      <c r="Q189" s="555"/>
      <c r="R189" s="555"/>
      <c r="S189" s="555"/>
      <c r="T189" s="555"/>
      <c r="U189" s="555"/>
      <c r="V189" s="556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60" t="s">
        <v>135</v>
      </c>
      <c r="B190" s="546"/>
      <c r="C190" s="546"/>
      <c r="D190" s="546"/>
      <c r="E190" s="546"/>
      <c r="F190" s="546"/>
      <c r="G190" s="546"/>
      <c r="H190" s="546"/>
      <c r="I190" s="546"/>
      <c r="J190" s="546"/>
      <c r="K190" s="546"/>
      <c r="L190" s="546"/>
      <c r="M190" s="546"/>
      <c r="N190" s="546"/>
      <c r="O190" s="546"/>
      <c r="P190" s="546"/>
      <c r="Q190" s="546"/>
      <c r="R190" s="546"/>
      <c r="S190" s="546"/>
      <c r="T190" s="546"/>
      <c r="U190" s="546"/>
      <c r="V190" s="546"/>
      <c r="W190" s="546"/>
      <c r="X190" s="546"/>
      <c r="Y190" s="546"/>
      <c r="Z190" s="546"/>
      <c r="AA190" s="537"/>
      <c r="AB190" s="537"/>
      <c r="AC190" s="537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1"/>
      <c r="R191" s="551"/>
      <c r="S191" s="551"/>
      <c r="T191" s="552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1"/>
      <c r="R192" s="551"/>
      <c r="S192" s="551"/>
      <c r="T192" s="552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45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47"/>
      <c r="P193" s="554" t="s">
        <v>71</v>
      </c>
      <c r="Q193" s="555"/>
      <c r="R193" s="555"/>
      <c r="S193" s="555"/>
      <c r="T193" s="555"/>
      <c r="U193" s="555"/>
      <c r="V193" s="556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46"/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47"/>
      <c r="P194" s="554" t="s">
        <v>71</v>
      </c>
      <c r="Q194" s="555"/>
      <c r="R194" s="555"/>
      <c r="S194" s="555"/>
      <c r="T194" s="555"/>
      <c r="U194" s="555"/>
      <c r="V194" s="556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60" t="s">
        <v>64</v>
      </c>
      <c r="B195" s="546"/>
      <c r="C195" s="546"/>
      <c r="D195" s="546"/>
      <c r="E195" s="546"/>
      <c r="F195" s="546"/>
      <c r="G195" s="546"/>
      <c r="H195" s="546"/>
      <c r="I195" s="546"/>
      <c r="J195" s="546"/>
      <c r="K195" s="546"/>
      <c r="L195" s="546"/>
      <c r="M195" s="546"/>
      <c r="N195" s="546"/>
      <c r="O195" s="546"/>
      <c r="P195" s="546"/>
      <c r="Q195" s="546"/>
      <c r="R195" s="546"/>
      <c r="S195" s="546"/>
      <c r="T195" s="546"/>
      <c r="U195" s="546"/>
      <c r="V195" s="546"/>
      <c r="W195" s="546"/>
      <c r="X195" s="546"/>
      <c r="Y195" s="546"/>
      <c r="Z195" s="546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1"/>
      <c r="R196" s="551"/>
      <c r="S196" s="551"/>
      <c r="T196" s="552"/>
      <c r="U196" s="34"/>
      <c r="V196" s="34"/>
      <c r="W196" s="35" t="s">
        <v>69</v>
      </c>
      <c r="X196" s="541">
        <v>518.4</v>
      </c>
      <c r="Y196" s="542">
        <f t="shared" ref="Y196:Y203" si="10">IFERROR(IF(X196="",0,CEILING((X196/$H196),1)*$H196),"")</f>
        <v>518.40000000000009</v>
      </c>
      <c r="Z196" s="36">
        <f>IFERROR(IF(Y196=0,"",ROUNDUP(Y196/H196,0)*0.00902),"")</f>
        <v>0.86592000000000002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536.63999999999987</v>
      </c>
      <c r="BN196" s="64">
        <f t="shared" ref="BN196:BN203" si="12">IFERROR(Y196*I196/H196,"0")</f>
        <v>536.64</v>
      </c>
      <c r="BO196" s="64">
        <f t="shared" ref="BO196:BO203" si="13">IFERROR(1/J196*(X196/H196),"0")</f>
        <v>0.72727272727272718</v>
      </c>
      <c r="BP196" s="64">
        <f t="shared" ref="BP196:BP203" si="14">IFERROR(1/J196*(Y196/H196),"0")</f>
        <v>0.7272727272727274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1"/>
      <c r="R197" s="551"/>
      <c r="S197" s="551"/>
      <c r="T197" s="552"/>
      <c r="U197" s="34"/>
      <c r="V197" s="34"/>
      <c r="W197" s="35" t="s">
        <v>69</v>
      </c>
      <c r="X197" s="541">
        <v>194.4</v>
      </c>
      <c r="Y197" s="542">
        <f t="shared" si="10"/>
        <v>194.4</v>
      </c>
      <c r="Z197" s="36">
        <f>IFERROR(IF(Y197=0,"",ROUNDUP(Y197/H197,0)*0.00902),"")</f>
        <v>0.32472000000000001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201.23999999999998</v>
      </c>
      <c r="BN197" s="64">
        <f t="shared" si="12"/>
        <v>201.23999999999998</v>
      </c>
      <c r="BO197" s="64">
        <f t="shared" si="13"/>
        <v>0.27272727272727271</v>
      </c>
      <c r="BP197" s="64">
        <f t="shared" si="14"/>
        <v>0.27272727272727271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1"/>
      <c r="R198" s="551"/>
      <c r="S198" s="551"/>
      <c r="T198" s="552"/>
      <c r="U198" s="34"/>
      <c r="V198" s="34"/>
      <c r="W198" s="35" t="s">
        <v>69</v>
      </c>
      <c r="X198" s="541">
        <v>324</v>
      </c>
      <c r="Y198" s="542">
        <f t="shared" si="10"/>
        <v>324</v>
      </c>
      <c r="Z198" s="36">
        <f>IFERROR(IF(Y198=0,"",ROUNDUP(Y198/H198,0)*0.00902),"")</f>
        <v>0.54120000000000001</v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335.4</v>
      </c>
      <c r="BN198" s="64">
        <f t="shared" si="12"/>
        <v>335.4</v>
      </c>
      <c r="BO198" s="64">
        <f t="shared" si="13"/>
        <v>0.45454545454545453</v>
      </c>
      <c r="BP198" s="64">
        <f t="shared" si="14"/>
        <v>0.45454545454545453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1"/>
      <c r="R199" s="551"/>
      <c r="S199" s="551"/>
      <c r="T199" s="552"/>
      <c r="U199" s="34"/>
      <c r="V199" s="34"/>
      <c r="W199" s="35" t="s">
        <v>69</v>
      </c>
      <c r="X199" s="541">
        <v>194.4</v>
      </c>
      <c r="Y199" s="542">
        <f t="shared" si="10"/>
        <v>194.4</v>
      </c>
      <c r="Z199" s="36">
        <f>IFERROR(IF(Y199=0,"",ROUNDUP(Y199/H199,0)*0.00902),"")</f>
        <v>0.32472000000000001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201.23999999999998</v>
      </c>
      <c r="BN199" s="64">
        <f t="shared" si="12"/>
        <v>201.23999999999998</v>
      </c>
      <c r="BO199" s="64">
        <f t="shared" si="13"/>
        <v>0.27272727272727271</v>
      </c>
      <c r="BP199" s="64">
        <f t="shared" si="14"/>
        <v>0.27272727272727271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1"/>
      <c r="R200" s="551"/>
      <c r="S200" s="551"/>
      <c r="T200" s="552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1"/>
      <c r="R201" s="551"/>
      <c r="S201" s="551"/>
      <c r="T201" s="552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1"/>
      <c r="R202" s="551"/>
      <c r="S202" s="551"/>
      <c r="T202" s="552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1"/>
      <c r="R203" s="551"/>
      <c r="S203" s="551"/>
      <c r="T203" s="552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45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47"/>
      <c r="P204" s="554" t="s">
        <v>71</v>
      </c>
      <c r="Q204" s="555"/>
      <c r="R204" s="555"/>
      <c r="S204" s="555"/>
      <c r="T204" s="555"/>
      <c r="U204" s="555"/>
      <c r="V204" s="556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228</v>
      </c>
      <c r="Y204" s="543">
        <f>IFERROR(Y196/H196,"0")+IFERROR(Y197/H197,"0")+IFERROR(Y198/H198,"0")+IFERROR(Y199/H199,"0")+IFERROR(Y200/H200,"0")+IFERROR(Y201/H201,"0")+IFERROR(Y202/H202,"0")+IFERROR(Y203/H203,"0")</f>
        <v>228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2.0565600000000002</v>
      </c>
      <c r="AA204" s="544"/>
      <c r="AB204" s="544"/>
      <c r="AC204" s="544"/>
    </row>
    <row r="205" spans="1:68" x14ac:dyDescent="0.2">
      <c r="A205" s="546"/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47"/>
      <c r="P205" s="554" t="s">
        <v>71</v>
      </c>
      <c r="Q205" s="555"/>
      <c r="R205" s="555"/>
      <c r="S205" s="555"/>
      <c r="T205" s="555"/>
      <c r="U205" s="555"/>
      <c r="V205" s="556"/>
      <c r="W205" s="37" t="s">
        <v>69</v>
      </c>
      <c r="X205" s="543">
        <f>IFERROR(SUM(X196:X203),"0")</f>
        <v>1231.2</v>
      </c>
      <c r="Y205" s="543">
        <f>IFERROR(SUM(Y196:Y203),"0")</f>
        <v>1231.2000000000003</v>
      </c>
      <c r="Z205" s="37"/>
      <c r="AA205" s="544"/>
      <c r="AB205" s="544"/>
      <c r="AC205" s="544"/>
    </row>
    <row r="206" spans="1:68" ht="14.25" hidden="1" customHeight="1" x14ac:dyDescent="0.25">
      <c r="A206" s="560" t="s">
        <v>73</v>
      </c>
      <c r="B206" s="546"/>
      <c r="C206" s="546"/>
      <c r="D206" s="546"/>
      <c r="E206" s="546"/>
      <c r="F206" s="546"/>
      <c r="G206" s="546"/>
      <c r="H206" s="546"/>
      <c r="I206" s="546"/>
      <c r="J206" s="546"/>
      <c r="K206" s="546"/>
      <c r="L206" s="546"/>
      <c r="M206" s="546"/>
      <c r="N206" s="546"/>
      <c r="O206" s="546"/>
      <c r="P206" s="546"/>
      <c r="Q206" s="546"/>
      <c r="R206" s="546"/>
      <c r="S206" s="546"/>
      <c r="T206" s="546"/>
      <c r="U206" s="546"/>
      <c r="V206" s="546"/>
      <c r="W206" s="546"/>
      <c r="X206" s="546"/>
      <c r="Y206" s="546"/>
      <c r="Z206" s="546"/>
      <c r="AA206" s="537"/>
      <c r="AB206" s="537"/>
      <c r="AC206" s="537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1"/>
      <c r="R207" s="551"/>
      <c r="S207" s="551"/>
      <c r="T207" s="552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72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1"/>
      <c r="R208" s="551"/>
      <c r="S208" s="551"/>
      <c r="T208" s="552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1"/>
      <c r="R209" s="551"/>
      <c r="S209" s="551"/>
      <c r="T209" s="552"/>
      <c r="U209" s="34"/>
      <c r="V209" s="34"/>
      <c r="W209" s="35" t="s">
        <v>69</v>
      </c>
      <c r="X209" s="541">
        <v>904.8</v>
      </c>
      <c r="Y209" s="542">
        <f t="shared" si="15"/>
        <v>904.8</v>
      </c>
      <c r="Z209" s="36">
        <f>IFERROR(IF(Y209=0,"",ROUNDUP(Y209/H209,0)*0.01898),"")</f>
        <v>1.9739200000000001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956.17600000000004</v>
      </c>
      <c r="BN209" s="64">
        <f t="shared" si="17"/>
        <v>956.17600000000004</v>
      </c>
      <c r="BO209" s="64">
        <f t="shared" si="18"/>
        <v>1.625</v>
      </c>
      <c r="BP209" s="64">
        <f t="shared" si="19"/>
        <v>1.625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3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1"/>
      <c r="R210" s="551"/>
      <c r="S210" s="551"/>
      <c r="T210" s="552"/>
      <c r="U210" s="34"/>
      <c r="V210" s="34"/>
      <c r="W210" s="35" t="s">
        <v>69</v>
      </c>
      <c r="X210" s="541">
        <v>172.8</v>
      </c>
      <c r="Y210" s="542">
        <f t="shared" si="15"/>
        <v>172.79999999999998</v>
      </c>
      <c r="Z210" s="36">
        <f t="shared" ref="Z210:Z215" si="20">IFERROR(IF(Y210=0,"",ROUNDUP(Y210/H210,0)*0.00651),"")</f>
        <v>0.46872000000000003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192.24</v>
      </c>
      <c r="BN210" s="64">
        <f t="shared" si="17"/>
        <v>192.23999999999998</v>
      </c>
      <c r="BO210" s="64">
        <f t="shared" si="18"/>
        <v>0.3956043956043957</v>
      </c>
      <c r="BP210" s="64">
        <f t="shared" si="19"/>
        <v>0.39560439560439564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5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1"/>
      <c r="R211" s="551"/>
      <c r="S211" s="551"/>
      <c r="T211" s="552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1"/>
      <c r="R212" s="551"/>
      <c r="S212" s="551"/>
      <c r="T212" s="552"/>
      <c r="U212" s="34"/>
      <c r="V212" s="34"/>
      <c r="W212" s="35" t="s">
        <v>69</v>
      </c>
      <c r="X212" s="541">
        <v>201.6</v>
      </c>
      <c r="Y212" s="542">
        <f t="shared" si="15"/>
        <v>201.6</v>
      </c>
      <c r="Z212" s="36">
        <f t="shared" si="20"/>
        <v>0.54683999999999999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222.768</v>
      </c>
      <c r="BN212" s="64">
        <f t="shared" si="17"/>
        <v>222.768</v>
      </c>
      <c r="BO212" s="64">
        <f t="shared" si="18"/>
        <v>0.46153846153846156</v>
      </c>
      <c r="BP212" s="64">
        <f t="shared" si="19"/>
        <v>0.46153846153846156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1"/>
      <c r="R213" s="551"/>
      <c r="S213" s="551"/>
      <c r="T213" s="552"/>
      <c r="U213" s="34"/>
      <c r="V213" s="34"/>
      <c r="W213" s="35" t="s">
        <v>69</v>
      </c>
      <c r="X213" s="541">
        <v>288</v>
      </c>
      <c r="Y213" s="542">
        <f t="shared" si="15"/>
        <v>288</v>
      </c>
      <c r="Z213" s="36">
        <f t="shared" si="20"/>
        <v>0.78120000000000001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318.24000000000007</v>
      </c>
      <c r="BN213" s="64">
        <f t="shared" si="17"/>
        <v>318.24000000000007</v>
      </c>
      <c r="BO213" s="64">
        <f t="shared" si="18"/>
        <v>0.65934065934065944</v>
      </c>
      <c r="BP213" s="64">
        <f t="shared" si="19"/>
        <v>0.65934065934065944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6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1"/>
      <c r="R214" s="551"/>
      <c r="S214" s="551"/>
      <c r="T214" s="552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1"/>
      <c r="R215" s="551"/>
      <c r="S215" s="551"/>
      <c r="T215" s="552"/>
      <c r="U215" s="34"/>
      <c r="V215" s="34"/>
      <c r="W215" s="35" t="s">
        <v>69</v>
      </c>
      <c r="X215" s="541">
        <v>172.8</v>
      </c>
      <c r="Y215" s="542">
        <f t="shared" si="15"/>
        <v>172.79999999999998</v>
      </c>
      <c r="Z215" s="36">
        <f t="shared" si="20"/>
        <v>0.46872000000000003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191.37600000000003</v>
      </c>
      <c r="BN215" s="64">
        <f t="shared" si="17"/>
        <v>191.37599999999998</v>
      </c>
      <c r="BO215" s="64">
        <f t="shared" si="18"/>
        <v>0.3956043956043957</v>
      </c>
      <c r="BP215" s="64">
        <f t="shared" si="19"/>
        <v>0.39560439560439564</v>
      </c>
    </row>
    <row r="216" spans="1:68" x14ac:dyDescent="0.2">
      <c r="A216" s="545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47"/>
      <c r="P216" s="554" t="s">
        <v>71</v>
      </c>
      <c r="Q216" s="555"/>
      <c r="R216" s="555"/>
      <c r="S216" s="555"/>
      <c r="T216" s="555"/>
      <c r="U216" s="555"/>
      <c r="V216" s="556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452</v>
      </c>
      <c r="Y216" s="543">
        <f>IFERROR(Y207/H207,"0")+IFERROR(Y208/H208,"0")+IFERROR(Y209/H209,"0")+IFERROR(Y210/H210,"0")+IFERROR(Y211/H211,"0")+IFERROR(Y212/H212,"0")+IFERROR(Y213/H213,"0")+IFERROR(Y214/H214,"0")+IFERROR(Y215/H215,"0")</f>
        <v>452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4.2393999999999998</v>
      </c>
      <c r="AA216" s="544"/>
      <c r="AB216" s="544"/>
      <c r="AC216" s="544"/>
    </row>
    <row r="217" spans="1:68" x14ac:dyDescent="0.2">
      <c r="A217" s="546"/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47"/>
      <c r="P217" s="554" t="s">
        <v>71</v>
      </c>
      <c r="Q217" s="555"/>
      <c r="R217" s="555"/>
      <c r="S217" s="555"/>
      <c r="T217" s="555"/>
      <c r="U217" s="555"/>
      <c r="V217" s="556"/>
      <c r="W217" s="37" t="s">
        <v>69</v>
      </c>
      <c r="X217" s="543">
        <f>IFERROR(SUM(X207:X215),"0")</f>
        <v>1739.9999999999998</v>
      </c>
      <c r="Y217" s="543">
        <f>IFERROR(SUM(Y207:Y215),"0")</f>
        <v>1739.9999999999998</v>
      </c>
      <c r="Z217" s="37"/>
      <c r="AA217" s="544"/>
      <c r="AB217" s="544"/>
      <c r="AC217" s="544"/>
    </row>
    <row r="218" spans="1:68" ht="14.25" hidden="1" customHeight="1" x14ac:dyDescent="0.25">
      <c r="A218" s="560" t="s">
        <v>163</v>
      </c>
      <c r="B218" s="546"/>
      <c r="C218" s="546"/>
      <c r="D218" s="546"/>
      <c r="E218" s="546"/>
      <c r="F218" s="546"/>
      <c r="G218" s="546"/>
      <c r="H218" s="546"/>
      <c r="I218" s="546"/>
      <c r="J218" s="546"/>
      <c r="K218" s="546"/>
      <c r="L218" s="546"/>
      <c r="M218" s="546"/>
      <c r="N218" s="546"/>
      <c r="O218" s="546"/>
      <c r="P218" s="546"/>
      <c r="Q218" s="546"/>
      <c r="R218" s="546"/>
      <c r="S218" s="546"/>
      <c r="T218" s="546"/>
      <c r="U218" s="546"/>
      <c r="V218" s="546"/>
      <c r="W218" s="546"/>
      <c r="X218" s="546"/>
      <c r="Y218" s="546"/>
      <c r="Z218" s="546"/>
      <c r="AA218" s="537"/>
      <c r="AB218" s="537"/>
      <c r="AC218" s="537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1"/>
      <c r="R219" s="551"/>
      <c r="S219" s="551"/>
      <c r="T219" s="552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1"/>
      <c r="R220" s="551"/>
      <c r="S220" s="551"/>
      <c r="T220" s="552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45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47"/>
      <c r="P221" s="554" t="s">
        <v>71</v>
      </c>
      <c r="Q221" s="555"/>
      <c r="R221" s="555"/>
      <c r="S221" s="555"/>
      <c r="T221" s="555"/>
      <c r="U221" s="555"/>
      <c r="V221" s="556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46"/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47"/>
      <c r="P222" s="554" t="s">
        <v>71</v>
      </c>
      <c r="Q222" s="555"/>
      <c r="R222" s="555"/>
      <c r="S222" s="555"/>
      <c r="T222" s="555"/>
      <c r="U222" s="555"/>
      <c r="V222" s="556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61" t="s">
        <v>361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6"/>
      <c r="AB223" s="536"/>
      <c r="AC223" s="536"/>
    </row>
    <row r="224" spans="1:68" ht="14.25" hidden="1" customHeight="1" x14ac:dyDescent="0.25">
      <c r="A224" s="560" t="s">
        <v>99</v>
      </c>
      <c r="B224" s="546"/>
      <c r="C224" s="546"/>
      <c r="D224" s="546"/>
      <c r="E224" s="546"/>
      <c r="F224" s="546"/>
      <c r="G224" s="546"/>
      <c r="H224" s="546"/>
      <c r="I224" s="546"/>
      <c r="J224" s="546"/>
      <c r="K224" s="546"/>
      <c r="L224" s="546"/>
      <c r="M224" s="546"/>
      <c r="N224" s="546"/>
      <c r="O224" s="546"/>
      <c r="P224" s="546"/>
      <c r="Q224" s="546"/>
      <c r="R224" s="546"/>
      <c r="S224" s="546"/>
      <c r="T224" s="546"/>
      <c r="U224" s="546"/>
      <c r="V224" s="546"/>
      <c r="W224" s="546"/>
      <c r="X224" s="546"/>
      <c r="Y224" s="546"/>
      <c r="Z224" s="546"/>
      <c r="AA224" s="537"/>
      <c r="AB224" s="537"/>
      <c r="AC224" s="537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1"/>
      <c r="R225" s="551"/>
      <c r="S225" s="551"/>
      <c r="T225" s="552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1"/>
      <c r="R226" s="551"/>
      <c r="S226" s="551"/>
      <c r="T226" s="552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1"/>
      <c r="R227" s="551"/>
      <c r="S227" s="551"/>
      <c r="T227" s="552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1"/>
      <c r="R228" s="551"/>
      <c r="S228" s="551"/>
      <c r="T228" s="552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1"/>
      <c r="R229" s="551"/>
      <c r="S229" s="551"/>
      <c r="T229" s="552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1"/>
      <c r="R230" s="551"/>
      <c r="S230" s="551"/>
      <c r="T230" s="552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8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1"/>
      <c r="R231" s="551"/>
      <c r="S231" s="551"/>
      <c r="T231" s="552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1"/>
      <c r="R232" s="551"/>
      <c r="S232" s="551"/>
      <c r="T232" s="552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1"/>
      <c r="R233" s="551"/>
      <c r="S233" s="551"/>
      <c r="T233" s="552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1"/>
      <c r="R234" s="551"/>
      <c r="S234" s="551"/>
      <c r="T234" s="552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45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47"/>
      <c r="P235" s="554" t="s">
        <v>71</v>
      </c>
      <c r="Q235" s="555"/>
      <c r="R235" s="555"/>
      <c r="S235" s="555"/>
      <c r="T235" s="555"/>
      <c r="U235" s="555"/>
      <c r="V235" s="556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46"/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47"/>
      <c r="P236" s="554" t="s">
        <v>71</v>
      </c>
      <c r="Q236" s="555"/>
      <c r="R236" s="555"/>
      <c r="S236" s="555"/>
      <c r="T236" s="555"/>
      <c r="U236" s="555"/>
      <c r="V236" s="556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60" t="s">
        <v>135</v>
      </c>
      <c r="B237" s="546"/>
      <c r="C237" s="546"/>
      <c r="D237" s="546"/>
      <c r="E237" s="546"/>
      <c r="F237" s="546"/>
      <c r="G237" s="546"/>
      <c r="H237" s="546"/>
      <c r="I237" s="546"/>
      <c r="J237" s="546"/>
      <c r="K237" s="546"/>
      <c r="L237" s="546"/>
      <c r="M237" s="546"/>
      <c r="N237" s="546"/>
      <c r="O237" s="546"/>
      <c r="P237" s="546"/>
      <c r="Q237" s="546"/>
      <c r="R237" s="546"/>
      <c r="S237" s="546"/>
      <c r="T237" s="546"/>
      <c r="U237" s="546"/>
      <c r="V237" s="546"/>
      <c r="W237" s="546"/>
      <c r="X237" s="546"/>
      <c r="Y237" s="546"/>
      <c r="Z237" s="546"/>
      <c r="AA237" s="537"/>
      <c r="AB237" s="537"/>
      <c r="AC237" s="537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1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1"/>
      <c r="R238" s="551"/>
      <c r="S238" s="551"/>
      <c r="T238" s="552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45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47"/>
      <c r="P239" s="554" t="s">
        <v>71</v>
      </c>
      <c r="Q239" s="555"/>
      <c r="R239" s="555"/>
      <c r="S239" s="555"/>
      <c r="T239" s="555"/>
      <c r="U239" s="555"/>
      <c r="V239" s="556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46"/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47"/>
      <c r="P240" s="554" t="s">
        <v>71</v>
      </c>
      <c r="Q240" s="555"/>
      <c r="R240" s="555"/>
      <c r="S240" s="555"/>
      <c r="T240" s="555"/>
      <c r="U240" s="555"/>
      <c r="V240" s="556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60" t="s">
        <v>387</v>
      </c>
      <c r="B241" s="546"/>
      <c r="C241" s="546"/>
      <c r="D241" s="546"/>
      <c r="E241" s="546"/>
      <c r="F241" s="546"/>
      <c r="G241" s="546"/>
      <c r="H241" s="546"/>
      <c r="I241" s="546"/>
      <c r="J241" s="546"/>
      <c r="K241" s="546"/>
      <c r="L241" s="546"/>
      <c r="M241" s="546"/>
      <c r="N241" s="546"/>
      <c r="O241" s="546"/>
      <c r="P241" s="546"/>
      <c r="Q241" s="546"/>
      <c r="R241" s="546"/>
      <c r="S241" s="546"/>
      <c r="T241" s="546"/>
      <c r="U241" s="546"/>
      <c r="V241" s="546"/>
      <c r="W241" s="546"/>
      <c r="X241" s="546"/>
      <c r="Y241" s="546"/>
      <c r="Z241" s="546"/>
      <c r="AA241" s="537"/>
      <c r="AB241" s="537"/>
      <c r="AC241" s="537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6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1"/>
      <c r="R242" s="551"/>
      <c r="S242" s="551"/>
      <c r="T242" s="552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45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47"/>
      <c r="P243" s="554" t="s">
        <v>71</v>
      </c>
      <c r="Q243" s="555"/>
      <c r="R243" s="555"/>
      <c r="S243" s="555"/>
      <c r="T243" s="555"/>
      <c r="U243" s="555"/>
      <c r="V243" s="556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46"/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47"/>
      <c r="P244" s="554" t="s">
        <v>71</v>
      </c>
      <c r="Q244" s="555"/>
      <c r="R244" s="555"/>
      <c r="S244" s="555"/>
      <c r="T244" s="555"/>
      <c r="U244" s="555"/>
      <c r="V244" s="556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60" t="s">
        <v>391</v>
      </c>
      <c r="B245" s="546"/>
      <c r="C245" s="546"/>
      <c r="D245" s="546"/>
      <c r="E245" s="546"/>
      <c r="F245" s="546"/>
      <c r="G245" s="546"/>
      <c r="H245" s="546"/>
      <c r="I245" s="546"/>
      <c r="J245" s="546"/>
      <c r="K245" s="546"/>
      <c r="L245" s="546"/>
      <c r="M245" s="546"/>
      <c r="N245" s="546"/>
      <c r="O245" s="546"/>
      <c r="P245" s="546"/>
      <c r="Q245" s="546"/>
      <c r="R245" s="546"/>
      <c r="S245" s="546"/>
      <c r="T245" s="546"/>
      <c r="U245" s="546"/>
      <c r="V245" s="546"/>
      <c r="W245" s="546"/>
      <c r="X245" s="546"/>
      <c r="Y245" s="546"/>
      <c r="Z245" s="546"/>
      <c r="AA245" s="537"/>
      <c r="AB245" s="537"/>
      <c r="AC245" s="537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9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1"/>
      <c r="R246" s="551"/>
      <c r="S246" s="551"/>
      <c r="T246" s="552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2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1"/>
      <c r="R247" s="551"/>
      <c r="S247" s="551"/>
      <c r="T247" s="552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1"/>
      <c r="R248" s="551"/>
      <c r="S248" s="551"/>
      <c r="T248" s="552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1"/>
      <c r="R249" s="551"/>
      <c r="S249" s="551"/>
      <c r="T249" s="552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1"/>
      <c r="R250" s="551"/>
      <c r="S250" s="551"/>
      <c r="T250" s="552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45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47"/>
      <c r="P251" s="554" t="s">
        <v>71</v>
      </c>
      <c r="Q251" s="555"/>
      <c r="R251" s="555"/>
      <c r="S251" s="555"/>
      <c r="T251" s="555"/>
      <c r="U251" s="555"/>
      <c r="V251" s="556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46"/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47"/>
      <c r="P252" s="554" t="s">
        <v>71</v>
      </c>
      <c r="Q252" s="555"/>
      <c r="R252" s="555"/>
      <c r="S252" s="555"/>
      <c r="T252" s="555"/>
      <c r="U252" s="555"/>
      <c r="V252" s="556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61" t="s">
        <v>403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6"/>
      <c r="AB253" s="536"/>
      <c r="AC253" s="536"/>
    </row>
    <row r="254" spans="1:68" ht="14.25" hidden="1" customHeight="1" x14ac:dyDescent="0.25">
      <c r="A254" s="560" t="s">
        <v>99</v>
      </c>
      <c r="B254" s="546"/>
      <c r="C254" s="546"/>
      <c r="D254" s="546"/>
      <c r="E254" s="546"/>
      <c r="F254" s="546"/>
      <c r="G254" s="546"/>
      <c r="H254" s="546"/>
      <c r="I254" s="546"/>
      <c r="J254" s="546"/>
      <c r="K254" s="546"/>
      <c r="L254" s="546"/>
      <c r="M254" s="546"/>
      <c r="N254" s="546"/>
      <c r="O254" s="546"/>
      <c r="P254" s="546"/>
      <c r="Q254" s="546"/>
      <c r="R254" s="546"/>
      <c r="S254" s="546"/>
      <c r="T254" s="546"/>
      <c r="U254" s="546"/>
      <c r="V254" s="546"/>
      <c r="W254" s="546"/>
      <c r="X254" s="546"/>
      <c r="Y254" s="546"/>
      <c r="Z254" s="546"/>
      <c r="AA254" s="537"/>
      <c r="AB254" s="537"/>
      <c r="AC254" s="537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9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1"/>
      <c r="R255" s="551"/>
      <c r="S255" s="551"/>
      <c r="T255" s="552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1"/>
      <c r="R256" s="551"/>
      <c r="S256" s="551"/>
      <c r="T256" s="552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1"/>
      <c r="R257" s="551"/>
      <c r="S257" s="551"/>
      <c r="T257" s="552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1"/>
      <c r="R258" s="551"/>
      <c r="S258" s="551"/>
      <c r="T258" s="552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1"/>
      <c r="R259" s="551"/>
      <c r="S259" s="551"/>
      <c r="T259" s="552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45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47"/>
      <c r="P260" s="554" t="s">
        <v>71</v>
      </c>
      <c r="Q260" s="555"/>
      <c r="R260" s="555"/>
      <c r="S260" s="555"/>
      <c r="T260" s="555"/>
      <c r="U260" s="555"/>
      <c r="V260" s="556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46"/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47"/>
      <c r="P261" s="554" t="s">
        <v>71</v>
      </c>
      <c r="Q261" s="555"/>
      <c r="R261" s="555"/>
      <c r="S261" s="555"/>
      <c r="T261" s="555"/>
      <c r="U261" s="555"/>
      <c r="V261" s="556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61" t="s">
        <v>419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6"/>
      <c r="AB262" s="536"/>
      <c r="AC262" s="536"/>
    </row>
    <row r="263" spans="1:68" ht="14.25" hidden="1" customHeight="1" x14ac:dyDescent="0.25">
      <c r="A263" s="560" t="s">
        <v>99</v>
      </c>
      <c r="B263" s="546"/>
      <c r="C263" s="546"/>
      <c r="D263" s="546"/>
      <c r="E263" s="546"/>
      <c r="F263" s="546"/>
      <c r="G263" s="546"/>
      <c r="H263" s="546"/>
      <c r="I263" s="546"/>
      <c r="J263" s="546"/>
      <c r="K263" s="546"/>
      <c r="L263" s="546"/>
      <c r="M263" s="546"/>
      <c r="N263" s="546"/>
      <c r="O263" s="546"/>
      <c r="P263" s="546"/>
      <c r="Q263" s="546"/>
      <c r="R263" s="546"/>
      <c r="S263" s="546"/>
      <c r="T263" s="546"/>
      <c r="U263" s="546"/>
      <c r="V263" s="546"/>
      <c r="W263" s="546"/>
      <c r="X263" s="546"/>
      <c r="Y263" s="546"/>
      <c r="Z263" s="546"/>
      <c r="AA263" s="537"/>
      <c r="AB263" s="537"/>
      <c r="AC263" s="537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75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1"/>
      <c r="R264" s="551"/>
      <c r="S264" s="551"/>
      <c r="T264" s="552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1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1"/>
      <c r="R265" s="551"/>
      <c r="S265" s="551"/>
      <c r="T265" s="552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2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1"/>
      <c r="R266" s="551"/>
      <c r="S266" s="551"/>
      <c r="T266" s="552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1"/>
      <c r="R267" s="551"/>
      <c r="S267" s="551"/>
      <c r="T267" s="552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45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47"/>
      <c r="P268" s="554" t="s">
        <v>71</v>
      </c>
      <c r="Q268" s="555"/>
      <c r="R268" s="555"/>
      <c r="S268" s="555"/>
      <c r="T268" s="555"/>
      <c r="U268" s="555"/>
      <c r="V268" s="556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46"/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47"/>
      <c r="P269" s="554" t="s">
        <v>71</v>
      </c>
      <c r="Q269" s="555"/>
      <c r="R269" s="555"/>
      <c r="S269" s="555"/>
      <c r="T269" s="555"/>
      <c r="U269" s="555"/>
      <c r="V269" s="556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61" t="s">
        <v>430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6"/>
      <c r="AB270" s="536"/>
      <c r="AC270" s="536"/>
    </row>
    <row r="271" spans="1:68" ht="14.25" hidden="1" customHeight="1" x14ac:dyDescent="0.25">
      <c r="A271" s="560" t="s">
        <v>73</v>
      </c>
      <c r="B271" s="546"/>
      <c r="C271" s="546"/>
      <c r="D271" s="546"/>
      <c r="E271" s="546"/>
      <c r="F271" s="546"/>
      <c r="G271" s="546"/>
      <c r="H271" s="546"/>
      <c r="I271" s="546"/>
      <c r="J271" s="546"/>
      <c r="K271" s="546"/>
      <c r="L271" s="546"/>
      <c r="M271" s="546"/>
      <c r="N271" s="546"/>
      <c r="O271" s="546"/>
      <c r="P271" s="546"/>
      <c r="Q271" s="546"/>
      <c r="R271" s="546"/>
      <c r="S271" s="546"/>
      <c r="T271" s="546"/>
      <c r="U271" s="546"/>
      <c r="V271" s="546"/>
      <c r="W271" s="546"/>
      <c r="X271" s="546"/>
      <c r="Y271" s="546"/>
      <c r="Z271" s="546"/>
      <c r="AA271" s="537"/>
      <c r="AB271" s="537"/>
      <c r="AC271" s="537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3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1"/>
      <c r="R272" s="551"/>
      <c r="S272" s="551"/>
      <c r="T272" s="552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3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1"/>
      <c r="R273" s="551"/>
      <c r="S273" s="551"/>
      <c r="T273" s="552"/>
      <c r="U273" s="34"/>
      <c r="V273" s="34"/>
      <c r="W273" s="35" t="s">
        <v>69</v>
      </c>
      <c r="X273" s="541">
        <v>172.8</v>
      </c>
      <c r="Y273" s="542">
        <f>IFERROR(IF(X273="",0,CEILING((X273/$H273),1)*$H273),"")</f>
        <v>172.79999999999998</v>
      </c>
      <c r="Z273" s="36">
        <f>IFERROR(IF(Y273=0,"",ROUNDUP(Y273/H273,0)*0.00651),"")</f>
        <v>0.46872000000000003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190.94400000000005</v>
      </c>
      <c r="BN273" s="64">
        <f>IFERROR(Y273*I273/H273,"0")</f>
        <v>190.94400000000002</v>
      </c>
      <c r="BO273" s="64">
        <f>IFERROR(1/J273*(X273/H273),"0")</f>
        <v>0.3956043956043957</v>
      </c>
      <c r="BP273" s="64">
        <f>IFERROR(1/J273*(Y273/H273),"0")</f>
        <v>0.39560439560439564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1"/>
      <c r="R274" s="551"/>
      <c r="S274" s="551"/>
      <c r="T274" s="552"/>
      <c r="U274" s="34"/>
      <c r="V274" s="34"/>
      <c r="W274" s="35" t="s">
        <v>69</v>
      </c>
      <c r="X274" s="541">
        <v>172.8</v>
      </c>
      <c r="Y274" s="542">
        <f>IFERROR(IF(X274="",0,CEILING((X274/$H274),1)*$H274),"")</f>
        <v>172.79999999999998</v>
      </c>
      <c r="Z274" s="36">
        <f>IFERROR(IF(Y274=0,"",ROUNDUP(Y274/H274,0)*0.00651),"")</f>
        <v>0.46872000000000003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185.76000000000005</v>
      </c>
      <c r="BN274" s="64">
        <f>IFERROR(Y274*I274/H274,"0")</f>
        <v>185.76</v>
      </c>
      <c r="BO274" s="64">
        <f>IFERROR(1/J274*(X274/H274),"0")</f>
        <v>0.3956043956043957</v>
      </c>
      <c r="BP274" s="64">
        <f>IFERROR(1/J274*(Y274/H274),"0")</f>
        <v>0.39560439560439564</v>
      </c>
    </row>
    <row r="275" spans="1:68" x14ac:dyDescent="0.2">
      <c r="A275" s="545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47"/>
      <c r="P275" s="554" t="s">
        <v>71</v>
      </c>
      <c r="Q275" s="555"/>
      <c r="R275" s="555"/>
      <c r="S275" s="555"/>
      <c r="T275" s="555"/>
      <c r="U275" s="555"/>
      <c r="V275" s="556"/>
      <c r="W275" s="37" t="s">
        <v>72</v>
      </c>
      <c r="X275" s="543">
        <f>IFERROR(X272/H272,"0")+IFERROR(X273/H273,"0")+IFERROR(X274/H274,"0")</f>
        <v>144.00000000000003</v>
      </c>
      <c r="Y275" s="543">
        <f>IFERROR(Y272/H272,"0")+IFERROR(Y273/H273,"0")+IFERROR(Y274/H274,"0")</f>
        <v>144</v>
      </c>
      <c r="Z275" s="543">
        <f>IFERROR(IF(Z272="",0,Z272),"0")+IFERROR(IF(Z273="",0,Z273),"0")+IFERROR(IF(Z274="",0,Z274),"0")</f>
        <v>0.93744000000000005</v>
      </c>
      <c r="AA275" s="544"/>
      <c r="AB275" s="544"/>
      <c r="AC275" s="544"/>
    </row>
    <row r="276" spans="1:68" x14ac:dyDescent="0.2">
      <c r="A276" s="546"/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47"/>
      <c r="P276" s="554" t="s">
        <v>71</v>
      </c>
      <c r="Q276" s="555"/>
      <c r="R276" s="555"/>
      <c r="S276" s="555"/>
      <c r="T276" s="555"/>
      <c r="U276" s="555"/>
      <c r="V276" s="556"/>
      <c r="W276" s="37" t="s">
        <v>69</v>
      </c>
      <c r="X276" s="543">
        <f>IFERROR(SUM(X272:X274),"0")</f>
        <v>345.6</v>
      </c>
      <c r="Y276" s="543">
        <f>IFERROR(SUM(Y272:Y274),"0")</f>
        <v>345.59999999999997</v>
      </c>
      <c r="Z276" s="37"/>
      <c r="AA276" s="544"/>
      <c r="AB276" s="544"/>
      <c r="AC276" s="544"/>
    </row>
    <row r="277" spans="1:68" ht="16.5" hidden="1" customHeight="1" x14ac:dyDescent="0.25">
      <c r="A277" s="561" t="s">
        <v>439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6"/>
      <c r="AB277" s="536"/>
      <c r="AC277" s="536"/>
    </row>
    <row r="278" spans="1:68" ht="14.25" hidden="1" customHeight="1" x14ac:dyDescent="0.25">
      <c r="A278" s="560" t="s">
        <v>64</v>
      </c>
      <c r="B278" s="546"/>
      <c r="C278" s="546"/>
      <c r="D278" s="546"/>
      <c r="E278" s="546"/>
      <c r="F278" s="546"/>
      <c r="G278" s="546"/>
      <c r="H278" s="546"/>
      <c r="I278" s="546"/>
      <c r="J278" s="546"/>
      <c r="K278" s="546"/>
      <c r="L278" s="546"/>
      <c r="M278" s="546"/>
      <c r="N278" s="546"/>
      <c r="O278" s="546"/>
      <c r="P278" s="546"/>
      <c r="Q278" s="546"/>
      <c r="R278" s="546"/>
      <c r="S278" s="546"/>
      <c r="T278" s="546"/>
      <c r="U278" s="546"/>
      <c r="V278" s="546"/>
      <c r="W278" s="546"/>
      <c r="X278" s="546"/>
      <c r="Y278" s="546"/>
      <c r="Z278" s="546"/>
      <c r="AA278" s="537"/>
      <c r="AB278" s="537"/>
      <c r="AC278" s="537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1"/>
      <c r="R279" s="551"/>
      <c r="S279" s="551"/>
      <c r="T279" s="552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1"/>
      <c r="R280" s="551"/>
      <c r="S280" s="551"/>
      <c r="T280" s="552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45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47"/>
      <c r="P281" s="554" t="s">
        <v>71</v>
      </c>
      <c r="Q281" s="555"/>
      <c r="R281" s="555"/>
      <c r="S281" s="555"/>
      <c r="T281" s="555"/>
      <c r="U281" s="555"/>
      <c r="V281" s="556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46"/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47"/>
      <c r="P282" s="554" t="s">
        <v>71</v>
      </c>
      <c r="Q282" s="555"/>
      <c r="R282" s="555"/>
      <c r="S282" s="555"/>
      <c r="T282" s="555"/>
      <c r="U282" s="555"/>
      <c r="V282" s="556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60" t="s">
        <v>73</v>
      </c>
      <c r="B283" s="546"/>
      <c r="C283" s="546"/>
      <c r="D283" s="546"/>
      <c r="E283" s="546"/>
      <c r="F283" s="546"/>
      <c r="G283" s="546"/>
      <c r="H283" s="546"/>
      <c r="I283" s="546"/>
      <c r="J283" s="546"/>
      <c r="K283" s="546"/>
      <c r="L283" s="546"/>
      <c r="M283" s="546"/>
      <c r="N283" s="546"/>
      <c r="O283" s="546"/>
      <c r="P283" s="546"/>
      <c r="Q283" s="546"/>
      <c r="R283" s="546"/>
      <c r="S283" s="546"/>
      <c r="T283" s="546"/>
      <c r="U283" s="546"/>
      <c r="V283" s="546"/>
      <c r="W283" s="546"/>
      <c r="X283" s="546"/>
      <c r="Y283" s="546"/>
      <c r="Z283" s="546"/>
      <c r="AA283" s="537"/>
      <c r="AB283" s="537"/>
      <c r="AC283" s="537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700" t="s">
        <v>448</v>
      </c>
      <c r="Q284" s="551"/>
      <c r="R284" s="551"/>
      <c r="S284" s="551"/>
      <c r="T284" s="552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5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1"/>
      <c r="R285" s="551"/>
      <c r="S285" s="551"/>
      <c r="T285" s="552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45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47"/>
      <c r="P286" s="554" t="s">
        <v>71</v>
      </c>
      <c r="Q286" s="555"/>
      <c r="R286" s="555"/>
      <c r="S286" s="555"/>
      <c r="T286" s="555"/>
      <c r="U286" s="555"/>
      <c r="V286" s="556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hidden="1" x14ac:dyDescent="0.2">
      <c r="A287" s="546"/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7"/>
      <c r="P287" s="554" t="s">
        <v>71</v>
      </c>
      <c r="Q287" s="555"/>
      <c r="R287" s="555"/>
      <c r="S287" s="555"/>
      <c r="T287" s="555"/>
      <c r="U287" s="555"/>
      <c r="V287" s="556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hidden="1" customHeight="1" x14ac:dyDescent="0.25">
      <c r="A288" s="561" t="s">
        <v>453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6"/>
      <c r="AB288" s="536"/>
      <c r="AC288" s="536"/>
    </row>
    <row r="289" spans="1:68" ht="14.25" hidden="1" customHeight="1" x14ac:dyDescent="0.25">
      <c r="A289" s="560" t="s">
        <v>99</v>
      </c>
      <c r="B289" s="546"/>
      <c r="C289" s="546"/>
      <c r="D289" s="546"/>
      <c r="E289" s="546"/>
      <c r="F289" s="546"/>
      <c r="G289" s="546"/>
      <c r="H289" s="546"/>
      <c r="I289" s="546"/>
      <c r="J289" s="546"/>
      <c r="K289" s="546"/>
      <c r="L289" s="546"/>
      <c r="M289" s="546"/>
      <c r="N289" s="546"/>
      <c r="O289" s="546"/>
      <c r="P289" s="546"/>
      <c r="Q289" s="546"/>
      <c r="R289" s="546"/>
      <c r="S289" s="546"/>
      <c r="T289" s="546"/>
      <c r="U289" s="546"/>
      <c r="V289" s="546"/>
      <c r="W289" s="546"/>
      <c r="X289" s="546"/>
      <c r="Y289" s="546"/>
      <c r="Z289" s="546"/>
      <c r="AA289" s="537"/>
      <c r="AB289" s="537"/>
      <c r="AC289" s="537"/>
    </row>
    <row r="290" spans="1:68" ht="27" hidden="1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1"/>
      <c r="R290" s="551"/>
      <c r="S290" s="551"/>
      <c r="T290" s="552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hidden="1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1"/>
      <c r="R291" s="551"/>
      <c r="S291" s="551"/>
      <c r="T291" s="552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69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1"/>
      <c r="R292" s="551"/>
      <c r="S292" s="551"/>
      <c r="T292" s="552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1"/>
      <c r="R293" s="551"/>
      <c r="S293" s="551"/>
      <c r="T293" s="552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4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1"/>
      <c r="R294" s="551"/>
      <c r="S294" s="551"/>
      <c r="T294" s="552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545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47"/>
      <c r="P295" s="554" t="s">
        <v>71</v>
      </c>
      <c r="Q295" s="555"/>
      <c r="R295" s="555"/>
      <c r="S295" s="555"/>
      <c r="T295" s="555"/>
      <c r="U295" s="555"/>
      <c r="V295" s="556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46"/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7"/>
      <c r="P296" s="554" t="s">
        <v>71</v>
      </c>
      <c r="Q296" s="555"/>
      <c r="R296" s="555"/>
      <c r="S296" s="555"/>
      <c r="T296" s="555"/>
      <c r="U296" s="555"/>
      <c r="V296" s="556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60" t="s">
        <v>64</v>
      </c>
      <c r="B297" s="546"/>
      <c r="C297" s="546"/>
      <c r="D297" s="546"/>
      <c r="E297" s="546"/>
      <c r="F297" s="546"/>
      <c r="G297" s="546"/>
      <c r="H297" s="546"/>
      <c r="I297" s="546"/>
      <c r="J297" s="546"/>
      <c r="K297" s="546"/>
      <c r="L297" s="546"/>
      <c r="M297" s="546"/>
      <c r="N297" s="546"/>
      <c r="O297" s="546"/>
      <c r="P297" s="546"/>
      <c r="Q297" s="546"/>
      <c r="R297" s="546"/>
      <c r="S297" s="546"/>
      <c r="T297" s="546"/>
      <c r="U297" s="546"/>
      <c r="V297" s="546"/>
      <c r="W297" s="546"/>
      <c r="X297" s="546"/>
      <c r="Y297" s="546"/>
      <c r="Z297" s="546"/>
      <c r="AA297" s="537"/>
      <c r="AB297" s="537"/>
      <c r="AC297" s="537"/>
    </row>
    <row r="298" spans="1:68" ht="27" hidden="1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0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1"/>
      <c r="R298" s="551"/>
      <c r="S298" s="551"/>
      <c r="T298" s="552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hidden="1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1"/>
      <c r="R299" s="551"/>
      <c r="S299" s="551"/>
      <c r="T299" s="552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1"/>
      <c r="R300" s="551"/>
      <c r="S300" s="551"/>
      <c r="T300" s="552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1"/>
      <c r="R301" s="551"/>
      <c r="S301" s="551"/>
      <c r="T301" s="552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1"/>
      <c r="R302" s="551"/>
      <c r="S302" s="551"/>
      <c r="T302" s="552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6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1"/>
      <c r="R303" s="551"/>
      <c r="S303" s="551"/>
      <c r="T303" s="552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hidden="1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2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1"/>
      <c r="R304" s="551"/>
      <c r="S304" s="551"/>
      <c r="T304" s="552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idden="1" x14ac:dyDescent="0.2">
      <c r="A305" s="545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47"/>
      <c r="P305" s="554" t="s">
        <v>71</v>
      </c>
      <c r="Q305" s="555"/>
      <c r="R305" s="555"/>
      <c r="S305" s="555"/>
      <c r="T305" s="555"/>
      <c r="U305" s="555"/>
      <c r="V305" s="556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46"/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7"/>
      <c r="P306" s="554" t="s">
        <v>71</v>
      </c>
      <c r="Q306" s="555"/>
      <c r="R306" s="555"/>
      <c r="S306" s="555"/>
      <c r="T306" s="555"/>
      <c r="U306" s="555"/>
      <c r="V306" s="556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60" t="s">
        <v>73</v>
      </c>
      <c r="B307" s="546"/>
      <c r="C307" s="546"/>
      <c r="D307" s="546"/>
      <c r="E307" s="546"/>
      <c r="F307" s="546"/>
      <c r="G307" s="546"/>
      <c r="H307" s="546"/>
      <c r="I307" s="546"/>
      <c r="J307" s="546"/>
      <c r="K307" s="546"/>
      <c r="L307" s="546"/>
      <c r="M307" s="546"/>
      <c r="N307" s="546"/>
      <c r="O307" s="546"/>
      <c r="P307" s="546"/>
      <c r="Q307" s="546"/>
      <c r="R307" s="546"/>
      <c r="S307" s="546"/>
      <c r="T307" s="546"/>
      <c r="U307" s="546"/>
      <c r="V307" s="546"/>
      <c r="W307" s="546"/>
      <c r="X307" s="546"/>
      <c r="Y307" s="546"/>
      <c r="Z307" s="546"/>
      <c r="AA307" s="537"/>
      <c r="AB307" s="537"/>
      <c r="AC307" s="537"/>
    </row>
    <row r="308" spans="1:68" ht="27" hidden="1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1"/>
      <c r="R308" s="551"/>
      <c r="S308" s="551"/>
      <c r="T308" s="552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1"/>
      <c r="R309" s="551"/>
      <c r="S309" s="551"/>
      <c r="T309" s="552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1"/>
      <c r="R310" s="551"/>
      <c r="S310" s="551"/>
      <c r="T310" s="552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1"/>
      <c r="R311" s="551"/>
      <c r="S311" s="551"/>
      <c r="T311" s="552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45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47"/>
      <c r="P312" s="554" t="s">
        <v>71</v>
      </c>
      <c r="Q312" s="555"/>
      <c r="R312" s="555"/>
      <c r="S312" s="555"/>
      <c r="T312" s="555"/>
      <c r="U312" s="555"/>
      <c r="V312" s="556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46"/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47"/>
      <c r="P313" s="554" t="s">
        <v>71</v>
      </c>
      <c r="Q313" s="555"/>
      <c r="R313" s="555"/>
      <c r="S313" s="555"/>
      <c r="T313" s="555"/>
      <c r="U313" s="555"/>
      <c r="V313" s="556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0" t="s">
        <v>163</v>
      </c>
      <c r="B314" s="546"/>
      <c r="C314" s="546"/>
      <c r="D314" s="546"/>
      <c r="E314" s="546"/>
      <c r="F314" s="546"/>
      <c r="G314" s="546"/>
      <c r="H314" s="546"/>
      <c r="I314" s="546"/>
      <c r="J314" s="546"/>
      <c r="K314" s="546"/>
      <c r="L314" s="546"/>
      <c r="M314" s="546"/>
      <c r="N314" s="546"/>
      <c r="O314" s="546"/>
      <c r="P314" s="546"/>
      <c r="Q314" s="546"/>
      <c r="R314" s="546"/>
      <c r="S314" s="546"/>
      <c r="T314" s="546"/>
      <c r="U314" s="546"/>
      <c r="V314" s="546"/>
      <c r="W314" s="546"/>
      <c r="X314" s="546"/>
      <c r="Y314" s="546"/>
      <c r="Z314" s="546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7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1"/>
      <c r="R315" s="551"/>
      <c r="S315" s="551"/>
      <c r="T315" s="552"/>
      <c r="U315" s="34"/>
      <c r="V315" s="34"/>
      <c r="W315" s="35" t="s">
        <v>69</v>
      </c>
      <c r="X315" s="541">
        <v>201.6</v>
      </c>
      <c r="Y315" s="542">
        <f>IFERROR(IF(X315="",0,CEILING((X315/$H315),1)*$H315),"")</f>
        <v>201.60000000000002</v>
      </c>
      <c r="Z315" s="36">
        <f>IFERROR(IF(Y315=0,"",ROUNDUP(Y315/H315,0)*0.01898),"")</f>
        <v>0.45552000000000004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213.45599999999999</v>
      </c>
      <c r="BN315" s="64">
        <f>IFERROR(Y315*I315/H315,"0")</f>
        <v>213.45600000000002</v>
      </c>
      <c r="BO315" s="64">
        <f>IFERROR(1/J315*(X315/H315),"0")</f>
        <v>0.375</v>
      </c>
      <c r="BP315" s="64">
        <f>IFERROR(1/J315*(Y315/H315),"0")</f>
        <v>0.375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6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1"/>
      <c r="R316" s="551"/>
      <c r="S316" s="551"/>
      <c r="T316" s="552"/>
      <c r="U316" s="34"/>
      <c r="V316" s="34"/>
      <c r="W316" s="35" t="s">
        <v>69</v>
      </c>
      <c r="X316" s="541">
        <v>187.2</v>
      </c>
      <c r="Y316" s="542">
        <f>IFERROR(IF(X316="",0,CEILING((X316/$H316),1)*$H316),"")</f>
        <v>187.2</v>
      </c>
      <c r="Z316" s="36">
        <f>IFERROR(IF(Y316=0,"",ROUNDUP(Y316/H316,0)*0.01898),"")</f>
        <v>0.45552000000000004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199.05600000000001</v>
      </c>
      <c r="BN316" s="64">
        <f>IFERROR(Y316*I316/H316,"0")</f>
        <v>199.05600000000001</v>
      </c>
      <c r="BO316" s="64">
        <f>IFERROR(1/J316*(X316/H316),"0")</f>
        <v>0.375</v>
      </c>
      <c r="BP316" s="64">
        <f>IFERROR(1/J316*(Y316/H316),"0")</f>
        <v>0.375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1"/>
      <c r="R317" s="551"/>
      <c r="S317" s="551"/>
      <c r="T317" s="552"/>
      <c r="U317" s="34"/>
      <c r="V317" s="34"/>
      <c r="W317" s="35" t="s">
        <v>69</v>
      </c>
      <c r="X317" s="541">
        <v>67.2</v>
      </c>
      <c r="Y317" s="542">
        <f>IFERROR(IF(X317="",0,CEILING((X317/$H317),1)*$H317),"")</f>
        <v>67.2</v>
      </c>
      <c r="Z317" s="36">
        <f>IFERROR(IF(Y317=0,"",ROUNDUP(Y317/H317,0)*0.01898),"")</f>
        <v>0.15184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71.152000000000001</v>
      </c>
      <c r="BN317" s="64">
        <f>IFERROR(Y317*I317/H317,"0")</f>
        <v>71.152000000000001</v>
      </c>
      <c r="BO317" s="64">
        <f>IFERROR(1/J317*(X317/H317),"0")</f>
        <v>0.125</v>
      </c>
      <c r="BP317" s="64">
        <f>IFERROR(1/J317*(Y317/H317),"0")</f>
        <v>0.125</v>
      </c>
    </row>
    <row r="318" spans="1:68" x14ac:dyDescent="0.2">
      <c r="A318" s="545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47"/>
      <c r="P318" s="554" t="s">
        <v>71</v>
      </c>
      <c r="Q318" s="555"/>
      <c r="R318" s="555"/>
      <c r="S318" s="555"/>
      <c r="T318" s="555"/>
      <c r="U318" s="555"/>
      <c r="V318" s="556"/>
      <c r="W318" s="37" t="s">
        <v>72</v>
      </c>
      <c r="X318" s="543">
        <f>IFERROR(X315/H315,"0")+IFERROR(X316/H316,"0")+IFERROR(X317/H317,"0")</f>
        <v>56</v>
      </c>
      <c r="Y318" s="543">
        <f>IFERROR(Y315/H315,"0")+IFERROR(Y316/H316,"0")+IFERROR(Y317/H317,"0")</f>
        <v>56</v>
      </c>
      <c r="Z318" s="543">
        <f>IFERROR(IF(Z315="",0,Z315),"0")+IFERROR(IF(Z316="",0,Z316),"0")+IFERROR(IF(Z317="",0,Z317),"0")</f>
        <v>1.06288</v>
      </c>
      <c r="AA318" s="544"/>
      <c r="AB318" s="544"/>
      <c r="AC318" s="544"/>
    </row>
    <row r="319" spans="1:68" x14ac:dyDescent="0.2">
      <c r="A319" s="546"/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47"/>
      <c r="P319" s="554" t="s">
        <v>71</v>
      </c>
      <c r="Q319" s="555"/>
      <c r="R319" s="555"/>
      <c r="S319" s="555"/>
      <c r="T319" s="555"/>
      <c r="U319" s="555"/>
      <c r="V319" s="556"/>
      <c r="W319" s="37" t="s">
        <v>69</v>
      </c>
      <c r="X319" s="543">
        <f>IFERROR(SUM(X315:X317),"0")</f>
        <v>455.99999999999994</v>
      </c>
      <c r="Y319" s="543">
        <f>IFERROR(SUM(Y315:Y317),"0")</f>
        <v>456</v>
      </c>
      <c r="Z319" s="37"/>
      <c r="AA319" s="544"/>
      <c r="AB319" s="544"/>
      <c r="AC319" s="544"/>
    </row>
    <row r="320" spans="1:68" ht="14.25" hidden="1" customHeight="1" x14ac:dyDescent="0.25">
      <c r="A320" s="560" t="s">
        <v>91</v>
      </c>
      <c r="B320" s="546"/>
      <c r="C320" s="546"/>
      <c r="D320" s="546"/>
      <c r="E320" s="546"/>
      <c r="F320" s="546"/>
      <c r="G320" s="546"/>
      <c r="H320" s="546"/>
      <c r="I320" s="546"/>
      <c r="J320" s="546"/>
      <c r="K320" s="546"/>
      <c r="L320" s="546"/>
      <c r="M320" s="546"/>
      <c r="N320" s="546"/>
      <c r="O320" s="546"/>
      <c r="P320" s="546"/>
      <c r="Q320" s="546"/>
      <c r="R320" s="546"/>
      <c r="S320" s="546"/>
      <c r="T320" s="546"/>
      <c r="U320" s="546"/>
      <c r="V320" s="546"/>
      <c r="W320" s="546"/>
      <c r="X320" s="546"/>
      <c r="Y320" s="546"/>
      <c r="Z320" s="546"/>
      <c r="AA320" s="537"/>
      <c r="AB320" s="537"/>
      <c r="AC320" s="537"/>
    </row>
    <row r="321" spans="1:68" ht="27" hidden="1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1"/>
      <c r="R321" s="551"/>
      <c r="S321" s="551"/>
      <c r="T321" s="552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557" t="s">
        <v>513</v>
      </c>
      <c r="Q322" s="551"/>
      <c r="R322" s="551"/>
      <c r="S322" s="551"/>
      <c r="T322" s="552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1"/>
      <c r="R323" s="551"/>
      <c r="S323" s="551"/>
      <c r="T323" s="552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1"/>
      <c r="R324" s="551"/>
      <c r="S324" s="551"/>
      <c r="T324" s="552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45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47"/>
      <c r="P325" s="554" t="s">
        <v>71</v>
      </c>
      <c r="Q325" s="555"/>
      <c r="R325" s="555"/>
      <c r="S325" s="555"/>
      <c r="T325" s="555"/>
      <c r="U325" s="555"/>
      <c r="V325" s="556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46"/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47"/>
      <c r="P326" s="554" t="s">
        <v>71</v>
      </c>
      <c r="Q326" s="555"/>
      <c r="R326" s="555"/>
      <c r="S326" s="555"/>
      <c r="T326" s="555"/>
      <c r="U326" s="555"/>
      <c r="V326" s="556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60" t="s">
        <v>519</v>
      </c>
      <c r="B327" s="546"/>
      <c r="C327" s="546"/>
      <c r="D327" s="546"/>
      <c r="E327" s="546"/>
      <c r="F327" s="546"/>
      <c r="G327" s="546"/>
      <c r="H327" s="546"/>
      <c r="I327" s="546"/>
      <c r="J327" s="546"/>
      <c r="K327" s="546"/>
      <c r="L327" s="546"/>
      <c r="M327" s="546"/>
      <c r="N327" s="546"/>
      <c r="O327" s="546"/>
      <c r="P327" s="546"/>
      <c r="Q327" s="546"/>
      <c r="R327" s="546"/>
      <c r="S327" s="546"/>
      <c r="T327" s="546"/>
      <c r="U327" s="546"/>
      <c r="V327" s="546"/>
      <c r="W327" s="546"/>
      <c r="X327" s="546"/>
      <c r="Y327" s="546"/>
      <c r="Z327" s="546"/>
      <c r="AA327" s="537"/>
      <c r="AB327" s="537"/>
      <c r="AC327" s="537"/>
    </row>
    <row r="328" spans="1:68" ht="16.5" hidden="1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1"/>
      <c r="R328" s="551"/>
      <c r="S328" s="551"/>
      <c r="T328" s="552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1"/>
      <c r="R329" s="551"/>
      <c r="S329" s="551"/>
      <c r="T329" s="552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1"/>
      <c r="R330" s="551"/>
      <c r="S330" s="551"/>
      <c r="T330" s="552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45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47"/>
      <c r="P331" s="554" t="s">
        <v>71</v>
      </c>
      <c r="Q331" s="555"/>
      <c r="R331" s="555"/>
      <c r="S331" s="555"/>
      <c r="T331" s="555"/>
      <c r="U331" s="555"/>
      <c r="V331" s="556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46"/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47"/>
      <c r="P332" s="554" t="s">
        <v>71</v>
      </c>
      <c r="Q332" s="555"/>
      <c r="R332" s="555"/>
      <c r="S332" s="555"/>
      <c r="T332" s="555"/>
      <c r="U332" s="555"/>
      <c r="V332" s="556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1" t="s">
        <v>528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6"/>
      <c r="AB333" s="536"/>
      <c r="AC333" s="536"/>
    </row>
    <row r="334" spans="1:68" ht="14.25" hidden="1" customHeight="1" x14ac:dyDescent="0.25">
      <c r="A334" s="560" t="s">
        <v>73</v>
      </c>
      <c r="B334" s="546"/>
      <c r="C334" s="546"/>
      <c r="D334" s="546"/>
      <c r="E334" s="546"/>
      <c r="F334" s="546"/>
      <c r="G334" s="546"/>
      <c r="H334" s="546"/>
      <c r="I334" s="546"/>
      <c r="J334" s="546"/>
      <c r="K334" s="546"/>
      <c r="L334" s="546"/>
      <c r="M334" s="546"/>
      <c r="N334" s="546"/>
      <c r="O334" s="546"/>
      <c r="P334" s="546"/>
      <c r="Q334" s="546"/>
      <c r="R334" s="546"/>
      <c r="S334" s="546"/>
      <c r="T334" s="546"/>
      <c r="U334" s="546"/>
      <c r="V334" s="546"/>
      <c r="W334" s="546"/>
      <c r="X334" s="546"/>
      <c r="Y334" s="546"/>
      <c r="Z334" s="546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1"/>
      <c r="R335" s="551"/>
      <c r="S335" s="551"/>
      <c r="T335" s="552"/>
      <c r="U335" s="34"/>
      <c r="V335" s="34"/>
      <c r="W335" s="35" t="s">
        <v>69</v>
      </c>
      <c r="X335" s="541">
        <v>129.6</v>
      </c>
      <c r="Y335" s="542">
        <f>IFERROR(IF(X335="",0,CEILING((X335/$H335),1)*$H335),"")</f>
        <v>129.6</v>
      </c>
      <c r="Z335" s="36">
        <f>IFERROR(IF(Y335=0,"",ROUNDUP(Y335/H335,0)*0.01898),"")</f>
        <v>0.30368000000000001</v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137.50399999999999</v>
      </c>
      <c r="BN335" s="64">
        <f>IFERROR(Y335*I335/H335,"0")</f>
        <v>137.50399999999999</v>
      </c>
      <c r="BO335" s="64">
        <f>IFERROR(1/J335*(X335/H335),"0")</f>
        <v>0.25</v>
      </c>
      <c r="BP335" s="64">
        <f>IFERROR(1/J335*(Y335/H335),"0")</f>
        <v>0.25</v>
      </c>
    </row>
    <row r="336" spans="1:68" ht="27" hidden="1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7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1"/>
      <c r="R336" s="551"/>
      <c r="S336" s="551"/>
      <c r="T336" s="552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1"/>
      <c r="R337" s="551"/>
      <c r="S337" s="551"/>
      <c r="T337" s="552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45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47"/>
      <c r="P338" s="554" t="s">
        <v>71</v>
      </c>
      <c r="Q338" s="555"/>
      <c r="R338" s="555"/>
      <c r="S338" s="555"/>
      <c r="T338" s="555"/>
      <c r="U338" s="555"/>
      <c r="V338" s="556"/>
      <c r="W338" s="37" t="s">
        <v>72</v>
      </c>
      <c r="X338" s="543">
        <f>IFERROR(X335/H335,"0")+IFERROR(X336/H336,"0")+IFERROR(X337/H337,"0")</f>
        <v>16</v>
      </c>
      <c r="Y338" s="543">
        <f>IFERROR(Y335/H335,"0")+IFERROR(Y336/H336,"0")+IFERROR(Y337/H337,"0")</f>
        <v>16</v>
      </c>
      <c r="Z338" s="543">
        <f>IFERROR(IF(Z335="",0,Z335),"0")+IFERROR(IF(Z336="",0,Z336),"0")+IFERROR(IF(Z337="",0,Z337),"0")</f>
        <v>0.30368000000000001</v>
      </c>
      <c r="AA338" s="544"/>
      <c r="AB338" s="544"/>
      <c r="AC338" s="544"/>
    </row>
    <row r="339" spans="1:68" x14ac:dyDescent="0.2">
      <c r="A339" s="546"/>
      <c r="B339" s="546"/>
      <c r="C339" s="546"/>
      <c r="D339" s="546"/>
      <c r="E339" s="546"/>
      <c r="F339" s="546"/>
      <c r="G339" s="546"/>
      <c r="H339" s="546"/>
      <c r="I339" s="546"/>
      <c r="J339" s="546"/>
      <c r="K339" s="546"/>
      <c r="L339" s="546"/>
      <c r="M339" s="546"/>
      <c r="N339" s="546"/>
      <c r="O339" s="547"/>
      <c r="P339" s="554" t="s">
        <v>71</v>
      </c>
      <c r="Q339" s="555"/>
      <c r="R339" s="555"/>
      <c r="S339" s="555"/>
      <c r="T339" s="555"/>
      <c r="U339" s="555"/>
      <c r="V339" s="556"/>
      <c r="W339" s="37" t="s">
        <v>69</v>
      </c>
      <c r="X339" s="543">
        <f>IFERROR(SUM(X335:X337),"0")</f>
        <v>129.6</v>
      </c>
      <c r="Y339" s="543">
        <f>IFERROR(SUM(Y335:Y337),"0")</f>
        <v>129.6</v>
      </c>
      <c r="Z339" s="37"/>
      <c r="AA339" s="544"/>
      <c r="AB339" s="544"/>
      <c r="AC339" s="544"/>
    </row>
    <row r="340" spans="1:68" ht="27.75" hidden="1" customHeight="1" x14ac:dyDescent="0.2">
      <c r="A340" s="697" t="s">
        <v>538</v>
      </c>
      <c r="B340" s="698"/>
      <c r="C340" s="698"/>
      <c r="D340" s="698"/>
      <c r="E340" s="698"/>
      <c r="F340" s="698"/>
      <c r="G340" s="698"/>
      <c r="H340" s="698"/>
      <c r="I340" s="698"/>
      <c r="J340" s="698"/>
      <c r="K340" s="698"/>
      <c r="L340" s="698"/>
      <c r="M340" s="698"/>
      <c r="N340" s="698"/>
      <c r="O340" s="698"/>
      <c r="P340" s="698"/>
      <c r="Q340" s="698"/>
      <c r="R340" s="698"/>
      <c r="S340" s="698"/>
      <c r="T340" s="698"/>
      <c r="U340" s="698"/>
      <c r="V340" s="698"/>
      <c r="W340" s="698"/>
      <c r="X340" s="698"/>
      <c r="Y340" s="698"/>
      <c r="Z340" s="698"/>
      <c r="AA340" s="48"/>
      <c r="AB340" s="48"/>
      <c r="AC340" s="48"/>
    </row>
    <row r="341" spans="1:68" ht="16.5" hidden="1" customHeight="1" x14ac:dyDescent="0.25">
      <c r="A341" s="561" t="s">
        <v>539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6"/>
      <c r="AB341" s="536"/>
      <c r="AC341" s="536"/>
    </row>
    <row r="342" spans="1:68" ht="14.25" hidden="1" customHeight="1" x14ac:dyDescent="0.25">
      <c r="A342" s="560" t="s">
        <v>99</v>
      </c>
      <c r="B342" s="546"/>
      <c r="C342" s="546"/>
      <c r="D342" s="546"/>
      <c r="E342" s="546"/>
      <c r="F342" s="546"/>
      <c r="G342" s="546"/>
      <c r="H342" s="546"/>
      <c r="I342" s="546"/>
      <c r="J342" s="546"/>
      <c r="K342" s="546"/>
      <c r="L342" s="546"/>
      <c r="M342" s="546"/>
      <c r="N342" s="546"/>
      <c r="O342" s="546"/>
      <c r="P342" s="546"/>
      <c r="Q342" s="546"/>
      <c r="R342" s="546"/>
      <c r="S342" s="546"/>
      <c r="T342" s="546"/>
      <c r="U342" s="546"/>
      <c r="V342" s="546"/>
      <c r="W342" s="546"/>
      <c r="X342" s="546"/>
      <c r="Y342" s="546"/>
      <c r="Z342" s="546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1"/>
      <c r="R343" s="551"/>
      <c r="S343" s="551"/>
      <c r="T343" s="552"/>
      <c r="U343" s="34"/>
      <c r="V343" s="34"/>
      <c r="W343" s="35" t="s">
        <v>69</v>
      </c>
      <c r="X343" s="541">
        <v>600</v>
      </c>
      <c r="Y343" s="542">
        <f t="shared" ref="Y343:Y349" si="31">IFERROR(IF(X343="",0,CEILING((X343/$H343),1)*$H343),"")</f>
        <v>600</v>
      </c>
      <c r="Z343" s="36">
        <f>IFERROR(IF(Y343=0,"",ROUNDUP(Y343/H343,0)*0.02175),"")</f>
        <v>0.86999999999999988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618.79999999999995</v>
      </c>
      <c r="BN343" s="64">
        <f t="shared" ref="BN343:BN349" si="33">IFERROR(Y343*I343/H343,"0")</f>
        <v>618.79999999999995</v>
      </c>
      <c r="BO343" s="64">
        <f t="shared" ref="BO343:BO349" si="34">IFERROR(1/J343*(X343/H343),"0")</f>
        <v>0.83333333333333326</v>
      </c>
      <c r="BP343" s="64">
        <f t="shared" ref="BP343:BP349" si="35">IFERROR(1/J343*(Y343/H343),"0")</f>
        <v>0.83333333333333326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1"/>
      <c r="R344" s="551"/>
      <c r="S344" s="551"/>
      <c r="T344" s="552"/>
      <c r="U344" s="34"/>
      <c r="V344" s="34"/>
      <c r="W344" s="35" t="s">
        <v>69</v>
      </c>
      <c r="X344" s="541">
        <v>480</v>
      </c>
      <c r="Y344" s="542">
        <f t="shared" si="31"/>
        <v>480</v>
      </c>
      <c r="Z344" s="36">
        <f>IFERROR(IF(Y344=0,"",ROUNDUP(Y344/H344,0)*0.02175),"")</f>
        <v>0.69599999999999995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495.04</v>
      </c>
      <c r="BN344" s="64">
        <f t="shared" si="33"/>
        <v>495.04</v>
      </c>
      <c r="BO344" s="64">
        <f t="shared" si="34"/>
        <v>0.66666666666666663</v>
      </c>
      <c r="BP344" s="64">
        <f t="shared" si="35"/>
        <v>0.66666666666666663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1"/>
      <c r="R345" s="551"/>
      <c r="S345" s="551"/>
      <c r="T345" s="552"/>
      <c r="U345" s="34"/>
      <c r="V345" s="34"/>
      <c r="W345" s="35" t="s">
        <v>69</v>
      </c>
      <c r="X345" s="541">
        <v>540</v>
      </c>
      <c r="Y345" s="542">
        <f t="shared" si="31"/>
        <v>540</v>
      </c>
      <c r="Z345" s="36">
        <f>IFERROR(IF(Y345=0,"",ROUNDUP(Y345/H345,0)*0.02175),"")</f>
        <v>0.78299999999999992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556.92000000000007</v>
      </c>
      <c r="BN345" s="64">
        <f t="shared" si="33"/>
        <v>556.92000000000007</v>
      </c>
      <c r="BO345" s="64">
        <f t="shared" si="34"/>
        <v>0.75</v>
      </c>
      <c r="BP345" s="64">
        <f t="shared" si="35"/>
        <v>0.75</v>
      </c>
    </row>
    <row r="346" spans="1:68" ht="27" hidden="1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55" t="s">
        <v>551</v>
      </c>
      <c r="Q346" s="551"/>
      <c r="R346" s="551"/>
      <c r="S346" s="551"/>
      <c r="T346" s="552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IFERROR(IF(Y346=0,"",ROUNDUP(Y346/H346,0)*0.02175),"")</f>
        <v/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1"/>
      <c r="R347" s="551"/>
      <c r="S347" s="551"/>
      <c r="T347" s="552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1"/>
      <c r="R348" s="551"/>
      <c r="S348" s="551"/>
      <c r="T348" s="552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1"/>
      <c r="R349" s="551"/>
      <c r="S349" s="551"/>
      <c r="T349" s="552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45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47"/>
      <c r="P350" s="554" t="s">
        <v>71</v>
      </c>
      <c r="Q350" s="555"/>
      <c r="R350" s="555"/>
      <c r="S350" s="555"/>
      <c r="T350" s="555"/>
      <c r="U350" s="555"/>
      <c r="V350" s="556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108</v>
      </c>
      <c r="Y350" s="543">
        <f>IFERROR(Y343/H343,"0")+IFERROR(Y344/H344,"0")+IFERROR(Y345/H345,"0")+IFERROR(Y346/H346,"0")+IFERROR(Y347/H347,"0")+IFERROR(Y348/H348,"0")+IFERROR(Y349/H349,"0")</f>
        <v>108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2.3489999999999998</v>
      </c>
      <c r="AA350" s="544"/>
      <c r="AB350" s="544"/>
      <c r="AC350" s="544"/>
    </row>
    <row r="351" spans="1:68" x14ac:dyDescent="0.2">
      <c r="A351" s="546"/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47"/>
      <c r="P351" s="554" t="s">
        <v>71</v>
      </c>
      <c r="Q351" s="555"/>
      <c r="R351" s="555"/>
      <c r="S351" s="555"/>
      <c r="T351" s="555"/>
      <c r="U351" s="555"/>
      <c r="V351" s="556"/>
      <c r="W351" s="37" t="s">
        <v>69</v>
      </c>
      <c r="X351" s="543">
        <f>IFERROR(SUM(X343:X349),"0")</f>
        <v>1620</v>
      </c>
      <c r="Y351" s="543">
        <f>IFERROR(SUM(Y343:Y349),"0")</f>
        <v>1620</v>
      </c>
      <c r="Z351" s="37"/>
      <c r="AA351" s="544"/>
      <c r="AB351" s="544"/>
      <c r="AC351" s="544"/>
    </row>
    <row r="352" spans="1:68" ht="14.25" hidden="1" customHeight="1" x14ac:dyDescent="0.25">
      <c r="A352" s="560" t="s">
        <v>135</v>
      </c>
      <c r="B352" s="546"/>
      <c r="C352" s="546"/>
      <c r="D352" s="546"/>
      <c r="E352" s="546"/>
      <c r="F352" s="546"/>
      <c r="G352" s="546"/>
      <c r="H352" s="546"/>
      <c r="I352" s="546"/>
      <c r="J352" s="546"/>
      <c r="K352" s="546"/>
      <c r="L352" s="546"/>
      <c r="M352" s="546"/>
      <c r="N352" s="546"/>
      <c r="O352" s="546"/>
      <c r="P352" s="546"/>
      <c r="Q352" s="546"/>
      <c r="R352" s="546"/>
      <c r="S352" s="546"/>
      <c r="T352" s="546"/>
      <c r="U352" s="546"/>
      <c r="V352" s="546"/>
      <c r="W352" s="546"/>
      <c r="X352" s="546"/>
      <c r="Y352" s="546"/>
      <c r="Z352" s="546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1"/>
      <c r="R353" s="551"/>
      <c r="S353" s="551"/>
      <c r="T353" s="552"/>
      <c r="U353" s="34"/>
      <c r="V353" s="34"/>
      <c r="W353" s="35" t="s">
        <v>69</v>
      </c>
      <c r="X353" s="541">
        <v>480</v>
      </c>
      <c r="Y353" s="542">
        <f>IFERROR(IF(X353="",0,CEILING((X353/$H353),1)*$H353),"")</f>
        <v>480</v>
      </c>
      <c r="Z353" s="36">
        <f>IFERROR(IF(Y353=0,"",ROUNDUP(Y353/H353,0)*0.02175),"")</f>
        <v>0.69599999999999995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495.04</v>
      </c>
      <c r="BN353" s="64">
        <f>IFERROR(Y353*I353/H353,"0")</f>
        <v>495.04</v>
      </c>
      <c r="BO353" s="64">
        <f>IFERROR(1/J353*(X353/H353),"0")</f>
        <v>0.66666666666666663</v>
      </c>
      <c r="BP353" s="64">
        <f>IFERROR(1/J353*(Y353/H353),"0")</f>
        <v>0.66666666666666663</v>
      </c>
    </row>
    <row r="354" spans="1:68" ht="16.5" hidden="1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1"/>
      <c r="R354" s="551"/>
      <c r="S354" s="551"/>
      <c r="T354" s="552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45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47"/>
      <c r="P355" s="554" t="s">
        <v>71</v>
      </c>
      <c r="Q355" s="555"/>
      <c r="R355" s="555"/>
      <c r="S355" s="555"/>
      <c r="T355" s="555"/>
      <c r="U355" s="555"/>
      <c r="V355" s="556"/>
      <c r="W355" s="37" t="s">
        <v>72</v>
      </c>
      <c r="X355" s="543">
        <f>IFERROR(X353/H353,"0")+IFERROR(X354/H354,"0")</f>
        <v>32</v>
      </c>
      <c r="Y355" s="543">
        <f>IFERROR(Y353/H353,"0")+IFERROR(Y354/H354,"0")</f>
        <v>32</v>
      </c>
      <c r="Z355" s="543">
        <f>IFERROR(IF(Z353="",0,Z353),"0")+IFERROR(IF(Z354="",0,Z354),"0")</f>
        <v>0.69599999999999995</v>
      </c>
      <c r="AA355" s="544"/>
      <c r="AB355" s="544"/>
      <c r="AC355" s="544"/>
    </row>
    <row r="356" spans="1:68" x14ac:dyDescent="0.2">
      <c r="A356" s="546"/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47"/>
      <c r="P356" s="554" t="s">
        <v>71</v>
      </c>
      <c r="Q356" s="555"/>
      <c r="R356" s="555"/>
      <c r="S356" s="555"/>
      <c r="T356" s="555"/>
      <c r="U356" s="555"/>
      <c r="V356" s="556"/>
      <c r="W356" s="37" t="s">
        <v>69</v>
      </c>
      <c r="X356" s="543">
        <f>IFERROR(SUM(X353:X354),"0")</f>
        <v>480</v>
      </c>
      <c r="Y356" s="543">
        <f>IFERROR(SUM(Y353:Y354),"0")</f>
        <v>480</v>
      </c>
      <c r="Z356" s="37"/>
      <c r="AA356" s="544"/>
      <c r="AB356" s="544"/>
      <c r="AC356" s="544"/>
    </row>
    <row r="357" spans="1:68" ht="14.25" hidden="1" customHeight="1" x14ac:dyDescent="0.25">
      <c r="A357" s="560" t="s">
        <v>73</v>
      </c>
      <c r="B357" s="546"/>
      <c r="C357" s="546"/>
      <c r="D357" s="546"/>
      <c r="E357" s="546"/>
      <c r="F357" s="546"/>
      <c r="G357" s="546"/>
      <c r="H357" s="546"/>
      <c r="I357" s="546"/>
      <c r="J357" s="546"/>
      <c r="K357" s="546"/>
      <c r="L357" s="546"/>
      <c r="M357" s="546"/>
      <c r="N357" s="546"/>
      <c r="O357" s="546"/>
      <c r="P357" s="546"/>
      <c r="Q357" s="546"/>
      <c r="R357" s="546"/>
      <c r="S357" s="546"/>
      <c r="T357" s="546"/>
      <c r="U357" s="546"/>
      <c r="V357" s="546"/>
      <c r="W357" s="546"/>
      <c r="X357" s="546"/>
      <c r="Y357" s="546"/>
      <c r="Z357" s="546"/>
      <c r="AA357" s="537"/>
      <c r="AB357" s="537"/>
      <c r="AC357" s="537"/>
    </row>
    <row r="358" spans="1:68" ht="27" hidden="1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8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1"/>
      <c r="R358" s="551"/>
      <c r="S358" s="551"/>
      <c r="T358" s="552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1"/>
      <c r="R359" s="551"/>
      <c r="S359" s="551"/>
      <c r="T359" s="552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45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47"/>
      <c r="P360" s="554" t="s">
        <v>71</v>
      </c>
      <c r="Q360" s="555"/>
      <c r="R360" s="555"/>
      <c r="S360" s="555"/>
      <c r="T360" s="555"/>
      <c r="U360" s="555"/>
      <c r="V360" s="556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46"/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47"/>
      <c r="P361" s="554" t="s">
        <v>71</v>
      </c>
      <c r="Q361" s="555"/>
      <c r="R361" s="555"/>
      <c r="S361" s="555"/>
      <c r="T361" s="555"/>
      <c r="U361" s="555"/>
      <c r="V361" s="556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60" t="s">
        <v>163</v>
      </c>
      <c r="B362" s="546"/>
      <c r="C362" s="546"/>
      <c r="D362" s="546"/>
      <c r="E362" s="546"/>
      <c r="F362" s="546"/>
      <c r="G362" s="546"/>
      <c r="H362" s="546"/>
      <c r="I362" s="546"/>
      <c r="J362" s="546"/>
      <c r="K362" s="546"/>
      <c r="L362" s="546"/>
      <c r="M362" s="546"/>
      <c r="N362" s="546"/>
      <c r="O362" s="546"/>
      <c r="P362" s="546"/>
      <c r="Q362" s="546"/>
      <c r="R362" s="546"/>
      <c r="S362" s="546"/>
      <c r="T362" s="546"/>
      <c r="U362" s="546"/>
      <c r="V362" s="546"/>
      <c r="W362" s="546"/>
      <c r="X362" s="546"/>
      <c r="Y362" s="546"/>
      <c r="Z362" s="546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1"/>
      <c r="R363" s="551"/>
      <c r="S363" s="551"/>
      <c r="T363" s="552"/>
      <c r="U363" s="34"/>
      <c r="V363" s="34"/>
      <c r="W363" s="35" t="s">
        <v>69</v>
      </c>
      <c r="X363" s="541">
        <v>144</v>
      </c>
      <c r="Y363" s="542">
        <f>IFERROR(IF(X363="",0,CEILING((X363/$H363),1)*$H363),"")</f>
        <v>144</v>
      </c>
      <c r="Z363" s="36">
        <f>IFERROR(IF(Y363=0,"",ROUNDUP(Y363/H363,0)*0.01898),"")</f>
        <v>0.30368000000000001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151.904</v>
      </c>
      <c r="BN363" s="64">
        <f>IFERROR(Y363*I363/H363,"0")</f>
        <v>151.904</v>
      </c>
      <c r="BO363" s="64">
        <f>IFERROR(1/J363*(X363/H363),"0")</f>
        <v>0.25</v>
      </c>
      <c r="BP363" s="64">
        <f>IFERROR(1/J363*(Y363/H363),"0")</f>
        <v>0.25</v>
      </c>
    </row>
    <row r="364" spans="1:68" x14ac:dyDescent="0.2">
      <c r="A364" s="545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47"/>
      <c r="P364" s="554" t="s">
        <v>71</v>
      </c>
      <c r="Q364" s="555"/>
      <c r="R364" s="555"/>
      <c r="S364" s="555"/>
      <c r="T364" s="555"/>
      <c r="U364" s="555"/>
      <c r="V364" s="556"/>
      <c r="W364" s="37" t="s">
        <v>72</v>
      </c>
      <c r="X364" s="543">
        <f>IFERROR(X363/H363,"0")</f>
        <v>16</v>
      </c>
      <c r="Y364" s="543">
        <f>IFERROR(Y363/H363,"0")</f>
        <v>16</v>
      </c>
      <c r="Z364" s="543">
        <f>IFERROR(IF(Z363="",0,Z363),"0")</f>
        <v>0.30368000000000001</v>
      </c>
      <c r="AA364" s="544"/>
      <c r="AB364" s="544"/>
      <c r="AC364" s="544"/>
    </row>
    <row r="365" spans="1:68" x14ac:dyDescent="0.2">
      <c r="A365" s="546"/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47"/>
      <c r="P365" s="554" t="s">
        <v>71</v>
      </c>
      <c r="Q365" s="555"/>
      <c r="R365" s="555"/>
      <c r="S365" s="555"/>
      <c r="T365" s="555"/>
      <c r="U365" s="555"/>
      <c r="V365" s="556"/>
      <c r="W365" s="37" t="s">
        <v>69</v>
      </c>
      <c r="X365" s="543">
        <f>IFERROR(SUM(X363:X363),"0")</f>
        <v>144</v>
      </c>
      <c r="Y365" s="543">
        <f>IFERROR(SUM(Y363:Y363),"0")</f>
        <v>144</v>
      </c>
      <c r="Z365" s="37"/>
      <c r="AA365" s="544"/>
      <c r="AB365" s="544"/>
      <c r="AC365" s="544"/>
    </row>
    <row r="366" spans="1:68" ht="16.5" hidden="1" customHeight="1" x14ac:dyDescent="0.25">
      <c r="A366" s="561" t="s">
        <v>574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6"/>
      <c r="AB366" s="536"/>
      <c r="AC366" s="536"/>
    </row>
    <row r="367" spans="1:68" ht="14.25" hidden="1" customHeight="1" x14ac:dyDescent="0.25">
      <c r="A367" s="560" t="s">
        <v>99</v>
      </c>
      <c r="B367" s="546"/>
      <c r="C367" s="546"/>
      <c r="D367" s="546"/>
      <c r="E367" s="546"/>
      <c r="F367" s="546"/>
      <c r="G367" s="546"/>
      <c r="H367" s="546"/>
      <c r="I367" s="546"/>
      <c r="J367" s="546"/>
      <c r="K367" s="546"/>
      <c r="L367" s="546"/>
      <c r="M367" s="546"/>
      <c r="N367" s="546"/>
      <c r="O367" s="546"/>
      <c r="P367" s="546"/>
      <c r="Q367" s="546"/>
      <c r="R367" s="546"/>
      <c r="S367" s="546"/>
      <c r="T367" s="546"/>
      <c r="U367" s="546"/>
      <c r="V367" s="546"/>
      <c r="W367" s="546"/>
      <c r="X367" s="546"/>
      <c r="Y367" s="546"/>
      <c r="Z367" s="546"/>
      <c r="AA367" s="537"/>
      <c r="AB367" s="537"/>
      <c r="AC367" s="537"/>
    </row>
    <row r="368" spans="1:68" ht="37.5" hidden="1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1"/>
      <c r="R368" s="551"/>
      <c r="S368" s="551"/>
      <c r="T368" s="552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1"/>
      <c r="R369" s="551"/>
      <c r="S369" s="551"/>
      <c r="T369" s="552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45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47"/>
      <c r="P370" s="554" t="s">
        <v>71</v>
      </c>
      <c r="Q370" s="555"/>
      <c r="R370" s="555"/>
      <c r="S370" s="555"/>
      <c r="T370" s="555"/>
      <c r="U370" s="555"/>
      <c r="V370" s="556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46"/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47"/>
      <c r="P371" s="554" t="s">
        <v>71</v>
      </c>
      <c r="Q371" s="555"/>
      <c r="R371" s="555"/>
      <c r="S371" s="555"/>
      <c r="T371" s="555"/>
      <c r="U371" s="555"/>
      <c r="V371" s="556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0" t="s">
        <v>64</v>
      </c>
      <c r="B372" s="546"/>
      <c r="C372" s="546"/>
      <c r="D372" s="546"/>
      <c r="E372" s="546"/>
      <c r="F372" s="546"/>
      <c r="G372" s="546"/>
      <c r="H372" s="546"/>
      <c r="I372" s="546"/>
      <c r="J372" s="546"/>
      <c r="K372" s="546"/>
      <c r="L372" s="546"/>
      <c r="M372" s="546"/>
      <c r="N372" s="546"/>
      <c r="O372" s="546"/>
      <c r="P372" s="546"/>
      <c r="Q372" s="546"/>
      <c r="R372" s="546"/>
      <c r="S372" s="546"/>
      <c r="T372" s="546"/>
      <c r="U372" s="546"/>
      <c r="V372" s="546"/>
      <c r="W372" s="546"/>
      <c r="X372" s="546"/>
      <c r="Y372" s="546"/>
      <c r="Z372" s="546"/>
      <c r="AA372" s="537"/>
      <c r="AB372" s="537"/>
      <c r="AC372" s="537"/>
    </row>
    <row r="373" spans="1:68" ht="27" hidden="1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1"/>
      <c r="R373" s="551"/>
      <c r="S373" s="551"/>
      <c r="T373" s="552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1"/>
      <c r="R374" s="551"/>
      <c r="S374" s="551"/>
      <c r="T374" s="552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45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47"/>
      <c r="P375" s="554" t="s">
        <v>71</v>
      </c>
      <c r="Q375" s="555"/>
      <c r="R375" s="555"/>
      <c r="S375" s="555"/>
      <c r="T375" s="555"/>
      <c r="U375" s="555"/>
      <c r="V375" s="556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46"/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47"/>
      <c r="P376" s="554" t="s">
        <v>71</v>
      </c>
      <c r="Q376" s="555"/>
      <c r="R376" s="555"/>
      <c r="S376" s="555"/>
      <c r="T376" s="555"/>
      <c r="U376" s="555"/>
      <c r="V376" s="556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0" t="s">
        <v>73</v>
      </c>
      <c r="B377" s="546"/>
      <c r="C377" s="546"/>
      <c r="D377" s="546"/>
      <c r="E377" s="546"/>
      <c r="F377" s="546"/>
      <c r="G377" s="546"/>
      <c r="H377" s="546"/>
      <c r="I377" s="546"/>
      <c r="J377" s="546"/>
      <c r="K377" s="546"/>
      <c r="L377" s="546"/>
      <c r="M377" s="546"/>
      <c r="N377" s="546"/>
      <c r="O377" s="546"/>
      <c r="P377" s="546"/>
      <c r="Q377" s="546"/>
      <c r="R377" s="546"/>
      <c r="S377" s="546"/>
      <c r="T377" s="546"/>
      <c r="U377" s="546"/>
      <c r="V377" s="546"/>
      <c r="W377" s="546"/>
      <c r="X377" s="546"/>
      <c r="Y377" s="546"/>
      <c r="Z377" s="546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1"/>
      <c r="R378" s="551"/>
      <c r="S378" s="551"/>
      <c r="T378" s="552"/>
      <c r="U378" s="34"/>
      <c r="V378" s="34"/>
      <c r="W378" s="35" t="s">
        <v>69</v>
      </c>
      <c r="X378" s="541">
        <v>432</v>
      </c>
      <c r="Y378" s="542">
        <f>IFERROR(IF(X378="",0,CEILING((X378/$H378),1)*$H378),"")</f>
        <v>432</v>
      </c>
      <c r="Z378" s="36">
        <f>IFERROR(IF(Y378=0,"",ROUNDUP(Y378/H378,0)*0.01898),"")</f>
        <v>0.91104000000000007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455.71199999999993</v>
      </c>
      <c r="BN378" s="64">
        <f>IFERROR(Y378*I378/H378,"0")</f>
        <v>455.71199999999993</v>
      </c>
      <c r="BO378" s="64">
        <f>IFERROR(1/J378*(X378/H378),"0")</f>
        <v>0.75</v>
      </c>
      <c r="BP378" s="64">
        <f>IFERROR(1/J378*(Y378/H378),"0")</f>
        <v>0.75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59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1"/>
      <c r="R379" s="551"/>
      <c r="S379" s="551"/>
      <c r="T379" s="552"/>
      <c r="U379" s="34"/>
      <c r="V379" s="34"/>
      <c r="W379" s="35" t="s">
        <v>69</v>
      </c>
      <c r="X379" s="541">
        <v>86.4</v>
      </c>
      <c r="Y379" s="542">
        <f>IFERROR(IF(X379="",0,CEILING((X379/$H379),1)*$H379),"")</f>
        <v>86.399999999999991</v>
      </c>
      <c r="Z379" s="36">
        <f>IFERROR(IF(Y379=0,"",ROUNDUP(Y379/H379,0)*0.00651),"")</f>
        <v>0.23436000000000001</v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95.904000000000011</v>
      </c>
      <c r="BN379" s="64">
        <f>IFERROR(Y379*I379/H379,"0")</f>
        <v>95.904000000000011</v>
      </c>
      <c r="BO379" s="64">
        <f>IFERROR(1/J379*(X379/H379),"0")</f>
        <v>0.19780219780219785</v>
      </c>
      <c r="BP379" s="64">
        <f>IFERROR(1/J379*(Y379/H379),"0")</f>
        <v>0.19780219780219782</v>
      </c>
    </row>
    <row r="380" spans="1:68" x14ac:dyDescent="0.2">
      <c r="A380" s="545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47"/>
      <c r="P380" s="554" t="s">
        <v>71</v>
      </c>
      <c r="Q380" s="555"/>
      <c r="R380" s="555"/>
      <c r="S380" s="555"/>
      <c r="T380" s="555"/>
      <c r="U380" s="555"/>
      <c r="V380" s="556"/>
      <c r="W380" s="37" t="s">
        <v>72</v>
      </c>
      <c r="X380" s="543">
        <f>IFERROR(X378/H378,"0")+IFERROR(X379/H379,"0")</f>
        <v>84</v>
      </c>
      <c r="Y380" s="543">
        <f>IFERROR(Y378/H378,"0")+IFERROR(Y379/H379,"0")</f>
        <v>84</v>
      </c>
      <c r="Z380" s="543">
        <f>IFERROR(IF(Z378="",0,Z378),"0")+IFERROR(IF(Z379="",0,Z379),"0")</f>
        <v>1.1454</v>
      </c>
      <c r="AA380" s="544"/>
      <c r="AB380" s="544"/>
      <c r="AC380" s="544"/>
    </row>
    <row r="381" spans="1:68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47"/>
      <c r="P381" s="554" t="s">
        <v>71</v>
      </c>
      <c r="Q381" s="555"/>
      <c r="R381" s="555"/>
      <c r="S381" s="555"/>
      <c r="T381" s="555"/>
      <c r="U381" s="555"/>
      <c r="V381" s="556"/>
      <c r="W381" s="37" t="s">
        <v>69</v>
      </c>
      <c r="X381" s="543">
        <f>IFERROR(SUM(X378:X379),"0")</f>
        <v>518.4</v>
      </c>
      <c r="Y381" s="543">
        <f>IFERROR(SUM(Y378:Y379),"0")</f>
        <v>518.4</v>
      </c>
      <c r="Z381" s="37"/>
      <c r="AA381" s="544"/>
      <c r="AB381" s="544"/>
      <c r="AC381" s="544"/>
    </row>
    <row r="382" spans="1:68" ht="27.75" hidden="1" customHeight="1" x14ac:dyDescent="0.2">
      <c r="A382" s="697" t="s">
        <v>590</v>
      </c>
      <c r="B382" s="698"/>
      <c r="C382" s="698"/>
      <c r="D382" s="698"/>
      <c r="E382" s="698"/>
      <c r="F382" s="698"/>
      <c r="G382" s="698"/>
      <c r="H382" s="698"/>
      <c r="I382" s="698"/>
      <c r="J382" s="698"/>
      <c r="K382" s="698"/>
      <c r="L382" s="698"/>
      <c r="M382" s="698"/>
      <c r="N382" s="698"/>
      <c r="O382" s="698"/>
      <c r="P382" s="698"/>
      <c r="Q382" s="698"/>
      <c r="R382" s="698"/>
      <c r="S382" s="698"/>
      <c r="T382" s="698"/>
      <c r="U382" s="698"/>
      <c r="V382" s="698"/>
      <c r="W382" s="698"/>
      <c r="X382" s="698"/>
      <c r="Y382" s="698"/>
      <c r="Z382" s="698"/>
      <c r="AA382" s="48"/>
      <c r="AB382" s="48"/>
      <c r="AC382" s="48"/>
    </row>
    <row r="383" spans="1:68" ht="16.5" hidden="1" customHeight="1" x14ac:dyDescent="0.25">
      <c r="A383" s="561" t="s">
        <v>591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hidden="1" customHeight="1" x14ac:dyDescent="0.25">
      <c r="A384" s="560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hidden="1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3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1"/>
      <c r="R385" s="551"/>
      <c r="S385" s="551"/>
      <c r="T385" s="552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8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1"/>
      <c r="R386" s="551"/>
      <c r="S386" s="551"/>
      <c r="T386" s="552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1"/>
      <c r="R387" s="551"/>
      <c r="S387" s="551"/>
      <c r="T387" s="552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1"/>
      <c r="R388" s="551"/>
      <c r="S388" s="551"/>
      <c r="T388" s="552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1"/>
      <c r="R389" s="551"/>
      <c r="S389" s="551"/>
      <c r="T389" s="552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1"/>
      <c r="R390" s="551"/>
      <c r="S390" s="551"/>
      <c r="T390" s="552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1"/>
      <c r="R391" s="551"/>
      <c r="S391" s="551"/>
      <c r="T391" s="552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1"/>
      <c r="R392" s="551"/>
      <c r="S392" s="551"/>
      <c r="T392" s="552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1"/>
      <c r="R393" s="551"/>
      <c r="S393" s="551"/>
      <c r="T393" s="552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45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47"/>
      <c r="P394" s="554" t="s">
        <v>71</v>
      </c>
      <c r="Q394" s="555"/>
      <c r="R394" s="555"/>
      <c r="S394" s="555"/>
      <c r="T394" s="555"/>
      <c r="U394" s="555"/>
      <c r="V394" s="556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47"/>
      <c r="P395" s="554" t="s">
        <v>71</v>
      </c>
      <c r="Q395" s="555"/>
      <c r="R395" s="555"/>
      <c r="S395" s="555"/>
      <c r="T395" s="555"/>
      <c r="U395" s="555"/>
      <c r="V395" s="556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0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hidden="1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5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1"/>
      <c r="R397" s="551"/>
      <c r="S397" s="551"/>
      <c r="T397" s="552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1"/>
      <c r="R398" s="551"/>
      <c r="S398" s="551"/>
      <c r="T398" s="552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45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47"/>
      <c r="P399" s="554" t="s">
        <v>71</v>
      </c>
      <c r="Q399" s="555"/>
      <c r="R399" s="555"/>
      <c r="S399" s="555"/>
      <c r="T399" s="555"/>
      <c r="U399" s="555"/>
      <c r="V399" s="556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47"/>
      <c r="P400" s="554" t="s">
        <v>71</v>
      </c>
      <c r="Q400" s="555"/>
      <c r="R400" s="555"/>
      <c r="S400" s="555"/>
      <c r="T400" s="555"/>
      <c r="U400" s="555"/>
      <c r="V400" s="556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1" t="s">
        <v>622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hidden="1" customHeight="1" x14ac:dyDescent="0.25">
      <c r="A402" s="560" t="s">
        <v>135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hidden="1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1"/>
      <c r="R403" s="551"/>
      <c r="S403" s="551"/>
      <c r="T403" s="552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45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47"/>
      <c r="P404" s="554" t="s">
        <v>71</v>
      </c>
      <c r="Q404" s="555"/>
      <c r="R404" s="555"/>
      <c r="S404" s="555"/>
      <c r="T404" s="555"/>
      <c r="U404" s="555"/>
      <c r="V404" s="556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47"/>
      <c r="P405" s="554" t="s">
        <v>71</v>
      </c>
      <c r="Q405" s="555"/>
      <c r="R405" s="555"/>
      <c r="S405" s="555"/>
      <c r="T405" s="555"/>
      <c r="U405" s="555"/>
      <c r="V405" s="556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0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hidden="1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1"/>
      <c r="R407" s="551"/>
      <c r="S407" s="551"/>
      <c r="T407" s="552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5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1"/>
      <c r="R408" s="551"/>
      <c r="S408" s="551"/>
      <c r="T408" s="552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4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1"/>
      <c r="R409" s="551"/>
      <c r="S409" s="551"/>
      <c r="T409" s="552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1"/>
      <c r="R410" s="551"/>
      <c r="S410" s="551"/>
      <c r="T410" s="552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45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47"/>
      <c r="P411" s="554" t="s">
        <v>71</v>
      </c>
      <c r="Q411" s="555"/>
      <c r="R411" s="555"/>
      <c r="S411" s="555"/>
      <c r="T411" s="555"/>
      <c r="U411" s="555"/>
      <c r="V411" s="556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47"/>
      <c r="P412" s="554" t="s">
        <v>71</v>
      </c>
      <c r="Q412" s="555"/>
      <c r="R412" s="555"/>
      <c r="S412" s="555"/>
      <c r="T412" s="555"/>
      <c r="U412" s="555"/>
      <c r="V412" s="556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1" t="s">
        <v>637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hidden="1" customHeight="1" x14ac:dyDescent="0.25">
      <c r="A414" s="560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hidden="1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79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1"/>
      <c r="R415" s="551"/>
      <c r="S415" s="551"/>
      <c r="T415" s="552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45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47"/>
      <c r="P416" s="554" t="s">
        <v>71</v>
      </c>
      <c r="Q416" s="555"/>
      <c r="R416" s="555"/>
      <c r="S416" s="555"/>
      <c r="T416" s="555"/>
      <c r="U416" s="555"/>
      <c r="V416" s="556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47"/>
      <c r="P417" s="554" t="s">
        <v>71</v>
      </c>
      <c r="Q417" s="555"/>
      <c r="R417" s="555"/>
      <c r="S417" s="555"/>
      <c r="T417" s="555"/>
      <c r="U417" s="555"/>
      <c r="V417" s="556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97" t="s">
        <v>641</v>
      </c>
      <c r="B418" s="698"/>
      <c r="C418" s="698"/>
      <c r="D418" s="698"/>
      <c r="E418" s="698"/>
      <c r="F418" s="698"/>
      <c r="G418" s="698"/>
      <c r="H418" s="698"/>
      <c r="I418" s="698"/>
      <c r="J418" s="698"/>
      <c r="K418" s="698"/>
      <c r="L418" s="698"/>
      <c r="M418" s="698"/>
      <c r="N418" s="698"/>
      <c r="O418" s="698"/>
      <c r="P418" s="698"/>
      <c r="Q418" s="698"/>
      <c r="R418" s="698"/>
      <c r="S418" s="698"/>
      <c r="T418" s="698"/>
      <c r="U418" s="698"/>
      <c r="V418" s="698"/>
      <c r="W418" s="698"/>
      <c r="X418" s="698"/>
      <c r="Y418" s="698"/>
      <c r="Z418" s="698"/>
      <c r="AA418" s="48"/>
      <c r="AB418" s="48"/>
      <c r="AC418" s="48"/>
    </row>
    <row r="419" spans="1:68" ht="16.5" hidden="1" customHeight="1" x14ac:dyDescent="0.25">
      <c r="A419" s="561" t="s">
        <v>641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hidden="1" customHeight="1" x14ac:dyDescent="0.25">
      <c r="A420" s="560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hidden="1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1"/>
      <c r="R421" s="551"/>
      <c r="S421" s="551"/>
      <c r="T421" s="552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5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1"/>
      <c r="R422" s="551"/>
      <c r="S422" s="551"/>
      <c r="T422" s="552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1"/>
      <c r="R423" s="551"/>
      <c r="S423" s="551"/>
      <c r="T423" s="552"/>
      <c r="U423" s="34"/>
      <c r="V423" s="34"/>
      <c r="W423" s="35" t="s">
        <v>69</v>
      </c>
      <c r="X423" s="541">
        <v>591.36</v>
      </c>
      <c r="Y423" s="542">
        <f t="shared" si="42"/>
        <v>591.36</v>
      </c>
      <c r="Z423" s="36">
        <f t="shared" si="43"/>
        <v>1.33952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630.55999999999995</v>
      </c>
      <c r="BN423" s="64">
        <f t="shared" si="45"/>
        <v>630.55999999999995</v>
      </c>
      <c r="BO423" s="64">
        <f t="shared" si="46"/>
        <v>1.0769230769230771</v>
      </c>
      <c r="BP423" s="64">
        <f t="shared" si="47"/>
        <v>1.0769230769230771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1"/>
      <c r="R424" s="551"/>
      <c r="S424" s="551"/>
      <c r="T424" s="552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1"/>
      <c r="R425" s="551"/>
      <c r="S425" s="551"/>
      <c r="T425" s="552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1"/>
      <c r="R426" s="551"/>
      <c r="S426" s="551"/>
      <c r="T426" s="552"/>
      <c r="U426" s="34"/>
      <c r="V426" s="34"/>
      <c r="W426" s="35" t="s">
        <v>69</v>
      </c>
      <c r="X426" s="541">
        <v>844.8</v>
      </c>
      <c r="Y426" s="542">
        <f t="shared" si="42"/>
        <v>844.80000000000007</v>
      </c>
      <c r="Z426" s="36">
        <f t="shared" si="43"/>
        <v>1.9136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900.79999999999984</v>
      </c>
      <c r="BN426" s="64">
        <f t="shared" si="45"/>
        <v>900.8</v>
      </c>
      <c r="BO426" s="64">
        <f t="shared" si="46"/>
        <v>1.5384615384615383</v>
      </c>
      <c r="BP426" s="64">
        <f t="shared" si="47"/>
        <v>1.5384615384615385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1"/>
      <c r="R427" s="551"/>
      <c r="S427" s="551"/>
      <c r="T427" s="552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1"/>
      <c r="R428" s="551"/>
      <c r="S428" s="551"/>
      <c r="T428" s="552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6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1"/>
      <c r="R429" s="551"/>
      <c r="S429" s="551"/>
      <c r="T429" s="552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1"/>
      <c r="R430" s="551"/>
      <c r="S430" s="551"/>
      <c r="T430" s="552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1"/>
      <c r="R431" s="551"/>
      <c r="S431" s="551"/>
      <c r="T431" s="552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45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47"/>
      <c r="P432" s="554" t="s">
        <v>71</v>
      </c>
      <c r="Q432" s="555"/>
      <c r="R432" s="555"/>
      <c r="S432" s="555"/>
      <c r="T432" s="555"/>
      <c r="U432" s="555"/>
      <c r="V432" s="556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272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272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3.25312</v>
      </c>
      <c r="AA432" s="544"/>
      <c r="AB432" s="544"/>
      <c r="AC432" s="544"/>
    </row>
    <row r="433" spans="1:68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47"/>
      <c r="P433" s="554" t="s">
        <v>71</v>
      </c>
      <c r="Q433" s="555"/>
      <c r="R433" s="555"/>
      <c r="S433" s="555"/>
      <c r="T433" s="555"/>
      <c r="U433" s="555"/>
      <c r="V433" s="556"/>
      <c r="W433" s="37" t="s">
        <v>69</v>
      </c>
      <c r="X433" s="543">
        <f>IFERROR(SUM(X421:X431),"0")</f>
        <v>1436.1599999999999</v>
      </c>
      <c r="Y433" s="543">
        <f>IFERROR(SUM(Y421:Y431),"0")</f>
        <v>1436.16</v>
      </c>
      <c r="Z433" s="37"/>
      <c r="AA433" s="544"/>
      <c r="AB433" s="544"/>
      <c r="AC433" s="544"/>
    </row>
    <row r="434" spans="1:68" ht="14.25" hidden="1" customHeight="1" x14ac:dyDescent="0.25">
      <c r="A434" s="560" t="s">
        <v>135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hidden="1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1"/>
      <c r="R435" s="551"/>
      <c r="S435" s="551"/>
      <c r="T435" s="552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1"/>
      <c r="R436" s="551"/>
      <c r="S436" s="551"/>
      <c r="T436" s="552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6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1"/>
      <c r="R437" s="551"/>
      <c r="S437" s="551"/>
      <c r="T437" s="552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45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47"/>
      <c r="P438" s="554" t="s">
        <v>71</v>
      </c>
      <c r="Q438" s="555"/>
      <c r="R438" s="555"/>
      <c r="S438" s="555"/>
      <c r="T438" s="555"/>
      <c r="U438" s="555"/>
      <c r="V438" s="556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47"/>
      <c r="P439" s="554" t="s">
        <v>71</v>
      </c>
      <c r="Q439" s="555"/>
      <c r="R439" s="555"/>
      <c r="S439" s="555"/>
      <c r="T439" s="555"/>
      <c r="U439" s="555"/>
      <c r="V439" s="556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0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1"/>
      <c r="R441" s="551"/>
      <c r="S441" s="551"/>
      <c r="T441" s="552"/>
      <c r="U441" s="34"/>
      <c r="V441" s="34"/>
      <c r="W441" s="35" t="s">
        <v>69</v>
      </c>
      <c r="X441" s="541">
        <v>337.92</v>
      </c>
      <c r="Y441" s="542">
        <f t="shared" ref="Y441:Y446" si="48">IFERROR(IF(X441="",0,CEILING((X441/$H441),1)*$H441),"")</f>
        <v>337.92</v>
      </c>
      <c r="Z441" s="36">
        <f>IFERROR(IF(Y441=0,"",ROUNDUP(Y441/H441,0)*0.01196),"")</f>
        <v>0.76544000000000001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360.32</v>
      </c>
      <c r="BN441" s="64">
        <f t="shared" ref="BN441:BN446" si="50">IFERROR(Y441*I441/H441,"0")</f>
        <v>360.32</v>
      </c>
      <c r="BO441" s="64">
        <f t="shared" ref="BO441:BO446" si="51">IFERROR(1/J441*(X441/H441),"0")</f>
        <v>0.61538461538461542</v>
      </c>
      <c r="BP441" s="64">
        <f t="shared" ref="BP441:BP446" si="52">IFERROR(1/J441*(Y441/H441),"0")</f>
        <v>0.61538461538461542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1"/>
      <c r="R442" s="551"/>
      <c r="S442" s="551"/>
      <c r="T442" s="552"/>
      <c r="U442" s="34"/>
      <c r="V442" s="34"/>
      <c r="W442" s="35" t="s">
        <v>69</v>
      </c>
      <c r="X442" s="541">
        <v>168.96</v>
      </c>
      <c r="Y442" s="542">
        <f t="shared" si="48"/>
        <v>168.96</v>
      </c>
      <c r="Z442" s="36">
        <f>IFERROR(IF(Y442=0,"",ROUNDUP(Y442/H442,0)*0.01196),"")</f>
        <v>0.38272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180.16</v>
      </c>
      <c r="BN442" s="64">
        <f t="shared" si="50"/>
        <v>180.16</v>
      </c>
      <c r="BO442" s="64">
        <f t="shared" si="51"/>
        <v>0.30769230769230771</v>
      </c>
      <c r="BP442" s="64">
        <f t="shared" si="52"/>
        <v>0.30769230769230771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0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1"/>
      <c r="R443" s="551"/>
      <c r="S443" s="551"/>
      <c r="T443" s="552"/>
      <c r="U443" s="34"/>
      <c r="V443" s="34"/>
      <c r="W443" s="35" t="s">
        <v>69</v>
      </c>
      <c r="X443" s="541">
        <v>253.44</v>
      </c>
      <c r="Y443" s="542">
        <f t="shared" si="48"/>
        <v>253.44</v>
      </c>
      <c r="Z443" s="36">
        <f>IFERROR(IF(Y443=0,"",ROUNDUP(Y443/H443,0)*0.01196),"")</f>
        <v>0.57408000000000003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270.23999999999995</v>
      </c>
      <c r="BN443" s="64">
        <f t="shared" si="50"/>
        <v>270.23999999999995</v>
      </c>
      <c r="BO443" s="64">
        <f t="shared" si="51"/>
        <v>0.46153846153846156</v>
      </c>
      <c r="BP443" s="64">
        <f t="shared" si="52"/>
        <v>0.46153846153846156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1"/>
      <c r="R444" s="551"/>
      <c r="S444" s="551"/>
      <c r="T444" s="552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1"/>
      <c r="R445" s="551"/>
      <c r="S445" s="551"/>
      <c r="T445" s="552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1"/>
      <c r="R446" s="551"/>
      <c r="S446" s="551"/>
      <c r="T446" s="552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45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47"/>
      <c r="P447" s="554" t="s">
        <v>71</v>
      </c>
      <c r="Q447" s="555"/>
      <c r="R447" s="555"/>
      <c r="S447" s="555"/>
      <c r="T447" s="555"/>
      <c r="U447" s="555"/>
      <c r="V447" s="556"/>
      <c r="W447" s="37" t="s">
        <v>72</v>
      </c>
      <c r="X447" s="543">
        <f>IFERROR(X441/H441,"0")+IFERROR(X442/H442,"0")+IFERROR(X443/H443,"0")+IFERROR(X444/H444,"0")+IFERROR(X445/H445,"0")+IFERROR(X446/H446,"0")</f>
        <v>144</v>
      </c>
      <c r="Y447" s="543">
        <f>IFERROR(Y441/H441,"0")+IFERROR(Y442/H442,"0")+IFERROR(Y443/H443,"0")+IFERROR(Y444/H444,"0")+IFERROR(Y445/H445,"0")+IFERROR(Y446/H446,"0")</f>
        <v>144</v>
      </c>
      <c r="Z447" s="543">
        <f>IFERROR(IF(Z441="",0,Z441),"0")+IFERROR(IF(Z442="",0,Z442),"0")+IFERROR(IF(Z443="",0,Z443),"0")+IFERROR(IF(Z444="",0,Z444),"0")+IFERROR(IF(Z445="",0,Z445),"0")+IFERROR(IF(Z446="",0,Z446),"0")</f>
        <v>1.7222400000000002</v>
      </c>
      <c r="AA447" s="544"/>
      <c r="AB447" s="544"/>
      <c r="AC447" s="544"/>
    </row>
    <row r="448" spans="1:68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47"/>
      <c r="P448" s="554" t="s">
        <v>71</v>
      </c>
      <c r="Q448" s="555"/>
      <c r="R448" s="555"/>
      <c r="S448" s="555"/>
      <c r="T448" s="555"/>
      <c r="U448" s="555"/>
      <c r="V448" s="556"/>
      <c r="W448" s="37" t="s">
        <v>69</v>
      </c>
      <c r="X448" s="543">
        <f>IFERROR(SUM(X441:X446),"0")</f>
        <v>760.31999999999994</v>
      </c>
      <c r="Y448" s="543">
        <f>IFERROR(SUM(Y441:Y446),"0")</f>
        <v>760.31999999999994</v>
      </c>
      <c r="Z448" s="37"/>
      <c r="AA448" s="544"/>
      <c r="AB448" s="544"/>
      <c r="AC448" s="544"/>
    </row>
    <row r="449" spans="1:68" ht="14.25" hidden="1" customHeight="1" x14ac:dyDescent="0.25">
      <c r="A449" s="560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hidden="1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1"/>
      <c r="R450" s="551"/>
      <c r="S450" s="551"/>
      <c r="T450" s="552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57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1"/>
      <c r="R451" s="551"/>
      <c r="S451" s="551"/>
      <c r="T451" s="552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1"/>
      <c r="R452" s="551"/>
      <c r="S452" s="551"/>
      <c r="T452" s="552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45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47"/>
      <c r="P453" s="554" t="s">
        <v>71</v>
      </c>
      <c r="Q453" s="555"/>
      <c r="R453" s="555"/>
      <c r="S453" s="555"/>
      <c r="T453" s="555"/>
      <c r="U453" s="555"/>
      <c r="V453" s="556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47"/>
      <c r="P454" s="554" t="s">
        <v>71</v>
      </c>
      <c r="Q454" s="555"/>
      <c r="R454" s="555"/>
      <c r="S454" s="555"/>
      <c r="T454" s="555"/>
      <c r="U454" s="555"/>
      <c r="V454" s="556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97" t="s">
        <v>701</v>
      </c>
      <c r="B455" s="698"/>
      <c r="C455" s="698"/>
      <c r="D455" s="698"/>
      <c r="E455" s="698"/>
      <c r="F455" s="698"/>
      <c r="G455" s="698"/>
      <c r="H455" s="698"/>
      <c r="I455" s="698"/>
      <c r="J455" s="698"/>
      <c r="K455" s="698"/>
      <c r="L455" s="698"/>
      <c r="M455" s="698"/>
      <c r="N455" s="698"/>
      <c r="O455" s="698"/>
      <c r="P455" s="698"/>
      <c r="Q455" s="698"/>
      <c r="R455" s="698"/>
      <c r="S455" s="698"/>
      <c r="T455" s="698"/>
      <c r="U455" s="698"/>
      <c r="V455" s="698"/>
      <c r="W455" s="698"/>
      <c r="X455" s="698"/>
      <c r="Y455" s="698"/>
      <c r="Z455" s="698"/>
      <c r="AA455" s="48"/>
      <c r="AB455" s="48"/>
      <c r="AC455" s="48"/>
    </row>
    <row r="456" spans="1:68" ht="16.5" hidden="1" customHeight="1" x14ac:dyDescent="0.25">
      <c r="A456" s="561" t="s">
        <v>701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hidden="1" customHeight="1" x14ac:dyDescent="0.25">
      <c r="A457" s="560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hidden="1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1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1"/>
      <c r="R458" s="551"/>
      <c r="S458" s="551"/>
      <c r="T458" s="552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1"/>
      <c r="R459" s="551"/>
      <c r="S459" s="551"/>
      <c r="T459" s="552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1"/>
      <c r="R460" s="551"/>
      <c r="S460" s="551"/>
      <c r="T460" s="552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1"/>
      <c r="R461" s="551"/>
      <c r="S461" s="551"/>
      <c r="T461" s="552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45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47"/>
      <c r="P462" s="554" t="s">
        <v>71</v>
      </c>
      <c r="Q462" s="555"/>
      <c r="R462" s="555"/>
      <c r="S462" s="555"/>
      <c r="T462" s="555"/>
      <c r="U462" s="555"/>
      <c r="V462" s="556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47"/>
      <c r="P463" s="554" t="s">
        <v>71</v>
      </c>
      <c r="Q463" s="555"/>
      <c r="R463" s="555"/>
      <c r="S463" s="555"/>
      <c r="T463" s="555"/>
      <c r="U463" s="555"/>
      <c r="V463" s="556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0" t="s">
        <v>135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hidden="1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1"/>
      <c r="R465" s="551"/>
      <c r="S465" s="551"/>
      <c r="T465" s="552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1"/>
      <c r="R466" s="551"/>
      <c r="S466" s="551"/>
      <c r="T466" s="552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8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1"/>
      <c r="R467" s="551"/>
      <c r="S467" s="551"/>
      <c r="T467" s="552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45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47"/>
      <c r="P468" s="554" t="s">
        <v>71</v>
      </c>
      <c r="Q468" s="555"/>
      <c r="R468" s="555"/>
      <c r="S468" s="555"/>
      <c r="T468" s="555"/>
      <c r="U468" s="555"/>
      <c r="V468" s="556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47"/>
      <c r="P469" s="554" t="s">
        <v>71</v>
      </c>
      <c r="Q469" s="555"/>
      <c r="R469" s="555"/>
      <c r="S469" s="555"/>
      <c r="T469" s="555"/>
      <c r="U469" s="555"/>
      <c r="V469" s="556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0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hidden="1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1"/>
      <c r="R471" s="551"/>
      <c r="S471" s="551"/>
      <c r="T471" s="552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6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1"/>
      <c r="R472" s="551"/>
      <c r="S472" s="551"/>
      <c r="T472" s="552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45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47"/>
      <c r="P473" s="554" t="s">
        <v>71</v>
      </c>
      <c r="Q473" s="555"/>
      <c r="R473" s="555"/>
      <c r="S473" s="555"/>
      <c r="T473" s="555"/>
      <c r="U473" s="555"/>
      <c r="V473" s="556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47"/>
      <c r="P474" s="554" t="s">
        <v>71</v>
      </c>
      <c r="Q474" s="555"/>
      <c r="R474" s="555"/>
      <c r="S474" s="555"/>
      <c r="T474" s="555"/>
      <c r="U474" s="555"/>
      <c r="V474" s="556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0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hidden="1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1"/>
      <c r="R476" s="551"/>
      <c r="S476" s="551"/>
      <c r="T476" s="552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45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47"/>
      <c r="P477" s="554" t="s">
        <v>71</v>
      </c>
      <c r="Q477" s="555"/>
      <c r="R477" s="555"/>
      <c r="S477" s="555"/>
      <c r="T477" s="555"/>
      <c r="U477" s="555"/>
      <c r="V477" s="556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47"/>
      <c r="P478" s="554" t="s">
        <v>71</v>
      </c>
      <c r="Q478" s="555"/>
      <c r="R478" s="555"/>
      <c r="S478" s="555"/>
      <c r="T478" s="555"/>
      <c r="U478" s="555"/>
      <c r="V478" s="556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0" t="s">
        <v>163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hidden="1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7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1"/>
      <c r="R480" s="551"/>
      <c r="S480" s="551"/>
      <c r="T480" s="552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6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1"/>
      <c r="R481" s="551"/>
      <c r="S481" s="551"/>
      <c r="T481" s="552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45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47"/>
      <c r="P482" s="554" t="s">
        <v>71</v>
      </c>
      <c r="Q482" s="555"/>
      <c r="R482" s="555"/>
      <c r="S482" s="555"/>
      <c r="T482" s="555"/>
      <c r="U482" s="555"/>
      <c r="V482" s="556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47"/>
      <c r="P483" s="554" t="s">
        <v>71</v>
      </c>
      <c r="Q483" s="555"/>
      <c r="R483" s="555"/>
      <c r="S483" s="555"/>
      <c r="T483" s="555"/>
      <c r="U483" s="555"/>
      <c r="V483" s="556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1" t="s">
        <v>737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hidden="1" customHeight="1" x14ac:dyDescent="0.25">
      <c r="A485" s="560" t="s">
        <v>135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hidden="1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1"/>
      <c r="R486" s="551"/>
      <c r="S486" s="551"/>
      <c r="T486" s="552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45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47"/>
      <c r="P487" s="554" t="s">
        <v>71</v>
      </c>
      <c r="Q487" s="555"/>
      <c r="R487" s="555"/>
      <c r="S487" s="555"/>
      <c r="T487" s="555"/>
      <c r="U487" s="555"/>
      <c r="V487" s="556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47"/>
      <c r="P488" s="554" t="s">
        <v>71</v>
      </c>
      <c r="Q488" s="555"/>
      <c r="R488" s="555"/>
      <c r="S488" s="555"/>
      <c r="T488" s="555"/>
      <c r="U488" s="555"/>
      <c r="V488" s="556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6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707"/>
      <c r="P489" s="680" t="s">
        <v>741</v>
      </c>
      <c r="Q489" s="592"/>
      <c r="R489" s="592"/>
      <c r="S489" s="592"/>
      <c r="T489" s="592"/>
      <c r="U489" s="592"/>
      <c r="V489" s="593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16172.279999999999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16172.28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707"/>
      <c r="P490" s="680" t="s">
        <v>742</v>
      </c>
      <c r="Q490" s="592"/>
      <c r="R490" s="592"/>
      <c r="S490" s="592"/>
      <c r="T490" s="592"/>
      <c r="U490" s="592"/>
      <c r="V490" s="593"/>
      <c r="W490" s="37" t="s">
        <v>69</v>
      </c>
      <c r="X490" s="543">
        <f>IFERROR(SUM(BM22:BM486),"0")</f>
        <v>17005.008000000002</v>
      </c>
      <c r="Y490" s="543">
        <f>IFERROR(SUM(BN22:BN486),"0")</f>
        <v>17005.008000000002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707"/>
      <c r="P491" s="680" t="s">
        <v>743</v>
      </c>
      <c r="Q491" s="592"/>
      <c r="R491" s="592"/>
      <c r="S491" s="592"/>
      <c r="T491" s="592"/>
      <c r="U491" s="592"/>
      <c r="V491" s="593"/>
      <c r="W491" s="37" t="s">
        <v>744</v>
      </c>
      <c r="X491" s="38">
        <f>ROUNDUP(SUM(BO22:BO486),0)</f>
        <v>28</v>
      </c>
      <c r="Y491" s="38">
        <f>ROUNDUP(SUM(BP22:BP486),0)</f>
        <v>28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707"/>
      <c r="P492" s="680" t="s">
        <v>745</v>
      </c>
      <c r="Q492" s="592"/>
      <c r="R492" s="592"/>
      <c r="S492" s="592"/>
      <c r="T492" s="592"/>
      <c r="U492" s="592"/>
      <c r="V492" s="593"/>
      <c r="W492" s="37" t="s">
        <v>69</v>
      </c>
      <c r="X492" s="543">
        <f>GrossWeightTotal+PalletQtyTotal*25</f>
        <v>17705.008000000002</v>
      </c>
      <c r="Y492" s="543">
        <f>GrossWeightTotalR+PalletQtyTotalR*25</f>
        <v>17705.008000000002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707"/>
      <c r="P493" s="680" t="s">
        <v>746</v>
      </c>
      <c r="Q493" s="592"/>
      <c r="R493" s="592"/>
      <c r="S493" s="592"/>
      <c r="T493" s="592"/>
      <c r="U493" s="592"/>
      <c r="V493" s="593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2714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2714</v>
      </c>
      <c r="Z493" s="37"/>
      <c r="AA493" s="544"/>
      <c r="AB493" s="544"/>
      <c r="AC493" s="544"/>
    </row>
    <row r="494" spans="1:68" ht="14.25" hidden="1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707"/>
      <c r="P494" s="680" t="s">
        <v>747</v>
      </c>
      <c r="Q494" s="592"/>
      <c r="R494" s="592"/>
      <c r="S494" s="592"/>
      <c r="T494" s="592"/>
      <c r="U494" s="592"/>
      <c r="V494" s="593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32.38532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604" t="s">
        <v>97</v>
      </c>
      <c r="D496" s="669"/>
      <c r="E496" s="669"/>
      <c r="F496" s="669"/>
      <c r="G496" s="669"/>
      <c r="H496" s="638"/>
      <c r="I496" s="604" t="s">
        <v>255</v>
      </c>
      <c r="J496" s="669"/>
      <c r="K496" s="669"/>
      <c r="L496" s="669"/>
      <c r="M496" s="669"/>
      <c r="N496" s="669"/>
      <c r="O496" s="669"/>
      <c r="P496" s="669"/>
      <c r="Q496" s="669"/>
      <c r="R496" s="638"/>
      <c r="S496" s="604" t="s">
        <v>538</v>
      </c>
      <c r="T496" s="638"/>
      <c r="U496" s="604" t="s">
        <v>590</v>
      </c>
      <c r="V496" s="669"/>
      <c r="W496" s="638"/>
      <c r="X496" s="538" t="s">
        <v>641</v>
      </c>
      <c r="Y496" s="604" t="s">
        <v>701</v>
      </c>
      <c r="Z496" s="638"/>
      <c r="AB496" s="52"/>
      <c r="AC496" s="52"/>
      <c r="AF496" s="539"/>
    </row>
    <row r="497" spans="1:32" ht="14.25" customHeight="1" thickTop="1" x14ac:dyDescent="0.2">
      <c r="A497" s="867" t="s">
        <v>750</v>
      </c>
      <c r="B497" s="604" t="s">
        <v>63</v>
      </c>
      <c r="C497" s="604" t="s">
        <v>98</v>
      </c>
      <c r="D497" s="604" t="s">
        <v>116</v>
      </c>
      <c r="E497" s="604" t="s">
        <v>170</v>
      </c>
      <c r="F497" s="604" t="s">
        <v>189</v>
      </c>
      <c r="G497" s="604" t="s">
        <v>220</v>
      </c>
      <c r="H497" s="604" t="s">
        <v>97</v>
      </c>
      <c r="I497" s="604" t="s">
        <v>256</v>
      </c>
      <c r="J497" s="604" t="s">
        <v>301</v>
      </c>
      <c r="K497" s="604" t="s">
        <v>361</v>
      </c>
      <c r="L497" s="604" t="s">
        <v>403</v>
      </c>
      <c r="M497" s="604" t="s">
        <v>419</v>
      </c>
      <c r="N497" s="539"/>
      <c r="O497" s="604" t="s">
        <v>430</v>
      </c>
      <c r="P497" s="604" t="s">
        <v>439</v>
      </c>
      <c r="Q497" s="604" t="s">
        <v>453</v>
      </c>
      <c r="R497" s="604" t="s">
        <v>528</v>
      </c>
      <c r="S497" s="604" t="s">
        <v>539</v>
      </c>
      <c r="T497" s="604" t="s">
        <v>574</v>
      </c>
      <c r="U497" s="604" t="s">
        <v>591</v>
      </c>
      <c r="V497" s="604" t="s">
        <v>622</v>
      </c>
      <c r="W497" s="604" t="s">
        <v>637</v>
      </c>
      <c r="X497" s="604" t="s">
        <v>641</v>
      </c>
      <c r="Y497" s="604" t="s">
        <v>701</v>
      </c>
      <c r="Z497" s="604" t="s">
        <v>737</v>
      </c>
      <c r="AB497" s="52"/>
      <c r="AC497" s="52"/>
      <c r="AF497" s="539"/>
    </row>
    <row r="498" spans="1:32" ht="13.5" customHeight="1" thickBot="1" x14ac:dyDescent="0.25">
      <c r="A498" s="868"/>
      <c r="B498" s="605"/>
      <c r="C498" s="605"/>
      <c r="D498" s="605"/>
      <c r="E498" s="605"/>
      <c r="F498" s="605"/>
      <c r="G498" s="605"/>
      <c r="H498" s="605"/>
      <c r="I498" s="605"/>
      <c r="J498" s="605"/>
      <c r="K498" s="605"/>
      <c r="L498" s="605"/>
      <c r="M498" s="605"/>
      <c r="N498" s="539"/>
      <c r="O498" s="605"/>
      <c r="P498" s="605"/>
      <c r="Q498" s="605"/>
      <c r="R498" s="605"/>
      <c r="S498" s="605"/>
      <c r="T498" s="605"/>
      <c r="U498" s="605"/>
      <c r="V498" s="605"/>
      <c r="W498" s="605"/>
      <c r="X498" s="605"/>
      <c r="Y498" s="605"/>
      <c r="Z498" s="605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1296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1934.4000000000003</v>
      </c>
      <c r="E499" s="46">
        <f>IFERROR(Y85*1,"0")+IFERROR(Y86*1,"0")+IFERROR(Y87*1,"0")+IFERROR(Y91*1,"0")+IFERROR(Y92*1,"0")+IFERROR(Y93*1,"0")+IFERROR(Y94*1,"0")</f>
        <v>1166.4000000000001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1566.0000000000002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1348.2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2971.2000000000003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345.59999999999997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456</v>
      </c>
      <c r="R499" s="46">
        <f>IFERROR(Y335*1,"0")+IFERROR(Y336*1,"0")+IFERROR(Y337*1,"0")</f>
        <v>129.6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2244</v>
      </c>
      <c r="T499" s="46">
        <f>IFERROR(Y368*1,"0")+IFERROR(Y369*1,"0")+IFERROR(Y373*1,"0")+IFERROR(Y374*1,"0")+IFERROR(Y378*1,"0")+IFERROR(Y379*1,"0")</f>
        <v>518.4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2196.48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42,40"/>
        <filter val="1 231,20"/>
        <filter val="1 296,00"/>
        <filter val="1 348,20"/>
        <filter val="1 436,16"/>
        <filter val="1 620,00"/>
        <filter val="1 740,00"/>
        <filter val="100,00"/>
        <filter val="104,00"/>
        <filter val="108,00"/>
        <filter val="120,00"/>
        <filter val="129,60"/>
        <filter val="144,00"/>
        <filter val="151,20"/>
        <filter val="16 172,28"/>
        <filter val="16,00"/>
        <filter val="168,96"/>
        <filter val="17 005,01"/>
        <filter val="17 705,01"/>
        <filter val="172,80"/>
        <filter val="187,20"/>
        <filter val="194,40"/>
        <filter val="2 714,00"/>
        <filter val="201,60"/>
        <filter val="226,80"/>
        <filter val="228,00"/>
        <filter val="24,00"/>
        <filter val="253,44"/>
        <filter val="272,00"/>
        <filter val="28"/>
        <filter val="288,00"/>
        <filter val="32,00"/>
        <filter val="324,00"/>
        <filter val="337,92"/>
        <filter val="345,60"/>
        <filter val="403,20"/>
        <filter val="432,00"/>
        <filter val="452,00"/>
        <filter val="456,00"/>
        <filter val="475,20"/>
        <filter val="480,00"/>
        <filter val="510,00"/>
        <filter val="518,40"/>
        <filter val="537,60"/>
        <filter val="540,00"/>
        <filter val="56,00"/>
        <filter val="567,00"/>
        <filter val="591,36"/>
        <filter val="600,00"/>
        <filter val="604,80"/>
        <filter val="615,60"/>
        <filter val="64,00"/>
        <filter val="67,20"/>
        <filter val="691,20"/>
        <filter val="760,32"/>
        <filter val="84,00"/>
        <filter val="844,80"/>
        <filter val="86,40"/>
        <filter val="88,00"/>
        <filter val="904,80"/>
        <filter val="950,40"/>
        <filter val="96,00"/>
        <filter val="97,20"/>
      </filters>
    </filterColumn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T497:T498"/>
    <mergeCell ref="V497:V498"/>
    <mergeCell ref="D458:E458"/>
    <mergeCell ref="A489:O494"/>
    <mergeCell ref="A497:A498"/>
    <mergeCell ref="A447:O448"/>
    <mergeCell ref="P493:V493"/>
    <mergeCell ref="D452:E452"/>
    <mergeCell ref="U497:U498"/>
    <mergeCell ref="I496:R496"/>
    <mergeCell ref="W497:W498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D196:E196"/>
    <mergeCell ref="A126:O127"/>
    <mergeCell ref="P23:V23"/>
    <mergeCell ref="P381:V381"/>
    <mergeCell ref="A206:Z206"/>
    <mergeCell ref="A262:Z262"/>
    <mergeCell ref="D54:E54"/>
    <mergeCell ref="P160:V160"/>
    <mergeCell ref="D191:E191"/>
    <mergeCell ref="P368:T368"/>
    <mergeCell ref="A362:Z362"/>
    <mergeCell ref="A245:Z245"/>
    <mergeCell ref="P43:V43"/>
    <mergeCell ref="A39:Z39"/>
    <mergeCell ref="P85:T85"/>
    <mergeCell ref="P60:T60"/>
    <mergeCell ref="D291:E291"/>
    <mergeCell ref="D170:E170"/>
    <mergeCell ref="P132:V132"/>
    <mergeCell ref="P72:T72"/>
    <mergeCell ref="D187:E187"/>
    <mergeCell ref="P231:T231"/>
    <mergeCell ref="P76:V76"/>
    <mergeCell ref="A128:Z128"/>
    <mergeCell ref="A268:O269"/>
    <mergeCell ref="A31:O32"/>
    <mergeCell ref="A320:Z320"/>
    <mergeCell ref="P351:V351"/>
    <mergeCell ref="A314:Z314"/>
    <mergeCell ref="P124:T124"/>
    <mergeCell ref="N17:N18"/>
    <mergeCell ref="D242:E242"/>
    <mergeCell ref="P199:T199"/>
    <mergeCell ref="F17:F18"/>
    <mergeCell ref="A23:O24"/>
    <mergeCell ref="P101:T101"/>
    <mergeCell ref="P63:V63"/>
    <mergeCell ref="D181:E181"/>
    <mergeCell ref="A221:O222"/>
    <mergeCell ref="P91:T91"/>
    <mergeCell ref="P26:T26"/>
    <mergeCell ref="P58:V58"/>
    <mergeCell ref="D55:E55"/>
    <mergeCell ref="D67:E67"/>
    <mergeCell ref="D30:E30"/>
    <mergeCell ref="B17:B18"/>
    <mergeCell ref="D258:E258"/>
    <mergeCell ref="P235:V235"/>
    <mergeCell ref="A270:Z270"/>
    <mergeCell ref="A477:O478"/>
    <mergeCell ref="A440:Z440"/>
    <mergeCell ref="A457:Z457"/>
    <mergeCell ref="D321:E321"/>
    <mergeCell ref="P465:T465"/>
    <mergeCell ref="D386:E386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P200:T200"/>
    <mergeCell ref="P134:T134"/>
    <mergeCell ref="P371:V371"/>
    <mergeCell ref="P421:T421"/>
    <mergeCell ref="A411:O412"/>
    <mergeCell ref="P408:T408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P181:T181"/>
    <mergeCell ref="D29:E29"/>
    <mergeCell ref="P344:T344"/>
    <mergeCell ref="P354:T354"/>
    <mergeCell ref="D226:E226"/>
    <mergeCell ref="D164:E164"/>
    <mergeCell ref="P62:T62"/>
    <mergeCell ref="P176:T176"/>
    <mergeCell ref="P247:T247"/>
    <mergeCell ref="P114:T114"/>
    <mergeCell ref="P41:T41"/>
    <mergeCell ref="A157:Z157"/>
    <mergeCell ref="D86:E86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A318:O319"/>
    <mergeCell ref="P47:V47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D389:E389"/>
    <mergeCell ref="A487:O488"/>
    <mergeCell ref="D266:E266"/>
    <mergeCell ref="P410:T410"/>
    <mergeCell ref="P385:T385"/>
    <mergeCell ref="A260:O261"/>
    <mergeCell ref="A484:Z484"/>
    <mergeCell ref="P312:V312"/>
    <mergeCell ref="A95:O96"/>
    <mergeCell ref="D92:E92"/>
    <mergeCell ref="A69:O70"/>
    <mergeCell ref="D106:E106"/>
    <mergeCell ref="D93:E93"/>
    <mergeCell ref="P143:V143"/>
    <mergeCell ref="B497:B498"/>
    <mergeCell ref="P492:V492"/>
    <mergeCell ref="A103:O104"/>
    <mergeCell ref="S496:T496"/>
    <mergeCell ref="P415:T415"/>
    <mergeCell ref="P286:V286"/>
    <mergeCell ref="L497:L498"/>
    <mergeCell ref="A289:Z289"/>
    <mergeCell ref="D430:E430"/>
    <mergeCell ref="P469:V469"/>
    <mergeCell ref="P486:T486"/>
    <mergeCell ref="D450:E450"/>
    <mergeCell ref="A455:Z455"/>
    <mergeCell ref="D385:E385"/>
    <mergeCell ref="P301:T301"/>
    <mergeCell ref="P483:V483"/>
    <mergeCell ref="P294:T294"/>
    <mergeCell ref="D293:E293"/>
    <mergeCell ref="A98:Z98"/>
    <mergeCell ref="A396:Z396"/>
    <mergeCell ref="P239:V239"/>
    <mergeCell ref="P324:T324"/>
    <mergeCell ref="A143:O144"/>
    <mergeCell ref="P338:V338"/>
    <mergeCell ref="P313:V313"/>
    <mergeCell ref="A138:Z138"/>
    <mergeCell ref="P321:T321"/>
    <mergeCell ref="P306:V306"/>
    <mergeCell ref="A338:O339"/>
    <mergeCell ref="P137:V137"/>
    <mergeCell ref="D247:E247"/>
    <mergeCell ref="D213:E213"/>
    <mergeCell ref="P107:T107"/>
    <mergeCell ref="D215:E215"/>
    <mergeCell ref="D298:E298"/>
    <mergeCell ref="A333:Z333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A305:O306"/>
    <mergeCell ref="P346:T346"/>
    <mergeCell ref="P446:T446"/>
    <mergeCell ref="P310:T310"/>
    <mergeCell ref="P264:T264"/>
    <mergeCell ref="A312:O313"/>
    <mergeCell ref="P353:T353"/>
    <mergeCell ref="D169:E169"/>
    <mergeCell ref="P204:V204"/>
    <mergeCell ref="P303:T303"/>
    <mergeCell ref="A357:Z357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125:T125"/>
    <mergeCell ref="D22:E22"/>
    <mergeCell ref="P34:T34"/>
    <mergeCell ref="A19:Z19"/>
    <mergeCell ref="P110:V110"/>
    <mergeCell ref="P208:T208"/>
    <mergeCell ref="D91:E91"/>
    <mergeCell ref="A116:O117"/>
    <mergeCell ref="D100:E100"/>
    <mergeCell ref="P113:T113"/>
    <mergeCell ref="P129:T129"/>
    <mergeCell ref="D28:E28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450:T450"/>
    <mergeCell ref="A325:O326"/>
    <mergeCell ref="A275:O276"/>
    <mergeCell ref="P219:T219"/>
    <mergeCell ref="D162:E162"/>
    <mergeCell ref="P246:T246"/>
    <mergeCell ref="P214:T214"/>
    <mergeCell ref="P432:V432"/>
    <mergeCell ref="D249:E249"/>
    <mergeCell ref="P436:T436"/>
    <mergeCell ref="A251:O252"/>
    <mergeCell ref="P292:T292"/>
    <mergeCell ref="A360:O361"/>
    <mergeCell ref="D257:E257"/>
    <mergeCell ref="P426:T426"/>
    <mergeCell ref="P255:T255"/>
    <mergeCell ref="A342:Z342"/>
    <mergeCell ref="P192:T192"/>
    <mergeCell ref="A382:Z382"/>
    <mergeCell ref="P428:T428"/>
    <mergeCell ref="P284:T284"/>
    <mergeCell ref="P250:T250"/>
    <mergeCell ref="P370:V370"/>
    <mergeCell ref="A394:O395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490:V490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P476:T476"/>
    <mergeCell ref="P171:T171"/>
    <mergeCell ref="A239:O240"/>
    <mergeCell ref="P242:T242"/>
    <mergeCell ref="D353:E353"/>
    <mergeCell ref="P407:T407"/>
    <mergeCell ref="A438:O439"/>
    <mergeCell ref="P433:V433"/>
    <mergeCell ref="P308:T308"/>
    <mergeCell ref="P427:T427"/>
    <mergeCell ref="D264:E264"/>
    <mergeCell ref="D391:E391"/>
    <mergeCell ref="D220:E220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D472:E472"/>
    <mergeCell ref="A352:Z352"/>
    <mergeCell ref="D410:E410"/>
    <mergeCell ref="A83:Z83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  <mergeCell ref="P404:V404"/>
    <mergeCell ref="A286:O287"/>
    <mergeCell ref="D273:E273"/>
    <mergeCell ref="P252:V252"/>
    <mergeCell ref="P68:T68"/>
    <mergeCell ref="P82:V82"/>
    <mergeCell ref="D330:E33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2025-11-20T06:06:47Z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