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BC4965B-EF1F-49E8-96B1-B89E69C01E5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BP378" i="1" s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P346" i="1" s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BP328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BP311" i="1" s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BP249" i="1" s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9" i="1"/>
  <c r="X188" i="1"/>
  <c r="BO187" i="1"/>
  <c r="BM187" i="1"/>
  <c r="Y187" i="1"/>
  <c r="BP187" i="1" s="1"/>
  <c r="P187" i="1"/>
  <c r="BO186" i="1"/>
  <c r="BM186" i="1"/>
  <c r="Y186" i="1"/>
  <c r="Y188" i="1" s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P165" i="1"/>
  <c r="BO164" i="1"/>
  <c r="BM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BP146" i="1" s="1"/>
  <c r="P146" i="1"/>
  <c r="X144" i="1"/>
  <c r="X143" i="1"/>
  <c r="BO142" i="1"/>
  <c r="BM142" i="1"/>
  <c r="Y142" i="1"/>
  <c r="BP142" i="1" s="1"/>
  <c r="P142" i="1"/>
  <c r="BO141" i="1"/>
  <c r="BM141" i="1"/>
  <c r="Y141" i="1"/>
  <c r="P141" i="1"/>
  <c r="BO140" i="1"/>
  <c r="BM140" i="1"/>
  <c r="Y140" i="1"/>
  <c r="Y143" i="1" s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Y126" i="1" s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Y96" i="1" s="1"/>
  <c r="P92" i="1"/>
  <c r="BP91" i="1"/>
  <c r="BO91" i="1"/>
  <c r="BN91" i="1"/>
  <c r="BM91" i="1"/>
  <c r="Z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N74" i="1"/>
  <c r="BM74" i="1"/>
  <c r="Z74" i="1"/>
  <c r="Y74" i="1"/>
  <c r="BP74" i="1" s="1"/>
  <c r="P74" i="1"/>
  <c r="BO73" i="1"/>
  <c r="BM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BP66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9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489" i="1" s="1"/>
  <c r="X23" i="1"/>
  <c r="BO22" i="1"/>
  <c r="X491" i="1" s="1"/>
  <c r="BM22" i="1"/>
  <c r="Y22" i="1"/>
  <c r="B499" i="1" s="1"/>
  <c r="P22" i="1"/>
  <c r="H10" i="1"/>
  <c r="A9" i="1"/>
  <c r="A10" i="1" s="1"/>
  <c r="D7" i="1"/>
  <c r="Q6" i="1"/>
  <c r="P2" i="1"/>
  <c r="Z29" i="1" l="1"/>
  <c r="BN29" i="1"/>
  <c r="Z56" i="1"/>
  <c r="BN56" i="1"/>
  <c r="Z68" i="1"/>
  <c r="BN68" i="1"/>
  <c r="Z87" i="1"/>
  <c r="BN87" i="1"/>
  <c r="Z100" i="1"/>
  <c r="BN100" i="1"/>
  <c r="Z114" i="1"/>
  <c r="BN114" i="1"/>
  <c r="Z142" i="1"/>
  <c r="BN142" i="1"/>
  <c r="Z146" i="1"/>
  <c r="BN146" i="1"/>
  <c r="Y149" i="1"/>
  <c r="Z166" i="1"/>
  <c r="BN166" i="1"/>
  <c r="Z187" i="1"/>
  <c r="BN187" i="1"/>
  <c r="Z201" i="1"/>
  <c r="BN201" i="1"/>
  <c r="Z211" i="1"/>
  <c r="BN211" i="1"/>
  <c r="Z212" i="1"/>
  <c r="BN212" i="1"/>
  <c r="Z229" i="1"/>
  <c r="BN229" i="1"/>
  <c r="Z249" i="1"/>
  <c r="BN249" i="1"/>
  <c r="Z267" i="1"/>
  <c r="BN267" i="1"/>
  <c r="Z299" i="1"/>
  <c r="BN299" i="1"/>
  <c r="Z311" i="1"/>
  <c r="BN311" i="1"/>
  <c r="Z328" i="1"/>
  <c r="BN328" i="1"/>
  <c r="Y338" i="1"/>
  <c r="Z345" i="1"/>
  <c r="BN345" i="1"/>
  <c r="Z346" i="1"/>
  <c r="BN346" i="1"/>
  <c r="Z378" i="1"/>
  <c r="BN378" i="1"/>
  <c r="Z392" i="1"/>
  <c r="BN392" i="1"/>
  <c r="Z424" i="1"/>
  <c r="BN424" i="1"/>
  <c r="Z436" i="1"/>
  <c r="BN436" i="1"/>
  <c r="Z450" i="1"/>
  <c r="BN450" i="1"/>
  <c r="Z472" i="1"/>
  <c r="BN472" i="1"/>
  <c r="BP85" i="1"/>
  <c r="BN85" i="1"/>
  <c r="Z85" i="1"/>
  <c r="BP102" i="1"/>
  <c r="BN102" i="1"/>
  <c r="Z102" i="1"/>
  <c r="BP125" i="1"/>
  <c r="BN125" i="1"/>
  <c r="Z125" i="1"/>
  <c r="BP129" i="1"/>
  <c r="BN129" i="1"/>
  <c r="Z129" i="1"/>
  <c r="BP148" i="1"/>
  <c r="BN148" i="1"/>
  <c r="Z148" i="1"/>
  <c r="BP168" i="1"/>
  <c r="BN168" i="1"/>
  <c r="Z168" i="1"/>
  <c r="Y193" i="1"/>
  <c r="BP191" i="1"/>
  <c r="BN191" i="1"/>
  <c r="Z191" i="1"/>
  <c r="BP203" i="1"/>
  <c r="BN203" i="1"/>
  <c r="Z203" i="1"/>
  <c r="BP214" i="1"/>
  <c r="BN214" i="1"/>
  <c r="Z214" i="1"/>
  <c r="BP231" i="1"/>
  <c r="BN231" i="1"/>
  <c r="Z231" i="1"/>
  <c r="BP256" i="1"/>
  <c r="BN256" i="1"/>
  <c r="Z256" i="1"/>
  <c r="BP272" i="1"/>
  <c r="BN272" i="1"/>
  <c r="Z272" i="1"/>
  <c r="Y286" i="1"/>
  <c r="BP284" i="1"/>
  <c r="BN284" i="1"/>
  <c r="Z284" i="1"/>
  <c r="X490" i="1"/>
  <c r="X492" i="1" s="1"/>
  <c r="X493" i="1"/>
  <c r="Z27" i="1"/>
  <c r="BN27" i="1"/>
  <c r="Z41" i="1"/>
  <c r="BN41" i="1"/>
  <c r="Y57" i="1"/>
  <c r="Z54" i="1"/>
  <c r="BN54" i="1"/>
  <c r="Z60" i="1"/>
  <c r="BN60" i="1"/>
  <c r="BP60" i="1"/>
  <c r="Y63" i="1"/>
  <c r="Z66" i="1"/>
  <c r="BN66" i="1"/>
  <c r="Z72" i="1"/>
  <c r="BN72" i="1"/>
  <c r="BP72" i="1"/>
  <c r="Y88" i="1"/>
  <c r="BP93" i="1"/>
  <c r="BN93" i="1"/>
  <c r="Z93" i="1"/>
  <c r="BP108" i="1"/>
  <c r="BN108" i="1"/>
  <c r="Z108" i="1"/>
  <c r="BP112" i="1"/>
  <c r="BN112" i="1"/>
  <c r="Z112" i="1"/>
  <c r="BP140" i="1"/>
  <c r="BN140" i="1"/>
  <c r="Z140" i="1"/>
  <c r="BP164" i="1"/>
  <c r="BN164" i="1"/>
  <c r="Z164" i="1"/>
  <c r="BP176" i="1"/>
  <c r="BN176" i="1"/>
  <c r="Z176" i="1"/>
  <c r="BP199" i="1"/>
  <c r="BN199" i="1"/>
  <c r="Z199" i="1"/>
  <c r="BP209" i="1"/>
  <c r="BN209" i="1"/>
  <c r="Z209" i="1"/>
  <c r="BP227" i="1"/>
  <c r="BN227" i="1"/>
  <c r="Z227" i="1"/>
  <c r="BP247" i="1"/>
  <c r="BN247" i="1"/>
  <c r="Z247" i="1"/>
  <c r="BP265" i="1"/>
  <c r="BN265" i="1"/>
  <c r="Z265" i="1"/>
  <c r="BP279" i="1"/>
  <c r="BN279" i="1"/>
  <c r="Z279" i="1"/>
  <c r="BP293" i="1"/>
  <c r="BN293" i="1"/>
  <c r="Z293" i="1"/>
  <c r="BP309" i="1"/>
  <c r="BN309" i="1"/>
  <c r="Z309" i="1"/>
  <c r="Y326" i="1"/>
  <c r="BP321" i="1"/>
  <c r="BN321" i="1"/>
  <c r="Z321" i="1"/>
  <c r="Y325" i="1"/>
  <c r="BP330" i="1"/>
  <c r="BN330" i="1"/>
  <c r="Z330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110" i="1"/>
  <c r="Y109" i="1"/>
  <c r="Y117" i="1"/>
  <c r="Y172" i="1"/>
  <c r="BP301" i="1"/>
  <c r="BN301" i="1"/>
  <c r="Z301" i="1"/>
  <c r="BP315" i="1"/>
  <c r="BN315" i="1"/>
  <c r="Z315" i="1"/>
  <c r="BP322" i="1"/>
  <c r="BN322" i="1"/>
  <c r="Z322" i="1"/>
  <c r="BP337" i="1"/>
  <c r="BN337" i="1"/>
  <c r="Z337" i="1"/>
  <c r="BP343" i="1"/>
  <c r="BN343" i="1"/>
  <c r="Z343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380" i="1"/>
  <c r="Y454" i="1"/>
  <c r="Y453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Z61" i="1"/>
  <c r="Z63" i="1" s="1"/>
  <c r="BN61" i="1"/>
  <c r="BP61" i="1"/>
  <c r="Y70" i="1"/>
  <c r="Y69" i="1"/>
  <c r="BP73" i="1"/>
  <c r="BN73" i="1"/>
  <c r="Z73" i="1"/>
  <c r="BP86" i="1"/>
  <c r="BN86" i="1"/>
  <c r="Z86" i="1"/>
  <c r="Z88" i="1" s="1"/>
  <c r="Y95" i="1"/>
  <c r="BP94" i="1"/>
  <c r="BN94" i="1"/>
  <c r="Z94" i="1"/>
  <c r="F499" i="1"/>
  <c r="Y104" i="1"/>
  <c r="BP99" i="1"/>
  <c r="BN99" i="1"/>
  <c r="Z99" i="1"/>
  <c r="Y103" i="1"/>
  <c r="Z109" i="1"/>
  <c r="BP107" i="1"/>
  <c r="BN107" i="1"/>
  <c r="Z107" i="1"/>
  <c r="Y116" i="1"/>
  <c r="BP115" i="1"/>
  <c r="BN115" i="1"/>
  <c r="Z115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Y131" i="1"/>
  <c r="BP141" i="1"/>
  <c r="BN141" i="1"/>
  <c r="Z141" i="1"/>
  <c r="Y150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BP167" i="1"/>
  <c r="BN167" i="1"/>
  <c r="Z167" i="1"/>
  <c r="BP171" i="1"/>
  <c r="BN171" i="1"/>
  <c r="Z171" i="1"/>
  <c r="Y173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Y275" i="1"/>
  <c r="BP329" i="1"/>
  <c r="BN329" i="1"/>
  <c r="Z329" i="1"/>
  <c r="Y331" i="1"/>
  <c r="D499" i="1"/>
  <c r="H9" i="1"/>
  <c r="Y24" i="1"/>
  <c r="Y44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92" i="1"/>
  <c r="BN92" i="1"/>
  <c r="Z92" i="1"/>
  <c r="Z95" i="1" s="1"/>
  <c r="BP101" i="1"/>
  <c r="BN101" i="1"/>
  <c r="Z101" i="1"/>
  <c r="BP113" i="1"/>
  <c r="BN113" i="1"/>
  <c r="Z113" i="1"/>
  <c r="Z116" i="1" s="1"/>
  <c r="BP130" i="1"/>
  <c r="BN130" i="1"/>
  <c r="Z130" i="1"/>
  <c r="Y132" i="1"/>
  <c r="Y137" i="1"/>
  <c r="BP134" i="1"/>
  <c r="BN134" i="1"/>
  <c r="Z134" i="1"/>
  <c r="Z136" i="1" s="1"/>
  <c r="BP147" i="1"/>
  <c r="BN147" i="1"/>
  <c r="Z147" i="1"/>
  <c r="Z149" i="1" s="1"/>
  <c r="BP165" i="1"/>
  <c r="BN165" i="1"/>
  <c r="Z165" i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BP198" i="1"/>
  <c r="BN198" i="1"/>
  <c r="Z198" i="1"/>
  <c r="BP202" i="1"/>
  <c r="BN202" i="1"/>
  <c r="Z202" i="1"/>
  <c r="BP210" i="1"/>
  <c r="BN210" i="1"/>
  <c r="Z210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Z318" i="1" s="1"/>
  <c r="Y318" i="1"/>
  <c r="BP344" i="1"/>
  <c r="BN344" i="1"/>
  <c r="Z344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Y319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325" i="1" l="1"/>
  <c r="Z468" i="1"/>
  <c r="Z188" i="1"/>
  <c r="Z131" i="1"/>
  <c r="Z462" i="1"/>
  <c r="Z235" i="1"/>
  <c r="Z172" i="1"/>
  <c r="Z438" i="1"/>
  <c r="Z447" i="1"/>
  <c r="Z411" i="1"/>
  <c r="Z305" i="1"/>
  <c r="Z295" i="1"/>
  <c r="Z281" i="1"/>
  <c r="Z350" i="1"/>
  <c r="Z216" i="1"/>
  <c r="Z331" i="1"/>
  <c r="Z143" i="1"/>
  <c r="Z394" i="1"/>
  <c r="Y489" i="1"/>
  <c r="Z204" i="1"/>
  <c r="Z178" i="1"/>
  <c r="Z103" i="1"/>
  <c r="Z57" i="1"/>
  <c r="Z43" i="1"/>
  <c r="Z31" i="1"/>
  <c r="Y491" i="1"/>
  <c r="Z432" i="1"/>
  <c r="Z312" i="1"/>
  <c r="Z268" i="1"/>
  <c r="Z260" i="1"/>
  <c r="Z251" i="1"/>
  <c r="Z76" i="1"/>
  <c r="Z494" i="1" s="1"/>
  <c r="Y493" i="1"/>
  <c r="Y490" i="1"/>
  <c r="Y492" i="1" s="1"/>
</calcChain>
</file>

<file path=xl/sharedStrings.xml><?xml version="1.0" encoding="utf-8"?>
<sst xmlns="http://schemas.openxmlformats.org/spreadsheetml/2006/main" count="2259" uniqueCount="768">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</sst>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91" sqref="AA91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767</v>
      </c>
      <c r="I5" s="783"/>
      <c r="J5" s="783"/>
      <c r="K5" s="783"/>
      <c r="L5" s="783"/>
      <c r="M5" s="633"/>
      <c r="N5" s="58"/>
      <c r="P5" s="24" t="s">
        <v>10</v>
      </c>
      <c r="Q5" s="813">
        <v>45983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Суббота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0.54166666666666663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hidden="1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hidden="1" customHeight="1" x14ac:dyDescent="0.25">
      <c r="A59" s="565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6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hidden="1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64.8</v>
      </c>
      <c r="Y91" s="542">
        <f>IFERROR(IF(X91="",0,CEILING((X91/$H91),1)*$H91),"")</f>
        <v>64.8</v>
      </c>
      <c r="Z91" s="36">
        <f>IFERROR(IF(Y91=0,"",ROUNDUP(Y91/H91,0)*0.01898),"")</f>
        <v>0.15184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68.751999999999995</v>
      </c>
      <c r="BN91" s="64">
        <f>IFERROR(Y91*I91/H91,"0")</f>
        <v>68.751999999999995</v>
      </c>
      <c r="BO91" s="64">
        <f>IFERROR(1/J91*(X91/H91),"0")</f>
        <v>0.125</v>
      </c>
      <c r="BP91" s="64">
        <f>IFERROR(1/J91*(Y91/H91),"0")</f>
        <v>0.125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8</v>
      </c>
      <c r="Y95" s="543">
        <f>IFERROR(Y91/H91,"0")+IFERROR(Y92/H92,"0")+IFERROR(Y93/H93,"0")+IFERROR(Y94/H94,"0")</f>
        <v>8</v>
      </c>
      <c r="Z95" s="543">
        <f>IFERROR(IF(Z91="",0,Z91),"0")+IFERROR(IF(Z92="",0,Z92),"0")+IFERROR(IF(Z93="",0,Z93),"0")+IFERROR(IF(Z94="",0,Z94),"0")</f>
        <v>0.15184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64.8</v>
      </c>
      <c r="Y96" s="543">
        <f>IFERROR(SUM(Y91:Y94),"0")</f>
        <v>64.8</v>
      </c>
      <c r="Z96" s="37"/>
      <c r="AA96" s="544"/>
      <c r="AB96" s="544"/>
      <c r="AC96" s="544"/>
    </row>
    <row r="97" spans="1:68" ht="16.5" hidden="1" customHeight="1" x14ac:dyDescent="0.25">
      <c r="A97" s="566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86.4</v>
      </c>
      <c r="Y99" s="542">
        <f>IFERROR(IF(X99="",0,CEILING((X99/$H99),1)*$H99),"")</f>
        <v>86.4</v>
      </c>
      <c r="Z99" s="36">
        <f>IFERROR(IF(Y99=0,"",ROUNDUP(Y99/H99,0)*0.01898),"")</f>
        <v>0.15184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89.68</v>
      </c>
      <c r="BN99" s="64">
        <f>IFERROR(Y99*I99/H99,"0")</f>
        <v>89.68</v>
      </c>
      <c r="BO99" s="64">
        <f>IFERROR(1/J99*(X99/H99),"0")</f>
        <v>0.125</v>
      </c>
      <c r="BP99" s="64">
        <f>IFERROR(1/J99*(Y99/H99),"0")</f>
        <v>0.125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8</v>
      </c>
      <c r="Y103" s="543">
        <f>IFERROR(Y99/H99,"0")+IFERROR(Y100/H100,"0")+IFERROR(Y101/H101,"0")+IFERROR(Y102/H102,"0")</f>
        <v>8</v>
      </c>
      <c r="Z103" s="543">
        <f>IFERROR(IF(Z99="",0,Z99),"0")+IFERROR(IF(Z100="",0,Z100),"0")+IFERROR(IF(Z101="",0,Z101),"0")+IFERROR(IF(Z102="",0,Z102),"0")</f>
        <v>0.15184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86.4</v>
      </c>
      <c r="Y104" s="543">
        <f>IFERROR(SUM(Y99:Y102),"0")</f>
        <v>86.4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64.8</v>
      </c>
      <c r="Y112" s="542">
        <f>IFERROR(IF(X112="",0,CEILING((X112/$H112),1)*$H112),"")</f>
        <v>64.8</v>
      </c>
      <c r="Z112" s="36">
        <f>IFERROR(IF(Y112=0,"",ROUNDUP(Y112/H112,0)*0.01898),"")</f>
        <v>0.15184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68.703999999999994</v>
      </c>
      <c r="BN112" s="64">
        <f>IFERROR(Y112*I112/H112,"0")</f>
        <v>68.703999999999994</v>
      </c>
      <c r="BO112" s="64">
        <f>IFERROR(1/J112*(X112/H112),"0")</f>
        <v>0.125</v>
      </c>
      <c r="BP112" s="64">
        <f>IFERROR(1/J112*(Y112/H112),"0")</f>
        <v>0.125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8</v>
      </c>
      <c r="Y116" s="543">
        <f>IFERROR(Y112/H112,"0")+IFERROR(Y113/H113,"0")+IFERROR(Y114/H114,"0")+IFERROR(Y115/H115,"0")</f>
        <v>8</v>
      </c>
      <c r="Z116" s="543">
        <f>IFERROR(IF(Z112="",0,Z112),"0")+IFERROR(IF(Z113="",0,Z113),"0")+IFERROR(IF(Z114="",0,Z114),"0")+IFERROR(IF(Z115="",0,Z115),"0")</f>
        <v>0.15184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64.8</v>
      </c>
      <c r="Y117" s="543">
        <f>IFERROR(SUM(Y112:Y115),"0")</f>
        <v>64.8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6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255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4"/>
      <c r="AB172" s="544"/>
      <c r="AC172" s="544"/>
    </row>
    <row r="173" spans="1:68" hidden="1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0</v>
      </c>
      <c r="Y173" s="543">
        <f>IFERROR(SUM(Y162:Y171),"0")</f>
        <v>0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66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206</v>
      </c>
      <c r="M192" s="33" t="s">
        <v>104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hidden="1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112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112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0</v>
      </c>
      <c r="Y204" s="543">
        <f>IFERROR(Y196/H196,"0")+IFERROR(Y197/H197,"0")+IFERROR(Y198/H198,"0")+IFERROR(Y199/H199,"0")+IFERROR(Y200/H200,"0")+IFERROR(Y201/H201,"0")+IFERROR(Y202/H202,"0")+IFERROR(Y203/H203,"0")</f>
        <v>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4"/>
      <c r="AB204" s="544"/>
      <c r="AC204" s="544"/>
    </row>
    <row r="205" spans="1:68" hidden="1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0</v>
      </c>
      <c r="Y205" s="543">
        <f>IFERROR(SUM(Y196:Y203),"0")</f>
        <v>0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hidden="1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206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206</v>
      </c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206</v>
      </c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idden="1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0</v>
      </c>
      <c r="Y216" s="543">
        <f>IFERROR(Y207/H207,"0")+IFERROR(Y208/H208,"0")+IFERROR(Y209/H209,"0")+IFERROR(Y210/H210,"0")+IFERROR(Y211/H211,"0")+IFERROR(Y212/H212,"0")+IFERROR(Y213/H213,"0")+IFERROR(Y214/H214,"0")+IFERROR(Y215/H215,"0")</f>
        <v>0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4"/>
      <c r="AB216" s="544"/>
      <c r="AC216" s="544"/>
    </row>
    <row r="217" spans="1:68" hidden="1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0</v>
      </c>
      <c r="Y217" s="543">
        <f>IFERROR(SUM(Y207:Y215),"0")</f>
        <v>0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206</v>
      </c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hidden="1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hidden="1" customHeight="1" x14ac:dyDescent="0.25">
      <c r="A223" s="566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hidden="1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hidden="1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hidden="1" customHeight="1" x14ac:dyDescent="0.25">
      <c r="A253" s="566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206</v>
      </c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206</v>
      </c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hidden="1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hidden="1" customHeight="1" x14ac:dyDescent="0.25">
      <c r="A277" s="566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70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hidden="1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hidden="1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idden="1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hidden="1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hidden="1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67.2</v>
      </c>
      <c r="Y315" s="542">
        <f>IFERROR(IF(X315="",0,CEILING((X315/$H315),1)*$H315),"")</f>
        <v>67.2</v>
      </c>
      <c r="Z315" s="36">
        <f>IFERROR(IF(Y315=0,"",ROUNDUP(Y315/H315,0)*0.01898),"")</f>
        <v>0.15184</v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71.152000000000001</v>
      </c>
      <c r="BN315" s="64">
        <f>IFERROR(Y315*I315/H315,"0")</f>
        <v>71.152000000000001</v>
      </c>
      <c r="BO315" s="64">
        <f>IFERROR(1/J315*(X315/H315),"0")</f>
        <v>0.125</v>
      </c>
      <c r="BP315" s="64">
        <f>IFERROR(1/J315*(Y315/H315),"0")</f>
        <v>0.125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62.4</v>
      </c>
      <c r="Y316" s="542">
        <f>IFERROR(IF(X316="",0,CEILING((X316/$H316),1)*$H316),"")</f>
        <v>62.4</v>
      </c>
      <c r="Z316" s="36">
        <f>IFERROR(IF(Y316=0,"",ROUNDUP(Y316/H316,0)*0.01898),"")</f>
        <v>0.15184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66.352000000000004</v>
      </c>
      <c r="BN316" s="64">
        <f>IFERROR(Y316*I316/H316,"0")</f>
        <v>66.352000000000004</v>
      </c>
      <c r="BO316" s="64">
        <f>IFERROR(1/J316*(X316/H316),"0")</f>
        <v>0.125</v>
      </c>
      <c r="BP316" s="64">
        <f>IFERROR(1/J316*(Y316/H316),"0")</f>
        <v>0.125</v>
      </c>
    </row>
    <row r="317" spans="1:68" ht="16.5" hidden="1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16</v>
      </c>
      <c r="Y318" s="543">
        <f>IFERROR(Y315/H315,"0")+IFERROR(Y316/H316,"0")+IFERROR(Y317/H317,"0")</f>
        <v>16</v>
      </c>
      <c r="Z318" s="543">
        <f>IFERROR(IF(Z315="",0,Z315),"0")+IFERROR(IF(Z316="",0,Z316),"0")+IFERROR(IF(Z317="",0,Z317),"0")</f>
        <v>0.30368000000000001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129.6</v>
      </c>
      <c r="Y319" s="543">
        <f>IFERROR(SUM(Y315:Y317),"0")</f>
        <v>129.6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hidden="1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62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206</v>
      </c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65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hidden="1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66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64.8</v>
      </c>
      <c r="Y335" s="542">
        <f>IFERROR(IF(X335="",0,CEILING((X335/$H335),1)*$H335),"")</f>
        <v>64.8</v>
      </c>
      <c r="Z335" s="36">
        <f>IFERROR(IF(Y335=0,"",ROUNDUP(Y335/H335,0)*0.01898),"")</f>
        <v>0.15184</v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68.751999999999995</v>
      </c>
      <c r="BN335" s="64">
        <f>IFERROR(Y335*I335/H335,"0")</f>
        <v>68.751999999999995</v>
      </c>
      <c r="BO335" s="64">
        <f>IFERROR(1/J335*(X335/H335),"0")</f>
        <v>0.125</v>
      </c>
      <c r="BP335" s="64">
        <f>IFERROR(1/J335*(Y335/H335),"0")</f>
        <v>0.125</v>
      </c>
    </row>
    <row r="336" spans="1:68" ht="27" hidden="1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8</v>
      </c>
      <c r="Y338" s="543">
        <f>IFERROR(Y335/H335,"0")+IFERROR(Y336/H336,"0")+IFERROR(Y337/H337,"0")</f>
        <v>8</v>
      </c>
      <c r="Z338" s="543">
        <f>IFERROR(IF(Z335="",0,Z335),"0")+IFERROR(IF(Z336="",0,Z336),"0")+IFERROR(IF(Z337="",0,Z337),"0")</f>
        <v>0.15184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64.8</v>
      </c>
      <c r="Y339" s="543">
        <f>IFERROR(SUM(Y335:Y337),"0")</f>
        <v>64.8</v>
      </c>
      <c r="Z339" s="37"/>
      <c r="AA339" s="544"/>
      <c r="AB339" s="544"/>
      <c r="AC339" s="544"/>
    </row>
    <row r="340" spans="1:68" ht="27.75" hidden="1" customHeight="1" x14ac:dyDescent="0.2">
      <c r="A340" s="667" t="s">
        <v>538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hidden="1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ref="Y343:Y349" si="31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0</v>
      </c>
      <c r="BN343" s="64">
        <f t="shared" ref="BN343:BN349" si="33">IFERROR(Y343*I343/H343,"0")</f>
        <v>0</v>
      </c>
      <c r="BO343" s="64">
        <f t="shared" ref="BO343:BO349" si="34">IFERROR(1/J343*(X343/H343),"0")</f>
        <v>0</v>
      </c>
      <c r="BP343" s="64">
        <f t="shared" ref="BP343:BP349" si="35">IFERROR(1/J343*(Y343/H343),"0")</f>
        <v>0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120</v>
      </c>
      <c r="Y344" s="542">
        <f t="shared" si="31"/>
        <v>120</v>
      </c>
      <c r="Z344" s="36">
        <f>IFERROR(IF(Y344=0,"",ROUNDUP(Y344/H344,0)*0.02175),"")</f>
        <v>0.17399999999999999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123.76</v>
      </c>
      <c r="BN344" s="64">
        <f t="shared" si="33"/>
        <v>123.76</v>
      </c>
      <c r="BO344" s="64">
        <f t="shared" si="34"/>
        <v>0.16666666666666666</v>
      </c>
      <c r="BP344" s="64">
        <f t="shared" si="35"/>
        <v>0.16666666666666666</v>
      </c>
    </row>
    <row r="345" spans="1:68" ht="37.5" hidden="1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IFERROR(IF(Y346=0,"",ROUNDUP(Y346/H346,0)*0.02175),"")</f>
        <v/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8</v>
      </c>
      <c r="Y350" s="543">
        <f>IFERROR(Y343/H343,"0")+IFERROR(Y344/H344,"0")+IFERROR(Y345/H345,"0")+IFERROR(Y346/H346,"0")+IFERROR(Y347/H347,"0")+IFERROR(Y348/H348,"0")+IFERROR(Y349/H349,"0")</f>
        <v>8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0.17399999999999999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120</v>
      </c>
      <c r="Y351" s="543">
        <f>IFERROR(SUM(Y343:Y349),"0")</f>
        <v>120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120</v>
      </c>
      <c r="Y353" s="542">
        <f>IFERROR(IF(X353="",0,CEILING((X353/$H353),1)*$H353),"")</f>
        <v>120</v>
      </c>
      <c r="Z353" s="36">
        <f>IFERROR(IF(Y353=0,"",ROUNDUP(Y353/H353,0)*0.02175),"")</f>
        <v>0.17399999999999999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123.76</v>
      </c>
      <c r="BN353" s="64">
        <f>IFERROR(Y353*I353/H353,"0")</f>
        <v>123.76</v>
      </c>
      <c r="BO353" s="64">
        <f>IFERROR(1/J353*(X353/H353),"0")</f>
        <v>0.16666666666666666</v>
      </c>
      <c r="BP353" s="64">
        <f>IFERROR(1/J353*(Y353/H353),"0")</f>
        <v>0.16666666666666666</v>
      </c>
    </row>
    <row r="354" spans="1:68" ht="16.5" hidden="1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8</v>
      </c>
      <c r="Y355" s="543">
        <f>IFERROR(Y353/H353,"0")+IFERROR(Y354/H354,"0")</f>
        <v>8</v>
      </c>
      <c r="Z355" s="543">
        <f>IFERROR(IF(Z353="",0,Z353),"0")+IFERROR(IF(Z354="",0,Z354),"0")</f>
        <v>0.17399999999999999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120</v>
      </c>
      <c r="Y356" s="543">
        <f>IFERROR(SUM(Y353:Y354),"0")</f>
        <v>120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hidden="1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66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hidden="1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72</v>
      </c>
      <c r="Y378" s="542">
        <f>IFERROR(IF(X378="",0,CEILING((X378/$H378),1)*$H378),"")</f>
        <v>72</v>
      </c>
      <c r="Z378" s="36">
        <f>IFERROR(IF(Y378=0,"",ROUNDUP(Y378/H378,0)*0.01898),"")</f>
        <v>0.15184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75.951999999999998</v>
      </c>
      <c r="BN378" s="64">
        <f>IFERROR(Y378*I378/H378,"0")</f>
        <v>75.951999999999998</v>
      </c>
      <c r="BO378" s="64">
        <f>IFERROR(1/J378*(X378/H378),"0")</f>
        <v>0.125</v>
      </c>
      <c r="BP378" s="64">
        <f>IFERROR(1/J378*(Y378/H378),"0")</f>
        <v>0.125</v>
      </c>
    </row>
    <row r="379" spans="1:68" ht="27" hidden="1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206</v>
      </c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8</v>
      </c>
      <c r="Y380" s="543">
        <f>IFERROR(Y378/H378,"0")+IFERROR(Y379/H379,"0")</f>
        <v>8</v>
      </c>
      <c r="Z380" s="543">
        <f>IFERROR(IF(Z378="",0,Z378),"0")+IFERROR(IF(Z379="",0,Z379),"0")</f>
        <v>0.15184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72</v>
      </c>
      <c r="Y381" s="543">
        <f>IFERROR(SUM(Y378:Y379),"0")</f>
        <v>72</v>
      </c>
      <c r="Z381" s="37"/>
      <c r="AA381" s="544"/>
      <c r="AB381" s="544"/>
      <c r="AC381" s="544"/>
    </row>
    <row r="382" spans="1:68" ht="27.75" hidden="1" customHeight="1" x14ac:dyDescent="0.2">
      <c r="A382" s="667" t="s">
        <v>590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hidden="1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hidden="1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6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hidden="1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67" t="s">
        <v>641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hidden="1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42.24</v>
      </c>
      <c r="Y423" s="542">
        <f t="shared" si="42"/>
        <v>42.24</v>
      </c>
      <c r="Z423" s="36">
        <f t="shared" si="43"/>
        <v>9.5680000000000001E-2</v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45.04</v>
      </c>
      <c r="BN423" s="64">
        <f t="shared" si="45"/>
        <v>45.04</v>
      </c>
      <c r="BO423" s="64">
        <f t="shared" si="46"/>
        <v>7.6923076923076927E-2</v>
      </c>
      <c r="BP423" s="64">
        <f t="shared" si="47"/>
        <v>7.6923076923076927E-2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84.48</v>
      </c>
      <c r="Y426" s="542">
        <f t="shared" si="42"/>
        <v>84.48</v>
      </c>
      <c r="Z426" s="36">
        <f t="shared" si="43"/>
        <v>0.19136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90.08</v>
      </c>
      <c r="BN426" s="64">
        <f t="shared" si="45"/>
        <v>90.08</v>
      </c>
      <c r="BO426" s="64">
        <f t="shared" si="46"/>
        <v>0.15384615384615385</v>
      </c>
      <c r="BP426" s="64">
        <f t="shared" si="47"/>
        <v>0.15384615384615385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24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24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0.28704000000000002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126.72</v>
      </c>
      <c r="Y433" s="543">
        <f>IFERROR(SUM(Y421:Y431),"0")</f>
        <v>126.72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hidden="1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hidden="1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42.24</v>
      </c>
      <c r="Y441" s="542">
        <f t="shared" ref="Y441:Y446" si="48">IFERROR(IF(X441="",0,CEILING((X441/$H441),1)*$H441),"")</f>
        <v>42.24</v>
      </c>
      <c r="Z441" s="36">
        <f>IFERROR(IF(Y441=0,"",ROUNDUP(Y441/H441,0)*0.01196),"")</f>
        <v>9.5680000000000001E-2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45.04</v>
      </c>
      <c r="BN441" s="64">
        <f t="shared" ref="BN441:BN446" si="50">IFERROR(Y441*I441/H441,"0")</f>
        <v>45.04</v>
      </c>
      <c r="BO441" s="64">
        <f t="shared" ref="BO441:BO446" si="51">IFERROR(1/J441*(X441/H441),"0")</f>
        <v>7.6923076923076927E-2</v>
      </c>
      <c r="BP441" s="64">
        <f t="shared" ref="BP441:BP446" si="52">IFERROR(1/J441*(Y441/H441),"0")</f>
        <v>7.6923076923076927E-2</v>
      </c>
    </row>
    <row r="442" spans="1:68" ht="27" hidden="1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hidden="1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8</v>
      </c>
      <c r="Y447" s="543">
        <f>IFERROR(Y441/H441,"0")+IFERROR(Y442/H442,"0")+IFERROR(Y443/H443,"0")+IFERROR(Y444/H444,"0")+IFERROR(Y445/H445,"0")+IFERROR(Y446/H446,"0")</f>
        <v>8</v>
      </c>
      <c r="Z447" s="543">
        <f>IFERROR(IF(Z441="",0,Z441),"0")+IFERROR(IF(Z442="",0,Z442),"0")+IFERROR(IF(Z443="",0,Z443),"0")+IFERROR(IF(Z444="",0,Z444),"0")+IFERROR(IF(Z445="",0,Z445),"0")+IFERROR(IF(Z446="",0,Z446),"0")</f>
        <v>9.5680000000000001E-2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42.24</v>
      </c>
      <c r="Y448" s="543">
        <f>IFERROR(SUM(Y441:Y446),"0")</f>
        <v>42.24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701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hidden="1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hidden="1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hidden="1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6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741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891.36000000000013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891.36000000000013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742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937.024</v>
      </c>
      <c r="Y490" s="543">
        <f>IFERROR(SUM(BN22:BN486),"0")</f>
        <v>937.024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743</v>
      </c>
      <c r="Q491" s="593"/>
      <c r="R491" s="593"/>
      <c r="S491" s="593"/>
      <c r="T491" s="593"/>
      <c r="U491" s="593"/>
      <c r="V491" s="594"/>
      <c r="W491" s="37" t="s">
        <v>744</v>
      </c>
      <c r="X491" s="38">
        <f>ROUNDUP(SUM(BO22:BO486),0)</f>
        <v>2</v>
      </c>
      <c r="Y491" s="38">
        <f>ROUNDUP(SUM(BP22:BP486),0)</f>
        <v>2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745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987.024</v>
      </c>
      <c r="Y492" s="543">
        <f>GrossWeightTotalR+PalletQtyTotalR*25</f>
        <v>987.024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746</v>
      </c>
      <c r="Q493" s="593"/>
      <c r="R493" s="593"/>
      <c r="S493" s="593"/>
      <c r="T493" s="593"/>
      <c r="U493" s="593"/>
      <c r="V493" s="59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104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104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747</v>
      </c>
      <c r="Q494" s="593"/>
      <c r="R494" s="593"/>
      <c r="S494" s="593"/>
      <c r="T494" s="593"/>
      <c r="U494" s="593"/>
      <c r="V494" s="59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1.7935999999999999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255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538</v>
      </c>
      <c r="T496" s="645"/>
      <c r="U496" s="605" t="s">
        <v>590</v>
      </c>
      <c r="V496" s="682"/>
      <c r="W496" s="645"/>
      <c r="X496" s="538" t="s">
        <v>641</v>
      </c>
      <c r="Y496" s="605" t="s">
        <v>701</v>
      </c>
      <c r="Z496" s="645"/>
      <c r="AB496" s="52"/>
      <c r="AC496" s="52"/>
      <c r="AF496" s="539"/>
    </row>
    <row r="497" spans="1:32" ht="14.25" customHeight="1" thickTop="1" x14ac:dyDescent="0.2">
      <c r="A497" s="867" t="s">
        <v>750</v>
      </c>
      <c r="B497" s="605" t="s">
        <v>63</v>
      </c>
      <c r="C497" s="605" t="s">
        <v>98</v>
      </c>
      <c r="D497" s="605" t="s">
        <v>116</v>
      </c>
      <c r="E497" s="605" t="s">
        <v>170</v>
      </c>
      <c r="F497" s="605" t="s">
        <v>189</v>
      </c>
      <c r="G497" s="605" t="s">
        <v>220</v>
      </c>
      <c r="H497" s="605" t="s">
        <v>97</v>
      </c>
      <c r="I497" s="605" t="s">
        <v>256</v>
      </c>
      <c r="J497" s="605" t="s">
        <v>301</v>
      </c>
      <c r="K497" s="605" t="s">
        <v>361</v>
      </c>
      <c r="L497" s="605" t="s">
        <v>403</v>
      </c>
      <c r="M497" s="605" t="s">
        <v>419</v>
      </c>
      <c r="N497" s="539"/>
      <c r="O497" s="605" t="s">
        <v>430</v>
      </c>
      <c r="P497" s="605" t="s">
        <v>439</v>
      </c>
      <c r="Q497" s="605" t="s">
        <v>453</v>
      </c>
      <c r="R497" s="605" t="s">
        <v>528</v>
      </c>
      <c r="S497" s="605" t="s">
        <v>539</v>
      </c>
      <c r="T497" s="605" t="s">
        <v>574</v>
      </c>
      <c r="U497" s="605" t="s">
        <v>591</v>
      </c>
      <c r="V497" s="605" t="s">
        <v>622</v>
      </c>
      <c r="W497" s="605" t="s">
        <v>637</v>
      </c>
      <c r="X497" s="605" t="s">
        <v>641</v>
      </c>
      <c r="Y497" s="605" t="s">
        <v>701</v>
      </c>
      <c r="Z497" s="605" t="s">
        <v>737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64.8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151.19999999999999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129.6</v>
      </c>
      <c r="R499" s="46">
        <f>IFERROR(Y335*1,"0")+IFERROR(Y336*1,"0")+IFERROR(Y337*1,"0")</f>
        <v>64.8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240</v>
      </c>
      <c r="T499" s="46">
        <f>IFERROR(Y368*1,"0")+IFERROR(Y369*1,"0")+IFERROR(Y373*1,"0")+IFERROR(Y374*1,"0")+IFERROR(Y378*1,"0")+IFERROR(Y379*1,"0")</f>
        <v>72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168.96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zjfws8i37jJhOri058bri2fdJrzWiq0OryXeeQ08pzZNYJ02Ai8q/myCnv5+7YuNbWeng9utZ7FeEwfO/YxPKQ==" saltValue="FgOjPYQKR4Z9bug6e5cH4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4,00"/>
        <filter val="120,00"/>
        <filter val="126,72"/>
        <filter val="129,60"/>
        <filter val="16,00"/>
        <filter val="2"/>
        <filter val="24,00"/>
        <filter val="42,24"/>
        <filter val="62,40"/>
        <filter val="64,80"/>
        <filter val="67,20"/>
        <filter val="72,00"/>
        <filter val="8,00"/>
        <filter val="84,48"/>
        <filter val="86,40"/>
        <filter val="891,36"/>
        <filter val="937,02"/>
        <filter val="987,02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3 X165:X166 X168:X169 X192 X196:X197 X199:X201 X203 X209:X210 X212:X215 X220 X225 X273:X274 X315:X317 X324 X335 X343:X345 X353 X378:X379 X421:X423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LszfUEZOPQXGFpOjHsWy3IrpAiQpseYlwRJk6n/0LasnuFQe0p6mjoK6XgLXTNGvuRnnznuv0L/aNZ4d1v4fRw==" saltValue="BtT87DwoAdkX4ZddZg3i1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2025-11-20T06:07:17Z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