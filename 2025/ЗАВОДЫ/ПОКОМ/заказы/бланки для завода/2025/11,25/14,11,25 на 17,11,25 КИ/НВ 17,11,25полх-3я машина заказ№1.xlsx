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10156E0-E9A5-4C52-B0FB-995D126525E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40" i="1" l="1"/>
  <c r="BN40" i="1"/>
  <c r="Z40" i="1"/>
  <c r="BP74" i="1"/>
  <c r="BN74" i="1"/>
  <c r="Z74" i="1"/>
  <c r="BP80" i="1"/>
  <c r="BN80" i="1"/>
  <c r="Z80" i="1"/>
  <c r="BP85" i="1"/>
  <c r="BN85" i="1"/>
  <c r="Z85" i="1"/>
  <c r="BP112" i="1"/>
  <c r="BN112" i="1"/>
  <c r="Z112" i="1"/>
  <c r="BP164" i="1"/>
  <c r="BN164" i="1"/>
  <c r="Z164" i="1"/>
  <c r="BP201" i="1"/>
  <c r="BN201" i="1"/>
  <c r="Z201" i="1"/>
  <c r="BP229" i="1"/>
  <c r="BN229" i="1"/>
  <c r="Z229" i="1"/>
  <c r="BP267" i="1"/>
  <c r="BN267" i="1"/>
  <c r="Z267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X489" i="1"/>
  <c r="Y32" i="1"/>
  <c r="Z34" i="1"/>
  <c r="Z35" i="1" s="1"/>
  <c r="BN34" i="1"/>
  <c r="BP34" i="1"/>
  <c r="Y35" i="1"/>
  <c r="BP55" i="1"/>
  <c r="BN55" i="1"/>
  <c r="Z55" i="1"/>
  <c r="BP100" i="1"/>
  <c r="BN100" i="1"/>
  <c r="Z100" i="1"/>
  <c r="BP135" i="1"/>
  <c r="BN135" i="1"/>
  <c r="Z135" i="1"/>
  <c r="BP140" i="1"/>
  <c r="BN140" i="1"/>
  <c r="Z140" i="1"/>
  <c r="BP176" i="1"/>
  <c r="BN176" i="1"/>
  <c r="Z176" i="1"/>
  <c r="BP211" i="1"/>
  <c r="BN211" i="1"/>
  <c r="Z211" i="1"/>
  <c r="BP212" i="1"/>
  <c r="BN212" i="1"/>
  <c r="Z212" i="1"/>
  <c r="BP249" i="1"/>
  <c r="BN249" i="1"/>
  <c r="Z249" i="1"/>
  <c r="BP299" i="1"/>
  <c r="BN299" i="1"/>
  <c r="Z299" i="1"/>
  <c r="BP328" i="1"/>
  <c r="BN328" i="1"/>
  <c r="Z328" i="1"/>
  <c r="Z331" i="1" s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38" i="1"/>
  <c r="J9" i="1"/>
  <c r="BP87" i="1"/>
  <c r="BN87" i="1"/>
  <c r="Z87" i="1"/>
  <c r="BP102" i="1"/>
  <c r="BN102" i="1"/>
  <c r="Z102" i="1"/>
  <c r="BP114" i="1"/>
  <c r="BN114" i="1"/>
  <c r="Z114" i="1"/>
  <c r="BP142" i="1"/>
  <c r="BN142" i="1"/>
  <c r="Z142" i="1"/>
  <c r="BP166" i="1"/>
  <c r="BN166" i="1"/>
  <c r="Z166" i="1"/>
  <c r="BP187" i="1"/>
  <c r="BN187" i="1"/>
  <c r="Z187" i="1"/>
  <c r="BP191" i="1"/>
  <c r="BN191" i="1"/>
  <c r="Z191" i="1"/>
  <c r="BP203" i="1"/>
  <c r="BN203" i="1"/>
  <c r="Z203" i="1"/>
  <c r="BP214" i="1"/>
  <c r="BN214" i="1"/>
  <c r="Z214" i="1"/>
  <c r="BP231" i="1"/>
  <c r="BN231" i="1"/>
  <c r="Z231" i="1"/>
  <c r="BP256" i="1"/>
  <c r="BN256" i="1"/>
  <c r="Z256" i="1"/>
  <c r="BP272" i="1"/>
  <c r="BN272" i="1"/>
  <c r="Z272" i="1"/>
  <c r="Y286" i="1"/>
  <c r="BP284" i="1"/>
  <c r="BN284" i="1"/>
  <c r="Z284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BP93" i="1"/>
  <c r="BN93" i="1"/>
  <c r="Z93" i="1"/>
  <c r="BP108" i="1"/>
  <c r="BN108" i="1"/>
  <c r="Z108" i="1"/>
  <c r="Y131" i="1"/>
  <c r="BP129" i="1"/>
  <c r="BN129" i="1"/>
  <c r="Z129" i="1"/>
  <c r="BP148" i="1"/>
  <c r="BN148" i="1"/>
  <c r="Z148" i="1"/>
  <c r="BP162" i="1"/>
  <c r="BN162" i="1"/>
  <c r="Z162" i="1"/>
  <c r="BP170" i="1"/>
  <c r="BN170" i="1"/>
  <c r="Z170" i="1"/>
  <c r="BP199" i="1"/>
  <c r="BN199" i="1"/>
  <c r="Z199" i="1"/>
  <c r="BP209" i="1"/>
  <c r="BN209" i="1"/>
  <c r="Z209" i="1"/>
  <c r="BP227" i="1"/>
  <c r="BN227" i="1"/>
  <c r="Z227" i="1"/>
  <c r="BP247" i="1"/>
  <c r="BN247" i="1"/>
  <c r="Z247" i="1"/>
  <c r="BP265" i="1"/>
  <c r="BN265" i="1"/>
  <c r="Z265" i="1"/>
  <c r="BP279" i="1"/>
  <c r="BN279" i="1"/>
  <c r="Z279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5" i="1"/>
  <c r="Y116" i="1"/>
  <c r="Y150" i="1"/>
  <c r="Y149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Y31" i="1"/>
  <c r="Y43" i="1"/>
  <c r="Y58" i="1"/>
  <c r="Y64" i="1"/>
  <c r="Y69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Z136" i="1" s="1"/>
  <c r="Y143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216" i="1" l="1"/>
  <c r="Z462" i="1"/>
  <c r="Z473" i="1"/>
  <c r="Z172" i="1"/>
  <c r="Z149" i="1"/>
  <c r="Z57" i="1"/>
  <c r="Z31" i="1"/>
  <c r="Z275" i="1"/>
  <c r="Z235" i="1"/>
  <c r="Z76" i="1"/>
  <c r="Z468" i="1"/>
  <c r="Z453" i="1"/>
  <c r="Z399" i="1"/>
  <c r="Z350" i="1"/>
  <c r="Z318" i="1"/>
  <c r="Z131" i="1"/>
  <c r="Z116" i="1"/>
  <c r="Y491" i="1"/>
  <c r="Z69" i="1"/>
  <c r="Z43" i="1"/>
  <c r="Y490" i="1"/>
  <c r="Z103" i="1"/>
  <c r="Y493" i="1"/>
  <c r="Y492" i="1"/>
  <c r="Z204" i="1"/>
  <c r="Z178" i="1"/>
  <c r="Z394" i="1"/>
  <c r="Y489" i="1"/>
  <c r="Z438" i="1"/>
  <c r="Z447" i="1"/>
  <c r="Z432" i="1"/>
  <c r="Z305" i="1"/>
  <c r="Z295" i="1"/>
  <c r="Z312" i="1"/>
  <c r="Z63" i="1"/>
  <c r="X492" i="1"/>
  <c r="Z268" i="1"/>
  <c r="Z260" i="1"/>
  <c r="Z251" i="1"/>
  <c r="Z494" i="1" l="1"/>
</calcChain>
</file>

<file path=xl/sharedStrings.xml><?xml version="1.0" encoding="utf-8"?>
<sst xmlns="http://schemas.openxmlformats.org/spreadsheetml/2006/main" count="2323" uniqueCount="768">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</sst>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45978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0.45833333333333331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9.2592592592592595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0.1898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100</v>
      </c>
      <c r="Y44" s="543">
        <f>IFERROR(SUM(Y40:Y42),"0")</f>
        <v>108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13.5</v>
      </c>
      <c r="Y56" s="542">
        <f t="shared" si="0"/>
        <v>13.5</v>
      </c>
      <c r="Z56" s="36">
        <f>IFERROR(IF(Y56=0,"",ROUNDUP(Y56/H56,0)*0.00902),"")</f>
        <v>2.7060000000000001E-2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14.07</v>
      </c>
      <c r="BN56" s="64">
        <f t="shared" si="2"/>
        <v>14.07</v>
      </c>
      <c r="BO56" s="64">
        <f t="shared" si="3"/>
        <v>2.2727272727272728E-2</v>
      </c>
      <c r="BP56" s="64">
        <f t="shared" si="4"/>
        <v>2.2727272727272728E-2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3</v>
      </c>
      <c r="Y57" s="543">
        <f>IFERROR(Y51/H51,"0")+IFERROR(Y52/H52,"0")+IFERROR(Y53/H53,"0")+IFERROR(Y54/H54,"0")+IFERROR(Y55/H55,"0")+IFERROR(Y56/H56,"0")</f>
        <v>3</v>
      </c>
      <c r="Z57" s="543">
        <f>IFERROR(IF(Z51="",0,Z51),"0")+IFERROR(IF(Z52="",0,Z52),"0")+IFERROR(IF(Z53="",0,Z53),"0")+IFERROR(IF(Z54="",0,Z54),"0")+IFERROR(IF(Z55="",0,Z55),"0")+IFERROR(IF(Z56="",0,Z56),"0")</f>
        <v>2.7060000000000001E-2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13.5</v>
      </c>
      <c r="Y58" s="543">
        <f>IFERROR(SUM(Y51:Y56),"0")</f>
        <v>13.5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45</v>
      </c>
      <c r="Y93" s="542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41.358024691358025</v>
      </c>
      <c r="Y95" s="543">
        <f>IFERROR(Y91/H91,"0")+IFERROR(Y92/H92,"0")+IFERROR(Y93/H93,"0")+IFERROR(Y94/H94,"0")</f>
        <v>42</v>
      </c>
      <c r="Z95" s="543">
        <f>IFERROR(IF(Z91="",0,Z91),"0")+IFERROR(IF(Z92="",0,Z92),"0")+IFERROR(IF(Z93="",0,Z93),"0")+IFERROR(IF(Z94="",0,Z94),"0")</f>
        <v>0.58517000000000008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245</v>
      </c>
      <c r="Y96" s="543">
        <f>IFERROR(SUM(Y91:Y94),"0")</f>
        <v>248.4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150</v>
      </c>
      <c r="Y99" s="542">
        <f>IFERROR(IF(X99="",0,CEILING((X99/$H99),1)*$H99),"")</f>
        <v>151.20000000000002</v>
      </c>
      <c r="Z99" s="36">
        <f>IFERROR(IF(Y99=0,"",ROUNDUP(Y99/H99,0)*0.01898),"")</f>
        <v>0.26572000000000001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155.69444444444446</v>
      </c>
      <c r="BN99" s="64">
        <f>IFERROR(Y99*I99/H99,"0")</f>
        <v>156.94</v>
      </c>
      <c r="BO99" s="64">
        <f>IFERROR(1/J99*(X99/H99),"0")</f>
        <v>0.21701388888888887</v>
      </c>
      <c r="BP99" s="64">
        <f>IFERROR(1/J99*(Y99/H99),"0")</f>
        <v>0.21875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13.888888888888888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0.26572000000000001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150</v>
      </c>
      <c r="Y104" s="543">
        <f>IFERROR(SUM(Y99:Y102),"0")</f>
        <v>151.20000000000002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54</v>
      </c>
      <c r="Y114" s="542">
        <f>IFERROR(IF(X114="",0,CEILING((X114/$H114),1)*$H114),"")</f>
        <v>54</v>
      </c>
      <c r="Z114" s="36">
        <f>IFERROR(IF(Y114=0,"",ROUNDUP(Y114/H114,0)*0.00651),"")</f>
        <v>0.13020000000000001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59.039999999999992</v>
      </c>
      <c r="BN114" s="64">
        <f>IFERROR(Y114*I114/H114,"0")</f>
        <v>59.039999999999992</v>
      </c>
      <c r="BO114" s="64">
        <f>IFERROR(1/J114*(X114/H114),"0")</f>
        <v>0.1098901098901099</v>
      </c>
      <c r="BP114" s="64">
        <f>IFERROR(1/J114*(Y114/H114),"0")</f>
        <v>0.1098901098901099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20</v>
      </c>
      <c r="Y116" s="543">
        <f>IFERROR(Y112/H112,"0")+IFERROR(Y113/H113,"0")+IFERROR(Y114/H114,"0")+IFERROR(Y115/H115,"0")</f>
        <v>20</v>
      </c>
      <c r="Z116" s="543">
        <f>IFERROR(IF(Z112="",0,Z112),"0")+IFERROR(IF(Z113="",0,Z113),"0")+IFERROR(IF(Z114="",0,Z114),"0")+IFERROR(IF(Z115="",0,Z115),"0")</f>
        <v>0.13020000000000001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54</v>
      </c>
      <c r="Y117" s="543">
        <f>IFERROR(SUM(Y112:Y115),"0")</f>
        <v>54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170</v>
      </c>
      <c r="Y163" s="542">
        <f t="shared" si="5"/>
        <v>172.20000000000002</v>
      </c>
      <c r="Z163" s="36">
        <f>IFERROR(IF(Y163=0,"",ROUNDUP(Y163/H163,0)*0.00902),"")</f>
        <v>0.36982000000000004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180.11904761904762</v>
      </c>
      <c r="BN163" s="64">
        <f t="shared" si="7"/>
        <v>182.45000000000002</v>
      </c>
      <c r="BO163" s="64">
        <f t="shared" si="8"/>
        <v>0.30663780663780665</v>
      </c>
      <c r="BP163" s="64">
        <f t="shared" si="9"/>
        <v>0.31060606060606061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40.476190476190474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41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0.36982000000000004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170</v>
      </c>
      <c r="Y173" s="543">
        <f>IFERROR(SUM(Y162:Y171),"0")</f>
        <v>172.20000000000002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72</v>
      </c>
      <c r="Y212" s="542">
        <f t="shared" si="15"/>
        <v>72</v>
      </c>
      <c r="Z212" s="36">
        <f t="shared" si="20"/>
        <v>0.1953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79.560000000000016</v>
      </c>
      <c r="BN212" s="64">
        <f t="shared" si="17"/>
        <v>79.560000000000016</v>
      </c>
      <c r="BO212" s="64">
        <f t="shared" si="18"/>
        <v>0.16483516483516486</v>
      </c>
      <c r="BP212" s="64">
        <f t="shared" si="19"/>
        <v>0.16483516483516486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30</v>
      </c>
      <c r="Y216" s="543">
        <f>IFERROR(Y207/H207,"0")+IFERROR(Y208/H208,"0")+IFERROR(Y209/H209,"0")+IFERROR(Y210/H210,"0")+IFERROR(Y211/H211,"0")+IFERROR(Y212/H212,"0")+IFERROR(Y213/H213,"0")+IFERROR(Y214/H214,"0")+IFERROR(Y215/H215,"0")</f>
        <v>30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0.1953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72</v>
      </c>
      <c r="Y217" s="543">
        <f>IFERROR(SUM(Y207:Y215),"0")</f>
        <v>72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130</v>
      </c>
      <c r="Y298" s="542">
        <f t="shared" ref="Y298:Y304" si="26">IFERROR(IF(X298="",0,CEILING((X298/$H298),1)*$H298),"")</f>
        <v>130.20000000000002</v>
      </c>
      <c r="Z298" s="36">
        <f>IFERROR(IF(Y298=0,"",ROUNDUP(Y298/H298,0)*0.00902),"")</f>
        <v>0.27961999999999998</v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137.73809523809524</v>
      </c>
      <c r="BN298" s="64">
        <f t="shared" ref="BN298:BN304" si="28">IFERROR(Y298*I298/H298,"0")</f>
        <v>137.95000000000002</v>
      </c>
      <c r="BO298" s="64">
        <f t="shared" ref="BO298:BO304" si="29">IFERROR(1/J298*(X298/H298),"0")</f>
        <v>0.23448773448773449</v>
      </c>
      <c r="BP298" s="64">
        <f t="shared" ref="BP298:BP304" si="30">IFERROR(1/J298*(Y298/H298),"0")</f>
        <v>0.23484848484848489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30.952380952380953</v>
      </c>
      <c r="Y305" s="543">
        <f>IFERROR(Y298/H298,"0")+IFERROR(Y299/H299,"0")+IFERROR(Y300/H300,"0")+IFERROR(Y301/H301,"0")+IFERROR(Y302/H302,"0")+IFERROR(Y303/H303,"0")+IFERROR(Y304/H304,"0")</f>
        <v>31.000000000000004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0.27961999999999998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130</v>
      </c>
      <c r="Y306" s="543">
        <f>IFERROR(SUM(Y298:Y304),"0")</f>
        <v>130.20000000000002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270</v>
      </c>
      <c r="Y315" s="542">
        <f>IFERROR(IF(X315="",0,CEILING((X315/$H315),1)*$H315),"")</f>
        <v>277.2</v>
      </c>
      <c r="Z315" s="36">
        <f>IFERROR(IF(Y315=0,"",ROUNDUP(Y315/H315,0)*0.01898),"")</f>
        <v>0.62634000000000001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285.87857142857143</v>
      </c>
      <c r="BN315" s="64">
        <f>IFERROR(Y315*I315/H315,"0")</f>
        <v>293.50200000000001</v>
      </c>
      <c r="BO315" s="64">
        <f>IFERROR(1/J315*(X315/H315),"0")</f>
        <v>0.50223214285714279</v>
      </c>
      <c r="BP315" s="64">
        <f>IFERROR(1/J315*(Y315/H315),"0")</f>
        <v>0.515625</v>
      </c>
    </row>
    <row r="316" spans="1:68" ht="27" hidden="1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32.142857142857139</v>
      </c>
      <c r="Y318" s="543">
        <f>IFERROR(Y315/H315,"0")+IFERROR(Y316/H316,"0")+IFERROR(Y317/H317,"0")</f>
        <v>33</v>
      </c>
      <c r="Z318" s="543">
        <f>IFERROR(IF(Z315="",0,Z315),"0")+IFERROR(IF(Z316="",0,Z316),"0")+IFERROR(IF(Z317="",0,Z317),"0")</f>
        <v>0.62634000000000001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270</v>
      </c>
      <c r="Y319" s="543">
        <f>IFERROR(SUM(Y315:Y317),"0")</f>
        <v>277.2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186</v>
      </c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2000</v>
      </c>
      <c r="Y343" s="542">
        <f t="shared" ref="Y343:Y349" si="31">IFERROR(IF(X343="",0,CEILING((X343/$H343),1)*$H343),"")</f>
        <v>2010</v>
      </c>
      <c r="Z343" s="36">
        <f>IFERROR(IF(Y343=0,"",ROUNDUP(Y343/H343,0)*0.02175),"")</f>
        <v>2.9144999999999999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2062.6666666666665</v>
      </c>
      <c r="BN343" s="64">
        <f t="shared" ref="BN343:BN349" si="33">IFERROR(Y343*I343/H343,"0")</f>
        <v>2072.98</v>
      </c>
      <c r="BO343" s="64">
        <f t="shared" ref="BO343:BO349" si="34">IFERROR(1/J343*(X343/H343),"0")</f>
        <v>2.7777777777777777</v>
      </c>
      <c r="BP343" s="64">
        <f t="shared" ref="BP343:BP349" si="35">IFERROR(1/J343*(Y343/H343),"0")</f>
        <v>2.7916666666666665</v>
      </c>
    </row>
    <row r="344" spans="1:68" ht="27" hidden="1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hidden="1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1500</v>
      </c>
      <c r="Y346" s="542">
        <f t="shared" si="31"/>
        <v>1500</v>
      </c>
      <c r="Z346" s="36">
        <f>IFERROR(IF(Y346=0,"",ROUNDUP(Y346/H346,0)*0.02175),"")</f>
        <v>2.1749999999999998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1547</v>
      </c>
      <c r="BN346" s="64">
        <f t="shared" si="33"/>
        <v>1547</v>
      </c>
      <c r="BO346" s="64">
        <f t="shared" si="34"/>
        <v>2.083333333333333</v>
      </c>
      <c r="BP346" s="64">
        <f t="shared" si="35"/>
        <v>2.083333333333333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233.33333333333334</v>
      </c>
      <c r="Y350" s="543">
        <f>IFERROR(Y343/H343,"0")+IFERROR(Y344/H344,"0")+IFERROR(Y345/H345,"0")+IFERROR(Y346/H346,"0")+IFERROR(Y347/H347,"0")+IFERROR(Y348/H348,"0")+IFERROR(Y349/H349,"0")</f>
        <v>234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5.0894999999999992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3500</v>
      </c>
      <c r="Y351" s="543">
        <f>IFERROR(SUM(Y343:Y349),"0")</f>
        <v>3510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200</v>
      </c>
      <c r="Y359" s="542">
        <f>IFERROR(IF(X359="",0,CEILING((X359/$H359),1)*$H359),"")</f>
        <v>207</v>
      </c>
      <c r="Z359" s="36">
        <f>IFERROR(IF(Y359=0,"",ROUNDUP(Y359/H359,0)*0.01898),"")</f>
        <v>0.43653999999999998</v>
      </c>
      <c r="AA359" s="56"/>
      <c r="AB359" s="57"/>
      <c r="AC359" s="411" t="s">
        <v>570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210.97777777777776</v>
      </c>
      <c r="BN359" s="64">
        <f>IFERROR(Y359*I359/H359,"0")</f>
        <v>218.36199999999999</v>
      </c>
      <c r="BO359" s="64">
        <f>IFERROR(1/J359*(X359/H359),"0")</f>
        <v>0.34722222222222221</v>
      </c>
      <c r="BP359" s="64">
        <f>IFERROR(1/J359*(Y359/H359),"0")</f>
        <v>0.359375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22.222222222222221</v>
      </c>
      <c r="Y360" s="543">
        <f>IFERROR(Y358/H358,"0")+IFERROR(Y359/H359,"0")</f>
        <v>23</v>
      </c>
      <c r="Z360" s="543">
        <f>IFERROR(IF(Z358="",0,Z358),"0")+IFERROR(IF(Z359="",0,Z359),"0")</f>
        <v>0.43653999999999998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200</v>
      </c>
      <c r="Y361" s="543">
        <f>IFERROR(SUM(Y358:Y359),"0")</f>
        <v>207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360</v>
      </c>
      <c r="Y363" s="542">
        <f>IFERROR(IF(X363="",0,CEILING((X363/$H363),1)*$H363),"")</f>
        <v>360</v>
      </c>
      <c r="Z363" s="36">
        <f>IFERROR(IF(Y363=0,"",ROUNDUP(Y363/H363,0)*0.01898),"")</f>
        <v>0.75919999999999999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379.76</v>
      </c>
      <c r="BN363" s="64">
        <f>IFERROR(Y363*I363/H363,"0")</f>
        <v>379.76</v>
      </c>
      <c r="BO363" s="64">
        <f>IFERROR(1/J363*(X363/H363),"0")</f>
        <v>0.625</v>
      </c>
      <c r="BP363" s="64">
        <f>IFERROR(1/J363*(Y363/H363),"0")</f>
        <v>0.625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40</v>
      </c>
      <c r="Y364" s="543">
        <f>IFERROR(Y363/H363,"0")</f>
        <v>40</v>
      </c>
      <c r="Z364" s="543">
        <f>IFERROR(IF(Z363="",0,Z363),"0")</f>
        <v>0.75919999999999999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360</v>
      </c>
      <c r="Y365" s="543">
        <f>IFERROR(SUM(Y363:Y363),"0")</f>
        <v>360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100</v>
      </c>
      <c r="Y385" s="542">
        <f t="shared" ref="Y385:Y393" si="36">IFERROR(IF(X385="",0,CEILING((X385/$H385),1)*$H385),"")</f>
        <v>102.60000000000001</v>
      </c>
      <c r="Z385" s="36">
        <f>IFERROR(IF(Y385=0,"",ROUNDUP(Y385/H385,0)*0.00902),"")</f>
        <v>0.17138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103.5185185185185</v>
      </c>
      <c r="BN385" s="64">
        <f t="shared" ref="BN385:BN393" si="38">IFERROR(Y385*I385/H385,"0")</f>
        <v>106.21</v>
      </c>
      <c r="BO385" s="64">
        <f t="shared" ref="BO385:BO393" si="39">IFERROR(1/J385*(X385/H385),"0")</f>
        <v>0.14029180695847362</v>
      </c>
      <c r="BP385" s="64">
        <f t="shared" ref="BP385:BP393" si="40">IFERROR(1/J385*(Y385/H385),"0")</f>
        <v>0.14393939393939395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100</v>
      </c>
      <c r="Y387" s="542">
        <f t="shared" si="36"/>
        <v>102.60000000000001</v>
      </c>
      <c r="Z387" s="36">
        <f>IFERROR(IF(Y387=0,"",ROUNDUP(Y387/H387,0)*0.00902),"")</f>
        <v>0.17138</v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103.5185185185185</v>
      </c>
      <c r="BN387" s="64">
        <f t="shared" si="38"/>
        <v>106.21</v>
      </c>
      <c r="BO387" s="64">
        <f t="shared" si="39"/>
        <v>0.14029180695847362</v>
      </c>
      <c r="BP387" s="64">
        <f t="shared" si="40"/>
        <v>0.14393939393939395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275</v>
      </c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31.5</v>
      </c>
      <c r="Y393" s="542">
        <f t="shared" si="36"/>
        <v>31.5</v>
      </c>
      <c r="Z393" s="36">
        <f t="shared" si="41"/>
        <v>7.5300000000000006E-2</v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33.450000000000003</v>
      </c>
      <c r="BN393" s="64">
        <f t="shared" si="38"/>
        <v>33.450000000000003</v>
      </c>
      <c r="BO393" s="64">
        <f t="shared" si="39"/>
        <v>6.4102564102564111E-2</v>
      </c>
      <c r="BP393" s="64">
        <f t="shared" si="40"/>
        <v>6.4102564102564111E-2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52.037037037037038</v>
      </c>
      <c r="Y394" s="543">
        <f>IFERROR(Y385/H385,"0")+IFERROR(Y386/H386,"0")+IFERROR(Y387/H387,"0")+IFERROR(Y388/H388,"0")+IFERROR(Y389/H389,"0")+IFERROR(Y390/H390,"0")+IFERROR(Y391/H391,"0")+IFERROR(Y392/H392,"0")+IFERROR(Y393/H393,"0")</f>
        <v>53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0.41805999999999999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231.5</v>
      </c>
      <c r="Y395" s="543">
        <f>IFERROR(SUM(Y385:Y393),"0")</f>
        <v>236.70000000000002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350</v>
      </c>
      <c r="Y407" s="542">
        <f>IFERROR(IF(X407="",0,CEILING((X407/$H407),1)*$H407),"")</f>
        <v>351</v>
      </c>
      <c r="Z407" s="36">
        <f>IFERROR(IF(Y407=0,"",ROUNDUP(Y407/H407,0)*0.00902),"")</f>
        <v>0.58630000000000004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362.31481481481478</v>
      </c>
      <c r="BN407" s="64">
        <f>IFERROR(Y407*I407/H407,"0")</f>
        <v>363.34999999999997</v>
      </c>
      <c r="BO407" s="64">
        <f>IFERROR(1/J407*(X407/H407),"0")</f>
        <v>0.49102132435465767</v>
      </c>
      <c r="BP407" s="64">
        <f>IFERROR(1/J407*(Y407/H407),"0")</f>
        <v>0.49242424242424243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64.81481481481481</v>
      </c>
      <c r="Y411" s="543">
        <f>IFERROR(Y407/H407,"0")+IFERROR(Y408/H408,"0")+IFERROR(Y409/H409,"0")+IFERROR(Y410/H410,"0")</f>
        <v>65</v>
      </c>
      <c r="Z411" s="543">
        <f>IFERROR(IF(Z407="",0,Z407),"0")+IFERROR(IF(Z408="",0,Z408),"0")+IFERROR(IF(Z409="",0,Z409),"0")+IFERROR(IF(Z410="",0,Z410),"0")</f>
        <v>0.58630000000000004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350</v>
      </c>
      <c r="Y412" s="543">
        <f>IFERROR(SUM(Y407:Y410),"0")</f>
        <v>351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</v>
      </c>
      <c r="Y426" s="542">
        <f t="shared" si="42"/>
        <v>100.32000000000001</v>
      </c>
      <c r="Z426" s="36">
        <f t="shared" si="43"/>
        <v>0.22724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106.62878787878788</v>
      </c>
      <c r="BN426" s="64">
        <f t="shared" si="45"/>
        <v>106.97</v>
      </c>
      <c r="BO426" s="64">
        <f t="shared" si="46"/>
        <v>0.18210955710955709</v>
      </c>
      <c r="BP426" s="64">
        <f t="shared" si="47"/>
        <v>0.18269230769230771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18.939393939393938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0.22724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100</v>
      </c>
      <c r="Y433" s="543">
        <f>IFERROR(SUM(Y421:Y431),"0")</f>
        <v>100.32000000000001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213.25757575757575</v>
      </c>
      <c r="BN435" s="64">
        <f>IFERROR(Y435*I435/H435,"0")</f>
        <v>213.94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50</v>
      </c>
      <c r="Y442" s="542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53.314393939393938</v>
      </c>
      <c r="BN442" s="64">
        <f t="shared" si="50"/>
        <v>56.3</v>
      </c>
      <c r="BO442" s="64">
        <f t="shared" si="51"/>
        <v>9.1054778554778545E-2</v>
      </c>
      <c r="BP442" s="64">
        <f t="shared" si="52"/>
        <v>9.6153846153846159E-2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200</v>
      </c>
      <c r="Y443" s="542">
        <f t="shared" si="48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213.25757575757575</v>
      </c>
      <c r="BN443" s="64">
        <f t="shared" si="50"/>
        <v>213.94</v>
      </c>
      <c r="BO443" s="64">
        <f t="shared" si="51"/>
        <v>0.36421911421911418</v>
      </c>
      <c r="BP443" s="64">
        <f t="shared" si="52"/>
        <v>0.36538461538461542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56.818181818181813</v>
      </c>
      <c r="Y447" s="543">
        <f>IFERROR(Y441/H441,"0")+IFERROR(Y442/H442,"0")+IFERROR(Y443/H443,"0")+IFERROR(Y444/H444,"0")+IFERROR(Y445/H445,"0")+IFERROR(Y446/H446,"0")</f>
        <v>58</v>
      </c>
      <c r="Z447" s="543">
        <f>IFERROR(IF(Z441="",0,Z441),"0")+IFERROR(IF(Z442="",0,Z442),"0")+IFERROR(IF(Z443="",0,Z443),"0")+IFERROR(IF(Z444="",0,Z444),"0")+IFERROR(IF(Z445="",0,Z445),"0")+IFERROR(IF(Z446="",0,Z446),"0")</f>
        <v>0.69367999999999996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300</v>
      </c>
      <c r="Y448" s="543">
        <f>IFERROR(SUM(Y441:Y446),"0")</f>
        <v>306.24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50</v>
      </c>
      <c r="Y472" s="542">
        <f>IFERROR(IF(X472="",0,CEILING((X472/$H472),1)*$H472),"")</f>
        <v>50.400000000000006</v>
      </c>
      <c r="Z472" s="36">
        <f>IFERROR(IF(Y472=0,"",ROUNDUP(Y472/H472,0)*0.00902),"")</f>
        <v>0.10824</v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52.976190476190474</v>
      </c>
      <c r="BN472" s="64">
        <f>IFERROR(Y472*I472/H472,"0")</f>
        <v>53.400000000000006</v>
      </c>
      <c r="BO472" s="64">
        <f>IFERROR(1/J472*(X472/H472),"0")</f>
        <v>9.0187590187590191E-2</v>
      </c>
      <c r="BP472" s="64">
        <f>IFERROR(1/J472*(Y472/H472),"0")</f>
        <v>9.0909090909090912E-2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11.904761904761905</v>
      </c>
      <c r="Y473" s="543">
        <f>IFERROR(Y471/H471,"0")+IFERROR(Y472/H472,"0")</f>
        <v>12</v>
      </c>
      <c r="Z473" s="543">
        <f>IFERROR(IF(Z471="",0,Z471),"0")+IFERROR(IF(Z472="",0,Z472),"0")</f>
        <v>0.10824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50</v>
      </c>
      <c r="Y474" s="543">
        <f>IFERROR(SUM(Y471:Y472),"0")</f>
        <v>50.400000000000006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7496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7553.9999999999991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7804.5825332692002</v>
      </c>
      <c r="Y490" s="543">
        <f>IFERROR(SUM(BN22:BN486),"0")</f>
        <v>7865.308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12</v>
      </c>
      <c r="Y491" s="38">
        <f>ROUNDUP(SUM(BP22:BP486),0)</f>
        <v>12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8104.5825332692002</v>
      </c>
      <c r="Y492" s="543">
        <f>GrossWeightTotalR+PalletQtyTotalR*25</f>
        <v>8165.308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825.69280102613448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833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12.899520000000001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13.5</v>
      </c>
      <c r="E499" s="46">
        <f>IFERROR(Y85*1,"0")+IFERROR(Y86*1,"0")+IFERROR(Y87*1,"0")+IFERROR(Y91*1,"0")+IFERROR(Y92*1,"0")+IFERROR(Y93*1,"0")+IFERROR(Y94*1,"0")</f>
        <v>248.4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205.20000000000002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172.20000000000002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72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407.4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5082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236.70000000000002</v>
      </c>
      <c r="V499" s="46">
        <f>IFERROR(Y403*1,"0")+IFERROR(Y407*1,"0")+IFERROR(Y408*1,"0")+IFERROR(Y409*1,"0")+IFERROR(Y410*1,"0")</f>
        <v>351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607.20000000000005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50.400000000000006</v>
      </c>
      <c r="Z499" s="46">
        <f>IFERROR(Y486*1,"0")</f>
        <v>0</v>
      </c>
      <c r="AB499" s="52"/>
      <c r="AC499" s="52"/>
      <c r="AF499" s="539"/>
    </row>
  </sheetData>
  <sheetProtection algorithmName="SHA-512" hashValue="XskFqzYDNU4qfJ1OE3az44MvOzLIBZoSCMOY78Nb/BwVnnRFZaqYedOUi+TA3oQDRtXY0OM7GPywfbOQGIUE8A==" saltValue="96BO2lME/ZGUElrMuxZzx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1,90"/>
        <filter val="12"/>
        <filter val="13,50"/>
        <filter val="13,89"/>
        <filter val="130,00"/>
        <filter val="150,00"/>
        <filter val="170,00"/>
        <filter val="18,94"/>
        <filter val="2 000,00"/>
        <filter val="20,00"/>
        <filter val="200,00"/>
        <filter val="22,22"/>
        <filter val="231,50"/>
        <filter val="233,33"/>
        <filter val="245,00"/>
        <filter val="270,00"/>
        <filter val="3 500,00"/>
        <filter val="3,00"/>
        <filter val="30,00"/>
        <filter val="30,95"/>
        <filter val="300,00"/>
        <filter val="31,50"/>
        <filter val="32,14"/>
        <filter val="350,00"/>
        <filter val="360,00"/>
        <filter val="37,88"/>
        <filter val="40,00"/>
        <filter val="40,48"/>
        <filter val="41,36"/>
        <filter val="45,00"/>
        <filter val="50,00"/>
        <filter val="52,04"/>
        <filter val="54,00"/>
        <filter val="56,82"/>
        <filter val="64,81"/>
        <filter val="66,67"/>
        <filter val="7 496,00"/>
        <filter val="7 804,58"/>
        <filter val="72,00"/>
        <filter val="8 104,58"/>
        <filter val="825,69"/>
        <filter val="9,26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3 X165:X166 X168:X169 X192 X196:X201 X203 X207:X210 X212:X215 X219:X220 X225 X255 X273:X274 X299 X302 X308 X315:X317 X323:X324 X328:X330 X335:X337 X343:X345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PYeSkho6LtEgoVLWZD0t2bOngqaCN2K5/dOJTeVqw5FiKmOm1jaU9sUzXGlHDNDUfjz9zEcecHytPC4dAktKQA==" saltValue="OifT+9jMaNnzrhYNNasMZ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