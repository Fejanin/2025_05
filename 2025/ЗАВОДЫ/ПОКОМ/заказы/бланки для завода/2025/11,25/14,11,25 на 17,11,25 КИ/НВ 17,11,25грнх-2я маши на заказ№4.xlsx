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40CD6B-F019-40FE-A983-BEEDF56D9C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Z423" i="1" s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O499" i="1" s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499" i="1" l="1"/>
  <c r="X491" i="1"/>
  <c r="Y31" i="1"/>
  <c r="Z52" i="1"/>
  <c r="BN52" i="1"/>
  <c r="Z62" i="1"/>
  <c r="BN62" i="1"/>
  <c r="Z74" i="1"/>
  <c r="BN74" i="1"/>
  <c r="Z91" i="1"/>
  <c r="BN91" i="1"/>
  <c r="Z106" i="1"/>
  <c r="BN106" i="1"/>
  <c r="Z125" i="1"/>
  <c r="BN125" i="1"/>
  <c r="Z142" i="1"/>
  <c r="BN142" i="1"/>
  <c r="Z164" i="1"/>
  <c r="BN164" i="1"/>
  <c r="Z176" i="1"/>
  <c r="BN176" i="1"/>
  <c r="J499" i="1"/>
  <c r="Z199" i="1"/>
  <c r="BN199" i="1"/>
  <c r="Z209" i="1"/>
  <c r="BN209" i="1"/>
  <c r="Z227" i="1"/>
  <c r="BN227" i="1"/>
  <c r="Z247" i="1"/>
  <c r="BN247" i="1"/>
  <c r="Z265" i="1"/>
  <c r="BN265" i="1"/>
  <c r="Z299" i="1"/>
  <c r="BN299" i="1"/>
  <c r="Z301" i="1"/>
  <c r="BN301" i="1"/>
  <c r="Z315" i="1"/>
  <c r="BN315" i="1"/>
  <c r="Z324" i="1"/>
  <c r="BN324" i="1"/>
  <c r="Z335" i="1"/>
  <c r="BN335" i="1"/>
  <c r="Z369" i="1"/>
  <c r="BN369" i="1"/>
  <c r="Z389" i="1"/>
  <c r="BN389" i="1"/>
  <c r="Z408" i="1"/>
  <c r="BN408" i="1"/>
  <c r="Z424" i="1"/>
  <c r="BN424" i="1"/>
  <c r="Z436" i="1"/>
  <c r="BN436" i="1"/>
  <c r="Z450" i="1"/>
  <c r="BN450" i="1"/>
  <c r="Z466" i="1"/>
  <c r="BN466" i="1"/>
  <c r="BP108" i="1"/>
  <c r="BN108" i="1"/>
  <c r="Z108" i="1"/>
  <c r="Y131" i="1"/>
  <c r="BP129" i="1"/>
  <c r="BN129" i="1"/>
  <c r="Z129" i="1"/>
  <c r="Y150" i="1"/>
  <c r="BP146" i="1"/>
  <c r="BN146" i="1"/>
  <c r="Z146" i="1"/>
  <c r="BP166" i="1"/>
  <c r="BN166" i="1"/>
  <c r="Z166" i="1"/>
  <c r="BP187" i="1"/>
  <c r="BN187" i="1"/>
  <c r="Z187" i="1"/>
  <c r="BP201" i="1"/>
  <c r="BN201" i="1"/>
  <c r="Z201" i="1"/>
  <c r="BP211" i="1"/>
  <c r="BN211" i="1"/>
  <c r="Z211" i="1"/>
  <c r="BP229" i="1"/>
  <c r="BN229" i="1"/>
  <c r="Z229" i="1"/>
  <c r="BP249" i="1"/>
  <c r="BN249" i="1"/>
  <c r="Z249" i="1"/>
  <c r="BP267" i="1"/>
  <c r="BN267" i="1"/>
  <c r="Z267" i="1"/>
  <c r="BP284" i="1"/>
  <c r="BN284" i="1"/>
  <c r="Z284" i="1"/>
  <c r="BP303" i="1"/>
  <c r="BN303" i="1"/>
  <c r="Z303" i="1"/>
  <c r="BP317" i="1"/>
  <c r="BN317" i="1"/>
  <c r="Z317" i="1"/>
  <c r="BP321" i="1"/>
  <c r="BN321" i="1"/>
  <c r="Z321" i="1"/>
  <c r="Y332" i="1"/>
  <c r="BP328" i="1"/>
  <c r="BN328" i="1"/>
  <c r="Z328" i="1"/>
  <c r="Y331" i="1"/>
  <c r="X490" i="1"/>
  <c r="X492" i="1" s="1"/>
  <c r="X493" i="1"/>
  <c r="Z27" i="1"/>
  <c r="BN27" i="1"/>
  <c r="Z41" i="1"/>
  <c r="BN41" i="1"/>
  <c r="D499" i="1"/>
  <c r="Z54" i="1"/>
  <c r="BN54" i="1"/>
  <c r="Z60" i="1"/>
  <c r="BN60" i="1"/>
  <c r="BP60" i="1"/>
  <c r="Z66" i="1"/>
  <c r="BN66" i="1"/>
  <c r="BP66" i="1"/>
  <c r="Z72" i="1"/>
  <c r="BN72" i="1"/>
  <c r="BP72" i="1"/>
  <c r="Z80" i="1"/>
  <c r="BN80" i="1"/>
  <c r="Z87" i="1"/>
  <c r="BN87" i="1"/>
  <c r="Y95" i="1"/>
  <c r="Z93" i="1"/>
  <c r="BN93" i="1"/>
  <c r="F499" i="1"/>
  <c r="Z102" i="1"/>
  <c r="BN102" i="1"/>
  <c r="Y110" i="1"/>
  <c r="BP114" i="1"/>
  <c r="BN114" i="1"/>
  <c r="Z114" i="1"/>
  <c r="BP140" i="1"/>
  <c r="BN140" i="1"/>
  <c r="Z140" i="1"/>
  <c r="Y172" i="1"/>
  <c r="BP162" i="1"/>
  <c r="BN162" i="1"/>
  <c r="Z162" i="1"/>
  <c r="BP170" i="1"/>
  <c r="BN170" i="1"/>
  <c r="Z170" i="1"/>
  <c r="Y205" i="1"/>
  <c r="BP197" i="1"/>
  <c r="BN197" i="1"/>
  <c r="Z197" i="1"/>
  <c r="BP207" i="1"/>
  <c r="BN207" i="1"/>
  <c r="Z207" i="1"/>
  <c r="BP220" i="1"/>
  <c r="BN220" i="1"/>
  <c r="Z220" i="1"/>
  <c r="BP225" i="1"/>
  <c r="BN225" i="1"/>
  <c r="Z225" i="1"/>
  <c r="BP233" i="1"/>
  <c r="BN233" i="1"/>
  <c r="Z233" i="1"/>
  <c r="BP258" i="1"/>
  <c r="BN258" i="1"/>
  <c r="Z258" i="1"/>
  <c r="BP274" i="1"/>
  <c r="BN274" i="1"/>
  <c r="Z274" i="1"/>
  <c r="BP279" i="1"/>
  <c r="BN279" i="1"/>
  <c r="Z279" i="1"/>
  <c r="BP293" i="1"/>
  <c r="BN293" i="1"/>
  <c r="Z293" i="1"/>
  <c r="BP345" i="1"/>
  <c r="BN345" i="1"/>
  <c r="Z345" i="1"/>
  <c r="BP354" i="1"/>
  <c r="BN354" i="1"/>
  <c r="Z354" i="1"/>
  <c r="BP358" i="1"/>
  <c r="BN358" i="1"/>
  <c r="Z358" i="1"/>
  <c r="BP387" i="1"/>
  <c r="BN387" i="1"/>
  <c r="Z387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Y116" i="1"/>
  <c r="G499" i="1"/>
  <c r="I499" i="1"/>
  <c r="Y178" i="1"/>
  <c r="Y193" i="1"/>
  <c r="Y276" i="1"/>
  <c r="Y275" i="1"/>
  <c r="BP311" i="1"/>
  <c r="BN311" i="1"/>
  <c r="Z311" i="1"/>
  <c r="BP322" i="1"/>
  <c r="BN322" i="1"/>
  <c r="Z322" i="1"/>
  <c r="BP337" i="1"/>
  <c r="BN337" i="1"/>
  <c r="Z337" i="1"/>
  <c r="BP346" i="1"/>
  <c r="BN346" i="1"/>
  <c r="Z346" i="1"/>
  <c r="Y375" i="1"/>
  <c r="BP373" i="1"/>
  <c r="BN373" i="1"/>
  <c r="Z373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319" i="1"/>
  <c r="Y318" i="1"/>
  <c r="Y350" i="1"/>
  <c r="Y462" i="1"/>
  <c r="W499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Y204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L499" i="1"/>
  <c r="Y260" i="1"/>
  <c r="Y261" i="1"/>
  <c r="BP255" i="1"/>
  <c r="BN255" i="1"/>
  <c r="Z255" i="1"/>
  <c r="BP280" i="1"/>
  <c r="BN280" i="1"/>
  <c r="Z280" i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36" i="1"/>
  <c r="BN336" i="1"/>
  <c r="Z336" i="1"/>
  <c r="Z338" i="1" s="1"/>
  <c r="Y338" i="1"/>
  <c r="BP386" i="1"/>
  <c r="BN386" i="1"/>
  <c r="Z386" i="1"/>
  <c r="BP390" i="1"/>
  <c r="BN390" i="1"/>
  <c r="Z390" i="1"/>
  <c r="Y394" i="1"/>
  <c r="BP398" i="1"/>
  <c r="BN398" i="1"/>
  <c r="Z398" i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Y433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BN67" i="1"/>
  <c r="Z73" i="1"/>
  <c r="BN73" i="1"/>
  <c r="Z75" i="1"/>
  <c r="BN75" i="1"/>
  <c r="Z79" i="1"/>
  <c r="BN79" i="1"/>
  <c r="BP79" i="1"/>
  <c r="E499" i="1"/>
  <c r="Z86" i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BN113" i="1"/>
  <c r="Z115" i="1"/>
  <c r="BN115" i="1"/>
  <c r="Z119" i="1"/>
  <c r="Z120" i="1" s="1"/>
  <c r="BN119" i="1"/>
  <c r="BP119" i="1"/>
  <c r="Z124" i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Z200" i="1"/>
  <c r="BN200" i="1"/>
  <c r="Z202" i="1"/>
  <c r="BN202" i="1"/>
  <c r="Y216" i="1"/>
  <c r="Z208" i="1"/>
  <c r="BN208" i="1"/>
  <c r="Z210" i="1"/>
  <c r="BN210" i="1"/>
  <c r="Z212" i="1"/>
  <c r="BN212" i="1"/>
  <c r="Z214" i="1"/>
  <c r="BN214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323" i="1"/>
  <c r="BN323" i="1"/>
  <c r="Z323" i="1"/>
  <c r="Y325" i="1"/>
  <c r="BP347" i="1"/>
  <c r="BN347" i="1"/>
  <c r="Z347" i="1"/>
  <c r="BP359" i="1"/>
  <c r="BN359" i="1"/>
  <c r="Z359" i="1"/>
  <c r="Y361" i="1"/>
  <c r="Y364" i="1"/>
  <c r="BP363" i="1"/>
  <c r="BN363" i="1"/>
  <c r="Z363" i="1"/>
  <c r="Z364" i="1" s="1"/>
  <c r="Y365" i="1"/>
  <c r="T499" i="1"/>
  <c r="Y371" i="1"/>
  <c r="BP368" i="1"/>
  <c r="BN368" i="1"/>
  <c r="Z368" i="1"/>
  <c r="Z370" i="1" s="1"/>
  <c r="Y370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Y483" i="1"/>
  <c r="Z499" i="1"/>
  <c r="Y487" i="1"/>
  <c r="BP486" i="1"/>
  <c r="BN486" i="1"/>
  <c r="Z486" i="1"/>
  <c r="Z487" i="1" s="1"/>
  <c r="Y488" i="1"/>
  <c r="K499" i="1"/>
  <c r="Y235" i="1"/>
  <c r="BP259" i="1"/>
  <c r="BN259" i="1"/>
  <c r="Z259" i="1"/>
  <c r="M499" i="1"/>
  <c r="Y269" i="1"/>
  <c r="BP264" i="1"/>
  <c r="BN264" i="1"/>
  <c r="Z264" i="1"/>
  <c r="Y268" i="1"/>
  <c r="BP273" i="1"/>
  <c r="BN273" i="1"/>
  <c r="Z273" i="1"/>
  <c r="Z275" i="1" s="1"/>
  <c r="Y286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6" i="1"/>
  <c r="BP329" i="1"/>
  <c r="BN329" i="1"/>
  <c r="Z329" i="1"/>
  <c r="BP344" i="1"/>
  <c r="BN344" i="1"/>
  <c r="Z344" i="1"/>
  <c r="Z350" i="1" s="1"/>
  <c r="BP349" i="1"/>
  <c r="BN349" i="1"/>
  <c r="Z349" i="1"/>
  <c r="Y351" i="1"/>
  <c r="Y356" i="1"/>
  <c r="BP353" i="1"/>
  <c r="BN353" i="1"/>
  <c r="Z353" i="1"/>
  <c r="Z355" i="1" s="1"/>
  <c r="Y360" i="1"/>
  <c r="BP374" i="1"/>
  <c r="BN374" i="1"/>
  <c r="Z374" i="1"/>
  <c r="Y376" i="1"/>
  <c r="Y381" i="1"/>
  <c r="BP378" i="1"/>
  <c r="BN378" i="1"/>
  <c r="Z378" i="1"/>
  <c r="Z380" i="1" s="1"/>
  <c r="U499" i="1"/>
  <c r="BP388" i="1"/>
  <c r="BN388" i="1"/>
  <c r="Z388" i="1"/>
  <c r="BP392" i="1"/>
  <c r="BN392" i="1"/>
  <c r="Z392" i="1"/>
  <c r="Y399" i="1"/>
  <c r="BP409" i="1"/>
  <c r="BN409" i="1"/>
  <c r="Z409" i="1"/>
  <c r="BP427" i="1"/>
  <c r="BN427" i="1"/>
  <c r="Z427" i="1"/>
  <c r="BP431" i="1"/>
  <c r="BN431" i="1"/>
  <c r="Z431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S499" i="1"/>
  <c r="P499" i="1"/>
  <c r="Y281" i="1"/>
  <c r="R499" i="1"/>
  <c r="Y33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Z473" i="1" s="1"/>
  <c r="Y482" i="1"/>
  <c r="Y499" i="1"/>
  <c r="Z375" i="1" l="1"/>
  <c r="Z360" i="1"/>
  <c r="Z204" i="1"/>
  <c r="Z178" i="1"/>
  <c r="Z143" i="1"/>
  <c r="Z126" i="1"/>
  <c r="Z88" i="1"/>
  <c r="Z81" i="1"/>
  <c r="Z69" i="1"/>
  <c r="Z63" i="1"/>
  <c r="Z57" i="1"/>
  <c r="Z216" i="1"/>
  <c r="Z172" i="1"/>
  <c r="Z76" i="1"/>
  <c r="Z432" i="1"/>
  <c r="Z462" i="1"/>
  <c r="Z394" i="1"/>
  <c r="Z331" i="1"/>
  <c r="Z482" i="1"/>
  <c r="Z325" i="1"/>
  <c r="Z116" i="1"/>
  <c r="Z95" i="1"/>
  <c r="Z399" i="1"/>
  <c r="Z281" i="1"/>
  <c r="Z235" i="1"/>
  <c r="Z438" i="1"/>
  <c r="Z268" i="1"/>
  <c r="Z103" i="1"/>
  <c r="Z43" i="1"/>
  <c r="Z31" i="1"/>
  <c r="Y493" i="1"/>
  <c r="Y490" i="1"/>
  <c r="Z411" i="1"/>
  <c r="Z260" i="1"/>
  <c r="Z251" i="1"/>
  <c r="Y489" i="1"/>
  <c r="Z468" i="1"/>
  <c r="Y491" i="1"/>
  <c r="Z305" i="1"/>
  <c r="Z295" i="1"/>
  <c r="Z494" i="1" l="1"/>
  <c r="Y492" i="1"/>
</calcChain>
</file>

<file path=xl/sharedStrings.xml><?xml version="1.0" encoding="utf-8"?>
<sst xmlns="http://schemas.openxmlformats.org/spreadsheetml/2006/main" count="2259" uniqueCount="768">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</sst>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0.41666666666666669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345.6</v>
      </c>
      <c r="Y40" s="542">
        <f>IFERROR(IF(X40="",0,CEILING((X40/$H40),1)*$H40),"")</f>
        <v>345.6</v>
      </c>
      <c r="Z40" s="36">
        <f>IFERROR(IF(Y40=0,"",ROUNDUP(Y40/H40,0)*0.01898),"")</f>
        <v>0.60736000000000001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358.72</v>
      </c>
      <c r="BN40" s="64">
        <f>IFERROR(Y40*I40/H40,"0")</f>
        <v>358.72</v>
      </c>
      <c r="BO40" s="64">
        <f>IFERROR(1/J40*(X40/H40),"0")</f>
        <v>0.5</v>
      </c>
      <c r="BP40" s="64">
        <f>IFERROR(1/J40*(Y40/H40),"0")</f>
        <v>0.5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32</v>
      </c>
      <c r="Y43" s="543">
        <f>IFERROR(Y40/H40,"0")+IFERROR(Y41/H41,"0")+IFERROR(Y42/H42,"0")</f>
        <v>32</v>
      </c>
      <c r="Z43" s="543">
        <f>IFERROR(IF(Z40="",0,Z40),"0")+IFERROR(IF(Z41="",0,Z41),"0")+IFERROR(IF(Z42="",0,Z42),"0")</f>
        <v>0.60736000000000001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345.6</v>
      </c>
      <c r="Y44" s="543">
        <f>IFERROR(SUM(Y40:Y42),"0")</f>
        <v>345.6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89.6</v>
      </c>
      <c r="Y51" s="542">
        <f t="shared" ref="Y51:Y56" si="0">IFERROR(IF(X51="",0,CEILING((X51/$H51),1)*$H51),"")</f>
        <v>89.6</v>
      </c>
      <c r="Z51" s="36">
        <f>IFERROR(IF(Y51=0,"",ROUNDUP(Y51/H51,0)*0.01898),"")</f>
        <v>0.15184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92.88</v>
      </c>
      <c r="BN51" s="64">
        <f t="shared" ref="BN51:BN56" si="2">IFERROR(Y51*I51/H51,"0")</f>
        <v>92.88</v>
      </c>
      <c r="BO51" s="64">
        <f t="shared" ref="BO51:BO56" si="3">IFERROR(1/J51*(X51/H51),"0")</f>
        <v>0.125</v>
      </c>
      <c r="BP51" s="64">
        <f t="shared" ref="BP51:BP56" si="4">IFERROR(1/J51*(Y51/H51),"0")</f>
        <v>0.125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172.8</v>
      </c>
      <c r="Y52" s="542">
        <f t="shared" si="0"/>
        <v>172.8</v>
      </c>
      <c r="Z52" s="36">
        <f>IFERROR(IF(Y52=0,"",ROUNDUP(Y52/H52,0)*0.01898),"")</f>
        <v>0.30368000000000001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179.36</v>
      </c>
      <c r="BN52" s="64">
        <f t="shared" si="2"/>
        <v>179.36</v>
      </c>
      <c r="BO52" s="64">
        <f t="shared" si="3"/>
        <v>0.25</v>
      </c>
      <c r="BP52" s="64">
        <f t="shared" si="4"/>
        <v>0.25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24</v>
      </c>
      <c r="Y57" s="543">
        <f>IFERROR(Y51/H51,"0")+IFERROR(Y52/H52,"0")+IFERROR(Y53/H53,"0")+IFERROR(Y54/H54,"0")+IFERROR(Y55/H55,"0")+IFERROR(Y56/H56,"0")</f>
        <v>24</v>
      </c>
      <c r="Z57" s="543">
        <f>IFERROR(IF(Z51="",0,Z51),"0")+IFERROR(IF(Z52="",0,Z52),"0")+IFERROR(IF(Z53="",0,Z53),"0")+IFERROR(IF(Z54="",0,Z54),"0")+IFERROR(IF(Z55="",0,Z55),"0")+IFERROR(IF(Z56="",0,Z56),"0")</f>
        <v>0.45552000000000004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262.39999999999998</v>
      </c>
      <c r="Y58" s="543">
        <f>IFERROR(SUM(Y51:Y56),"0")</f>
        <v>262.39999999999998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172.8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179.36</v>
      </c>
      <c r="BN60" s="64">
        <f>IFERROR(Y60*I60/H60,"0")</f>
        <v>179.36</v>
      </c>
      <c r="BO60" s="64">
        <f>IFERROR(1/J60*(X60/H60),"0")</f>
        <v>0.25</v>
      </c>
      <c r="BP60" s="64">
        <f>IFERROR(1/J60*(Y60/H60),"0")</f>
        <v>0.25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16</v>
      </c>
      <c r="Y63" s="543">
        <f>IFERROR(Y60/H60,"0")+IFERROR(Y61/H61,"0")+IFERROR(Y62/H62,"0")</f>
        <v>16</v>
      </c>
      <c r="Z63" s="543">
        <f>IFERROR(IF(Z60="",0,Z60),"0")+IFERROR(IF(Z61="",0,Z61),"0")+IFERROR(IF(Z62="",0,Z62),"0")</f>
        <v>0.30368000000000001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172.8</v>
      </c>
      <c r="Y64" s="543">
        <f>IFERROR(SUM(Y60:Y62),"0")</f>
        <v>172.8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62.4</v>
      </c>
      <c r="Y79" s="542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8</v>
      </c>
      <c r="Y81" s="543">
        <f>IFERROR(Y79/H79,"0")+IFERROR(Y80/H80,"0")</f>
        <v>8</v>
      </c>
      <c r="Z81" s="543">
        <f>IFERROR(IF(Z79="",0,Z79),"0")+IFERROR(IF(Z80="",0,Z80),"0")</f>
        <v>0.15184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62.4</v>
      </c>
      <c r="Y82" s="543">
        <f>IFERROR(SUM(Y79:Y80),"0")</f>
        <v>62.4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259.2</v>
      </c>
      <c r="Y85" s="542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269.03999999999996</v>
      </c>
      <c r="BN85" s="64">
        <f>IFERROR(Y85*I85/H85,"0")</f>
        <v>269.04000000000002</v>
      </c>
      <c r="BO85" s="64">
        <f>IFERROR(1/J85*(X85/H85),"0")</f>
        <v>0.37499999999999994</v>
      </c>
      <c r="BP85" s="64">
        <f>IFERROR(1/J85*(Y85/H85),"0")</f>
        <v>0.37500000000000006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23.999999999999996</v>
      </c>
      <c r="Y88" s="543">
        <f>IFERROR(Y85/H85,"0")+IFERROR(Y86/H86,"0")+IFERROR(Y87/H87,"0")</f>
        <v>24.000000000000004</v>
      </c>
      <c r="Z88" s="543">
        <f>IFERROR(IF(Z85="",0,Z85),"0")+IFERROR(IF(Z86="",0,Z86),"0")+IFERROR(IF(Z87="",0,Z87),"0")</f>
        <v>0.45552000000000004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259.2</v>
      </c>
      <c r="Y89" s="543">
        <f>IFERROR(SUM(Y85:Y87),"0")</f>
        <v>259.20000000000005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129.6</v>
      </c>
      <c r="Y91" s="542">
        <f>IFERROR(IF(X91="",0,CEILING((X91/$H91),1)*$H91),"")</f>
        <v>129.6</v>
      </c>
      <c r="Z91" s="36">
        <f>IFERROR(IF(Y91=0,"",ROUNDUP(Y91/H91,0)*0.01898),"")</f>
        <v>0.30368000000000001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137.50399999999999</v>
      </c>
      <c r="BN91" s="64">
        <f>IFERROR(Y91*I91/H91,"0")</f>
        <v>137.50399999999999</v>
      </c>
      <c r="BO91" s="64">
        <f>IFERROR(1/J91*(X91/H91),"0")</f>
        <v>0.25</v>
      </c>
      <c r="BP91" s="64">
        <f>IFERROR(1/J91*(Y91/H91),"0")</f>
        <v>0.25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75.599999999999994</v>
      </c>
      <c r="Y93" s="542">
        <f>IFERROR(IF(X93="",0,CEILING((X93/$H93),1)*$H93),"")</f>
        <v>75.600000000000009</v>
      </c>
      <c r="Z93" s="36">
        <f>IFERROR(IF(Y93=0,"",ROUNDUP(Y93/H93,0)*0.00651),"")</f>
        <v>0.18228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82.655999999999977</v>
      </c>
      <c r="BN93" s="64">
        <f>IFERROR(Y93*I93/H93,"0")</f>
        <v>82.656000000000006</v>
      </c>
      <c r="BO93" s="64">
        <f>IFERROR(1/J93*(X93/H93),"0")</f>
        <v>0.15384615384615383</v>
      </c>
      <c r="BP93" s="64">
        <f>IFERROR(1/J93*(Y93/H93),"0")</f>
        <v>0.15384615384615385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44</v>
      </c>
      <c r="Y95" s="543">
        <f>IFERROR(Y91/H91,"0")+IFERROR(Y92/H92,"0")+IFERROR(Y93/H93,"0")+IFERROR(Y94/H94,"0")</f>
        <v>44</v>
      </c>
      <c r="Z95" s="543">
        <f>IFERROR(IF(Z91="",0,Z91),"0")+IFERROR(IF(Z92="",0,Z92),"0")+IFERROR(IF(Z93="",0,Z93),"0")+IFERROR(IF(Z94="",0,Z94),"0")</f>
        <v>0.48596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205.2</v>
      </c>
      <c r="Y96" s="543">
        <f>IFERROR(SUM(Y91:Y94),"0")</f>
        <v>205.2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172.8</v>
      </c>
      <c r="Y99" s="542">
        <f>IFERROR(IF(X99="",0,CEILING((X99/$H99),1)*$H99),"")</f>
        <v>172.8</v>
      </c>
      <c r="Z99" s="36">
        <f>IFERROR(IF(Y99=0,"",ROUNDUP(Y99/H99,0)*0.01898),"")</f>
        <v>0.30368000000000001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179.36</v>
      </c>
      <c r="BN99" s="64">
        <f>IFERROR(Y99*I99/H99,"0")</f>
        <v>179.36</v>
      </c>
      <c r="BO99" s="64">
        <f>IFERROR(1/J99*(X99/H99),"0")</f>
        <v>0.25</v>
      </c>
      <c r="BP99" s="64">
        <f>IFERROR(1/J99*(Y99/H99),"0")</f>
        <v>0.25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16</v>
      </c>
      <c r="Y103" s="543">
        <f>IFERROR(Y99/H99,"0")+IFERROR(Y100/H100,"0")+IFERROR(Y101/H101,"0")+IFERROR(Y102/H102,"0")</f>
        <v>16</v>
      </c>
      <c r="Z103" s="543">
        <f>IFERROR(IF(Z99="",0,Z99),"0")+IFERROR(IF(Z100="",0,Z100),"0")+IFERROR(IF(Z101="",0,Z101),"0")+IFERROR(IF(Z102="",0,Z102),"0")</f>
        <v>0.30368000000000001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172.8</v>
      </c>
      <c r="Y104" s="543">
        <f>IFERROR(SUM(Y99:Y102),"0")</f>
        <v>172.8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129.6</v>
      </c>
      <c r="Y112" s="542">
        <f>IFERROR(IF(X112="",0,CEILING((X112/$H112),1)*$H112),"")</f>
        <v>129.6</v>
      </c>
      <c r="Z112" s="36">
        <f>IFERROR(IF(Y112=0,"",ROUNDUP(Y112/H112,0)*0.01898),"")</f>
        <v>0.30368000000000001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137.40799999999999</v>
      </c>
      <c r="BN112" s="64">
        <f>IFERROR(Y112*I112/H112,"0")</f>
        <v>137.40799999999999</v>
      </c>
      <c r="BO112" s="64">
        <f>IFERROR(1/J112*(X112/H112),"0")</f>
        <v>0.25</v>
      </c>
      <c r="BP112" s="64">
        <f>IFERROR(1/J112*(Y112/H112),"0")</f>
        <v>0.25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64.8</v>
      </c>
      <c r="Y114" s="542">
        <f>IFERROR(IF(X114="",0,CEILING((X114/$H114),1)*$H114),"")</f>
        <v>64.800000000000011</v>
      </c>
      <c r="Z114" s="36">
        <f>IFERROR(IF(Y114=0,"",ROUNDUP(Y114/H114,0)*0.00651),"")</f>
        <v>0.15623999999999999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70.847999999999985</v>
      </c>
      <c r="BN114" s="64">
        <f>IFERROR(Y114*I114/H114,"0")</f>
        <v>70.848000000000013</v>
      </c>
      <c r="BO114" s="64">
        <f>IFERROR(1/J114*(X114/H114),"0")</f>
        <v>0.13186813186813187</v>
      </c>
      <c r="BP114" s="64">
        <f>IFERROR(1/J114*(Y114/H114),"0")</f>
        <v>0.1318681318681319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40</v>
      </c>
      <c r="Y116" s="543">
        <f>IFERROR(Y112/H112,"0")+IFERROR(Y113/H113,"0")+IFERROR(Y114/H114,"0")+IFERROR(Y115/H115,"0")</f>
        <v>40</v>
      </c>
      <c r="Z116" s="543">
        <f>IFERROR(IF(Z112="",0,Z112),"0")+IFERROR(IF(Z113="",0,Z113),"0")+IFERROR(IF(Z114="",0,Z114),"0")+IFERROR(IF(Z115="",0,Z115),"0")</f>
        <v>0.45992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194.39999999999998</v>
      </c>
      <c r="Y117" s="543">
        <f>IFERROR(SUM(Y112:Y115),"0")</f>
        <v>194.4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50.4</v>
      </c>
      <c r="Y163" s="542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53.4</v>
      </c>
      <c r="BN163" s="64">
        <f t="shared" si="7"/>
        <v>53.400000000000006</v>
      </c>
      <c r="BO163" s="64">
        <f t="shared" si="8"/>
        <v>9.0909090909090912E-2</v>
      </c>
      <c r="BP163" s="64">
        <f t="shared" si="9"/>
        <v>9.0909090909090912E-2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50.4</v>
      </c>
      <c r="Y165" s="542">
        <f t="shared" si="5"/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52.679999999999993</v>
      </c>
      <c r="BN165" s="64">
        <f t="shared" si="7"/>
        <v>52.68</v>
      </c>
      <c r="BO165" s="64">
        <f t="shared" si="8"/>
        <v>9.0909090909090912E-2</v>
      </c>
      <c r="BP165" s="64">
        <f t="shared" si="9"/>
        <v>9.0909090909090912E-2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113.4</v>
      </c>
      <c r="Y166" s="542">
        <f t="shared" si="5"/>
        <v>113.4</v>
      </c>
      <c r="Z166" s="36">
        <f>IFERROR(IF(Y166=0,"",ROUNDUP(Y166/H166,0)*0.00502),"")</f>
        <v>0.27107999999999999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120.42</v>
      </c>
      <c r="BN166" s="64">
        <f t="shared" si="7"/>
        <v>120.42</v>
      </c>
      <c r="BO166" s="64">
        <f t="shared" si="8"/>
        <v>0.23076923076923078</v>
      </c>
      <c r="BP166" s="64">
        <f t="shared" si="9"/>
        <v>0.23076923076923078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378</v>
      </c>
      <c r="Y169" s="542">
        <f t="shared" si="5"/>
        <v>378</v>
      </c>
      <c r="Z169" s="36">
        <f>IFERROR(IF(Y169=0,"",ROUNDUP(Y169/H169,0)*0.00502),"")</f>
        <v>0.90360000000000007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396</v>
      </c>
      <c r="BN169" s="64">
        <f t="shared" si="7"/>
        <v>396</v>
      </c>
      <c r="BO169" s="64">
        <f t="shared" si="8"/>
        <v>0.76923076923076927</v>
      </c>
      <c r="BP169" s="64">
        <f t="shared" si="9"/>
        <v>0.76923076923076927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258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258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1.3911600000000002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592.20000000000005</v>
      </c>
      <c r="Y173" s="543">
        <f>IFERROR(SUM(Y162:Y171),"0")</f>
        <v>592.20000000000005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129.6</v>
      </c>
      <c r="Y196" s="542">
        <f t="shared" ref="Y196:Y203" si="10">IFERROR(IF(X196="",0,CEILING((X196/$H196),1)*$H196),"")</f>
        <v>129.60000000000002</v>
      </c>
      <c r="Z196" s="36">
        <f>IFERROR(IF(Y196=0,"",ROUNDUP(Y196/H196,0)*0.00902),"")</f>
        <v>0.21648000000000001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134.15999999999997</v>
      </c>
      <c r="BN196" s="64">
        <f t="shared" ref="BN196:BN203" si="12">IFERROR(Y196*I196/H196,"0")</f>
        <v>134.16</v>
      </c>
      <c r="BO196" s="64">
        <f t="shared" ref="BO196:BO203" si="13">IFERROR(1/J196*(X196/H196),"0")</f>
        <v>0.1818181818181818</v>
      </c>
      <c r="BP196" s="64">
        <f t="shared" ref="BP196:BP203" si="14">IFERROR(1/J196*(Y196/H196),"0")</f>
        <v>0.18181818181818185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64.8</v>
      </c>
      <c r="Y198" s="542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67.079999999999984</v>
      </c>
      <c r="BN198" s="64">
        <f t="shared" si="12"/>
        <v>67.08</v>
      </c>
      <c r="BO198" s="64">
        <f t="shared" si="13"/>
        <v>9.0909090909090898E-2</v>
      </c>
      <c r="BP198" s="64">
        <f t="shared" si="14"/>
        <v>9.0909090909090925E-2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64.8</v>
      </c>
      <c r="Y199" s="542">
        <f t="shared" si="10"/>
        <v>64.800000000000011</v>
      </c>
      <c r="Z199" s="36">
        <f>IFERROR(IF(Y199=0,"",ROUNDUP(Y199/H199,0)*0.00902),"")</f>
        <v>0.10824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67.079999999999984</v>
      </c>
      <c r="BN199" s="64">
        <f t="shared" si="12"/>
        <v>67.08</v>
      </c>
      <c r="BO199" s="64">
        <f t="shared" si="13"/>
        <v>9.0909090909090898E-2</v>
      </c>
      <c r="BP199" s="64">
        <f t="shared" si="14"/>
        <v>9.0909090909090925E-2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47.999999999999993</v>
      </c>
      <c r="Y204" s="543">
        <f>IFERROR(Y196/H196,"0")+IFERROR(Y197/H197,"0")+IFERROR(Y198/H198,"0")+IFERROR(Y199/H199,"0")+IFERROR(Y200/H200,"0")+IFERROR(Y201/H201,"0")+IFERROR(Y202/H202,"0")+IFERROR(Y203/H203,"0")</f>
        <v>48.000000000000007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0.43296000000000001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259.2</v>
      </c>
      <c r="Y205" s="543">
        <f>IFERROR(SUM(Y196:Y203),"0")</f>
        <v>259.20000000000005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278.39999999999998</v>
      </c>
      <c r="Y209" s="542">
        <f t="shared" si="15"/>
        <v>278.39999999999998</v>
      </c>
      <c r="Z209" s="36">
        <f>IFERROR(IF(Y209=0,"",ROUNDUP(Y209/H209,0)*0.01898),"")</f>
        <v>0.60736000000000001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294.20800000000003</v>
      </c>
      <c r="BN209" s="64">
        <f t="shared" si="17"/>
        <v>294.20800000000003</v>
      </c>
      <c r="BO209" s="64">
        <f t="shared" si="18"/>
        <v>0.5</v>
      </c>
      <c r="BP209" s="64">
        <f t="shared" si="19"/>
        <v>0.5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86.4</v>
      </c>
      <c r="Y210" s="542">
        <f t="shared" si="15"/>
        <v>86.399999999999991</v>
      </c>
      <c r="Z210" s="36">
        <f t="shared" ref="Z210:Z215" si="20">IFERROR(IF(Y210=0,"",ROUNDUP(Y210/H210,0)*0.00651),"")</f>
        <v>0.23436000000000001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96.12</v>
      </c>
      <c r="BN210" s="64">
        <f t="shared" si="17"/>
        <v>96.11999999999999</v>
      </c>
      <c r="BO210" s="64">
        <f t="shared" si="18"/>
        <v>0.19780219780219785</v>
      </c>
      <c r="BP210" s="64">
        <f t="shared" si="19"/>
        <v>0.19780219780219782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144</v>
      </c>
      <c r="Y212" s="542">
        <f t="shared" si="15"/>
        <v>144</v>
      </c>
      <c r="Z212" s="36">
        <f t="shared" si="20"/>
        <v>0.3906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159.12000000000003</v>
      </c>
      <c r="BN212" s="64">
        <f t="shared" si="17"/>
        <v>159.12000000000003</v>
      </c>
      <c r="BO212" s="64">
        <f t="shared" si="18"/>
        <v>0.32967032967032972</v>
      </c>
      <c r="BP212" s="64">
        <f t="shared" si="19"/>
        <v>0.32967032967032972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172.8</v>
      </c>
      <c r="Y213" s="542">
        <f t="shared" si="15"/>
        <v>172.79999999999998</v>
      </c>
      <c r="Z213" s="36">
        <f t="shared" si="20"/>
        <v>0.46872000000000003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190.94400000000005</v>
      </c>
      <c r="BN213" s="64">
        <f t="shared" si="17"/>
        <v>190.94400000000002</v>
      </c>
      <c r="BO213" s="64">
        <f t="shared" si="18"/>
        <v>0.3956043956043957</v>
      </c>
      <c r="BP213" s="64">
        <f t="shared" si="19"/>
        <v>0.39560439560439564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86.4</v>
      </c>
      <c r="Y215" s="542">
        <f t="shared" si="15"/>
        <v>86.399999999999991</v>
      </c>
      <c r="Z215" s="36">
        <f t="shared" si="20"/>
        <v>0.23436000000000001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95.688000000000017</v>
      </c>
      <c r="BN215" s="64">
        <f t="shared" si="17"/>
        <v>95.687999999999988</v>
      </c>
      <c r="BO215" s="64">
        <f t="shared" si="18"/>
        <v>0.19780219780219785</v>
      </c>
      <c r="BP215" s="64">
        <f t="shared" si="19"/>
        <v>0.19780219780219782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236</v>
      </c>
      <c r="Y216" s="543">
        <f>IFERROR(Y207/H207,"0")+IFERROR(Y208/H208,"0")+IFERROR(Y209/H209,"0")+IFERROR(Y210/H210,"0")+IFERROR(Y211/H211,"0")+IFERROR(Y212/H212,"0")+IFERROR(Y213/H213,"0")+IFERROR(Y214/H214,"0")+IFERROR(Y215/H215,"0")</f>
        <v>236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1.9354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767.99999999999989</v>
      </c>
      <c r="Y217" s="543">
        <f>IFERROR(SUM(Y207:Y215),"0")</f>
        <v>767.99999999999989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144</v>
      </c>
      <c r="Y273" s="542">
        <f>IFERROR(IF(X273="",0,CEILING((X273/$H273),1)*$H273),"")</f>
        <v>144</v>
      </c>
      <c r="Z273" s="36">
        <f>IFERROR(IF(Y273=0,"",ROUNDUP(Y273/H273,0)*0.00651),"")</f>
        <v>0.3906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159.12000000000003</v>
      </c>
      <c r="BN273" s="64">
        <f>IFERROR(Y273*I273/H273,"0")</f>
        <v>159.12000000000003</v>
      </c>
      <c r="BO273" s="64">
        <f>IFERROR(1/J273*(X273/H273),"0")</f>
        <v>0.32967032967032972</v>
      </c>
      <c r="BP273" s="64">
        <f>IFERROR(1/J273*(Y273/H273),"0")</f>
        <v>0.32967032967032972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144</v>
      </c>
      <c r="Y274" s="542">
        <f>IFERROR(IF(X274="",0,CEILING((X274/$H274),1)*$H274),"")</f>
        <v>144</v>
      </c>
      <c r="Z274" s="36">
        <f>IFERROR(IF(Y274=0,"",ROUNDUP(Y274/H274,0)*0.00651),"")</f>
        <v>0.3906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154.80000000000001</v>
      </c>
      <c r="BN274" s="64">
        <f>IFERROR(Y274*I274/H274,"0")</f>
        <v>154.80000000000001</v>
      </c>
      <c r="BO274" s="64">
        <f>IFERROR(1/J274*(X274/H274),"0")</f>
        <v>0.32967032967032972</v>
      </c>
      <c r="BP274" s="64">
        <f>IFERROR(1/J274*(Y274/H274),"0")</f>
        <v>0.32967032967032972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120</v>
      </c>
      <c r="Y275" s="543">
        <f>IFERROR(Y272/H272,"0")+IFERROR(Y273/H273,"0")+IFERROR(Y274/H274,"0")</f>
        <v>120</v>
      </c>
      <c r="Z275" s="543">
        <f>IFERROR(IF(Z272="",0,Z272),"0")+IFERROR(IF(Z273="",0,Z273),"0")+IFERROR(IF(Z274="",0,Z274),"0")</f>
        <v>0.78120000000000001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288</v>
      </c>
      <c r="Y276" s="543">
        <f>IFERROR(SUM(Y272:Y274),"0")</f>
        <v>288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67.2</v>
      </c>
      <c r="Y315" s="542">
        <f>IFERROR(IF(X315="",0,CEILING((X315/$H315),1)*$H315),"")</f>
        <v>67.2</v>
      </c>
      <c r="Z315" s="36">
        <f>IFERROR(IF(Y315=0,"",ROUNDUP(Y315/H315,0)*0.01898),"")</f>
        <v>0.15184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71.152000000000001</v>
      </c>
      <c r="BN315" s="64">
        <f>IFERROR(Y315*I315/H315,"0")</f>
        <v>71.152000000000001</v>
      </c>
      <c r="BO315" s="64">
        <f>IFERROR(1/J315*(X315/H315),"0")</f>
        <v>0.125</v>
      </c>
      <c r="BP315" s="64">
        <f>IFERROR(1/J315*(Y315/H315),"0")</f>
        <v>0.125</v>
      </c>
    </row>
    <row r="316" spans="1:68" ht="27" hidden="1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67.2</v>
      </c>
      <c r="Y317" s="542">
        <f>IFERROR(IF(X317="",0,CEILING((X317/$H317),1)*$H317),"")</f>
        <v>67.2</v>
      </c>
      <c r="Z317" s="36">
        <f>IFERROR(IF(Y317=0,"",ROUNDUP(Y317/H317,0)*0.01898),"")</f>
        <v>0.15184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71.152000000000001</v>
      </c>
      <c r="BN317" s="64">
        <f>IFERROR(Y317*I317/H317,"0")</f>
        <v>71.152000000000001</v>
      </c>
      <c r="BO317" s="64">
        <f>IFERROR(1/J317*(X317/H317),"0")</f>
        <v>0.125</v>
      </c>
      <c r="BP317" s="64">
        <f>IFERROR(1/J317*(Y317/H317),"0")</f>
        <v>0.125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16</v>
      </c>
      <c r="Y318" s="543">
        <f>IFERROR(Y315/H315,"0")+IFERROR(Y316/H316,"0")+IFERROR(Y317/H317,"0")</f>
        <v>16</v>
      </c>
      <c r="Z318" s="543">
        <f>IFERROR(IF(Z315="",0,Z315),"0")+IFERROR(IF(Z316="",0,Z316),"0")+IFERROR(IF(Z317="",0,Z317),"0")</f>
        <v>0.30368000000000001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134.4</v>
      </c>
      <c r="Y319" s="543">
        <f>IFERROR(SUM(Y315:Y317),"0")</f>
        <v>134.4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64.8</v>
      </c>
      <c r="Y335" s="542">
        <f>IFERROR(IF(X335="",0,CEILING((X335/$H335),1)*$H335),"")</f>
        <v>64.8</v>
      </c>
      <c r="Z335" s="36">
        <f>IFERROR(IF(Y335=0,"",ROUNDUP(Y335/H335,0)*0.01898),"")</f>
        <v>0.15184</v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68.751999999999995</v>
      </c>
      <c r="BN335" s="64">
        <f>IFERROR(Y335*I335/H335,"0")</f>
        <v>68.751999999999995</v>
      </c>
      <c r="BO335" s="64">
        <f>IFERROR(1/J335*(X335/H335),"0")</f>
        <v>0.125</v>
      </c>
      <c r="BP335" s="64">
        <f>IFERROR(1/J335*(Y335/H335),"0")</f>
        <v>0.125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8</v>
      </c>
      <c r="Y338" s="543">
        <f>IFERROR(Y335/H335,"0")+IFERROR(Y336/H336,"0")+IFERROR(Y337/H337,"0")</f>
        <v>8</v>
      </c>
      <c r="Z338" s="543">
        <f>IFERROR(IF(Z335="",0,Z335),"0")+IFERROR(IF(Z336="",0,Z336),"0")+IFERROR(IF(Z337="",0,Z337),"0")</f>
        <v>0.15184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64.8</v>
      </c>
      <c r="Y339" s="543">
        <f>IFERROR(SUM(Y335:Y337),"0")</f>
        <v>64.8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hidden="1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1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0</v>
      </c>
      <c r="BN343" s="64">
        <f t="shared" ref="BN343:BN349" si="33">IFERROR(Y343*I343/H343,"0")</f>
        <v>0</v>
      </c>
      <c r="BO343" s="64">
        <f t="shared" ref="BO343:BO349" si="34">IFERROR(1/J343*(X343/H343),"0")</f>
        <v>0</v>
      </c>
      <c r="BP343" s="64">
        <f t="shared" ref="BP343:BP349" si="35">IFERROR(1/J343*(Y343/H343),"0")</f>
        <v>0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120</v>
      </c>
      <c r="Y344" s="542">
        <f t="shared" si="31"/>
        <v>120</v>
      </c>
      <c r="Z344" s="36">
        <f>IFERROR(IF(Y344=0,"",ROUNDUP(Y344/H344,0)*0.02175),"")</f>
        <v>0.17399999999999999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123.76</v>
      </c>
      <c r="BN344" s="64">
        <f t="shared" si="33"/>
        <v>123.76</v>
      </c>
      <c r="BO344" s="64">
        <f t="shared" si="34"/>
        <v>0.16666666666666666</v>
      </c>
      <c r="BP344" s="64">
        <f t="shared" si="35"/>
        <v>0.16666666666666666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135</v>
      </c>
      <c r="Y345" s="542">
        <f t="shared" si="31"/>
        <v>135</v>
      </c>
      <c r="Z345" s="36">
        <f>IFERROR(IF(Y345=0,"",ROUNDUP(Y345/H345,0)*0.02175),"")</f>
        <v>0.19574999999999998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139.23000000000002</v>
      </c>
      <c r="BN345" s="64">
        <f t="shared" si="33"/>
        <v>139.23000000000002</v>
      </c>
      <c r="BO345" s="64">
        <f t="shared" si="34"/>
        <v>0.1875</v>
      </c>
      <c r="BP345" s="64">
        <f t="shared" si="35"/>
        <v>0.1875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17</v>
      </c>
      <c r="Y350" s="543">
        <f>IFERROR(Y343/H343,"0")+IFERROR(Y344/H344,"0")+IFERROR(Y345/H345,"0")+IFERROR(Y346/H346,"0")+IFERROR(Y347/H347,"0")+IFERROR(Y348/H348,"0")+IFERROR(Y349/H349,"0")</f>
        <v>17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0.36974999999999997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255</v>
      </c>
      <c r="Y351" s="543">
        <f>IFERROR(SUM(Y343:Y349),"0")</f>
        <v>255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240</v>
      </c>
      <c r="Y353" s="542">
        <f>IFERROR(IF(X353="",0,CEILING((X353/$H353),1)*$H353),"")</f>
        <v>240</v>
      </c>
      <c r="Z353" s="36">
        <f>IFERROR(IF(Y353=0,"",ROUNDUP(Y353/H353,0)*0.02175),"")</f>
        <v>0.34799999999999998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247.52</v>
      </c>
      <c r="BN353" s="64">
        <f>IFERROR(Y353*I353/H353,"0")</f>
        <v>247.52</v>
      </c>
      <c r="BO353" s="64">
        <f>IFERROR(1/J353*(X353/H353),"0")</f>
        <v>0.33333333333333331</v>
      </c>
      <c r="BP353" s="64">
        <f>IFERROR(1/J353*(Y353/H353),"0")</f>
        <v>0.33333333333333331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16</v>
      </c>
      <c r="Y355" s="543">
        <f>IFERROR(Y353/H353,"0")+IFERROR(Y354/H354,"0")</f>
        <v>16</v>
      </c>
      <c r="Z355" s="543">
        <f>IFERROR(IF(Z353="",0,Z353),"0")+IFERROR(IF(Z354="",0,Z354),"0")</f>
        <v>0.34799999999999998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240</v>
      </c>
      <c r="Y356" s="543">
        <f>IFERROR(SUM(Y353:Y354),"0")</f>
        <v>240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72</v>
      </c>
      <c r="Y363" s="542">
        <f>IFERROR(IF(X363="",0,CEILING((X363/$H363),1)*$H363),"")</f>
        <v>72</v>
      </c>
      <c r="Z363" s="36">
        <f>IFERROR(IF(Y363=0,"",ROUNDUP(Y363/H363,0)*0.01898),"")</f>
        <v>0.15184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75.951999999999998</v>
      </c>
      <c r="BN363" s="64">
        <f>IFERROR(Y363*I363/H363,"0")</f>
        <v>75.951999999999998</v>
      </c>
      <c r="BO363" s="64">
        <f>IFERROR(1/J363*(X363/H363),"0")</f>
        <v>0.125</v>
      </c>
      <c r="BP363" s="64">
        <f>IFERROR(1/J363*(Y363/H363),"0")</f>
        <v>0.125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8</v>
      </c>
      <c r="Y364" s="543">
        <f>IFERROR(Y363/H363,"0")</f>
        <v>8</v>
      </c>
      <c r="Z364" s="543">
        <f>IFERROR(IF(Z363="",0,Z363),"0")</f>
        <v>0.15184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72</v>
      </c>
      <c r="Y365" s="543">
        <f>IFERROR(SUM(Y363:Y363),"0")</f>
        <v>72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216</v>
      </c>
      <c r="Y378" s="542">
        <f>IFERROR(IF(X378="",0,CEILING((X378/$H378),1)*$H378),"")</f>
        <v>216</v>
      </c>
      <c r="Z378" s="36">
        <f>IFERROR(IF(Y378=0,"",ROUNDUP(Y378/H378,0)*0.01898),"")</f>
        <v>0.45552000000000004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227.85599999999997</v>
      </c>
      <c r="BN378" s="64">
        <f>IFERROR(Y378*I378/H378,"0")</f>
        <v>227.85599999999997</v>
      </c>
      <c r="BO378" s="64">
        <f>IFERROR(1/J378*(X378/H378),"0")</f>
        <v>0.375</v>
      </c>
      <c r="BP378" s="64">
        <f>IFERROR(1/J378*(Y378/H378),"0")</f>
        <v>0.375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57.6</v>
      </c>
      <c r="Y379" s="542">
        <f>IFERROR(IF(X379="",0,CEILING((X379/$H379),1)*$H379),"")</f>
        <v>57.599999999999994</v>
      </c>
      <c r="Z379" s="36">
        <f>IFERROR(IF(Y379=0,"",ROUNDUP(Y379/H379,0)*0.00651),"")</f>
        <v>0.15623999999999999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63.936000000000007</v>
      </c>
      <c r="BN379" s="64">
        <f>IFERROR(Y379*I379/H379,"0")</f>
        <v>63.935999999999993</v>
      </c>
      <c r="BO379" s="64">
        <f>IFERROR(1/J379*(X379/H379),"0")</f>
        <v>0.13186813186813187</v>
      </c>
      <c r="BP379" s="64">
        <f>IFERROR(1/J379*(Y379/H379),"0")</f>
        <v>0.13186813186813187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48</v>
      </c>
      <c r="Y380" s="543">
        <f>IFERROR(Y378/H378,"0")+IFERROR(Y379/H379,"0")</f>
        <v>48</v>
      </c>
      <c r="Z380" s="543">
        <f>IFERROR(IF(Z378="",0,Z378),"0")+IFERROR(IF(Z379="",0,Z379),"0")</f>
        <v>0.61176000000000008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273.60000000000002</v>
      </c>
      <c r="Y381" s="543">
        <f>IFERROR(SUM(Y378:Y379),"0")</f>
        <v>273.60000000000002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211.2</v>
      </c>
      <c r="Y423" s="542">
        <f t="shared" si="42"/>
        <v>211.20000000000002</v>
      </c>
      <c r="Z423" s="36">
        <f t="shared" si="43"/>
        <v>0.47839999999999999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225.19999999999996</v>
      </c>
      <c r="BN423" s="64">
        <f t="shared" si="45"/>
        <v>225.2</v>
      </c>
      <c r="BO423" s="64">
        <f t="shared" si="46"/>
        <v>0.38461538461538458</v>
      </c>
      <c r="BP423" s="64">
        <f t="shared" si="47"/>
        <v>0.38461538461538464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337.92</v>
      </c>
      <c r="Y426" s="542">
        <f t="shared" si="42"/>
        <v>337.92</v>
      </c>
      <c r="Z426" s="36">
        <f t="shared" si="43"/>
        <v>0.76544000000000001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360.32</v>
      </c>
      <c r="BN426" s="64">
        <f t="shared" si="45"/>
        <v>360.32</v>
      </c>
      <c r="BO426" s="64">
        <f t="shared" si="46"/>
        <v>0.61538461538461542</v>
      </c>
      <c r="BP426" s="64">
        <f t="shared" si="47"/>
        <v>0.61538461538461542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104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104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1.2438400000000001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549.12</v>
      </c>
      <c r="Y433" s="543">
        <f>IFERROR(SUM(Y421:Y431),"0")</f>
        <v>549.12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hidden="1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211.2</v>
      </c>
      <c r="Y441" s="542">
        <f t="shared" ref="Y441:Y446" si="48">IFERROR(IF(X441="",0,CEILING((X441/$H441),1)*$H441),"")</f>
        <v>211.20000000000002</v>
      </c>
      <c r="Z441" s="36">
        <f>IFERROR(IF(Y441=0,"",ROUNDUP(Y441/H441,0)*0.01196),"")</f>
        <v>0.47839999999999999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225.19999999999996</v>
      </c>
      <c r="BN441" s="64">
        <f t="shared" ref="BN441:BN446" si="50">IFERROR(Y441*I441/H441,"0")</f>
        <v>225.2</v>
      </c>
      <c r="BO441" s="64">
        <f t="shared" ref="BO441:BO446" si="51">IFERROR(1/J441*(X441/H441),"0")</f>
        <v>0.38461538461538458</v>
      </c>
      <c r="BP441" s="64">
        <f t="shared" ref="BP441:BP446" si="52">IFERROR(1/J441*(Y441/H441),"0")</f>
        <v>0.38461538461538464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168.96</v>
      </c>
      <c r="Y442" s="542">
        <f t="shared" si="48"/>
        <v>168.96</v>
      </c>
      <c r="Z442" s="36">
        <f>IFERROR(IF(Y442=0,"",ROUNDUP(Y442/H442,0)*0.01196),"")</f>
        <v>0.38272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180.16</v>
      </c>
      <c r="BN442" s="64">
        <f t="shared" si="50"/>
        <v>180.16</v>
      </c>
      <c r="BO442" s="64">
        <f t="shared" si="51"/>
        <v>0.30769230769230771</v>
      </c>
      <c r="BP442" s="64">
        <f t="shared" si="52"/>
        <v>0.30769230769230771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42.24</v>
      </c>
      <c r="Y443" s="542">
        <f t="shared" si="48"/>
        <v>42.24</v>
      </c>
      <c r="Z443" s="36">
        <f>IFERROR(IF(Y443=0,"",ROUNDUP(Y443/H443,0)*0.01196),"")</f>
        <v>9.5680000000000001E-2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45.04</v>
      </c>
      <c r="BN443" s="64">
        <f t="shared" si="50"/>
        <v>45.04</v>
      </c>
      <c r="BO443" s="64">
        <f t="shared" si="51"/>
        <v>7.6923076923076927E-2</v>
      </c>
      <c r="BP443" s="64">
        <f t="shared" si="52"/>
        <v>7.6923076923076927E-2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80</v>
      </c>
      <c r="Y447" s="543">
        <f>IFERROR(Y441/H441,"0")+IFERROR(Y442/H442,"0")+IFERROR(Y443/H443,"0")+IFERROR(Y444/H444,"0")+IFERROR(Y445/H445,"0")+IFERROR(Y446/H446,"0")</f>
        <v>80</v>
      </c>
      <c r="Z447" s="543">
        <f>IFERROR(IF(Z441="",0,Z441),"0")+IFERROR(IF(Z442="",0,Z442),"0")+IFERROR(IF(Z443="",0,Z443),"0")+IFERROR(IF(Z444="",0,Z444),"0")+IFERROR(IF(Z445="",0,Z445),"0")+IFERROR(IF(Z446="",0,Z446),"0")</f>
        <v>0.95679999999999998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422.4</v>
      </c>
      <c r="Y448" s="543">
        <f>IFERROR(SUM(Y441:Y446),"0")</f>
        <v>422.40000000000003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5593.5199999999995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5593.5199999999995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5918.8659999999982</v>
      </c>
      <c r="Y490" s="543">
        <f>IFERROR(SUM(BN22:BN486),"0")</f>
        <v>5918.8659999999982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10</v>
      </c>
      <c r="Y491" s="38">
        <f>ROUNDUP(SUM(BP22:BP486),0)</f>
        <v>10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6168.8659999999982</v>
      </c>
      <c r="Y492" s="543">
        <f>GrossWeightTotalR+PalletQtyTotalR*25</f>
        <v>6168.8659999999982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1163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1163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11.90171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345.6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497.59999999999997</v>
      </c>
      <c r="E499" s="46">
        <f>IFERROR(Y85*1,"0")+IFERROR(Y86*1,"0")+IFERROR(Y87*1,"0")+IFERROR(Y91*1,"0")+IFERROR(Y92*1,"0")+IFERROR(Y93*1,"0")+IFERROR(Y94*1,"0")</f>
        <v>464.40000000000009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367.2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592.20000000000005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1027.2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288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134.4</v>
      </c>
      <c r="R499" s="46">
        <f>IFERROR(Y335*1,"0")+IFERROR(Y336*1,"0")+IFERROR(Y337*1,"0")</f>
        <v>64.8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567</v>
      </c>
      <c r="T499" s="46">
        <f>IFERROR(Y368*1,"0")+IFERROR(Y369*1,"0")+IFERROR(Y373*1,"0")+IFERROR(Y374*1,"0")+IFERROR(Y378*1,"0")+IFERROR(Y379*1,"0")</f>
        <v>273.60000000000002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971.5200000000001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3,00"/>
        <filter val="10"/>
        <filter val="104,00"/>
        <filter val="113,40"/>
        <filter val="120,00"/>
        <filter val="129,60"/>
        <filter val="134,40"/>
        <filter val="135,00"/>
        <filter val="144,00"/>
        <filter val="16,00"/>
        <filter val="168,96"/>
        <filter val="17,00"/>
        <filter val="172,80"/>
        <filter val="194,40"/>
        <filter val="205,20"/>
        <filter val="211,20"/>
        <filter val="216,00"/>
        <filter val="236,00"/>
        <filter val="24,00"/>
        <filter val="240,00"/>
        <filter val="255,00"/>
        <filter val="258,00"/>
        <filter val="259,20"/>
        <filter val="262,40"/>
        <filter val="273,60"/>
        <filter val="278,40"/>
        <filter val="288,00"/>
        <filter val="32,00"/>
        <filter val="337,92"/>
        <filter val="345,60"/>
        <filter val="378,00"/>
        <filter val="40,00"/>
        <filter val="42,24"/>
        <filter val="422,40"/>
        <filter val="44,00"/>
        <filter val="48,00"/>
        <filter val="5 593,52"/>
        <filter val="5 918,87"/>
        <filter val="50,40"/>
        <filter val="549,12"/>
        <filter val="57,60"/>
        <filter val="592,20"/>
        <filter val="6 168,87"/>
        <filter val="62,40"/>
        <filter val="64,80"/>
        <filter val="67,20"/>
        <filter val="72,00"/>
        <filter val="75,60"/>
        <filter val="768,00"/>
        <filter val="8,00"/>
        <filter val="80,00"/>
        <filter val="86,40"/>
        <filter val="89,6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