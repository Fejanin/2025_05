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794E59-8926-43AE-8D99-3E5C8926F0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93" i="1"/>
  <c r="BN93" i="1"/>
  <c r="Z93" i="1"/>
  <c r="BP129" i="1"/>
  <c r="BN129" i="1"/>
  <c r="Z129" i="1"/>
  <c r="BP166" i="1"/>
  <c r="BN166" i="1"/>
  <c r="Z166" i="1"/>
  <c r="BP203" i="1"/>
  <c r="BN203" i="1"/>
  <c r="Z203" i="1"/>
  <c r="BP231" i="1"/>
  <c r="BN231" i="1"/>
  <c r="Z231" i="1"/>
  <c r="BP272" i="1"/>
  <c r="BN272" i="1"/>
  <c r="Z272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Y36" i="1"/>
  <c r="Y35" i="1"/>
  <c r="BP34" i="1"/>
  <c r="BN34" i="1"/>
  <c r="Z34" i="1"/>
  <c r="Z35" i="1" s="1"/>
  <c r="BP40" i="1"/>
  <c r="BN40" i="1"/>
  <c r="Z40" i="1"/>
  <c r="BP74" i="1"/>
  <c r="BN74" i="1"/>
  <c r="Z74" i="1"/>
  <c r="BP108" i="1"/>
  <c r="BN108" i="1"/>
  <c r="Z108" i="1"/>
  <c r="BP148" i="1"/>
  <c r="BN148" i="1"/>
  <c r="Z148" i="1"/>
  <c r="BP187" i="1"/>
  <c r="BN187" i="1"/>
  <c r="Z187" i="1"/>
  <c r="BP191" i="1"/>
  <c r="BN191" i="1"/>
  <c r="Z191" i="1"/>
  <c r="BP214" i="1"/>
  <c r="BN214" i="1"/>
  <c r="Z214" i="1"/>
  <c r="BP256" i="1"/>
  <c r="BN256" i="1"/>
  <c r="Z256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2" i="1"/>
  <c r="Y116" i="1"/>
  <c r="J9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4" i="1"/>
  <c r="BN164" i="1"/>
  <c r="Z168" i="1"/>
  <c r="BN168" i="1"/>
  <c r="Z176" i="1"/>
  <c r="BN176" i="1"/>
  <c r="Z197" i="1"/>
  <c r="BN197" i="1"/>
  <c r="Z201" i="1"/>
  <c r="BN201" i="1"/>
  <c r="Z207" i="1"/>
  <c r="BN207" i="1"/>
  <c r="Z211" i="1"/>
  <c r="BN211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Y286" i="1"/>
  <c r="Z291" i="1"/>
  <c r="BN291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63" i="1" l="1"/>
  <c r="Z275" i="1"/>
  <c r="Z318" i="1"/>
  <c r="Z411" i="1"/>
  <c r="Z350" i="1"/>
  <c r="Y491" i="1"/>
  <c r="Z57" i="1"/>
  <c r="Z31" i="1"/>
  <c r="Z76" i="1"/>
  <c r="Z468" i="1"/>
  <c r="Z338" i="1"/>
  <c r="Z462" i="1"/>
  <c r="Z116" i="1"/>
  <c r="Z95" i="1"/>
  <c r="Y493" i="1"/>
  <c r="Z43" i="1"/>
  <c r="Y490" i="1"/>
  <c r="Z235" i="1"/>
  <c r="Z216" i="1"/>
  <c r="Z172" i="1"/>
  <c r="Z394" i="1"/>
  <c r="Z69" i="1"/>
  <c r="Y489" i="1"/>
  <c r="Z204" i="1"/>
  <c r="Z178" i="1"/>
  <c r="Z103" i="1"/>
  <c r="Z447" i="1"/>
  <c r="Z432" i="1"/>
  <c r="Z312" i="1"/>
  <c r="X492" i="1"/>
  <c r="Z268" i="1"/>
  <c r="Z260" i="1"/>
  <c r="Z251" i="1"/>
  <c r="Y492" i="1" l="1"/>
  <c r="Z494" i="1"/>
</calcChain>
</file>

<file path=xl/sharedStrings.xml><?xml version="1.0" encoding="utf-8"?>
<sst xmlns="http://schemas.openxmlformats.org/spreadsheetml/2006/main" count="2207" uniqueCount="768">
  <si>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</si>
  <si>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</si>
  <si>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</si>
  <si>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</si>
  <si>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</si>
  <si>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</si>
  <si>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</si>
  <si>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</si>
  <si>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</si>
  <si>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</si>
  <si>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</si>
  <si>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</si>
  <si>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</si>
  <si>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</si>
  <si>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</si>
  <si>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</si>
  <si>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</si>
  <si>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</si>
  <si>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</si>
  <si>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</si>
  <si>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</si>
  <si>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</si>
  <si>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</si>
  <si>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</si>
  <si>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</si>
  <si>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</si>
  <si>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</si>
  <si>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</si>
  <si>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</si>
  <si>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</si>
  <si>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</si>
  <si>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</si>
  <si>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</si>
  <si>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</si>
  <si>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</si>
  <si>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</si>
  <si>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</si>
  <si>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</si>
  <si>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</si>
  <si>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</si>
  <si>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</si>
  <si>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</si>
  <si>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</si>
  <si>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</si>
  <si>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</si>
  <si>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</si>
  <si>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</si>
  <si>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</si>
  <si>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</si>
  <si>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</si>
  <si>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</si>
  <si>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</si>
  <si>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</si>
  <si>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</si>
  <si>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</si>
  <si>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</si>
  <si>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</si>
  <si>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</si>
  <si>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</si>
  <si>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</si>
  <si>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</si>
  <si>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</si>
  <si>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</si>
  <si>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</si>
  <si>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</si>
  <si>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</si>
  <si>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</si>
  <si>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</si>
  <si>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</si>
  <si>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</si>
  <si>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</si>
  <si>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</si>
  <si>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</si>
  <si>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</si>
  <si>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</si>
  <si>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</si>
  <si>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</si>
  <si>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</si>
  <si>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</si>
  <si>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</si>
  <si>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</si>
  <si>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</si>
  <si>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</si>
  <si>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</si>
  <si>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</si>
  <si>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</si>
  <si>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</si>
  <si>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</si>
  <si>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</si>
  <si>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</si>
  <si>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</si>
  <si>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</si>
  <si>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</si>
  <si>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</si>
  <si>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</si>
  <si>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</si>
  <si>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</si>
  <si>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</si>
  <si>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</si>
  <si>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</si>
  <si>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</si>
  <si>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</si>
  <si>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</si>
  <si>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</si>
  <si>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</si>
  <si>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</si>
  <si>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</si>
  <si>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</si>
  <si>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</si>
  <si>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</si>
  <si>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</si>
  <si>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</si>
  <si>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</si>
  <si>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</si>
  <si>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</si>
  <si>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</si>
  <si>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</si>
  <si>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</si>
  <si>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</si>
  <si>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</si>
  <si>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</si>
  <si>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</si>
  <si>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</si>
  <si>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</si>
  <si>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</si>
  <si>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</si>
  <si>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</si>
  <si>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</si>
  <si>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</si>
  <si>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</si>
  <si>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</si>
  <si>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</si>
  <si>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</si>
  <si>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</si>
  <si>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</si>
  <si>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</si>
  <si>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</si>
  <si>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</si>
  <si>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</si>
  <si>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</si>
  <si>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</si>
  <si>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</si>
  <si>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</si>
  <si>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</si>
  <si>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</si>
  <si>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</si>
  <si>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</si>
  <si>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</si>
  <si>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</si>
  <si>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</si>
  <si>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</si>
  <si>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</si>
  <si>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</si>
  <si>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</si>
  <si>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</si>
  <si>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</si>
  <si>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</si>
  <si>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</si>
  <si>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</si>
  <si>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</si>
  <si>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</si>
  <si>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</si>
  <si>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</si>
  <si>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</si>
  <si>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</si>
  <si>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</si>
  <si>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</si>
  <si>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</si>
  <si>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</si>
  <si>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</si>
  <si>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</si>
  <si>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</si>
  <si>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</si>
  <si>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</si>
  <si>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</si>
  <si>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</si>
  <si>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</si>
  <si>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</si>
  <si>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</si>
  <si>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</si>
  <si>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</si>
  <si>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</si>
  <si>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</si>
  <si>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</si>
  <si>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</si>
  <si>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</si>
  <si>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</si>
  <si>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</si>
  <si>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</si>
  <si>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</si>
  <si>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</si>
  <si>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</si>
  <si>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</si>
  <si>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</si>
  <si>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</si>
  <si>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</si>
  <si>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</si>
  <si>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</si>
  <si>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</si>
  <si>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</si>
  <si>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</si>
  <si>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</si>
  <si>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</si>
  <si>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</si>
  <si>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</si>
  <si>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</si>
  <si>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</si>
  <si>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</si>
  <si>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</si>
  <si>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</si>
  <si>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</si>
  <si>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</si>
  <si>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</si>
  <si>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</si>
  <si>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</si>
  <si>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</si>
  <si>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</si>
  <si>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</si>
  <si>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</si>
  <si>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</si>
  <si>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</si>
  <si>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</si>
  <si>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</si>
  <si>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</si>
  <si>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</si>
  <si>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</si>
  <si>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</si>
  <si>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</si>
  <si>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</si>
  <si>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</si>
  <si>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</si>
  <si>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</si>
  <si>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</si>
  <si>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</si>
  <si>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</si>
  <si>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</si>
  <si>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</si>
  <si>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</si>
  <si>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</si>
  <si>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</si>
  <si>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</si>
  <si>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</si>
  <si>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</si>
  <si>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</si>
  <si>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</si>
  <si>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</si>
  <si>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</si>
  <si>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</si>
  <si>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</si>
  <si>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</si>
  <si>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</si>
  <si>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</si>
  <si>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</si>
  <si>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</si>
  <si>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</si>
  <si>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</si>
  <si>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</si>
  <si>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</si>
  <si>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</si>
  <si>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</si>
  <si>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</si>
  <si>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</si>
  <si>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</si>
  <si>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</si>
  <si>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</si>
  <si>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</si>
  <si>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</si>
  <si>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</si>
  <si>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</si>
  <si>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</si>
  <si>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</si>
  <si>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</si>
  <si>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</si>
  <si>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</si>
  <si>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</si>
  <si>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</si>
  <si>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</si>
  <si>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</si>
  <si>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</si>
  <si>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</si>
  <si>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</si>
  <si>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</si>
  <si>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</si>
  <si>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</si>
  <si>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</si>
  <si>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</si>
  <si>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</si>
  <si>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</si>
  <si>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</si>
  <si>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</si>
  <si>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</si>
  <si>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</si>
  <si>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</si>
  <si>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</si>
  <si>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</si>
  <si>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</si>
  <si>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</si>
  <si>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</si>
  <si>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</si>
  <si>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</si>
  <si>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</si>
  <si>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</si>
  <si>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</si>
  <si>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</si>
  <si>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</si>
  <si>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</si>
  <si>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</si>
  <si>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</si>
  <si>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</si>
  <si>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</si>
  <si>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</si>
  <si>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</si>
  <si>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</si>
  <si>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</si>
  <si>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</si>
  <si>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</si>
  <si>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</si>
  <si>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</si>
  <si>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</si>
  <si>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</si>
  <si>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</si>
  <si>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</si>
  <si>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</si>
  <si>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</si>
  <si>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</si>
  <si>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</si>
  <si>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</si>
  <si>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</si>
  <si>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</si>
  <si>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</si>
  <si>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</si>
  <si>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</si>
  <si>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</si>
  <si>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</si>
  <si>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</si>
  <si>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</si>
  <si>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</si>
  <si>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</si>
  <si>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</si>
  <si>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</si>
  <si>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</si>
  <si>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</si>
  <si>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</si>
  <si>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</si>
  <si>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</si>
  <si>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</si>
  <si>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</si>
  <si>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</si>
  <si>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</si>
  <si>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</si>
  <si>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</si>
  <si>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</si>
  <si>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</si>
  <si>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</si>
  <si>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</si>
  <si>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</si>
  <si>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</si>
  <si>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</si>
  <si>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</si>
  <si>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</si>
  <si>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</si>
  <si>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</si>
  <si>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</si>
  <si>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</si>
  <si>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</si>
  <si>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</si>
  <si>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</si>
  <si>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</si>
  <si>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</si>
  <si>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</si>
  <si>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</si>
  <si>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</si>
  <si>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</si>
  <si>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</si>
  <si>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</si>
  <si>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</si>
  <si>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</si>
  <si>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</si>
  <si>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</si>
  <si>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</si>
  <si>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</si>
  <si>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</si>
  <si>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</si>
  <si>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</si>
  <si>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</si>
  <si>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</si>
  <si>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</si>
  <si>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</si>
  <si>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</si>
  <si>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</si>
  <si>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</si>
  <si>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</si>
  <si>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</si>
  <si>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</si>
  <si>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</si>
  <si>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</si>
  <si>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</si>
  <si>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</si>
  <si>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</si>
  <si>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</si>
  <si>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</si>
  <si>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</si>
  <si>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</si>
  <si>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</si>
  <si>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</si>
  <si>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</si>
  <si>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</si>
  <si>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</si>
  <si>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</si>
  <si>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</si>
  <si>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</si>
  <si>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</si>
  <si>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</si>
  <si>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</si>
  <si>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</si>
  <si>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</si>
  <si>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</si>
  <si>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</si>
  <si>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</si>
  <si>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</si>
  <si>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</si>
  <si>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</si>
  <si>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</si>
  <si>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</si>
  <si>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</si>
  <si>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</si>
  <si>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</si>
  <si>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</si>
  <si>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</si>
  <si>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</si>
  <si>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</si>
  <si>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</si>
  <si>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</si>
  <si>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</si>
  <si>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</si>
  <si>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</si>
  <si>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</si>
  <si>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</si>
  <si>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</si>
  <si>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</si>
  <si>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</si>
  <si>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</si>
  <si>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</si>
  <si>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</si>
  <si>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</si>
  <si>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</si>
  <si>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</si>
  <si>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</si>
  <si>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</si>
  <si>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</si>
  <si>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</si>
  <si>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</si>
  <si>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</si>
  <si>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</si>
  <si>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</si>
  <si>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</si>
  <si>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</si>
  <si>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</si>
  <si>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</si>
  <si>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</si>
  <si>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</si>
  <si>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</si>
  <si>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</si>
  <si>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</si>
  <si>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</si>
  <si>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</si>
  <si>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</si>
  <si>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</si>
  <si>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</si>
  <si>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</si>
  <si>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</si>
  <si>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</si>
  <si>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</si>
  <si>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</si>
  <si>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</si>
  <si>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</si>
  <si>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</si>
  <si>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</si>
  <si>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</si>
  <si>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</si>
  <si>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</si>
  <si>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</si>
  <si>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</si>
  <si>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</si>
  <si>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</si>
  <si>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</si>
  <si>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</si>
  <si>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</si>
  <si>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</si>
  <si>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</si>
  <si>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</si>
  <si>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</si>
  <si>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</si>
  <si>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</si>
  <si>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</si>
  <si>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</si>
  <si>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</si>
  <si>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</si>
  <si>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</si>
  <si>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</si>
  <si>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</si>
  <si>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</si>
  <si>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</si>
  <si>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</si>
  <si>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</si>
  <si>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</si>
  <si>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</si>
  <si>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</si>
  <si>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</si>
  <si>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</si>
  <si>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</si>
  <si>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</si>
  <si>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</si>
  <si>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</si>
  <si>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</si>
  <si>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</si>
  <si>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</si>
  <si>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</si>
  <si>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</si>
  <si>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</si>
  <si>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</si>
  <si>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</si>
  <si>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</si>
  <si>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</si>
  <si>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</si>
  <si>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</si>
  <si>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</si>
  <si>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</si>
  <si>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</si>
  <si>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</si>
  <si>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</si>
  <si>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</si>
  <si>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</si>
  <si>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</si>
  <si>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</si>
  <si>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</si>
  <si>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</si>
  <si>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</si>
  <si>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</si>
  <si>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</si>
  <si>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</si>
  <si>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</si>
  <si>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</si>
  <si>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</si>
  <si>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</si>
  <si>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</si>
  <si>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</si>
  <si>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</si>
  <si>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</si>
  <si>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</si>
  <si>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</si>
  <si>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</si>
  <si>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</si>
  <si>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</si>
  <si>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</si>
  <si>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</si>
  <si>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</si>
  <si>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</si>
  <si>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</si>
  <si>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</si>
  <si>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</si>
  <si>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</si>
  <si>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</si>
  <si>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</si>
  <si>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</si>
  <si>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</si>
  <si>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</si>
  <si>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</si>
  <si>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</si>
  <si>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</si>
  <si>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</si>
  <si>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</si>
  <si>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</si>
  <si>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</si>
  <si>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</si>
  <si>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</si>
  <si>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</si>
  <si>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</si>
  <si>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</si>
  <si>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</si>
  <si>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</si>
  <si>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</si>
  <si>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</si>
  <si>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</si>
  <si>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</si>
  <si>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</si>
  <si>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</si>
  <si>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</si>
  <si>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</si>
  <si>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</si>
  <si>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</si>
  <si>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</si>
  <si>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</si>
  <si>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</si>
  <si>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</si>
  <si>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</si>
  <si>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</si>
  <si>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</si>
  <si>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</si>
  <si>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</si>
  <si>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</si>
  <si>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</si>
  <si>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</si>
  <si>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</si>
  <si>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</si>
  <si>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</si>
  <si>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</si>
  <si>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</si>
  <si>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</si>
  <si>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</si>
  <si>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</si>
  <si>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</si>
  <si>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</si>
  <si>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</si>
  <si>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</si>
  <si>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</si>
  <si>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</si>
  <si>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</si>
  <si>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</si>
  <si>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</si>
  <si>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</si>
  <si>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</si>
  <si>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</si>
  <si>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</si>
  <si>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</si>
  <si>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</si>
  <si>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</si>
  <si>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</si>
  <si>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</si>
  <si>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</si>
  <si>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</si>
  <si>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</si>
  <si>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</si>
  <si>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</si>
  <si>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</si>
  <si>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</si>
  <si>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</si>
  <si>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</si>
  <si>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</si>
  <si>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</si>
  <si>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</si>
  <si>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</si>
  <si>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</si>
  <si>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</si>
  <si>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</si>
  <si>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</si>
  <si>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</si>
  <si>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</si>
  <si>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</si>
  <si>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</si>
  <si>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</si>
  <si>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</si>
  <si>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</si>
  <si>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</si>
  <si>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</si>
  <si>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</si>
  <si>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</si>
  <si>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</si>
  <si>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</si>
  <si>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</si>
  <si>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</si>
  <si>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</si>
  <si>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</si>
  <si>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</si>
  <si>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</si>
  <si>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</si>
  <si>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</si>
  <si>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</si>
  <si>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</si>
  <si>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</si>
  <si>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</si>
  <si>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</si>
  <si>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</si>
  <si>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</si>
  <si>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</si>
  <si>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</si>
  <si>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</si>
  <si>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</si>
  <si>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</si>
  <si>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</si>
  <si>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</si>
  <si>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</si>
  <si>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</si>
  <si>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</si>
  <si>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</si>
  <si>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</si>
  <si>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</si>
  <si>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</si>
  <si>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</si>
  <si>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</si>
  <si>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</si>
  <si>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</si>
  <si>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</si>
  <si>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</si>
  <si>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</si>
  <si>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</si>
  <si>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</si>
  <si>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</si>
  <si>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</si>
  <si>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</si>
  <si>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</si>
  <si>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</si>
  <si>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</si>
  <si>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</si>
  <si>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</si>
  <si>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</si>
  <si>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</si>
  <si>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</si>
  <si>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</si>
  <si>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</si>
  <si>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</si>
  <si>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</si>
  <si>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</si>
  <si>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</si>
  <si>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</si>
  <si>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</si>
  <si>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</si>
  <si>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</si>
  <si>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</si>
  <si>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</si>
  <si>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</si>
  <si>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</si>
  <si>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</si>
  <si>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</si>
  <si>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</si>
  <si>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</si>
  <si>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</si>
  <si>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</si>
  <si>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</si>
  <si>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</si>
  <si>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</si>
  <si>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</si>
  <si>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</si>
  <si>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</si>
  <si>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</si>
  <si>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</si>
  <si>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</si>
  <si>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</si>
  <si>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</si>
  <si>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</si>
  <si>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</si>
  <si>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</si>
  <si>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</si>
  <si>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</si>
  <si>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</si>
  <si>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</si>
  <si>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</si>
  <si>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</si>
  <si>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</si>
  <si>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</si>
  <si>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</si>
  <si>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</si>
  <si>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</si>
  <si>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</si>
  <si>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</si>
  <si>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</si>
  <si>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</si>
  <si>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</si>
  <si>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</si>
  <si>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</si>
  <si>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</si>
  <si>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</si>
  <si>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</si>
  <si>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</si>
  <si>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</si>
  <si>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</si>
  <si>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</si>
  <si>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подписатоь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</si>
</sst>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44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45.670370370370371</v>
      </c>
      <c r="BN40" s="64">
        <f>IFERROR(Y40*I40/H40,"0")</f>
        <v>56.05</v>
      </c>
      <c r="BO40" s="64">
        <f>IFERROR(1/J40*(X40/H40),"0")</f>
        <v>6.3657407407407399E-2</v>
      </c>
      <c r="BP40" s="64">
        <f>IFERROR(1/J40*(Y40/H40),"0")</f>
        <v>7.8125E-2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14</v>
      </c>
      <c r="Y42" s="542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14.718918918918918</v>
      </c>
      <c r="BN42" s="64">
        <f>IFERROR(Y42*I42/H42,"0")</f>
        <v>15.56</v>
      </c>
      <c r="BO42" s="64">
        <f>IFERROR(1/J42*(X42/H42),"0")</f>
        <v>2.8665028665028666E-2</v>
      </c>
      <c r="BP42" s="64">
        <f>IFERROR(1/J42*(Y42/H42),"0")</f>
        <v>3.0303030303030304E-2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7.8578578578578568</v>
      </c>
      <c r="Y43" s="543">
        <f>IFERROR(Y40/H40,"0")+IFERROR(Y41/H41,"0")+IFERROR(Y42/H42,"0")</f>
        <v>9</v>
      </c>
      <c r="Z43" s="543">
        <f>IFERROR(IF(Z40="",0,Z40),"0")+IFERROR(IF(Z41="",0,Z41),"0")+IFERROR(IF(Z42="",0,Z42),"0")</f>
        <v>0.13097999999999999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58</v>
      </c>
      <c r="Y44" s="543">
        <f>IFERROR(SUM(Y40:Y42),"0")</f>
        <v>68.8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24</v>
      </c>
      <c r="Y51" s="542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24.87857142857143</v>
      </c>
      <c r="BN51" s="64">
        <f t="shared" ref="BN51:BN56" si="2">IFERROR(Y51*I51/H51,"0")</f>
        <v>34.829999999999991</v>
      </c>
      <c r="BO51" s="64">
        <f t="shared" ref="BO51:BO56" si="3">IFERROR(1/J51*(X51/H51),"0")</f>
        <v>3.3482142857142856E-2</v>
      </c>
      <c r="BP51" s="64">
        <f t="shared" ref="BP51:BP56" si="4">IFERROR(1/J51*(Y51/H51),"0")</f>
        <v>4.6874999999999993E-2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24</v>
      </c>
      <c r="Y54" s="542">
        <f t="shared" si="0"/>
        <v>24</v>
      </c>
      <c r="Z54" s="36">
        <f>IFERROR(IF(Y54=0,"",ROUNDUP(Y54/H54,0)*0.00902),"")</f>
        <v>5.4120000000000001E-2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25.14</v>
      </c>
      <c r="BN54" s="64">
        <f t="shared" si="2"/>
        <v>25.14</v>
      </c>
      <c r="BO54" s="64">
        <f t="shared" si="3"/>
        <v>4.5454545454545456E-2</v>
      </c>
      <c r="BP54" s="64">
        <f t="shared" si="4"/>
        <v>4.5454545454545456E-2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8.1428571428571423</v>
      </c>
      <c r="Y57" s="543">
        <f>IFERROR(Y51/H51,"0")+IFERROR(Y52/H52,"0")+IFERROR(Y53/H53,"0")+IFERROR(Y54/H54,"0")+IFERROR(Y55/H55,"0")+IFERROR(Y56/H56,"0")</f>
        <v>9</v>
      </c>
      <c r="Z57" s="543">
        <f>IFERROR(IF(Z51="",0,Z51),"0")+IFERROR(IF(Z52="",0,Z52),"0")+IFERROR(IF(Z53="",0,Z53),"0")+IFERROR(IF(Z54="",0,Z54),"0")+IFERROR(IF(Z55="",0,Z55),"0")+IFERROR(IF(Z56="",0,Z56),"0")</f>
        <v>0.11106000000000001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48</v>
      </c>
      <c r="Y58" s="543">
        <f>IFERROR(SUM(Y51:Y56),"0")</f>
        <v>57.599999999999994</v>
      </c>
      <c r="Z58" s="37"/>
      <c r="AA58" s="544"/>
      <c r="AB58" s="544"/>
      <c r="AC58" s="544"/>
    </row>
    <row r="59" spans="1:68" ht="14.25" hidden="1" customHeight="1" x14ac:dyDescent="0.25">
      <c r="A59" s="565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45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46.708333333333336</v>
      </c>
      <c r="BN60" s="64">
        <f>IFERROR(Y60*I60/H60,"0")</f>
        <v>56.05</v>
      </c>
      <c r="BO60" s="64">
        <f>IFERROR(1/J60*(X60/H60),"0")</f>
        <v>6.5104166666666657E-2</v>
      </c>
      <c r="BP60" s="64">
        <f>IFERROR(1/J60*(Y60/H60),"0")</f>
        <v>7.8125E-2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4.1666666666666661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45</v>
      </c>
      <c r="Y64" s="543">
        <f>IFERROR(SUM(Y60:Y62),"0")</f>
        <v>54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157</v>
      </c>
      <c r="Y85" s="542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162.96018518518517</v>
      </c>
      <c r="BN85" s="64">
        <f>IFERROR(Y85*I85/H85,"0")</f>
        <v>168.15</v>
      </c>
      <c r="BO85" s="64">
        <f>IFERROR(1/J85*(X85/H85),"0")</f>
        <v>0.22714120370370369</v>
      </c>
      <c r="BP85" s="64">
        <f>IFERROR(1/J85*(Y85/H85),"0")</f>
        <v>0.23437499999999997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73</v>
      </c>
      <c r="Y87" s="542">
        <f>IFERROR(IF(X87="",0,CEILING((X87/$H87),1)*$H87),"")</f>
        <v>76.5</v>
      </c>
      <c r="Z87" s="36">
        <f>IFERROR(IF(Y87=0,"",ROUNDUP(Y87/H87,0)*0.00902),"")</f>
        <v>0.15334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76.082222222222228</v>
      </c>
      <c r="BN87" s="64">
        <f>IFERROR(Y87*I87/H87,"0")</f>
        <v>79.73</v>
      </c>
      <c r="BO87" s="64">
        <f>IFERROR(1/J87*(X87/H87),"0")</f>
        <v>0.12289562289562289</v>
      </c>
      <c r="BP87" s="64">
        <f>IFERROR(1/J87*(Y87/H87),"0")</f>
        <v>0.12878787878787878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30.75925925925926</v>
      </c>
      <c r="Y88" s="543">
        <f>IFERROR(Y85/H85,"0")+IFERROR(Y86/H86,"0")+IFERROR(Y87/H87,"0")</f>
        <v>32</v>
      </c>
      <c r="Z88" s="543">
        <f>IFERROR(IF(Z85="",0,Z85),"0")+IFERROR(IF(Z86="",0,Z86),"0")+IFERROR(IF(Z87="",0,Z87),"0")</f>
        <v>0.43803999999999998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230</v>
      </c>
      <c r="Y89" s="543">
        <f>IFERROR(SUM(Y85:Y87),"0")</f>
        <v>238.5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94</v>
      </c>
      <c r="Y93" s="542">
        <f>IFERROR(IF(X93="",0,CEILING((X93/$H93),1)*$H93),"")</f>
        <v>94.5</v>
      </c>
      <c r="Z93" s="36">
        <f>IFERROR(IF(Y93=0,"",ROUNDUP(Y93/H93,0)*0.00651),"")</f>
        <v>0.22785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102.77333333333333</v>
      </c>
      <c r="BN93" s="64">
        <f>IFERROR(Y93*I93/H93,"0")</f>
        <v>103.32</v>
      </c>
      <c r="BO93" s="64">
        <f>IFERROR(1/J93*(X93/H93),"0")</f>
        <v>0.19129019129019129</v>
      </c>
      <c r="BP93" s="64">
        <f>IFERROR(1/J93*(Y93/H93),"0")</f>
        <v>0.19230769230769232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34.81481481481481</v>
      </c>
      <c r="Y95" s="543">
        <f>IFERROR(Y91/H91,"0")+IFERROR(Y92/H92,"0")+IFERROR(Y93/H93,"0")+IFERROR(Y94/H94,"0")</f>
        <v>35</v>
      </c>
      <c r="Z95" s="543">
        <f>IFERROR(IF(Z91="",0,Z91),"0")+IFERROR(IF(Z92="",0,Z92),"0")+IFERROR(IF(Z93="",0,Z93),"0")+IFERROR(IF(Z94="",0,Z94),"0")</f>
        <v>0.22785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94</v>
      </c>
      <c r="Y96" s="543">
        <f>IFERROR(SUM(Y91:Y94),"0")</f>
        <v>94.5</v>
      </c>
      <c r="Z96" s="37"/>
      <c r="AA96" s="544"/>
      <c r="AB96" s="544"/>
      <c r="AC96" s="544"/>
    </row>
    <row r="97" spans="1:68" ht="16.5" hidden="1" customHeight="1" x14ac:dyDescent="0.25">
      <c r="A97" s="566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109</v>
      </c>
      <c r="Y99" s="542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113.13796296296296</v>
      </c>
      <c r="BN99" s="64">
        <f>IFERROR(Y99*I99/H99,"0")</f>
        <v>123.31000000000002</v>
      </c>
      <c r="BO99" s="64">
        <f>IFERROR(1/J99*(X99/H99),"0")</f>
        <v>0.15769675925925924</v>
      </c>
      <c r="BP99" s="64">
        <f>IFERROR(1/J99*(Y99/H99),"0")</f>
        <v>0.171875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45</v>
      </c>
      <c r="Y101" s="542">
        <f>IFERROR(IF(X101="",0,CEILING((X101/$H101),1)*$H101),"")</f>
        <v>45</v>
      </c>
      <c r="Z101" s="36">
        <f>IFERROR(IF(Y101=0,"",ROUNDUP(Y101/H101,0)*0.00902),"")</f>
        <v>9.0200000000000002E-2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46.900000000000006</v>
      </c>
      <c r="BN101" s="64">
        <f>IFERROR(Y101*I101/H101,"0")</f>
        <v>46.900000000000006</v>
      </c>
      <c r="BO101" s="64">
        <f>IFERROR(1/J101*(X101/H101),"0")</f>
        <v>7.575757575757576E-2</v>
      </c>
      <c r="BP101" s="64">
        <f>IFERROR(1/J101*(Y101/H101),"0")</f>
        <v>7.575757575757576E-2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20.092592592592592</v>
      </c>
      <c r="Y103" s="543">
        <f>IFERROR(Y99/H99,"0")+IFERROR(Y100/H100,"0")+IFERROR(Y101/H101,"0")+IFERROR(Y102/H102,"0")</f>
        <v>21</v>
      </c>
      <c r="Z103" s="543">
        <f>IFERROR(IF(Z99="",0,Z99),"0")+IFERROR(IF(Z100="",0,Z100),"0")+IFERROR(IF(Z101="",0,Z101),"0")+IFERROR(IF(Z102="",0,Z102),"0")</f>
        <v>0.29898000000000002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154</v>
      </c>
      <c r="Y104" s="543">
        <f>IFERROR(SUM(Y99:Y102),"0")</f>
        <v>163.80000000000001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8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8.3037037037037038</v>
      </c>
      <c r="BN106" s="64">
        <f>IFERROR(Y106*I106/H106,"0")</f>
        <v>11.21</v>
      </c>
      <c r="BO106" s="64">
        <f>IFERROR(1/J106*(X106/H106),"0")</f>
        <v>1.1574074074074073E-2</v>
      </c>
      <c r="BP106" s="64">
        <f>IFERROR(1/J106*(Y106/H106),"0")</f>
        <v>1.5625E-2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0.7407407407407407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8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19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20.144691358024691</v>
      </c>
      <c r="BN112" s="64">
        <f>IFERROR(Y112*I112/H112,"0")</f>
        <v>25.763999999999996</v>
      </c>
      <c r="BO112" s="64">
        <f>IFERROR(1/J112*(X112/H112),"0")</f>
        <v>3.6651234567901238E-2</v>
      </c>
      <c r="BP112" s="64">
        <f>IFERROR(1/J112*(Y112/H112),"0")</f>
        <v>4.6875E-2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134</v>
      </c>
      <c r="Y114" s="542">
        <f>IFERROR(IF(X114="",0,CEILING((X114/$H114),1)*$H114),"")</f>
        <v>135</v>
      </c>
      <c r="Z114" s="36">
        <f>IFERROR(IF(Y114=0,"",ROUNDUP(Y114/H114,0)*0.00651),"")</f>
        <v>0.32550000000000001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146.50666666666666</v>
      </c>
      <c r="BN114" s="64">
        <f>IFERROR(Y114*I114/H114,"0")</f>
        <v>147.6</v>
      </c>
      <c r="BO114" s="64">
        <f>IFERROR(1/J114*(X114/H114),"0")</f>
        <v>0.27269027269027268</v>
      </c>
      <c r="BP114" s="64">
        <f>IFERROR(1/J114*(Y114/H114),"0")</f>
        <v>0.27472527472527475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51.975308641975303</v>
      </c>
      <c r="Y116" s="543">
        <f>IFERROR(Y112/H112,"0")+IFERROR(Y113/H113,"0")+IFERROR(Y114/H114,"0")+IFERROR(Y115/H115,"0")</f>
        <v>53</v>
      </c>
      <c r="Z116" s="543">
        <f>IFERROR(IF(Z112="",0,Z112),"0")+IFERROR(IF(Z113="",0,Z113),"0")+IFERROR(IF(Z114="",0,Z114),"0")+IFERROR(IF(Z115="",0,Z115),"0")</f>
        <v>0.38244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153</v>
      </c>
      <c r="Y117" s="543">
        <f>IFERROR(SUM(Y112:Y115),"0")</f>
        <v>159.30000000000001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134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196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89</v>
      </c>
      <c r="Y165" s="542">
        <f t="shared" si="5"/>
        <v>92.4</v>
      </c>
      <c r="Z165" s="36">
        <f>IFERROR(IF(Y165=0,"",ROUNDUP(Y165/H165,0)*0.00902),"")</f>
        <v>0.19844000000000001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93.026190476190465</v>
      </c>
      <c r="BN165" s="64">
        <f t="shared" si="7"/>
        <v>96.579999999999984</v>
      </c>
      <c r="BO165" s="64">
        <f t="shared" si="8"/>
        <v>0.16053391053391053</v>
      </c>
      <c r="BP165" s="64">
        <f t="shared" si="9"/>
        <v>0.16666666666666669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42</v>
      </c>
      <c r="Y168" s="542">
        <f t="shared" si="5"/>
        <v>43.2</v>
      </c>
      <c r="Z168" s="36">
        <f>IFERROR(IF(Y168=0,"",ROUNDUP(Y168/H168,0)*0.00502),"")</f>
        <v>0.12048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45.033333333333331</v>
      </c>
      <c r="BN168" s="64">
        <f t="shared" si="7"/>
        <v>46.32</v>
      </c>
      <c r="BO168" s="64">
        <f t="shared" si="8"/>
        <v>9.9715099715099717E-2</v>
      </c>
      <c r="BP168" s="64">
        <f t="shared" si="9"/>
        <v>0.10256410256410257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42</v>
      </c>
      <c r="Y169" s="542">
        <f t="shared" si="5"/>
        <v>42</v>
      </c>
      <c r="Z169" s="36">
        <f>IFERROR(IF(Y169=0,"",ROUNDUP(Y169/H169,0)*0.00502),"")</f>
        <v>0.1004</v>
      </c>
      <c r="AA169" s="56"/>
      <c r="AB169" s="57"/>
      <c r="AC169" s="207" t="s">
        <v>272</v>
      </c>
      <c r="AG169" s="64"/>
      <c r="AJ169" s="68"/>
      <c r="AK169" s="68">
        <v>0</v>
      </c>
      <c r="BB169" s="208" t="s">
        <v>1</v>
      </c>
      <c r="BM169" s="64">
        <f t="shared" si="6"/>
        <v>44</v>
      </c>
      <c r="BN169" s="64">
        <f t="shared" si="7"/>
        <v>44</v>
      </c>
      <c r="BO169" s="64">
        <f t="shared" si="8"/>
        <v>8.5470085470085472E-2</v>
      </c>
      <c r="BP169" s="64">
        <f t="shared" si="9"/>
        <v>8.5470085470085472E-2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64.523809523809518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66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0.41931999999999997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173</v>
      </c>
      <c r="Y173" s="543">
        <f>IFERROR(SUM(Y162:Y171),"0")</f>
        <v>177.60000000000002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1.5873015873015872</v>
      </c>
      <c r="Y178" s="543">
        <f>IFERROR(Y175/H175,"0")+IFERROR(Y176/H176,"0")+IFERROR(Y177/H177,"0")</f>
        <v>2</v>
      </c>
      <c r="Z178" s="543">
        <f>IFERROR(IF(Z175="",0,Z175),"0")+IFERROR(IF(Z176="",0,Z176),"0")+IFERROR(IF(Z177="",0,Z177),"0")</f>
        <v>1.18E-2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2</v>
      </c>
      <c r="Y179" s="543">
        <f>IFERROR(SUM(Y175:Y177),"0")</f>
        <v>2.52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134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216</v>
      </c>
      <c r="Y196" s="542">
        <f t="shared" ref="Y196:Y203" si="10">IFERROR(IF(X196="",0,CEILING((X196/$H196),1)*$H196),"")</f>
        <v>216</v>
      </c>
      <c r="Z196" s="36">
        <f>IFERROR(IF(Y196=0,"",ROUNDUP(Y196/H196,0)*0.00902),"")</f>
        <v>0.36080000000000001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223.6</v>
      </c>
      <c r="BN196" s="64">
        <f t="shared" ref="BN196:BN203" si="12">IFERROR(Y196*I196/H196,"0")</f>
        <v>223.6</v>
      </c>
      <c r="BO196" s="64">
        <f t="shared" ref="BO196:BO203" si="13">IFERROR(1/J196*(X196/H196),"0")</f>
        <v>0.30303030303030304</v>
      </c>
      <c r="BP196" s="64">
        <f t="shared" ref="BP196:BP203" si="14">IFERROR(1/J196*(Y196/H196),"0")</f>
        <v>0.30303030303030304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196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74</v>
      </c>
      <c r="Y197" s="542">
        <f t="shared" si="10"/>
        <v>75.600000000000009</v>
      </c>
      <c r="Z197" s="36">
        <f>IFERROR(IF(Y197=0,"",ROUNDUP(Y197/H197,0)*0.00902),"")</f>
        <v>0.12628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76.603703703703687</v>
      </c>
      <c r="BN197" s="64">
        <f t="shared" si="12"/>
        <v>78.260000000000005</v>
      </c>
      <c r="BO197" s="64">
        <f t="shared" si="13"/>
        <v>0.10381593714927048</v>
      </c>
      <c r="BP197" s="64">
        <f t="shared" si="14"/>
        <v>0.10606060606060606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196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277</v>
      </c>
      <c r="Y199" s="542">
        <f t="shared" si="10"/>
        <v>280.8</v>
      </c>
      <c r="Z199" s="36">
        <f>IFERROR(IF(Y199=0,"",ROUNDUP(Y199/H199,0)*0.00902),"")</f>
        <v>0.46904000000000001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286.74629629629629</v>
      </c>
      <c r="BN199" s="64">
        <f t="shared" si="12"/>
        <v>290.68</v>
      </c>
      <c r="BO199" s="64">
        <f t="shared" si="13"/>
        <v>0.38860830527497192</v>
      </c>
      <c r="BP199" s="64">
        <f t="shared" si="14"/>
        <v>0.39393939393939392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45</v>
      </c>
      <c r="Y200" s="542">
        <f t="shared" si="10"/>
        <v>45</v>
      </c>
      <c r="Z200" s="36">
        <f>IFERROR(IF(Y200=0,"",ROUNDUP(Y200/H200,0)*0.00502),"")</f>
        <v>0.1255</v>
      </c>
      <c r="AA200" s="56"/>
      <c r="AB200" s="57"/>
      <c r="AC200" s="237" t="s">
        <v>314</v>
      </c>
      <c r="AG200" s="64"/>
      <c r="AJ200" s="68"/>
      <c r="AK200" s="68">
        <v>0</v>
      </c>
      <c r="BB200" s="238" t="s">
        <v>1</v>
      </c>
      <c r="BM200" s="64">
        <f t="shared" si="11"/>
        <v>48.249999999999993</v>
      </c>
      <c r="BN200" s="64">
        <f t="shared" si="12"/>
        <v>48.249999999999993</v>
      </c>
      <c r="BO200" s="64">
        <f t="shared" si="13"/>
        <v>0.10683760683760685</v>
      </c>
      <c r="BP200" s="64">
        <f t="shared" si="14"/>
        <v>0.10683760683760685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55</v>
      </c>
      <c r="Y201" s="542">
        <f t="shared" si="10"/>
        <v>55.800000000000004</v>
      </c>
      <c r="Z201" s="36">
        <f>IFERROR(IF(Y201=0,"",ROUNDUP(Y201/H201,0)*0.00502),"")</f>
        <v>0.15562000000000001</v>
      </c>
      <c r="AA201" s="56"/>
      <c r="AB201" s="57"/>
      <c r="AC201" s="239" t="s">
        <v>317</v>
      </c>
      <c r="AG201" s="64"/>
      <c r="AJ201" s="68"/>
      <c r="AK201" s="68">
        <v>0</v>
      </c>
      <c r="BB201" s="240" t="s">
        <v>1</v>
      </c>
      <c r="BM201" s="64">
        <f t="shared" si="11"/>
        <v>58.055555555555557</v>
      </c>
      <c r="BN201" s="64">
        <f t="shared" si="12"/>
        <v>58.900000000000006</v>
      </c>
      <c r="BO201" s="64">
        <f t="shared" si="13"/>
        <v>0.13057929724596393</v>
      </c>
      <c r="BP201" s="64">
        <f t="shared" si="14"/>
        <v>0.13247863247863248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52</v>
      </c>
      <c r="Y203" s="542">
        <f t="shared" si="10"/>
        <v>52.2</v>
      </c>
      <c r="Z203" s="36">
        <f>IFERROR(IF(Y203=0,"",ROUNDUP(Y203/H203,0)*0.00502),"")</f>
        <v>0.14558000000000001</v>
      </c>
      <c r="AA203" s="56"/>
      <c r="AB203" s="57"/>
      <c r="AC203" s="243" t="s">
        <v>323</v>
      </c>
      <c r="AG203" s="64"/>
      <c r="AJ203" s="68"/>
      <c r="AK203" s="68">
        <v>0</v>
      </c>
      <c r="BB203" s="244" t="s">
        <v>1</v>
      </c>
      <c r="BM203" s="64">
        <f t="shared" si="11"/>
        <v>54.888888888888886</v>
      </c>
      <c r="BN203" s="64">
        <f t="shared" si="12"/>
        <v>55.1</v>
      </c>
      <c r="BO203" s="64">
        <f t="shared" si="13"/>
        <v>0.12345679012345681</v>
      </c>
      <c r="BP203" s="64">
        <f t="shared" si="14"/>
        <v>0.12393162393162395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189.44444444444443</v>
      </c>
      <c r="Y204" s="543">
        <f>IFERROR(Y196/H196,"0")+IFERROR(Y197/H197,"0")+IFERROR(Y198/H198,"0")+IFERROR(Y199/H199,"0")+IFERROR(Y200/H200,"0")+IFERROR(Y201/H201,"0")+IFERROR(Y202/H202,"0")+IFERROR(Y203/H203,"0")</f>
        <v>191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1.3828200000000002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719</v>
      </c>
      <c r="Y205" s="543">
        <f>IFERROR(SUM(Y196:Y203),"0")</f>
        <v>725.40000000000009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44</v>
      </c>
      <c r="Y209" s="542">
        <f t="shared" si="15"/>
        <v>52.199999999999996</v>
      </c>
      <c r="Z209" s="36">
        <f>IFERROR(IF(Y209=0,"",ROUNDUP(Y209/H209,0)*0.01898),"")</f>
        <v>0.11388000000000001</v>
      </c>
      <c r="AA209" s="56"/>
      <c r="AB209" s="57"/>
      <c r="AC209" s="249" t="s">
        <v>340</v>
      </c>
      <c r="AG209" s="64"/>
      <c r="AJ209" s="68"/>
      <c r="AK209" s="68">
        <v>0</v>
      </c>
      <c r="BB209" s="250" t="s">
        <v>1</v>
      </c>
      <c r="BM209" s="64">
        <f t="shared" si="16"/>
        <v>46.498390804597712</v>
      </c>
      <c r="BN209" s="64">
        <f t="shared" si="17"/>
        <v>55.164000000000009</v>
      </c>
      <c r="BO209" s="64">
        <f t="shared" si="18"/>
        <v>7.9022988505747127E-2</v>
      </c>
      <c r="BP209" s="64">
        <f t="shared" si="19"/>
        <v>9.375E-2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213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117</v>
      </c>
      <c r="Y210" s="542">
        <f t="shared" si="15"/>
        <v>117.6</v>
      </c>
      <c r="Z210" s="36">
        <f t="shared" ref="Z210:Z215" si="20">IFERROR(IF(Y210=0,"",ROUNDUP(Y210/H210,0)*0.00651),"")</f>
        <v>0.31899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130.16249999999999</v>
      </c>
      <c r="BN210" s="64">
        <f t="shared" si="17"/>
        <v>130.82999999999998</v>
      </c>
      <c r="BO210" s="64">
        <f t="shared" si="18"/>
        <v>0.2678571428571429</v>
      </c>
      <c r="BP210" s="64">
        <f t="shared" si="19"/>
        <v>0.26923076923076927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173</v>
      </c>
      <c r="Y212" s="542">
        <f t="shared" si="15"/>
        <v>175.2</v>
      </c>
      <c r="Z212" s="36">
        <f t="shared" si="20"/>
        <v>0.47522999999999999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191.16500000000002</v>
      </c>
      <c r="BN212" s="64">
        <f t="shared" si="17"/>
        <v>193.596</v>
      </c>
      <c r="BO212" s="64">
        <f t="shared" si="18"/>
        <v>0.39606227106227115</v>
      </c>
      <c r="BP212" s="64">
        <f t="shared" si="19"/>
        <v>0.40109890109890112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121</v>
      </c>
      <c r="Y213" s="542">
        <f t="shared" si="15"/>
        <v>122.39999999999999</v>
      </c>
      <c r="Z213" s="36">
        <f t="shared" si="20"/>
        <v>0.33201000000000003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133.70500000000001</v>
      </c>
      <c r="BN213" s="64">
        <f t="shared" si="17"/>
        <v>135.25200000000001</v>
      </c>
      <c r="BO213" s="64">
        <f t="shared" si="18"/>
        <v>0.27701465201465209</v>
      </c>
      <c r="BP213" s="64">
        <f t="shared" si="19"/>
        <v>0.28021978021978022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213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104</v>
      </c>
      <c r="Y214" s="542">
        <f t="shared" si="15"/>
        <v>105.6</v>
      </c>
      <c r="Z214" s="36">
        <f t="shared" si="20"/>
        <v>0.28644000000000003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114.92</v>
      </c>
      <c r="BN214" s="64">
        <f t="shared" si="17"/>
        <v>116.688</v>
      </c>
      <c r="BO214" s="64">
        <f t="shared" si="18"/>
        <v>0.23809523809523814</v>
      </c>
      <c r="BP214" s="64">
        <f t="shared" si="19"/>
        <v>0.24175824175824179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213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125</v>
      </c>
      <c r="Y215" s="542">
        <f t="shared" si="15"/>
        <v>127.19999999999999</v>
      </c>
      <c r="Z215" s="36">
        <f t="shared" si="20"/>
        <v>0.34503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138.4375</v>
      </c>
      <c r="BN215" s="64">
        <f t="shared" si="17"/>
        <v>140.874</v>
      </c>
      <c r="BO215" s="64">
        <f t="shared" si="18"/>
        <v>0.28617216117216121</v>
      </c>
      <c r="BP215" s="64">
        <f t="shared" si="19"/>
        <v>0.29120879120879123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271.72413793103453</v>
      </c>
      <c r="Y216" s="543">
        <f>IFERROR(Y207/H207,"0")+IFERROR(Y208/H208,"0")+IFERROR(Y209/H209,"0")+IFERROR(Y210/H210,"0")+IFERROR(Y211/H211,"0")+IFERROR(Y212/H212,"0")+IFERROR(Y213/H213,"0")+IFERROR(Y214/H214,"0")+IFERROR(Y215/H215,"0")</f>
        <v>276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1.87158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684</v>
      </c>
      <c r="Y217" s="543">
        <f>IFERROR(SUM(Y207:Y215),"0")</f>
        <v>700.2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162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134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213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39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43.095000000000006</v>
      </c>
      <c r="BN273" s="64">
        <f>IFERROR(Y273*I273/H273,"0")</f>
        <v>45.084000000000003</v>
      </c>
      <c r="BO273" s="64">
        <f>IFERROR(1/J273*(X273/H273),"0")</f>
        <v>8.9285714285714288E-2</v>
      </c>
      <c r="BP273" s="64">
        <f>IFERROR(1/J273*(Y273/H273),"0")</f>
        <v>9.3406593406593408E-2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213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16.25</v>
      </c>
      <c r="Y275" s="543">
        <f>IFERROR(Y272/H272,"0")+IFERROR(Y273/H273,"0")+IFERROR(Y274/H274,"0")</f>
        <v>17</v>
      </c>
      <c r="Z275" s="543">
        <f>IFERROR(IF(Z272="",0,Z272),"0")+IFERROR(IF(Z273="",0,Z273),"0")+IFERROR(IF(Z274="",0,Z274),"0")</f>
        <v>0.11067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39</v>
      </c>
      <c r="Y276" s="543">
        <f>IFERROR(SUM(Y272:Y274),"0")</f>
        <v>40.799999999999997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15</v>
      </c>
      <c r="Y304" s="542">
        <f t="shared" si="26"/>
        <v>16.2</v>
      </c>
      <c r="Z304" s="36">
        <f>IFERROR(IF(Y304=0,"",ROUNDUP(Y304/H304,0)*0.00651),"")</f>
        <v>5.8590000000000003E-2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16.900000000000002</v>
      </c>
      <c r="BN304" s="64">
        <f t="shared" si="28"/>
        <v>18.251999999999999</v>
      </c>
      <c r="BO304" s="64">
        <f t="shared" si="29"/>
        <v>4.5787545787545791E-2</v>
      </c>
      <c r="BP304" s="64">
        <f t="shared" si="30"/>
        <v>4.9450549450549455E-2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8.3333333333333339</v>
      </c>
      <c r="Y305" s="543">
        <f>IFERROR(Y298/H298,"0")+IFERROR(Y299/H299,"0")+IFERROR(Y300/H300,"0")+IFERROR(Y301/H301,"0")+IFERROR(Y302/H302,"0")+IFERROR(Y303/H303,"0")+IFERROR(Y304/H304,"0")</f>
        <v>9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5.8590000000000003E-2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15</v>
      </c>
      <c r="Y306" s="543">
        <f>IFERROR(SUM(Y298:Y304),"0")</f>
        <v>16.2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162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174</v>
      </c>
      <c r="Y316" s="542">
        <f>IFERROR(IF(X316="",0,CEILING((X316/$H316),1)*$H316),"")</f>
        <v>179.4</v>
      </c>
      <c r="Z316" s="36">
        <f>IFERROR(IF(Y316=0,"",ROUNDUP(Y316/H316,0)*0.01898),"")</f>
        <v>0.43653999999999998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185.02000000000004</v>
      </c>
      <c r="BN316" s="64">
        <f>IFERROR(Y316*I316/H316,"0")</f>
        <v>190.762</v>
      </c>
      <c r="BO316" s="64">
        <f>IFERROR(1/J316*(X316/H316),"0")</f>
        <v>0.34855769230769229</v>
      </c>
      <c r="BP316" s="64">
        <f>IFERROR(1/J316*(Y316/H316),"0")</f>
        <v>0.359375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34</v>
      </c>
      <c r="Y317" s="542">
        <f>IFERROR(IF(X317="",0,CEILING((X317/$H317),1)*$H317),"")</f>
        <v>42</v>
      </c>
      <c r="Z317" s="36">
        <f>IFERROR(IF(Y317=0,"",ROUNDUP(Y317/H317,0)*0.01898),"")</f>
        <v>9.4899999999999998E-2</v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35.999523809523808</v>
      </c>
      <c r="BN317" s="64">
        <f>IFERROR(Y317*I317/H317,"0")</f>
        <v>44.47</v>
      </c>
      <c r="BO317" s="64">
        <f>IFERROR(1/J317*(X317/H317),"0")</f>
        <v>6.3244047619047616E-2</v>
      </c>
      <c r="BP317" s="64">
        <f>IFERROR(1/J317*(Y317/H317),"0")</f>
        <v>7.8125E-2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26.355311355311354</v>
      </c>
      <c r="Y318" s="543">
        <f>IFERROR(Y315/H315,"0")+IFERROR(Y316/H316,"0")+IFERROR(Y317/H317,"0")</f>
        <v>28</v>
      </c>
      <c r="Z318" s="543">
        <f>IFERROR(IF(Z315="",0,Z315),"0")+IFERROR(IF(Z316="",0,Z316),"0")+IFERROR(IF(Z317="",0,Z317),"0")</f>
        <v>0.53144000000000002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208</v>
      </c>
      <c r="Y319" s="543">
        <f>IFERROR(SUM(Y315:Y317),"0")</f>
        <v>221.4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5</v>
      </c>
      <c r="Y323" s="542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5.7941176470588243</v>
      </c>
      <c r="BN323" s="64">
        <f>IFERROR(Y323*I323/H323,"0")</f>
        <v>5.91</v>
      </c>
      <c r="BO323" s="64">
        <f>IFERROR(1/J323*(X323/H323),"0")</f>
        <v>1.0773540185304893E-2</v>
      </c>
      <c r="BP323" s="64">
        <f>IFERROR(1/J323*(Y323/H323),"0")</f>
        <v>1.098901098901099E-2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10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510</v>
      </c>
      <c r="AG324" s="64"/>
      <c r="AJ324" s="68"/>
      <c r="AK324" s="68">
        <v>0</v>
      </c>
      <c r="BB324" s="378" t="s">
        <v>1</v>
      </c>
      <c r="BM324" s="64">
        <f>IFERROR(X324*I324/H324,"0")</f>
        <v>11.294117647058822</v>
      </c>
      <c r="BN324" s="64">
        <f>IFERROR(Y324*I324/H324,"0")</f>
        <v>11.52</v>
      </c>
      <c r="BO324" s="64">
        <f>IFERROR(1/J324*(X324/H324),"0")</f>
        <v>2.1547080370609786E-2</v>
      </c>
      <c r="BP324" s="64">
        <f>IFERROR(1/J324*(Y324/H324),"0")</f>
        <v>2.197802197802198E-2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5.882352941176471</v>
      </c>
      <c r="Y325" s="543">
        <f>IFERROR(Y321/H321,"0")+IFERROR(Y322/H322,"0")+IFERROR(Y323/H323,"0")+IFERROR(Y324/H324,"0")</f>
        <v>6</v>
      </c>
      <c r="Z325" s="543">
        <f>IFERROR(IF(Z321="",0,Z321),"0")+IFERROR(IF(Z322="",0,Z322),"0")+IFERROR(IF(Z323="",0,Z323),"0")+IFERROR(IF(Z324="",0,Z324),"0")</f>
        <v>3.9059999999999997E-2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15</v>
      </c>
      <c r="Y326" s="543">
        <f>IFERROR(SUM(Y321:Y324),"0")</f>
        <v>15.299999999999999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708</v>
      </c>
      <c r="Y343" s="542">
        <f t="shared" ref="Y343:Y349" si="31">IFERROR(IF(X343="",0,CEILING((X343/$H343),1)*$H343),"")</f>
        <v>720</v>
      </c>
      <c r="Z343" s="36">
        <f>IFERROR(IF(Y343=0,"",ROUNDUP(Y343/H343,0)*0.02175),"")</f>
        <v>1.044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730.18399999999997</v>
      </c>
      <c r="BN343" s="64">
        <f t="shared" ref="BN343:BN349" si="33">IFERROR(Y343*I343/H343,"0")</f>
        <v>742.56</v>
      </c>
      <c r="BO343" s="64">
        <f t="shared" ref="BO343:BO349" si="34">IFERROR(1/J343*(X343/H343),"0")</f>
        <v>0.98333333333333339</v>
      </c>
      <c r="BP343" s="64">
        <f t="shared" ref="BP343:BP349" si="35">IFERROR(1/J343*(Y343/H343),"0")</f>
        <v>1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652</v>
      </c>
      <c r="Y344" s="542">
        <f t="shared" si="31"/>
        <v>660</v>
      </c>
      <c r="Z344" s="36">
        <f>IFERROR(IF(Y344=0,"",ROUNDUP(Y344/H344,0)*0.02175),"")</f>
        <v>0.95699999999999996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672.42933333333337</v>
      </c>
      <c r="BN344" s="64">
        <f t="shared" si="33"/>
        <v>680.68000000000006</v>
      </c>
      <c r="BO344" s="64">
        <f t="shared" si="34"/>
        <v>0.90555555555555556</v>
      </c>
      <c r="BP344" s="64">
        <f t="shared" si="35"/>
        <v>0.91666666666666663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360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371.28</v>
      </c>
      <c r="BN345" s="64">
        <f t="shared" si="33"/>
        <v>371.28</v>
      </c>
      <c r="BO345" s="64">
        <f t="shared" si="34"/>
        <v>0.5</v>
      </c>
      <c r="BP345" s="64">
        <f t="shared" si="35"/>
        <v>0.5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406</v>
      </c>
      <c r="Y346" s="542">
        <f t="shared" si="31"/>
        <v>420</v>
      </c>
      <c r="Z346" s="36">
        <f>IFERROR(IF(Y346=0,"",ROUNDUP(Y346/H346,0)*0.02175),"")</f>
        <v>0.60899999999999999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418.72133333333335</v>
      </c>
      <c r="BN346" s="64">
        <f t="shared" si="33"/>
        <v>433.16</v>
      </c>
      <c r="BO346" s="64">
        <f t="shared" si="34"/>
        <v>0.56388888888888888</v>
      </c>
      <c r="BP346" s="64">
        <f t="shared" si="35"/>
        <v>0.58333333333333326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141.73333333333335</v>
      </c>
      <c r="Y350" s="543">
        <f>IFERROR(Y343/H343,"0")+IFERROR(Y344/H344,"0")+IFERROR(Y345/H345,"0")+IFERROR(Y346/H346,"0")+IFERROR(Y347/H347,"0")+IFERROR(Y348/H348,"0")+IFERROR(Y349/H349,"0")</f>
        <v>144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3.1319999999999997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2126</v>
      </c>
      <c r="Y351" s="543">
        <f>IFERROR(SUM(Y343:Y349),"0")</f>
        <v>2160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134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564</v>
      </c>
      <c r="Y353" s="542">
        <f>IFERROR(IF(X353="",0,CEILING((X353/$H353),1)*$H353),"")</f>
        <v>570</v>
      </c>
      <c r="Z353" s="36">
        <f>IFERROR(IF(Y353=0,"",ROUNDUP(Y353/H353,0)*0.02175),"")</f>
        <v>0.8264999999999999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581.67200000000003</v>
      </c>
      <c r="BN353" s="64">
        <f>IFERROR(Y353*I353/H353,"0")</f>
        <v>587.86</v>
      </c>
      <c r="BO353" s="64">
        <f>IFERROR(1/J353*(X353/H353),"0")</f>
        <v>0.78333333333333333</v>
      </c>
      <c r="BP353" s="64">
        <f>IFERROR(1/J353*(Y353/H353),"0")</f>
        <v>0.79166666666666663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37.6</v>
      </c>
      <c r="Y355" s="543">
        <f>IFERROR(Y353/H353,"0")+IFERROR(Y354/H354,"0")</f>
        <v>38</v>
      </c>
      <c r="Z355" s="543">
        <f>IFERROR(IF(Z353="",0,Z353),"0")+IFERROR(IF(Z354="",0,Z354),"0")</f>
        <v>0.8264999999999999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564</v>
      </c>
      <c r="Y356" s="543">
        <f>IFERROR(SUM(Y353:Y354),"0")</f>
        <v>570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21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22.152666666666665</v>
      </c>
      <c r="BN359" s="64">
        <f>IFERROR(Y359*I359/H359,"0")</f>
        <v>28.481999999999996</v>
      </c>
      <c r="BO359" s="64">
        <f>IFERROR(1/J359*(X359/H359),"0")</f>
        <v>3.6458333333333336E-2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2.3333333333333335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21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162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49</v>
      </c>
      <c r="Y363" s="542">
        <f>IFERROR(IF(X363="",0,CEILING((X363/$H363),1)*$H363),"")</f>
        <v>54</v>
      </c>
      <c r="Z363" s="36">
        <f>IFERROR(IF(Y363=0,"",ROUNDUP(Y363/H363,0)*0.01898),"")</f>
        <v>0.11388000000000001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51.689555555555557</v>
      </c>
      <c r="BN363" s="64">
        <f>IFERROR(Y363*I363/H363,"0")</f>
        <v>56.963999999999992</v>
      </c>
      <c r="BO363" s="64">
        <f>IFERROR(1/J363*(X363/H363),"0")</f>
        <v>8.5069444444444448E-2</v>
      </c>
      <c r="BP363" s="64">
        <f>IFERROR(1/J363*(Y363/H363),"0")</f>
        <v>9.375E-2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5.4444444444444446</v>
      </c>
      <c r="Y364" s="543">
        <f>IFERROR(Y363/H363,"0")</f>
        <v>6</v>
      </c>
      <c r="Z364" s="543">
        <f>IFERROR(IF(Z363="",0,Z363),"0")</f>
        <v>0.11388000000000001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49</v>
      </c>
      <c r="Y365" s="543">
        <f>IFERROR(SUM(Y363:Y363),"0")</f>
        <v>54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400</v>
      </c>
      <c r="Y378" s="542">
        <f>IFERROR(IF(X378="",0,CEILING((X378/$H378),1)*$H378),"")</f>
        <v>405</v>
      </c>
      <c r="Z378" s="36">
        <f>IFERROR(IF(Y378=0,"",ROUNDUP(Y378/H378,0)*0.01898),"")</f>
        <v>0.85409999999999997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421.95555555555552</v>
      </c>
      <c r="BN378" s="64">
        <f>IFERROR(Y378*I378/H378,"0")</f>
        <v>427.22999999999996</v>
      </c>
      <c r="BO378" s="64">
        <f>IFERROR(1/J378*(X378/H378),"0")</f>
        <v>0.69444444444444442</v>
      </c>
      <c r="BP378" s="64">
        <f>IFERROR(1/J378*(Y378/H378),"0")</f>
        <v>0.703125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44.444444444444443</v>
      </c>
      <c r="Y380" s="543">
        <f>IFERROR(Y378/H378,"0")+IFERROR(Y379/H379,"0")</f>
        <v>45</v>
      </c>
      <c r="Z380" s="543">
        <f>IFERROR(IF(Z378="",0,Z378),"0")+IFERROR(IF(Z379="",0,Z379),"0")</f>
        <v>0.85409999999999997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400</v>
      </c>
      <c r="Y381" s="543">
        <f>IFERROR(SUM(Y378:Y379),"0")</f>
        <v>405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20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20.703703703703702</v>
      </c>
      <c r="BN385" s="64">
        <f t="shared" ref="BN385:BN393" si="38">IFERROR(Y385*I385/H385,"0")</f>
        <v>22.36</v>
      </c>
      <c r="BO385" s="64">
        <f t="shared" ref="BO385:BO393" si="39">IFERROR(1/J385*(X385/H385),"0")</f>
        <v>2.8058361391694722E-2</v>
      </c>
      <c r="BP385" s="64">
        <f t="shared" ref="BP385:BP393" si="40">IFERROR(1/J385*(Y385/H385),"0")</f>
        <v>3.0303030303030304E-2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3.7037037037037033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20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119</v>
      </c>
      <c r="Y407" s="542">
        <f>IFERROR(IF(X407="",0,CEILING((X407/$H407),1)*$H407),"")</f>
        <v>124.2</v>
      </c>
      <c r="Z407" s="36">
        <f>IFERROR(IF(Y407=0,"",ROUNDUP(Y407/H407,0)*0.00902),"")</f>
        <v>0.20746000000000001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123.18703703703703</v>
      </c>
      <c r="BN407" s="64">
        <f>IFERROR(Y407*I407/H407,"0")</f>
        <v>128.57</v>
      </c>
      <c r="BO407" s="64">
        <f>IFERROR(1/J407*(X407/H407),"0")</f>
        <v>0.1669472502805836</v>
      </c>
      <c r="BP407" s="64">
        <f>IFERROR(1/J407*(Y407/H407),"0")</f>
        <v>0.17424242424242425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22.037037037037035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0.20746000000000001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119</v>
      </c>
      <c r="Y412" s="543">
        <f>IFERROR(SUM(Y407:Y410),"0")</f>
        <v>124.2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4</v>
      </c>
      <c r="Y421" s="542">
        <f t="shared" ref="Y421:Y431" si="42">IFERROR(IF(X421="",0,CEILING((X421/$H421),1)*$H421),"")</f>
        <v>5.28</v>
      </c>
      <c r="Z421" s="36">
        <f t="shared" ref="Z421:Z426" si="43">IFERROR(IF(Y421=0,"",ROUNDUP(Y421/H421,0)*0.01196),"")</f>
        <v>1.196E-2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4.2651515151515147</v>
      </c>
      <c r="BN421" s="64">
        <f t="shared" ref="BN421:BN431" si="45">IFERROR(Y421*I421/H421,"0")</f>
        <v>5.63</v>
      </c>
      <c r="BO421" s="64">
        <f t="shared" ref="BO421:BO431" si="46">IFERROR(1/J421*(X421/H421),"0")</f>
        <v>7.2843822843822849E-3</v>
      </c>
      <c r="BP421" s="64">
        <f t="shared" ref="BP421:BP431" si="47">IFERROR(1/J421*(Y421/H421),"0")</f>
        <v>9.6153846153846159E-3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43</v>
      </c>
      <c r="Y422" s="542">
        <f t="shared" si="42"/>
        <v>47.52</v>
      </c>
      <c r="Z422" s="36">
        <f t="shared" si="43"/>
        <v>0.10764</v>
      </c>
      <c r="AA422" s="56"/>
      <c r="AB422" s="57"/>
      <c r="AC422" s="463" t="s">
        <v>646</v>
      </c>
      <c r="AG422" s="64"/>
      <c r="AJ422" s="68"/>
      <c r="AK422" s="68">
        <v>0</v>
      </c>
      <c r="BB422" s="464" t="s">
        <v>1</v>
      </c>
      <c r="BM422" s="64">
        <f t="shared" si="44"/>
        <v>45.850378787878789</v>
      </c>
      <c r="BN422" s="64">
        <f t="shared" si="45"/>
        <v>50.669999999999995</v>
      </c>
      <c r="BO422" s="64">
        <f t="shared" si="46"/>
        <v>7.8307109557109553E-2</v>
      </c>
      <c r="BP422" s="64">
        <f t="shared" si="47"/>
        <v>8.6538461538461536E-2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167</v>
      </c>
      <c r="Y423" s="542">
        <f t="shared" si="42"/>
        <v>168.96</v>
      </c>
      <c r="Z423" s="36">
        <f t="shared" si="43"/>
        <v>0.38272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178.07007575757575</v>
      </c>
      <c r="BN423" s="64">
        <f t="shared" si="45"/>
        <v>180.16</v>
      </c>
      <c r="BO423" s="64">
        <f t="shared" si="46"/>
        <v>0.30412296037296038</v>
      </c>
      <c r="BP423" s="64">
        <f t="shared" si="47"/>
        <v>0.30769230769230771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164</v>
      </c>
      <c r="Y426" s="542">
        <f t="shared" si="42"/>
        <v>168.96</v>
      </c>
      <c r="Z426" s="36">
        <f t="shared" si="43"/>
        <v>0.38272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174.8712121212121</v>
      </c>
      <c r="BN426" s="64">
        <f t="shared" si="45"/>
        <v>180.16</v>
      </c>
      <c r="BO426" s="64">
        <f t="shared" si="46"/>
        <v>0.29865967365967366</v>
      </c>
      <c r="BP426" s="64">
        <f t="shared" si="47"/>
        <v>0.30769230769230771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7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10.077083333333334</v>
      </c>
      <c r="BN428" s="64">
        <f t="shared" si="45"/>
        <v>13.82</v>
      </c>
      <c r="BO428" s="64">
        <f t="shared" si="46"/>
        <v>1.10479797979798E-2</v>
      </c>
      <c r="BP428" s="64">
        <f t="shared" si="47"/>
        <v>1.5151515151515152E-2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73.049242424242422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0.9030800000000001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385</v>
      </c>
      <c r="Y433" s="543">
        <f>IFERROR(SUM(Y421:Y431),"0")</f>
        <v>400.32000000000005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122</v>
      </c>
      <c r="Y435" s="542">
        <f>IFERROR(IF(X435="",0,CEILING((X435/$H435),1)*$H435),"")</f>
        <v>126.72</v>
      </c>
      <c r="Z435" s="36">
        <f>IFERROR(IF(Y435=0,"",ROUNDUP(Y435/H435,0)*0.01196),"")</f>
        <v>0.28704000000000002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130.08712121212122</v>
      </c>
      <c r="BN435" s="64">
        <f>IFERROR(Y435*I435/H435,"0")</f>
        <v>135.11999999999998</v>
      </c>
      <c r="BO435" s="64">
        <f>IFERROR(1/J435*(X435/H435),"0")</f>
        <v>0.22217365967365968</v>
      </c>
      <c r="BP435" s="64">
        <f>IFERROR(1/J435*(Y435/H435),"0")</f>
        <v>0.23076923076923078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23.106060606060606</v>
      </c>
      <c r="Y438" s="543">
        <f>IFERROR(Y435/H435,"0")+IFERROR(Y436/H436,"0")+IFERROR(Y437/H437,"0")</f>
        <v>24</v>
      </c>
      <c r="Z438" s="543">
        <f>IFERROR(IF(Z435="",0,Z435),"0")+IFERROR(IF(Z436="",0,Z436),"0")+IFERROR(IF(Z437="",0,Z437),"0")</f>
        <v>0.28704000000000002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122</v>
      </c>
      <c r="Y439" s="543">
        <f>IFERROR(SUM(Y435:Y437),"0")</f>
        <v>126.72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110</v>
      </c>
      <c r="Y441" s="542">
        <f t="shared" ref="Y441:Y446" si="48">IFERROR(IF(X441="",0,CEILING((X441/$H441),1)*$H441),"")</f>
        <v>110.88000000000001</v>
      </c>
      <c r="Z441" s="36">
        <f>IFERROR(IF(Y441=0,"",ROUNDUP(Y441/H441,0)*0.01196),"")</f>
        <v>0.25115999999999999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117.29166666666666</v>
      </c>
      <c r="BN441" s="64">
        <f t="shared" ref="BN441:BN446" si="50">IFERROR(Y441*I441/H441,"0")</f>
        <v>118.23</v>
      </c>
      <c r="BO441" s="64">
        <f t="shared" ref="BO441:BO446" si="51">IFERROR(1/J441*(X441/H441),"0")</f>
        <v>0.20032051282051283</v>
      </c>
      <c r="BP441" s="64">
        <f t="shared" ref="BP441:BP446" si="52">IFERROR(1/J441*(Y441/H441),"0")</f>
        <v>0.20192307692307693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83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88.501893939393923</v>
      </c>
      <c r="BN442" s="64">
        <f t="shared" si="50"/>
        <v>90.08</v>
      </c>
      <c r="BO442" s="64">
        <f t="shared" si="51"/>
        <v>0.15115093240093241</v>
      </c>
      <c r="BP442" s="64">
        <f t="shared" si="52"/>
        <v>0.15384615384615385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92</v>
      </c>
      <c r="Y443" s="542">
        <f t="shared" si="48"/>
        <v>95.04</v>
      </c>
      <c r="Z443" s="36">
        <f>IFERROR(IF(Y443=0,"",ROUNDUP(Y443/H443,0)*0.01196),"")</f>
        <v>0.21528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98.098484848484844</v>
      </c>
      <c r="BN443" s="64">
        <f t="shared" si="50"/>
        <v>101.33999999999999</v>
      </c>
      <c r="BO443" s="64">
        <f t="shared" si="51"/>
        <v>0.16754079254079252</v>
      </c>
      <c r="BP443" s="64">
        <f t="shared" si="52"/>
        <v>0.17307692307692307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53.97727272727272</v>
      </c>
      <c r="Y447" s="543">
        <f>IFERROR(Y441/H441,"0")+IFERROR(Y442/H442,"0")+IFERROR(Y443/H443,"0")+IFERROR(Y444/H444,"0")+IFERROR(Y445/H445,"0")+IFERROR(Y446/H446,"0")</f>
        <v>55</v>
      </c>
      <c r="Z447" s="543">
        <f>IFERROR(IF(Z441="",0,Z441),"0")+IFERROR(IF(Z442="",0,Z442),"0")+IFERROR(IF(Z443="",0,Z443),"0")+IFERROR(IF(Z444="",0,Z444),"0")+IFERROR(IF(Z445="",0,Z445),"0")+IFERROR(IF(Z446="",0,Z446),"0")</f>
        <v>0.65780000000000005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285</v>
      </c>
      <c r="Y448" s="543">
        <f>IFERROR(SUM(Y441:Y446),"0")</f>
        <v>290.40000000000003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30</v>
      </c>
      <c r="Y476" s="542">
        <f>IFERROR(IF(X476="",0,CEILING((X476/$H476),1)*$H476),"")</f>
        <v>36</v>
      </c>
      <c r="Z476" s="36">
        <f>IFERROR(IF(Y476=0,"",ROUNDUP(Y476/H476,0)*0.01898),"")</f>
        <v>7.5920000000000001E-2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31.646666666666665</v>
      </c>
      <c r="BN476" s="64">
        <f>IFERROR(Y476*I476/H476,"0")</f>
        <v>37.975999999999999</v>
      </c>
      <c r="BO476" s="64">
        <f>IFERROR(1/J476*(X476/H476),"0")</f>
        <v>5.2083333333333336E-2</v>
      </c>
      <c r="BP476" s="64">
        <f>IFERROR(1/J476*(Y476/H476),"0")</f>
        <v>6.25E-2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3.3333333333333335</v>
      </c>
      <c r="Y477" s="543">
        <f>IFERROR(Y476/H476,"0")</f>
        <v>4</v>
      </c>
      <c r="Z477" s="543">
        <f>IFERROR(IF(Z476="",0,Z476),"0")</f>
        <v>7.5920000000000001E-2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30</v>
      </c>
      <c r="Y478" s="543">
        <f>IFERROR(SUM(Y476:Y476),"0")</f>
        <v>36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6767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6963.9400000000005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7113.3485041726772</v>
      </c>
      <c r="Y490" s="543">
        <f>IFERROR(SUM(BN22:BN486),"0")</f>
        <v>7321.2979999999961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7413.3485041726772</v>
      </c>
      <c r="Y492" s="543">
        <f>GrossWeightTotalR+PalletQtyTotalR*25</f>
        <v>7621.2979999999961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1154.423095230482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1184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13.29111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115</v>
      </c>
      <c r="E497" s="605" t="s">
        <v>169</v>
      </c>
      <c r="F497" s="605" t="s">
        <v>188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68.8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111.6</v>
      </c>
      <c r="E499" s="46">
        <f>IFERROR(Y85*1,"0")+IFERROR(Y86*1,"0")+IFERROR(Y87*1,"0")+IFERROR(Y91*1,"0")+IFERROR(Y92*1,"0")+IFERROR(Y93*1,"0")+IFERROR(Y94*1,"0")</f>
        <v>333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333.90000000000003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180.12000000000003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1425.6000000000001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1.98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40.799999999999997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252.89999999999998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2811</v>
      </c>
      <c r="T499" s="46">
        <f>IFERROR(Y368*1,"0")+IFERROR(Y369*1,"0")+IFERROR(Y373*1,"0")+IFERROR(Y374*1,"0")+IFERROR(Y378*1,"0")+IFERROR(Y379*1,"0")</f>
        <v>405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124.2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817.44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36</v>
      </c>
      <c r="Z499" s="46">
        <f>IFERROR(Y486*1,"0")</f>
        <v>0</v>
      </c>
      <c r="AB499" s="52"/>
      <c r="AC499" s="52"/>
      <c r="AF499" s="539"/>
    </row>
  </sheetData>
  <sheetProtection algorithmName="SHA-512" hashValue="Cvaz9tayjPKUu3+mLXd2va571uLxvqaCdmIhI/CX1eUlaky/A3SW2AMeZE+qhK6DPjuWVW0NLzaCR8n8lLi9TA==" saltValue="N6HpzU1QkmihhZd8NijLk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1 154,42"/>
        <filter val="1,00"/>
        <filter val="1,01"/>
        <filter val="1,59"/>
        <filter val="10,00"/>
        <filter val="104,00"/>
        <filter val="109,00"/>
        <filter val="110,00"/>
        <filter val="117,00"/>
        <filter val="119,00"/>
        <filter val="12"/>
        <filter val="121,00"/>
        <filter val="122,00"/>
        <filter val="125,00"/>
        <filter val="134,00"/>
        <filter val="14,00"/>
        <filter val="141,73"/>
        <filter val="15,00"/>
        <filter val="153,00"/>
        <filter val="154,00"/>
        <filter val="157,00"/>
        <filter val="16,25"/>
        <filter val="164,00"/>
        <filter val="167,00"/>
        <filter val="173,00"/>
        <filter val="174,00"/>
        <filter val="189,44"/>
        <filter val="19,00"/>
        <filter val="2 126,00"/>
        <filter val="2,00"/>
        <filter val="2,33"/>
        <filter val="20,00"/>
        <filter val="20,09"/>
        <filter val="208,00"/>
        <filter val="21,00"/>
        <filter val="216,00"/>
        <filter val="22,04"/>
        <filter val="23,11"/>
        <filter val="230,00"/>
        <filter val="24,00"/>
        <filter val="26,36"/>
        <filter val="271,72"/>
        <filter val="277,00"/>
        <filter val="285,00"/>
        <filter val="3,33"/>
        <filter val="3,70"/>
        <filter val="30,00"/>
        <filter val="30,76"/>
        <filter val="34,00"/>
        <filter val="34,81"/>
        <filter val="360,00"/>
        <filter val="37,60"/>
        <filter val="385,00"/>
        <filter val="39,00"/>
        <filter val="4,00"/>
        <filter val="4,17"/>
        <filter val="400,00"/>
        <filter val="406,00"/>
        <filter val="42,00"/>
        <filter val="43,00"/>
        <filter val="44,00"/>
        <filter val="44,44"/>
        <filter val="45,00"/>
        <filter val="48,00"/>
        <filter val="49,00"/>
        <filter val="5,00"/>
        <filter val="5,44"/>
        <filter val="5,88"/>
        <filter val="51,98"/>
        <filter val="52,00"/>
        <filter val="53,98"/>
        <filter val="55,00"/>
        <filter val="564,00"/>
        <filter val="58,00"/>
        <filter val="6 767,00"/>
        <filter val="64,52"/>
        <filter val="652,00"/>
        <filter val="684,00"/>
        <filter val="7 113,35"/>
        <filter val="7 413,35"/>
        <filter val="7,00"/>
        <filter val="7,86"/>
        <filter val="708,00"/>
        <filter val="719,00"/>
        <filter val="73,00"/>
        <filter val="73,05"/>
        <filter val="74,00"/>
        <filter val="8,00"/>
        <filter val="8,14"/>
        <filter val="8,33"/>
        <filter val="83,00"/>
        <filter val="89,00"/>
        <filter val="92,00"/>
        <filter val="94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3 X165:X166 X196:X197 X199 X210 X212:X215 X273:X274 X316 X343:X345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SVH7mirzhKzzYQyWUGannvBPrx/FyqbwSgMMUnmXJoUprgYB3wuWvehT4/eO9xTQ/y727r5k7URvGabNnhiuRg==" saltValue="BNp/BcbchzKhR78Ojlmi5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