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3BC4808-6731-4CA0-9D78-CD8736728D7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BP466" i="1" s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Z423" i="1" s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BP369" i="1" s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BP335" i="1" s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O499" i="1" s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499" i="1" l="1"/>
  <c r="X491" i="1"/>
  <c r="Y31" i="1"/>
  <c r="Z52" i="1"/>
  <c r="BN52" i="1"/>
  <c r="Z62" i="1"/>
  <c r="BN62" i="1"/>
  <c r="Z74" i="1"/>
  <c r="BN74" i="1"/>
  <c r="Z91" i="1"/>
  <c r="BN91" i="1"/>
  <c r="Z106" i="1"/>
  <c r="BN106" i="1"/>
  <c r="Z125" i="1"/>
  <c r="BN125" i="1"/>
  <c r="Z142" i="1"/>
  <c r="BN142" i="1"/>
  <c r="Z164" i="1"/>
  <c r="BN164" i="1"/>
  <c r="Z176" i="1"/>
  <c r="BN176" i="1"/>
  <c r="J499" i="1"/>
  <c r="Z199" i="1"/>
  <c r="BN199" i="1"/>
  <c r="Z209" i="1"/>
  <c r="BN209" i="1"/>
  <c r="Z227" i="1"/>
  <c r="BN227" i="1"/>
  <c r="Z247" i="1"/>
  <c r="BN247" i="1"/>
  <c r="Z265" i="1"/>
  <c r="BN265" i="1"/>
  <c r="Z299" i="1"/>
  <c r="BN299" i="1"/>
  <c r="Z301" i="1"/>
  <c r="BN301" i="1"/>
  <c r="Z315" i="1"/>
  <c r="BN315" i="1"/>
  <c r="Z324" i="1"/>
  <c r="BN324" i="1"/>
  <c r="Z335" i="1"/>
  <c r="BN335" i="1"/>
  <c r="Z369" i="1"/>
  <c r="BN369" i="1"/>
  <c r="Z389" i="1"/>
  <c r="BN389" i="1"/>
  <c r="Z408" i="1"/>
  <c r="BN408" i="1"/>
  <c r="Z424" i="1"/>
  <c r="BN424" i="1"/>
  <c r="Z436" i="1"/>
  <c r="BN436" i="1"/>
  <c r="Z450" i="1"/>
  <c r="BN450" i="1"/>
  <c r="Z466" i="1"/>
  <c r="BN466" i="1"/>
  <c r="BP108" i="1"/>
  <c r="BN108" i="1"/>
  <c r="Z108" i="1"/>
  <c r="Y131" i="1"/>
  <c r="BP129" i="1"/>
  <c r="BN129" i="1"/>
  <c r="Z129" i="1"/>
  <c r="Y150" i="1"/>
  <c r="BP146" i="1"/>
  <c r="BN146" i="1"/>
  <c r="Z146" i="1"/>
  <c r="BP166" i="1"/>
  <c r="BN166" i="1"/>
  <c r="Z166" i="1"/>
  <c r="BP187" i="1"/>
  <c r="BN187" i="1"/>
  <c r="Z187" i="1"/>
  <c r="BP201" i="1"/>
  <c r="BN201" i="1"/>
  <c r="Z201" i="1"/>
  <c r="BP211" i="1"/>
  <c r="BN211" i="1"/>
  <c r="Z211" i="1"/>
  <c r="BP229" i="1"/>
  <c r="BN229" i="1"/>
  <c r="Z229" i="1"/>
  <c r="BP249" i="1"/>
  <c r="BN249" i="1"/>
  <c r="Z249" i="1"/>
  <c r="BP267" i="1"/>
  <c r="BN267" i="1"/>
  <c r="Z267" i="1"/>
  <c r="BP284" i="1"/>
  <c r="BN284" i="1"/>
  <c r="Z284" i="1"/>
  <c r="BP303" i="1"/>
  <c r="BN303" i="1"/>
  <c r="Z303" i="1"/>
  <c r="BP317" i="1"/>
  <c r="BN317" i="1"/>
  <c r="Z317" i="1"/>
  <c r="BP321" i="1"/>
  <c r="BN321" i="1"/>
  <c r="Z321" i="1"/>
  <c r="Y332" i="1"/>
  <c r="BP328" i="1"/>
  <c r="BN328" i="1"/>
  <c r="Z328" i="1"/>
  <c r="Y331" i="1"/>
  <c r="X490" i="1"/>
  <c r="X492" i="1" s="1"/>
  <c r="X493" i="1"/>
  <c r="Z27" i="1"/>
  <c r="BN27" i="1"/>
  <c r="Z41" i="1"/>
  <c r="BN41" i="1"/>
  <c r="D499" i="1"/>
  <c r="Z54" i="1"/>
  <c r="BN54" i="1"/>
  <c r="Z60" i="1"/>
  <c r="BN60" i="1"/>
  <c r="BP60" i="1"/>
  <c r="Z66" i="1"/>
  <c r="BN66" i="1"/>
  <c r="BP66" i="1"/>
  <c r="Z72" i="1"/>
  <c r="BN72" i="1"/>
  <c r="BP72" i="1"/>
  <c r="Z80" i="1"/>
  <c r="BN80" i="1"/>
  <c r="Z87" i="1"/>
  <c r="BN87" i="1"/>
  <c r="Y95" i="1"/>
  <c r="Z93" i="1"/>
  <c r="BN93" i="1"/>
  <c r="F499" i="1"/>
  <c r="Z102" i="1"/>
  <c r="BN102" i="1"/>
  <c r="Y110" i="1"/>
  <c r="BP114" i="1"/>
  <c r="BN114" i="1"/>
  <c r="Z114" i="1"/>
  <c r="BP140" i="1"/>
  <c r="BN140" i="1"/>
  <c r="Z140" i="1"/>
  <c r="Y172" i="1"/>
  <c r="BP162" i="1"/>
  <c r="BN162" i="1"/>
  <c r="Z162" i="1"/>
  <c r="BP170" i="1"/>
  <c r="BN170" i="1"/>
  <c r="Z170" i="1"/>
  <c r="Y205" i="1"/>
  <c r="BP197" i="1"/>
  <c r="BN197" i="1"/>
  <c r="Z197" i="1"/>
  <c r="BP207" i="1"/>
  <c r="BN207" i="1"/>
  <c r="Z207" i="1"/>
  <c r="BP220" i="1"/>
  <c r="BN220" i="1"/>
  <c r="Z220" i="1"/>
  <c r="BP225" i="1"/>
  <c r="BN225" i="1"/>
  <c r="Z225" i="1"/>
  <c r="BP233" i="1"/>
  <c r="BN233" i="1"/>
  <c r="Z233" i="1"/>
  <c r="BP258" i="1"/>
  <c r="BN258" i="1"/>
  <c r="Z258" i="1"/>
  <c r="BP274" i="1"/>
  <c r="BN274" i="1"/>
  <c r="Z274" i="1"/>
  <c r="BP279" i="1"/>
  <c r="BN279" i="1"/>
  <c r="Z279" i="1"/>
  <c r="BP293" i="1"/>
  <c r="BN293" i="1"/>
  <c r="Z293" i="1"/>
  <c r="BP345" i="1"/>
  <c r="BN345" i="1"/>
  <c r="Z345" i="1"/>
  <c r="BP354" i="1"/>
  <c r="BN354" i="1"/>
  <c r="Z354" i="1"/>
  <c r="BP358" i="1"/>
  <c r="BN358" i="1"/>
  <c r="Z358" i="1"/>
  <c r="BP387" i="1"/>
  <c r="BN387" i="1"/>
  <c r="Z387" i="1"/>
  <c r="BP397" i="1"/>
  <c r="BN397" i="1"/>
  <c r="Z397" i="1"/>
  <c r="BP430" i="1"/>
  <c r="BN430" i="1"/>
  <c r="Z430" i="1"/>
  <c r="BP446" i="1"/>
  <c r="BN446" i="1"/>
  <c r="Z446" i="1"/>
  <c r="BP460" i="1"/>
  <c r="BN460" i="1"/>
  <c r="Z460" i="1"/>
  <c r="Y116" i="1"/>
  <c r="G499" i="1"/>
  <c r="I499" i="1"/>
  <c r="Y178" i="1"/>
  <c r="Y193" i="1"/>
  <c r="Y276" i="1"/>
  <c r="Y275" i="1"/>
  <c r="BP311" i="1"/>
  <c r="BN311" i="1"/>
  <c r="Z311" i="1"/>
  <c r="BP322" i="1"/>
  <c r="BN322" i="1"/>
  <c r="Z322" i="1"/>
  <c r="BP337" i="1"/>
  <c r="BN337" i="1"/>
  <c r="Z337" i="1"/>
  <c r="BP346" i="1"/>
  <c r="BN346" i="1"/>
  <c r="Z346" i="1"/>
  <c r="Y375" i="1"/>
  <c r="BP373" i="1"/>
  <c r="BN373" i="1"/>
  <c r="Z373" i="1"/>
  <c r="BP391" i="1"/>
  <c r="BN391" i="1"/>
  <c r="Z391" i="1"/>
  <c r="BP410" i="1"/>
  <c r="BN410" i="1"/>
  <c r="Z410" i="1"/>
  <c r="BP426" i="1"/>
  <c r="BN426" i="1"/>
  <c r="Z426" i="1"/>
  <c r="BP442" i="1"/>
  <c r="BN442" i="1"/>
  <c r="Z442" i="1"/>
  <c r="BP452" i="1"/>
  <c r="BN452" i="1"/>
  <c r="Z45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Y319" i="1"/>
  <c r="Y318" i="1"/>
  <c r="Y350" i="1"/>
  <c r="Y462" i="1"/>
  <c r="W499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Y204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L499" i="1"/>
  <c r="Y260" i="1"/>
  <c r="Y261" i="1"/>
  <c r="BP255" i="1"/>
  <c r="BN255" i="1"/>
  <c r="Z255" i="1"/>
  <c r="BP280" i="1"/>
  <c r="BN280" i="1"/>
  <c r="Z280" i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36" i="1"/>
  <c r="BN336" i="1"/>
  <c r="Z336" i="1"/>
  <c r="Z338" i="1" s="1"/>
  <c r="Y338" i="1"/>
  <c r="BP386" i="1"/>
  <c r="BN386" i="1"/>
  <c r="Z386" i="1"/>
  <c r="BP390" i="1"/>
  <c r="BN390" i="1"/>
  <c r="Z390" i="1"/>
  <c r="Y394" i="1"/>
  <c r="BP398" i="1"/>
  <c r="BN398" i="1"/>
  <c r="Z398" i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Y433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BN67" i="1"/>
  <c r="Z73" i="1"/>
  <c r="BN73" i="1"/>
  <c r="Z75" i="1"/>
  <c r="BN75" i="1"/>
  <c r="Z79" i="1"/>
  <c r="BN79" i="1"/>
  <c r="BP79" i="1"/>
  <c r="E499" i="1"/>
  <c r="Z86" i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BN113" i="1"/>
  <c r="Z115" i="1"/>
  <c r="BN115" i="1"/>
  <c r="Z119" i="1"/>
  <c r="Z120" i="1" s="1"/>
  <c r="BN119" i="1"/>
  <c r="BP119" i="1"/>
  <c r="Z124" i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BN196" i="1"/>
  <c r="BP196" i="1"/>
  <c r="Z198" i="1"/>
  <c r="BN198" i="1"/>
  <c r="Z200" i="1"/>
  <c r="BN200" i="1"/>
  <c r="Z202" i="1"/>
  <c r="BN202" i="1"/>
  <c r="Y216" i="1"/>
  <c r="Z208" i="1"/>
  <c r="BN208" i="1"/>
  <c r="Z210" i="1"/>
  <c r="BN210" i="1"/>
  <c r="Z212" i="1"/>
  <c r="BN212" i="1"/>
  <c r="Z214" i="1"/>
  <c r="BN214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323" i="1"/>
  <c r="BN323" i="1"/>
  <c r="Z323" i="1"/>
  <c r="Y325" i="1"/>
  <c r="BP347" i="1"/>
  <c r="BN347" i="1"/>
  <c r="Z347" i="1"/>
  <c r="BP359" i="1"/>
  <c r="BN359" i="1"/>
  <c r="Z359" i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0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Y483" i="1"/>
  <c r="Z499" i="1"/>
  <c r="Y487" i="1"/>
  <c r="BP486" i="1"/>
  <c r="BN486" i="1"/>
  <c r="Z486" i="1"/>
  <c r="Z487" i="1" s="1"/>
  <c r="Y488" i="1"/>
  <c r="K499" i="1"/>
  <c r="Y235" i="1"/>
  <c r="BP259" i="1"/>
  <c r="BN259" i="1"/>
  <c r="Z259" i="1"/>
  <c r="M499" i="1"/>
  <c r="Y269" i="1"/>
  <c r="BP264" i="1"/>
  <c r="BN264" i="1"/>
  <c r="Z264" i="1"/>
  <c r="Y268" i="1"/>
  <c r="BP273" i="1"/>
  <c r="BN273" i="1"/>
  <c r="Z273" i="1"/>
  <c r="Z275" i="1" s="1"/>
  <c r="Y286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6" i="1"/>
  <c r="BP329" i="1"/>
  <c r="BN329" i="1"/>
  <c r="Z329" i="1"/>
  <c r="BP344" i="1"/>
  <c r="BN344" i="1"/>
  <c r="Z344" i="1"/>
  <c r="Z350" i="1" s="1"/>
  <c r="BP349" i="1"/>
  <c r="BN349" i="1"/>
  <c r="Z349" i="1"/>
  <c r="Y351" i="1"/>
  <c r="Y356" i="1"/>
  <c r="BP353" i="1"/>
  <c r="BN353" i="1"/>
  <c r="Z353" i="1"/>
  <c r="Z355" i="1" s="1"/>
  <c r="Y360" i="1"/>
  <c r="BP374" i="1"/>
  <c r="BN374" i="1"/>
  <c r="Z374" i="1"/>
  <c r="Y376" i="1"/>
  <c r="Y381" i="1"/>
  <c r="BP378" i="1"/>
  <c r="BN378" i="1"/>
  <c r="Z378" i="1"/>
  <c r="Z380" i="1" s="1"/>
  <c r="U499" i="1"/>
  <c r="BP388" i="1"/>
  <c r="BN388" i="1"/>
  <c r="Z388" i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S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Z447" i="1" s="1"/>
  <c r="BP445" i="1"/>
  <c r="BN445" i="1"/>
  <c r="Z445" i="1"/>
  <c r="Y454" i="1"/>
  <c r="BP459" i="1"/>
  <c r="BN459" i="1"/>
  <c r="Z459" i="1"/>
  <c r="BP467" i="1"/>
  <c r="BN467" i="1"/>
  <c r="Z467" i="1"/>
  <c r="Y474" i="1"/>
  <c r="BP471" i="1"/>
  <c r="BN471" i="1"/>
  <c r="Z471" i="1"/>
  <c r="Z473" i="1" s="1"/>
  <c r="Y482" i="1"/>
  <c r="Y499" i="1"/>
  <c r="Z375" i="1" l="1"/>
  <c r="Z360" i="1"/>
  <c r="Z204" i="1"/>
  <c r="Z178" i="1"/>
  <c r="Z143" i="1"/>
  <c r="Z126" i="1"/>
  <c r="Z88" i="1"/>
  <c r="Z81" i="1"/>
  <c r="Z69" i="1"/>
  <c r="Z63" i="1"/>
  <c r="Z57" i="1"/>
  <c r="Z216" i="1"/>
  <c r="Z172" i="1"/>
  <c r="Z76" i="1"/>
  <c r="Z432" i="1"/>
  <c r="Z462" i="1"/>
  <c r="Z394" i="1"/>
  <c r="Z331" i="1"/>
  <c r="Z482" i="1"/>
  <c r="Z325" i="1"/>
  <c r="Z116" i="1"/>
  <c r="Z95" i="1"/>
  <c r="Z399" i="1"/>
  <c r="Z281" i="1"/>
  <c r="Z235" i="1"/>
  <c r="Z438" i="1"/>
  <c r="Z268" i="1"/>
  <c r="Z103" i="1"/>
  <c r="Z43" i="1"/>
  <c r="Z31" i="1"/>
  <c r="Y493" i="1"/>
  <c r="Y490" i="1"/>
  <c r="Z411" i="1"/>
  <c r="Z260" i="1"/>
  <c r="Z251" i="1"/>
  <c r="Y489" i="1"/>
  <c r="Z468" i="1"/>
  <c r="Y491" i="1"/>
  <c r="Z305" i="1"/>
  <c r="Z295" i="1"/>
  <c r="Z494" i="1" l="1"/>
  <c r="Y492" i="1"/>
</calcChain>
</file>

<file path=xl/sharedStrings.xml><?xml version="1.0" encoding="utf-8"?>
<sst xmlns="http://schemas.openxmlformats.org/spreadsheetml/2006/main" count="2259" uniqueCount="768">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</sst>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45978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378</v>
      </c>
      <c r="Y40" s="542">
        <f>IFERROR(IF(X40="",0,CEILING((X40/$H40),1)*$H40),"")</f>
        <v>378</v>
      </c>
      <c r="Z40" s="36">
        <f>IFERROR(IF(Y40=0,"",ROUNDUP(Y40/H40,0)*0.01898),"")</f>
        <v>0.6643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392.34999999999997</v>
      </c>
      <c r="BN40" s="64">
        <f>IFERROR(Y40*I40/H40,"0")</f>
        <v>392.34999999999997</v>
      </c>
      <c r="BO40" s="64">
        <f>IFERROR(1/J40*(X40/H40),"0")</f>
        <v>0.546875</v>
      </c>
      <c r="BP40" s="64">
        <f>IFERROR(1/J40*(Y40/H40),"0")</f>
        <v>0.546875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87</v>
      </c>
      <c r="Y42" s="542">
        <f>IFERROR(IF(X42="",0,CEILING((X42/$H42),1)*$H42),"")</f>
        <v>88.800000000000011</v>
      </c>
      <c r="Z42" s="36">
        <f>IFERROR(IF(Y42=0,"",ROUNDUP(Y42/H42,0)*0.00902),"")</f>
        <v>0.21648000000000001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91.467567567567571</v>
      </c>
      <c r="BN42" s="64">
        <f>IFERROR(Y42*I42/H42,"0")</f>
        <v>93.360000000000014</v>
      </c>
      <c r="BO42" s="64">
        <f>IFERROR(1/J42*(X42/H42),"0")</f>
        <v>0.17813267813267813</v>
      </c>
      <c r="BP42" s="64">
        <f>IFERROR(1/J42*(Y42/H42),"0")</f>
        <v>0.18181818181818185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58.513513513513516</v>
      </c>
      <c r="Y43" s="543">
        <f>IFERROR(Y40/H40,"0")+IFERROR(Y41/H41,"0")+IFERROR(Y42/H42,"0")</f>
        <v>59</v>
      </c>
      <c r="Z43" s="543">
        <f>IFERROR(IF(Z40="",0,Z40),"0")+IFERROR(IF(Z41="",0,Z41),"0")+IFERROR(IF(Z42="",0,Z42),"0")</f>
        <v>0.88078000000000001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465</v>
      </c>
      <c r="Y44" s="543">
        <f>IFERROR(SUM(Y40:Y42),"0")</f>
        <v>466.8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144</v>
      </c>
      <c r="Y51" s="542">
        <f t="shared" ref="Y51:Y56" si="0">IFERROR(IF(X51="",0,CEILING((X51/$H51),1)*$H51),"")</f>
        <v>145.6</v>
      </c>
      <c r="Z51" s="36">
        <f>IFERROR(IF(Y51=0,"",ROUNDUP(Y51/H51,0)*0.01898),"")</f>
        <v>0.24674000000000001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149.27142857142857</v>
      </c>
      <c r="BN51" s="64">
        <f t="shared" ref="BN51:BN56" si="2">IFERROR(Y51*I51/H51,"0")</f>
        <v>150.93</v>
      </c>
      <c r="BO51" s="64">
        <f t="shared" ref="BO51:BO56" si="3">IFERROR(1/J51*(X51/H51),"0")</f>
        <v>0.20089285714285715</v>
      </c>
      <c r="BP51" s="64">
        <f t="shared" ref="BP51:BP56" si="4">IFERROR(1/J51*(Y51/H51),"0")</f>
        <v>0.203125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298</v>
      </c>
      <c r="Y52" s="542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309.31296296296296</v>
      </c>
      <c r="BN52" s="64">
        <f t="shared" si="2"/>
        <v>313.88</v>
      </c>
      <c r="BO52" s="64">
        <f t="shared" si="3"/>
        <v>0.43113425925925924</v>
      </c>
      <c r="BP52" s="64">
        <f t="shared" si="4"/>
        <v>0.4375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40.449735449735449</v>
      </c>
      <c r="Y57" s="543">
        <f>IFERROR(Y51/H51,"0")+IFERROR(Y52/H52,"0")+IFERROR(Y53/H53,"0")+IFERROR(Y54/H54,"0")+IFERROR(Y55/H55,"0")+IFERROR(Y56/H56,"0")</f>
        <v>41</v>
      </c>
      <c r="Z57" s="543">
        <f>IFERROR(IF(Z51="",0,Z51),"0")+IFERROR(IF(Z52="",0,Z52),"0")+IFERROR(IF(Z53="",0,Z53),"0")+IFERROR(IF(Z54="",0,Z54),"0")+IFERROR(IF(Z55="",0,Z55),"0")+IFERROR(IF(Z56="",0,Z56),"0")</f>
        <v>0.77818000000000009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442</v>
      </c>
      <c r="Y58" s="543">
        <f>IFERROR(SUM(Y51:Y56),"0")</f>
        <v>448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334</v>
      </c>
      <c r="Y60" s="542">
        <f>IFERROR(IF(X60="",0,CEILING((X60/$H60),1)*$H60),"")</f>
        <v>334.8</v>
      </c>
      <c r="Z60" s="36">
        <f>IFERROR(IF(Y60=0,"",ROUNDUP(Y60/H60,0)*0.01898),"")</f>
        <v>0.58838000000000001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346.67962962962963</v>
      </c>
      <c r="BN60" s="64">
        <f>IFERROR(Y60*I60/H60,"0")</f>
        <v>347.51000000000005</v>
      </c>
      <c r="BO60" s="64">
        <f>IFERROR(1/J60*(X60/H60),"0")</f>
        <v>0.48321759259259256</v>
      </c>
      <c r="BP60" s="64">
        <f>IFERROR(1/J60*(Y60/H60),"0")</f>
        <v>0.484375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30.925925925925924</v>
      </c>
      <c r="Y63" s="543">
        <f>IFERROR(Y60/H60,"0")+IFERROR(Y61/H61,"0")+IFERROR(Y62/H62,"0")</f>
        <v>31</v>
      </c>
      <c r="Z63" s="543">
        <f>IFERROR(IF(Z60="",0,Z60),"0")+IFERROR(IF(Z61="",0,Z61),"0")+IFERROR(IF(Z62="",0,Z62),"0")</f>
        <v>0.58838000000000001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334</v>
      </c>
      <c r="Y64" s="543">
        <f>IFERROR(SUM(Y60:Y62),"0")</f>
        <v>334.8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53</v>
      </c>
      <c r="Y79" s="542">
        <f>IFERROR(IF(X79="",0,CEILING((X79/$H79),1)*$H79),"")</f>
        <v>54.6</v>
      </c>
      <c r="Z79" s="36">
        <f>IFERROR(IF(Y79=0,"",ROUNDUP(Y79/H79,0)*0.01898),"")</f>
        <v>0.13286000000000001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55.785897435897446</v>
      </c>
      <c r="BN79" s="64">
        <f>IFERROR(Y79*I79/H79,"0")</f>
        <v>57.470000000000013</v>
      </c>
      <c r="BO79" s="64">
        <f>IFERROR(1/J79*(X79/H79),"0")</f>
        <v>0.10616987179487179</v>
      </c>
      <c r="BP79" s="64">
        <f>IFERROR(1/J79*(Y79/H79),"0")</f>
        <v>0.109375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6.7948717948717947</v>
      </c>
      <c r="Y81" s="543">
        <f>IFERROR(Y79/H79,"0")+IFERROR(Y80/H80,"0")</f>
        <v>7</v>
      </c>
      <c r="Z81" s="543">
        <f>IFERROR(IF(Z79="",0,Z79),"0")+IFERROR(IF(Z80="",0,Z80),"0")</f>
        <v>0.13286000000000001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53</v>
      </c>
      <c r="Y82" s="543">
        <f>IFERROR(SUM(Y79:Y80),"0")</f>
        <v>54.6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477</v>
      </c>
      <c r="Y85" s="542">
        <f>IFERROR(IF(X85="",0,CEILING((X85/$H85),1)*$H85),"")</f>
        <v>486.00000000000006</v>
      </c>
      <c r="Z85" s="36">
        <f>IFERROR(IF(Y85=0,"",ROUNDUP(Y85/H85,0)*0.01898),"")</f>
        <v>0.85409999999999997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495.10833333333329</v>
      </c>
      <c r="BN85" s="64">
        <f>IFERROR(Y85*I85/H85,"0")</f>
        <v>504.4500000000001</v>
      </c>
      <c r="BO85" s="64">
        <f>IFERROR(1/J85*(X85/H85),"0")</f>
        <v>0.69010416666666663</v>
      </c>
      <c r="BP85" s="64">
        <f>IFERROR(1/J85*(Y85/H85),"0")</f>
        <v>0.703125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428</v>
      </c>
      <c r="Y87" s="542">
        <f>IFERROR(IF(X87="",0,CEILING((X87/$H87),1)*$H87),"")</f>
        <v>432</v>
      </c>
      <c r="Z87" s="36">
        <f>IFERROR(IF(Y87=0,"",ROUNDUP(Y87/H87,0)*0.00902),"")</f>
        <v>0.86592000000000002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446.07111111111112</v>
      </c>
      <c r="BN87" s="64">
        <f>IFERROR(Y87*I87/H87,"0")</f>
        <v>450.24</v>
      </c>
      <c r="BO87" s="64">
        <f>IFERROR(1/J87*(X87/H87),"0")</f>
        <v>0.72053872053872059</v>
      </c>
      <c r="BP87" s="64">
        <f>IFERROR(1/J87*(Y87/H87),"0")</f>
        <v>0.72727272727272729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139.27777777777777</v>
      </c>
      <c r="Y88" s="543">
        <f>IFERROR(Y85/H85,"0")+IFERROR(Y86/H86,"0")+IFERROR(Y87/H87,"0")</f>
        <v>141</v>
      </c>
      <c r="Z88" s="543">
        <f>IFERROR(IF(Z85="",0,Z85),"0")+IFERROR(IF(Z86="",0,Z86),"0")+IFERROR(IF(Z87="",0,Z87),"0")</f>
        <v>1.7200199999999999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905</v>
      </c>
      <c r="Y89" s="543">
        <f>IFERROR(SUM(Y85:Y87),"0")</f>
        <v>918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187</v>
      </c>
      <c r="Y91" s="542">
        <f>IFERROR(IF(X91="",0,CEILING((X91/$H91),1)*$H91),"")</f>
        <v>194.39999999999998</v>
      </c>
      <c r="Z91" s="36">
        <f>IFERROR(IF(Y91=0,"",ROUNDUP(Y91/H91,0)*0.01898),"")</f>
        <v>0.45552000000000004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198.40469135802471</v>
      </c>
      <c r="BN91" s="64">
        <f>IFERROR(Y91*I91/H91,"0")</f>
        <v>206.25599999999997</v>
      </c>
      <c r="BO91" s="64">
        <f>IFERROR(1/J91*(X91/H91),"0")</f>
        <v>0.36072530864197533</v>
      </c>
      <c r="BP91" s="64">
        <f>IFERROR(1/J91*(Y91/H91),"0")</f>
        <v>0.375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144</v>
      </c>
      <c r="Y93" s="542">
        <f>IFERROR(IF(X93="",0,CEILING((X93/$H93),1)*$H93),"")</f>
        <v>145.80000000000001</v>
      </c>
      <c r="Z93" s="36">
        <f>IFERROR(IF(Y93=0,"",ROUNDUP(Y93/H93,0)*0.00651),"")</f>
        <v>0.35154000000000002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157.43999999999997</v>
      </c>
      <c r="BN93" s="64">
        <f>IFERROR(Y93*I93/H93,"0")</f>
        <v>159.40799999999999</v>
      </c>
      <c r="BO93" s="64">
        <f>IFERROR(1/J93*(X93/H93),"0")</f>
        <v>0.29304029304029305</v>
      </c>
      <c r="BP93" s="64">
        <f>IFERROR(1/J93*(Y93/H93),"0")</f>
        <v>0.2967032967032967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76.419753086419746</v>
      </c>
      <c r="Y95" s="543">
        <f>IFERROR(Y91/H91,"0")+IFERROR(Y92/H92,"0")+IFERROR(Y93/H93,"0")+IFERROR(Y94/H94,"0")</f>
        <v>78</v>
      </c>
      <c r="Z95" s="543">
        <f>IFERROR(IF(Z91="",0,Z91),"0")+IFERROR(IF(Z92="",0,Z92),"0")+IFERROR(IF(Z93="",0,Z93),"0")+IFERROR(IF(Z94="",0,Z94),"0")</f>
        <v>0.80706000000000011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331</v>
      </c>
      <c r="Y96" s="543">
        <f>IFERROR(SUM(Y91:Y94),"0")</f>
        <v>340.2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507</v>
      </c>
      <c r="Y99" s="542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526.24722222222226</v>
      </c>
      <c r="BN99" s="64">
        <f>IFERROR(Y99*I99/H99,"0")</f>
        <v>526.87</v>
      </c>
      <c r="BO99" s="64">
        <f>IFERROR(1/J99*(X99/H99),"0")</f>
        <v>0.73350694444444442</v>
      </c>
      <c r="BP99" s="64">
        <f>IFERROR(1/J99*(Y99/H99),"0")</f>
        <v>0.734375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299</v>
      </c>
      <c r="Y101" s="542">
        <f>IFERROR(IF(X101="",0,CEILING((X101/$H101),1)*$H101),"")</f>
        <v>301.5</v>
      </c>
      <c r="Z101" s="36">
        <f>IFERROR(IF(Y101=0,"",ROUNDUP(Y101/H101,0)*0.00902),"")</f>
        <v>0.60433999999999999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311.62444444444446</v>
      </c>
      <c r="BN101" s="64">
        <f>IFERROR(Y101*I101/H101,"0")</f>
        <v>314.23</v>
      </c>
      <c r="BO101" s="64">
        <f>IFERROR(1/J101*(X101/H101),"0")</f>
        <v>0.50336700336700335</v>
      </c>
      <c r="BP101" s="64">
        <f>IFERROR(1/J101*(Y101/H101),"0")</f>
        <v>0.50757575757575757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113.38888888888889</v>
      </c>
      <c r="Y103" s="543">
        <f>IFERROR(Y99/H99,"0")+IFERROR(Y100/H100,"0")+IFERROR(Y101/H101,"0")+IFERROR(Y102/H102,"0")</f>
        <v>114</v>
      </c>
      <c r="Z103" s="543">
        <f>IFERROR(IF(Z99="",0,Z99),"0")+IFERROR(IF(Z100="",0,Z100),"0")+IFERROR(IF(Z101="",0,Z101),"0")+IFERROR(IF(Z102="",0,Z102),"0")</f>
        <v>1.4964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806</v>
      </c>
      <c r="Y104" s="543">
        <f>IFERROR(SUM(Y99:Y102),"0")</f>
        <v>809.1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95</v>
      </c>
      <c r="Y106" s="542">
        <f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98.606481481481481</v>
      </c>
      <c r="BN106" s="64">
        <f>IFERROR(Y106*I106/H106,"0")</f>
        <v>100.89</v>
      </c>
      <c r="BO106" s="64">
        <f>IFERROR(1/J106*(X106/H106),"0")</f>
        <v>0.13744212962962962</v>
      </c>
      <c r="BP106" s="64">
        <f>IFERROR(1/J106*(Y106/H106),"0")</f>
        <v>0.140625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124</v>
      </c>
      <c r="Y108" s="542">
        <f>IFERROR(IF(X108="",0,CEILING((X108/$H108),1)*$H108),"")</f>
        <v>124.8</v>
      </c>
      <c r="Z108" s="36">
        <f>IFERROR(IF(Y108=0,"",ROUNDUP(Y108/H108,0)*0.00651),"")</f>
        <v>0.33851999999999999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133.30000000000001</v>
      </c>
      <c r="BN108" s="64">
        <f>IFERROR(Y108*I108/H108,"0")</f>
        <v>134.16</v>
      </c>
      <c r="BO108" s="64">
        <f>IFERROR(1/J108*(X108/H108),"0")</f>
        <v>0.28388278388278393</v>
      </c>
      <c r="BP108" s="64">
        <f>IFERROR(1/J108*(Y108/H108),"0")</f>
        <v>0.28571428571428575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60.462962962962969</v>
      </c>
      <c r="Y109" s="543">
        <f>IFERROR(Y106/H106,"0")+IFERROR(Y107/H107,"0")+IFERROR(Y108/H108,"0")</f>
        <v>61</v>
      </c>
      <c r="Z109" s="543">
        <f>IFERROR(IF(Z106="",0,Z106),"0")+IFERROR(IF(Z107="",0,Z107),"0")+IFERROR(IF(Z108="",0,Z108),"0")</f>
        <v>0.50934000000000001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219</v>
      </c>
      <c r="Y110" s="543">
        <f>IFERROR(SUM(Y106:Y108),"0")</f>
        <v>222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220</v>
      </c>
      <c r="Y112" s="542">
        <f>IFERROR(IF(X112="",0,CEILING((X112/$H112),1)*$H112),"")</f>
        <v>226.79999999999998</v>
      </c>
      <c r="Z112" s="36">
        <f>IFERROR(IF(Y112=0,"",ROUNDUP(Y112/H112,0)*0.01898),"")</f>
        <v>0.53144000000000002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233.25432098765432</v>
      </c>
      <c r="BN112" s="64">
        <f>IFERROR(Y112*I112/H112,"0")</f>
        <v>240.46399999999997</v>
      </c>
      <c r="BO112" s="64">
        <f>IFERROR(1/J112*(X112/H112),"0")</f>
        <v>0.42438271604938271</v>
      </c>
      <c r="BP112" s="64">
        <f>IFERROR(1/J112*(Y112/H112),"0")</f>
        <v>0.4375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159</v>
      </c>
      <c r="Y114" s="542">
        <f>IFERROR(IF(X114="",0,CEILING((X114/$H114),1)*$H114),"")</f>
        <v>159.30000000000001</v>
      </c>
      <c r="Z114" s="36">
        <f>IFERROR(IF(Y114=0,"",ROUNDUP(Y114/H114,0)*0.00651),"")</f>
        <v>0.38408999999999999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173.83999999999997</v>
      </c>
      <c r="BN114" s="64">
        <f>IFERROR(Y114*I114/H114,"0")</f>
        <v>174.16799999999998</v>
      </c>
      <c r="BO114" s="64">
        <f>IFERROR(1/J114*(X114/H114),"0")</f>
        <v>0.32356532356532358</v>
      </c>
      <c r="BP114" s="64">
        <f>IFERROR(1/J114*(Y114/H114),"0")</f>
        <v>0.32417582417582419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86.049382716049379</v>
      </c>
      <c r="Y116" s="543">
        <f>IFERROR(Y112/H112,"0")+IFERROR(Y113/H113,"0")+IFERROR(Y114/H114,"0")+IFERROR(Y115/H115,"0")</f>
        <v>87</v>
      </c>
      <c r="Z116" s="543">
        <f>IFERROR(IF(Z112="",0,Z112),"0")+IFERROR(IF(Z113="",0,Z113),"0")+IFERROR(IF(Z114="",0,Z114),"0")+IFERROR(IF(Z115="",0,Z115),"0")</f>
        <v>0.91552999999999995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379</v>
      </c>
      <c r="Y117" s="543">
        <f>IFERROR(SUM(Y112:Y115),"0")</f>
        <v>386.1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157</v>
      </c>
      <c r="Y163" s="542">
        <f t="shared" si="5"/>
        <v>159.6</v>
      </c>
      <c r="Z163" s="36">
        <f>IFERROR(IF(Y163=0,"",ROUNDUP(Y163/H163,0)*0.00902),"")</f>
        <v>0.34276000000000001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166.34523809523807</v>
      </c>
      <c r="BN163" s="64">
        <f t="shared" si="7"/>
        <v>169.1</v>
      </c>
      <c r="BO163" s="64">
        <f t="shared" si="8"/>
        <v>0.28318903318903321</v>
      </c>
      <c r="BP163" s="64">
        <f t="shared" si="9"/>
        <v>0.2878787878787879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185</v>
      </c>
      <c r="Y165" s="542">
        <f t="shared" si="5"/>
        <v>189</v>
      </c>
      <c r="Z165" s="36">
        <f>IFERROR(IF(Y165=0,"",ROUNDUP(Y165/H165,0)*0.00902),"")</f>
        <v>0.40590000000000004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193.36904761904759</v>
      </c>
      <c r="BN165" s="64">
        <f t="shared" si="7"/>
        <v>197.54999999999998</v>
      </c>
      <c r="BO165" s="64">
        <f t="shared" si="8"/>
        <v>0.33369408369408365</v>
      </c>
      <c r="BP165" s="64">
        <f t="shared" si="9"/>
        <v>0.34090909090909094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95</v>
      </c>
      <c r="Y166" s="542">
        <f t="shared" si="5"/>
        <v>96.600000000000009</v>
      </c>
      <c r="Z166" s="36">
        <f>IFERROR(IF(Y166=0,"",ROUNDUP(Y166/H166,0)*0.00502),"")</f>
        <v>0.23092000000000001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100.88095238095238</v>
      </c>
      <c r="BN166" s="64">
        <f t="shared" si="7"/>
        <v>102.58</v>
      </c>
      <c r="BO166" s="64">
        <f t="shared" si="8"/>
        <v>0.19332519332519332</v>
      </c>
      <c r="BP166" s="64">
        <f t="shared" si="9"/>
        <v>0.1965811965811966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59</v>
      </c>
      <c r="Y168" s="542">
        <f t="shared" si="5"/>
        <v>59.4</v>
      </c>
      <c r="Z168" s="36">
        <f>IFERROR(IF(Y168=0,"",ROUNDUP(Y168/H168,0)*0.00502),"")</f>
        <v>0.16566</v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63.261111111111106</v>
      </c>
      <c r="BN168" s="64">
        <f t="shared" si="7"/>
        <v>63.69</v>
      </c>
      <c r="BO168" s="64">
        <f t="shared" si="8"/>
        <v>0.14007597340930675</v>
      </c>
      <c r="BP168" s="64">
        <f t="shared" si="9"/>
        <v>0.14102564102564105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185</v>
      </c>
      <c r="Y169" s="542">
        <f t="shared" si="5"/>
        <v>186.9</v>
      </c>
      <c r="Z169" s="36">
        <f>IFERROR(IF(Y169=0,"",ROUNDUP(Y169/H169,0)*0.00502),"")</f>
        <v>0.44678000000000001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193.80952380952382</v>
      </c>
      <c r="BN169" s="64">
        <f t="shared" si="7"/>
        <v>195.8</v>
      </c>
      <c r="BO169" s="64">
        <f t="shared" si="8"/>
        <v>0.37647537647537649</v>
      </c>
      <c r="BP169" s="64">
        <f t="shared" si="9"/>
        <v>0.38034188034188038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247.53968253968253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251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1.59202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681</v>
      </c>
      <c r="Y173" s="543">
        <f>IFERROR(SUM(Y162:Y171),"0")</f>
        <v>691.5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7</v>
      </c>
      <c r="Y176" s="542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2.5720164609053495E-2</v>
      </c>
      <c r="BP176" s="64">
        <f>IFERROR(1/J176*(Y176/H176),"0")</f>
        <v>2.7777777777777776E-2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13</v>
      </c>
      <c r="Y177" s="542">
        <f>IFERROR(IF(X177="",0,CEILING((X177/$H177),1)*$H177),"")</f>
        <v>13.86</v>
      </c>
      <c r="Z177" s="36">
        <f>IFERROR(IF(Y177=0,"",ROUNDUP(Y177/H177,0)*0.0059),"")</f>
        <v>6.4899999999999999E-2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14.960317460317459</v>
      </c>
      <c r="BN177" s="64">
        <f>IFERROR(Y177*I177/H177,"0")</f>
        <v>15.949999999999998</v>
      </c>
      <c r="BO177" s="64">
        <f>IFERROR(1/J177*(X177/H177),"0")</f>
        <v>4.776601998824221E-2</v>
      </c>
      <c r="BP177" s="64">
        <f>IFERROR(1/J177*(Y177/H177),"0")</f>
        <v>5.0925925925925923E-2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15.873015873015873</v>
      </c>
      <c r="Y178" s="543">
        <f>IFERROR(Y175/H175,"0")+IFERROR(Y176/H176,"0")+IFERROR(Y177/H177,"0")</f>
        <v>17</v>
      </c>
      <c r="Z178" s="543">
        <f>IFERROR(IF(Z175="",0,Z175),"0")+IFERROR(IF(Z176="",0,Z176),"0")+IFERROR(IF(Z177="",0,Z177),"0")</f>
        <v>0.1003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20</v>
      </c>
      <c r="Y179" s="543">
        <f>IFERROR(SUM(Y175:Y177),"0")</f>
        <v>21.42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357</v>
      </c>
      <c r="Y196" s="542">
        <f t="shared" ref="Y196:Y203" si="10">IFERROR(IF(X196="",0,CEILING((X196/$H196),1)*$H196),"")</f>
        <v>361.8</v>
      </c>
      <c r="Z196" s="36">
        <f>IFERROR(IF(Y196=0,"",ROUNDUP(Y196/H196,0)*0.00902),"")</f>
        <v>0.60433999999999999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369.56111111111107</v>
      </c>
      <c r="BN196" s="64">
        <f t="shared" ref="BN196:BN203" si="12">IFERROR(Y196*I196/H196,"0")</f>
        <v>374.53</v>
      </c>
      <c r="BO196" s="64">
        <f t="shared" ref="BO196:BO203" si="13">IFERROR(1/J196*(X196/H196),"0")</f>
        <v>0.50084175084175075</v>
      </c>
      <c r="BP196" s="64">
        <f t="shared" ref="BP196:BP203" si="14">IFERROR(1/J196*(Y196/H196),"0")</f>
        <v>0.50757575757575757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236</v>
      </c>
      <c r="Y197" s="542">
        <f t="shared" si="10"/>
        <v>237.60000000000002</v>
      </c>
      <c r="Z197" s="36">
        <f>IFERROR(IF(Y197=0,"",ROUNDUP(Y197/H197,0)*0.00902),"")</f>
        <v>0.39688000000000001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244.30370370370369</v>
      </c>
      <c r="BN197" s="64">
        <f t="shared" si="12"/>
        <v>245.96</v>
      </c>
      <c r="BO197" s="64">
        <f t="shared" si="13"/>
        <v>0.33108866442199775</v>
      </c>
      <c r="BP197" s="64">
        <f t="shared" si="14"/>
        <v>0.33333333333333337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302</v>
      </c>
      <c r="Y199" s="542">
        <f t="shared" si="10"/>
        <v>302.40000000000003</v>
      </c>
      <c r="Z199" s="36">
        <f>IFERROR(IF(Y199=0,"",ROUNDUP(Y199/H199,0)*0.00902),"")</f>
        <v>0.50512000000000001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312.62592592592591</v>
      </c>
      <c r="BN199" s="64">
        <f t="shared" si="12"/>
        <v>313.04000000000002</v>
      </c>
      <c r="BO199" s="64">
        <f t="shared" si="13"/>
        <v>0.42368125701459036</v>
      </c>
      <c r="BP199" s="64">
        <f t="shared" si="14"/>
        <v>0.42424242424242425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71</v>
      </c>
      <c r="Y200" s="542">
        <f t="shared" si="10"/>
        <v>72</v>
      </c>
      <c r="Z200" s="36">
        <f>IFERROR(IF(Y200=0,"",ROUNDUP(Y200/H200,0)*0.00502),"")</f>
        <v>0.20080000000000001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76.12777777777778</v>
      </c>
      <c r="BN200" s="64">
        <f t="shared" si="12"/>
        <v>77.2</v>
      </c>
      <c r="BO200" s="64">
        <f t="shared" si="13"/>
        <v>0.16856600189933524</v>
      </c>
      <c r="BP200" s="64">
        <f t="shared" si="14"/>
        <v>0.17094017094017094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40</v>
      </c>
      <c r="Y201" s="542">
        <f t="shared" si="10"/>
        <v>41.4</v>
      </c>
      <c r="Z201" s="36">
        <f>IFERROR(IF(Y201=0,"",ROUNDUP(Y201/H201,0)*0.00502),"")</f>
        <v>0.11546000000000001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42.222222222222221</v>
      </c>
      <c r="BN201" s="64">
        <f t="shared" si="12"/>
        <v>43.699999999999996</v>
      </c>
      <c r="BO201" s="64">
        <f t="shared" si="13"/>
        <v>9.4966761633428307E-2</v>
      </c>
      <c r="BP201" s="64">
        <f t="shared" si="14"/>
        <v>9.8290598290598302E-2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54</v>
      </c>
      <c r="Y203" s="542">
        <f t="shared" si="10"/>
        <v>54</v>
      </c>
      <c r="Z203" s="36">
        <f>IFERROR(IF(Y203=0,"",ROUNDUP(Y203/H203,0)*0.00502),"")</f>
        <v>0.15060000000000001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56.999999999999993</v>
      </c>
      <c r="BN203" s="64">
        <f t="shared" si="12"/>
        <v>56.999999999999993</v>
      </c>
      <c r="BO203" s="64">
        <f t="shared" si="13"/>
        <v>0.12820512820512822</v>
      </c>
      <c r="BP203" s="64">
        <f t="shared" si="14"/>
        <v>0.12820512820512822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257.40740740740739</v>
      </c>
      <c r="Y204" s="543">
        <f>IFERROR(Y196/H196,"0")+IFERROR(Y197/H197,"0")+IFERROR(Y198/H198,"0")+IFERROR(Y199/H199,"0")+IFERROR(Y200/H200,"0")+IFERROR(Y201/H201,"0")+IFERROR(Y202/H202,"0")+IFERROR(Y203/H203,"0")</f>
        <v>260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1.9732000000000001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1060</v>
      </c>
      <c r="Y205" s="543">
        <f>IFERROR(SUM(Y196:Y203),"0")</f>
        <v>1069.2000000000003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31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32.890617283950618</v>
      </c>
      <c r="BN207" s="64">
        <f t="shared" ref="BN207:BN215" si="17">IFERROR(Y207*I207/H207,"0")</f>
        <v>34.375999999999998</v>
      </c>
      <c r="BO207" s="64">
        <f t="shared" ref="BO207:BO215" si="18">IFERROR(1/J207*(X207/H207),"0")</f>
        <v>5.9799382716049385E-2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8</v>
      </c>
      <c r="Y208" s="542">
        <f t="shared" si="15"/>
        <v>8.1</v>
      </c>
      <c r="Z208" s="36">
        <f>IFERROR(IF(Y208=0,"",ROUNDUP(Y208/H208,0)*0.01898),"")</f>
        <v>1.898E-2</v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8.4701234567901249</v>
      </c>
      <c r="BN208" s="64">
        <f t="shared" si="17"/>
        <v>8.5760000000000005</v>
      </c>
      <c r="BO208" s="64">
        <f t="shared" si="18"/>
        <v>1.54320987654321E-2</v>
      </c>
      <c r="BP208" s="64">
        <f t="shared" si="19"/>
        <v>1.5625E-2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226</v>
      </c>
      <c r="Y209" s="542">
        <f t="shared" si="15"/>
        <v>226.2</v>
      </c>
      <c r="Z209" s="36">
        <f>IFERROR(IF(Y209=0,"",ROUNDUP(Y209/H209,0)*0.01898),"")</f>
        <v>0.49348000000000003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238.83264367816093</v>
      </c>
      <c r="BN209" s="64">
        <f t="shared" si="17"/>
        <v>239.04400000000001</v>
      </c>
      <c r="BO209" s="64">
        <f t="shared" si="18"/>
        <v>0.40589080459770116</v>
      </c>
      <c r="BP209" s="64">
        <f t="shared" si="19"/>
        <v>0.40625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130</v>
      </c>
      <c r="Y210" s="542">
        <f t="shared" si="15"/>
        <v>132</v>
      </c>
      <c r="Z210" s="36">
        <f t="shared" ref="Z210:Z215" si="20">IFERROR(IF(Y210=0,"",ROUNDUP(Y210/H210,0)*0.00651),"")</f>
        <v>0.35805000000000003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144.625</v>
      </c>
      <c r="BN210" s="64">
        <f t="shared" si="17"/>
        <v>146.85</v>
      </c>
      <c r="BO210" s="64">
        <f t="shared" si="18"/>
        <v>0.29761904761904767</v>
      </c>
      <c r="BP210" s="64">
        <f t="shared" si="19"/>
        <v>0.30219780219780223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251</v>
      </c>
      <c r="Y212" s="542">
        <f t="shared" si="15"/>
        <v>252</v>
      </c>
      <c r="Z212" s="36">
        <f t="shared" si="20"/>
        <v>0.68354999999999999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277.35500000000002</v>
      </c>
      <c r="BN212" s="64">
        <f t="shared" si="17"/>
        <v>278.46000000000004</v>
      </c>
      <c r="BO212" s="64">
        <f t="shared" si="18"/>
        <v>0.5746336996336997</v>
      </c>
      <c r="BP212" s="64">
        <f t="shared" si="19"/>
        <v>0.57692307692307698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294</v>
      </c>
      <c r="Y213" s="542">
        <f t="shared" si="15"/>
        <v>295.2</v>
      </c>
      <c r="Z213" s="36">
        <f t="shared" si="20"/>
        <v>0.80073000000000005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324.87</v>
      </c>
      <c r="BN213" s="64">
        <f t="shared" si="17"/>
        <v>326.19600000000003</v>
      </c>
      <c r="BO213" s="64">
        <f t="shared" si="18"/>
        <v>0.67307692307692313</v>
      </c>
      <c r="BP213" s="64">
        <f t="shared" si="19"/>
        <v>0.67582417582417587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165</v>
      </c>
      <c r="Y214" s="542">
        <f t="shared" si="15"/>
        <v>165.6</v>
      </c>
      <c r="Z214" s="36">
        <f t="shared" si="20"/>
        <v>0.44919000000000003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182.32500000000002</v>
      </c>
      <c r="BN214" s="64">
        <f t="shared" si="17"/>
        <v>182.988</v>
      </c>
      <c r="BO214" s="64">
        <f t="shared" si="18"/>
        <v>0.37774725274725279</v>
      </c>
      <c r="BP214" s="64">
        <f t="shared" si="19"/>
        <v>0.37912087912087916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144</v>
      </c>
      <c r="Y215" s="542">
        <f t="shared" si="15"/>
        <v>144</v>
      </c>
      <c r="Z215" s="36">
        <f t="shared" si="20"/>
        <v>0.3906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159.48000000000002</v>
      </c>
      <c r="BN215" s="64">
        <f t="shared" si="17"/>
        <v>159.48000000000002</v>
      </c>
      <c r="BO215" s="64">
        <f t="shared" si="18"/>
        <v>0.32967032967032972</v>
      </c>
      <c r="BP215" s="64">
        <f t="shared" si="19"/>
        <v>0.32967032967032972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440.79182630906769</v>
      </c>
      <c r="Y216" s="543">
        <f>IFERROR(Y207/H207,"0")+IFERROR(Y208/H208,"0")+IFERROR(Y209/H209,"0")+IFERROR(Y210/H210,"0")+IFERROR(Y211/H211,"0")+IFERROR(Y212/H212,"0")+IFERROR(Y213/H213,"0")+IFERROR(Y214/H214,"0")+IFERROR(Y215/H215,"0")</f>
        <v>443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3.2705000000000006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1249</v>
      </c>
      <c r="Y217" s="543">
        <f>IFERROR(SUM(Y207:Y215),"0")</f>
        <v>1255.5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44</v>
      </c>
      <c r="Y220" s="542">
        <f>IFERROR(IF(X220="",0,CEILING((X220/$H220),1)*$H220),"")</f>
        <v>45.6</v>
      </c>
      <c r="Z220" s="36">
        <f>IFERROR(IF(Y220=0,"",ROUNDUP(Y220/H220,0)*0.00651),"")</f>
        <v>0.12369000000000001</v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48.620000000000005</v>
      </c>
      <c r="BN220" s="64">
        <f>IFERROR(Y220*I220/H220,"0")</f>
        <v>50.388000000000005</v>
      </c>
      <c r="BO220" s="64">
        <f>IFERROR(1/J220*(X220/H220),"0")</f>
        <v>0.10073260073260075</v>
      </c>
      <c r="BP220" s="64">
        <f>IFERROR(1/J220*(Y220/H220),"0")</f>
        <v>0.1043956043956044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18.333333333333336</v>
      </c>
      <c r="Y221" s="543">
        <f>IFERROR(Y219/H219,"0")+IFERROR(Y220/H220,"0")</f>
        <v>19</v>
      </c>
      <c r="Z221" s="543">
        <f>IFERROR(IF(Z219="",0,Z219),"0")+IFERROR(IF(Z220="",0,Z220),"0")</f>
        <v>0.12369000000000001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44</v>
      </c>
      <c r="Y222" s="543">
        <f>IFERROR(SUM(Y219:Y220),"0")</f>
        <v>45.6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243</v>
      </c>
      <c r="Y225" s="542">
        <f t="shared" ref="Y225:Y234" si="21">IFERROR(IF(X225="",0,CEILING((X225/$H225),1)*$H225),"")</f>
        <v>243.6</v>
      </c>
      <c r="Z225" s="36">
        <f>IFERROR(IF(Y225=0,"",ROUNDUP(Y225/H225,0)*0.01898),"")</f>
        <v>0.39857999999999999</v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251.58879310344827</v>
      </c>
      <c r="BN225" s="64">
        <f t="shared" ref="BN225:BN234" si="23">IFERROR(Y225*I225/H225,"0")</f>
        <v>252.21</v>
      </c>
      <c r="BO225" s="64">
        <f t="shared" ref="BO225:BO234" si="24">IFERROR(1/J225*(X225/H225),"0")</f>
        <v>0.32731681034482757</v>
      </c>
      <c r="BP225" s="64">
        <f t="shared" ref="BP225:BP234" si="25">IFERROR(1/J225*(Y225/H225),"0")</f>
        <v>0.328125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16</v>
      </c>
      <c r="Y228" s="542">
        <f t="shared" si="21"/>
        <v>16</v>
      </c>
      <c r="Z228" s="36">
        <f>IFERROR(IF(Y228=0,"",ROUNDUP(Y228/H228,0)*0.00902),"")</f>
        <v>3.6080000000000001E-2</v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16.760000000000002</v>
      </c>
      <c r="BN228" s="64">
        <f t="shared" si="23"/>
        <v>16.760000000000002</v>
      </c>
      <c r="BO228" s="64">
        <f t="shared" si="24"/>
        <v>3.0303030303030304E-2</v>
      </c>
      <c r="BP228" s="64">
        <f t="shared" si="25"/>
        <v>3.0303030303030304E-2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24.948275862068964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25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0.43465999999999999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259</v>
      </c>
      <c r="Y236" s="543">
        <f>IFERROR(SUM(Y225:Y234),"0")</f>
        <v>259.60000000000002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1</v>
      </c>
      <c r="Y242" s="542">
        <f>IFERROR(IF(X242="",0,CEILING((X242/$H242),1)*$H242),"")</f>
        <v>1.8</v>
      </c>
      <c r="Z242" s="36">
        <f>IFERROR(IF(Y242=0,"",ROUNDUP(Y242/H242,0)*0.0059),"")</f>
        <v>5.8999999999999999E-3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1.0972222222222223</v>
      </c>
      <c r="BN242" s="64">
        <f>IFERROR(Y242*I242/H242,"0")</f>
        <v>1.9750000000000001</v>
      </c>
      <c r="BO242" s="64">
        <f>IFERROR(1/J242*(X242/H242),"0")</f>
        <v>2.5720164609053498E-3</v>
      </c>
      <c r="BP242" s="64">
        <f>IFERROR(1/J242*(Y242/H242),"0")</f>
        <v>4.6296296296296294E-3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0.55555555555555558</v>
      </c>
      <c r="Y243" s="543">
        <f>IFERROR(Y242/H242,"0")</f>
        <v>1</v>
      </c>
      <c r="Z243" s="543">
        <f>IFERROR(IF(Z242="",0,Z242),"0")</f>
        <v>5.8999999999999999E-3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1</v>
      </c>
      <c r="Y244" s="543">
        <f>IFERROR(SUM(Y242:Y242),"0")</f>
        <v>1.8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5</v>
      </c>
      <c r="Y248" s="542">
        <f>IFERROR(IF(X248="",0,CEILING((X248/$H248),1)*$H248),"")</f>
        <v>5.4</v>
      </c>
      <c r="Z248" s="36">
        <f>IFERROR(IF(Y248=0,"",ROUNDUP(Y248/H248,0)*0.0059),"")</f>
        <v>3.5400000000000001E-2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6.0555555555555554</v>
      </c>
      <c r="BN248" s="64">
        <f>IFERROR(Y248*I248/H248,"0")</f>
        <v>6.5400000000000009</v>
      </c>
      <c r="BO248" s="64">
        <f>IFERROR(1/J248*(X248/H248),"0")</f>
        <v>2.5720164609053495E-2</v>
      </c>
      <c r="BP248" s="64">
        <f>IFERROR(1/J248*(Y248/H248),"0")</f>
        <v>2.7777777777777776E-2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2</v>
      </c>
      <c r="Y249" s="542">
        <f>IFERROR(IF(X249="",0,CEILING((X249/$H249),1)*$H249),"")</f>
        <v>2.9699999999999998</v>
      </c>
      <c r="Z249" s="36">
        <f>IFERROR(IF(Y249=0,"",ROUNDUP(Y249/H249,0)*0.0059),"")</f>
        <v>1.77E-2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2.3838383838383836</v>
      </c>
      <c r="BN249" s="64">
        <f>IFERROR(Y249*I249/H249,"0")</f>
        <v>3.5399999999999996</v>
      </c>
      <c r="BO249" s="64">
        <f>IFERROR(1/J249*(X249/H249),"0")</f>
        <v>9.3527871305649091E-3</v>
      </c>
      <c r="BP249" s="64">
        <f>IFERROR(1/J249*(Y249/H249),"0")</f>
        <v>1.3888888888888886E-2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3</v>
      </c>
      <c r="Y250" s="542">
        <f>IFERROR(IF(X250="",0,CEILING((X250/$H250),1)*$H250),"")</f>
        <v>3.96</v>
      </c>
      <c r="Z250" s="36">
        <f>IFERROR(IF(Y250=0,"",ROUNDUP(Y250/H250,0)*0.0059),"")</f>
        <v>2.3599999999999999E-2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3.5757575757575757</v>
      </c>
      <c r="BN250" s="64">
        <f>IFERROR(Y250*I250/H250,"0")</f>
        <v>4.72</v>
      </c>
      <c r="BO250" s="64">
        <f>IFERROR(1/J250*(X250/H250),"0")</f>
        <v>1.4029180695847361E-2</v>
      </c>
      <c r="BP250" s="64">
        <f>IFERROR(1/J250*(Y250/H250),"0")</f>
        <v>1.8518518518518517E-2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10.606060606060606</v>
      </c>
      <c r="Y251" s="543">
        <f>IFERROR(Y246/H246,"0")+IFERROR(Y247/H247,"0")+IFERROR(Y248/H248,"0")+IFERROR(Y249/H249,"0")+IFERROR(Y250/H250,"0")</f>
        <v>13</v>
      </c>
      <c r="Z251" s="543">
        <f>IFERROR(IF(Z246="",0,Z246),"0")+IFERROR(IF(Z247="",0,Z247),"0")+IFERROR(IF(Z248="",0,Z248),"0")+IFERROR(IF(Z249="",0,Z249),"0")+IFERROR(IF(Z250="",0,Z250),"0")</f>
        <v>7.6700000000000004E-2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10</v>
      </c>
      <c r="Y252" s="543">
        <f>IFERROR(SUM(Y246:Y250),"0")</f>
        <v>12.330000000000002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85</v>
      </c>
      <c r="Y273" s="542">
        <f>IFERROR(IF(X273="",0,CEILING((X273/$H273),1)*$H273),"")</f>
        <v>86.399999999999991</v>
      </c>
      <c r="Z273" s="36">
        <f>IFERROR(IF(Y273=0,"",ROUNDUP(Y273/H273,0)*0.00651),"")</f>
        <v>0.23436000000000001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93.925000000000011</v>
      </c>
      <c r="BN273" s="64">
        <f>IFERROR(Y273*I273/H273,"0")</f>
        <v>95.472000000000008</v>
      </c>
      <c r="BO273" s="64">
        <f>IFERROR(1/J273*(X273/H273),"0")</f>
        <v>0.19459706959706963</v>
      </c>
      <c r="BP273" s="64">
        <f>IFERROR(1/J273*(Y273/H273),"0")</f>
        <v>0.19780219780219782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4</v>
      </c>
      <c r="Y274" s="542">
        <f>IFERROR(IF(X274="",0,CEILING((X274/$H274),1)*$H274),"")</f>
        <v>4.8</v>
      </c>
      <c r="Z274" s="36">
        <f>IFERROR(IF(Y274=0,"",ROUNDUP(Y274/H274,0)*0.00651),"")</f>
        <v>1.302E-2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4.3000000000000007</v>
      </c>
      <c r="BN274" s="64">
        <f>IFERROR(Y274*I274/H274,"0")</f>
        <v>5.16</v>
      </c>
      <c r="BO274" s="64">
        <f>IFERROR(1/J274*(X274/H274),"0")</f>
        <v>9.1575091575091579E-3</v>
      </c>
      <c r="BP274" s="64">
        <f>IFERROR(1/J274*(Y274/H274),"0")</f>
        <v>1.098901098901099E-2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37.083333333333336</v>
      </c>
      <c r="Y275" s="543">
        <f>IFERROR(Y272/H272,"0")+IFERROR(Y273/H273,"0")+IFERROR(Y274/H274,"0")</f>
        <v>38</v>
      </c>
      <c r="Z275" s="543">
        <f>IFERROR(IF(Z272="",0,Z272),"0")+IFERROR(IF(Z273="",0,Z273),"0")+IFERROR(IF(Z274="",0,Z274),"0")</f>
        <v>0.24738000000000002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89</v>
      </c>
      <c r="Y276" s="543">
        <f>IFERROR(SUM(Y272:Y274),"0")</f>
        <v>91.199999999999989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</v>
      </c>
      <c r="Y304" s="542">
        <f t="shared" si="26"/>
        <v>3.6</v>
      </c>
      <c r="Z304" s="36">
        <f>IFERROR(IF(Y304=0,"",ROUNDUP(Y304/H304,0)*0.00651),"")</f>
        <v>1.302E-2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2.2533333333333334</v>
      </c>
      <c r="BN304" s="64">
        <f t="shared" si="28"/>
        <v>4.056</v>
      </c>
      <c r="BO304" s="64">
        <f t="shared" si="29"/>
        <v>6.1050061050061059E-3</v>
      </c>
      <c r="BP304" s="64">
        <f t="shared" si="30"/>
        <v>1.098901098901099E-2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1.1111111111111112</v>
      </c>
      <c r="Y305" s="543">
        <f>IFERROR(Y298/H298,"0")+IFERROR(Y299/H299,"0")+IFERROR(Y300/H300,"0")+IFERROR(Y301/H301,"0")+IFERROR(Y302/H302,"0")+IFERROR(Y303/H303,"0")+IFERROR(Y304/H304,"0")</f>
        <v>2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1.302E-2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2</v>
      </c>
      <c r="Y306" s="543">
        <f>IFERROR(SUM(Y298:Y304),"0")</f>
        <v>3.6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144</v>
      </c>
      <c r="Y315" s="542">
        <f>IFERROR(IF(X315="",0,CEILING((X315/$H315),1)*$H315),"")</f>
        <v>151.20000000000002</v>
      </c>
      <c r="Z315" s="36">
        <f>IFERROR(IF(Y315=0,"",ROUNDUP(Y315/H315,0)*0.01898),"")</f>
        <v>0.34164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152.46857142857144</v>
      </c>
      <c r="BN315" s="64">
        <f>IFERROR(Y315*I315/H315,"0")</f>
        <v>160.09200000000001</v>
      </c>
      <c r="BO315" s="64">
        <f>IFERROR(1/J315*(X315/H315),"0")</f>
        <v>0.26785714285714285</v>
      </c>
      <c r="BP315" s="64">
        <f>IFERROR(1/J315*(Y315/H315),"0")</f>
        <v>0.28125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456</v>
      </c>
      <c r="Y316" s="542">
        <f>IFERROR(IF(X316="",0,CEILING((X316/$H316),1)*$H316),"")</f>
        <v>460.2</v>
      </c>
      <c r="Z316" s="36">
        <f>IFERROR(IF(Y316=0,"",ROUNDUP(Y316/H316,0)*0.01898),"")</f>
        <v>1.11982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484.88000000000005</v>
      </c>
      <c r="BN316" s="64">
        <f>IFERROR(Y316*I316/H316,"0")</f>
        <v>489.346</v>
      </c>
      <c r="BO316" s="64">
        <f>IFERROR(1/J316*(X316/H316),"0")</f>
        <v>0.91346153846153844</v>
      </c>
      <c r="BP316" s="64">
        <f>IFERROR(1/J316*(Y316/H316),"0")</f>
        <v>0.921875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166</v>
      </c>
      <c r="Y317" s="542">
        <f>IFERROR(IF(X317="",0,CEILING((X317/$H317),1)*$H317),"")</f>
        <v>168</v>
      </c>
      <c r="Z317" s="36">
        <f>IFERROR(IF(Y317=0,"",ROUNDUP(Y317/H317,0)*0.01898),"")</f>
        <v>0.37959999999999999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175.76238095238094</v>
      </c>
      <c r="BN317" s="64">
        <f>IFERROR(Y317*I317/H317,"0")</f>
        <v>177.88</v>
      </c>
      <c r="BO317" s="64">
        <f>IFERROR(1/J317*(X317/H317),"0")</f>
        <v>0.30877976190476192</v>
      </c>
      <c r="BP317" s="64">
        <f>IFERROR(1/J317*(Y317/H317),"0")</f>
        <v>0.3125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95.366300366300365</v>
      </c>
      <c r="Y318" s="543">
        <f>IFERROR(Y315/H315,"0")+IFERROR(Y316/H316,"0")+IFERROR(Y317/H317,"0")</f>
        <v>97</v>
      </c>
      <c r="Z318" s="543">
        <f>IFERROR(IF(Z315="",0,Z315),"0")+IFERROR(IF(Z316="",0,Z316),"0")+IFERROR(IF(Z317="",0,Z317),"0")</f>
        <v>1.8410599999999999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766</v>
      </c>
      <c r="Y319" s="543">
        <f>IFERROR(SUM(Y315:Y317),"0")</f>
        <v>779.4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11</v>
      </c>
      <c r="Y323" s="542">
        <f>IFERROR(IF(X323="",0,CEILING((X323/$H323),1)*$H323),"")</f>
        <v>12.75</v>
      </c>
      <c r="Z323" s="36">
        <f>IFERROR(IF(Y323=0,"",ROUNDUP(Y323/H323,0)*0.00651),"")</f>
        <v>3.2550000000000003E-2</v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12.747058823529414</v>
      </c>
      <c r="BN323" s="64">
        <f>IFERROR(Y323*I323/H323,"0")</f>
        <v>14.775000000000002</v>
      </c>
      <c r="BO323" s="64">
        <f>IFERROR(1/J323*(X323/H323),"0")</f>
        <v>2.3701788407670767E-2</v>
      </c>
      <c r="BP323" s="64">
        <f>IFERROR(1/J323*(Y323/H323),"0")</f>
        <v>2.7472527472527476E-2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33</v>
      </c>
      <c r="Y324" s="542">
        <f>IFERROR(IF(X324="",0,CEILING((X324/$H324),1)*$H324),"")</f>
        <v>33.15</v>
      </c>
      <c r="Z324" s="36">
        <f>IFERROR(IF(Y324=0,"",ROUNDUP(Y324/H324,0)*0.00651),"")</f>
        <v>8.4629999999999997E-2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37.27058823529412</v>
      </c>
      <c r="BN324" s="64">
        <f>IFERROR(Y324*I324/H324,"0")</f>
        <v>37.44</v>
      </c>
      <c r="BO324" s="64">
        <f>IFERROR(1/J324*(X324/H324),"0")</f>
        <v>7.1105365223012293E-2</v>
      </c>
      <c r="BP324" s="64">
        <f>IFERROR(1/J324*(Y324/H324),"0")</f>
        <v>7.1428571428571438E-2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17.254901960784316</v>
      </c>
      <c r="Y325" s="543">
        <f>IFERROR(Y321/H321,"0")+IFERROR(Y322/H322,"0")+IFERROR(Y323/H323,"0")+IFERROR(Y324/H324,"0")</f>
        <v>18</v>
      </c>
      <c r="Z325" s="543">
        <f>IFERROR(IF(Z321="",0,Z321),"0")+IFERROR(IF(Z322="",0,Z322),"0")+IFERROR(IF(Z323="",0,Z323),"0")+IFERROR(IF(Z324="",0,Z324),"0")</f>
        <v>0.11718000000000001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44</v>
      </c>
      <c r="Y326" s="543">
        <f>IFERROR(SUM(Y321:Y324),"0")</f>
        <v>45.9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9</v>
      </c>
      <c r="Y328" s="542">
        <f>IFERROR(IF(X328="",0,CEILING((X328/$H328),1)*$H328),"")</f>
        <v>10</v>
      </c>
      <c r="Z328" s="36">
        <f>IFERROR(IF(Y328=0,"",ROUNDUP(Y328/H328,0)*0.00474),"")</f>
        <v>2.3700000000000002E-2</v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10.080000000000002</v>
      </c>
      <c r="BN328" s="64">
        <f>IFERROR(Y328*I328/H328,"0")</f>
        <v>11.200000000000001</v>
      </c>
      <c r="BO328" s="64">
        <f>IFERROR(1/J328*(X328/H328),"0")</f>
        <v>1.8907563025210083E-2</v>
      </c>
      <c r="BP328" s="64">
        <f>IFERROR(1/J328*(Y328/H328),"0")</f>
        <v>2.1008403361344536E-2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10</v>
      </c>
      <c r="Y329" s="542">
        <f>IFERROR(IF(X329="",0,CEILING((X329/$H329),1)*$H329),"")</f>
        <v>10</v>
      </c>
      <c r="Z329" s="36">
        <f>IFERROR(IF(Y329=0,"",ROUNDUP(Y329/H329,0)*0.00474),"")</f>
        <v>2.3700000000000002E-2</v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11.200000000000001</v>
      </c>
      <c r="BN329" s="64">
        <f>IFERROR(Y329*I329/H329,"0")</f>
        <v>11.200000000000001</v>
      </c>
      <c r="BO329" s="64">
        <f>IFERROR(1/J329*(X329/H329),"0")</f>
        <v>2.1008403361344536E-2</v>
      </c>
      <c r="BP329" s="64">
        <f>IFERROR(1/J329*(Y329/H329),"0")</f>
        <v>2.1008403361344536E-2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23</v>
      </c>
      <c r="Y330" s="542">
        <f>IFERROR(IF(X330="",0,CEILING((X330/$H330),1)*$H330),"")</f>
        <v>24</v>
      </c>
      <c r="Z330" s="36">
        <f>IFERROR(IF(Y330=0,"",ROUNDUP(Y330/H330,0)*0.00474),"")</f>
        <v>5.688E-2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25.76</v>
      </c>
      <c r="BN330" s="64">
        <f>IFERROR(Y330*I330/H330,"0")</f>
        <v>26.880000000000003</v>
      </c>
      <c r="BO330" s="64">
        <f>IFERROR(1/J330*(X330/H330),"0")</f>
        <v>4.8319327731092432E-2</v>
      </c>
      <c r="BP330" s="64">
        <f>IFERROR(1/J330*(Y330/H330),"0")</f>
        <v>5.0420168067226892E-2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21</v>
      </c>
      <c r="Y331" s="543">
        <f>IFERROR(Y328/H328,"0")+IFERROR(Y329/H329,"0")+IFERROR(Y330/H330,"0")</f>
        <v>22</v>
      </c>
      <c r="Z331" s="543">
        <f>IFERROR(IF(Z328="",0,Z328),"0")+IFERROR(IF(Z329="",0,Z329),"0")+IFERROR(IF(Z330="",0,Z330),"0")</f>
        <v>0.10428000000000001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42</v>
      </c>
      <c r="Y332" s="543">
        <f>IFERROR(SUM(Y328:Y330),"0")</f>
        <v>44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7</v>
      </c>
      <c r="Y335" s="542">
        <f>IFERROR(IF(X335="",0,CEILING((X335/$H335),1)*$H335),"")</f>
        <v>8.1</v>
      </c>
      <c r="Z335" s="36">
        <f>IFERROR(IF(Y335=0,"",ROUNDUP(Y335/H335,0)*0.01898),"")</f>
        <v>1.898E-2</v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7.4269135802469135</v>
      </c>
      <c r="BN335" s="64">
        <f>IFERROR(Y335*I335/H335,"0")</f>
        <v>8.5939999999999994</v>
      </c>
      <c r="BO335" s="64">
        <f>IFERROR(1/J335*(X335/H335),"0")</f>
        <v>1.3503086419753087E-2</v>
      </c>
      <c r="BP335" s="64">
        <f>IFERROR(1/J335*(Y335/H335),"0")</f>
        <v>1.5625E-2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0.86419753086419759</v>
      </c>
      <c r="Y338" s="543">
        <f>IFERROR(Y335/H335,"0")+IFERROR(Y336/H336,"0")+IFERROR(Y337/H337,"0")</f>
        <v>1</v>
      </c>
      <c r="Z338" s="543">
        <f>IFERROR(IF(Z335="",0,Z335),"0")+IFERROR(IF(Z336="",0,Z336),"0")+IFERROR(IF(Z337="",0,Z337),"0")</f>
        <v>1.898E-2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7</v>
      </c>
      <c r="Y339" s="543">
        <f>IFERROR(SUM(Y335:Y337),"0")</f>
        <v>8.1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572</v>
      </c>
      <c r="Y343" s="542">
        <f t="shared" ref="Y343:Y349" si="31">IFERROR(IF(X343="",0,CEILING((X343/$H343),1)*$H343),"")</f>
        <v>585</v>
      </c>
      <c r="Z343" s="36">
        <f>IFERROR(IF(Y343=0,"",ROUNDUP(Y343/H343,0)*0.02175),"")</f>
        <v>0.84824999999999995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589.92266666666671</v>
      </c>
      <c r="BN343" s="64">
        <f t="shared" ref="BN343:BN349" si="33">IFERROR(Y343*I343/H343,"0")</f>
        <v>603.33000000000004</v>
      </c>
      <c r="BO343" s="64">
        <f t="shared" ref="BO343:BO349" si="34">IFERROR(1/J343*(X343/H343),"0")</f>
        <v>0.7944444444444444</v>
      </c>
      <c r="BP343" s="64">
        <f t="shared" ref="BP343:BP349" si="35">IFERROR(1/J343*(Y343/H343),"0")</f>
        <v>0.8125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366</v>
      </c>
      <c r="Y344" s="542">
        <f t="shared" si="31"/>
        <v>375</v>
      </c>
      <c r="Z344" s="36">
        <f>IFERROR(IF(Y344=0,"",ROUNDUP(Y344/H344,0)*0.02175),"")</f>
        <v>0.54374999999999996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377.46800000000002</v>
      </c>
      <c r="BN344" s="64">
        <f t="shared" si="33"/>
        <v>386.75</v>
      </c>
      <c r="BO344" s="64">
        <f t="shared" si="34"/>
        <v>0.5083333333333333</v>
      </c>
      <c r="BP344" s="64">
        <f t="shared" si="35"/>
        <v>0.52083333333333326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422</v>
      </c>
      <c r="Y345" s="542">
        <f t="shared" si="31"/>
        <v>435</v>
      </c>
      <c r="Z345" s="36">
        <f>IFERROR(IF(Y345=0,"",ROUNDUP(Y345/H345,0)*0.02175),"")</f>
        <v>0.63074999999999992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435.22266666666667</v>
      </c>
      <c r="BN345" s="64">
        <f t="shared" si="33"/>
        <v>448.63000000000005</v>
      </c>
      <c r="BO345" s="64">
        <f t="shared" si="34"/>
        <v>0.58611111111111103</v>
      </c>
      <c r="BP345" s="64">
        <f t="shared" si="35"/>
        <v>0.60416666666666663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621</v>
      </c>
      <c r="Y346" s="542">
        <f t="shared" si="31"/>
        <v>630</v>
      </c>
      <c r="Z346" s="36">
        <f>IFERROR(IF(Y346=0,"",ROUNDUP(Y346/H346,0)*0.02175),"")</f>
        <v>0.91349999999999998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640.45800000000008</v>
      </c>
      <c r="BN346" s="64">
        <f t="shared" si="33"/>
        <v>649.74</v>
      </c>
      <c r="BO346" s="64">
        <f t="shared" si="34"/>
        <v>0.86249999999999993</v>
      </c>
      <c r="BP346" s="64">
        <f t="shared" si="35"/>
        <v>0.875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132.06666666666666</v>
      </c>
      <c r="Y350" s="543">
        <f>IFERROR(Y343/H343,"0")+IFERROR(Y344/H344,"0")+IFERROR(Y345/H345,"0")+IFERROR(Y346/H346,"0")+IFERROR(Y347/H347,"0")+IFERROR(Y348/H348,"0")+IFERROR(Y349/H349,"0")</f>
        <v>135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2.9362499999999998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1981</v>
      </c>
      <c r="Y351" s="543">
        <f>IFERROR(SUM(Y343:Y349),"0")</f>
        <v>2025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645</v>
      </c>
      <c r="Y353" s="542">
        <f>IFERROR(IF(X353="",0,CEILING((X353/$H353),1)*$H353),"")</f>
        <v>645</v>
      </c>
      <c r="Z353" s="36">
        <f>IFERROR(IF(Y353=0,"",ROUNDUP(Y353/H353,0)*0.02175),"")</f>
        <v>0.93524999999999991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665.20999999999992</v>
      </c>
      <c r="BN353" s="64">
        <f>IFERROR(Y353*I353/H353,"0")</f>
        <v>665.20999999999992</v>
      </c>
      <c r="BO353" s="64">
        <f>IFERROR(1/J353*(X353/H353),"0")</f>
        <v>0.89583333333333326</v>
      </c>
      <c r="BP353" s="64">
        <f>IFERROR(1/J353*(Y353/H353),"0")</f>
        <v>0.89583333333333326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43</v>
      </c>
      <c r="Y355" s="543">
        <f>IFERROR(Y353/H353,"0")+IFERROR(Y354/H354,"0")</f>
        <v>43</v>
      </c>
      <c r="Z355" s="543">
        <f>IFERROR(IF(Z353="",0,Z353),"0")+IFERROR(IF(Z354="",0,Z354),"0")</f>
        <v>0.93524999999999991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645</v>
      </c>
      <c r="Y356" s="543">
        <f>IFERROR(SUM(Y353:Y354),"0")</f>
        <v>645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21</v>
      </c>
      <c r="Y359" s="542">
        <f>IFERROR(IF(X359="",0,CEILING((X359/$H359),1)*$H359),"")</f>
        <v>27</v>
      </c>
      <c r="Z359" s="36">
        <f>IFERROR(IF(Y359=0,"",ROUNDUP(Y359/H359,0)*0.01898),"")</f>
        <v>5.6940000000000004E-2</v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22.152666666666665</v>
      </c>
      <c r="BN359" s="64">
        <f>IFERROR(Y359*I359/H359,"0")</f>
        <v>28.481999999999996</v>
      </c>
      <c r="BO359" s="64">
        <f>IFERROR(1/J359*(X359/H359),"0")</f>
        <v>3.6458333333333336E-2</v>
      </c>
      <c r="BP359" s="64">
        <f>IFERROR(1/J359*(Y359/H359),"0")</f>
        <v>4.6875E-2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2.3333333333333335</v>
      </c>
      <c r="Y360" s="543">
        <f>IFERROR(Y358/H358,"0")+IFERROR(Y359/H359,"0")</f>
        <v>3</v>
      </c>
      <c r="Z360" s="543">
        <f>IFERROR(IF(Z358="",0,Z358),"0")+IFERROR(IF(Z359="",0,Z359),"0")</f>
        <v>5.6940000000000004E-2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21</v>
      </c>
      <c r="Y361" s="543">
        <f>IFERROR(SUM(Y358:Y359),"0")</f>
        <v>27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519</v>
      </c>
      <c r="Y378" s="542">
        <f>IFERROR(IF(X378="",0,CEILING((X378/$H378),1)*$H378),"")</f>
        <v>522</v>
      </c>
      <c r="Z378" s="36">
        <f>IFERROR(IF(Y378=0,"",ROUNDUP(Y378/H378,0)*0.01898),"")</f>
        <v>1.10084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547.48733333333325</v>
      </c>
      <c r="BN378" s="64">
        <f>IFERROR(Y378*I378/H378,"0")</f>
        <v>550.65199999999993</v>
      </c>
      <c r="BO378" s="64">
        <f>IFERROR(1/J378*(X378/H378),"0")</f>
        <v>0.90104166666666663</v>
      </c>
      <c r="BP378" s="64">
        <f>IFERROR(1/J378*(Y378/H378),"0")</f>
        <v>0.90625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57.666666666666664</v>
      </c>
      <c r="Y380" s="543">
        <f>IFERROR(Y378/H378,"0")+IFERROR(Y379/H379,"0")</f>
        <v>58</v>
      </c>
      <c r="Z380" s="543">
        <f>IFERROR(IF(Z378="",0,Z378),"0")+IFERROR(IF(Z379="",0,Z379),"0")</f>
        <v>1.10084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519</v>
      </c>
      <c r="Y381" s="543">
        <f>IFERROR(SUM(Y378:Y379),"0")</f>
        <v>522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66</v>
      </c>
      <c r="Y421" s="542">
        <f t="shared" ref="Y421:Y431" si="42">IFERROR(IF(X421="",0,CEILING((X421/$H421),1)*$H421),"")</f>
        <v>68.64</v>
      </c>
      <c r="Z421" s="36">
        <f t="shared" ref="Z421:Z426" si="43">IFERROR(IF(Y421=0,"",ROUNDUP(Y421/H421,0)*0.01196),"")</f>
        <v>0.15548000000000001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70.375</v>
      </c>
      <c r="BN421" s="64">
        <f t="shared" ref="BN421:BN431" si="45">IFERROR(Y421*I421/H421,"0")</f>
        <v>73.19</v>
      </c>
      <c r="BO421" s="64">
        <f t="shared" ref="BO421:BO431" si="46">IFERROR(1/J421*(X421/H421),"0")</f>
        <v>0.1201923076923077</v>
      </c>
      <c r="BP421" s="64">
        <f t="shared" ref="BP421:BP431" si="47">IFERROR(1/J421*(Y421/H421),"0")</f>
        <v>0.125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83</v>
      </c>
      <c r="Y422" s="542">
        <f t="shared" si="42"/>
        <v>84.48</v>
      </c>
      <c r="Z422" s="36">
        <f t="shared" si="43"/>
        <v>0.19136</v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88.501893939393923</v>
      </c>
      <c r="BN422" s="64">
        <f t="shared" si="45"/>
        <v>90.08</v>
      </c>
      <c r="BO422" s="64">
        <f t="shared" si="46"/>
        <v>0.15115093240093241</v>
      </c>
      <c r="BP422" s="64">
        <f t="shared" si="47"/>
        <v>0.15384615384615385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387</v>
      </c>
      <c r="Y423" s="542">
        <f t="shared" si="42"/>
        <v>390.72</v>
      </c>
      <c r="Z423" s="36">
        <f t="shared" si="43"/>
        <v>0.88504000000000005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412.65340909090907</v>
      </c>
      <c r="BN423" s="64">
        <f t="shared" si="45"/>
        <v>416.62</v>
      </c>
      <c r="BO423" s="64">
        <f t="shared" si="46"/>
        <v>0.70476398601398604</v>
      </c>
      <c r="BP423" s="64">
        <f t="shared" si="47"/>
        <v>0.71153846153846156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312</v>
      </c>
      <c r="Y426" s="542">
        <f t="shared" si="42"/>
        <v>316.8</v>
      </c>
      <c r="Z426" s="36">
        <f t="shared" si="43"/>
        <v>0.71760000000000002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332.68181818181813</v>
      </c>
      <c r="BN426" s="64">
        <f t="shared" si="45"/>
        <v>337.8</v>
      </c>
      <c r="BO426" s="64">
        <f t="shared" si="46"/>
        <v>0.56818181818181812</v>
      </c>
      <c r="BP426" s="64">
        <f t="shared" si="47"/>
        <v>0.57692307692307698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9</v>
      </c>
      <c r="Y428" s="542">
        <f t="shared" si="42"/>
        <v>9.6</v>
      </c>
      <c r="Z428" s="36">
        <f>IFERROR(IF(Y428=0,"",ROUNDUP(Y428/H428,0)*0.00902),"")</f>
        <v>1.804E-2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12.956250000000001</v>
      </c>
      <c r="BN428" s="64">
        <f t="shared" si="45"/>
        <v>13.82</v>
      </c>
      <c r="BO428" s="64">
        <f t="shared" si="46"/>
        <v>1.4204545454545456E-2</v>
      </c>
      <c r="BP428" s="64">
        <f t="shared" si="47"/>
        <v>1.5151515151515152E-2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162.48106060606059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1.9675200000000002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857</v>
      </c>
      <c r="Y433" s="543">
        <f>IFERROR(SUM(Y421:Y431),"0")</f>
        <v>870.24000000000012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231</v>
      </c>
      <c r="Y435" s="542">
        <f>IFERROR(IF(X435="",0,CEILING((X435/$H435),1)*$H435),"")</f>
        <v>232.32000000000002</v>
      </c>
      <c r="Z435" s="36">
        <f>IFERROR(IF(Y435=0,"",ROUNDUP(Y435/H435,0)*0.01196),"")</f>
        <v>0.52624000000000004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246.31249999999997</v>
      </c>
      <c r="BN435" s="64">
        <f>IFERROR(Y435*I435/H435,"0")</f>
        <v>247.72</v>
      </c>
      <c r="BO435" s="64">
        <f>IFERROR(1/J435*(X435/H435),"0")</f>
        <v>0.42067307692307693</v>
      </c>
      <c r="BP435" s="64">
        <f>IFERROR(1/J435*(Y435/H435),"0")</f>
        <v>0.42307692307692313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43.75</v>
      </c>
      <c r="Y438" s="543">
        <f>IFERROR(Y435/H435,"0")+IFERROR(Y436/H436,"0")+IFERROR(Y437/H437,"0")</f>
        <v>44</v>
      </c>
      <c r="Z438" s="543">
        <f>IFERROR(IF(Z435="",0,Z435),"0")+IFERROR(IF(Z436="",0,Z436),"0")+IFERROR(IF(Z437="",0,Z437),"0")</f>
        <v>0.52624000000000004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231</v>
      </c>
      <c r="Y439" s="543">
        <f>IFERROR(SUM(Y435:Y437),"0")</f>
        <v>232.32000000000002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173</v>
      </c>
      <c r="Y441" s="542">
        <f t="shared" ref="Y441:Y446" si="48">IFERROR(IF(X441="",0,CEILING((X441/$H441),1)*$H441),"")</f>
        <v>174.24</v>
      </c>
      <c r="Z441" s="36">
        <f>IFERROR(IF(Y441=0,"",ROUNDUP(Y441/H441,0)*0.01196),"")</f>
        <v>0.39468000000000003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184.46780303030303</v>
      </c>
      <c r="BN441" s="64">
        <f t="shared" ref="BN441:BN446" si="50">IFERROR(Y441*I441/H441,"0")</f>
        <v>185.79</v>
      </c>
      <c r="BO441" s="64">
        <f t="shared" ref="BO441:BO446" si="51">IFERROR(1/J441*(X441/H441),"0")</f>
        <v>0.31504953379953382</v>
      </c>
      <c r="BP441" s="64">
        <f t="shared" ref="BP441:BP446" si="52">IFERROR(1/J441*(Y441/H441),"0")</f>
        <v>0.31730769230769235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47</v>
      </c>
      <c r="Y442" s="542">
        <f t="shared" si="48"/>
        <v>47.52</v>
      </c>
      <c r="Z442" s="36">
        <f>IFERROR(IF(Y442=0,"",ROUNDUP(Y442/H442,0)*0.01196),"")</f>
        <v>0.10764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50.115530303030305</v>
      </c>
      <c r="BN442" s="64">
        <f t="shared" si="50"/>
        <v>50.669999999999995</v>
      </c>
      <c r="BO442" s="64">
        <f t="shared" si="51"/>
        <v>8.559149184149184E-2</v>
      </c>
      <c r="BP442" s="64">
        <f t="shared" si="52"/>
        <v>8.6538461538461536E-2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200</v>
      </c>
      <c r="Y443" s="542">
        <f t="shared" si="48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213.25757575757575</v>
      </c>
      <c r="BN443" s="64">
        <f t="shared" si="50"/>
        <v>213.94</v>
      </c>
      <c r="BO443" s="64">
        <f t="shared" si="51"/>
        <v>0.36421911421911418</v>
      </c>
      <c r="BP443" s="64">
        <f t="shared" si="52"/>
        <v>0.36538461538461542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79.545454545454533</v>
      </c>
      <c r="Y447" s="543">
        <f>IFERROR(Y441/H441,"0")+IFERROR(Y442/H442,"0")+IFERROR(Y443/H443,"0")+IFERROR(Y444/H444,"0")+IFERROR(Y445/H445,"0")+IFERROR(Y446/H446,"0")</f>
        <v>80</v>
      </c>
      <c r="Z447" s="543">
        <f>IFERROR(IF(Z441="",0,Z441),"0")+IFERROR(IF(Z442="",0,Z442),"0")+IFERROR(IF(Z443="",0,Z443),"0")+IFERROR(IF(Z444="",0,Z444),"0")+IFERROR(IF(Z445="",0,Z445),"0")+IFERROR(IF(Z446="",0,Z446),"0")</f>
        <v>0.95679999999999998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420</v>
      </c>
      <c r="Y448" s="543">
        <f>IFERROR(SUM(Y441:Y446),"0")</f>
        <v>422.40000000000003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12882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13052.71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13567.53308912769</v>
      </c>
      <c r="Y490" s="543">
        <f>IFERROR(SUM(BN22:BN486),"0")</f>
        <v>13748.057999999997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22</v>
      </c>
      <c r="Y491" s="38">
        <f>ROUNDUP(SUM(BP22:BP486),0)</f>
        <v>23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14117.53308912769</v>
      </c>
      <c r="Y492" s="543">
        <f>GrossWeightTotalR+PalletQtyTotalR*25</f>
        <v>14323.057999999997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2321.8609957229123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2354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26.227260000000005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466.8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837.4</v>
      </c>
      <c r="E499" s="46">
        <f>IFERROR(Y85*1,"0")+IFERROR(Y86*1,"0")+IFERROR(Y87*1,"0")+IFERROR(Y91*1,"0")+IFERROR(Y92*1,"0")+IFERROR(Y93*1,"0")+IFERROR(Y94*1,"0")</f>
        <v>1258.2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1417.2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712.92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2370.3000000000002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273.73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91.199999999999989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872.9</v>
      </c>
      <c r="R499" s="46">
        <f>IFERROR(Y335*1,"0")+IFERROR(Y336*1,"0")+IFERROR(Y337*1,"0")</f>
        <v>8.1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2697</v>
      </c>
      <c r="T499" s="46">
        <f>IFERROR(Y368*1,"0")+IFERROR(Y369*1,"0")+IFERROR(Y373*1,"0")+IFERROR(Y374*1,"0")+IFERROR(Y378*1,"0")+IFERROR(Y379*1,"0")</f>
        <v>522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1524.9600000000003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86"/>
        <filter val="1 060,00"/>
        <filter val="1 249,00"/>
        <filter val="1 981,00"/>
        <filter val="1,00"/>
        <filter val="1,11"/>
        <filter val="10,00"/>
        <filter val="10,61"/>
        <filter val="11,00"/>
        <filter val="113,39"/>
        <filter val="12 882,00"/>
        <filter val="124,00"/>
        <filter val="13 567,53"/>
        <filter val="13,00"/>
        <filter val="130,00"/>
        <filter val="132,07"/>
        <filter val="139,28"/>
        <filter val="14 117,53"/>
        <filter val="144,00"/>
        <filter val="15,87"/>
        <filter val="157,00"/>
        <filter val="159,00"/>
        <filter val="16,00"/>
        <filter val="162,48"/>
        <filter val="165,00"/>
        <filter val="166,00"/>
        <filter val="17,25"/>
        <filter val="173,00"/>
        <filter val="18,33"/>
        <filter val="185,00"/>
        <filter val="187,00"/>
        <filter val="2 321,86"/>
        <filter val="2,00"/>
        <filter val="2,33"/>
        <filter val="20,00"/>
        <filter val="200,00"/>
        <filter val="21,00"/>
        <filter val="219,00"/>
        <filter val="22"/>
        <filter val="220,00"/>
        <filter val="226,00"/>
        <filter val="23,00"/>
        <filter val="231,00"/>
        <filter val="236,00"/>
        <filter val="24,95"/>
        <filter val="243,00"/>
        <filter val="247,54"/>
        <filter val="251,00"/>
        <filter val="257,41"/>
        <filter val="259,00"/>
        <filter val="294,00"/>
        <filter val="298,00"/>
        <filter val="299,00"/>
        <filter val="3,00"/>
        <filter val="30,93"/>
        <filter val="302,00"/>
        <filter val="31,00"/>
        <filter val="312,00"/>
        <filter val="33,00"/>
        <filter val="331,00"/>
        <filter val="334,00"/>
        <filter val="357,00"/>
        <filter val="366,00"/>
        <filter val="37,08"/>
        <filter val="378,00"/>
        <filter val="379,00"/>
        <filter val="387,00"/>
        <filter val="4,00"/>
        <filter val="40,00"/>
        <filter val="40,45"/>
        <filter val="42,00"/>
        <filter val="420,00"/>
        <filter val="422,00"/>
        <filter val="428,00"/>
        <filter val="43,00"/>
        <filter val="43,75"/>
        <filter val="44,00"/>
        <filter val="440,79"/>
        <filter val="442,00"/>
        <filter val="456,00"/>
        <filter val="465,00"/>
        <filter val="47,00"/>
        <filter val="477,00"/>
        <filter val="5,00"/>
        <filter val="507,00"/>
        <filter val="519,00"/>
        <filter val="53,00"/>
        <filter val="54,00"/>
        <filter val="57,67"/>
        <filter val="572,00"/>
        <filter val="58,51"/>
        <filter val="59,00"/>
        <filter val="6,79"/>
        <filter val="60,46"/>
        <filter val="621,00"/>
        <filter val="645,00"/>
        <filter val="66,00"/>
        <filter val="681,00"/>
        <filter val="7,00"/>
        <filter val="71,00"/>
        <filter val="76,42"/>
        <filter val="766,00"/>
        <filter val="79,55"/>
        <filter val="8,00"/>
        <filter val="806,00"/>
        <filter val="83,00"/>
        <filter val="85,00"/>
        <filter val="857,00"/>
        <filter val="86,05"/>
        <filter val="87,00"/>
        <filter val="89,00"/>
        <filter val="9,00"/>
        <filter val="905,00"/>
        <filter val="95,00"/>
        <filter val="95,37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