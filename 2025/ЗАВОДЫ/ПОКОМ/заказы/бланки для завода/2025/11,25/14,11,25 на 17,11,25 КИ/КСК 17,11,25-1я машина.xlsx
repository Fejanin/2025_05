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A2C0E75-4A8F-46D5-82C4-A81EA29946A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Z423" i="1" s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Y331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Y27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BP203" i="1" s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N41" i="1"/>
  <c r="BM41" i="1"/>
  <c r="Z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P60" i="1" l="1"/>
  <c r="BN60" i="1"/>
  <c r="Z60" i="1"/>
  <c r="BP87" i="1"/>
  <c r="BN87" i="1"/>
  <c r="Z87" i="1"/>
  <c r="BP114" i="1"/>
  <c r="BN114" i="1"/>
  <c r="Z114" i="1"/>
  <c r="BP162" i="1"/>
  <c r="BN162" i="1"/>
  <c r="Z162" i="1"/>
  <c r="BP197" i="1"/>
  <c r="BN197" i="1"/>
  <c r="Z197" i="1"/>
  <c r="BP220" i="1"/>
  <c r="BN220" i="1"/>
  <c r="Z220" i="1"/>
  <c r="BP225" i="1"/>
  <c r="BN225" i="1"/>
  <c r="Z225" i="1"/>
  <c r="BP258" i="1"/>
  <c r="BN258" i="1"/>
  <c r="Z258" i="1"/>
  <c r="BP293" i="1"/>
  <c r="BN293" i="1"/>
  <c r="Z293" i="1"/>
  <c r="BP330" i="1"/>
  <c r="BN330" i="1"/>
  <c r="Z330" i="1"/>
  <c r="BP335" i="1"/>
  <c r="BN335" i="1"/>
  <c r="Z335" i="1"/>
  <c r="BP389" i="1"/>
  <c r="BN389" i="1"/>
  <c r="Z389" i="1"/>
  <c r="BP424" i="1"/>
  <c r="BN424" i="1"/>
  <c r="Z424" i="1"/>
  <c r="BP450" i="1"/>
  <c r="BN450" i="1"/>
  <c r="Z450" i="1"/>
  <c r="X490" i="1"/>
  <c r="X493" i="1"/>
  <c r="Z27" i="1"/>
  <c r="BN27" i="1"/>
  <c r="BP72" i="1"/>
  <c r="BN72" i="1"/>
  <c r="Z72" i="1"/>
  <c r="F499" i="1"/>
  <c r="BP102" i="1"/>
  <c r="BN102" i="1"/>
  <c r="Z102" i="1"/>
  <c r="BP140" i="1"/>
  <c r="BN140" i="1"/>
  <c r="Z140" i="1"/>
  <c r="BP170" i="1"/>
  <c r="BN170" i="1"/>
  <c r="Z170" i="1"/>
  <c r="BP207" i="1"/>
  <c r="BN207" i="1"/>
  <c r="Z207" i="1"/>
  <c r="BP233" i="1"/>
  <c r="BN233" i="1"/>
  <c r="Z233" i="1"/>
  <c r="BP274" i="1"/>
  <c r="BN274" i="1"/>
  <c r="Z274" i="1"/>
  <c r="BP309" i="1"/>
  <c r="BN309" i="1"/>
  <c r="Z309" i="1"/>
  <c r="BP369" i="1"/>
  <c r="BN369" i="1"/>
  <c r="Z369" i="1"/>
  <c r="BP408" i="1"/>
  <c r="BN408" i="1"/>
  <c r="Z408" i="1"/>
  <c r="BP436" i="1"/>
  <c r="BN436" i="1"/>
  <c r="Z436" i="1"/>
  <c r="BP466" i="1"/>
  <c r="BN466" i="1"/>
  <c r="Z466" i="1"/>
  <c r="D499" i="1"/>
  <c r="Y95" i="1"/>
  <c r="G499" i="1"/>
  <c r="I499" i="1"/>
  <c r="Y275" i="1"/>
  <c r="BP311" i="1"/>
  <c r="BN311" i="1"/>
  <c r="Z311" i="1"/>
  <c r="BP322" i="1"/>
  <c r="BN322" i="1"/>
  <c r="Z322" i="1"/>
  <c r="BP337" i="1"/>
  <c r="BN337" i="1"/>
  <c r="Z337" i="1"/>
  <c r="BP346" i="1"/>
  <c r="BN346" i="1"/>
  <c r="Z346" i="1"/>
  <c r="Y375" i="1"/>
  <c r="BP373" i="1"/>
  <c r="BN373" i="1"/>
  <c r="Z373" i="1"/>
  <c r="BP391" i="1"/>
  <c r="BN391" i="1"/>
  <c r="Z391" i="1"/>
  <c r="BP410" i="1"/>
  <c r="BN410" i="1"/>
  <c r="Z410" i="1"/>
  <c r="BP426" i="1"/>
  <c r="BN426" i="1"/>
  <c r="Z426" i="1"/>
  <c r="BP442" i="1"/>
  <c r="BN442" i="1"/>
  <c r="Z442" i="1"/>
  <c r="BP452" i="1"/>
  <c r="BN452" i="1"/>
  <c r="Z45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B499" i="1"/>
  <c r="X491" i="1"/>
  <c r="X492" i="1" s="1"/>
  <c r="Y31" i="1"/>
  <c r="Z29" i="1"/>
  <c r="BN29" i="1"/>
  <c r="C499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Z85" i="1"/>
  <c r="BN85" i="1"/>
  <c r="Z91" i="1"/>
  <c r="BN91" i="1"/>
  <c r="BP91" i="1"/>
  <c r="Z100" i="1"/>
  <c r="BN100" i="1"/>
  <c r="Z106" i="1"/>
  <c r="BN106" i="1"/>
  <c r="BP106" i="1"/>
  <c r="Z112" i="1"/>
  <c r="BN112" i="1"/>
  <c r="BP112" i="1"/>
  <c r="Z125" i="1"/>
  <c r="BN125" i="1"/>
  <c r="Y131" i="1"/>
  <c r="Z135" i="1"/>
  <c r="BN135" i="1"/>
  <c r="Z142" i="1"/>
  <c r="BN142" i="1"/>
  <c r="Y150" i="1"/>
  <c r="Z148" i="1"/>
  <c r="BN148" i="1"/>
  <c r="Y172" i="1"/>
  <c r="Z164" i="1"/>
  <c r="BN164" i="1"/>
  <c r="Z168" i="1"/>
  <c r="BN168" i="1"/>
  <c r="Z176" i="1"/>
  <c r="BN176" i="1"/>
  <c r="J499" i="1"/>
  <c r="Z191" i="1"/>
  <c r="BN191" i="1"/>
  <c r="BP191" i="1"/>
  <c r="Y205" i="1"/>
  <c r="Z199" i="1"/>
  <c r="BN199" i="1"/>
  <c r="Z203" i="1"/>
  <c r="BN203" i="1"/>
  <c r="Z209" i="1"/>
  <c r="BN209" i="1"/>
  <c r="Z213" i="1"/>
  <c r="BN213" i="1"/>
  <c r="Z227" i="1"/>
  <c r="BN227" i="1"/>
  <c r="Z231" i="1"/>
  <c r="BN231" i="1"/>
  <c r="Z247" i="1"/>
  <c r="BN247" i="1"/>
  <c r="Z256" i="1"/>
  <c r="BN256" i="1"/>
  <c r="Z265" i="1"/>
  <c r="BN265" i="1"/>
  <c r="Z272" i="1"/>
  <c r="BN272" i="1"/>
  <c r="BP272" i="1"/>
  <c r="Z291" i="1"/>
  <c r="BN291" i="1"/>
  <c r="Z299" i="1"/>
  <c r="BN299" i="1"/>
  <c r="BP303" i="1"/>
  <c r="BN303" i="1"/>
  <c r="Z303" i="1"/>
  <c r="BP317" i="1"/>
  <c r="BN317" i="1"/>
  <c r="Z317" i="1"/>
  <c r="BP321" i="1"/>
  <c r="BN321" i="1"/>
  <c r="Z321" i="1"/>
  <c r="Y332" i="1"/>
  <c r="BP328" i="1"/>
  <c r="BN328" i="1"/>
  <c r="Z328" i="1"/>
  <c r="BP345" i="1"/>
  <c r="BN345" i="1"/>
  <c r="Z345" i="1"/>
  <c r="BP354" i="1"/>
  <c r="BN354" i="1"/>
  <c r="Z354" i="1"/>
  <c r="BP358" i="1"/>
  <c r="BN358" i="1"/>
  <c r="Z358" i="1"/>
  <c r="BP387" i="1"/>
  <c r="BN387" i="1"/>
  <c r="Z387" i="1"/>
  <c r="BP397" i="1"/>
  <c r="BN397" i="1"/>
  <c r="Z397" i="1"/>
  <c r="BP430" i="1"/>
  <c r="BN430" i="1"/>
  <c r="Z430" i="1"/>
  <c r="BP446" i="1"/>
  <c r="BN446" i="1"/>
  <c r="Z446" i="1"/>
  <c r="BP460" i="1"/>
  <c r="BN460" i="1"/>
  <c r="Z460" i="1"/>
  <c r="O499" i="1"/>
  <c r="Y319" i="1"/>
  <c r="Y318" i="1"/>
  <c r="Y350" i="1"/>
  <c r="Y462" i="1"/>
  <c r="W499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Y204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L499" i="1"/>
  <c r="Y260" i="1"/>
  <c r="Y261" i="1"/>
  <c r="BP255" i="1"/>
  <c r="BN255" i="1"/>
  <c r="Z255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36" i="1"/>
  <c r="BN336" i="1"/>
  <c r="Z336" i="1"/>
  <c r="Z338" i="1" s="1"/>
  <c r="Y338" i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Y433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BN196" i="1"/>
  <c r="BP196" i="1"/>
  <c r="Z198" i="1"/>
  <c r="BN198" i="1"/>
  <c r="Z200" i="1"/>
  <c r="BN200" i="1"/>
  <c r="Z202" i="1"/>
  <c r="BN202" i="1"/>
  <c r="Y216" i="1"/>
  <c r="Z208" i="1"/>
  <c r="BN208" i="1"/>
  <c r="Z210" i="1"/>
  <c r="BN210" i="1"/>
  <c r="Z212" i="1"/>
  <c r="BN212" i="1"/>
  <c r="Z214" i="1"/>
  <c r="BN214" i="1"/>
  <c r="BP215" i="1"/>
  <c r="BN215" i="1"/>
  <c r="Z215" i="1"/>
  <c r="Y217" i="1"/>
  <c r="Y222" i="1"/>
  <c r="BP219" i="1"/>
  <c r="BN219" i="1"/>
  <c r="Z219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323" i="1"/>
  <c r="BN323" i="1"/>
  <c r="Z323" i="1"/>
  <c r="Y325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Y370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K499" i="1"/>
  <c r="Y235" i="1"/>
  <c r="BP259" i="1"/>
  <c r="BN259" i="1"/>
  <c r="Z259" i="1"/>
  <c r="M499" i="1"/>
  <c r="Y269" i="1"/>
  <c r="BP264" i="1"/>
  <c r="BN264" i="1"/>
  <c r="Z264" i="1"/>
  <c r="Y268" i="1"/>
  <c r="BP273" i="1"/>
  <c r="BN273" i="1"/>
  <c r="Z273" i="1"/>
  <c r="Z275" i="1" s="1"/>
  <c r="Y286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6" i="1"/>
  <c r="BP329" i="1"/>
  <c r="BN329" i="1"/>
  <c r="Z329" i="1"/>
  <c r="Z331" i="1" s="1"/>
  <c r="BP344" i="1"/>
  <c r="BN344" i="1"/>
  <c r="Z344" i="1"/>
  <c r="BP349" i="1"/>
  <c r="BN349" i="1"/>
  <c r="Z349" i="1"/>
  <c r="Y351" i="1"/>
  <c r="Y356" i="1"/>
  <c r="BP353" i="1"/>
  <c r="BN353" i="1"/>
  <c r="Z353" i="1"/>
  <c r="Y360" i="1"/>
  <c r="BP374" i="1"/>
  <c r="BN374" i="1"/>
  <c r="Z374" i="1"/>
  <c r="Y376" i="1"/>
  <c r="Y381" i="1"/>
  <c r="BP378" i="1"/>
  <c r="BN378" i="1"/>
  <c r="Z378" i="1"/>
  <c r="Z380" i="1" s="1"/>
  <c r="U499" i="1"/>
  <c r="BP388" i="1"/>
  <c r="BN388" i="1"/>
  <c r="Z388" i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Y453" i="1"/>
  <c r="S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Y482" i="1"/>
  <c r="Y499" i="1"/>
  <c r="Z216" i="1" l="1"/>
  <c r="Z473" i="1"/>
  <c r="Z453" i="1"/>
  <c r="Z375" i="1"/>
  <c r="Z355" i="1"/>
  <c r="Z268" i="1"/>
  <c r="Z370" i="1"/>
  <c r="Z325" i="1"/>
  <c r="Z221" i="1"/>
  <c r="Z432" i="1"/>
  <c r="Z438" i="1"/>
  <c r="Z350" i="1"/>
  <c r="Z116" i="1"/>
  <c r="Z103" i="1"/>
  <c r="Z95" i="1"/>
  <c r="Z43" i="1"/>
  <c r="Z31" i="1"/>
  <c r="Z251" i="1"/>
  <c r="Z172" i="1"/>
  <c r="Z76" i="1"/>
  <c r="Z394" i="1"/>
  <c r="Z235" i="1"/>
  <c r="Y493" i="1"/>
  <c r="Y490" i="1"/>
  <c r="Z411" i="1"/>
  <c r="Z260" i="1"/>
  <c r="Y489" i="1"/>
  <c r="Z447" i="1"/>
  <c r="Z312" i="1"/>
  <c r="Z468" i="1"/>
  <c r="Z204" i="1"/>
  <c r="Z178" i="1"/>
  <c r="Z57" i="1"/>
  <c r="Y491" i="1"/>
  <c r="Z305" i="1"/>
  <c r="Z295" i="1"/>
  <c r="Z494" i="1" l="1"/>
  <c r="Y492" i="1"/>
</calcChain>
</file>

<file path=xl/sharedStrings.xml><?xml version="1.0" encoding="utf-8"?>
<sst xmlns="http://schemas.openxmlformats.org/spreadsheetml/2006/main" count="2281" uniqueCount="769">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</sst>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768</v>
      </c>
      <c r="I5" s="783"/>
      <c r="J5" s="783"/>
      <c r="K5" s="783"/>
      <c r="L5" s="783"/>
      <c r="M5" s="633"/>
      <c r="N5" s="58"/>
      <c r="P5" s="24" t="s">
        <v>10</v>
      </c>
      <c r="Q5" s="813">
        <v>45978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0.375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140</v>
      </c>
      <c r="Y41" s="542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146.65</v>
      </c>
      <c r="BN41" s="64">
        <f>IFERROR(Y41*I41/H41,"0")</f>
        <v>146.65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39.629629629629633</v>
      </c>
      <c r="Y43" s="543">
        <f>IFERROR(Y40/H40,"0")+IFERROR(Y41/H41,"0")+IFERROR(Y42/H42,"0")</f>
        <v>40</v>
      </c>
      <c r="Z43" s="543">
        <f>IFERROR(IF(Z40="",0,Z40),"0")+IFERROR(IF(Z41="",0,Z41),"0")+IFERROR(IF(Z42="",0,Z42),"0")</f>
        <v>0.41059999999999997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190</v>
      </c>
      <c r="Y44" s="543">
        <f>IFERROR(SUM(Y40:Y42),"0")</f>
        <v>194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270</v>
      </c>
      <c r="Y56" s="542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69.259259259259267</v>
      </c>
      <c r="Y57" s="543">
        <f>IFERROR(Y51/H51,"0")+IFERROR(Y52/H52,"0")+IFERROR(Y53/H53,"0")+IFERROR(Y54/H54,"0")+IFERROR(Y55/H55,"0")+IFERROR(Y56/H56,"0")</f>
        <v>70</v>
      </c>
      <c r="Z57" s="543">
        <f>IFERROR(IF(Z51="",0,Z51),"0")+IFERROR(IF(Z52="",0,Z52),"0")+IFERROR(IF(Z53="",0,Z53),"0")+IFERROR(IF(Z54="",0,Z54),"0")+IFERROR(IF(Z55="",0,Z55),"0")+IFERROR(IF(Z56="",0,Z56),"0")</f>
        <v>0.73099999999999998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370</v>
      </c>
      <c r="Y58" s="543">
        <f>IFERROR(SUM(Y51:Y56),"0")</f>
        <v>378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160</v>
      </c>
      <c r="Y60" s="542">
        <f>IFERROR(IF(X60="",0,CEILING((X60/$H60),1)*$H60),"")</f>
        <v>162</v>
      </c>
      <c r="Z60" s="36">
        <f>IFERROR(IF(Y60=0,"",ROUNDUP(Y60/H60,0)*0.01898),"")</f>
        <v>0.28470000000000001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166.07407407407408</v>
      </c>
      <c r="BN60" s="64">
        <f>IFERROR(Y60*I60/H60,"0")</f>
        <v>168.15</v>
      </c>
      <c r="BO60" s="64">
        <f>IFERROR(1/J60*(X60/H60),"0")</f>
        <v>0.23148148148148145</v>
      </c>
      <c r="BP60" s="64">
        <f>IFERROR(1/J60*(Y60/H60),"0")</f>
        <v>0.23437499999999997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45</v>
      </c>
      <c r="Y62" s="542">
        <f>IFERROR(IF(X62="",0,CEILING((X62/$H62),1)*$H62),"")</f>
        <v>45.900000000000006</v>
      </c>
      <c r="Z62" s="36">
        <f>IFERROR(IF(Y62=0,"",ROUNDUP(Y62/H62,0)*0.00651),"")</f>
        <v>0.11067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47.999999999999993</v>
      </c>
      <c r="BN62" s="64">
        <f>IFERROR(Y62*I62/H62,"0")</f>
        <v>48.96</v>
      </c>
      <c r="BO62" s="64">
        <f>IFERROR(1/J62*(X62/H62),"0")</f>
        <v>9.1575091575091569E-2</v>
      </c>
      <c r="BP62" s="64">
        <f>IFERROR(1/J62*(Y62/H62),"0")</f>
        <v>9.3406593406593408E-2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31.481481481481477</v>
      </c>
      <c r="Y63" s="543">
        <f>IFERROR(Y60/H60,"0")+IFERROR(Y61/H61,"0")+IFERROR(Y62/H62,"0")</f>
        <v>32</v>
      </c>
      <c r="Z63" s="543">
        <f>IFERROR(IF(Z60="",0,Z60),"0")+IFERROR(IF(Z61="",0,Z61),"0")+IFERROR(IF(Z62="",0,Z62),"0")</f>
        <v>0.39537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205</v>
      </c>
      <c r="Y64" s="543">
        <f>IFERROR(SUM(Y60:Y62),"0")</f>
        <v>207.9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30</v>
      </c>
      <c r="Y79" s="542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3.8461538461538463</v>
      </c>
      <c r="Y81" s="543">
        <f>IFERROR(Y79/H79,"0")+IFERROR(Y80/H80,"0")</f>
        <v>4</v>
      </c>
      <c r="Z81" s="543">
        <f>IFERROR(IF(Z79="",0,Z79),"0")+IFERROR(IF(Z80="",0,Z80),"0")</f>
        <v>7.5920000000000001E-2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30</v>
      </c>
      <c r="Y82" s="543">
        <f>IFERROR(SUM(Y79:Y80),"0")</f>
        <v>31.2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240</v>
      </c>
      <c r="Y85" s="542">
        <f>IFERROR(IF(X85="",0,CEILING((X85/$H85),1)*$H85),"")</f>
        <v>248.4</v>
      </c>
      <c r="Z85" s="36">
        <f>IFERROR(IF(Y85=0,"",ROUNDUP(Y85/H85,0)*0.01898),"")</f>
        <v>0.43653999999999998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249.11111111111111</v>
      </c>
      <c r="BN85" s="64">
        <f>IFERROR(Y85*I85/H85,"0")</f>
        <v>257.83</v>
      </c>
      <c r="BO85" s="64">
        <f>IFERROR(1/J85*(X85/H85),"0")</f>
        <v>0.34722222222222221</v>
      </c>
      <c r="BP85" s="64">
        <f>IFERROR(1/J85*(Y85/H85),"0")</f>
        <v>0.359375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225</v>
      </c>
      <c r="Y87" s="542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72.222222222222229</v>
      </c>
      <c r="Y88" s="543">
        <f>IFERROR(Y85/H85,"0")+IFERROR(Y86/H86,"0")+IFERROR(Y87/H87,"0")</f>
        <v>73</v>
      </c>
      <c r="Z88" s="543">
        <f>IFERROR(IF(Z85="",0,Z85),"0")+IFERROR(IF(Z86="",0,Z86),"0")+IFERROR(IF(Z87="",0,Z87),"0")</f>
        <v>0.88754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465</v>
      </c>
      <c r="Y89" s="543">
        <f>IFERROR(SUM(Y85:Y87),"0")</f>
        <v>473.4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150</v>
      </c>
      <c r="Y91" s="542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495</v>
      </c>
      <c r="Y93" s="542">
        <f>IFERROR(IF(X93="",0,CEILING((X93/$H93),1)*$H93),"")</f>
        <v>496.8</v>
      </c>
      <c r="Z93" s="36">
        <f>IFERROR(IF(Y93=0,"",ROUNDUP(Y93/H93,0)*0.00651),"")</f>
        <v>1.19784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541.19999999999993</v>
      </c>
      <c r="BN93" s="64">
        <f>IFERROR(Y93*I93/H93,"0")</f>
        <v>543.16800000000001</v>
      </c>
      <c r="BO93" s="64">
        <f>IFERROR(1/J93*(X93/H93),"0")</f>
        <v>1.0073260073260073</v>
      </c>
      <c r="BP93" s="64">
        <f>IFERROR(1/J93*(Y93/H93),"0")</f>
        <v>1.0109890109890112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201.85185185185185</v>
      </c>
      <c r="Y95" s="543">
        <f>IFERROR(Y91/H91,"0")+IFERROR(Y92/H92,"0")+IFERROR(Y93/H93,"0")+IFERROR(Y94/H94,"0")</f>
        <v>203</v>
      </c>
      <c r="Z95" s="543">
        <f>IFERROR(IF(Z91="",0,Z91),"0")+IFERROR(IF(Z92="",0,Z92),"0")+IFERROR(IF(Z93="",0,Z93),"0")+IFERROR(IF(Z94="",0,Z94),"0")</f>
        <v>1.55846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645</v>
      </c>
      <c r="Y96" s="543">
        <f>IFERROR(SUM(Y91:Y94),"0")</f>
        <v>650.70000000000005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30</v>
      </c>
      <c r="Y99" s="542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585</v>
      </c>
      <c r="Y101" s="542">
        <f>IFERROR(IF(X101="",0,CEILING((X101/$H101),1)*$H101),"")</f>
        <v>585</v>
      </c>
      <c r="Z101" s="36">
        <f>IFERROR(IF(Y101=0,"",ROUNDUP(Y101/H101,0)*0.00902),"")</f>
        <v>1.1726000000000001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609.70000000000005</v>
      </c>
      <c r="BN101" s="64">
        <f>IFERROR(Y101*I101/H101,"0")</f>
        <v>609.70000000000005</v>
      </c>
      <c r="BO101" s="64">
        <f>IFERROR(1/J101*(X101/H101),"0")</f>
        <v>0.98484848484848486</v>
      </c>
      <c r="BP101" s="64">
        <f>IFERROR(1/J101*(Y101/H101),"0")</f>
        <v>0.98484848484848486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132.77777777777777</v>
      </c>
      <c r="Y103" s="543">
        <f>IFERROR(Y99/H99,"0")+IFERROR(Y100/H100,"0")+IFERROR(Y101/H101,"0")+IFERROR(Y102/H102,"0")</f>
        <v>133</v>
      </c>
      <c r="Z103" s="543">
        <f>IFERROR(IF(Z99="",0,Z99),"0")+IFERROR(IF(Z100="",0,Z100),"0")+IFERROR(IF(Z101="",0,Z101),"0")+IFERROR(IF(Z102="",0,Z102),"0")</f>
        <v>1.2295400000000001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615</v>
      </c>
      <c r="Y104" s="543">
        <f>IFERROR(SUM(Y99:Y102),"0")</f>
        <v>617.4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300</v>
      </c>
      <c r="Y112" s="542">
        <f>IFERROR(IF(X112="",0,CEILING((X112/$H112),1)*$H112),"")</f>
        <v>307.8</v>
      </c>
      <c r="Z112" s="36">
        <f>IFERROR(IF(Y112=0,"",ROUNDUP(Y112/H112,0)*0.01898),"")</f>
        <v>0.72123999999999999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318.07407407407402</v>
      </c>
      <c r="BN112" s="64">
        <f>IFERROR(Y112*I112/H112,"0")</f>
        <v>326.34399999999999</v>
      </c>
      <c r="BO112" s="64">
        <f>IFERROR(1/J112*(X112/H112),"0")</f>
        <v>0.57870370370370372</v>
      </c>
      <c r="BP112" s="64">
        <f>IFERROR(1/J112*(Y112/H112),"0")</f>
        <v>0.59375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315</v>
      </c>
      <c r="Y114" s="542">
        <f>IFERROR(IF(X114="",0,CEILING((X114/$H114),1)*$H114),"")</f>
        <v>315.90000000000003</v>
      </c>
      <c r="Z114" s="36">
        <f>IFERROR(IF(Y114=0,"",ROUNDUP(Y114/H114,0)*0.00651),"")</f>
        <v>0.76167000000000007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344.4</v>
      </c>
      <c r="BN114" s="64">
        <f>IFERROR(Y114*I114/H114,"0")</f>
        <v>345.38400000000001</v>
      </c>
      <c r="BO114" s="64">
        <f>IFERROR(1/J114*(X114/H114),"0")</f>
        <v>0.64102564102564097</v>
      </c>
      <c r="BP114" s="64">
        <f>IFERROR(1/J114*(Y114/H114),"0")</f>
        <v>0.6428571428571429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27</v>
      </c>
      <c r="Y115" s="542">
        <f>IFERROR(IF(X115="",0,CEILING((X115/$H115),1)*$H115),"")</f>
        <v>27</v>
      </c>
      <c r="Z115" s="36">
        <f>IFERROR(IF(Y115=0,"",ROUNDUP(Y115/H115,0)*0.00651),"")</f>
        <v>9.7650000000000001E-2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29.7</v>
      </c>
      <c r="BN115" s="64">
        <f>IFERROR(Y115*I115/H115,"0")</f>
        <v>29.7</v>
      </c>
      <c r="BO115" s="64">
        <f>IFERROR(1/J115*(X115/H115),"0")</f>
        <v>8.241758241758243E-2</v>
      </c>
      <c r="BP115" s="64">
        <f>IFERROR(1/J115*(Y115/H115),"0")</f>
        <v>8.241758241758243E-2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168.7037037037037</v>
      </c>
      <c r="Y116" s="543">
        <f>IFERROR(Y112/H112,"0")+IFERROR(Y113/H113,"0")+IFERROR(Y114/H114,"0")+IFERROR(Y115/H115,"0")</f>
        <v>170</v>
      </c>
      <c r="Z116" s="543">
        <f>IFERROR(IF(Z112="",0,Z112),"0")+IFERROR(IF(Z113="",0,Z113),"0")+IFERROR(IF(Z114="",0,Z114),"0")+IFERROR(IF(Z115="",0,Z115),"0")</f>
        <v>1.58056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642</v>
      </c>
      <c r="Y117" s="543">
        <f>IFERROR(SUM(Y112:Y115),"0")</f>
        <v>650.70000000000005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16.5</v>
      </c>
      <c r="Y119" s="542">
        <f>IFERROR(IF(X119="",0,CEILING((X119/$H119),1)*$H119),"")</f>
        <v>17.82</v>
      </c>
      <c r="Z119" s="36">
        <f>IFERROR(IF(Y119=0,"",ROUNDUP(Y119/H119,0)*0.00651),"")</f>
        <v>5.8590000000000003E-2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18.649999999999999</v>
      </c>
      <c r="BN119" s="64">
        <f>IFERROR(Y119*I119/H119,"0")</f>
        <v>20.141999999999999</v>
      </c>
      <c r="BO119" s="64">
        <f>IFERROR(1/J119*(X119/H119),"0")</f>
        <v>4.5787545787545791E-2</v>
      </c>
      <c r="BP119" s="64">
        <f>IFERROR(1/J119*(Y119/H119),"0")</f>
        <v>4.9450549450549455E-2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8.3333333333333339</v>
      </c>
      <c r="Y120" s="543">
        <f>IFERROR(Y119/H119,"0")</f>
        <v>9</v>
      </c>
      <c r="Z120" s="543">
        <f>IFERROR(IF(Z119="",0,Z119),"0")</f>
        <v>5.8590000000000003E-2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16.5</v>
      </c>
      <c r="Y121" s="543">
        <f>IFERROR(SUM(Y119:Y119),"0")</f>
        <v>17.82</v>
      </c>
      <c r="Z121" s="37"/>
      <c r="AA121" s="544"/>
      <c r="AB121" s="544"/>
      <c r="AC121" s="544"/>
    </row>
    <row r="122" spans="1:68" ht="16.5" hidden="1" customHeight="1" x14ac:dyDescent="0.25">
      <c r="A122" s="566" t="s">
        <v>221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76</v>
      </c>
      <c r="Y124" s="542">
        <f>IFERROR(IF(X124="",0,CEILING((X124/$H124),1)*$H124),"")</f>
        <v>76.800000000000011</v>
      </c>
      <c r="Z124" s="36">
        <f>IFERROR(IF(Y124=0,"",ROUNDUP(Y124/H124,0)*0.00651),"")</f>
        <v>0.15623999999999999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80.274999999999991</v>
      </c>
      <c r="BN124" s="64">
        <f>IFERROR(Y124*I124/H124,"0")</f>
        <v>81.11999999999999</v>
      </c>
      <c r="BO124" s="64">
        <f>IFERROR(1/J124*(X124/H124),"0")</f>
        <v>0.1304945054945055</v>
      </c>
      <c r="BP124" s="64">
        <f>IFERROR(1/J124*(Y124/H124),"0")</f>
        <v>0.1318681318681319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23.75</v>
      </c>
      <c r="Y126" s="543">
        <f>IFERROR(Y124/H124,"0")+IFERROR(Y125/H125,"0")</f>
        <v>24.000000000000004</v>
      </c>
      <c r="Z126" s="543">
        <f>IFERROR(IF(Z124="",0,Z124),"0")+IFERROR(IF(Z125="",0,Z125),"0")</f>
        <v>0.15623999999999999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76</v>
      </c>
      <c r="Y127" s="543">
        <f>IFERROR(SUM(Y124:Y125),"0")</f>
        <v>76.800000000000011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42</v>
      </c>
      <c r="Y130" s="542">
        <f>IFERROR(IF(X130="",0,CEILING((X130/$H130),1)*$H130),"")</f>
        <v>42</v>
      </c>
      <c r="Z130" s="36">
        <f>IFERROR(IF(Y130=0,"",ROUNDUP(Y130/H130,0)*0.00651),"")</f>
        <v>9.7650000000000001E-2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46.02</v>
      </c>
      <c r="BN130" s="64">
        <f>IFERROR(Y130*I130/H130,"0")</f>
        <v>46.02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15.000000000000002</v>
      </c>
      <c r="Y131" s="543">
        <f>IFERROR(Y129/H129,"0")+IFERROR(Y130/H130,"0")</f>
        <v>15.000000000000002</v>
      </c>
      <c r="Z131" s="543">
        <f>IFERROR(IF(Z129="",0,Z129),"0")+IFERROR(IF(Z130="",0,Z130),"0")</f>
        <v>9.7650000000000001E-2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42</v>
      </c>
      <c r="Y132" s="543">
        <f>IFERROR(SUM(Y129:Y130),"0")</f>
        <v>42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89.100000000000009</v>
      </c>
      <c r="Y135" s="542">
        <f>IFERROR(IF(X135="",0,CEILING((X135/$H135),1)*$H135),"")</f>
        <v>89.76</v>
      </c>
      <c r="Z135" s="36">
        <f>IFERROR(IF(Y135=0,"",ROUNDUP(Y135/H135,0)*0.00651),"")</f>
        <v>0.22134000000000001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98.144999999999996</v>
      </c>
      <c r="BN135" s="64">
        <f>IFERROR(Y135*I135/H135,"0")</f>
        <v>98.872</v>
      </c>
      <c r="BO135" s="64">
        <f>IFERROR(1/J135*(X135/H135),"0")</f>
        <v>0.18543956043956045</v>
      </c>
      <c r="BP135" s="64">
        <f>IFERROR(1/J135*(Y135/H135),"0")</f>
        <v>0.18681318681318682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33.75</v>
      </c>
      <c r="Y136" s="543">
        <f>IFERROR(Y134/H134,"0")+IFERROR(Y135/H135,"0")</f>
        <v>34</v>
      </c>
      <c r="Z136" s="543">
        <f>IFERROR(IF(Z134="",0,Z134),"0")+IFERROR(IF(Z135="",0,Z135),"0")</f>
        <v>0.22134000000000001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89.100000000000009</v>
      </c>
      <c r="Y137" s="543">
        <f>IFERROR(SUM(Y134:Y135),"0")</f>
        <v>89.76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256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257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261</v>
      </c>
      <c r="B162" s="54" t="s">
        <v>262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263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254</v>
      </c>
      <c r="AC162" s="193" t="s">
        <v>264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265</v>
      </c>
      <c r="B163" s="54" t="s">
        <v>266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60</v>
      </c>
      <c r="Y163" s="542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267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63.571428571428569</v>
      </c>
      <c r="BN163" s="64">
        <f t="shared" si="7"/>
        <v>66.75</v>
      </c>
      <c r="BO163" s="64">
        <f t="shared" si="8"/>
        <v>0.10822510822510822</v>
      </c>
      <c r="BP163" s="64">
        <f t="shared" si="9"/>
        <v>0.11363636363636365</v>
      </c>
    </row>
    <row r="164" spans="1:68" ht="27" customHeight="1" x14ac:dyDescent="0.25">
      <c r="A164" s="54" t="s">
        <v>268</v>
      </c>
      <c r="B164" s="54" t="s">
        <v>269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40</v>
      </c>
      <c r="Y164" s="542">
        <f t="shared" si="5"/>
        <v>42</v>
      </c>
      <c r="Z164" s="36">
        <f>IFERROR(IF(Y164=0,"",ROUNDUP(Y164/H164,0)*0.00902),"")</f>
        <v>9.0200000000000002E-2</v>
      </c>
      <c r="AA164" s="56"/>
      <c r="AB164" s="57"/>
      <c r="AC164" s="197" t="s">
        <v>270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42.38095238095238</v>
      </c>
      <c r="BN164" s="64">
        <f t="shared" si="7"/>
        <v>44.5</v>
      </c>
      <c r="BO164" s="64">
        <f t="shared" si="8"/>
        <v>7.2150072150072145E-2</v>
      </c>
      <c r="BP164" s="64">
        <f t="shared" si="9"/>
        <v>7.575757575757576E-2</v>
      </c>
    </row>
    <row r="165" spans="1:68" ht="27" customHeight="1" x14ac:dyDescent="0.25">
      <c r="A165" s="54" t="s">
        <v>271</v>
      </c>
      <c r="B165" s="54" t="s">
        <v>272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197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150</v>
      </c>
      <c r="Y165" s="542">
        <f t="shared" si="5"/>
        <v>151.20000000000002</v>
      </c>
      <c r="Z165" s="36">
        <f>IFERROR(IF(Y165=0,"",ROUNDUP(Y165/H165,0)*0.00902),"")</f>
        <v>0.32472000000000001</v>
      </c>
      <c r="AA165" s="56"/>
      <c r="AB165" s="57"/>
      <c r="AC165" s="199" t="s">
        <v>273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156.78571428571428</v>
      </c>
      <c r="BN165" s="64">
        <f t="shared" si="7"/>
        <v>158.04</v>
      </c>
      <c r="BO165" s="64">
        <f t="shared" si="8"/>
        <v>0.27056277056277056</v>
      </c>
      <c r="BP165" s="64">
        <f t="shared" si="9"/>
        <v>0.27272727272727271</v>
      </c>
    </row>
    <row r="166" spans="1:68" ht="27" customHeight="1" x14ac:dyDescent="0.25">
      <c r="A166" s="54" t="s">
        <v>274</v>
      </c>
      <c r="B166" s="54" t="s">
        <v>275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42</v>
      </c>
      <c r="Y166" s="542">
        <f t="shared" si="5"/>
        <v>42</v>
      </c>
      <c r="Z166" s="36">
        <f>IFERROR(IF(Y166=0,"",ROUNDUP(Y166/H166,0)*0.00502),"")</f>
        <v>0.1004</v>
      </c>
      <c r="AA166" s="56"/>
      <c r="AB166" s="57"/>
      <c r="AC166" s="201" t="s">
        <v>267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44.599999999999994</v>
      </c>
      <c r="BN166" s="64">
        <f t="shared" si="7"/>
        <v>44.599999999999994</v>
      </c>
      <c r="BO166" s="64">
        <f t="shared" si="8"/>
        <v>8.5470085470085472E-2</v>
      </c>
      <c r="BP166" s="64">
        <f t="shared" si="9"/>
        <v>8.5470085470085472E-2</v>
      </c>
    </row>
    <row r="167" spans="1:68" ht="27" customHeight="1" x14ac:dyDescent="0.25">
      <c r="A167" s="54" t="s">
        <v>277</v>
      </c>
      <c r="B167" s="54" t="s">
        <v>278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276</v>
      </c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105</v>
      </c>
      <c r="Y167" s="542">
        <f t="shared" si="5"/>
        <v>105</v>
      </c>
      <c r="Z167" s="36">
        <f>IFERROR(IF(Y167=0,"",ROUNDUP(Y167/H167,0)*0.00502),"")</f>
        <v>0.251</v>
      </c>
      <c r="AA167" s="56"/>
      <c r="AB167" s="57"/>
      <c r="AC167" s="203" t="s">
        <v>270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111.5</v>
      </c>
      <c r="BN167" s="64">
        <f t="shared" si="7"/>
        <v>111.5</v>
      </c>
      <c r="BO167" s="64">
        <f t="shared" si="8"/>
        <v>0.21367521367521369</v>
      </c>
      <c r="BP167" s="64">
        <f t="shared" si="9"/>
        <v>0.21367521367521369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281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282</v>
      </c>
      <c r="B169" s="54" t="s">
        <v>283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276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175</v>
      </c>
      <c r="Y169" s="542">
        <f t="shared" si="5"/>
        <v>176.4</v>
      </c>
      <c r="Z169" s="36">
        <f>IFERROR(IF(Y169=0,"",ROUNDUP(Y169/H169,0)*0.00502),"")</f>
        <v>0.42168</v>
      </c>
      <c r="AA169" s="56"/>
      <c r="AB169" s="57"/>
      <c r="AC169" s="207" t="s">
        <v>273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183.33333333333334</v>
      </c>
      <c r="BN169" s="64">
        <f t="shared" si="7"/>
        <v>184.8</v>
      </c>
      <c r="BO169" s="64">
        <f t="shared" si="8"/>
        <v>0.35612535612535612</v>
      </c>
      <c r="BP169" s="64">
        <f t="shared" si="9"/>
        <v>0.35897435897435903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212.85714285714283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215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1.3233000000000001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572</v>
      </c>
      <c r="Y173" s="543">
        <f>IFERROR(SUM(Y162:Y171),"0")</f>
        <v>579.6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289</v>
      </c>
      <c r="B175" s="54" t="s">
        <v>290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291</v>
      </c>
      <c r="L175" s="32"/>
      <c r="M175" s="33" t="s">
        <v>292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293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291</v>
      </c>
      <c r="L176" s="32"/>
      <c r="M176" s="33" t="s">
        <v>292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296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291</v>
      </c>
      <c r="L177" s="32"/>
      <c r="M177" s="33" t="s">
        <v>292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5.6000000000000014</v>
      </c>
      <c r="Y177" s="542">
        <f>IFERROR(IF(X177="",0,CEILING((X177/$H177),1)*$H177),"")</f>
        <v>6.3</v>
      </c>
      <c r="Z177" s="36">
        <f>IFERROR(IF(Y177=0,"",ROUNDUP(Y177/H177,0)*0.0059),"")</f>
        <v>2.9499999999999998E-2</v>
      </c>
      <c r="AA177" s="56"/>
      <c r="AB177" s="57"/>
      <c r="AC177" s="217" t="s">
        <v>296</v>
      </c>
      <c r="AG177" s="64"/>
      <c r="AJ177" s="68"/>
      <c r="AK177" s="68">
        <v>0</v>
      </c>
      <c r="BB177" s="218" t="s">
        <v>1</v>
      </c>
      <c r="BM177" s="64">
        <f>IFERROR(X177*I177/H177,"0")</f>
        <v>6.4444444444444455</v>
      </c>
      <c r="BN177" s="64">
        <f>IFERROR(Y177*I177/H177,"0")</f>
        <v>7.25</v>
      </c>
      <c r="BO177" s="64">
        <f>IFERROR(1/J177*(X177/H177),"0")</f>
        <v>2.0576131687242802E-2</v>
      </c>
      <c r="BP177" s="64">
        <f>IFERROR(1/J177*(Y177/H177),"0")</f>
        <v>2.3148148148148147E-2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4.4444444444444455</v>
      </c>
      <c r="Y178" s="543">
        <f>IFERROR(Y175/H175,"0")+IFERROR(Y176/H176,"0")+IFERROR(Y177/H177,"0")</f>
        <v>5</v>
      </c>
      <c r="Z178" s="543">
        <f>IFERROR(IF(Z175="",0,Z175),"0")+IFERROR(IF(Z176="",0,Z176),"0")+IFERROR(IF(Z177="",0,Z177),"0")</f>
        <v>2.9499999999999998E-2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5.6000000000000014</v>
      </c>
      <c r="Y179" s="543">
        <f>IFERROR(SUM(Y175:Y177),"0")</f>
        <v>6.3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299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300</v>
      </c>
      <c r="B181" s="54" t="s">
        <v>301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291</v>
      </c>
      <c r="L181" s="32"/>
      <c r="M181" s="33" t="s">
        <v>292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296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302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303</v>
      </c>
      <c r="B186" s="54" t="s">
        <v>304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305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306</v>
      </c>
      <c r="B187" s="54" t="s">
        <v>307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305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308</v>
      </c>
      <c r="B191" s="54" t="s">
        <v>309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310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311</v>
      </c>
      <c r="B192" s="54" t="s">
        <v>312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310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313</v>
      </c>
      <c r="B196" s="54" t="s">
        <v>314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100</v>
      </c>
      <c r="Y196" s="542">
        <f t="shared" ref="Y196:Y203" si="10">IFERROR(IF(X196="",0,CEILING((X196/$H196),1)*$H196),"")</f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315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103.5185185185185</v>
      </c>
      <c r="BN196" s="64">
        <f t="shared" ref="BN196:BN203" si="12">IFERROR(Y196*I196/H196,"0")</f>
        <v>106.21</v>
      </c>
      <c r="BO196" s="64">
        <f t="shared" ref="BO196:BO203" si="13">IFERROR(1/J196*(X196/H196),"0")</f>
        <v>0.14029180695847362</v>
      </c>
      <c r="BP196" s="64">
        <f t="shared" ref="BP196:BP203" si="14">IFERROR(1/J196*(Y196/H196),"0")</f>
        <v>0.14393939393939395</v>
      </c>
    </row>
    <row r="197" spans="1:68" ht="27" customHeight="1" x14ac:dyDescent="0.25">
      <c r="A197" s="54" t="s">
        <v>316</v>
      </c>
      <c r="B197" s="54" t="s">
        <v>317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60</v>
      </c>
      <c r="Y197" s="542">
        <f t="shared" si="10"/>
        <v>64.800000000000011</v>
      </c>
      <c r="Z197" s="36">
        <f>IFERROR(IF(Y197=0,"",ROUNDUP(Y197/H197,0)*0.00902),"")</f>
        <v>0.10824</v>
      </c>
      <c r="AA197" s="56"/>
      <c r="AB197" s="57"/>
      <c r="AC197" s="231" t="s">
        <v>318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62.1111111111111</v>
      </c>
      <c r="BN197" s="64">
        <f t="shared" si="12"/>
        <v>67.08</v>
      </c>
      <c r="BO197" s="64">
        <f t="shared" si="13"/>
        <v>8.4175084175084181E-2</v>
      </c>
      <c r="BP197" s="64">
        <f t="shared" si="14"/>
        <v>9.0909090909090925E-2</v>
      </c>
    </row>
    <row r="198" spans="1:68" ht="27" customHeight="1" x14ac:dyDescent="0.25">
      <c r="A198" s="54" t="s">
        <v>319</v>
      </c>
      <c r="B198" s="54" t="s">
        <v>320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550</v>
      </c>
      <c r="Y198" s="542">
        <f t="shared" si="10"/>
        <v>550.80000000000007</v>
      </c>
      <c r="Z198" s="36">
        <f>IFERROR(IF(Y198=0,"",ROUNDUP(Y198/H198,0)*0.00902),"")</f>
        <v>0.92003999999999997</v>
      </c>
      <c r="AA198" s="56"/>
      <c r="AB198" s="57"/>
      <c r="AC198" s="233" t="s">
        <v>321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569.35185185185185</v>
      </c>
      <c r="BN198" s="64">
        <f t="shared" si="12"/>
        <v>570.17999999999995</v>
      </c>
      <c r="BO198" s="64">
        <f t="shared" si="13"/>
        <v>0.77160493827160492</v>
      </c>
      <c r="BP198" s="64">
        <f t="shared" si="14"/>
        <v>0.77272727272727271</v>
      </c>
    </row>
    <row r="199" spans="1:68" ht="27" customHeight="1" x14ac:dyDescent="0.25">
      <c r="A199" s="54" t="s">
        <v>322</v>
      </c>
      <c r="B199" s="54" t="s">
        <v>323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197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70</v>
      </c>
      <c r="Y199" s="542">
        <f t="shared" si="10"/>
        <v>70.2</v>
      </c>
      <c r="Z199" s="36">
        <f>IFERROR(IF(Y199=0,"",ROUNDUP(Y199/H199,0)*0.00902),"")</f>
        <v>0.11726</v>
      </c>
      <c r="AA199" s="56"/>
      <c r="AB199" s="57"/>
      <c r="AC199" s="235" t="s">
        <v>324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72.462962962962962</v>
      </c>
      <c r="BN199" s="64">
        <f t="shared" si="12"/>
        <v>72.67</v>
      </c>
      <c r="BO199" s="64">
        <f t="shared" si="13"/>
        <v>9.8204264870931535E-2</v>
      </c>
      <c r="BP199" s="64">
        <f t="shared" si="14"/>
        <v>9.8484848484848481E-2</v>
      </c>
    </row>
    <row r="200" spans="1:68" ht="27" customHeight="1" x14ac:dyDescent="0.25">
      <c r="A200" s="54" t="s">
        <v>325</v>
      </c>
      <c r="B200" s="54" t="s">
        <v>326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90</v>
      </c>
      <c r="Y200" s="542">
        <f t="shared" si="10"/>
        <v>90</v>
      </c>
      <c r="Z200" s="36">
        <f>IFERROR(IF(Y200=0,"",ROUNDUP(Y200/H200,0)*0.00502),"")</f>
        <v>0.251</v>
      </c>
      <c r="AA200" s="56"/>
      <c r="AB200" s="57"/>
      <c r="AC200" s="237" t="s">
        <v>315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96.499999999999986</v>
      </c>
      <c r="BN200" s="64">
        <f t="shared" si="12"/>
        <v>96.499999999999986</v>
      </c>
      <c r="BO200" s="64">
        <f t="shared" si="13"/>
        <v>0.21367521367521369</v>
      </c>
      <c r="BP200" s="64">
        <f t="shared" si="14"/>
        <v>0.21367521367521369</v>
      </c>
    </row>
    <row r="201" spans="1:68" ht="27" customHeight="1" x14ac:dyDescent="0.25">
      <c r="A201" s="54" t="s">
        <v>327</v>
      </c>
      <c r="B201" s="54" t="s">
        <v>328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30</v>
      </c>
      <c r="Y201" s="542">
        <f t="shared" si="10"/>
        <v>30.6</v>
      </c>
      <c r="Z201" s="36">
        <f>IFERROR(IF(Y201=0,"",ROUNDUP(Y201/H201,0)*0.00502),"")</f>
        <v>8.5339999999999999E-2</v>
      </c>
      <c r="AA201" s="56"/>
      <c r="AB201" s="57"/>
      <c r="AC201" s="239" t="s">
        <v>318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31.666666666666664</v>
      </c>
      <c r="BN201" s="64">
        <f t="shared" si="12"/>
        <v>32.299999999999997</v>
      </c>
      <c r="BO201" s="64">
        <f t="shared" si="13"/>
        <v>7.122507122507124E-2</v>
      </c>
      <c r="BP201" s="64">
        <f t="shared" si="14"/>
        <v>7.2649572649572655E-2</v>
      </c>
    </row>
    <row r="202" spans="1:68" ht="27" customHeight="1" x14ac:dyDescent="0.25">
      <c r="A202" s="54" t="s">
        <v>329</v>
      </c>
      <c r="B202" s="54" t="s">
        <v>330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60</v>
      </c>
      <c r="Y202" s="542">
        <f t="shared" si="10"/>
        <v>61.2</v>
      </c>
      <c r="Z202" s="36">
        <f>IFERROR(IF(Y202=0,"",ROUNDUP(Y202/H202,0)*0.00502),"")</f>
        <v>0.17068</v>
      </c>
      <c r="AA202" s="56"/>
      <c r="AB202" s="57"/>
      <c r="AC202" s="241" t="s">
        <v>321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63.333333333333329</v>
      </c>
      <c r="BN202" s="64">
        <f t="shared" si="12"/>
        <v>64.599999999999994</v>
      </c>
      <c r="BO202" s="64">
        <f t="shared" si="13"/>
        <v>0.14245014245014248</v>
      </c>
      <c r="BP202" s="64">
        <f t="shared" si="14"/>
        <v>0.14529914529914531</v>
      </c>
    </row>
    <row r="203" spans="1:68" ht="27" customHeight="1" x14ac:dyDescent="0.25">
      <c r="A203" s="54" t="s">
        <v>331</v>
      </c>
      <c r="B203" s="54" t="s">
        <v>332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276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42</v>
      </c>
      <c r="Y203" s="542">
        <f t="shared" si="10"/>
        <v>43.2</v>
      </c>
      <c r="Z203" s="36">
        <f>IFERROR(IF(Y203=0,"",ROUNDUP(Y203/H203,0)*0.00502),"")</f>
        <v>0.12048</v>
      </c>
      <c r="AA203" s="56"/>
      <c r="AB203" s="57"/>
      <c r="AC203" s="243" t="s">
        <v>324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44.333333333333329</v>
      </c>
      <c r="BN203" s="64">
        <f t="shared" si="12"/>
        <v>45.6</v>
      </c>
      <c r="BO203" s="64">
        <f t="shared" si="13"/>
        <v>9.9715099715099717E-2</v>
      </c>
      <c r="BP203" s="64">
        <f t="shared" si="14"/>
        <v>0.10256410256410257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267.77777777777777</v>
      </c>
      <c r="Y204" s="543">
        <f>IFERROR(Y196/H196,"0")+IFERROR(Y197/H197,"0")+IFERROR(Y198/H198,"0")+IFERROR(Y199/H199,"0")+IFERROR(Y200/H200,"0")+IFERROR(Y201/H201,"0")+IFERROR(Y202/H202,"0")+IFERROR(Y203/H203,"0")</f>
        <v>271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1.9444199999999998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1002</v>
      </c>
      <c r="Y205" s="543">
        <f>IFERROR(SUM(Y196:Y203),"0")</f>
        <v>1013.4000000000002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333</v>
      </c>
      <c r="B207" s="54" t="s">
        <v>334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335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336</v>
      </c>
      <c r="B208" s="54" t="s">
        <v>337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338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339</v>
      </c>
      <c r="B209" s="54" t="s">
        <v>340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100</v>
      </c>
      <c r="Y209" s="542">
        <f t="shared" si="15"/>
        <v>104.39999999999999</v>
      </c>
      <c r="Z209" s="36">
        <f>IFERROR(IF(Y209=0,"",ROUNDUP(Y209/H209,0)*0.01898),"")</f>
        <v>0.22776000000000002</v>
      </c>
      <c r="AA209" s="56"/>
      <c r="AB209" s="57"/>
      <c r="AC209" s="249" t="s">
        <v>341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105.67816091954025</v>
      </c>
      <c r="BN209" s="64">
        <f t="shared" si="17"/>
        <v>110.32800000000002</v>
      </c>
      <c r="BO209" s="64">
        <f t="shared" si="18"/>
        <v>0.1795977011494253</v>
      </c>
      <c r="BP209" s="64">
        <f t="shared" si="19"/>
        <v>0.1875</v>
      </c>
    </row>
    <row r="210" spans="1:68" ht="27" customHeight="1" x14ac:dyDescent="0.25">
      <c r="A210" s="54" t="s">
        <v>342</v>
      </c>
      <c r="B210" s="54" t="s">
        <v>343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240</v>
      </c>
      <c r="Y210" s="542">
        <f t="shared" si="15"/>
        <v>240</v>
      </c>
      <c r="Z210" s="36">
        <f t="shared" ref="Z210:Z215" si="20">IFERROR(IF(Y210=0,"",ROUNDUP(Y210/H210,0)*0.00651),"")</f>
        <v>0.65100000000000002</v>
      </c>
      <c r="AA210" s="56"/>
      <c r="AB210" s="57"/>
      <c r="AC210" s="251" t="s">
        <v>335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267</v>
      </c>
      <c r="BN210" s="64">
        <f t="shared" si="17"/>
        <v>267</v>
      </c>
      <c r="BO210" s="64">
        <f t="shared" si="18"/>
        <v>0.5494505494505495</v>
      </c>
      <c r="BP210" s="64">
        <f t="shared" si="19"/>
        <v>0.5494505494505495</v>
      </c>
    </row>
    <row r="211" spans="1:68" ht="27" hidden="1" customHeight="1" x14ac:dyDescent="0.25">
      <c r="A211" s="54" t="s">
        <v>344</v>
      </c>
      <c r="B211" s="54" t="s">
        <v>345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346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200</v>
      </c>
      <c r="Y212" s="542">
        <f t="shared" si="15"/>
        <v>201.6</v>
      </c>
      <c r="Z212" s="36">
        <f t="shared" si="20"/>
        <v>0.54683999999999999</v>
      </c>
      <c r="AA212" s="56"/>
      <c r="AB212" s="57"/>
      <c r="AC212" s="255" t="s">
        <v>341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221</v>
      </c>
      <c r="BN212" s="64">
        <f t="shared" si="17"/>
        <v>222.768</v>
      </c>
      <c r="BO212" s="64">
        <f t="shared" si="18"/>
        <v>0.45787545787545797</v>
      </c>
      <c r="BP212" s="64">
        <f t="shared" si="19"/>
        <v>0.46153846153846156</v>
      </c>
    </row>
    <row r="213" spans="1:68" ht="27" hidden="1" customHeight="1" x14ac:dyDescent="0.25">
      <c r="A213" s="54" t="s">
        <v>349</v>
      </c>
      <c r="B213" s="54" t="s">
        <v>350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341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351</v>
      </c>
      <c r="B214" s="54" t="s">
        <v>352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214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56</v>
      </c>
      <c r="Y214" s="542">
        <f t="shared" si="15"/>
        <v>57.599999999999994</v>
      </c>
      <c r="Z214" s="36">
        <f t="shared" si="20"/>
        <v>0.15623999999999999</v>
      </c>
      <c r="AA214" s="56"/>
      <c r="AB214" s="57"/>
      <c r="AC214" s="259" t="s">
        <v>353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61.88</v>
      </c>
      <c r="BN214" s="64">
        <f t="shared" si="17"/>
        <v>63.648000000000003</v>
      </c>
      <c r="BO214" s="64">
        <f t="shared" si="18"/>
        <v>0.12820512820512822</v>
      </c>
      <c r="BP214" s="64">
        <f t="shared" si="19"/>
        <v>0.13186813186813187</v>
      </c>
    </row>
    <row r="215" spans="1:68" ht="27" customHeight="1" x14ac:dyDescent="0.25">
      <c r="A215" s="54" t="s">
        <v>354</v>
      </c>
      <c r="B215" s="54" t="s">
        <v>355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214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200</v>
      </c>
      <c r="Y215" s="542">
        <f t="shared" si="15"/>
        <v>201.6</v>
      </c>
      <c r="Z215" s="36">
        <f t="shared" si="20"/>
        <v>0.54683999999999999</v>
      </c>
      <c r="AA215" s="56"/>
      <c r="AB215" s="57"/>
      <c r="AC215" s="261" t="s">
        <v>338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221.50000000000003</v>
      </c>
      <c r="BN215" s="64">
        <f t="shared" si="17"/>
        <v>223.27200000000002</v>
      </c>
      <c r="BO215" s="64">
        <f t="shared" si="18"/>
        <v>0.45787545787545797</v>
      </c>
      <c r="BP215" s="64">
        <f t="shared" si="19"/>
        <v>0.46153846153846156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301.49425287356325</v>
      </c>
      <c r="Y216" s="543">
        <f>IFERROR(Y207/H207,"0")+IFERROR(Y208/H208,"0")+IFERROR(Y209/H209,"0")+IFERROR(Y210/H210,"0")+IFERROR(Y211/H211,"0")+IFERROR(Y212/H212,"0")+IFERROR(Y213/H213,"0")+IFERROR(Y214/H214,"0")+IFERROR(Y215/H215,"0")</f>
        <v>304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2.1286800000000001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796</v>
      </c>
      <c r="Y217" s="543">
        <f>IFERROR(SUM(Y207:Y215),"0")</f>
        <v>805.2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356</v>
      </c>
      <c r="B219" s="54" t="s">
        <v>357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214</v>
      </c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40</v>
      </c>
      <c r="Y219" s="542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358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ht="37.5" customHeight="1" x14ac:dyDescent="0.25">
      <c r="A220" s="54" t="s">
        <v>359</v>
      </c>
      <c r="B220" s="54" t="s">
        <v>360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214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20</v>
      </c>
      <c r="Y220" s="542">
        <f>IFERROR(IF(X220="",0,CEILING((X220/$H220),1)*$H220),"")</f>
        <v>21.599999999999998</v>
      </c>
      <c r="Z220" s="36">
        <f>IFERROR(IF(Y220=0,"",ROUNDUP(Y220/H220,0)*0.00651),"")</f>
        <v>5.8590000000000003E-2</v>
      </c>
      <c r="AA220" s="56"/>
      <c r="AB220" s="57"/>
      <c r="AC220" s="265" t="s">
        <v>361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22.100000000000005</v>
      </c>
      <c r="BN220" s="64">
        <f>IFERROR(Y220*I220/H220,"0")</f>
        <v>23.868000000000002</v>
      </c>
      <c r="BO220" s="64">
        <f>IFERROR(1/J220*(X220/H220),"0")</f>
        <v>4.5787545787545791E-2</v>
      </c>
      <c r="BP220" s="64">
        <f>IFERROR(1/J220*(Y220/H220),"0")</f>
        <v>4.9450549450549455E-2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25</v>
      </c>
      <c r="Y221" s="543">
        <f>IFERROR(Y219/H219,"0")+IFERROR(Y220/H220,"0")</f>
        <v>26</v>
      </c>
      <c r="Z221" s="543">
        <f>IFERROR(IF(Z219="",0,Z219),"0")+IFERROR(IF(Z220="",0,Z220),"0")</f>
        <v>0.16926000000000002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60</v>
      </c>
      <c r="Y222" s="543">
        <f>IFERROR(SUM(Y219:Y220),"0")</f>
        <v>62.399999999999991</v>
      </c>
      <c r="Z222" s="37"/>
      <c r="AA222" s="544"/>
      <c r="AB222" s="544"/>
      <c r="AC222" s="544"/>
    </row>
    <row r="223" spans="1:68" ht="16.5" hidden="1" customHeight="1" x14ac:dyDescent="0.25">
      <c r="A223" s="566" t="s">
        <v>362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363</v>
      </c>
      <c r="B225" s="54" t="s">
        <v>364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30</v>
      </c>
      <c r="Y225" s="542">
        <f t="shared" ref="Y225:Y234" si="21">IFERROR(IF(X225="",0,CEILING((X225/$H225),1)*$H225),"")</f>
        <v>34.799999999999997</v>
      </c>
      <c r="Z225" s="36">
        <f>IFERROR(IF(Y225=0,"",ROUNDUP(Y225/H225,0)*0.01898),"")</f>
        <v>5.6940000000000004E-2</v>
      </c>
      <c r="AA225" s="56"/>
      <c r="AB225" s="57"/>
      <c r="AC225" s="267" t="s">
        <v>365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31.06034482758621</v>
      </c>
      <c r="BN225" s="64">
        <f t="shared" ref="BN225:BN234" si="23">IFERROR(Y225*I225/H225,"0")</f>
        <v>36.03</v>
      </c>
      <c r="BO225" s="64">
        <f t="shared" ref="BO225:BO234" si="24">IFERROR(1/J225*(X225/H225),"0")</f>
        <v>4.0409482758620691E-2</v>
      </c>
      <c r="BP225" s="64">
        <f t="shared" ref="BP225:BP234" si="25">IFERROR(1/J225*(Y225/H225),"0")</f>
        <v>4.6875E-2</v>
      </c>
    </row>
    <row r="226" spans="1:68" ht="27" hidden="1" customHeight="1" x14ac:dyDescent="0.25">
      <c r="A226" s="54" t="s">
        <v>366</v>
      </c>
      <c r="B226" s="54" t="s">
        <v>367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368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369</v>
      </c>
      <c r="B227" s="54" t="s">
        <v>370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20</v>
      </c>
      <c r="Y227" s="542">
        <f t="shared" si="21"/>
        <v>23.2</v>
      </c>
      <c r="Z227" s="36">
        <f>IFERROR(IF(Y227=0,"",ROUNDUP(Y227/H227,0)*0.01898),"")</f>
        <v>3.7960000000000001E-2</v>
      </c>
      <c r="AA227" s="56"/>
      <c r="AB227" s="57"/>
      <c r="AC227" s="271" t="s">
        <v>371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20.706896551724139</v>
      </c>
      <c r="BN227" s="64">
        <f t="shared" si="23"/>
        <v>24.02</v>
      </c>
      <c r="BO227" s="64">
        <f t="shared" si="24"/>
        <v>2.6939655172413795E-2</v>
      </c>
      <c r="BP227" s="64">
        <f t="shared" si="25"/>
        <v>3.125E-2</v>
      </c>
    </row>
    <row r="228" spans="1:68" ht="27" customHeight="1" x14ac:dyDescent="0.25">
      <c r="A228" s="54" t="s">
        <v>372</v>
      </c>
      <c r="B228" s="54" t="s">
        <v>373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 t="s">
        <v>197</v>
      </c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72</v>
      </c>
      <c r="Y228" s="542">
        <f t="shared" si="21"/>
        <v>72</v>
      </c>
      <c r="Z228" s="36">
        <f>IFERROR(IF(Y228=0,"",ROUNDUP(Y228/H228,0)*0.00902),"")</f>
        <v>0.16236</v>
      </c>
      <c r="AA228" s="56"/>
      <c r="AB228" s="57"/>
      <c r="AC228" s="273" t="s">
        <v>365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75.42</v>
      </c>
      <c r="BN228" s="64">
        <f t="shared" si="23"/>
        <v>75.42</v>
      </c>
      <c r="BO228" s="64">
        <f t="shared" si="24"/>
        <v>0.13636363636363635</v>
      </c>
      <c r="BP228" s="64">
        <f t="shared" si="25"/>
        <v>0.13636363636363635</v>
      </c>
    </row>
    <row r="229" spans="1:68" ht="27" hidden="1" customHeight="1" x14ac:dyDescent="0.25">
      <c r="A229" s="54" t="s">
        <v>372</v>
      </c>
      <c r="B229" s="54" t="s">
        <v>374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375</v>
      </c>
      <c r="B230" s="54" t="s">
        <v>376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377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378</v>
      </c>
      <c r="B231" s="54" t="s">
        <v>379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368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380</v>
      </c>
      <c r="B232" s="54" t="s">
        <v>381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382</v>
      </c>
      <c r="B233" s="54" t="s">
        <v>383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197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44</v>
      </c>
      <c r="Y233" s="542">
        <f t="shared" si="21"/>
        <v>44</v>
      </c>
      <c r="Z233" s="36">
        <f>IFERROR(IF(Y233=0,"",ROUNDUP(Y233/H233,0)*0.00902),"")</f>
        <v>9.9220000000000003E-2</v>
      </c>
      <c r="AA233" s="56"/>
      <c r="AB233" s="57"/>
      <c r="AC233" s="283" t="s">
        <v>371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46.09</v>
      </c>
      <c r="BN233" s="64">
        <f t="shared" si="23"/>
        <v>46.09</v>
      </c>
      <c r="BO233" s="64">
        <f t="shared" si="24"/>
        <v>8.3333333333333343E-2</v>
      </c>
      <c r="BP233" s="64">
        <f t="shared" si="25"/>
        <v>8.3333333333333343E-2</v>
      </c>
    </row>
    <row r="234" spans="1:68" ht="27" hidden="1" customHeight="1" x14ac:dyDescent="0.25">
      <c r="A234" s="54" t="s">
        <v>382</v>
      </c>
      <c r="B234" s="54" t="s">
        <v>384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371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33.310344827586206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34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0.35648000000000002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166</v>
      </c>
      <c r="Y236" s="543">
        <f>IFERROR(SUM(Y225:Y234),"0")</f>
        <v>174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385</v>
      </c>
      <c r="B238" s="54" t="s">
        <v>386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387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388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389</v>
      </c>
      <c r="B242" s="54" t="s">
        <v>390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291</v>
      </c>
      <c r="L242" s="32"/>
      <c r="M242" s="33" t="s">
        <v>292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8.4</v>
      </c>
      <c r="Y242" s="542">
        <f>IFERROR(IF(X242="",0,CEILING((X242/$H242),1)*$H242),"")</f>
        <v>9</v>
      </c>
      <c r="Z242" s="36">
        <f>IFERROR(IF(Y242=0,"",ROUNDUP(Y242/H242,0)*0.0059),"")</f>
        <v>2.9499999999999998E-2</v>
      </c>
      <c r="AA242" s="56"/>
      <c r="AB242" s="57"/>
      <c r="AC242" s="289" t="s">
        <v>391</v>
      </c>
      <c r="AG242" s="64"/>
      <c r="AJ242" s="68"/>
      <c r="AK242" s="68">
        <v>0</v>
      </c>
      <c r="BB242" s="290" t="s">
        <v>1</v>
      </c>
      <c r="BM242" s="64">
        <f>IFERROR(X242*I242/H242,"0")</f>
        <v>9.2166666666666668</v>
      </c>
      <c r="BN242" s="64">
        <f>IFERROR(Y242*I242/H242,"0")</f>
        <v>9.8750000000000018</v>
      </c>
      <c r="BO242" s="64">
        <f>IFERROR(1/J242*(X242/H242),"0")</f>
        <v>2.1604938271604937E-2</v>
      </c>
      <c r="BP242" s="64">
        <f>IFERROR(1/J242*(Y242/H242),"0")</f>
        <v>2.3148148148148147E-2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4.666666666666667</v>
      </c>
      <c r="Y243" s="543">
        <f>IFERROR(Y242/H242,"0")</f>
        <v>5</v>
      </c>
      <c r="Z243" s="543">
        <f>IFERROR(IF(Z242="",0,Z242),"0")</f>
        <v>2.9499999999999998E-2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8.4</v>
      </c>
      <c r="Y244" s="543">
        <f>IFERROR(SUM(Y242:Y242),"0")</f>
        <v>9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392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393</v>
      </c>
      <c r="B246" s="54" t="s">
        <v>394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291</v>
      </c>
      <c r="L246" s="32"/>
      <c r="M246" s="33" t="s">
        <v>292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395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396</v>
      </c>
      <c r="B247" s="54" t="s">
        <v>397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291</v>
      </c>
      <c r="L247" s="32"/>
      <c r="M247" s="33" t="s">
        <v>292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4.9000000000000004</v>
      </c>
      <c r="Y247" s="542">
        <f>IFERROR(IF(X247="",0,CEILING((X247/$H247),1)*$H247),"")</f>
        <v>5.4</v>
      </c>
      <c r="Z247" s="36">
        <f>IFERROR(IF(Y247=0,"",ROUNDUP(Y247/H247,0)*0.0059),"")</f>
        <v>1.77E-2</v>
      </c>
      <c r="AA247" s="56"/>
      <c r="AB247" s="57"/>
      <c r="AC247" s="293" t="s">
        <v>395</v>
      </c>
      <c r="AG247" s="64"/>
      <c r="AJ247" s="68"/>
      <c r="AK247" s="68">
        <v>0</v>
      </c>
      <c r="BB247" s="294" t="s">
        <v>1</v>
      </c>
      <c r="BM247" s="64">
        <f>IFERROR(X247*I247/H247,"0")</f>
        <v>5.37638888888889</v>
      </c>
      <c r="BN247" s="64">
        <f>IFERROR(Y247*I247/H247,"0")</f>
        <v>5.9250000000000007</v>
      </c>
      <c r="BO247" s="64">
        <f>IFERROR(1/J247*(X247/H247),"0")</f>
        <v>1.2602880658436214E-2</v>
      </c>
      <c r="BP247" s="64">
        <f>IFERROR(1/J247*(Y247/H247),"0")</f>
        <v>1.3888888888888888E-2</v>
      </c>
    </row>
    <row r="248" spans="1:68" ht="27" customHeight="1" x14ac:dyDescent="0.25">
      <c r="A248" s="54" t="s">
        <v>398</v>
      </c>
      <c r="B248" s="54" t="s">
        <v>399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291</v>
      </c>
      <c r="L248" s="32"/>
      <c r="M248" s="33" t="s">
        <v>292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5.5</v>
      </c>
      <c r="Y248" s="542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395</v>
      </c>
      <c r="AG248" s="64"/>
      <c r="AJ248" s="68"/>
      <c r="AK248" s="68">
        <v>0</v>
      </c>
      <c r="BB248" s="296" t="s">
        <v>1</v>
      </c>
      <c r="BM248" s="64">
        <f>IFERROR(X248*I248/H248,"0")</f>
        <v>6.6611111111111114</v>
      </c>
      <c r="BN248" s="64">
        <f>IFERROR(Y248*I248/H248,"0")</f>
        <v>7.63</v>
      </c>
      <c r="BO248" s="64">
        <f>IFERROR(1/J248*(X248/H248),"0")</f>
        <v>2.8292181069958844E-2</v>
      </c>
      <c r="BP248" s="64">
        <f>IFERROR(1/J248*(Y248/H248),"0")</f>
        <v>3.2407407407407406E-2</v>
      </c>
    </row>
    <row r="249" spans="1:68" ht="27" hidden="1" customHeight="1" x14ac:dyDescent="0.25">
      <c r="A249" s="54" t="s">
        <v>400</v>
      </c>
      <c r="B249" s="54" t="s">
        <v>401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291</v>
      </c>
      <c r="L249" s="32"/>
      <c r="M249" s="33" t="s">
        <v>292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395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402</v>
      </c>
      <c r="B250" s="54" t="s">
        <v>403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291</v>
      </c>
      <c r="L250" s="32"/>
      <c r="M250" s="33" t="s">
        <v>292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395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8.8333333333333321</v>
      </c>
      <c r="Y251" s="543">
        <f>IFERROR(Y246/H246,"0")+IFERROR(Y247/H247,"0")+IFERROR(Y248/H248,"0")+IFERROR(Y249/H249,"0")+IFERROR(Y250/H250,"0")</f>
        <v>10</v>
      </c>
      <c r="Z251" s="543">
        <f>IFERROR(IF(Z246="",0,Z246),"0")+IFERROR(IF(Z247="",0,Z247),"0")+IFERROR(IF(Z248="",0,Z248),"0")+IFERROR(IF(Z249="",0,Z249),"0")+IFERROR(IF(Z250="",0,Z250),"0")</f>
        <v>5.8999999999999997E-2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10.4</v>
      </c>
      <c r="Y252" s="543">
        <f>IFERROR(SUM(Y246:Y250),"0")</f>
        <v>11.7</v>
      </c>
      <c r="Z252" s="37"/>
      <c r="AA252" s="544"/>
      <c r="AB252" s="544"/>
      <c r="AC252" s="544"/>
    </row>
    <row r="253" spans="1:68" ht="16.5" hidden="1" customHeight="1" x14ac:dyDescent="0.25">
      <c r="A253" s="566" t="s">
        <v>404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405</v>
      </c>
      <c r="B255" s="54" t="s">
        <v>406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407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408</v>
      </c>
      <c r="B256" s="54" t="s">
        <v>409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410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411</v>
      </c>
      <c r="B257" s="54" t="s">
        <v>412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413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414</v>
      </c>
      <c r="B258" s="54" t="s">
        <v>415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416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417</v>
      </c>
      <c r="B259" s="54" t="s">
        <v>418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419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420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421</v>
      </c>
      <c r="B264" s="54" t="s">
        <v>422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423</v>
      </c>
      <c r="B265" s="54" t="s">
        <v>424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426</v>
      </c>
      <c r="B266" s="54" t="s">
        <v>427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371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428</v>
      </c>
      <c r="B267" s="54" t="s">
        <v>429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430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431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432</v>
      </c>
      <c r="B272" s="54" t="s">
        <v>433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434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435</v>
      </c>
      <c r="B273" s="54" t="s">
        <v>436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214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40</v>
      </c>
      <c r="Y273" s="542">
        <f>IFERROR(IF(X273="",0,CEILING((X273/$H273),1)*$H273),"")</f>
        <v>40.799999999999997</v>
      </c>
      <c r="Z273" s="36">
        <f>IFERROR(IF(Y273=0,"",ROUNDUP(Y273/H273,0)*0.00651),"")</f>
        <v>0.11067</v>
      </c>
      <c r="AA273" s="56"/>
      <c r="AB273" s="57"/>
      <c r="AC273" s="321" t="s">
        <v>437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44.20000000000001</v>
      </c>
      <c r="BN273" s="64">
        <f>IFERROR(Y273*I273/H273,"0")</f>
        <v>45.084000000000003</v>
      </c>
      <c r="BO273" s="64">
        <f>IFERROR(1/J273*(X273/H273),"0")</f>
        <v>9.1575091575091583E-2</v>
      </c>
      <c r="BP273" s="64">
        <f>IFERROR(1/J273*(Y273/H273),"0")</f>
        <v>9.3406593406593408E-2</v>
      </c>
    </row>
    <row r="274" spans="1:68" ht="27" customHeight="1" x14ac:dyDescent="0.25">
      <c r="A274" s="54" t="s">
        <v>438</v>
      </c>
      <c r="B274" s="54" t="s">
        <v>439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120</v>
      </c>
      <c r="Y274" s="542">
        <f>IFERROR(IF(X274="",0,CEILING((X274/$H274),1)*$H274),"")</f>
        <v>120</v>
      </c>
      <c r="Z274" s="36">
        <f>IFERROR(IF(Y274=0,"",ROUNDUP(Y274/H274,0)*0.00651),"")</f>
        <v>0.32550000000000001</v>
      </c>
      <c r="AA274" s="56"/>
      <c r="AB274" s="57"/>
      <c r="AC274" s="323" t="s">
        <v>434</v>
      </c>
      <c r="AG274" s="64"/>
      <c r="AJ274" s="68"/>
      <c r="AK274" s="68">
        <v>0</v>
      </c>
      <c r="BB274" s="324" t="s">
        <v>1</v>
      </c>
      <c r="BM274" s="64">
        <f>IFERROR(X274*I274/H274,"0")</f>
        <v>129.00000000000003</v>
      </c>
      <c r="BN274" s="64">
        <f>IFERROR(Y274*I274/H274,"0")</f>
        <v>129.00000000000003</v>
      </c>
      <c r="BO274" s="64">
        <f>IFERROR(1/J274*(X274/H274),"0")</f>
        <v>0.27472527472527475</v>
      </c>
      <c r="BP274" s="64">
        <f>IFERROR(1/J274*(Y274/H274),"0")</f>
        <v>0.27472527472527475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66.666666666666671</v>
      </c>
      <c r="Y275" s="543">
        <f>IFERROR(Y272/H272,"0")+IFERROR(Y273/H273,"0")+IFERROR(Y274/H274,"0")</f>
        <v>67</v>
      </c>
      <c r="Z275" s="543">
        <f>IFERROR(IF(Z272="",0,Z272),"0")+IFERROR(IF(Z273="",0,Z273),"0")+IFERROR(IF(Z274="",0,Z274),"0")</f>
        <v>0.43617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160</v>
      </c>
      <c r="Y276" s="543">
        <f>IFERROR(SUM(Y272:Y274),"0")</f>
        <v>160.80000000000001</v>
      </c>
      <c r="Z276" s="37"/>
      <c r="AA276" s="544"/>
      <c r="AB276" s="544"/>
      <c r="AC276" s="544"/>
    </row>
    <row r="277" spans="1:68" ht="16.5" hidden="1" customHeight="1" x14ac:dyDescent="0.25">
      <c r="A277" s="566" t="s">
        <v>440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441</v>
      </c>
      <c r="B279" s="54" t="s">
        <v>442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443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444</v>
      </c>
      <c r="B280" s="54" t="s">
        <v>445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446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447</v>
      </c>
      <c r="B284" s="54" t="s">
        <v>448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449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254</v>
      </c>
      <c r="AC284" s="329" t="s">
        <v>450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451</v>
      </c>
      <c r="B285" s="54" t="s">
        <v>452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453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454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455</v>
      </c>
      <c r="B290" s="54" t="s">
        <v>456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458</v>
      </c>
      <c r="B291" s="54" t="s">
        <v>459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461</v>
      </c>
      <c r="B292" s="54" t="s">
        <v>462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463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464</v>
      </c>
      <c r="B293" s="54" t="s">
        <v>465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457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468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469</v>
      </c>
      <c r="B298" s="54" t="s">
        <v>470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472</v>
      </c>
      <c r="B299" s="54" t="s">
        <v>473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475</v>
      </c>
      <c r="B300" s="54" t="s">
        <v>476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478</v>
      </c>
      <c r="B301" s="54" t="s">
        <v>479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276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175</v>
      </c>
      <c r="Y302" s="542">
        <f t="shared" si="26"/>
        <v>176.4</v>
      </c>
      <c r="Z302" s="36">
        <f>IFERROR(IF(Y302=0,"",ROUNDUP(Y302/H302,0)*0.00502),"")</f>
        <v>0.42168</v>
      </c>
      <c r="AA302" s="56"/>
      <c r="AB302" s="57"/>
      <c r="AC302" s="351" t="s">
        <v>482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183.33333333333334</v>
      </c>
      <c r="BN302" s="64">
        <f t="shared" si="28"/>
        <v>184.8</v>
      </c>
      <c r="BO302" s="64">
        <f t="shared" si="29"/>
        <v>0.35612535612535612</v>
      </c>
      <c r="BP302" s="64">
        <f t="shared" si="30"/>
        <v>0.35897435897435903</v>
      </c>
    </row>
    <row r="303" spans="1:68" ht="27" hidden="1" customHeight="1" x14ac:dyDescent="0.25">
      <c r="A303" s="54" t="s">
        <v>483</v>
      </c>
      <c r="B303" s="54" t="s">
        <v>484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482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214</v>
      </c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18</v>
      </c>
      <c r="Y304" s="542">
        <f t="shared" si="26"/>
        <v>18</v>
      </c>
      <c r="Z304" s="36">
        <f>IFERROR(IF(Y304=0,"",ROUNDUP(Y304/H304,0)*0.00651),"")</f>
        <v>6.5100000000000005E-2</v>
      </c>
      <c r="AA304" s="56"/>
      <c r="AB304" s="57"/>
      <c r="AC304" s="355" t="s">
        <v>487</v>
      </c>
      <c r="AG304" s="64"/>
      <c r="AJ304" s="68" t="s">
        <v>106</v>
      </c>
      <c r="AK304" s="68">
        <v>25.2</v>
      </c>
      <c r="BB304" s="356" t="s">
        <v>1</v>
      </c>
      <c r="BM304" s="64">
        <f t="shared" si="27"/>
        <v>20.279999999999998</v>
      </c>
      <c r="BN304" s="64">
        <f t="shared" si="28"/>
        <v>20.279999999999998</v>
      </c>
      <c r="BO304" s="64">
        <f t="shared" si="29"/>
        <v>5.4945054945054951E-2</v>
      </c>
      <c r="BP304" s="64">
        <f t="shared" si="30"/>
        <v>5.4945054945054951E-2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93.333333333333329</v>
      </c>
      <c r="Y305" s="543">
        <f>IFERROR(Y298/H298,"0")+IFERROR(Y299/H299,"0")+IFERROR(Y300/H300,"0")+IFERROR(Y301/H301,"0")+IFERROR(Y302/H302,"0")+IFERROR(Y303/H303,"0")+IFERROR(Y304/H304,"0")</f>
        <v>94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0.48677999999999999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193</v>
      </c>
      <c r="Y306" s="543">
        <f>IFERROR(SUM(Y298:Y304),"0")</f>
        <v>194.4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488</v>
      </c>
      <c r="B308" s="54" t="s">
        <v>489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491</v>
      </c>
      <c r="B309" s="54" t="s">
        <v>492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494</v>
      </c>
      <c r="B310" s="54" t="s">
        <v>495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497</v>
      </c>
      <c r="B311" s="54" t="s">
        <v>498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500</v>
      </c>
      <c r="B315" s="54" t="s">
        <v>501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502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304.2</v>
      </c>
      <c r="Z316" s="36">
        <f>IFERROR(IF(Y316=0,"",ROUNDUP(Y316/H316,0)*0.01898),"")</f>
        <v>0.74021999999999999</v>
      </c>
      <c r="AA316" s="56"/>
      <c r="AB316" s="57"/>
      <c r="AC316" s="367" t="s">
        <v>505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319.00000000000006</v>
      </c>
      <c r="BN316" s="64">
        <f>IFERROR(Y316*I316/H316,"0")</f>
        <v>323.46600000000001</v>
      </c>
      <c r="BO316" s="64">
        <f>IFERROR(1/J316*(X316/H316),"0")</f>
        <v>0.60096153846153844</v>
      </c>
      <c r="BP316" s="64">
        <f>IFERROR(1/J316*(Y316/H316),"0")</f>
        <v>0.609375</v>
      </c>
    </row>
    <row r="317" spans="1:68" ht="16.5" customHeight="1" x14ac:dyDescent="0.25">
      <c r="A317" s="54" t="s">
        <v>506</v>
      </c>
      <c r="B317" s="54" t="s">
        <v>507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200</v>
      </c>
      <c r="Y317" s="542">
        <f>IFERROR(IF(X317="",0,CEILING((X317/$H317),1)*$H317),"")</f>
        <v>201.60000000000002</v>
      </c>
      <c r="Z317" s="36">
        <f>IFERROR(IF(Y317=0,"",ROUNDUP(Y317/H317,0)*0.01898),"")</f>
        <v>0.45552000000000004</v>
      </c>
      <c r="AA317" s="56"/>
      <c r="AB317" s="57"/>
      <c r="AC317" s="369" t="s">
        <v>508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211.76190476190476</v>
      </c>
      <c r="BN317" s="64">
        <f>IFERROR(Y317*I317/H317,"0")</f>
        <v>213.45600000000002</v>
      </c>
      <c r="BO317" s="64">
        <f>IFERROR(1/J317*(X317/H317),"0")</f>
        <v>0.37202380952380953</v>
      </c>
      <c r="BP317" s="64">
        <f>IFERROR(1/J317*(Y317/H317),"0")</f>
        <v>0.375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62.27106227106227</v>
      </c>
      <c r="Y318" s="543">
        <f>IFERROR(Y315/H315,"0")+IFERROR(Y316/H316,"0")+IFERROR(Y317/H317,"0")</f>
        <v>63</v>
      </c>
      <c r="Z318" s="543">
        <f>IFERROR(IF(Z315="",0,Z315),"0")+IFERROR(IF(Z316="",0,Z316),"0")+IFERROR(IF(Z317="",0,Z317),"0")</f>
        <v>1.19574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500</v>
      </c>
      <c r="Y319" s="543">
        <f>IFERROR(SUM(Y315:Y317),"0")</f>
        <v>505.8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509</v>
      </c>
      <c r="B321" s="54" t="s">
        <v>510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512</v>
      </c>
      <c r="B322" s="54" t="s">
        <v>513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514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515</v>
      </c>
      <c r="B323" s="54" t="s">
        <v>516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518</v>
      </c>
      <c r="B324" s="54" t="s">
        <v>519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214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520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521</v>
      </c>
      <c r="B328" s="54" t="s">
        <v>522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214</v>
      </c>
      <c r="M328" s="33" t="s">
        <v>523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525</v>
      </c>
      <c r="B329" s="54" t="s">
        <v>526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214</v>
      </c>
      <c r="M330" s="33" t="s">
        <v>523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529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530</v>
      </c>
      <c r="B335" s="54" t="s">
        <v>531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1330</v>
      </c>
      <c r="Y336" s="542">
        <f>IFERROR(IF(X336="",0,CEILING((X336/$H336),1)*$H336),"")</f>
        <v>1331.4</v>
      </c>
      <c r="Z336" s="36">
        <f>IFERROR(IF(Y336=0,"",ROUNDUP(Y336/H336,0)*0.00651),"")</f>
        <v>4.1273400000000002</v>
      </c>
      <c r="AA336" s="56"/>
      <c r="AB336" s="57"/>
      <c r="AC336" s="387" t="s">
        <v>535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1489.6</v>
      </c>
      <c r="BN336" s="64">
        <f>IFERROR(Y336*I336/H336,"0")</f>
        <v>1491.1679999999999</v>
      </c>
      <c r="BO336" s="64">
        <f>IFERROR(1/J336*(X336/H336),"0")</f>
        <v>3.4798534798534799</v>
      </c>
      <c r="BP336" s="64">
        <f>IFERROR(1/J336*(Y336/H336),"0")</f>
        <v>3.4835164835164836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280</v>
      </c>
      <c r="Y337" s="542">
        <f>IFERROR(IF(X337="",0,CEILING((X337/$H337),1)*$H337),"")</f>
        <v>281.40000000000003</v>
      </c>
      <c r="Z337" s="36">
        <f>IFERROR(IF(Y337=0,"",ROUNDUP(Y337/H337,0)*0.00651),"")</f>
        <v>0.87234</v>
      </c>
      <c r="AA337" s="56"/>
      <c r="AB337" s="57"/>
      <c r="AC337" s="389" t="s">
        <v>538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311.99999999999994</v>
      </c>
      <c r="BN337" s="64">
        <f>IFERROR(Y337*I337/H337,"0")</f>
        <v>313.56</v>
      </c>
      <c r="BO337" s="64">
        <f>IFERROR(1/J337*(X337/H337),"0")</f>
        <v>0.73260073260073255</v>
      </c>
      <c r="BP337" s="64">
        <f>IFERROR(1/J337*(Y337/H337),"0")</f>
        <v>0.73626373626373631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766.66666666666652</v>
      </c>
      <c r="Y338" s="543">
        <f>IFERROR(Y335/H335,"0")+IFERROR(Y336/H336,"0")+IFERROR(Y337/H337,"0")</f>
        <v>768</v>
      </c>
      <c r="Z338" s="543">
        <f>IFERROR(IF(Z335="",0,Z335),"0")+IFERROR(IF(Z336="",0,Z336),"0")+IFERROR(IF(Z337="",0,Z337),"0")</f>
        <v>4.9996800000000006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1610</v>
      </c>
      <c r="Y339" s="543">
        <f>IFERROR(SUM(Y335:Y337),"0")</f>
        <v>1612.8000000000002</v>
      </c>
      <c r="Z339" s="37"/>
      <c r="AA339" s="544"/>
      <c r="AB339" s="544"/>
      <c r="AC339" s="544"/>
    </row>
    <row r="340" spans="1:68" ht="27.75" hidden="1" customHeight="1" x14ac:dyDescent="0.2">
      <c r="A340" s="667" t="s">
        <v>539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540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541</v>
      </c>
      <c r="B343" s="54" t="s">
        <v>542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1400</v>
      </c>
      <c r="Y343" s="542">
        <f t="shared" ref="Y343:Y349" si="31">IFERROR(IF(X343="",0,CEILING((X343/$H343),1)*$H343),"")</f>
        <v>1410</v>
      </c>
      <c r="Z343" s="36">
        <f>IFERROR(IF(Y343=0,"",ROUNDUP(Y343/H343,0)*0.02175),"")</f>
        <v>2.0444999999999998</v>
      </c>
      <c r="AA343" s="56"/>
      <c r="AB343" s="57"/>
      <c r="AC343" s="391" t="s">
        <v>543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1443.8666666666666</v>
      </c>
      <c r="BN343" s="64">
        <f t="shared" ref="BN343:BN349" si="33">IFERROR(Y343*I343/H343,"0")</f>
        <v>1454.18</v>
      </c>
      <c r="BO343" s="64">
        <f t="shared" ref="BO343:BO349" si="34">IFERROR(1/J343*(X343/H343),"0")</f>
        <v>1.9444444444444442</v>
      </c>
      <c r="BP343" s="64">
        <f t="shared" ref="BP343:BP349" si="35">IFERROR(1/J343*(Y343/H343),"0")</f>
        <v>1.9583333333333333</v>
      </c>
    </row>
    <row r="344" spans="1:68" ht="27" customHeight="1" x14ac:dyDescent="0.25">
      <c r="A344" s="54" t="s">
        <v>544</v>
      </c>
      <c r="B344" s="54" t="s">
        <v>545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1000</v>
      </c>
      <c r="Y344" s="542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546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37.5" customHeight="1" x14ac:dyDescent="0.25">
      <c r="A345" s="54" t="s">
        <v>547</v>
      </c>
      <c r="B345" s="54" t="s">
        <v>548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2500</v>
      </c>
      <c r="Y345" s="542">
        <f t="shared" si="31"/>
        <v>2505</v>
      </c>
      <c r="Z345" s="36">
        <f>IFERROR(IF(Y345=0,"",ROUNDUP(Y345/H345,0)*0.02175),"")</f>
        <v>3.6322499999999995</v>
      </c>
      <c r="AA345" s="56"/>
      <c r="AB345" s="57"/>
      <c r="AC345" s="395" t="s">
        <v>549</v>
      </c>
      <c r="AG345" s="64"/>
      <c r="AJ345" s="68"/>
      <c r="AK345" s="68">
        <v>0</v>
      </c>
      <c r="BB345" s="396" t="s">
        <v>1</v>
      </c>
      <c r="BM345" s="64">
        <f t="shared" si="32"/>
        <v>2578.3333333333335</v>
      </c>
      <c r="BN345" s="64">
        <f t="shared" si="33"/>
        <v>2583.4899999999998</v>
      </c>
      <c r="BO345" s="64">
        <f t="shared" si="34"/>
        <v>3.4722222222222219</v>
      </c>
      <c r="BP345" s="64">
        <f t="shared" si="35"/>
        <v>3.4791666666666665</v>
      </c>
    </row>
    <row r="346" spans="1:68" ht="27" customHeight="1" x14ac:dyDescent="0.25">
      <c r="A346" s="54" t="s">
        <v>550</v>
      </c>
      <c r="B346" s="54" t="s">
        <v>551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552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300</v>
      </c>
      <c r="Y346" s="542">
        <f t="shared" si="31"/>
        <v>300</v>
      </c>
      <c r="Z346" s="36">
        <f>IFERROR(IF(Y346=0,"",ROUNDUP(Y346/H346,0)*0.02175),"")</f>
        <v>0.43499999999999994</v>
      </c>
      <c r="AA346" s="56"/>
      <c r="AB346" s="57"/>
      <c r="AC346" s="397" t="s">
        <v>553</v>
      </c>
      <c r="AG346" s="64"/>
      <c r="AJ346" s="68"/>
      <c r="AK346" s="68">
        <v>0</v>
      </c>
      <c r="BB346" s="398" t="s">
        <v>1</v>
      </c>
      <c r="BM346" s="64">
        <f t="shared" si="32"/>
        <v>309.39999999999998</v>
      </c>
      <c r="BN346" s="64">
        <f t="shared" si="33"/>
        <v>309.39999999999998</v>
      </c>
      <c r="BO346" s="64">
        <f t="shared" si="34"/>
        <v>0.41666666666666663</v>
      </c>
      <c r="BP346" s="64">
        <f t="shared" si="35"/>
        <v>0.41666666666666663</v>
      </c>
    </row>
    <row r="347" spans="1:68" ht="27" hidden="1" customHeight="1" x14ac:dyDescent="0.25">
      <c r="A347" s="54" t="s">
        <v>554</v>
      </c>
      <c r="B347" s="54" t="s">
        <v>555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557</v>
      </c>
      <c r="B348" s="54" t="s">
        <v>558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546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559</v>
      </c>
      <c r="B349" s="54" t="s">
        <v>560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10</v>
      </c>
      <c r="Y349" s="542">
        <f t="shared" si="31"/>
        <v>10</v>
      </c>
      <c r="Z349" s="36">
        <f>IFERROR(IF(Y349=0,"",ROUNDUP(Y349/H349,0)*0.00902),"")</f>
        <v>1.804E-2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10.38</v>
      </c>
      <c r="BN349" s="64">
        <f t="shared" si="33"/>
        <v>10.38</v>
      </c>
      <c r="BO349" s="64">
        <f t="shared" si="34"/>
        <v>1.5151515151515152E-2</v>
      </c>
      <c r="BP349" s="64">
        <f t="shared" si="35"/>
        <v>1.5151515151515152E-2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348.66666666666663</v>
      </c>
      <c r="Y350" s="543">
        <f>IFERROR(Y343/H343,"0")+IFERROR(Y344/H344,"0")+IFERROR(Y345/H345,"0")+IFERROR(Y346/H346,"0")+IFERROR(Y347/H347,"0")+IFERROR(Y348/H348,"0")+IFERROR(Y349/H349,"0")</f>
        <v>350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7.5870399999999982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5210</v>
      </c>
      <c r="Y351" s="543">
        <f>IFERROR(SUM(Y343:Y349),"0")</f>
        <v>5230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561</v>
      </c>
      <c r="B353" s="54" t="s">
        <v>562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1500</v>
      </c>
      <c r="Y353" s="542">
        <f>IFERROR(IF(X353="",0,CEILING((X353/$H353),1)*$H353),"")</f>
        <v>1500</v>
      </c>
      <c r="Z353" s="36">
        <f>IFERROR(IF(Y353=0,"",ROUNDUP(Y353/H353,0)*0.02175),"")</f>
        <v>2.1749999999999998</v>
      </c>
      <c r="AA353" s="56"/>
      <c r="AB353" s="57"/>
      <c r="AC353" s="405" t="s">
        <v>563</v>
      </c>
      <c r="AG353" s="64"/>
      <c r="AJ353" s="68"/>
      <c r="AK353" s="68">
        <v>0</v>
      </c>
      <c r="BB353" s="406" t="s">
        <v>1</v>
      </c>
      <c r="BM353" s="64">
        <f>IFERROR(X353*I353/H353,"0")</f>
        <v>1547</v>
      </c>
      <c r="BN353" s="64">
        <f>IFERROR(Y353*I353/H353,"0")</f>
        <v>1547</v>
      </c>
      <c r="BO353" s="64">
        <f>IFERROR(1/J353*(X353/H353),"0")</f>
        <v>2.083333333333333</v>
      </c>
      <c r="BP353" s="64">
        <f>IFERROR(1/J353*(Y353/H353),"0")</f>
        <v>2.083333333333333</v>
      </c>
    </row>
    <row r="354" spans="1:68" ht="16.5" hidden="1" customHeight="1" x14ac:dyDescent="0.25">
      <c r="A354" s="54" t="s">
        <v>564</v>
      </c>
      <c r="B354" s="54" t="s">
        <v>565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563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100</v>
      </c>
      <c r="Y355" s="543">
        <f>IFERROR(Y353/H353,"0")+IFERROR(Y354/H354,"0")</f>
        <v>100</v>
      </c>
      <c r="Z355" s="543">
        <f>IFERROR(IF(Z353="",0,Z353),"0")+IFERROR(IF(Z354="",0,Z354),"0")</f>
        <v>2.1749999999999998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1500</v>
      </c>
      <c r="Y356" s="543">
        <f>IFERROR(SUM(Y353:Y354),"0")</f>
        <v>1500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566</v>
      </c>
      <c r="B358" s="54" t="s">
        <v>567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568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569</v>
      </c>
      <c r="B359" s="54" t="s">
        <v>570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20</v>
      </c>
      <c r="Y359" s="542">
        <f>IFERROR(IF(X359="",0,CEILING((X359/$H359),1)*$H359),"")</f>
        <v>27</v>
      </c>
      <c r="Z359" s="36">
        <f>IFERROR(IF(Y359=0,"",ROUNDUP(Y359/H359,0)*0.01898),"")</f>
        <v>5.6940000000000004E-2</v>
      </c>
      <c r="AA359" s="56"/>
      <c r="AB359" s="57"/>
      <c r="AC359" s="411" t="s">
        <v>571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21.097777777777779</v>
      </c>
      <c r="BN359" s="64">
        <f>IFERROR(Y359*I359/H359,"0")</f>
        <v>28.481999999999996</v>
      </c>
      <c r="BO359" s="64">
        <f>IFERROR(1/J359*(X359/H359),"0")</f>
        <v>3.4722222222222224E-2</v>
      </c>
      <c r="BP359" s="64">
        <f>IFERROR(1/J359*(Y359/H359),"0")</f>
        <v>4.6875E-2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2.2222222222222223</v>
      </c>
      <c r="Y360" s="543">
        <f>IFERROR(Y358/H358,"0")+IFERROR(Y359/H359,"0")</f>
        <v>3</v>
      </c>
      <c r="Z360" s="543">
        <f>IFERROR(IF(Z358="",0,Z358),"0")+IFERROR(IF(Z359="",0,Z359),"0")</f>
        <v>5.6940000000000004E-2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20</v>
      </c>
      <c r="Y361" s="543">
        <f>IFERROR(SUM(Y358:Y359),"0")</f>
        <v>27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572</v>
      </c>
      <c r="B363" s="54" t="s">
        <v>573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30</v>
      </c>
      <c r="Y363" s="542">
        <f>IFERROR(IF(X363="",0,CEILING((X363/$H363),1)*$H363),"")</f>
        <v>36</v>
      </c>
      <c r="Z363" s="36">
        <f>IFERROR(IF(Y363=0,"",ROUNDUP(Y363/H363,0)*0.01898),"")</f>
        <v>7.5920000000000001E-2</v>
      </c>
      <c r="AA363" s="56"/>
      <c r="AB363" s="57"/>
      <c r="AC363" s="413" t="s">
        <v>574</v>
      </c>
      <c r="AG363" s="64"/>
      <c r="AJ363" s="68"/>
      <c r="AK363" s="68">
        <v>0</v>
      </c>
      <c r="BB363" s="414" t="s">
        <v>1</v>
      </c>
      <c r="BM363" s="64">
        <f>IFERROR(X363*I363/H363,"0")</f>
        <v>31.646666666666665</v>
      </c>
      <c r="BN363" s="64">
        <f>IFERROR(Y363*I363/H363,"0")</f>
        <v>37.975999999999999</v>
      </c>
      <c r="BO363" s="64">
        <f>IFERROR(1/J363*(X363/H363),"0")</f>
        <v>5.2083333333333336E-2</v>
      </c>
      <c r="BP363" s="64">
        <f>IFERROR(1/J363*(Y363/H363),"0")</f>
        <v>6.25E-2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3.3333333333333335</v>
      </c>
      <c r="Y364" s="543">
        <f>IFERROR(Y363/H363,"0")</f>
        <v>4</v>
      </c>
      <c r="Z364" s="543">
        <f>IFERROR(IF(Z363="",0,Z363),"0")</f>
        <v>7.5920000000000001E-2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30</v>
      </c>
      <c r="Y365" s="543">
        <f>IFERROR(SUM(Y363:Y363),"0")</f>
        <v>36</v>
      </c>
      <c r="Z365" s="37"/>
      <c r="AA365" s="544"/>
      <c r="AB365" s="544"/>
      <c r="AC365" s="544"/>
    </row>
    <row r="366" spans="1:68" ht="16.5" hidden="1" customHeight="1" x14ac:dyDescent="0.25">
      <c r="A366" s="566" t="s">
        <v>575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576</v>
      </c>
      <c r="B368" s="54" t="s">
        <v>577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578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579</v>
      </c>
      <c r="B369" s="54" t="s">
        <v>580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578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581</v>
      </c>
      <c r="B373" s="54" t="s">
        <v>582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583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581</v>
      </c>
      <c r="B374" s="54" t="s">
        <v>584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586</v>
      </c>
      <c r="B378" s="54" t="s">
        <v>587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588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589</v>
      </c>
      <c r="B379" s="54" t="s">
        <v>590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588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591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592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593</v>
      </c>
      <c r="B385" s="54" t="s">
        <v>594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595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596</v>
      </c>
      <c r="B386" s="54" t="s">
        <v>597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598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599</v>
      </c>
      <c r="B387" s="54" t="s">
        <v>600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601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602</v>
      </c>
      <c r="B388" s="54" t="s">
        <v>603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595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595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606</v>
      </c>
      <c r="B390" s="54" t="s">
        <v>607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276</v>
      </c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35</v>
      </c>
      <c r="Y390" s="542">
        <f t="shared" si="36"/>
        <v>35.700000000000003</v>
      </c>
      <c r="Z390" s="36">
        <f t="shared" si="41"/>
        <v>8.5339999999999999E-2</v>
      </c>
      <c r="AA390" s="56"/>
      <c r="AB390" s="57"/>
      <c r="AC390" s="437" t="s">
        <v>608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37.166666666666664</v>
      </c>
      <c r="BN390" s="64">
        <f t="shared" si="38"/>
        <v>37.910000000000004</v>
      </c>
      <c r="BO390" s="64">
        <f t="shared" si="39"/>
        <v>7.1225071225071226E-2</v>
      </c>
      <c r="BP390" s="64">
        <f t="shared" si="40"/>
        <v>7.2649572649572655E-2</v>
      </c>
    </row>
    <row r="391" spans="1:68" ht="27" hidden="1" customHeight="1" x14ac:dyDescent="0.25">
      <c r="A391" s="54" t="s">
        <v>609</v>
      </c>
      <c r="B391" s="54" t="s">
        <v>610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611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612</v>
      </c>
      <c r="B392" s="54" t="s">
        <v>613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276</v>
      </c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105</v>
      </c>
      <c r="Y392" s="542">
        <f t="shared" si="36"/>
        <v>105</v>
      </c>
      <c r="Z392" s="36">
        <f t="shared" si="41"/>
        <v>0.251</v>
      </c>
      <c r="AA392" s="56"/>
      <c r="AB392" s="57"/>
      <c r="AC392" s="441" t="s">
        <v>614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111.5</v>
      </c>
      <c r="BN392" s="64">
        <f t="shared" si="38"/>
        <v>111.5</v>
      </c>
      <c r="BO392" s="64">
        <f t="shared" si="39"/>
        <v>0.21367521367521369</v>
      </c>
      <c r="BP392" s="64">
        <f t="shared" si="40"/>
        <v>0.21367521367521369</v>
      </c>
    </row>
    <row r="393" spans="1:68" ht="37.5" hidden="1" customHeight="1" x14ac:dyDescent="0.25">
      <c r="A393" s="54" t="s">
        <v>615</v>
      </c>
      <c r="B393" s="54" t="s">
        <v>616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66.666666666666657</v>
      </c>
      <c r="Y394" s="543">
        <f>IFERROR(Y385/H385,"0")+IFERROR(Y386/H386,"0")+IFERROR(Y387/H387,"0")+IFERROR(Y388/H388,"0")+IFERROR(Y389/H389,"0")+IFERROR(Y390/H390,"0")+IFERROR(Y391/H391,"0")+IFERROR(Y392/H392,"0")+IFERROR(Y393/H393,"0")</f>
        <v>67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0.33633999999999997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140</v>
      </c>
      <c r="Y395" s="543">
        <f>IFERROR(SUM(Y385:Y393),"0")</f>
        <v>140.69999999999999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617</v>
      </c>
      <c r="B397" s="54" t="s">
        <v>618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619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620</v>
      </c>
      <c r="B398" s="54" t="s">
        <v>621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622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623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624</v>
      </c>
      <c r="B403" s="54" t="s">
        <v>625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626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627</v>
      </c>
      <c r="B407" s="54" t="s">
        <v>628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629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630</v>
      </c>
      <c r="B408" s="54" t="s">
        <v>631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632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633</v>
      </c>
      <c r="B409" s="54" t="s">
        <v>634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635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636</v>
      </c>
      <c r="B410" s="54" t="s">
        <v>637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635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638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639</v>
      </c>
      <c r="B415" s="54" t="s">
        <v>640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214</v>
      </c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20</v>
      </c>
      <c r="Y415" s="542">
        <f>IFERROR(IF(X415="",0,CEILING((X415/$H415),1)*$H415),"")</f>
        <v>20.399999999999999</v>
      </c>
      <c r="Z415" s="36">
        <f>IFERROR(IF(Y415=0,"",ROUNDUP(Y415/H415,0)*0.00651),"")</f>
        <v>0.11067</v>
      </c>
      <c r="AA415" s="56"/>
      <c r="AB415" s="57"/>
      <c r="AC415" s="459" t="s">
        <v>641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35</v>
      </c>
      <c r="BN415" s="64">
        <f>IFERROR(Y415*I415/H415,"0")</f>
        <v>35.699999999999996</v>
      </c>
      <c r="BO415" s="64">
        <f>IFERROR(1/J415*(X415/H415),"0")</f>
        <v>9.1575091575091583E-2</v>
      </c>
      <c r="BP415" s="64">
        <f>IFERROR(1/J415*(Y415/H415),"0")</f>
        <v>9.3406593406593408E-2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16.666666666666668</v>
      </c>
      <c r="Y416" s="543">
        <f>IFERROR(Y415/H415,"0")</f>
        <v>17</v>
      </c>
      <c r="Z416" s="543">
        <f>IFERROR(IF(Z415="",0,Z415),"0")</f>
        <v>0.11067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20</v>
      </c>
      <c r="Y417" s="543">
        <f>IFERROR(SUM(Y415:Y415),"0")</f>
        <v>20.399999999999999</v>
      </c>
      <c r="Z417" s="37"/>
      <c r="AA417" s="544"/>
      <c r="AB417" s="544"/>
      <c r="AC417" s="544"/>
    </row>
    <row r="418" spans="1:68" ht="27.75" hidden="1" customHeight="1" x14ac:dyDescent="0.2">
      <c r="A418" s="667" t="s">
        <v>642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642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643</v>
      </c>
      <c r="B421" s="54" t="s">
        <v>644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60</v>
      </c>
      <c r="Y421" s="542">
        <f t="shared" ref="Y421:Y431" si="42">IFERROR(IF(X421="",0,CEILING((X421/$H421),1)*$H421),"")</f>
        <v>63.36</v>
      </c>
      <c r="Z421" s="36">
        <f t="shared" ref="Z421:Z426" si="43">IFERROR(IF(Y421=0,"",ROUNDUP(Y421/H421,0)*0.01196),"")</f>
        <v>0.14352000000000001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63.977272727272727</v>
      </c>
      <c r="BN421" s="64">
        <f t="shared" ref="BN421:BN431" si="45">IFERROR(Y421*I421/H421,"0")</f>
        <v>67.559999999999988</v>
      </c>
      <c r="BO421" s="64">
        <f t="shared" ref="BO421:BO431" si="46">IFERROR(1/J421*(X421/H421),"0")</f>
        <v>0.10926573426573427</v>
      </c>
      <c r="BP421" s="64">
        <f t="shared" ref="BP421:BP431" si="47">IFERROR(1/J421*(Y421/H421),"0")</f>
        <v>0.11538461538461539</v>
      </c>
    </row>
    <row r="422" spans="1:68" ht="27" hidden="1" customHeight="1" x14ac:dyDescent="0.25">
      <c r="A422" s="54" t="s">
        <v>645</v>
      </c>
      <c r="B422" s="54" t="s">
        <v>646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647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648</v>
      </c>
      <c r="B423" s="54" t="s">
        <v>649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150</v>
      </c>
      <c r="Y423" s="542">
        <f t="shared" si="42"/>
        <v>153.12</v>
      </c>
      <c r="Z423" s="36">
        <f t="shared" si="43"/>
        <v>0.34683999999999998</v>
      </c>
      <c r="AA423" s="56"/>
      <c r="AB423" s="57"/>
      <c r="AC423" s="465" t="s">
        <v>650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159.94318181818181</v>
      </c>
      <c r="BN423" s="64">
        <f t="shared" si="45"/>
        <v>163.26999999999998</v>
      </c>
      <c r="BO423" s="64">
        <f t="shared" si="46"/>
        <v>0.27316433566433568</v>
      </c>
      <c r="BP423" s="64">
        <f t="shared" si="47"/>
        <v>0.27884615384615385</v>
      </c>
    </row>
    <row r="424" spans="1:68" ht="27" hidden="1" customHeight="1" x14ac:dyDescent="0.25">
      <c r="A424" s="54" t="s">
        <v>651</v>
      </c>
      <c r="B424" s="54" t="s">
        <v>652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653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654</v>
      </c>
      <c r="B425" s="54" t="s">
        <v>655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656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657</v>
      </c>
      <c r="B426" s="54" t="s">
        <v>658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130</v>
      </c>
      <c r="Y426" s="542">
        <f t="shared" si="42"/>
        <v>132</v>
      </c>
      <c r="Z426" s="36">
        <f t="shared" si="43"/>
        <v>0.29899999999999999</v>
      </c>
      <c r="AA426" s="56"/>
      <c r="AB426" s="57"/>
      <c r="AC426" s="471" t="s">
        <v>659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138.61742424242422</v>
      </c>
      <c r="BN426" s="64">
        <f t="shared" si="45"/>
        <v>140.75</v>
      </c>
      <c r="BO426" s="64">
        <f t="shared" si="46"/>
        <v>0.23674242424242425</v>
      </c>
      <c r="BP426" s="64">
        <f t="shared" si="47"/>
        <v>0.24038461538461539</v>
      </c>
    </row>
    <row r="427" spans="1:68" ht="27" hidden="1" customHeight="1" x14ac:dyDescent="0.25">
      <c r="A427" s="54" t="s">
        <v>660</v>
      </c>
      <c r="B427" s="54" t="s">
        <v>661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90</v>
      </c>
      <c r="Y428" s="542">
        <f t="shared" si="42"/>
        <v>91.2</v>
      </c>
      <c r="Z428" s="36">
        <f>IFERROR(IF(Y428=0,"",ROUNDUP(Y428/H428,0)*0.00902),"")</f>
        <v>0.17138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129.5625</v>
      </c>
      <c r="BN428" s="64">
        <f t="shared" si="45"/>
        <v>131.29000000000002</v>
      </c>
      <c r="BO428" s="64">
        <f t="shared" si="46"/>
        <v>0.14204545454545456</v>
      </c>
      <c r="BP428" s="64">
        <f t="shared" si="47"/>
        <v>0.14393939393939395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647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240</v>
      </c>
      <c r="Y431" s="542">
        <f t="shared" si="42"/>
        <v>240</v>
      </c>
      <c r="Z431" s="36">
        <f>IFERROR(IF(Y431=0,"",ROUNDUP(Y431/H431,0)*0.00902),"")</f>
        <v>0.45100000000000001</v>
      </c>
      <c r="AA431" s="56"/>
      <c r="AB431" s="57"/>
      <c r="AC431" s="481" t="s">
        <v>659</v>
      </c>
      <c r="AG431" s="64"/>
      <c r="AJ431" s="68"/>
      <c r="AK431" s="68">
        <v>0</v>
      </c>
      <c r="BB431" s="482" t="s">
        <v>1</v>
      </c>
      <c r="BM431" s="64">
        <f t="shared" si="44"/>
        <v>345.50000000000006</v>
      </c>
      <c r="BN431" s="64">
        <f t="shared" si="45"/>
        <v>345.50000000000006</v>
      </c>
      <c r="BO431" s="64">
        <f t="shared" si="46"/>
        <v>0.37878787878787878</v>
      </c>
      <c r="BP431" s="64">
        <f t="shared" si="47"/>
        <v>0.37878787878787878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133.14393939393938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1.41174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670</v>
      </c>
      <c r="Y433" s="543">
        <f>IFERROR(SUM(Y421:Y431),"0")</f>
        <v>679.68000000000006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671</v>
      </c>
      <c r="B435" s="54" t="s">
        <v>672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130</v>
      </c>
      <c r="Y435" s="542">
        <f>IFERROR(IF(X435="",0,CEILING((X435/$H435),1)*$H435),"")</f>
        <v>132</v>
      </c>
      <c r="Z435" s="36">
        <f>IFERROR(IF(Y435=0,"",ROUNDUP(Y435/H435,0)*0.01196),"")</f>
        <v>0.29899999999999999</v>
      </c>
      <c r="AA435" s="56"/>
      <c r="AB435" s="57"/>
      <c r="AC435" s="483" t="s">
        <v>673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138.61742424242422</v>
      </c>
      <c r="BN435" s="64">
        <f>IFERROR(Y435*I435/H435,"0")</f>
        <v>140.75</v>
      </c>
      <c r="BO435" s="64">
        <f>IFERROR(1/J435*(X435/H435),"0")</f>
        <v>0.23674242424242425</v>
      </c>
      <c r="BP435" s="64">
        <f>IFERROR(1/J435*(Y435/H435),"0")</f>
        <v>0.24038461538461539</v>
      </c>
    </row>
    <row r="436" spans="1:68" ht="16.5" hidden="1" customHeight="1" x14ac:dyDescent="0.25">
      <c r="A436" s="54" t="s">
        <v>674</v>
      </c>
      <c r="B436" s="54" t="s">
        <v>675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673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673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24.621212121212121</v>
      </c>
      <c r="Y438" s="543">
        <f>IFERROR(Y435/H435,"0")+IFERROR(Y436/H436,"0")+IFERROR(Y437/H437,"0")</f>
        <v>25</v>
      </c>
      <c r="Z438" s="543">
        <f>IFERROR(IF(Z435="",0,Z435),"0")+IFERROR(IF(Z436="",0,Z436),"0")+IFERROR(IF(Z437="",0,Z437),"0")</f>
        <v>0.29899999999999999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130</v>
      </c>
      <c r="Y439" s="543">
        <f>IFERROR(SUM(Y435:Y437),"0")</f>
        <v>132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hidden="1" customHeight="1" x14ac:dyDescent="0.25">
      <c r="A441" s="54" t="s">
        <v>678</v>
      </c>
      <c r="B441" s="54" t="s">
        <v>679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680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681</v>
      </c>
      <c r="B442" s="54" t="s">
        <v>682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50</v>
      </c>
      <c r="Y442" s="542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683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53.314393939393938</v>
      </c>
      <c r="BN442" s="64">
        <f t="shared" si="50"/>
        <v>56.3</v>
      </c>
      <c r="BO442" s="64">
        <f t="shared" si="51"/>
        <v>9.1054778554778545E-2</v>
      </c>
      <c r="BP442" s="64">
        <f t="shared" si="52"/>
        <v>9.6153846153846159E-2</v>
      </c>
    </row>
    <row r="443" spans="1:68" ht="27" customHeight="1" x14ac:dyDescent="0.25">
      <c r="A443" s="54" t="s">
        <v>684</v>
      </c>
      <c r="B443" s="54" t="s">
        <v>685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40</v>
      </c>
      <c r="Y443" s="542">
        <f t="shared" si="48"/>
        <v>42.24</v>
      </c>
      <c r="Z443" s="36">
        <f>IFERROR(IF(Y443=0,"",ROUNDUP(Y443/H443,0)*0.01196),"")</f>
        <v>9.5680000000000001E-2</v>
      </c>
      <c r="AA443" s="56"/>
      <c r="AB443" s="57"/>
      <c r="AC443" s="493" t="s">
        <v>686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42.651515151515149</v>
      </c>
      <c r="BN443" s="64">
        <f t="shared" si="50"/>
        <v>45.04</v>
      </c>
      <c r="BO443" s="64">
        <f t="shared" si="51"/>
        <v>7.2843822843822847E-2</v>
      </c>
      <c r="BP443" s="64">
        <f t="shared" si="52"/>
        <v>7.6923076923076927E-2</v>
      </c>
    </row>
    <row r="444" spans="1:68" ht="27" customHeight="1" x14ac:dyDescent="0.25">
      <c r="A444" s="54" t="s">
        <v>687</v>
      </c>
      <c r="B444" s="54" t="s">
        <v>688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197</v>
      </c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18</v>
      </c>
      <c r="Y444" s="542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680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25.912500000000001</v>
      </c>
      <c r="BN444" s="64">
        <f t="shared" si="50"/>
        <v>27.64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689</v>
      </c>
      <c r="B445" s="54" t="s">
        <v>690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12</v>
      </c>
      <c r="Y445" s="542">
        <f t="shared" si="48"/>
        <v>14.399999999999999</v>
      </c>
      <c r="Z445" s="36">
        <f>IFERROR(IF(Y445=0,"",ROUNDUP(Y445/H445,0)*0.00902),"")</f>
        <v>2.7060000000000001E-2</v>
      </c>
      <c r="AA445" s="56"/>
      <c r="AB445" s="57"/>
      <c r="AC445" s="497" t="s">
        <v>683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16.675000000000001</v>
      </c>
      <c r="BN445" s="64">
        <f t="shared" si="50"/>
        <v>20.009999999999998</v>
      </c>
      <c r="BO445" s="64">
        <f t="shared" si="51"/>
        <v>1.893939393939394E-2</v>
      </c>
      <c r="BP445" s="64">
        <f t="shared" si="52"/>
        <v>2.2727272727272728E-2</v>
      </c>
    </row>
    <row r="446" spans="1:68" ht="27" customHeight="1" x14ac:dyDescent="0.25">
      <c r="A446" s="54" t="s">
        <v>691</v>
      </c>
      <c r="B446" s="54" t="s">
        <v>692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197</v>
      </c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114</v>
      </c>
      <c r="Y446" s="542">
        <f t="shared" si="48"/>
        <v>115.19999999999999</v>
      </c>
      <c r="Z446" s="36">
        <f>IFERROR(IF(Y446=0,"",ROUNDUP(Y446/H446,0)*0.00902),"")</f>
        <v>0.21648000000000001</v>
      </c>
      <c r="AA446" s="56"/>
      <c r="AB446" s="57"/>
      <c r="AC446" s="499" t="s">
        <v>686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158.41249999999999</v>
      </c>
      <c r="BN446" s="64">
        <f t="shared" si="50"/>
        <v>160.07999999999998</v>
      </c>
      <c r="BO446" s="64">
        <f t="shared" si="51"/>
        <v>0.17992424242424243</v>
      </c>
      <c r="BP446" s="64">
        <f t="shared" si="52"/>
        <v>0.18181818181818182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47.045454545454547</v>
      </c>
      <c r="Y447" s="543">
        <f>IFERROR(Y441/H441,"0")+IFERROR(Y442/H442,"0")+IFERROR(Y443/H443,"0")+IFERROR(Y444/H444,"0")+IFERROR(Y445/H445,"0")+IFERROR(Y446/H446,"0")</f>
        <v>49</v>
      </c>
      <c r="Z447" s="543">
        <f>IFERROR(IF(Z441="",0,Z441),"0")+IFERROR(IF(Z442="",0,Z442),"0")+IFERROR(IF(Z443="",0,Z443),"0")+IFERROR(IF(Z444="",0,Z444),"0")+IFERROR(IF(Z445="",0,Z445),"0")+IFERROR(IF(Z446="",0,Z446),"0")</f>
        <v>0.49490000000000001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234</v>
      </c>
      <c r="Y448" s="543">
        <f>IFERROR(SUM(Y441:Y446),"0")</f>
        <v>243.84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693</v>
      </c>
      <c r="B450" s="54" t="s">
        <v>694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695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696</v>
      </c>
      <c r="B451" s="54" t="s">
        <v>697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698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699</v>
      </c>
      <c r="B452" s="54" t="s">
        <v>700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701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702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702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703</v>
      </c>
      <c r="B458" s="54" t="s">
        <v>704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705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706</v>
      </c>
      <c r="B459" s="54" t="s">
        <v>707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708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709</v>
      </c>
      <c r="B460" s="54" t="s">
        <v>710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711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712</v>
      </c>
      <c r="B461" s="54" t="s">
        <v>713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714</v>
      </c>
      <c r="B465" s="54" t="s">
        <v>715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717</v>
      </c>
      <c r="B466" s="54" t="s">
        <v>718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719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720</v>
      </c>
      <c r="B467" s="54" t="s">
        <v>721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722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723</v>
      </c>
      <c r="B471" s="54" t="s">
        <v>724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725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726</v>
      </c>
      <c r="B472" s="54" t="s">
        <v>727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728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729</v>
      </c>
      <c r="B476" s="54" t="s">
        <v>730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1100</v>
      </c>
      <c r="Y476" s="542">
        <f>IFERROR(IF(X476="",0,CEILING((X476/$H476),1)*$H476),"")</f>
        <v>1107</v>
      </c>
      <c r="Z476" s="36">
        <f>IFERROR(IF(Y476=0,"",ROUNDUP(Y476/H476,0)*0.01898),"")</f>
        <v>2.3345400000000001</v>
      </c>
      <c r="AA476" s="56"/>
      <c r="AB476" s="57"/>
      <c r="AC476" s="525" t="s">
        <v>731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1160.3777777777777</v>
      </c>
      <c r="BN476" s="64">
        <f>IFERROR(Y476*I476/H476,"0")</f>
        <v>1167.7619999999999</v>
      </c>
      <c r="BO476" s="64">
        <f>IFERROR(1/J476*(X476/H476),"0")</f>
        <v>1.9097222222222223</v>
      </c>
      <c r="BP476" s="64">
        <f>IFERROR(1/J476*(Y476/H476),"0")</f>
        <v>1.921875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122.22222222222223</v>
      </c>
      <c r="Y477" s="543">
        <f>IFERROR(Y476/H476,"0")</f>
        <v>123</v>
      </c>
      <c r="Z477" s="543">
        <f>IFERROR(IF(Z476="",0,Z476),"0")</f>
        <v>2.3345400000000001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1100</v>
      </c>
      <c r="Y478" s="543">
        <f>IFERROR(SUM(Y476:Y476),"0")</f>
        <v>1107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732</v>
      </c>
      <c r="B480" s="54" t="s">
        <v>733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734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737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738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739</v>
      </c>
      <c r="B486" s="54" t="s">
        <v>740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741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742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17523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17681.7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743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18678.702056015492</v>
      </c>
      <c r="Y490" s="543">
        <f>IFERROR(SUM(BN22:BN486),"0")</f>
        <v>18848.658000000003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744</v>
      </c>
      <c r="Q491" s="593"/>
      <c r="R491" s="593"/>
      <c r="S491" s="593"/>
      <c r="T491" s="593"/>
      <c r="U491" s="593"/>
      <c r="V491" s="594"/>
      <c r="W491" s="37" t="s">
        <v>745</v>
      </c>
      <c r="X491" s="38">
        <f>ROUNDUP(SUM(BO22:BO486),0)</f>
        <v>31</v>
      </c>
      <c r="Y491" s="38">
        <f>ROUNDUP(SUM(BP22:BP486),0)</f>
        <v>31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746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19453.702056015492</v>
      </c>
      <c r="Y492" s="543">
        <f>GrossWeightTotalR+PalletQtyTotalR*25</f>
        <v>19623.658000000003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747</v>
      </c>
      <c r="Q493" s="593"/>
      <c r="R493" s="593"/>
      <c r="S493" s="593"/>
      <c r="T493" s="593"/>
      <c r="U493" s="593"/>
      <c r="V493" s="594"/>
      <c r="W493" s="37" t="s">
        <v>745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3512.5154886620394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3542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748</v>
      </c>
      <c r="Q494" s="593"/>
      <c r="R494" s="593"/>
      <c r="S494" s="593"/>
      <c r="T494" s="593"/>
      <c r="U494" s="593"/>
      <c r="V494" s="594"/>
      <c r="W494" s="39" t="s">
        <v>749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35.44341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750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256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539</v>
      </c>
      <c r="T496" s="645"/>
      <c r="U496" s="605" t="s">
        <v>591</v>
      </c>
      <c r="V496" s="682"/>
      <c r="W496" s="645"/>
      <c r="X496" s="538" t="s">
        <v>642</v>
      </c>
      <c r="Y496" s="605" t="s">
        <v>702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751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221</v>
      </c>
      <c r="H497" s="605" t="s">
        <v>97</v>
      </c>
      <c r="I497" s="605" t="s">
        <v>257</v>
      </c>
      <c r="J497" s="605" t="s">
        <v>302</v>
      </c>
      <c r="K497" s="605" t="s">
        <v>362</v>
      </c>
      <c r="L497" s="605" t="s">
        <v>404</v>
      </c>
      <c r="M497" s="605" t="s">
        <v>420</v>
      </c>
      <c r="N497" s="539"/>
      <c r="O497" s="605" t="s">
        <v>431</v>
      </c>
      <c r="P497" s="605" t="s">
        <v>440</v>
      </c>
      <c r="Q497" s="605" t="s">
        <v>454</v>
      </c>
      <c r="R497" s="605" t="s">
        <v>529</v>
      </c>
      <c r="S497" s="605" t="s">
        <v>540</v>
      </c>
      <c r="T497" s="605" t="s">
        <v>575</v>
      </c>
      <c r="U497" s="605" t="s">
        <v>592</v>
      </c>
      <c r="V497" s="605" t="s">
        <v>623</v>
      </c>
      <c r="W497" s="605" t="s">
        <v>638</v>
      </c>
      <c r="X497" s="605" t="s">
        <v>642</v>
      </c>
      <c r="Y497" s="605" t="s">
        <v>702</v>
      </c>
      <c r="Z497" s="605" t="s">
        <v>738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752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194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617.1</v>
      </c>
      <c r="E499" s="46">
        <f>IFERROR(Y85*1,"0")+IFERROR(Y86*1,"0")+IFERROR(Y87*1,"0")+IFERROR(Y91*1,"0")+IFERROR(Y92*1,"0")+IFERROR(Y93*1,"0")+IFERROR(Y94*1,"0")</f>
        <v>1124.0999999999999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1285.92</v>
      </c>
      <c r="G499" s="46">
        <f>IFERROR(Y124*1,"0")+IFERROR(Y125*1,"0")+IFERROR(Y129*1,"0")+IFERROR(Y130*1,"0")+IFERROR(Y134*1,"0")+IFERROR(Y135*1,"0")</f>
        <v>208.56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585.9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1880.9999999999998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194.70000000000002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160.80000000000001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700.2</v>
      </c>
      <c r="R499" s="46">
        <f>IFERROR(Y335*1,"0")+IFERROR(Y336*1,"0")+IFERROR(Y337*1,"0")</f>
        <v>1612.8000000000002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6793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140.69999999999999</v>
      </c>
      <c r="V499" s="46">
        <f>IFERROR(Y403*1,"0")+IFERROR(Y407*1,"0")+IFERROR(Y408*1,"0")+IFERROR(Y409*1,"0")+IFERROR(Y410*1,"0")</f>
        <v>0</v>
      </c>
      <c r="W499" s="46">
        <f>IFERROR(Y415*1,"0")</f>
        <v>20.399999999999999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1055.52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1107</v>
      </c>
      <c r="Z499" s="46">
        <f>IFERROR(Y486*1,"0")</f>
        <v>0</v>
      </c>
      <c r="AB499" s="52"/>
      <c r="AC499" s="52"/>
      <c r="AF499" s="539"/>
    </row>
  </sheetData>
  <sheetProtection algorithmName="SHA-512" hashValue="gUSrr8R0wxpWLK7ObkuaOmCE26LgeOjjGjOwqMFhNscRemd8xk3jRWexbp6lKLpZgG1DlOLipIyOG7dMb4kV0Q==" saltValue="H9F2HA0AtoFnmuYH42paU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2,00"/>
        <filter val="1 100,00"/>
        <filter val="1 330,00"/>
        <filter val="1 400,00"/>
        <filter val="1 500,00"/>
        <filter val="1 610,00"/>
        <filter val="10,00"/>
        <filter val="10,40"/>
        <filter val="100,00"/>
        <filter val="105,00"/>
        <filter val="114,00"/>
        <filter val="12,00"/>
        <filter val="120,00"/>
        <filter val="122,22"/>
        <filter val="130,00"/>
        <filter val="132,78"/>
        <filter val="133,14"/>
        <filter val="140,00"/>
        <filter val="15,00"/>
        <filter val="150,00"/>
        <filter val="16,50"/>
        <filter val="16,67"/>
        <filter val="160,00"/>
        <filter val="166,00"/>
        <filter val="168,70"/>
        <filter val="17 523,00"/>
        <filter val="175,00"/>
        <filter val="18 678,70"/>
        <filter val="18,00"/>
        <filter val="19 453,70"/>
        <filter val="190,00"/>
        <filter val="193,00"/>
        <filter val="2 500,00"/>
        <filter val="2,22"/>
        <filter val="20,00"/>
        <filter val="200,00"/>
        <filter val="201,85"/>
        <filter val="205,00"/>
        <filter val="212,86"/>
        <filter val="225,00"/>
        <filter val="23,75"/>
        <filter val="234,00"/>
        <filter val="24,62"/>
        <filter val="240,00"/>
        <filter val="25,00"/>
        <filter val="267,78"/>
        <filter val="27,00"/>
        <filter val="270,00"/>
        <filter val="280,00"/>
        <filter val="3 512,52"/>
        <filter val="3,33"/>
        <filter val="3,85"/>
        <filter val="30,00"/>
        <filter val="300,00"/>
        <filter val="301,49"/>
        <filter val="31"/>
        <filter val="31,48"/>
        <filter val="315,00"/>
        <filter val="33,31"/>
        <filter val="33,75"/>
        <filter val="348,67"/>
        <filter val="35,00"/>
        <filter val="370,00"/>
        <filter val="39,63"/>
        <filter val="4,44"/>
        <filter val="4,67"/>
        <filter val="4,90"/>
        <filter val="40,00"/>
        <filter val="42,00"/>
        <filter val="44,00"/>
        <filter val="45,00"/>
        <filter val="465,00"/>
        <filter val="47,05"/>
        <filter val="495,00"/>
        <filter val="5 210,00"/>
        <filter val="5,50"/>
        <filter val="5,60"/>
        <filter val="50,00"/>
        <filter val="500,00"/>
        <filter val="550,00"/>
        <filter val="56,00"/>
        <filter val="572,00"/>
        <filter val="585,00"/>
        <filter val="60,00"/>
        <filter val="615,00"/>
        <filter val="62,27"/>
        <filter val="642,00"/>
        <filter val="645,00"/>
        <filter val="66,67"/>
        <filter val="670,00"/>
        <filter val="69,26"/>
        <filter val="70,00"/>
        <filter val="72,00"/>
        <filter val="72,22"/>
        <filter val="76,00"/>
        <filter val="766,67"/>
        <filter val="796,00"/>
        <filter val="8,33"/>
        <filter val="8,40"/>
        <filter val="8,83"/>
        <filter val="89,10"/>
        <filter val="90,00"/>
        <filter val="93,33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3:X167 X169 X196:X203 X209:X210 X212 X214:X215 X219:X220 X225 X227:X228 X233 X273 X301:X302 X304 X315:X317 X323:X324 X328 X330 X336:X337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sWDOOjLO12p5PqwiRREWS5BlmknzsCJTE1lUruA0rd2Y3TeFL24vek5K8Lz13IdRSGTr/mN4vZ37UqPOITjPbA==" saltValue="03+hGz1FUF4aYWVpuSci2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