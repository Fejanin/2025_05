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6AFE032-7D34-4BFE-9D54-649FB976EF8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Y249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X197" i="1"/>
  <c r="X196" i="1"/>
  <c r="BO195" i="1"/>
  <c r="BM195" i="1"/>
  <c r="Z195" i="1"/>
  <c r="Y195" i="1"/>
  <c r="BP195" i="1" s="1"/>
  <c r="P195" i="1"/>
  <c r="BO194" i="1"/>
  <c r="BM194" i="1"/>
  <c r="Z194" i="1"/>
  <c r="Y194" i="1"/>
  <c r="P194" i="1"/>
  <c r="BO193" i="1"/>
  <c r="BM193" i="1"/>
  <c r="Z193" i="1"/>
  <c r="Y193" i="1"/>
  <c r="BP193" i="1" s="1"/>
  <c r="P193" i="1"/>
  <c r="BO192" i="1"/>
  <c r="BM192" i="1"/>
  <c r="Z192" i="1"/>
  <c r="Y192" i="1"/>
  <c r="P192" i="1"/>
  <c r="BO191" i="1"/>
  <c r="BM191" i="1"/>
  <c r="Z191" i="1"/>
  <c r="Y191" i="1"/>
  <c r="BP191" i="1" s="1"/>
  <c r="P191" i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P183" i="1"/>
  <c r="X181" i="1"/>
  <c r="X180" i="1"/>
  <c r="BO179" i="1"/>
  <c r="BM179" i="1"/>
  <c r="Z179" i="1"/>
  <c r="Z180" i="1" s="1"/>
  <c r="Y179" i="1"/>
  <c r="Y181" i="1" s="1"/>
  <c r="P179" i="1"/>
  <c r="X175" i="1"/>
  <c r="X174" i="1"/>
  <c r="BO173" i="1"/>
  <c r="BM173" i="1"/>
  <c r="Z173" i="1"/>
  <c r="Z174" i="1" s="1"/>
  <c r="Y173" i="1"/>
  <c r="X171" i="1"/>
  <c r="X170" i="1"/>
  <c r="BO169" i="1"/>
  <c r="BM169" i="1"/>
  <c r="Z169" i="1"/>
  <c r="Y169" i="1"/>
  <c r="BP169" i="1" s="1"/>
  <c r="P169" i="1"/>
  <c r="BO168" i="1"/>
  <c r="BM168" i="1"/>
  <c r="Z168" i="1"/>
  <c r="Y168" i="1"/>
  <c r="P168" i="1"/>
  <c r="BO167" i="1"/>
  <c r="BM167" i="1"/>
  <c r="Z167" i="1"/>
  <c r="Y167" i="1"/>
  <c r="BP167" i="1" s="1"/>
  <c r="P167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6" i="1"/>
  <c r="X155" i="1"/>
  <c r="BO154" i="1"/>
  <c r="BM154" i="1"/>
  <c r="Z154" i="1"/>
  <c r="Z155" i="1" s="1"/>
  <c r="Y154" i="1"/>
  <c r="Y156" i="1" s="1"/>
  <c r="P154" i="1"/>
  <c r="X151" i="1"/>
  <c r="X150" i="1"/>
  <c r="BO149" i="1"/>
  <c r="BM149" i="1"/>
  <c r="Z149" i="1"/>
  <c r="Z150" i="1" s="1"/>
  <c r="Y149" i="1"/>
  <c r="P149" i="1"/>
  <c r="X146" i="1"/>
  <c r="X145" i="1"/>
  <c r="BO144" i="1"/>
  <c r="BM144" i="1"/>
  <c r="Z144" i="1"/>
  <c r="Z145" i="1" s="1"/>
  <c r="Y144" i="1"/>
  <c r="Y145" i="1" s="1"/>
  <c r="P144" i="1"/>
  <c r="X141" i="1"/>
  <c r="X140" i="1"/>
  <c r="BO139" i="1"/>
  <c r="BM139" i="1"/>
  <c r="Z139" i="1"/>
  <c r="Z140" i="1" s="1"/>
  <c r="Y139" i="1"/>
  <c r="Y140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Y128" i="1"/>
  <c r="P128" i="1"/>
  <c r="BO127" i="1"/>
  <c r="BM127" i="1"/>
  <c r="Z127" i="1"/>
  <c r="Y127" i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BP121" i="1" s="1"/>
  <c r="P121" i="1"/>
  <c r="X118" i="1"/>
  <c r="X117" i="1"/>
  <c r="BO116" i="1"/>
  <c r="BM116" i="1"/>
  <c r="Z116" i="1"/>
  <c r="Z117" i="1" s="1"/>
  <c r="Y116" i="1"/>
  <c r="Y118" i="1" s="1"/>
  <c r="P116" i="1"/>
  <c r="X114" i="1"/>
  <c r="X113" i="1"/>
  <c r="BO112" i="1"/>
  <c r="BM112" i="1"/>
  <c r="Z112" i="1"/>
  <c r="Z113" i="1" s="1"/>
  <c r="Y112" i="1"/>
  <c r="Y114" i="1" s="1"/>
  <c r="P112" i="1"/>
  <c r="X110" i="1"/>
  <c r="X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P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P62" i="1"/>
  <c r="X60" i="1"/>
  <c r="X59" i="1"/>
  <c r="BO58" i="1"/>
  <c r="BM58" i="1"/>
  <c r="Z58" i="1"/>
  <c r="Y58" i="1"/>
  <c r="P58" i="1"/>
  <c r="BO57" i="1"/>
  <c r="BM57" i="1"/>
  <c r="Z57" i="1"/>
  <c r="Z59" i="1" s="1"/>
  <c r="Y57" i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P41" i="1"/>
  <c r="X38" i="1"/>
  <c r="X37" i="1"/>
  <c r="BO36" i="1"/>
  <c r="BM36" i="1"/>
  <c r="Z36" i="1"/>
  <c r="Y36" i="1"/>
  <c r="P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Y31" i="1" s="1"/>
  <c r="P28" i="1"/>
  <c r="X24" i="1"/>
  <c r="X274" i="1" s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Y83" i="1" l="1"/>
  <c r="BN81" i="1"/>
  <c r="Y99" i="1"/>
  <c r="BN97" i="1"/>
  <c r="BN112" i="1"/>
  <c r="BP112" i="1"/>
  <c r="Y113" i="1"/>
  <c r="BN116" i="1"/>
  <c r="BP116" i="1"/>
  <c r="Y117" i="1"/>
  <c r="Z123" i="1"/>
  <c r="BN121" i="1"/>
  <c r="Z129" i="1"/>
  <c r="Z135" i="1"/>
  <c r="BN133" i="1"/>
  <c r="Z170" i="1"/>
  <c r="BN167" i="1"/>
  <c r="BN169" i="1"/>
  <c r="BN184" i="1"/>
  <c r="BN186" i="1"/>
  <c r="Y38" i="1"/>
  <c r="BP34" i="1"/>
  <c r="BN34" i="1"/>
  <c r="BP36" i="1"/>
  <c r="BN36" i="1"/>
  <c r="BP58" i="1"/>
  <c r="BN58" i="1"/>
  <c r="Y71" i="1"/>
  <c r="BP69" i="1"/>
  <c r="BN69" i="1"/>
  <c r="X275" i="1"/>
  <c r="X278" i="1"/>
  <c r="Y92" i="1"/>
  <c r="BP86" i="1"/>
  <c r="BN86" i="1"/>
  <c r="BP88" i="1"/>
  <c r="BN88" i="1"/>
  <c r="BP90" i="1"/>
  <c r="BN90" i="1"/>
  <c r="Y110" i="1"/>
  <c r="BP102" i="1"/>
  <c r="BN102" i="1"/>
  <c r="BP104" i="1"/>
  <c r="BN104" i="1"/>
  <c r="BP106" i="1"/>
  <c r="BN106" i="1"/>
  <c r="BP108" i="1"/>
  <c r="BN108" i="1"/>
  <c r="BP128" i="1"/>
  <c r="BN128" i="1"/>
  <c r="X276" i="1"/>
  <c r="Z30" i="1"/>
  <c r="Z37" i="1"/>
  <c r="Y45" i="1"/>
  <c r="Y60" i="1"/>
  <c r="Y66" i="1"/>
  <c r="Z71" i="1"/>
  <c r="Z82" i="1"/>
  <c r="Z92" i="1"/>
  <c r="Z98" i="1"/>
  <c r="Z109" i="1"/>
  <c r="Y123" i="1"/>
  <c r="Y130" i="1"/>
  <c r="Y135" i="1"/>
  <c r="BN161" i="1"/>
  <c r="Z196" i="1"/>
  <c r="BN191" i="1"/>
  <c r="BN193" i="1"/>
  <c r="BN195" i="1"/>
  <c r="Z212" i="1"/>
  <c r="BN210" i="1"/>
  <c r="Z218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P245" i="1"/>
  <c r="BN247" i="1"/>
  <c r="Y253" i="1"/>
  <c r="Y254" i="1"/>
  <c r="Z259" i="1"/>
  <c r="BN257" i="1"/>
  <c r="Z272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Y136" i="1"/>
  <c r="Y141" i="1"/>
  <c r="Y146" i="1"/>
  <c r="Y150" i="1"/>
  <c r="BP149" i="1"/>
  <c r="BN149" i="1"/>
  <c r="Y163" i="1"/>
  <c r="BP160" i="1"/>
  <c r="BN160" i="1"/>
  <c r="Y162" i="1"/>
  <c r="BP168" i="1"/>
  <c r="BN168" i="1"/>
  <c r="Y170" i="1"/>
  <c r="Y174" i="1"/>
  <c r="BP173" i="1"/>
  <c r="BN173" i="1"/>
  <c r="Y188" i="1"/>
  <c r="BP183" i="1"/>
  <c r="BN183" i="1"/>
  <c r="BP185" i="1"/>
  <c r="BN185" i="1"/>
  <c r="Y187" i="1"/>
  <c r="BP192" i="1"/>
  <c r="BN192" i="1"/>
  <c r="BP194" i="1"/>
  <c r="BN194" i="1"/>
  <c r="Y196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BN134" i="1"/>
  <c r="BN139" i="1"/>
  <c r="BP139" i="1"/>
  <c r="BN144" i="1"/>
  <c r="BP144" i="1"/>
  <c r="Y151" i="1"/>
  <c r="Y155" i="1"/>
  <c r="BP154" i="1"/>
  <c r="BN154" i="1"/>
  <c r="Z162" i="1"/>
  <c r="Y171" i="1"/>
  <c r="Y175" i="1"/>
  <c r="Y180" i="1"/>
  <c r="BP179" i="1"/>
  <c r="BN179" i="1"/>
  <c r="Z187" i="1"/>
  <c r="Y197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X277" i="1" l="1"/>
  <c r="Z279" i="1"/>
  <c r="Y278" i="1"/>
  <c r="Y275" i="1"/>
  <c r="Y274" i="1"/>
  <c r="Y276" i="1"/>
  <c r="Y277" i="1" l="1"/>
  <c r="B287" i="1" s="1"/>
  <c r="C287" i="1" l="1"/>
  <c r="A287" i="1"/>
</calcChain>
</file>

<file path=xl/sharedStrings.xml><?xml version="1.0" encoding="utf-8"?>
<sst xmlns="http://schemas.openxmlformats.org/spreadsheetml/2006/main" count="1230" uniqueCount="397">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</sst>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5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3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23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425" t="s">
        <v>0</v>
      </c>
      <c r="E1" s="305"/>
      <c r="F1" s="305"/>
      <c r="G1" s="12" t="s">
        <v>1</v>
      </c>
      <c r="H1" s="425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446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1"/>
      <c r="Q3" s="281"/>
      <c r="R3" s="281"/>
      <c r="S3" s="281"/>
      <c r="T3" s="281"/>
      <c r="U3" s="281"/>
      <c r="V3" s="281"/>
      <c r="W3" s="281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410" t="s">
        <v>8</v>
      </c>
      <c r="B5" s="357"/>
      <c r="C5" s="316"/>
      <c r="D5" s="336"/>
      <c r="E5" s="338"/>
      <c r="F5" s="315" t="s">
        <v>9</v>
      </c>
      <c r="G5" s="316"/>
      <c r="H5" s="336" t="s">
        <v>396</v>
      </c>
      <c r="I5" s="337"/>
      <c r="J5" s="337"/>
      <c r="K5" s="337"/>
      <c r="L5" s="337"/>
      <c r="M5" s="338"/>
      <c r="N5" s="61"/>
      <c r="P5" s="24" t="s">
        <v>10</v>
      </c>
      <c r="Q5" s="334">
        <v>45971</v>
      </c>
      <c r="R5" s="335"/>
      <c r="T5" s="394" t="s">
        <v>11</v>
      </c>
      <c r="U5" s="333"/>
      <c r="V5" s="395" t="s">
        <v>12</v>
      </c>
      <c r="W5" s="335"/>
      <c r="AB5" s="51"/>
      <c r="AC5" s="51"/>
      <c r="AD5" s="51"/>
      <c r="AE5" s="51"/>
    </row>
    <row r="6" spans="1:32" s="262" customFormat="1" ht="24" customHeight="1" x14ac:dyDescent="0.2">
      <c r="A6" s="410" t="s">
        <v>13</v>
      </c>
      <c r="B6" s="357"/>
      <c r="C6" s="316"/>
      <c r="D6" s="339" t="s">
        <v>14</v>
      </c>
      <c r="E6" s="340"/>
      <c r="F6" s="340"/>
      <c r="G6" s="340"/>
      <c r="H6" s="340"/>
      <c r="I6" s="340"/>
      <c r="J6" s="340"/>
      <c r="K6" s="340"/>
      <c r="L6" s="340"/>
      <c r="M6" s="335"/>
      <c r="N6" s="62"/>
      <c r="P6" s="24" t="s">
        <v>15</v>
      </c>
      <c r="Q6" s="302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99" t="s">
        <v>16</v>
      </c>
      <c r="U6" s="333"/>
      <c r="V6" s="370" t="s">
        <v>17</v>
      </c>
      <c r="W6" s="37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435" t="str">
        <f>IFERROR(VLOOKUP(DeliveryAddress,Table,3,0),1)</f>
        <v>1</v>
      </c>
      <c r="E7" s="436"/>
      <c r="F7" s="436"/>
      <c r="G7" s="436"/>
      <c r="H7" s="436"/>
      <c r="I7" s="436"/>
      <c r="J7" s="436"/>
      <c r="K7" s="436"/>
      <c r="L7" s="436"/>
      <c r="M7" s="397"/>
      <c r="N7" s="63"/>
      <c r="P7" s="24"/>
      <c r="Q7" s="42"/>
      <c r="R7" s="42"/>
      <c r="T7" s="281"/>
      <c r="U7" s="333"/>
      <c r="V7" s="372"/>
      <c r="W7" s="373"/>
      <c r="AB7" s="51"/>
      <c r="AC7" s="51"/>
      <c r="AD7" s="51"/>
      <c r="AE7" s="51"/>
    </row>
    <row r="8" spans="1:32" s="262" customFormat="1" ht="25.5" customHeight="1" x14ac:dyDescent="0.2">
      <c r="A8" s="294" t="s">
        <v>18</v>
      </c>
      <c r="B8" s="289"/>
      <c r="C8" s="290"/>
      <c r="D8" s="441" t="s">
        <v>19</v>
      </c>
      <c r="E8" s="442"/>
      <c r="F8" s="442"/>
      <c r="G8" s="442"/>
      <c r="H8" s="442"/>
      <c r="I8" s="442"/>
      <c r="J8" s="442"/>
      <c r="K8" s="442"/>
      <c r="L8" s="442"/>
      <c r="M8" s="443"/>
      <c r="N8" s="64"/>
      <c r="P8" s="24" t="s">
        <v>20</v>
      </c>
      <c r="Q8" s="396">
        <v>0.45833333333333331</v>
      </c>
      <c r="R8" s="397"/>
      <c r="T8" s="281"/>
      <c r="U8" s="333"/>
      <c r="V8" s="372"/>
      <c r="W8" s="373"/>
      <c r="AB8" s="51"/>
      <c r="AC8" s="51"/>
      <c r="AD8" s="51"/>
      <c r="AE8" s="51"/>
    </row>
    <row r="9" spans="1:32" s="262" customFormat="1" ht="39.950000000000003" customHeight="1" x14ac:dyDescent="0.2">
      <c r="A9" s="2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1"/>
      <c r="C9" s="281"/>
      <c r="D9" s="327"/>
      <c r="E9" s="328"/>
      <c r="F9" s="2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1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28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8"/>
      <c r="L9" s="328"/>
      <c r="M9" s="328"/>
      <c r="N9" s="260"/>
      <c r="P9" s="26" t="s">
        <v>21</v>
      </c>
      <c r="Q9" s="427"/>
      <c r="R9" s="319"/>
      <c r="T9" s="281"/>
      <c r="U9" s="333"/>
      <c r="V9" s="374"/>
      <c r="W9" s="375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1"/>
      <c r="C10" s="281"/>
      <c r="D10" s="327"/>
      <c r="E10" s="328"/>
      <c r="F10" s="2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1"/>
      <c r="H10" s="345" t="str">
        <f>IFERROR(VLOOKUP($D$10,Proxy,2,FALSE),"")</f>
        <v/>
      </c>
      <c r="I10" s="281"/>
      <c r="J10" s="281"/>
      <c r="K10" s="281"/>
      <c r="L10" s="281"/>
      <c r="M10" s="281"/>
      <c r="N10" s="261"/>
      <c r="P10" s="26" t="s">
        <v>22</v>
      </c>
      <c r="Q10" s="400"/>
      <c r="R10" s="401"/>
      <c r="U10" s="24" t="s">
        <v>23</v>
      </c>
      <c r="V10" s="450" t="s">
        <v>24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08"/>
      <c r="R11" s="335"/>
      <c r="U11" s="24" t="s">
        <v>27</v>
      </c>
      <c r="V11" s="318" t="s">
        <v>28</v>
      </c>
      <c r="W11" s="319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78" t="s">
        <v>29</v>
      </c>
      <c r="B12" s="357"/>
      <c r="C12" s="357"/>
      <c r="D12" s="357"/>
      <c r="E12" s="357"/>
      <c r="F12" s="357"/>
      <c r="G12" s="357"/>
      <c r="H12" s="357"/>
      <c r="I12" s="357"/>
      <c r="J12" s="357"/>
      <c r="K12" s="357"/>
      <c r="L12" s="357"/>
      <c r="M12" s="316"/>
      <c r="N12" s="65"/>
      <c r="P12" s="24" t="s">
        <v>30</v>
      </c>
      <c r="Q12" s="396"/>
      <c r="R12" s="397"/>
      <c r="S12" s="23"/>
      <c r="U12" s="24"/>
      <c r="V12" s="305"/>
      <c r="W12" s="281"/>
      <c r="AB12" s="51"/>
      <c r="AC12" s="51"/>
      <c r="AD12" s="51"/>
      <c r="AE12" s="51"/>
    </row>
    <row r="13" spans="1:32" s="262" customFormat="1" ht="23.25" customHeight="1" x14ac:dyDescent="0.2">
      <c r="A13" s="378" t="s">
        <v>31</v>
      </c>
      <c r="B13" s="357"/>
      <c r="C13" s="357"/>
      <c r="D13" s="357"/>
      <c r="E13" s="357"/>
      <c r="F13" s="357"/>
      <c r="G13" s="357"/>
      <c r="H13" s="357"/>
      <c r="I13" s="357"/>
      <c r="J13" s="357"/>
      <c r="K13" s="357"/>
      <c r="L13" s="357"/>
      <c r="M13" s="316"/>
      <c r="N13" s="65"/>
      <c r="O13" s="26"/>
      <c r="P13" s="26" t="s">
        <v>32</v>
      </c>
      <c r="Q13" s="318"/>
      <c r="R13" s="31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78" t="s">
        <v>33</v>
      </c>
      <c r="B14" s="357"/>
      <c r="C14" s="357"/>
      <c r="D14" s="357"/>
      <c r="E14" s="357"/>
      <c r="F14" s="357"/>
      <c r="G14" s="357"/>
      <c r="H14" s="357"/>
      <c r="I14" s="357"/>
      <c r="J14" s="357"/>
      <c r="K14" s="357"/>
      <c r="L14" s="357"/>
      <c r="M14" s="31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79" t="s">
        <v>34</v>
      </c>
      <c r="B15" s="357"/>
      <c r="C15" s="357"/>
      <c r="D15" s="357"/>
      <c r="E15" s="357"/>
      <c r="F15" s="357"/>
      <c r="G15" s="357"/>
      <c r="H15" s="357"/>
      <c r="I15" s="357"/>
      <c r="J15" s="357"/>
      <c r="K15" s="357"/>
      <c r="L15" s="357"/>
      <c r="M15" s="316"/>
      <c r="N15" s="66"/>
      <c r="P15" s="406" t="s">
        <v>35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7"/>
      <c r="Q16" s="407"/>
      <c r="R16" s="407"/>
      <c r="S16" s="407"/>
      <c r="T16" s="4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6" t="s">
        <v>36</v>
      </c>
      <c r="B17" s="276" t="s">
        <v>37</v>
      </c>
      <c r="C17" s="402" t="s">
        <v>38</v>
      </c>
      <c r="D17" s="276" t="s">
        <v>39</v>
      </c>
      <c r="E17" s="277"/>
      <c r="F17" s="276" t="s">
        <v>40</v>
      </c>
      <c r="G17" s="276" t="s">
        <v>41</v>
      </c>
      <c r="H17" s="276" t="s">
        <v>42</v>
      </c>
      <c r="I17" s="276" t="s">
        <v>43</v>
      </c>
      <c r="J17" s="276" t="s">
        <v>44</v>
      </c>
      <c r="K17" s="276" t="s">
        <v>45</v>
      </c>
      <c r="L17" s="276" t="s">
        <v>46</v>
      </c>
      <c r="M17" s="276" t="s">
        <v>47</v>
      </c>
      <c r="N17" s="276" t="s">
        <v>48</v>
      </c>
      <c r="O17" s="276" t="s">
        <v>49</v>
      </c>
      <c r="P17" s="276" t="s">
        <v>50</v>
      </c>
      <c r="Q17" s="416"/>
      <c r="R17" s="416"/>
      <c r="S17" s="416"/>
      <c r="T17" s="277"/>
      <c r="U17" s="383" t="s">
        <v>51</v>
      </c>
      <c r="V17" s="316"/>
      <c r="W17" s="276" t="s">
        <v>52</v>
      </c>
      <c r="X17" s="276" t="s">
        <v>53</v>
      </c>
      <c r="Y17" s="384" t="s">
        <v>54</v>
      </c>
      <c r="Z17" s="350" t="s">
        <v>55</v>
      </c>
      <c r="AA17" s="307" t="s">
        <v>56</v>
      </c>
      <c r="AB17" s="307" t="s">
        <v>57</v>
      </c>
      <c r="AC17" s="307" t="s">
        <v>58</v>
      </c>
      <c r="AD17" s="307" t="s">
        <v>59</v>
      </c>
      <c r="AE17" s="308"/>
      <c r="AF17" s="309"/>
      <c r="AG17" s="69"/>
      <c r="BD17" s="68" t="s">
        <v>60</v>
      </c>
    </row>
    <row r="18" spans="1:68" ht="14.25" customHeight="1" x14ac:dyDescent="0.2">
      <c r="A18" s="282"/>
      <c r="B18" s="282"/>
      <c r="C18" s="282"/>
      <c r="D18" s="278"/>
      <c r="E18" s="279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78"/>
      <c r="Q18" s="417"/>
      <c r="R18" s="417"/>
      <c r="S18" s="417"/>
      <c r="T18" s="279"/>
      <c r="U18" s="70" t="s">
        <v>61</v>
      </c>
      <c r="V18" s="70" t="s">
        <v>62</v>
      </c>
      <c r="W18" s="282"/>
      <c r="X18" s="282"/>
      <c r="Y18" s="385"/>
      <c r="Z18" s="351"/>
      <c r="AA18" s="344"/>
      <c r="AB18" s="344"/>
      <c r="AC18" s="344"/>
      <c r="AD18" s="310"/>
      <c r="AE18" s="311"/>
      <c r="AF18" s="312"/>
      <c r="AG18" s="69"/>
      <c r="BD18" s="68"/>
    </row>
    <row r="19" spans="1:68" ht="27.75" hidden="1" customHeight="1" x14ac:dyDescent="0.2">
      <c r="A19" s="291" t="s">
        <v>63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48"/>
      <c r="AB19" s="48"/>
      <c r="AC19" s="48"/>
    </row>
    <row r="20" spans="1:68" ht="16.5" hidden="1" customHeight="1" x14ac:dyDescent="0.25">
      <c r="A20" s="280" t="s">
        <v>63</v>
      </c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63"/>
      <c r="AB20" s="263"/>
      <c r="AC20" s="263"/>
    </row>
    <row r="21" spans="1:68" ht="14.25" hidden="1" customHeight="1" x14ac:dyDescent="0.25">
      <c r="A21" s="286" t="s">
        <v>64</v>
      </c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74">
        <v>4607111035752</v>
      </c>
      <c r="E22" s="27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34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00"/>
      <c r="B23" s="281"/>
      <c r="C23" s="281"/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301"/>
      <c r="P23" s="288" t="s">
        <v>73</v>
      </c>
      <c r="Q23" s="289"/>
      <c r="R23" s="289"/>
      <c r="S23" s="289"/>
      <c r="T23" s="289"/>
      <c r="U23" s="289"/>
      <c r="V23" s="290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1"/>
      <c r="B24" s="281"/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301"/>
      <c r="P24" s="288" t="s">
        <v>73</v>
      </c>
      <c r="Q24" s="289"/>
      <c r="R24" s="289"/>
      <c r="S24" s="289"/>
      <c r="T24" s="289"/>
      <c r="U24" s="289"/>
      <c r="V24" s="290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291" t="s">
        <v>75</v>
      </c>
      <c r="B25" s="292"/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  <c r="AA25" s="48"/>
      <c r="AB25" s="48"/>
      <c r="AC25" s="48"/>
    </row>
    <row r="26" spans="1:68" ht="16.5" hidden="1" customHeight="1" x14ac:dyDescent="0.25">
      <c r="A26" s="280" t="s">
        <v>76</v>
      </c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63"/>
      <c r="AB26" s="263"/>
      <c r="AC26" s="263"/>
    </row>
    <row r="27" spans="1:68" ht="14.25" hidden="1" customHeight="1" x14ac:dyDescent="0.25">
      <c r="A27" s="286" t="s">
        <v>77</v>
      </c>
      <c r="B27" s="281"/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64"/>
      <c r="AB27" s="264"/>
      <c r="AC27" s="264"/>
    </row>
    <row r="28" spans="1:68" ht="27" hidden="1" customHeight="1" x14ac:dyDescent="0.25">
      <c r="A28" s="54" t="s">
        <v>78</v>
      </c>
      <c r="B28" s="54" t="s">
        <v>79</v>
      </c>
      <c r="C28" s="31">
        <v>4301132190</v>
      </c>
      <c r="D28" s="274">
        <v>4607111036537</v>
      </c>
      <c r="E28" s="27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44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70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83</v>
      </c>
      <c r="AK28" s="71">
        <v>14</v>
      </c>
      <c r="BB28" s="75" t="s">
        <v>84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74">
        <v>4607111036605</v>
      </c>
      <c r="E29" s="27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81</v>
      </c>
      <c r="M29" s="33" t="s">
        <v>69</v>
      </c>
      <c r="N29" s="33"/>
      <c r="O29" s="32">
        <v>365</v>
      </c>
      <c r="P29" s="43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4"/>
      <c r="R29" s="284"/>
      <c r="S29" s="284"/>
      <c r="T29" s="285"/>
      <c r="U29" s="34"/>
      <c r="V29" s="34"/>
      <c r="W29" s="35" t="s">
        <v>70</v>
      </c>
      <c r="X29" s="268">
        <v>14</v>
      </c>
      <c r="Y29" s="269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82</v>
      </c>
      <c r="AG29" s="67"/>
      <c r="AJ29" s="71" t="s">
        <v>83</v>
      </c>
      <c r="AK29" s="71">
        <v>14</v>
      </c>
      <c r="BB29" s="77" t="s">
        <v>84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x14ac:dyDescent="0.2">
      <c r="A30" s="300"/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301"/>
      <c r="P30" s="288" t="s">
        <v>73</v>
      </c>
      <c r="Q30" s="289"/>
      <c r="R30" s="289"/>
      <c r="S30" s="289"/>
      <c r="T30" s="289"/>
      <c r="U30" s="289"/>
      <c r="V30" s="290"/>
      <c r="W30" s="37" t="s">
        <v>70</v>
      </c>
      <c r="X30" s="270">
        <f>IFERROR(SUM(X28:X29),"0")</f>
        <v>14</v>
      </c>
      <c r="Y30" s="270">
        <f>IFERROR(SUM(Y28:Y29),"0")</f>
        <v>14</v>
      </c>
      <c r="Z30" s="270">
        <f>IFERROR(IF(Z28="",0,Z28),"0")+IFERROR(IF(Z29="",0,Z29),"0")</f>
        <v>0.13174</v>
      </c>
      <c r="AA30" s="271"/>
      <c r="AB30" s="271"/>
      <c r="AC30" s="271"/>
    </row>
    <row r="31" spans="1:68" x14ac:dyDescent="0.2">
      <c r="A31" s="281"/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301"/>
      <c r="P31" s="288" t="s">
        <v>73</v>
      </c>
      <c r="Q31" s="289"/>
      <c r="R31" s="289"/>
      <c r="S31" s="289"/>
      <c r="T31" s="289"/>
      <c r="U31" s="289"/>
      <c r="V31" s="290"/>
      <c r="W31" s="37" t="s">
        <v>74</v>
      </c>
      <c r="X31" s="270">
        <f>IFERROR(SUMPRODUCT(X28:X29*H28:H29),"0")</f>
        <v>21</v>
      </c>
      <c r="Y31" s="270">
        <f>IFERROR(SUMPRODUCT(Y28:Y29*H28:H29),"0")</f>
        <v>21</v>
      </c>
      <c r="Z31" s="37"/>
      <c r="AA31" s="271"/>
      <c r="AB31" s="271"/>
      <c r="AC31" s="271"/>
    </row>
    <row r="32" spans="1:68" ht="16.5" hidden="1" customHeight="1" x14ac:dyDescent="0.25">
      <c r="A32" s="280" t="s">
        <v>87</v>
      </c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63"/>
      <c r="AB32" s="263"/>
      <c r="AC32" s="263"/>
    </row>
    <row r="33" spans="1:68" ht="14.25" hidden="1" customHeight="1" x14ac:dyDescent="0.25">
      <c r="A33" s="286" t="s">
        <v>64</v>
      </c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64"/>
      <c r="AB33" s="264"/>
      <c r="AC33" s="264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74">
        <v>4620207490075</v>
      </c>
      <c r="E34" s="27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81</v>
      </c>
      <c r="M34" s="33" t="s">
        <v>69</v>
      </c>
      <c r="N34" s="33"/>
      <c r="O34" s="32">
        <v>180</v>
      </c>
      <c r="P34" s="35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4"/>
      <c r="R34" s="284"/>
      <c r="S34" s="284"/>
      <c r="T34" s="285"/>
      <c r="U34" s="34"/>
      <c r="V34" s="34"/>
      <c r="W34" s="35" t="s">
        <v>70</v>
      </c>
      <c r="X34" s="268">
        <v>24</v>
      </c>
      <c r="Y34" s="269">
        <f>IFERROR(IF(X34="","",X34),"")</f>
        <v>24</v>
      </c>
      <c r="Z34" s="36">
        <f>IFERROR(IF(X34="","",X34*0.0155),"")</f>
        <v>0.372</v>
      </c>
      <c r="AA34" s="56"/>
      <c r="AB34" s="57"/>
      <c r="AC34" s="78" t="s">
        <v>90</v>
      </c>
      <c r="AG34" s="67"/>
      <c r="AJ34" s="71" t="s">
        <v>83</v>
      </c>
      <c r="AK34" s="71">
        <v>12</v>
      </c>
      <c r="BB34" s="79" t="s">
        <v>1</v>
      </c>
      <c r="BM34" s="67">
        <f>IFERROR(X34*I34,"0")</f>
        <v>140.88</v>
      </c>
      <c r="BN34" s="67">
        <f>IFERROR(Y34*I34,"0")</f>
        <v>140.88</v>
      </c>
      <c r="BO34" s="67">
        <f>IFERROR(X34/J34,"0")</f>
        <v>0.2857142857142857</v>
      </c>
      <c r="BP34" s="67">
        <f>IFERROR(Y34/J34,"0")</f>
        <v>0.2857142857142857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74">
        <v>4620207490174</v>
      </c>
      <c r="E35" s="27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81</v>
      </c>
      <c r="M35" s="33" t="s">
        <v>69</v>
      </c>
      <c r="N35" s="33"/>
      <c r="O35" s="32">
        <v>180</v>
      </c>
      <c r="P35" s="34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4"/>
      <c r="R35" s="284"/>
      <c r="S35" s="284"/>
      <c r="T35" s="285"/>
      <c r="U35" s="34"/>
      <c r="V35" s="34"/>
      <c r="W35" s="35" t="s">
        <v>70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93</v>
      </c>
      <c r="AG35" s="67"/>
      <c r="AJ35" s="71" t="s">
        <v>83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94</v>
      </c>
      <c r="B36" s="54" t="s">
        <v>95</v>
      </c>
      <c r="C36" s="31">
        <v>4301071091</v>
      </c>
      <c r="D36" s="274">
        <v>4620207490044</v>
      </c>
      <c r="E36" s="27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81</v>
      </c>
      <c r="M36" s="33" t="s">
        <v>69</v>
      </c>
      <c r="N36" s="33"/>
      <c r="O36" s="32">
        <v>180</v>
      </c>
      <c r="P36" s="37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4"/>
      <c r="R36" s="284"/>
      <c r="S36" s="284"/>
      <c r="T36" s="285"/>
      <c r="U36" s="34"/>
      <c r="V36" s="34"/>
      <c r="W36" s="35" t="s">
        <v>70</v>
      </c>
      <c r="X36" s="268">
        <v>12</v>
      </c>
      <c r="Y36" s="269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96</v>
      </c>
      <c r="AG36" s="67"/>
      <c r="AJ36" s="71" t="s">
        <v>83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300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301"/>
      <c r="P37" s="288" t="s">
        <v>73</v>
      </c>
      <c r="Q37" s="289"/>
      <c r="R37" s="289"/>
      <c r="S37" s="289"/>
      <c r="T37" s="289"/>
      <c r="U37" s="289"/>
      <c r="V37" s="290"/>
      <c r="W37" s="37" t="s">
        <v>70</v>
      </c>
      <c r="X37" s="270">
        <f>IFERROR(SUM(X34:X36),"0")</f>
        <v>48</v>
      </c>
      <c r="Y37" s="270">
        <f>IFERROR(SUM(Y34:Y36),"0")</f>
        <v>48</v>
      </c>
      <c r="Z37" s="270">
        <f>IFERROR(IF(Z34="",0,Z34),"0")+IFERROR(IF(Z35="",0,Z35),"0")+IFERROR(IF(Z36="",0,Z36),"0")</f>
        <v>0.74399999999999999</v>
      </c>
      <c r="AA37" s="271"/>
      <c r="AB37" s="271"/>
      <c r="AC37" s="271"/>
    </row>
    <row r="38" spans="1:68" x14ac:dyDescent="0.2">
      <c r="A38" s="281"/>
      <c r="B38" s="281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301"/>
      <c r="P38" s="288" t="s">
        <v>73</v>
      </c>
      <c r="Q38" s="289"/>
      <c r="R38" s="289"/>
      <c r="S38" s="289"/>
      <c r="T38" s="289"/>
      <c r="U38" s="289"/>
      <c r="V38" s="290"/>
      <c r="W38" s="37" t="s">
        <v>74</v>
      </c>
      <c r="X38" s="270">
        <f>IFERROR(SUMPRODUCT(X34:X36*H34:H36),"0")</f>
        <v>268.79999999999995</v>
      </c>
      <c r="Y38" s="270">
        <f>IFERROR(SUMPRODUCT(Y34:Y36*H34:H36),"0")</f>
        <v>268.79999999999995</v>
      </c>
      <c r="Z38" s="37"/>
      <c r="AA38" s="271"/>
      <c r="AB38" s="271"/>
      <c r="AC38" s="271"/>
    </row>
    <row r="39" spans="1:68" ht="16.5" hidden="1" customHeight="1" x14ac:dyDescent="0.25">
      <c r="A39" s="280" t="s">
        <v>97</v>
      </c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63"/>
      <c r="AB39" s="263"/>
      <c r="AC39" s="263"/>
    </row>
    <row r="40" spans="1:68" ht="14.25" hidden="1" customHeight="1" x14ac:dyDescent="0.25">
      <c r="A40" s="286" t="s">
        <v>64</v>
      </c>
      <c r="B40" s="281"/>
      <c r="C40" s="281"/>
      <c r="D40" s="281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64"/>
      <c r="AB40" s="264"/>
      <c r="AC40" s="264"/>
    </row>
    <row r="41" spans="1:68" ht="27" hidden="1" customHeight="1" x14ac:dyDescent="0.25">
      <c r="A41" s="54" t="s">
        <v>98</v>
      </c>
      <c r="B41" s="54" t="s">
        <v>99</v>
      </c>
      <c r="C41" s="31">
        <v>4301071044</v>
      </c>
      <c r="D41" s="274">
        <v>4607111039385</v>
      </c>
      <c r="E41" s="27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81</v>
      </c>
      <c r="M41" s="33" t="s">
        <v>69</v>
      </c>
      <c r="N41" s="33"/>
      <c r="O41" s="32">
        <v>180</v>
      </c>
      <c r="P41" s="35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4"/>
      <c r="R41" s="284"/>
      <c r="S41" s="284"/>
      <c r="T41" s="285"/>
      <c r="U41" s="34"/>
      <c r="V41" s="34"/>
      <c r="W41" s="35" t="s">
        <v>70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100</v>
      </c>
      <c r="AG41" s="67"/>
      <c r="AJ41" s="71" t="s">
        <v>83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101</v>
      </c>
      <c r="B42" s="54" t="s">
        <v>102</v>
      </c>
      <c r="C42" s="31">
        <v>4301071031</v>
      </c>
      <c r="D42" s="274">
        <v>4607111038982</v>
      </c>
      <c r="E42" s="27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81</v>
      </c>
      <c r="M42" s="33" t="s">
        <v>69</v>
      </c>
      <c r="N42" s="33"/>
      <c r="O42" s="32">
        <v>180</v>
      </c>
      <c r="P42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4"/>
      <c r="R42" s="284"/>
      <c r="S42" s="284"/>
      <c r="T42" s="285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103</v>
      </c>
      <c r="AG42" s="67"/>
      <c r="AJ42" s="71" t="s">
        <v>83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hidden="1" customHeight="1" x14ac:dyDescent="0.25">
      <c r="A43" s="54" t="s">
        <v>104</v>
      </c>
      <c r="B43" s="54" t="s">
        <v>105</v>
      </c>
      <c r="C43" s="31">
        <v>4301071046</v>
      </c>
      <c r="D43" s="274">
        <v>4607111039354</v>
      </c>
      <c r="E43" s="27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81</v>
      </c>
      <c r="M43" s="33" t="s">
        <v>69</v>
      </c>
      <c r="N43" s="33"/>
      <c r="O43" s="32">
        <v>180</v>
      </c>
      <c r="P43" s="41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4"/>
      <c r="R43" s="284"/>
      <c r="S43" s="284"/>
      <c r="T43" s="285"/>
      <c r="U43" s="34"/>
      <c r="V43" s="34"/>
      <c r="W43" s="35" t="s">
        <v>70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103</v>
      </c>
      <c r="AG43" s="67"/>
      <c r="AJ43" s="71" t="s">
        <v>83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hidden="1" customHeight="1" x14ac:dyDescent="0.25">
      <c r="A44" s="54" t="s">
        <v>106</v>
      </c>
      <c r="B44" s="54" t="s">
        <v>107</v>
      </c>
      <c r="C44" s="31">
        <v>4301071047</v>
      </c>
      <c r="D44" s="274">
        <v>4607111039330</v>
      </c>
      <c r="E44" s="27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44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4"/>
      <c r="R44" s="284"/>
      <c r="S44" s="284"/>
      <c r="T44" s="285"/>
      <c r="U44" s="34"/>
      <c r="V44" s="34"/>
      <c r="W44" s="35" t="s">
        <v>70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103</v>
      </c>
      <c r="AG44" s="67"/>
      <c r="AJ44" s="71" t="s">
        <v>83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hidden="1" x14ac:dyDescent="0.2">
      <c r="A45" s="300"/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301"/>
      <c r="P45" s="288" t="s">
        <v>73</v>
      </c>
      <c r="Q45" s="289"/>
      <c r="R45" s="289"/>
      <c r="S45" s="289"/>
      <c r="T45" s="289"/>
      <c r="U45" s="289"/>
      <c r="V45" s="290"/>
      <c r="W45" s="37" t="s">
        <v>70</v>
      </c>
      <c r="X45" s="270">
        <f>IFERROR(SUM(X41:X44),"0")</f>
        <v>0</v>
      </c>
      <c r="Y45" s="270">
        <f>IFERROR(SUM(Y41:Y44),"0")</f>
        <v>0</v>
      </c>
      <c r="Z45" s="270">
        <f>IFERROR(IF(Z41="",0,Z41),"0")+IFERROR(IF(Z42="",0,Z42),"0")+IFERROR(IF(Z43="",0,Z43),"0")+IFERROR(IF(Z44="",0,Z44),"0")</f>
        <v>0</v>
      </c>
      <c r="AA45" s="271"/>
      <c r="AB45" s="271"/>
      <c r="AC45" s="271"/>
    </row>
    <row r="46" spans="1:68" hidden="1" x14ac:dyDescent="0.2">
      <c r="A46" s="281"/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301"/>
      <c r="P46" s="288" t="s">
        <v>73</v>
      </c>
      <c r="Q46" s="289"/>
      <c r="R46" s="289"/>
      <c r="S46" s="289"/>
      <c r="T46" s="289"/>
      <c r="U46" s="289"/>
      <c r="V46" s="290"/>
      <c r="W46" s="37" t="s">
        <v>74</v>
      </c>
      <c r="X46" s="270">
        <f>IFERROR(SUMPRODUCT(X41:X44*H41:H44),"0")</f>
        <v>0</v>
      </c>
      <c r="Y46" s="270">
        <f>IFERROR(SUMPRODUCT(Y41:Y44*H41:H44),"0")</f>
        <v>0</v>
      </c>
      <c r="Z46" s="37"/>
      <c r="AA46" s="271"/>
      <c r="AB46" s="271"/>
      <c r="AC46" s="271"/>
    </row>
    <row r="47" spans="1:68" ht="16.5" hidden="1" customHeight="1" x14ac:dyDescent="0.25">
      <c r="A47" s="280" t="s">
        <v>108</v>
      </c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63"/>
      <c r="AB47" s="263"/>
      <c r="AC47" s="263"/>
    </row>
    <row r="48" spans="1:68" ht="14.25" hidden="1" customHeight="1" x14ac:dyDescent="0.25">
      <c r="A48" s="286" t="s">
        <v>64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64"/>
      <c r="AB48" s="264"/>
      <c r="AC48" s="264"/>
    </row>
    <row r="49" spans="1:68" ht="16.5" hidden="1" customHeight="1" x14ac:dyDescent="0.25">
      <c r="A49" s="54" t="s">
        <v>109</v>
      </c>
      <c r="B49" s="54" t="s">
        <v>110</v>
      </c>
      <c r="C49" s="31">
        <v>4301071073</v>
      </c>
      <c r="D49" s="274">
        <v>4620207490822</v>
      </c>
      <c r="E49" s="27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37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4"/>
      <c r="R49" s="284"/>
      <c r="S49" s="284"/>
      <c r="T49" s="285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111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300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301"/>
      <c r="P50" s="288" t="s">
        <v>73</v>
      </c>
      <c r="Q50" s="289"/>
      <c r="R50" s="289"/>
      <c r="S50" s="289"/>
      <c r="T50" s="289"/>
      <c r="U50" s="289"/>
      <c r="V50" s="290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1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301"/>
      <c r="P51" s="288" t="s">
        <v>73</v>
      </c>
      <c r="Q51" s="289"/>
      <c r="R51" s="289"/>
      <c r="S51" s="289"/>
      <c r="T51" s="289"/>
      <c r="U51" s="289"/>
      <c r="V51" s="290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286" t="s">
        <v>77</v>
      </c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64"/>
      <c r="AB52" s="264"/>
      <c r="AC52" s="264"/>
    </row>
    <row r="53" spans="1:68" ht="27" hidden="1" customHeight="1" x14ac:dyDescent="0.25">
      <c r="A53" s="54" t="s">
        <v>112</v>
      </c>
      <c r="B53" s="54" t="s">
        <v>113</v>
      </c>
      <c r="C53" s="31">
        <v>4301132194</v>
      </c>
      <c r="D53" s="274">
        <v>4607111039712</v>
      </c>
      <c r="E53" s="27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40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4"/>
      <c r="R53" s="284"/>
      <c r="S53" s="284"/>
      <c r="T53" s="285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114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300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301"/>
      <c r="P54" s="288" t="s">
        <v>73</v>
      </c>
      <c r="Q54" s="289"/>
      <c r="R54" s="289"/>
      <c r="S54" s="289"/>
      <c r="T54" s="289"/>
      <c r="U54" s="289"/>
      <c r="V54" s="290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1"/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301"/>
      <c r="P55" s="288" t="s">
        <v>73</v>
      </c>
      <c r="Q55" s="289"/>
      <c r="R55" s="289"/>
      <c r="S55" s="289"/>
      <c r="T55" s="289"/>
      <c r="U55" s="289"/>
      <c r="V55" s="290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86" t="s">
        <v>115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64"/>
      <c r="AB56" s="264"/>
      <c r="AC56" s="264"/>
    </row>
    <row r="57" spans="1:68" ht="16.5" hidden="1" customHeight="1" x14ac:dyDescent="0.25">
      <c r="A57" s="54" t="s">
        <v>116</v>
      </c>
      <c r="B57" s="54" t="s">
        <v>117</v>
      </c>
      <c r="C57" s="31">
        <v>4301136018</v>
      </c>
      <c r="D57" s="274">
        <v>4607111037008</v>
      </c>
      <c r="E57" s="27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32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4"/>
      <c r="R57" s="284"/>
      <c r="S57" s="284"/>
      <c r="T57" s="285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118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119</v>
      </c>
      <c r="B58" s="54" t="s">
        <v>120</v>
      </c>
      <c r="C58" s="31">
        <v>4301136015</v>
      </c>
      <c r="D58" s="274">
        <v>4607111037398</v>
      </c>
      <c r="E58" s="27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2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4"/>
      <c r="R58" s="284"/>
      <c r="S58" s="284"/>
      <c r="T58" s="285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118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00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301"/>
      <c r="P59" s="288" t="s">
        <v>73</v>
      </c>
      <c r="Q59" s="289"/>
      <c r="R59" s="289"/>
      <c r="S59" s="289"/>
      <c r="T59" s="289"/>
      <c r="U59" s="289"/>
      <c r="V59" s="290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301"/>
      <c r="P60" s="288" t="s">
        <v>73</v>
      </c>
      <c r="Q60" s="289"/>
      <c r="R60" s="289"/>
      <c r="S60" s="289"/>
      <c r="T60" s="289"/>
      <c r="U60" s="289"/>
      <c r="V60" s="290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86" t="s">
        <v>121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64"/>
      <c r="AB61" s="264"/>
      <c r="AC61" s="264"/>
    </row>
    <row r="62" spans="1:68" ht="27" hidden="1" customHeight="1" x14ac:dyDescent="0.25">
      <c r="A62" s="54" t="s">
        <v>122</v>
      </c>
      <c r="B62" s="54" t="s">
        <v>123</v>
      </c>
      <c r="C62" s="31">
        <v>4301135664</v>
      </c>
      <c r="D62" s="274">
        <v>4607111039705</v>
      </c>
      <c r="E62" s="27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2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4"/>
      <c r="R62" s="284"/>
      <c r="S62" s="284"/>
      <c r="T62" s="285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118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124</v>
      </c>
      <c r="B63" s="54" t="s">
        <v>125</v>
      </c>
      <c r="C63" s="31">
        <v>4301135665</v>
      </c>
      <c r="D63" s="274">
        <v>4607111039729</v>
      </c>
      <c r="E63" s="27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1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126</v>
      </c>
      <c r="AG63" s="67"/>
      <c r="AJ63" s="71" t="s">
        <v>72</v>
      </c>
      <c r="AK63" s="71">
        <v>1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127</v>
      </c>
      <c r="B64" s="54" t="s">
        <v>128</v>
      </c>
      <c r="C64" s="31">
        <v>4301135702</v>
      </c>
      <c r="D64" s="274">
        <v>4620207490228</v>
      </c>
      <c r="E64" s="27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32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126</v>
      </c>
      <c r="AG64" s="67"/>
      <c r="AJ64" s="71" t="s">
        <v>72</v>
      </c>
      <c r="AK64" s="71">
        <v>1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300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301"/>
      <c r="P65" s="288" t="s">
        <v>73</v>
      </c>
      <c r="Q65" s="289"/>
      <c r="R65" s="289"/>
      <c r="S65" s="289"/>
      <c r="T65" s="289"/>
      <c r="U65" s="289"/>
      <c r="V65" s="290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301"/>
      <c r="P66" s="288" t="s">
        <v>73</v>
      </c>
      <c r="Q66" s="289"/>
      <c r="R66" s="289"/>
      <c r="S66" s="289"/>
      <c r="T66" s="289"/>
      <c r="U66" s="289"/>
      <c r="V66" s="290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80" t="s">
        <v>129</v>
      </c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63"/>
      <c r="AB67" s="263"/>
      <c r="AC67" s="263"/>
    </row>
    <row r="68" spans="1:68" ht="14.25" hidden="1" customHeight="1" x14ac:dyDescent="0.25">
      <c r="A68" s="286" t="s">
        <v>64</v>
      </c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64"/>
      <c r="AB68" s="264"/>
      <c r="AC68" s="264"/>
    </row>
    <row r="69" spans="1:68" ht="27" hidden="1" customHeight="1" x14ac:dyDescent="0.25">
      <c r="A69" s="54" t="s">
        <v>130</v>
      </c>
      <c r="B69" s="54" t="s">
        <v>131</v>
      </c>
      <c r="C69" s="31">
        <v>4301070977</v>
      </c>
      <c r="D69" s="274">
        <v>4607111037411</v>
      </c>
      <c r="E69" s="27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132</v>
      </c>
      <c r="L69" s="32" t="s">
        <v>81</v>
      </c>
      <c r="M69" s="33" t="s">
        <v>69</v>
      </c>
      <c r="N69" s="33"/>
      <c r="O69" s="32">
        <v>180</v>
      </c>
      <c r="P69" s="39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4"/>
      <c r="R69" s="284"/>
      <c r="S69" s="284"/>
      <c r="T69" s="285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133</v>
      </c>
      <c r="AG69" s="67"/>
      <c r="AJ69" s="71" t="s">
        <v>83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134</v>
      </c>
      <c r="B70" s="54" t="s">
        <v>135</v>
      </c>
      <c r="C70" s="31">
        <v>4301070981</v>
      </c>
      <c r="D70" s="274">
        <v>4607111036728</v>
      </c>
      <c r="E70" s="27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36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4"/>
      <c r="R70" s="284"/>
      <c r="S70" s="284"/>
      <c r="T70" s="285"/>
      <c r="U70" s="34"/>
      <c r="V70" s="34"/>
      <c r="W70" s="35" t="s">
        <v>70</v>
      </c>
      <c r="X70" s="268">
        <v>48</v>
      </c>
      <c r="Y70" s="269">
        <f>IFERROR(IF(X70="","",X70),"")</f>
        <v>48</v>
      </c>
      <c r="Z70" s="36">
        <f>IFERROR(IF(X70="","",X70*0.00866),"")</f>
        <v>0.41567999999999994</v>
      </c>
      <c r="AA70" s="56"/>
      <c r="AB70" s="57"/>
      <c r="AC70" s="108" t="s">
        <v>133</v>
      </c>
      <c r="AG70" s="67"/>
      <c r="AJ70" s="71" t="s">
        <v>83</v>
      </c>
      <c r="AK70" s="71">
        <v>12</v>
      </c>
      <c r="BB70" s="109" t="s">
        <v>1</v>
      </c>
      <c r="BM70" s="67">
        <f>IFERROR(X70*I70,"0")</f>
        <v>250.23359999999997</v>
      </c>
      <c r="BN70" s="67">
        <f>IFERROR(Y70*I70,"0")</f>
        <v>250.23359999999997</v>
      </c>
      <c r="BO70" s="67">
        <f>IFERROR(X70/J70,"0")</f>
        <v>0.33333333333333331</v>
      </c>
      <c r="BP70" s="67">
        <f>IFERROR(Y70/J70,"0")</f>
        <v>0.33333333333333331</v>
      </c>
    </row>
    <row r="71" spans="1:68" x14ac:dyDescent="0.2">
      <c r="A71" s="300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301"/>
      <c r="P71" s="288" t="s">
        <v>73</v>
      </c>
      <c r="Q71" s="289"/>
      <c r="R71" s="289"/>
      <c r="S71" s="289"/>
      <c r="T71" s="289"/>
      <c r="U71" s="289"/>
      <c r="V71" s="290"/>
      <c r="W71" s="37" t="s">
        <v>70</v>
      </c>
      <c r="X71" s="270">
        <f>IFERROR(SUM(X69:X70),"0")</f>
        <v>48</v>
      </c>
      <c r="Y71" s="270">
        <f>IFERROR(SUM(Y69:Y70),"0")</f>
        <v>48</v>
      </c>
      <c r="Z71" s="270">
        <f>IFERROR(IF(Z69="",0,Z69),"0")+IFERROR(IF(Z70="",0,Z70),"0")</f>
        <v>0.41567999999999994</v>
      </c>
      <c r="AA71" s="271"/>
      <c r="AB71" s="271"/>
      <c r="AC71" s="271"/>
    </row>
    <row r="72" spans="1:68" x14ac:dyDescent="0.2">
      <c r="A72" s="281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301"/>
      <c r="P72" s="288" t="s">
        <v>73</v>
      </c>
      <c r="Q72" s="289"/>
      <c r="R72" s="289"/>
      <c r="S72" s="289"/>
      <c r="T72" s="289"/>
      <c r="U72" s="289"/>
      <c r="V72" s="290"/>
      <c r="W72" s="37" t="s">
        <v>74</v>
      </c>
      <c r="X72" s="270">
        <f>IFERROR(SUMPRODUCT(X69:X70*H69:H70),"0")</f>
        <v>240</v>
      </c>
      <c r="Y72" s="270">
        <f>IFERROR(SUMPRODUCT(Y69:Y70*H69:H70),"0")</f>
        <v>240</v>
      </c>
      <c r="Z72" s="37"/>
      <c r="AA72" s="271"/>
      <c r="AB72" s="271"/>
      <c r="AC72" s="271"/>
    </row>
    <row r="73" spans="1:68" ht="16.5" hidden="1" customHeight="1" x14ac:dyDescent="0.25">
      <c r="A73" s="280" t="s">
        <v>136</v>
      </c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63"/>
      <c r="AB73" s="263"/>
      <c r="AC73" s="263"/>
    </row>
    <row r="74" spans="1:68" ht="14.25" hidden="1" customHeight="1" x14ac:dyDescent="0.25">
      <c r="A74" s="286" t="s">
        <v>121</v>
      </c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64"/>
      <c r="AB74" s="264"/>
      <c r="AC74" s="264"/>
    </row>
    <row r="75" spans="1:68" ht="27" hidden="1" customHeight="1" x14ac:dyDescent="0.25">
      <c r="A75" s="54" t="s">
        <v>137</v>
      </c>
      <c r="B75" s="54" t="s">
        <v>138</v>
      </c>
      <c r="C75" s="31">
        <v>4301135574</v>
      </c>
      <c r="D75" s="274">
        <v>4607111033659</v>
      </c>
      <c r="E75" s="27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81</v>
      </c>
      <c r="M75" s="33" t="s">
        <v>69</v>
      </c>
      <c r="N75" s="33"/>
      <c r="O75" s="32">
        <v>180</v>
      </c>
      <c r="P75" s="32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4"/>
      <c r="R75" s="284"/>
      <c r="S75" s="284"/>
      <c r="T75" s="285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139</v>
      </c>
      <c r="AG75" s="67"/>
      <c r="AJ75" s="71" t="s">
        <v>83</v>
      </c>
      <c r="AK75" s="71">
        <v>14</v>
      </c>
      <c r="BB75" s="111" t="s">
        <v>84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300"/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301"/>
      <c r="P76" s="288" t="s">
        <v>73</v>
      </c>
      <c r="Q76" s="289"/>
      <c r="R76" s="289"/>
      <c r="S76" s="289"/>
      <c r="T76" s="289"/>
      <c r="U76" s="289"/>
      <c r="V76" s="290"/>
      <c r="W76" s="37" t="s">
        <v>70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hidden="1" x14ac:dyDescent="0.2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301"/>
      <c r="P77" s="288" t="s">
        <v>73</v>
      </c>
      <c r="Q77" s="289"/>
      <c r="R77" s="289"/>
      <c r="S77" s="289"/>
      <c r="T77" s="289"/>
      <c r="U77" s="289"/>
      <c r="V77" s="290"/>
      <c r="W77" s="37" t="s">
        <v>74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hidden="1" customHeight="1" x14ac:dyDescent="0.25">
      <c r="A78" s="280" t="s">
        <v>140</v>
      </c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63"/>
      <c r="AB78" s="263"/>
      <c r="AC78" s="263"/>
    </row>
    <row r="79" spans="1:68" ht="14.25" hidden="1" customHeight="1" x14ac:dyDescent="0.25">
      <c r="A79" s="286" t="s">
        <v>141</v>
      </c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64"/>
      <c r="AB79" s="264"/>
      <c r="AC79" s="264"/>
    </row>
    <row r="80" spans="1:68" ht="27" customHeight="1" x14ac:dyDescent="0.25">
      <c r="A80" s="54" t="s">
        <v>142</v>
      </c>
      <c r="B80" s="54" t="s">
        <v>143</v>
      </c>
      <c r="C80" s="31">
        <v>4301131047</v>
      </c>
      <c r="D80" s="274">
        <v>4607111034120</v>
      </c>
      <c r="E80" s="27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81</v>
      </c>
      <c r="M80" s="33" t="s">
        <v>69</v>
      </c>
      <c r="N80" s="33"/>
      <c r="O80" s="32">
        <v>180</v>
      </c>
      <c r="P80" s="29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4"/>
      <c r="R80" s="284"/>
      <c r="S80" s="284"/>
      <c r="T80" s="285"/>
      <c r="U80" s="34"/>
      <c r="V80" s="34"/>
      <c r="W80" s="35" t="s">
        <v>70</v>
      </c>
      <c r="X80" s="268">
        <v>14</v>
      </c>
      <c r="Y80" s="269">
        <f>IFERROR(IF(X80="","",X80),"")</f>
        <v>14</v>
      </c>
      <c r="Z80" s="36">
        <f>IFERROR(IF(X80="","",X80*0.01788),"")</f>
        <v>0.25031999999999999</v>
      </c>
      <c r="AA80" s="56"/>
      <c r="AB80" s="57"/>
      <c r="AC80" s="112" t="s">
        <v>144</v>
      </c>
      <c r="AG80" s="67"/>
      <c r="AJ80" s="71" t="s">
        <v>83</v>
      </c>
      <c r="AK80" s="71">
        <v>14</v>
      </c>
      <c r="BB80" s="113" t="s">
        <v>84</v>
      </c>
      <c r="BM80" s="67">
        <f>IFERROR(X80*I80,"0")</f>
        <v>60.250400000000006</v>
      </c>
      <c r="BN80" s="67">
        <f>IFERROR(Y80*I80,"0")</f>
        <v>60.250400000000006</v>
      </c>
      <c r="BO80" s="67">
        <f>IFERROR(X80/J80,"0")</f>
        <v>0.2</v>
      </c>
      <c r="BP80" s="67">
        <f>IFERROR(Y80/J80,"0")</f>
        <v>0.2</v>
      </c>
    </row>
    <row r="81" spans="1:68" ht="27" hidden="1" customHeight="1" x14ac:dyDescent="0.25">
      <c r="A81" s="54" t="s">
        <v>145</v>
      </c>
      <c r="B81" s="54" t="s">
        <v>146</v>
      </c>
      <c r="C81" s="31">
        <v>4301131046</v>
      </c>
      <c r="D81" s="274">
        <v>4607111034137</v>
      </c>
      <c r="E81" s="27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81</v>
      </c>
      <c r="M81" s="33" t="s">
        <v>69</v>
      </c>
      <c r="N81" s="33"/>
      <c r="O81" s="32">
        <v>180</v>
      </c>
      <c r="P81" s="44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70</v>
      </c>
      <c r="X81" s="268">
        <v>0</v>
      </c>
      <c r="Y81" s="269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147</v>
      </c>
      <c r="AG81" s="67"/>
      <c r="AJ81" s="71" t="s">
        <v>83</v>
      </c>
      <c r="AK81" s="71">
        <v>14</v>
      </c>
      <c r="BB81" s="115" t="s">
        <v>84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300"/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301"/>
      <c r="P82" s="288" t="s">
        <v>73</v>
      </c>
      <c r="Q82" s="289"/>
      <c r="R82" s="289"/>
      <c r="S82" s="289"/>
      <c r="T82" s="289"/>
      <c r="U82" s="289"/>
      <c r="V82" s="290"/>
      <c r="W82" s="37" t="s">
        <v>70</v>
      </c>
      <c r="X82" s="270">
        <f>IFERROR(SUM(X80:X81),"0")</f>
        <v>14</v>
      </c>
      <c r="Y82" s="270">
        <f>IFERROR(SUM(Y80:Y81),"0")</f>
        <v>14</v>
      </c>
      <c r="Z82" s="270">
        <f>IFERROR(IF(Z80="",0,Z80),"0")+IFERROR(IF(Z81="",0,Z81),"0")</f>
        <v>0.25031999999999999</v>
      </c>
      <c r="AA82" s="271"/>
      <c r="AB82" s="271"/>
      <c r="AC82" s="271"/>
    </row>
    <row r="83" spans="1:68" x14ac:dyDescent="0.2">
      <c r="A83" s="281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301"/>
      <c r="P83" s="288" t="s">
        <v>73</v>
      </c>
      <c r="Q83" s="289"/>
      <c r="R83" s="289"/>
      <c r="S83" s="289"/>
      <c r="T83" s="289"/>
      <c r="U83" s="289"/>
      <c r="V83" s="290"/>
      <c r="W83" s="37" t="s">
        <v>74</v>
      </c>
      <c r="X83" s="270">
        <f>IFERROR(SUMPRODUCT(X80:X81*H80:H81),"0")</f>
        <v>50.4</v>
      </c>
      <c r="Y83" s="270">
        <f>IFERROR(SUMPRODUCT(Y80:Y81*H80:H81),"0")</f>
        <v>50.4</v>
      </c>
      <c r="Z83" s="37"/>
      <c r="AA83" s="271"/>
      <c r="AB83" s="271"/>
      <c r="AC83" s="271"/>
    </row>
    <row r="84" spans="1:68" ht="16.5" hidden="1" customHeight="1" x14ac:dyDescent="0.25">
      <c r="A84" s="280" t="s">
        <v>148</v>
      </c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63"/>
      <c r="AB84" s="263"/>
      <c r="AC84" s="263"/>
    </row>
    <row r="85" spans="1:68" ht="14.25" hidden="1" customHeight="1" x14ac:dyDescent="0.25">
      <c r="A85" s="286" t="s">
        <v>121</v>
      </c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64"/>
      <c r="AB85" s="264"/>
      <c r="AC85" s="264"/>
    </row>
    <row r="86" spans="1:68" ht="27" customHeight="1" x14ac:dyDescent="0.25">
      <c r="A86" s="54" t="s">
        <v>149</v>
      </c>
      <c r="B86" s="54" t="s">
        <v>150</v>
      </c>
      <c r="C86" s="31">
        <v>4301135763</v>
      </c>
      <c r="D86" s="274">
        <v>4620207491027</v>
      </c>
      <c r="E86" s="27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81</v>
      </c>
      <c r="M86" s="33" t="s">
        <v>69</v>
      </c>
      <c r="N86" s="33"/>
      <c r="O86" s="32">
        <v>180</v>
      </c>
      <c r="P86" s="45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4"/>
      <c r="R86" s="284"/>
      <c r="S86" s="284"/>
      <c r="T86" s="285"/>
      <c r="U86" s="34"/>
      <c r="V86" s="34"/>
      <c r="W86" s="35" t="s">
        <v>70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139</v>
      </c>
      <c r="AG86" s="67"/>
      <c r="AJ86" s="71" t="s">
        <v>83</v>
      </c>
      <c r="AK86" s="71">
        <v>14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151</v>
      </c>
      <c r="B87" s="54" t="s">
        <v>152</v>
      </c>
      <c r="C87" s="31">
        <v>4301135793</v>
      </c>
      <c r="D87" s="274">
        <v>4620207491003</v>
      </c>
      <c r="E87" s="27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70</v>
      </c>
      <c r="X87" s="268">
        <v>14</v>
      </c>
      <c r="Y87" s="269">
        <f t="shared" si="0"/>
        <v>14</v>
      </c>
      <c r="Z87" s="36">
        <f t="shared" si="1"/>
        <v>0.25031999999999999</v>
      </c>
      <c r="AA87" s="56"/>
      <c r="AB87" s="57"/>
      <c r="AC87" s="118" t="s">
        <v>139</v>
      </c>
      <c r="AG87" s="67"/>
      <c r="AJ87" s="71" t="s">
        <v>83</v>
      </c>
      <c r="AK87" s="71">
        <v>14</v>
      </c>
      <c r="BB87" s="119" t="s">
        <v>84</v>
      </c>
      <c r="BM87" s="67">
        <f t="shared" si="2"/>
        <v>50.170400000000001</v>
      </c>
      <c r="BN87" s="67">
        <f t="shared" si="3"/>
        <v>50.170400000000001</v>
      </c>
      <c r="BO87" s="67">
        <f t="shared" si="4"/>
        <v>0.2</v>
      </c>
      <c r="BP87" s="67">
        <f t="shared" si="5"/>
        <v>0.2</v>
      </c>
    </row>
    <row r="88" spans="1:68" ht="27" customHeight="1" x14ac:dyDescent="0.25">
      <c r="A88" s="54" t="s">
        <v>153</v>
      </c>
      <c r="B88" s="54" t="s">
        <v>154</v>
      </c>
      <c r="C88" s="31">
        <v>4301135768</v>
      </c>
      <c r="D88" s="274">
        <v>4620207491034</v>
      </c>
      <c r="E88" s="27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81</v>
      </c>
      <c r="M88" s="33" t="s">
        <v>69</v>
      </c>
      <c r="N88" s="33"/>
      <c r="O88" s="32">
        <v>180</v>
      </c>
      <c r="P88" s="3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70</v>
      </c>
      <c r="X88" s="268">
        <v>14</v>
      </c>
      <c r="Y88" s="269">
        <f t="shared" si="0"/>
        <v>14</v>
      </c>
      <c r="Z88" s="36">
        <f t="shared" si="1"/>
        <v>0.25031999999999999</v>
      </c>
      <c r="AA88" s="56"/>
      <c r="AB88" s="57"/>
      <c r="AC88" s="120" t="s">
        <v>155</v>
      </c>
      <c r="AG88" s="67"/>
      <c r="AJ88" s="71" t="s">
        <v>83</v>
      </c>
      <c r="AK88" s="71">
        <v>14</v>
      </c>
      <c r="BB88" s="121" t="s">
        <v>84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hidden="1" customHeight="1" x14ac:dyDescent="0.25">
      <c r="A89" s="54" t="s">
        <v>156</v>
      </c>
      <c r="B89" s="54" t="s">
        <v>157</v>
      </c>
      <c r="C89" s="31">
        <v>4301135760</v>
      </c>
      <c r="D89" s="274">
        <v>4620207491010</v>
      </c>
      <c r="E89" s="27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9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70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139</v>
      </c>
      <c r="AG89" s="67"/>
      <c r="AJ89" s="71" t="s">
        <v>83</v>
      </c>
      <c r="AK89" s="71">
        <v>14</v>
      </c>
      <c r="BB89" s="123" t="s">
        <v>84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hidden="1" customHeight="1" x14ac:dyDescent="0.25">
      <c r="A90" s="54" t="s">
        <v>158</v>
      </c>
      <c r="B90" s="54" t="s">
        <v>159</v>
      </c>
      <c r="C90" s="31">
        <v>4301135571</v>
      </c>
      <c r="D90" s="274">
        <v>4607111035028</v>
      </c>
      <c r="E90" s="27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81</v>
      </c>
      <c r="M90" s="33" t="s">
        <v>69</v>
      </c>
      <c r="N90" s="33"/>
      <c r="O90" s="32">
        <v>180</v>
      </c>
      <c r="P90" s="36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4"/>
      <c r="R90" s="284"/>
      <c r="S90" s="284"/>
      <c r="T90" s="285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139</v>
      </c>
      <c r="AG90" s="67"/>
      <c r="AJ90" s="71" t="s">
        <v>83</v>
      </c>
      <c r="AK90" s="71">
        <v>14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160</v>
      </c>
      <c r="B91" s="54" t="s">
        <v>161</v>
      </c>
      <c r="C91" s="31">
        <v>4301135285</v>
      </c>
      <c r="D91" s="274">
        <v>4607111036407</v>
      </c>
      <c r="E91" s="27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81</v>
      </c>
      <c r="M91" s="33" t="s">
        <v>69</v>
      </c>
      <c r="N91" s="33"/>
      <c r="O91" s="32">
        <v>180</v>
      </c>
      <c r="P91" s="35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4"/>
      <c r="R91" s="284"/>
      <c r="S91" s="284"/>
      <c r="T91" s="285"/>
      <c r="U91" s="34"/>
      <c r="V91" s="34"/>
      <c r="W91" s="35" t="s">
        <v>70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162</v>
      </c>
      <c r="AG91" s="67"/>
      <c r="AJ91" s="71" t="s">
        <v>83</v>
      </c>
      <c r="AK91" s="71">
        <v>14</v>
      </c>
      <c r="BB91" s="127" t="s">
        <v>84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300"/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301"/>
      <c r="P92" s="288" t="s">
        <v>73</v>
      </c>
      <c r="Q92" s="289"/>
      <c r="R92" s="289"/>
      <c r="S92" s="289"/>
      <c r="T92" s="289"/>
      <c r="U92" s="289"/>
      <c r="V92" s="290"/>
      <c r="W92" s="37" t="s">
        <v>70</v>
      </c>
      <c r="X92" s="270">
        <f>IFERROR(SUM(X86:X91),"0")</f>
        <v>42</v>
      </c>
      <c r="Y92" s="270">
        <f>IFERROR(SUM(Y86:Y91),"0")</f>
        <v>42</v>
      </c>
      <c r="Z92" s="270">
        <f>IFERROR(IF(Z86="",0,Z86),"0")+IFERROR(IF(Z87="",0,Z87),"0")+IFERROR(IF(Z88="",0,Z88),"0")+IFERROR(IF(Z89="",0,Z89),"0")+IFERROR(IF(Z90="",0,Z90),"0")+IFERROR(IF(Z91="",0,Z91),"0")</f>
        <v>0.75095999999999996</v>
      </c>
      <c r="AA92" s="271"/>
      <c r="AB92" s="271"/>
      <c r="AC92" s="271"/>
    </row>
    <row r="93" spans="1:68" x14ac:dyDescent="0.2">
      <c r="A93" s="281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301"/>
      <c r="P93" s="288" t="s">
        <v>73</v>
      </c>
      <c r="Q93" s="289"/>
      <c r="R93" s="289"/>
      <c r="S93" s="289"/>
      <c r="T93" s="289"/>
      <c r="U93" s="289"/>
      <c r="V93" s="290"/>
      <c r="W93" s="37" t="s">
        <v>74</v>
      </c>
      <c r="X93" s="270">
        <f>IFERROR(SUMPRODUCT(X86:X91*H86:H91),"0")</f>
        <v>120.96000000000001</v>
      </c>
      <c r="Y93" s="270">
        <f>IFERROR(SUMPRODUCT(Y86:Y91*H86:H91),"0")</f>
        <v>120.96000000000001</v>
      </c>
      <c r="Z93" s="37"/>
      <c r="AA93" s="271"/>
      <c r="AB93" s="271"/>
      <c r="AC93" s="271"/>
    </row>
    <row r="94" spans="1:68" ht="16.5" hidden="1" customHeight="1" x14ac:dyDescent="0.25">
      <c r="A94" s="280" t="s">
        <v>163</v>
      </c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63"/>
      <c r="AB94" s="263"/>
      <c r="AC94" s="263"/>
    </row>
    <row r="95" spans="1:68" ht="14.25" hidden="1" customHeight="1" x14ac:dyDescent="0.25">
      <c r="A95" s="286" t="s">
        <v>115</v>
      </c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64"/>
      <c r="AB95" s="264"/>
      <c r="AC95" s="264"/>
    </row>
    <row r="96" spans="1:68" ht="27" hidden="1" customHeight="1" x14ac:dyDescent="0.25">
      <c r="A96" s="54" t="s">
        <v>164</v>
      </c>
      <c r="B96" s="54" t="s">
        <v>165</v>
      </c>
      <c r="C96" s="31">
        <v>4301136070</v>
      </c>
      <c r="D96" s="274">
        <v>4607025784012</v>
      </c>
      <c r="E96" s="27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81</v>
      </c>
      <c r="M96" s="33" t="s">
        <v>69</v>
      </c>
      <c r="N96" s="33"/>
      <c r="O96" s="32">
        <v>180</v>
      </c>
      <c r="P96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4"/>
      <c r="R96" s="284"/>
      <c r="S96" s="284"/>
      <c r="T96" s="285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166</v>
      </c>
      <c r="AG96" s="67"/>
      <c r="AJ96" s="71" t="s">
        <v>83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167</v>
      </c>
      <c r="B97" s="54" t="s">
        <v>168</v>
      </c>
      <c r="C97" s="31">
        <v>4301136079</v>
      </c>
      <c r="D97" s="274">
        <v>4607025784319</v>
      </c>
      <c r="E97" s="27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81</v>
      </c>
      <c r="M97" s="33" t="s">
        <v>69</v>
      </c>
      <c r="N97" s="33"/>
      <c r="O97" s="32">
        <v>180</v>
      </c>
      <c r="P97" s="42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4"/>
      <c r="R97" s="284"/>
      <c r="S97" s="284"/>
      <c r="T97" s="285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139</v>
      </c>
      <c r="AG97" s="67"/>
      <c r="AJ97" s="71" t="s">
        <v>83</v>
      </c>
      <c r="AK97" s="71">
        <v>14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300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O98" s="301"/>
      <c r="P98" s="288" t="s">
        <v>73</v>
      </c>
      <c r="Q98" s="289"/>
      <c r="R98" s="289"/>
      <c r="S98" s="289"/>
      <c r="T98" s="289"/>
      <c r="U98" s="289"/>
      <c r="V98" s="290"/>
      <c r="W98" s="37" t="s">
        <v>70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301"/>
      <c r="P99" s="288" t="s">
        <v>73</v>
      </c>
      <c r="Q99" s="289"/>
      <c r="R99" s="289"/>
      <c r="S99" s="289"/>
      <c r="T99" s="289"/>
      <c r="U99" s="289"/>
      <c r="V99" s="290"/>
      <c r="W99" s="37" t="s">
        <v>74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80" t="s">
        <v>169</v>
      </c>
      <c r="B100" s="281"/>
      <c r="C100" s="281"/>
      <c r="D100" s="281"/>
      <c r="E100" s="281"/>
      <c r="F100" s="281"/>
      <c r="G100" s="281"/>
      <c r="H100" s="281"/>
      <c r="I100" s="281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63"/>
      <c r="AB100" s="263"/>
      <c r="AC100" s="263"/>
    </row>
    <row r="101" spans="1:68" ht="14.25" hidden="1" customHeight="1" x14ac:dyDescent="0.25">
      <c r="A101" s="286" t="s">
        <v>64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64"/>
      <c r="AB101" s="264"/>
      <c r="AC101" s="264"/>
    </row>
    <row r="102" spans="1:68" ht="27" customHeight="1" x14ac:dyDescent="0.25">
      <c r="A102" s="54" t="s">
        <v>170</v>
      </c>
      <c r="B102" s="54" t="s">
        <v>171</v>
      </c>
      <c r="C102" s="31">
        <v>4301071074</v>
      </c>
      <c r="D102" s="274">
        <v>4620207491157</v>
      </c>
      <c r="E102" s="27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81</v>
      </c>
      <c r="M102" s="33" t="s">
        <v>69</v>
      </c>
      <c r="N102" s="33"/>
      <c r="O102" s="32">
        <v>180</v>
      </c>
      <c r="P102" s="36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4"/>
      <c r="R102" s="284"/>
      <c r="S102" s="284"/>
      <c r="T102" s="285"/>
      <c r="U102" s="34"/>
      <c r="V102" s="34"/>
      <c r="W102" s="35" t="s">
        <v>70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172</v>
      </c>
      <c r="AG102" s="67"/>
      <c r="AJ102" s="71" t="s">
        <v>83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hidden="1" customHeight="1" x14ac:dyDescent="0.25">
      <c r="A103" s="54" t="s">
        <v>173</v>
      </c>
      <c r="B103" s="54" t="s">
        <v>174</v>
      </c>
      <c r="C103" s="31">
        <v>4301071051</v>
      </c>
      <c r="D103" s="274">
        <v>4607111039262</v>
      </c>
      <c r="E103" s="27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81</v>
      </c>
      <c r="M103" s="33" t="s">
        <v>69</v>
      </c>
      <c r="N103" s="33"/>
      <c r="O103" s="32">
        <v>180</v>
      </c>
      <c r="P103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4"/>
      <c r="R103" s="284"/>
      <c r="S103" s="284"/>
      <c r="T103" s="285"/>
      <c r="U103" s="34"/>
      <c r="V103" s="34"/>
      <c r="W103" s="35" t="s">
        <v>70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133</v>
      </c>
      <c r="AG103" s="67"/>
      <c r="AJ103" s="71" t="s">
        <v>83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hidden="1" customHeight="1" x14ac:dyDescent="0.25">
      <c r="A104" s="54" t="s">
        <v>175</v>
      </c>
      <c r="B104" s="54" t="s">
        <v>176</v>
      </c>
      <c r="C104" s="31">
        <v>4301071038</v>
      </c>
      <c r="D104" s="274">
        <v>4607111039248</v>
      </c>
      <c r="E104" s="27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44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4"/>
      <c r="R104" s="284"/>
      <c r="S104" s="284"/>
      <c r="T104" s="285"/>
      <c r="U104" s="34"/>
      <c r="V104" s="34"/>
      <c r="W104" s="35" t="s">
        <v>70</v>
      </c>
      <c r="X104" s="268">
        <v>0</v>
      </c>
      <c r="Y104" s="269">
        <f t="shared" si="6"/>
        <v>0</v>
      </c>
      <c r="Z104" s="36">
        <f t="shared" si="7"/>
        <v>0</v>
      </c>
      <c r="AA104" s="56"/>
      <c r="AB104" s="57"/>
      <c r="AC104" s="136" t="s">
        <v>133</v>
      </c>
      <c r="AG104" s="67"/>
      <c r="AJ104" s="71" t="s">
        <v>83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hidden="1" customHeight="1" x14ac:dyDescent="0.25">
      <c r="A105" s="54" t="s">
        <v>177</v>
      </c>
      <c r="B105" s="54" t="s">
        <v>178</v>
      </c>
      <c r="C105" s="31">
        <v>4301070979</v>
      </c>
      <c r="D105" s="274">
        <v>4607111037145</v>
      </c>
      <c r="E105" s="27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35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4"/>
      <c r="R105" s="284"/>
      <c r="S105" s="284"/>
      <c r="T105" s="285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179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180</v>
      </c>
      <c r="B106" s="54" t="s">
        <v>181</v>
      </c>
      <c r="C106" s="31">
        <v>4301071049</v>
      </c>
      <c r="D106" s="274">
        <v>4607111039293</v>
      </c>
      <c r="E106" s="27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81</v>
      </c>
      <c r="M106" s="33" t="s">
        <v>69</v>
      </c>
      <c r="N106" s="33"/>
      <c r="O106" s="32">
        <v>180</v>
      </c>
      <c r="P106" s="34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4"/>
      <c r="R106" s="284"/>
      <c r="S106" s="284"/>
      <c r="T106" s="285"/>
      <c r="U106" s="34"/>
      <c r="V106" s="34"/>
      <c r="W106" s="35" t="s">
        <v>70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133</v>
      </c>
      <c r="AG106" s="67"/>
      <c r="AJ106" s="71" t="s">
        <v>83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182</v>
      </c>
      <c r="B107" s="54" t="s">
        <v>183</v>
      </c>
      <c r="C107" s="31">
        <v>4301071039</v>
      </c>
      <c r="D107" s="274">
        <v>4607111039279</v>
      </c>
      <c r="E107" s="27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4"/>
      <c r="R107" s="284"/>
      <c r="S107" s="284"/>
      <c r="T107" s="285"/>
      <c r="U107" s="34"/>
      <c r="V107" s="34"/>
      <c r="W107" s="35" t="s">
        <v>70</v>
      </c>
      <c r="X107" s="268">
        <v>12</v>
      </c>
      <c r="Y107" s="269">
        <f t="shared" si="6"/>
        <v>12</v>
      </c>
      <c r="Z107" s="36">
        <f t="shared" si="7"/>
        <v>0.186</v>
      </c>
      <c r="AA107" s="56"/>
      <c r="AB107" s="57"/>
      <c r="AC107" s="142" t="s">
        <v>133</v>
      </c>
      <c r="AG107" s="67"/>
      <c r="AJ107" s="71" t="s">
        <v>83</v>
      </c>
      <c r="AK107" s="71">
        <v>12</v>
      </c>
      <c r="BB107" s="143" t="s">
        <v>1</v>
      </c>
      <c r="BM107" s="67">
        <f t="shared" si="8"/>
        <v>87.6</v>
      </c>
      <c r="BN107" s="67">
        <f t="shared" si="9"/>
        <v>87.6</v>
      </c>
      <c r="BO107" s="67">
        <f t="shared" si="10"/>
        <v>0.14285714285714285</v>
      </c>
      <c r="BP107" s="67">
        <f t="shared" si="11"/>
        <v>0.14285714285714285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4301070978</v>
      </c>
      <c r="D108" s="274">
        <v>4607111037435</v>
      </c>
      <c r="E108" s="27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3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4"/>
      <c r="R108" s="284"/>
      <c r="S108" s="284"/>
      <c r="T108" s="285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186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300"/>
      <c r="B109" s="281"/>
      <c r="C109" s="281"/>
      <c r="D109" s="281"/>
      <c r="E109" s="281"/>
      <c r="F109" s="281"/>
      <c r="G109" s="281"/>
      <c r="H109" s="281"/>
      <c r="I109" s="281"/>
      <c r="J109" s="281"/>
      <c r="K109" s="281"/>
      <c r="L109" s="281"/>
      <c r="M109" s="281"/>
      <c r="N109" s="281"/>
      <c r="O109" s="301"/>
      <c r="P109" s="288" t="s">
        <v>73</v>
      </c>
      <c r="Q109" s="289"/>
      <c r="R109" s="289"/>
      <c r="S109" s="289"/>
      <c r="T109" s="289"/>
      <c r="U109" s="289"/>
      <c r="V109" s="290"/>
      <c r="W109" s="37" t="s">
        <v>70</v>
      </c>
      <c r="X109" s="270">
        <f>IFERROR(SUM(X102:X108),"0")</f>
        <v>24</v>
      </c>
      <c r="Y109" s="270">
        <f>IFERROR(SUM(Y102:Y108),"0")</f>
        <v>24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0.372</v>
      </c>
      <c r="AA109" s="271"/>
      <c r="AB109" s="271"/>
      <c r="AC109" s="271"/>
    </row>
    <row r="110" spans="1:68" x14ac:dyDescent="0.2">
      <c r="A110" s="281"/>
      <c r="B110" s="281"/>
      <c r="C110" s="281"/>
      <c r="D110" s="281"/>
      <c r="E110" s="281"/>
      <c r="F110" s="281"/>
      <c r="G110" s="281"/>
      <c r="H110" s="281"/>
      <c r="I110" s="281"/>
      <c r="J110" s="281"/>
      <c r="K110" s="281"/>
      <c r="L110" s="281"/>
      <c r="M110" s="281"/>
      <c r="N110" s="281"/>
      <c r="O110" s="301"/>
      <c r="P110" s="288" t="s">
        <v>73</v>
      </c>
      <c r="Q110" s="289"/>
      <c r="R110" s="289"/>
      <c r="S110" s="289"/>
      <c r="T110" s="289"/>
      <c r="U110" s="289"/>
      <c r="V110" s="290"/>
      <c r="W110" s="37" t="s">
        <v>74</v>
      </c>
      <c r="X110" s="270">
        <f>IFERROR(SUMPRODUCT(X102:X108*H102:H108),"0")</f>
        <v>168</v>
      </c>
      <c r="Y110" s="270">
        <f>IFERROR(SUMPRODUCT(Y102:Y108*H102:H108),"0")</f>
        <v>168</v>
      </c>
      <c r="Z110" s="37"/>
      <c r="AA110" s="271"/>
      <c r="AB110" s="271"/>
      <c r="AC110" s="271"/>
    </row>
    <row r="111" spans="1:68" ht="14.25" hidden="1" customHeight="1" x14ac:dyDescent="0.25">
      <c r="A111" s="286" t="s">
        <v>121</v>
      </c>
      <c r="B111" s="281"/>
      <c r="C111" s="281"/>
      <c r="D111" s="281"/>
      <c r="E111" s="281"/>
      <c r="F111" s="281"/>
      <c r="G111" s="281"/>
      <c r="H111" s="281"/>
      <c r="I111" s="281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64"/>
      <c r="AB111" s="264"/>
      <c r="AC111" s="264"/>
    </row>
    <row r="112" spans="1:68" ht="27" hidden="1" customHeight="1" x14ac:dyDescent="0.25">
      <c r="A112" s="54" t="s">
        <v>187</v>
      </c>
      <c r="B112" s="54" t="s">
        <v>188</v>
      </c>
      <c r="C112" s="31">
        <v>4301135826</v>
      </c>
      <c r="D112" s="274">
        <v>4620207490983</v>
      </c>
      <c r="E112" s="27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80</v>
      </c>
      <c r="L112" s="32" t="s">
        <v>68</v>
      </c>
      <c r="M112" s="33" t="s">
        <v>69</v>
      </c>
      <c r="N112" s="33"/>
      <c r="O112" s="32">
        <v>180</v>
      </c>
      <c r="P112" s="29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4"/>
      <c r="R112" s="284"/>
      <c r="S112" s="284"/>
      <c r="T112" s="285"/>
      <c r="U112" s="34"/>
      <c r="V112" s="34"/>
      <c r="W112" s="35" t="s">
        <v>70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189</v>
      </c>
      <c r="AG112" s="67"/>
      <c r="AJ112" s="71" t="s">
        <v>72</v>
      </c>
      <c r="AK112" s="71">
        <v>1</v>
      </c>
      <c r="BB112" s="147" t="s">
        <v>84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idden="1" x14ac:dyDescent="0.2">
      <c r="A113" s="300"/>
      <c r="B113" s="281"/>
      <c r="C113" s="281"/>
      <c r="D113" s="281"/>
      <c r="E113" s="281"/>
      <c r="F113" s="281"/>
      <c r="G113" s="281"/>
      <c r="H113" s="281"/>
      <c r="I113" s="281"/>
      <c r="J113" s="281"/>
      <c r="K113" s="281"/>
      <c r="L113" s="281"/>
      <c r="M113" s="281"/>
      <c r="N113" s="281"/>
      <c r="O113" s="301"/>
      <c r="P113" s="288" t="s">
        <v>73</v>
      </c>
      <c r="Q113" s="289"/>
      <c r="R113" s="289"/>
      <c r="S113" s="289"/>
      <c r="T113" s="289"/>
      <c r="U113" s="289"/>
      <c r="V113" s="290"/>
      <c r="W113" s="37" t="s">
        <v>70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hidden="1" x14ac:dyDescent="0.2">
      <c r="A114" s="281"/>
      <c r="B114" s="281"/>
      <c r="C114" s="281"/>
      <c r="D114" s="281"/>
      <c r="E114" s="281"/>
      <c r="F114" s="281"/>
      <c r="G114" s="281"/>
      <c r="H114" s="281"/>
      <c r="I114" s="281"/>
      <c r="J114" s="281"/>
      <c r="K114" s="281"/>
      <c r="L114" s="281"/>
      <c r="M114" s="281"/>
      <c r="N114" s="281"/>
      <c r="O114" s="301"/>
      <c r="P114" s="288" t="s">
        <v>73</v>
      </c>
      <c r="Q114" s="289"/>
      <c r="R114" s="289"/>
      <c r="S114" s="289"/>
      <c r="T114" s="289"/>
      <c r="U114" s="289"/>
      <c r="V114" s="290"/>
      <c r="W114" s="37" t="s">
        <v>74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hidden="1" customHeight="1" x14ac:dyDescent="0.25">
      <c r="A115" s="286" t="s">
        <v>190</v>
      </c>
      <c r="B115" s="281"/>
      <c r="C115" s="281"/>
      <c r="D115" s="281"/>
      <c r="E115" s="281"/>
      <c r="F115" s="281"/>
      <c r="G115" s="281"/>
      <c r="H115" s="281"/>
      <c r="I115" s="281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281"/>
      <c r="Z115" s="281"/>
      <c r="AA115" s="264"/>
      <c r="AB115" s="264"/>
      <c r="AC115" s="264"/>
    </row>
    <row r="116" spans="1:68" ht="27" hidden="1" customHeight="1" x14ac:dyDescent="0.25">
      <c r="A116" s="54" t="s">
        <v>191</v>
      </c>
      <c r="B116" s="54" t="s">
        <v>192</v>
      </c>
      <c r="C116" s="31">
        <v>4301071094</v>
      </c>
      <c r="D116" s="274">
        <v>4620207491140</v>
      </c>
      <c r="E116" s="27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67</v>
      </c>
      <c r="L116" s="32" t="s">
        <v>68</v>
      </c>
      <c r="M116" s="33" t="s">
        <v>69</v>
      </c>
      <c r="N116" s="33"/>
      <c r="O116" s="32">
        <v>180</v>
      </c>
      <c r="P116" s="38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4"/>
      <c r="R116" s="284"/>
      <c r="S116" s="284"/>
      <c r="T116" s="285"/>
      <c r="U116" s="34"/>
      <c r="V116" s="34"/>
      <c r="W116" s="35" t="s">
        <v>70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193</v>
      </c>
      <c r="AG116" s="67"/>
      <c r="AJ116" s="71" t="s">
        <v>72</v>
      </c>
      <c r="AK116" s="71">
        <v>1</v>
      </c>
      <c r="BB116" s="149" t="s">
        <v>84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300"/>
      <c r="B117" s="281"/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81"/>
      <c r="O117" s="301"/>
      <c r="P117" s="288" t="s">
        <v>73</v>
      </c>
      <c r="Q117" s="289"/>
      <c r="R117" s="289"/>
      <c r="S117" s="289"/>
      <c r="T117" s="289"/>
      <c r="U117" s="289"/>
      <c r="V117" s="290"/>
      <c r="W117" s="37" t="s">
        <v>70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hidden="1" x14ac:dyDescent="0.2">
      <c r="A118" s="281"/>
      <c r="B118" s="281"/>
      <c r="C118" s="281"/>
      <c r="D118" s="281"/>
      <c r="E118" s="281"/>
      <c r="F118" s="281"/>
      <c r="G118" s="281"/>
      <c r="H118" s="281"/>
      <c r="I118" s="281"/>
      <c r="J118" s="281"/>
      <c r="K118" s="281"/>
      <c r="L118" s="281"/>
      <c r="M118" s="281"/>
      <c r="N118" s="281"/>
      <c r="O118" s="301"/>
      <c r="P118" s="288" t="s">
        <v>73</v>
      </c>
      <c r="Q118" s="289"/>
      <c r="R118" s="289"/>
      <c r="S118" s="289"/>
      <c r="T118" s="289"/>
      <c r="U118" s="289"/>
      <c r="V118" s="290"/>
      <c r="W118" s="37" t="s">
        <v>74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hidden="1" customHeight="1" x14ac:dyDescent="0.25">
      <c r="A119" s="280" t="s">
        <v>194</v>
      </c>
      <c r="B119" s="281"/>
      <c r="C119" s="281"/>
      <c r="D119" s="281"/>
      <c r="E119" s="281"/>
      <c r="F119" s="281"/>
      <c r="G119" s="281"/>
      <c r="H119" s="281"/>
      <c r="I119" s="281"/>
      <c r="J119" s="281"/>
      <c r="K119" s="281"/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281"/>
      <c r="Z119" s="281"/>
      <c r="AA119" s="263"/>
      <c r="AB119" s="263"/>
      <c r="AC119" s="263"/>
    </row>
    <row r="120" spans="1:68" ht="14.25" hidden="1" customHeight="1" x14ac:dyDescent="0.25">
      <c r="A120" s="286" t="s">
        <v>121</v>
      </c>
      <c r="B120" s="281"/>
      <c r="C120" s="281"/>
      <c r="D120" s="281"/>
      <c r="E120" s="281"/>
      <c r="F120" s="281"/>
      <c r="G120" s="281"/>
      <c r="H120" s="281"/>
      <c r="I120" s="281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  <c r="AA120" s="264"/>
      <c r="AB120" s="264"/>
      <c r="AC120" s="264"/>
    </row>
    <row r="121" spans="1:68" ht="27" hidden="1" customHeight="1" x14ac:dyDescent="0.25">
      <c r="A121" s="54" t="s">
        <v>195</v>
      </c>
      <c r="B121" s="54" t="s">
        <v>196</v>
      </c>
      <c r="C121" s="31">
        <v>4301135555</v>
      </c>
      <c r="D121" s="274">
        <v>4607111034014</v>
      </c>
      <c r="E121" s="27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80</v>
      </c>
      <c r="L121" s="32" t="s">
        <v>81</v>
      </c>
      <c r="M121" s="33" t="s">
        <v>69</v>
      </c>
      <c r="N121" s="33"/>
      <c r="O121" s="32">
        <v>180</v>
      </c>
      <c r="P121" s="32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4"/>
      <c r="R121" s="284"/>
      <c r="S121" s="284"/>
      <c r="T121" s="285"/>
      <c r="U121" s="34"/>
      <c r="V121" s="34"/>
      <c r="W121" s="35" t="s">
        <v>70</v>
      </c>
      <c r="X121" s="268">
        <v>0</v>
      </c>
      <c r="Y121" s="269">
        <f>IFERROR(IF(X121="","",X121),"")</f>
        <v>0</v>
      </c>
      <c r="Z121" s="36">
        <f>IFERROR(IF(X121="","",X121*0.01788),"")</f>
        <v>0</v>
      </c>
      <c r="AA121" s="56"/>
      <c r="AB121" s="57"/>
      <c r="AC121" s="150" t="s">
        <v>197</v>
      </c>
      <c r="AG121" s="67"/>
      <c r="AJ121" s="71" t="s">
        <v>83</v>
      </c>
      <c r="AK121" s="71">
        <v>14</v>
      </c>
      <c r="BB121" s="151" t="s">
        <v>84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t="27" hidden="1" customHeight="1" x14ac:dyDescent="0.25">
      <c r="A122" s="54" t="s">
        <v>198</v>
      </c>
      <c r="B122" s="54" t="s">
        <v>199</v>
      </c>
      <c r="C122" s="31">
        <v>4301135532</v>
      </c>
      <c r="D122" s="274">
        <v>4607111033994</v>
      </c>
      <c r="E122" s="27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200</v>
      </c>
      <c r="M122" s="33" t="s">
        <v>69</v>
      </c>
      <c r="N122" s="33"/>
      <c r="O122" s="32">
        <v>180</v>
      </c>
      <c r="P122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70</v>
      </c>
      <c r="X122" s="268">
        <v>0</v>
      </c>
      <c r="Y122" s="269">
        <f>IFERROR(IF(X122="","",X122),"")</f>
        <v>0</v>
      </c>
      <c r="Z122" s="36">
        <f>IFERROR(IF(X122="","",X122*0.01788),"")</f>
        <v>0</v>
      </c>
      <c r="AA122" s="56"/>
      <c r="AB122" s="57"/>
      <c r="AC122" s="152" t="s">
        <v>139</v>
      </c>
      <c r="AG122" s="67"/>
      <c r="AJ122" s="71" t="s">
        <v>201</v>
      </c>
      <c r="AK122" s="71">
        <v>70</v>
      </c>
      <c r="BB122" s="153" t="s">
        <v>84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hidden="1" x14ac:dyDescent="0.2">
      <c r="A123" s="300"/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301"/>
      <c r="P123" s="288" t="s">
        <v>73</v>
      </c>
      <c r="Q123" s="289"/>
      <c r="R123" s="289"/>
      <c r="S123" s="289"/>
      <c r="T123" s="289"/>
      <c r="U123" s="289"/>
      <c r="V123" s="290"/>
      <c r="W123" s="37" t="s">
        <v>70</v>
      </c>
      <c r="X123" s="270">
        <f>IFERROR(SUM(X121:X122),"0")</f>
        <v>0</v>
      </c>
      <c r="Y123" s="270">
        <f>IFERROR(SUM(Y121:Y122),"0")</f>
        <v>0</v>
      </c>
      <c r="Z123" s="270">
        <f>IFERROR(IF(Z121="",0,Z121),"0")+IFERROR(IF(Z122="",0,Z122),"0")</f>
        <v>0</v>
      </c>
      <c r="AA123" s="271"/>
      <c r="AB123" s="271"/>
      <c r="AC123" s="271"/>
    </row>
    <row r="124" spans="1:68" hidden="1" x14ac:dyDescent="0.2">
      <c r="A124" s="281"/>
      <c r="B124" s="281"/>
      <c r="C124" s="281"/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301"/>
      <c r="P124" s="288" t="s">
        <v>73</v>
      </c>
      <c r="Q124" s="289"/>
      <c r="R124" s="289"/>
      <c r="S124" s="289"/>
      <c r="T124" s="289"/>
      <c r="U124" s="289"/>
      <c r="V124" s="290"/>
      <c r="W124" s="37" t="s">
        <v>74</v>
      </c>
      <c r="X124" s="270">
        <f>IFERROR(SUMPRODUCT(X121:X122*H121:H122),"0")</f>
        <v>0</v>
      </c>
      <c r="Y124" s="270">
        <f>IFERROR(SUMPRODUCT(Y121:Y122*H121:H122),"0")</f>
        <v>0</v>
      </c>
      <c r="Z124" s="37"/>
      <c r="AA124" s="271"/>
      <c r="AB124" s="271"/>
      <c r="AC124" s="271"/>
    </row>
    <row r="125" spans="1:68" ht="16.5" hidden="1" customHeight="1" x14ac:dyDescent="0.25">
      <c r="A125" s="280" t="s">
        <v>202</v>
      </c>
      <c r="B125" s="281"/>
      <c r="C125" s="281"/>
      <c r="D125" s="281"/>
      <c r="E125" s="281"/>
      <c r="F125" s="281"/>
      <c r="G125" s="281"/>
      <c r="H125" s="281"/>
      <c r="I125" s="281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281"/>
      <c r="Z125" s="281"/>
      <c r="AA125" s="263"/>
      <c r="AB125" s="263"/>
      <c r="AC125" s="263"/>
    </row>
    <row r="126" spans="1:68" ht="14.25" hidden="1" customHeight="1" x14ac:dyDescent="0.25">
      <c r="A126" s="286" t="s">
        <v>121</v>
      </c>
      <c r="B126" s="281"/>
      <c r="C126" s="281"/>
      <c r="D126" s="281"/>
      <c r="E126" s="281"/>
      <c r="F126" s="281"/>
      <c r="G126" s="281"/>
      <c r="H126" s="281"/>
      <c r="I126" s="281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64"/>
      <c r="AB126" s="264"/>
      <c r="AC126" s="264"/>
    </row>
    <row r="127" spans="1:68" ht="27" hidden="1" customHeight="1" x14ac:dyDescent="0.25">
      <c r="A127" s="54" t="s">
        <v>203</v>
      </c>
      <c r="B127" s="54" t="s">
        <v>204</v>
      </c>
      <c r="C127" s="31">
        <v>4301135824</v>
      </c>
      <c r="D127" s="274">
        <v>4607111039095</v>
      </c>
      <c r="E127" s="27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80</v>
      </c>
      <c r="L127" s="32" t="s">
        <v>68</v>
      </c>
      <c r="M127" s="33" t="s">
        <v>69</v>
      </c>
      <c r="N127" s="33"/>
      <c r="O127" s="32">
        <v>180</v>
      </c>
      <c r="P127" s="32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4"/>
      <c r="R127" s="284"/>
      <c r="S127" s="284"/>
      <c r="T127" s="285"/>
      <c r="U127" s="34"/>
      <c r="V127" s="34"/>
      <c r="W127" s="35" t="s">
        <v>70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205</v>
      </c>
      <c r="AG127" s="67"/>
      <c r="AJ127" s="71" t="s">
        <v>72</v>
      </c>
      <c r="AK127" s="71">
        <v>1</v>
      </c>
      <c r="BB127" s="155" t="s">
        <v>84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hidden="1" customHeight="1" x14ac:dyDescent="0.25">
      <c r="A128" s="54" t="s">
        <v>206</v>
      </c>
      <c r="B128" s="54" t="s">
        <v>207</v>
      </c>
      <c r="C128" s="31">
        <v>4301135550</v>
      </c>
      <c r="D128" s="274">
        <v>4607111034199</v>
      </c>
      <c r="E128" s="27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80</v>
      </c>
      <c r="L128" s="32" t="s">
        <v>81</v>
      </c>
      <c r="M128" s="33" t="s">
        <v>69</v>
      </c>
      <c r="N128" s="33"/>
      <c r="O128" s="32">
        <v>180</v>
      </c>
      <c r="P128" s="33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4"/>
      <c r="R128" s="284"/>
      <c r="S128" s="284"/>
      <c r="T128" s="285"/>
      <c r="U128" s="34"/>
      <c r="V128" s="34"/>
      <c r="W128" s="35" t="s">
        <v>70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208</v>
      </c>
      <c r="AG128" s="67"/>
      <c r="AJ128" s="71" t="s">
        <v>83</v>
      </c>
      <c r="AK128" s="71">
        <v>14</v>
      </c>
      <c r="BB128" s="157" t="s">
        <v>84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0"/>
      <c r="B129" s="281"/>
      <c r="C129" s="281"/>
      <c r="D129" s="281"/>
      <c r="E129" s="281"/>
      <c r="F129" s="281"/>
      <c r="G129" s="281"/>
      <c r="H129" s="281"/>
      <c r="I129" s="281"/>
      <c r="J129" s="281"/>
      <c r="K129" s="281"/>
      <c r="L129" s="281"/>
      <c r="M129" s="281"/>
      <c r="N129" s="281"/>
      <c r="O129" s="301"/>
      <c r="P129" s="288" t="s">
        <v>73</v>
      </c>
      <c r="Q129" s="289"/>
      <c r="R129" s="289"/>
      <c r="S129" s="289"/>
      <c r="T129" s="289"/>
      <c r="U129" s="289"/>
      <c r="V129" s="290"/>
      <c r="W129" s="37" t="s">
        <v>70</v>
      </c>
      <c r="X129" s="270">
        <f>IFERROR(SUM(X127:X128),"0")</f>
        <v>0</v>
      </c>
      <c r="Y129" s="270">
        <f>IFERROR(SUM(Y127:Y128),"0")</f>
        <v>0</v>
      </c>
      <c r="Z129" s="270">
        <f>IFERROR(IF(Z127="",0,Z127),"0")+IFERROR(IF(Z128="",0,Z128),"0")</f>
        <v>0</v>
      </c>
      <c r="AA129" s="271"/>
      <c r="AB129" s="271"/>
      <c r="AC129" s="271"/>
    </row>
    <row r="130" spans="1:68" hidden="1" x14ac:dyDescent="0.2">
      <c r="A130" s="281"/>
      <c r="B130" s="281"/>
      <c r="C130" s="281"/>
      <c r="D130" s="281"/>
      <c r="E130" s="281"/>
      <c r="F130" s="281"/>
      <c r="G130" s="281"/>
      <c r="H130" s="281"/>
      <c r="I130" s="281"/>
      <c r="J130" s="281"/>
      <c r="K130" s="281"/>
      <c r="L130" s="281"/>
      <c r="M130" s="281"/>
      <c r="N130" s="281"/>
      <c r="O130" s="301"/>
      <c r="P130" s="288" t="s">
        <v>73</v>
      </c>
      <c r="Q130" s="289"/>
      <c r="R130" s="289"/>
      <c r="S130" s="289"/>
      <c r="T130" s="289"/>
      <c r="U130" s="289"/>
      <c r="V130" s="290"/>
      <c r="W130" s="37" t="s">
        <v>74</v>
      </c>
      <c r="X130" s="270">
        <f>IFERROR(SUMPRODUCT(X127:X128*H127:H128),"0")</f>
        <v>0</v>
      </c>
      <c r="Y130" s="270">
        <f>IFERROR(SUMPRODUCT(Y127:Y128*H127:H128),"0")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0" t="s">
        <v>209</v>
      </c>
      <c r="B131" s="281"/>
      <c r="C131" s="281"/>
      <c r="D131" s="281"/>
      <c r="E131" s="281"/>
      <c r="F131" s="281"/>
      <c r="G131" s="281"/>
      <c r="H131" s="281"/>
      <c r="I131" s="281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281"/>
      <c r="Z131" s="281"/>
      <c r="AA131" s="263"/>
      <c r="AB131" s="263"/>
      <c r="AC131" s="263"/>
    </row>
    <row r="132" spans="1:68" ht="14.25" hidden="1" customHeight="1" x14ac:dyDescent="0.25">
      <c r="A132" s="286" t="s">
        <v>121</v>
      </c>
      <c r="B132" s="281"/>
      <c r="C132" s="281"/>
      <c r="D132" s="281"/>
      <c r="E132" s="281"/>
      <c r="F132" s="281"/>
      <c r="G132" s="281"/>
      <c r="H132" s="281"/>
      <c r="I132" s="281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64"/>
      <c r="AB132" s="264"/>
      <c r="AC132" s="264"/>
    </row>
    <row r="133" spans="1:68" ht="27" hidden="1" customHeight="1" x14ac:dyDescent="0.25">
      <c r="A133" s="54" t="s">
        <v>210</v>
      </c>
      <c r="B133" s="54" t="s">
        <v>211</v>
      </c>
      <c r="C133" s="31">
        <v>4301135753</v>
      </c>
      <c r="D133" s="274">
        <v>4620207490914</v>
      </c>
      <c r="E133" s="27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80</v>
      </c>
      <c r="L133" s="32" t="s">
        <v>68</v>
      </c>
      <c r="M133" s="33" t="s">
        <v>69</v>
      </c>
      <c r="N133" s="33"/>
      <c r="O133" s="32">
        <v>180</v>
      </c>
      <c r="P133" s="3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4"/>
      <c r="R133" s="284"/>
      <c r="S133" s="284"/>
      <c r="T133" s="285"/>
      <c r="U133" s="34"/>
      <c r="V133" s="34"/>
      <c r="W133" s="35" t="s">
        <v>70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58" t="s">
        <v>197</v>
      </c>
      <c r="AG133" s="67"/>
      <c r="AJ133" s="71" t="s">
        <v>72</v>
      </c>
      <c r="AK133" s="71">
        <v>1</v>
      </c>
      <c r="BB133" s="159" t="s">
        <v>84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212</v>
      </c>
      <c r="B134" s="54" t="s">
        <v>213</v>
      </c>
      <c r="C134" s="31">
        <v>4301135778</v>
      </c>
      <c r="D134" s="274">
        <v>4620207490853</v>
      </c>
      <c r="E134" s="27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81</v>
      </c>
      <c r="M134" s="33" t="s">
        <v>69</v>
      </c>
      <c r="N134" s="33"/>
      <c r="O134" s="32">
        <v>180</v>
      </c>
      <c r="P134" s="30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70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197</v>
      </c>
      <c r="AG134" s="67"/>
      <c r="AJ134" s="71" t="s">
        <v>83</v>
      </c>
      <c r="AK134" s="71">
        <v>14</v>
      </c>
      <c r="BB134" s="161" t="s">
        <v>84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idden="1" x14ac:dyDescent="0.2">
      <c r="A135" s="300"/>
      <c r="B135" s="281"/>
      <c r="C135" s="281"/>
      <c r="D135" s="281"/>
      <c r="E135" s="281"/>
      <c r="F135" s="281"/>
      <c r="G135" s="281"/>
      <c r="H135" s="281"/>
      <c r="I135" s="281"/>
      <c r="J135" s="281"/>
      <c r="K135" s="281"/>
      <c r="L135" s="281"/>
      <c r="M135" s="281"/>
      <c r="N135" s="281"/>
      <c r="O135" s="301"/>
      <c r="P135" s="288" t="s">
        <v>73</v>
      </c>
      <c r="Q135" s="289"/>
      <c r="R135" s="289"/>
      <c r="S135" s="289"/>
      <c r="T135" s="289"/>
      <c r="U135" s="289"/>
      <c r="V135" s="290"/>
      <c r="W135" s="37" t="s">
        <v>70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hidden="1" x14ac:dyDescent="0.2">
      <c r="A136" s="281"/>
      <c r="B136" s="281"/>
      <c r="C136" s="281"/>
      <c r="D136" s="281"/>
      <c r="E136" s="281"/>
      <c r="F136" s="281"/>
      <c r="G136" s="281"/>
      <c r="H136" s="281"/>
      <c r="I136" s="281"/>
      <c r="J136" s="281"/>
      <c r="K136" s="281"/>
      <c r="L136" s="281"/>
      <c r="M136" s="281"/>
      <c r="N136" s="281"/>
      <c r="O136" s="301"/>
      <c r="P136" s="288" t="s">
        <v>73</v>
      </c>
      <c r="Q136" s="289"/>
      <c r="R136" s="289"/>
      <c r="S136" s="289"/>
      <c r="T136" s="289"/>
      <c r="U136" s="289"/>
      <c r="V136" s="290"/>
      <c r="W136" s="37" t="s">
        <v>74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hidden="1" customHeight="1" x14ac:dyDescent="0.25">
      <c r="A137" s="280" t="s">
        <v>214</v>
      </c>
      <c r="B137" s="281"/>
      <c r="C137" s="281"/>
      <c r="D137" s="281"/>
      <c r="E137" s="281"/>
      <c r="F137" s="281"/>
      <c r="G137" s="281"/>
      <c r="H137" s="281"/>
      <c r="I137" s="281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281"/>
      <c r="Z137" s="281"/>
      <c r="AA137" s="263"/>
      <c r="AB137" s="263"/>
      <c r="AC137" s="263"/>
    </row>
    <row r="138" spans="1:68" ht="14.25" hidden="1" customHeight="1" x14ac:dyDescent="0.25">
      <c r="A138" s="286" t="s">
        <v>121</v>
      </c>
      <c r="B138" s="281"/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64"/>
      <c r="AB138" s="264"/>
      <c r="AC138" s="264"/>
    </row>
    <row r="139" spans="1:68" ht="27" hidden="1" customHeight="1" x14ac:dyDescent="0.25">
      <c r="A139" s="54" t="s">
        <v>215</v>
      </c>
      <c r="B139" s="54" t="s">
        <v>216</v>
      </c>
      <c r="C139" s="31">
        <v>4301135570</v>
      </c>
      <c r="D139" s="274">
        <v>4607111035806</v>
      </c>
      <c r="E139" s="27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80</v>
      </c>
      <c r="L139" s="32" t="s">
        <v>81</v>
      </c>
      <c r="M139" s="33" t="s">
        <v>69</v>
      </c>
      <c r="N139" s="33"/>
      <c r="O139" s="32">
        <v>180</v>
      </c>
      <c r="P139" s="29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4"/>
      <c r="R139" s="284"/>
      <c r="S139" s="284"/>
      <c r="T139" s="285"/>
      <c r="U139" s="34"/>
      <c r="V139" s="34"/>
      <c r="W139" s="35" t="s">
        <v>70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217</v>
      </c>
      <c r="AG139" s="67"/>
      <c r="AJ139" s="71" t="s">
        <v>83</v>
      </c>
      <c r="AK139" s="71">
        <v>14</v>
      </c>
      <c r="BB139" s="163" t="s">
        <v>84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300"/>
      <c r="B140" s="281"/>
      <c r="C140" s="281"/>
      <c r="D140" s="281"/>
      <c r="E140" s="281"/>
      <c r="F140" s="281"/>
      <c r="G140" s="281"/>
      <c r="H140" s="281"/>
      <c r="I140" s="281"/>
      <c r="J140" s="281"/>
      <c r="K140" s="281"/>
      <c r="L140" s="281"/>
      <c r="M140" s="281"/>
      <c r="N140" s="281"/>
      <c r="O140" s="301"/>
      <c r="P140" s="288" t="s">
        <v>73</v>
      </c>
      <c r="Q140" s="289"/>
      <c r="R140" s="289"/>
      <c r="S140" s="289"/>
      <c r="T140" s="289"/>
      <c r="U140" s="289"/>
      <c r="V140" s="290"/>
      <c r="W140" s="37" t="s">
        <v>70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hidden="1" x14ac:dyDescent="0.2">
      <c r="A141" s="281"/>
      <c r="B141" s="281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301"/>
      <c r="P141" s="288" t="s">
        <v>73</v>
      </c>
      <c r="Q141" s="289"/>
      <c r="R141" s="289"/>
      <c r="S141" s="289"/>
      <c r="T141" s="289"/>
      <c r="U141" s="289"/>
      <c r="V141" s="290"/>
      <c r="W141" s="37" t="s">
        <v>74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hidden="1" customHeight="1" x14ac:dyDescent="0.25">
      <c r="A142" s="280" t="s">
        <v>218</v>
      </c>
      <c r="B142" s="281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281"/>
      <c r="Z142" s="281"/>
      <c r="AA142" s="263"/>
      <c r="AB142" s="263"/>
      <c r="AC142" s="263"/>
    </row>
    <row r="143" spans="1:68" ht="14.25" hidden="1" customHeight="1" x14ac:dyDescent="0.25">
      <c r="A143" s="286" t="s">
        <v>121</v>
      </c>
      <c r="B143" s="281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281"/>
      <c r="Z143" s="281"/>
      <c r="AA143" s="264"/>
      <c r="AB143" s="264"/>
      <c r="AC143" s="264"/>
    </row>
    <row r="144" spans="1:68" ht="16.5" hidden="1" customHeight="1" x14ac:dyDescent="0.25">
      <c r="A144" s="54" t="s">
        <v>219</v>
      </c>
      <c r="B144" s="54" t="s">
        <v>220</v>
      </c>
      <c r="C144" s="31">
        <v>4301135607</v>
      </c>
      <c r="D144" s="274">
        <v>4607111039613</v>
      </c>
      <c r="E144" s="27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80</v>
      </c>
      <c r="L144" s="32" t="s">
        <v>81</v>
      </c>
      <c r="M144" s="33" t="s">
        <v>69</v>
      </c>
      <c r="N144" s="33"/>
      <c r="O144" s="32">
        <v>180</v>
      </c>
      <c r="P144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4"/>
      <c r="R144" s="284"/>
      <c r="S144" s="284"/>
      <c r="T144" s="285"/>
      <c r="U144" s="34"/>
      <c r="V144" s="34"/>
      <c r="W144" s="35" t="s">
        <v>70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205</v>
      </c>
      <c r="AG144" s="67"/>
      <c r="AJ144" s="71" t="s">
        <v>83</v>
      </c>
      <c r="AK144" s="71">
        <v>14</v>
      </c>
      <c r="BB144" s="165" t="s">
        <v>84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300"/>
      <c r="B145" s="281"/>
      <c r="C145" s="281"/>
      <c r="D145" s="281"/>
      <c r="E145" s="281"/>
      <c r="F145" s="281"/>
      <c r="G145" s="281"/>
      <c r="H145" s="281"/>
      <c r="I145" s="281"/>
      <c r="J145" s="281"/>
      <c r="K145" s="281"/>
      <c r="L145" s="281"/>
      <c r="M145" s="281"/>
      <c r="N145" s="281"/>
      <c r="O145" s="301"/>
      <c r="P145" s="288" t="s">
        <v>73</v>
      </c>
      <c r="Q145" s="289"/>
      <c r="R145" s="289"/>
      <c r="S145" s="289"/>
      <c r="T145" s="289"/>
      <c r="U145" s="289"/>
      <c r="V145" s="290"/>
      <c r="W145" s="37" t="s">
        <v>70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hidden="1" x14ac:dyDescent="0.2">
      <c r="A146" s="281"/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301"/>
      <c r="P146" s="288" t="s">
        <v>73</v>
      </c>
      <c r="Q146" s="289"/>
      <c r="R146" s="289"/>
      <c r="S146" s="289"/>
      <c r="T146" s="289"/>
      <c r="U146" s="289"/>
      <c r="V146" s="290"/>
      <c r="W146" s="37" t="s">
        <v>74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hidden="1" customHeight="1" x14ac:dyDescent="0.25">
      <c r="A147" s="280" t="s">
        <v>221</v>
      </c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63"/>
      <c r="AB147" s="263"/>
      <c r="AC147" s="263"/>
    </row>
    <row r="148" spans="1:68" ht="14.25" hidden="1" customHeight="1" x14ac:dyDescent="0.25">
      <c r="A148" s="286" t="s">
        <v>190</v>
      </c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281"/>
      <c r="Z148" s="281"/>
      <c r="AA148" s="264"/>
      <c r="AB148" s="264"/>
      <c r="AC148" s="264"/>
    </row>
    <row r="149" spans="1:68" ht="27" hidden="1" customHeight="1" x14ac:dyDescent="0.25">
      <c r="A149" s="54" t="s">
        <v>222</v>
      </c>
      <c r="B149" s="54" t="s">
        <v>223</v>
      </c>
      <c r="C149" s="31">
        <v>4301135540</v>
      </c>
      <c r="D149" s="274">
        <v>4607111035646</v>
      </c>
      <c r="E149" s="27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224</v>
      </c>
      <c r="L149" s="32" t="s">
        <v>68</v>
      </c>
      <c r="M149" s="33" t="s">
        <v>69</v>
      </c>
      <c r="N149" s="33"/>
      <c r="O149" s="32">
        <v>180</v>
      </c>
      <c r="P149" s="30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4"/>
      <c r="R149" s="284"/>
      <c r="S149" s="284"/>
      <c r="T149" s="285"/>
      <c r="U149" s="34"/>
      <c r="V149" s="34"/>
      <c r="W149" s="35" t="s">
        <v>70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225</v>
      </c>
      <c r="AG149" s="67"/>
      <c r="AJ149" s="71" t="s">
        <v>72</v>
      </c>
      <c r="AK149" s="71">
        <v>1</v>
      </c>
      <c r="BB149" s="167" t="s">
        <v>84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300"/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301"/>
      <c r="P150" s="288" t="s">
        <v>73</v>
      </c>
      <c r="Q150" s="289"/>
      <c r="R150" s="289"/>
      <c r="S150" s="289"/>
      <c r="T150" s="289"/>
      <c r="U150" s="289"/>
      <c r="V150" s="290"/>
      <c r="W150" s="37" t="s">
        <v>70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hidden="1" x14ac:dyDescent="0.2">
      <c r="A151" s="281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301"/>
      <c r="P151" s="288" t="s">
        <v>73</v>
      </c>
      <c r="Q151" s="289"/>
      <c r="R151" s="289"/>
      <c r="S151" s="289"/>
      <c r="T151" s="289"/>
      <c r="U151" s="289"/>
      <c r="V151" s="290"/>
      <c r="W151" s="37" t="s">
        <v>74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hidden="1" customHeight="1" x14ac:dyDescent="0.25">
      <c r="A152" s="280" t="s">
        <v>226</v>
      </c>
      <c r="B152" s="281"/>
      <c r="C152" s="281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63"/>
      <c r="AB152" s="263"/>
      <c r="AC152" s="263"/>
    </row>
    <row r="153" spans="1:68" ht="14.25" hidden="1" customHeight="1" x14ac:dyDescent="0.25">
      <c r="A153" s="286" t="s">
        <v>121</v>
      </c>
      <c r="B153" s="281"/>
      <c r="C153" s="281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64"/>
      <c r="AB153" s="264"/>
      <c r="AC153" s="264"/>
    </row>
    <row r="154" spans="1:68" ht="27" customHeight="1" x14ac:dyDescent="0.25">
      <c r="A154" s="54" t="s">
        <v>227</v>
      </c>
      <c r="B154" s="54" t="s">
        <v>228</v>
      </c>
      <c r="C154" s="31">
        <v>4301135591</v>
      </c>
      <c r="D154" s="274">
        <v>4607111036568</v>
      </c>
      <c r="E154" s="27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80</v>
      </c>
      <c r="L154" s="32" t="s">
        <v>81</v>
      </c>
      <c r="M154" s="33" t="s">
        <v>69</v>
      </c>
      <c r="N154" s="33"/>
      <c r="O154" s="32">
        <v>180</v>
      </c>
      <c r="P154" s="35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4"/>
      <c r="R154" s="284"/>
      <c r="S154" s="284"/>
      <c r="T154" s="285"/>
      <c r="U154" s="34"/>
      <c r="V154" s="34"/>
      <c r="W154" s="35" t="s">
        <v>70</v>
      </c>
      <c r="X154" s="268">
        <v>14</v>
      </c>
      <c r="Y154" s="269">
        <f>IFERROR(IF(X154="","",X154),"")</f>
        <v>14</v>
      </c>
      <c r="Z154" s="36">
        <f>IFERROR(IF(X154="","",X154*0.00941),"")</f>
        <v>0.13174</v>
      </c>
      <c r="AA154" s="56"/>
      <c r="AB154" s="57"/>
      <c r="AC154" s="168" t="s">
        <v>229</v>
      </c>
      <c r="AG154" s="67"/>
      <c r="AJ154" s="71" t="s">
        <v>83</v>
      </c>
      <c r="AK154" s="71">
        <v>14</v>
      </c>
      <c r="BB154" s="169" t="s">
        <v>84</v>
      </c>
      <c r="BM154" s="67">
        <f>IFERROR(X154*I154,"0")</f>
        <v>29.425199999999997</v>
      </c>
      <c r="BN154" s="67">
        <f>IFERROR(Y154*I154,"0")</f>
        <v>29.425199999999997</v>
      </c>
      <c r="BO154" s="67">
        <f>IFERROR(X154/J154,"0")</f>
        <v>0.1</v>
      </c>
      <c r="BP154" s="67">
        <f>IFERROR(Y154/J154,"0")</f>
        <v>0.1</v>
      </c>
    </row>
    <row r="155" spans="1:68" x14ac:dyDescent="0.2">
      <c r="A155" s="300"/>
      <c r="B155" s="281"/>
      <c r="C155" s="281"/>
      <c r="D155" s="281"/>
      <c r="E155" s="281"/>
      <c r="F155" s="281"/>
      <c r="G155" s="281"/>
      <c r="H155" s="281"/>
      <c r="I155" s="281"/>
      <c r="J155" s="281"/>
      <c r="K155" s="281"/>
      <c r="L155" s="281"/>
      <c r="M155" s="281"/>
      <c r="N155" s="281"/>
      <c r="O155" s="301"/>
      <c r="P155" s="288" t="s">
        <v>73</v>
      </c>
      <c r="Q155" s="289"/>
      <c r="R155" s="289"/>
      <c r="S155" s="289"/>
      <c r="T155" s="289"/>
      <c r="U155" s="289"/>
      <c r="V155" s="290"/>
      <c r="W155" s="37" t="s">
        <v>70</v>
      </c>
      <c r="X155" s="270">
        <f>IFERROR(SUM(X154:X154),"0")</f>
        <v>14</v>
      </c>
      <c r="Y155" s="270">
        <f>IFERROR(SUM(Y154:Y154),"0")</f>
        <v>14</v>
      </c>
      <c r="Z155" s="270">
        <f>IFERROR(IF(Z154="",0,Z154),"0")</f>
        <v>0.13174</v>
      </c>
      <c r="AA155" s="271"/>
      <c r="AB155" s="271"/>
      <c r="AC155" s="271"/>
    </row>
    <row r="156" spans="1:68" x14ac:dyDescent="0.2">
      <c r="A156" s="281"/>
      <c r="B156" s="281"/>
      <c r="C156" s="281"/>
      <c r="D156" s="281"/>
      <c r="E156" s="281"/>
      <c r="F156" s="281"/>
      <c r="G156" s="281"/>
      <c r="H156" s="281"/>
      <c r="I156" s="281"/>
      <c r="J156" s="281"/>
      <c r="K156" s="281"/>
      <c r="L156" s="281"/>
      <c r="M156" s="281"/>
      <c r="N156" s="281"/>
      <c r="O156" s="301"/>
      <c r="P156" s="288" t="s">
        <v>73</v>
      </c>
      <c r="Q156" s="289"/>
      <c r="R156" s="289"/>
      <c r="S156" s="289"/>
      <c r="T156" s="289"/>
      <c r="U156" s="289"/>
      <c r="V156" s="290"/>
      <c r="W156" s="37" t="s">
        <v>74</v>
      </c>
      <c r="X156" s="270">
        <f>IFERROR(SUMPRODUCT(X154:X154*H154:H154),"0")</f>
        <v>23.52</v>
      </c>
      <c r="Y156" s="270">
        <f>IFERROR(SUMPRODUCT(Y154:Y154*H154:H154),"0")</f>
        <v>23.52</v>
      </c>
      <c r="Z156" s="37"/>
      <c r="AA156" s="271"/>
      <c r="AB156" s="271"/>
      <c r="AC156" s="271"/>
    </row>
    <row r="157" spans="1:68" ht="27.75" hidden="1" customHeight="1" x14ac:dyDescent="0.2">
      <c r="A157" s="291" t="s">
        <v>230</v>
      </c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  <c r="R157" s="292"/>
      <c r="S157" s="292"/>
      <c r="T157" s="292"/>
      <c r="U157" s="292"/>
      <c r="V157" s="292"/>
      <c r="W157" s="292"/>
      <c r="X157" s="292"/>
      <c r="Y157" s="292"/>
      <c r="Z157" s="292"/>
      <c r="AA157" s="48"/>
      <c r="AB157" s="48"/>
      <c r="AC157" s="48"/>
    </row>
    <row r="158" spans="1:68" ht="16.5" hidden="1" customHeight="1" x14ac:dyDescent="0.25">
      <c r="A158" s="280" t="s">
        <v>231</v>
      </c>
      <c r="B158" s="281"/>
      <c r="C158" s="281"/>
      <c r="D158" s="281"/>
      <c r="E158" s="281"/>
      <c r="F158" s="281"/>
      <c r="G158" s="281"/>
      <c r="H158" s="281"/>
      <c r="I158" s="281"/>
      <c r="J158" s="281"/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281"/>
      <c r="Z158" s="281"/>
      <c r="AA158" s="263"/>
      <c r="AB158" s="263"/>
      <c r="AC158" s="263"/>
    </row>
    <row r="159" spans="1:68" ht="14.25" hidden="1" customHeight="1" x14ac:dyDescent="0.25">
      <c r="A159" s="286" t="s">
        <v>64</v>
      </c>
      <c r="B159" s="281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64"/>
      <c r="AB159" s="264"/>
      <c r="AC159" s="264"/>
    </row>
    <row r="160" spans="1:68" ht="16.5" hidden="1" customHeight="1" x14ac:dyDescent="0.25">
      <c r="A160" s="54" t="s">
        <v>232</v>
      </c>
      <c r="B160" s="54" t="s">
        <v>233</v>
      </c>
      <c r="C160" s="31">
        <v>4301071062</v>
      </c>
      <c r="D160" s="274">
        <v>4607111036384</v>
      </c>
      <c r="E160" s="27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67</v>
      </c>
      <c r="L160" s="32" t="s">
        <v>68</v>
      </c>
      <c r="M160" s="33" t="s">
        <v>69</v>
      </c>
      <c r="N160" s="33"/>
      <c r="O160" s="32">
        <v>180</v>
      </c>
      <c r="P160" s="45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4"/>
      <c r="R160" s="284"/>
      <c r="S160" s="284"/>
      <c r="T160" s="285"/>
      <c r="U160" s="34"/>
      <c r="V160" s="34"/>
      <c r="W160" s="35" t="s">
        <v>70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234</v>
      </c>
      <c r="AG160" s="67"/>
      <c r="AJ160" s="71" t="s">
        <v>72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235</v>
      </c>
      <c r="B161" s="54" t="s">
        <v>236</v>
      </c>
      <c r="C161" s="31">
        <v>4301071050</v>
      </c>
      <c r="D161" s="274">
        <v>4607111036216</v>
      </c>
      <c r="E161" s="27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67</v>
      </c>
      <c r="L161" s="32" t="s">
        <v>81</v>
      </c>
      <c r="M161" s="33" t="s">
        <v>69</v>
      </c>
      <c r="N161" s="33"/>
      <c r="O161" s="32">
        <v>180</v>
      </c>
      <c r="P161" s="36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4"/>
      <c r="R161" s="284"/>
      <c r="S161" s="284"/>
      <c r="T161" s="285"/>
      <c r="U161" s="34"/>
      <c r="V161" s="34"/>
      <c r="W161" s="35" t="s">
        <v>70</v>
      </c>
      <c r="X161" s="268">
        <v>24</v>
      </c>
      <c r="Y161" s="269">
        <f>IFERROR(IF(X161="","",X161),"")</f>
        <v>24</v>
      </c>
      <c r="Z161" s="36">
        <f>IFERROR(IF(X161="","",X161*0.00866),"")</f>
        <v>0.20783999999999997</v>
      </c>
      <c r="AA161" s="56"/>
      <c r="AB161" s="57"/>
      <c r="AC161" s="172" t="s">
        <v>237</v>
      </c>
      <c r="AG161" s="67"/>
      <c r="AJ161" s="71" t="s">
        <v>83</v>
      </c>
      <c r="AK161" s="71">
        <v>12</v>
      </c>
      <c r="BB161" s="173" t="s">
        <v>1</v>
      </c>
      <c r="BM161" s="67">
        <f>IFERROR(X161*I161,"0")</f>
        <v>125.11679999999998</v>
      </c>
      <c r="BN161" s="67">
        <f>IFERROR(Y161*I161,"0")</f>
        <v>125.11679999999998</v>
      </c>
      <c r="BO161" s="67">
        <f>IFERROR(X161/J161,"0")</f>
        <v>0.16666666666666666</v>
      </c>
      <c r="BP161" s="67">
        <f>IFERROR(Y161/J161,"0")</f>
        <v>0.16666666666666666</v>
      </c>
    </row>
    <row r="162" spans="1:68" x14ac:dyDescent="0.2">
      <c r="A162" s="300"/>
      <c r="B162" s="281"/>
      <c r="C162" s="281"/>
      <c r="D162" s="281"/>
      <c r="E162" s="281"/>
      <c r="F162" s="281"/>
      <c r="G162" s="281"/>
      <c r="H162" s="281"/>
      <c r="I162" s="281"/>
      <c r="J162" s="281"/>
      <c r="K162" s="281"/>
      <c r="L162" s="281"/>
      <c r="M162" s="281"/>
      <c r="N162" s="281"/>
      <c r="O162" s="301"/>
      <c r="P162" s="288" t="s">
        <v>73</v>
      </c>
      <c r="Q162" s="289"/>
      <c r="R162" s="289"/>
      <c r="S162" s="289"/>
      <c r="T162" s="289"/>
      <c r="U162" s="289"/>
      <c r="V162" s="290"/>
      <c r="W162" s="37" t="s">
        <v>70</v>
      </c>
      <c r="X162" s="270">
        <f>IFERROR(SUM(X160:X161),"0")</f>
        <v>24</v>
      </c>
      <c r="Y162" s="270">
        <f>IFERROR(SUM(Y160:Y161),"0")</f>
        <v>24</v>
      </c>
      <c r="Z162" s="270">
        <f>IFERROR(IF(Z160="",0,Z160),"0")+IFERROR(IF(Z161="",0,Z161),"0")</f>
        <v>0.20783999999999997</v>
      </c>
      <c r="AA162" s="271"/>
      <c r="AB162" s="271"/>
      <c r="AC162" s="271"/>
    </row>
    <row r="163" spans="1:68" x14ac:dyDescent="0.2">
      <c r="A163" s="281"/>
      <c r="B163" s="281"/>
      <c r="C163" s="281"/>
      <c r="D163" s="281"/>
      <c r="E163" s="281"/>
      <c r="F163" s="281"/>
      <c r="G163" s="281"/>
      <c r="H163" s="281"/>
      <c r="I163" s="281"/>
      <c r="J163" s="281"/>
      <c r="K163" s="281"/>
      <c r="L163" s="281"/>
      <c r="M163" s="281"/>
      <c r="N163" s="281"/>
      <c r="O163" s="301"/>
      <c r="P163" s="288" t="s">
        <v>73</v>
      </c>
      <c r="Q163" s="289"/>
      <c r="R163" s="289"/>
      <c r="S163" s="289"/>
      <c r="T163" s="289"/>
      <c r="U163" s="289"/>
      <c r="V163" s="290"/>
      <c r="W163" s="37" t="s">
        <v>74</v>
      </c>
      <c r="X163" s="270">
        <f>IFERROR(SUMPRODUCT(X160:X161*H160:H161),"0")</f>
        <v>120</v>
      </c>
      <c r="Y163" s="270">
        <f>IFERROR(SUMPRODUCT(Y160:Y161*H160:H161),"0")</f>
        <v>120</v>
      </c>
      <c r="Z163" s="37"/>
      <c r="AA163" s="271"/>
      <c r="AB163" s="271"/>
      <c r="AC163" s="271"/>
    </row>
    <row r="164" spans="1:68" ht="27.75" hidden="1" customHeight="1" x14ac:dyDescent="0.2">
      <c r="A164" s="291" t="s">
        <v>238</v>
      </c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48"/>
      <c r="AB164" s="48"/>
      <c r="AC164" s="48"/>
    </row>
    <row r="165" spans="1:68" ht="16.5" hidden="1" customHeight="1" x14ac:dyDescent="0.25">
      <c r="A165" s="280" t="s">
        <v>239</v>
      </c>
      <c r="B165" s="281"/>
      <c r="C165" s="281"/>
      <c r="D165" s="281"/>
      <c r="E165" s="281"/>
      <c r="F165" s="281"/>
      <c r="G165" s="281"/>
      <c r="H165" s="281"/>
      <c r="I165" s="281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63"/>
      <c r="AB165" s="263"/>
      <c r="AC165" s="263"/>
    </row>
    <row r="166" spans="1:68" ht="14.25" hidden="1" customHeight="1" x14ac:dyDescent="0.25">
      <c r="A166" s="286" t="s">
        <v>77</v>
      </c>
      <c r="B166" s="281"/>
      <c r="C166" s="281"/>
      <c r="D166" s="281"/>
      <c r="E166" s="281"/>
      <c r="F166" s="281"/>
      <c r="G166" s="281"/>
      <c r="H166" s="281"/>
      <c r="I166" s="281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64"/>
      <c r="AB166" s="264"/>
      <c r="AC166" s="264"/>
    </row>
    <row r="167" spans="1:68" ht="16.5" customHeight="1" x14ac:dyDescent="0.25">
      <c r="A167" s="54" t="s">
        <v>240</v>
      </c>
      <c r="B167" s="54" t="s">
        <v>241</v>
      </c>
      <c r="C167" s="31">
        <v>4301132179</v>
      </c>
      <c r="D167" s="274">
        <v>4607111035691</v>
      </c>
      <c r="E167" s="27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80</v>
      </c>
      <c r="L167" s="32" t="s">
        <v>81</v>
      </c>
      <c r="M167" s="33" t="s">
        <v>69</v>
      </c>
      <c r="N167" s="33"/>
      <c r="O167" s="32">
        <v>365</v>
      </c>
      <c r="P167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4"/>
      <c r="R167" s="284"/>
      <c r="S167" s="284"/>
      <c r="T167" s="285"/>
      <c r="U167" s="34"/>
      <c r="V167" s="34"/>
      <c r="W167" s="35" t="s">
        <v>70</v>
      </c>
      <c r="X167" s="268">
        <v>14</v>
      </c>
      <c r="Y167" s="269">
        <f>IFERROR(IF(X167="","",X167),"")</f>
        <v>14</v>
      </c>
      <c r="Z167" s="36">
        <f>IFERROR(IF(X167="","",X167*0.01788),"")</f>
        <v>0.25031999999999999</v>
      </c>
      <c r="AA167" s="56"/>
      <c r="AB167" s="57"/>
      <c r="AC167" s="174" t="s">
        <v>242</v>
      </c>
      <c r="AG167" s="67"/>
      <c r="AJ167" s="71" t="s">
        <v>83</v>
      </c>
      <c r="AK167" s="71">
        <v>14</v>
      </c>
      <c r="BB167" s="175" t="s">
        <v>84</v>
      </c>
      <c r="BM167" s="67">
        <f>IFERROR(X167*I167,"0")</f>
        <v>47.432000000000002</v>
      </c>
      <c r="BN167" s="67">
        <f>IFERROR(Y167*I167,"0")</f>
        <v>47.432000000000002</v>
      </c>
      <c r="BO167" s="67">
        <f>IFERROR(X167/J167,"0")</f>
        <v>0.2</v>
      </c>
      <c r="BP167" s="67">
        <f>IFERROR(Y167/J167,"0")</f>
        <v>0.2</v>
      </c>
    </row>
    <row r="168" spans="1:68" ht="27" customHeight="1" x14ac:dyDescent="0.25">
      <c r="A168" s="54" t="s">
        <v>243</v>
      </c>
      <c r="B168" s="54" t="s">
        <v>244</v>
      </c>
      <c r="C168" s="31">
        <v>4301132182</v>
      </c>
      <c r="D168" s="274">
        <v>4607111035721</v>
      </c>
      <c r="E168" s="27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4"/>
      <c r="R168" s="284"/>
      <c r="S168" s="284"/>
      <c r="T168" s="285"/>
      <c r="U168" s="34"/>
      <c r="V168" s="34"/>
      <c r="W168" s="35" t="s">
        <v>70</v>
      </c>
      <c r="X168" s="268">
        <v>28</v>
      </c>
      <c r="Y168" s="269">
        <f>IFERROR(IF(X168="","",X168),"")</f>
        <v>28</v>
      </c>
      <c r="Z168" s="36">
        <f>IFERROR(IF(X168="","",X168*0.01788),"")</f>
        <v>0.50063999999999997</v>
      </c>
      <c r="AA168" s="56"/>
      <c r="AB168" s="57"/>
      <c r="AC168" s="176" t="s">
        <v>245</v>
      </c>
      <c r="AG168" s="67"/>
      <c r="AJ168" s="71" t="s">
        <v>83</v>
      </c>
      <c r="AK168" s="71">
        <v>14</v>
      </c>
      <c r="BB168" s="177" t="s">
        <v>84</v>
      </c>
      <c r="BM168" s="67">
        <f>IFERROR(X168*I168,"0")</f>
        <v>94.864000000000004</v>
      </c>
      <c r="BN168" s="67">
        <f>IFERROR(Y168*I168,"0")</f>
        <v>94.864000000000004</v>
      </c>
      <c r="BO168" s="67">
        <f>IFERROR(X168/J168,"0")</f>
        <v>0.4</v>
      </c>
      <c r="BP168" s="67">
        <f>IFERROR(Y168/J168,"0")</f>
        <v>0.4</v>
      </c>
    </row>
    <row r="169" spans="1:68" ht="27" customHeight="1" x14ac:dyDescent="0.25">
      <c r="A169" s="54" t="s">
        <v>246</v>
      </c>
      <c r="B169" s="54" t="s">
        <v>247</v>
      </c>
      <c r="C169" s="31">
        <v>4301132170</v>
      </c>
      <c r="D169" s="274">
        <v>4607111038487</v>
      </c>
      <c r="E169" s="27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180</v>
      </c>
      <c r="P169" s="41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4"/>
      <c r="R169" s="284"/>
      <c r="S169" s="284"/>
      <c r="T169" s="285"/>
      <c r="U169" s="34"/>
      <c r="V169" s="34"/>
      <c r="W169" s="35" t="s">
        <v>70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248</v>
      </c>
      <c r="AG169" s="67"/>
      <c r="AJ169" s="71" t="s">
        <v>83</v>
      </c>
      <c r="AK169" s="71">
        <v>14</v>
      </c>
      <c r="BB169" s="179" t="s">
        <v>84</v>
      </c>
      <c r="BM169" s="67">
        <f>IFERROR(X169*I169,"0")</f>
        <v>52.304000000000002</v>
      </c>
      <c r="BN169" s="67">
        <f>IFERROR(Y169*I169,"0")</f>
        <v>52.304000000000002</v>
      </c>
      <c r="BO169" s="67">
        <f>IFERROR(X169/J169,"0")</f>
        <v>0.2</v>
      </c>
      <c r="BP169" s="67">
        <f>IFERROR(Y169/J169,"0")</f>
        <v>0.2</v>
      </c>
    </row>
    <row r="170" spans="1:68" x14ac:dyDescent="0.2">
      <c r="A170" s="300"/>
      <c r="B170" s="281"/>
      <c r="C170" s="281"/>
      <c r="D170" s="281"/>
      <c r="E170" s="281"/>
      <c r="F170" s="281"/>
      <c r="G170" s="281"/>
      <c r="H170" s="281"/>
      <c r="I170" s="281"/>
      <c r="J170" s="281"/>
      <c r="K170" s="281"/>
      <c r="L170" s="281"/>
      <c r="M170" s="281"/>
      <c r="N170" s="281"/>
      <c r="O170" s="301"/>
      <c r="P170" s="288" t="s">
        <v>73</v>
      </c>
      <c r="Q170" s="289"/>
      <c r="R170" s="289"/>
      <c r="S170" s="289"/>
      <c r="T170" s="289"/>
      <c r="U170" s="289"/>
      <c r="V170" s="290"/>
      <c r="W170" s="37" t="s">
        <v>70</v>
      </c>
      <c r="X170" s="270">
        <f>IFERROR(SUM(X167:X169),"0")</f>
        <v>56</v>
      </c>
      <c r="Y170" s="270">
        <f>IFERROR(SUM(Y167:Y169),"0")</f>
        <v>56</v>
      </c>
      <c r="Z170" s="270">
        <f>IFERROR(IF(Z167="",0,Z167),"0")+IFERROR(IF(Z168="",0,Z168),"0")+IFERROR(IF(Z169="",0,Z169),"0")</f>
        <v>1.0012799999999999</v>
      </c>
      <c r="AA170" s="271"/>
      <c r="AB170" s="271"/>
      <c r="AC170" s="271"/>
    </row>
    <row r="171" spans="1:68" x14ac:dyDescent="0.2">
      <c r="A171" s="281"/>
      <c r="B171" s="281"/>
      <c r="C171" s="281"/>
      <c r="D171" s="281"/>
      <c r="E171" s="281"/>
      <c r="F171" s="281"/>
      <c r="G171" s="281"/>
      <c r="H171" s="281"/>
      <c r="I171" s="281"/>
      <c r="J171" s="281"/>
      <c r="K171" s="281"/>
      <c r="L171" s="281"/>
      <c r="M171" s="281"/>
      <c r="N171" s="281"/>
      <c r="O171" s="301"/>
      <c r="P171" s="288" t="s">
        <v>73</v>
      </c>
      <c r="Q171" s="289"/>
      <c r="R171" s="289"/>
      <c r="S171" s="289"/>
      <c r="T171" s="289"/>
      <c r="U171" s="289"/>
      <c r="V171" s="290"/>
      <c r="W171" s="37" t="s">
        <v>74</v>
      </c>
      <c r="X171" s="270">
        <f>IFERROR(SUMPRODUCT(X167:X169*H167:H169),"0")</f>
        <v>168</v>
      </c>
      <c r="Y171" s="270">
        <f>IFERROR(SUMPRODUCT(Y167:Y169*H167:H169),"0")</f>
        <v>168</v>
      </c>
      <c r="Z171" s="37"/>
      <c r="AA171" s="271"/>
      <c r="AB171" s="271"/>
      <c r="AC171" s="271"/>
    </row>
    <row r="172" spans="1:68" ht="14.25" hidden="1" customHeight="1" x14ac:dyDescent="0.25">
      <c r="A172" s="286" t="s">
        <v>249</v>
      </c>
      <c r="B172" s="281"/>
      <c r="C172" s="281"/>
      <c r="D172" s="281"/>
      <c r="E172" s="281"/>
      <c r="F172" s="281"/>
      <c r="G172" s="281"/>
      <c r="H172" s="281"/>
      <c r="I172" s="281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64"/>
      <c r="AB172" s="264"/>
      <c r="AC172" s="264"/>
    </row>
    <row r="173" spans="1:68" ht="27" hidden="1" customHeight="1" x14ac:dyDescent="0.25">
      <c r="A173" s="54" t="s">
        <v>250</v>
      </c>
      <c r="B173" s="54" t="s">
        <v>251</v>
      </c>
      <c r="C173" s="31">
        <v>4301051855</v>
      </c>
      <c r="D173" s="274">
        <v>4680115885875</v>
      </c>
      <c r="E173" s="275"/>
      <c r="F173" s="267">
        <v>1</v>
      </c>
      <c r="G173" s="32">
        <v>9</v>
      </c>
      <c r="H173" s="267">
        <v>9</v>
      </c>
      <c r="I173" s="267">
        <v>9.4350000000000005</v>
      </c>
      <c r="J173" s="32">
        <v>64</v>
      </c>
      <c r="K173" s="32" t="s">
        <v>252</v>
      </c>
      <c r="L173" s="32" t="s">
        <v>68</v>
      </c>
      <c r="M173" s="33" t="s">
        <v>253</v>
      </c>
      <c r="N173" s="33"/>
      <c r="O173" s="32">
        <v>365</v>
      </c>
      <c r="P173" s="437" t="s">
        <v>254</v>
      </c>
      <c r="Q173" s="284"/>
      <c r="R173" s="284"/>
      <c r="S173" s="284"/>
      <c r="T173" s="285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255</v>
      </c>
      <c r="AG173" s="67"/>
      <c r="AJ173" s="71" t="s">
        <v>72</v>
      </c>
      <c r="AK173" s="71">
        <v>1</v>
      </c>
      <c r="BB173" s="181" t="s">
        <v>256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300"/>
      <c r="B174" s="281"/>
      <c r="C174" s="281"/>
      <c r="D174" s="281"/>
      <c r="E174" s="281"/>
      <c r="F174" s="281"/>
      <c r="G174" s="281"/>
      <c r="H174" s="281"/>
      <c r="I174" s="281"/>
      <c r="J174" s="281"/>
      <c r="K174" s="281"/>
      <c r="L174" s="281"/>
      <c r="M174" s="281"/>
      <c r="N174" s="281"/>
      <c r="O174" s="301"/>
      <c r="P174" s="288" t="s">
        <v>73</v>
      </c>
      <c r="Q174" s="289"/>
      <c r="R174" s="289"/>
      <c r="S174" s="289"/>
      <c r="T174" s="289"/>
      <c r="U174" s="289"/>
      <c r="V174" s="290"/>
      <c r="W174" s="37" t="s">
        <v>70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hidden="1" x14ac:dyDescent="0.2">
      <c r="A175" s="281"/>
      <c r="B175" s="281"/>
      <c r="C175" s="281"/>
      <c r="D175" s="281"/>
      <c r="E175" s="281"/>
      <c r="F175" s="281"/>
      <c r="G175" s="281"/>
      <c r="H175" s="281"/>
      <c r="I175" s="281"/>
      <c r="J175" s="281"/>
      <c r="K175" s="281"/>
      <c r="L175" s="281"/>
      <c r="M175" s="281"/>
      <c r="N175" s="281"/>
      <c r="O175" s="301"/>
      <c r="P175" s="288" t="s">
        <v>73</v>
      </c>
      <c r="Q175" s="289"/>
      <c r="R175" s="289"/>
      <c r="S175" s="289"/>
      <c r="T175" s="289"/>
      <c r="U175" s="289"/>
      <c r="V175" s="290"/>
      <c r="W175" s="37" t="s">
        <v>74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91" t="s">
        <v>257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48"/>
      <c r="AB176" s="48"/>
      <c r="AC176" s="48"/>
    </row>
    <row r="177" spans="1:68" ht="16.5" hidden="1" customHeight="1" x14ac:dyDescent="0.25">
      <c r="A177" s="280" t="s">
        <v>258</v>
      </c>
      <c r="B177" s="281"/>
      <c r="C177" s="281"/>
      <c r="D177" s="281"/>
      <c r="E177" s="281"/>
      <c r="F177" s="281"/>
      <c r="G177" s="281"/>
      <c r="H177" s="281"/>
      <c r="I177" s="281"/>
      <c r="J177" s="281"/>
      <c r="K177" s="281"/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281"/>
      <c r="Z177" s="281"/>
      <c r="AA177" s="263"/>
      <c r="AB177" s="263"/>
      <c r="AC177" s="263"/>
    </row>
    <row r="178" spans="1:68" ht="14.25" hidden="1" customHeight="1" x14ac:dyDescent="0.25">
      <c r="A178" s="286" t="s">
        <v>77</v>
      </c>
      <c r="B178" s="281"/>
      <c r="C178" s="281"/>
      <c r="D178" s="281"/>
      <c r="E178" s="281"/>
      <c r="F178" s="281"/>
      <c r="G178" s="281"/>
      <c r="H178" s="281"/>
      <c r="I178" s="281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64"/>
      <c r="AB178" s="264"/>
      <c r="AC178" s="264"/>
    </row>
    <row r="179" spans="1:68" ht="27" hidden="1" customHeight="1" x14ac:dyDescent="0.25">
      <c r="A179" s="54" t="s">
        <v>259</v>
      </c>
      <c r="B179" s="54" t="s">
        <v>260</v>
      </c>
      <c r="C179" s="31">
        <v>4301132227</v>
      </c>
      <c r="D179" s="274">
        <v>4620207491133</v>
      </c>
      <c r="E179" s="27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80</v>
      </c>
      <c r="L179" s="32" t="s">
        <v>81</v>
      </c>
      <c r="M179" s="33" t="s">
        <v>69</v>
      </c>
      <c r="N179" s="33"/>
      <c r="O179" s="32">
        <v>180</v>
      </c>
      <c r="P179" s="38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4"/>
      <c r="R179" s="284"/>
      <c r="S179" s="284"/>
      <c r="T179" s="285"/>
      <c r="U179" s="34"/>
      <c r="V179" s="34"/>
      <c r="W179" s="35" t="s">
        <v>70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261</v>
      </c>
      <c r="AG179" s="67"/>
      <c r="AJ179" s="71" t="s">
        <v>83</v>
      </c>
      <c r="AK179" s="71">
        <v>14</v>
      </c>
      <c r="BB179" s="183" t="s">
        <v>84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300"/>
      <c r="B180" s="281"/>
      <c r="C180" s="281"/>
      <c r="D180" s="281"/>
      <c r="E180" s="281"/>
      <c r="F180" s="281"/>
      <c r="G180" s="281"/>
      <c r="H180" s="281"/>
      <c r="I180" s="281"/>
      <c r="J180" s="281"/>
      <c r="K180" s="281"/>
      <c r="L180" s="281"/>
      <c r="M180" s="281"/>
      <c r="N180" s="281"/>
      <c r="O180" s="301"/>
      <c r="P180" s="288" t="s">
        <v>73</v>
      </c>
      <c r="Q180" s="289"/>
      <c r="R180" s="289"/>
      <c r="S180" s="289"/>
      <c r="T180" s="289"/>
      <c r="U180" s="289"/>
      <c r="V180" s="290"/>
      <c r="W180" s="37" t="s">
        <v>70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hidden="1" x14ac:dyDescent="0.2">
      <c r="A181" s="281"/>
      <c r="B181" s="281"/>
      <c r="C181" s="281"/>
      <c r="D181" s="281"/>
      <c r="E181" s="281"/>
      <c r="F181" s="281"/>
      <c r="G181" s="281"/>
      <c r="H181" s="281"/>
      <c r="I181" s="281"/>
      <c r="J181" s="281"/>
      <c r="K181" s="281"/>
      <c r="L181" s="281"/>
      <c r="M181" s="281"/>
      <c r="N181" s="281"/>
      <c r="O181" s="301"/>
      <c r="P181" s="288" t="s">
        <v>73</v>
      </c>
      <c r="Q181" s="289"/>
      <c r="R181" s="289"/>
      <c r="S181" s="289"/>
      <c r="T181" s="289"/>
      <c r="U181" s="289"/>
      <c r="V181" s="290"/>
      <c r="W181" s="37" t="s">
        <v>74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hidden="1" customHeight="1" x14ac:dyDescent="0.25">
      <c r="A182" s="286" t="s">
        <v>121</v>
      </c>
      <c r="B182" s="281"/>
      <c r="C182" s="281"/>
      <c r="D182" s="281"/>
      <c r="E182" s="281"/>
      <c r="F182" s="281"/>
      <c r="G182" s="281"/>
      <c r="H182" s="281"/>
      <c r="I182" s="281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64"/>
      <c r="AB182" s="264"/>
      <c r="AC182" s="264"/>
    </row>
    <row r="183" spans="1:68" ht="27" customHeight="1" x14ac:dyDescent="0.25">
      <c r="A183" s="54" t="s">
        <v>262</v>
      </c>
      <c r="B183" s="54" t="s">
        <v>263</v>
      </c>
      <c r="C183" s="31">
        <v>4301135707</v>
      </c>
      <c r="D183" s="274">
        <v>4620207490198</v>
      </c>
      <c r="E183" s="27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80</v>
      </c>
      <c r="L183" s="32" t="s">
        <v>81</v>
      </c>
      <c r="M183" s="33" t="s">
        <v>69</v>
      </c>
      <c r="N183" s="33"/>
      <c r="O183" s="32">
        <v>180</v>
      </c>
      <c r="P183" s="36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4"/>
      <c r="R183" s="284"/>
      <c r="S183" s="284"/>
      <c r="T183" s="285"/>
      <c r="U183" s="34"/>
      <c r="V183" s="34"/>
      <c r="W183" s="35" t="s">
        <v>70</v>
      </c>
      <c r="X183" s="268">
        <v>14</v>
      </c>
      <c r="Y183" s="269">
        <f>IFERROR(IF(X183="","",X183),"")</f>
        <v>14</v>
      </c>
      <c r="Z183" s="36">
        <f>IFERROR(IF(X183="","",X183*0.01788),"")</f>
        <v>0.25031999999999999</v>
      </c>
      <c r="AA183" s="56"/>
      <c r="AB183" s="57"/>
      <c r="AC183" s="184" t="s">
        <v>264</v>
      </c>
      <c r="AG183" s="67"/>
      <c r="AJ183" s="71" t="s">
        <v>83</v>
      </c>
      <c r="AK183" s="71">
        <v>14</v>
      </c>
      <c r="BB183" s="185" t="s">
        <v>84</v>
      </c>
      <c r="BM183" s="67">
        <f>IFERROR(X183*I183,"0")</f>
        <v>43.450400000000002</v>
      </c>
      <c r="BN183" s="67">
        <f>IFERROR(Y183*I183,"0")</f>
        <v>43.450400000000002</v>
      </c>
      <c r="BO183" s="67">
        <f>IFERROR(X183/J183,"0")</f>
        <v>0.2</v>
      </c>
      <c r="BP183" s="67">
        <f>IFERROR(Y183/J183,"0")</f>
        <v>0.2</v>
      </c>
    </row>
    <row r="184" spans="1:68" ht="27" hidden="1" customHeight="1" x14ac:dyDescent="0.25">
      <c r="A184" s="54" t="s">
        <v>265</v>
      </c>
      <c r="B184" s="54" t="s">
        <v>266</v>
      </c>
      <c r="C184" s="31">
        <v>4301135696</v>
      </c>
      <c r="D184" s="274">
        <v>4620207490235</v>
      </c>
      <c r="E184" s="27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180</v>
      </c>
      <c r="P184" s="43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4" s="284"/>
      <c r="R184" s="284"/>
      <c r="S184" s="284"/>
      <c r="T184" s="285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72</v>
      </c>
      <c r="AK184" s="71">
        <v>1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74">
        <v>4620207490259</v>
      </c>
      <c r="E185" s="27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81</v>
      </c>
      <c r="M185" s="33" t="s">
        <v>69</v>
      </c>
      <c r="N185" s="33"/>
      <c r="O185" s="32">
        <v>180</v>
      </c>
      <c r="P185" s="4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4"/>
      <c r="R185" s="284"/>
      <c r="S185" s="284"/>
      <c r="T185" s="285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264</v>
      </c>
      <c r="AG185" s="67"/>
      <c r="AJ185" s="71" t="s">
        <v>83</v>
      </c>
      <c r="AK185" s="71">
        <v>14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74">
        <v>4620207490143</v>
      </c>
      <c r="E186" s="27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31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4"/>
      <c r="R186" s="284"/>
      <c r="S186" s="284"/>
      <c r="T186" s="285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72</v>
      </c>
      <c r="AK186" s="71">
        <v>1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300"/>
      <c r="B187" s="281"/>
      <c r="C187" s="281"/>
      <c r="D187" s="281"/>
      <c r="E187" s="281"/>
      <c r="F187" s="281"/>
      <c r="G187" s="281"/>
      <c r="H187" s="281"/>
      <c r="I187" s="281"/>
      <c r="J187" s="281"/>
      <c r="K187" s="281"/>
      <c r="L187" s="281"/>
      <c r="M187" s="281"/>
      <c r="N187" s="281"/>
      <c r="O187" s="301"/>
      <c r="P187" s="288" t="s">
        <v>73</v>
      </c>
      <c r="Q187" s="289"/>
      <c r="R187" s="289"/>
      <c r="S187" s="289"/>
      <c r="T187" s="289"/>
      <c r="U187" s="289"/>
      <c r="V187" s="290"/>
      <c r="W187" s="37" t="s">
        <v>70</v>
      </c>
      <c r="X187" s="270">
        <f>IFERROR(SUM(X183:X186),"0")</f>
        <v>14</v>
      </c>
      <c r="Y187" s="270">
        <f>IFERROR(SUM(Y183:Y186),"0")</f>
        <v>14</v>
      </c>
      <c r="Z187" s="270">
        <f>IFERROR(IF(Z183="",0,Z183),"0")+IFERROR(IF(Z184="",0,Z184),"0")+IFERROR(IF(Z185="",0,Z185),"0")+IFERROR(IF(Z186="",0,Z186),"0")</f>
        <v>0.25031999999999999</v>
      </c>
      <c r="AA187" s="271"/>
      <c r="AB187" s="271"/>
      <c r="AC187" s="271"/>
    </row>
    <row r="188" spans="1:68" x14ac:dyDescent="0.2">
      <c r="A188" s="281"/>
      <c r="B188" s="281"/>
      <c r="C188" s="281"/>
      <c r="D188" s="281"/>
      <c r="E188" s="281"/>
      <c r="F188" s="281"/>
      <c r="G188" s="281"/>
      <c r="H188" s="281"/>
      <c r="I188" s="281"/>
      <c r="J188" s="281"/>
      <c r="K188" s="281"/>
      <c r="L188" s="281"/>
      <c r="M188" s="281"/>
      <c r="N188" s="281"/>
      <c r="O188" s="301"/>
      <c r="P188" s="288" t="s">
        <v>73</v>
      </c>
      <c r="Q188" s="289"/>
      <c r="R188" s="289"/>
      <c r="S188" s="289"/>
      <c r="T188" s="289"/>
      <c r="U188" s="289"/>
      <c r="V188" s="290"/>
      <c r="W188" s="37" t="s">
        <v>74</v>
      </c>
      <c r="X188" s="270">
        <f>IFERROR(SUMPRODUCT(X183:X186*H183:H186),"0")</f>
        <v>33.6</v>
      </c>
      <c r="Y188" s="270">
        <f>IFERROR(SUMPRODUCT(Y183:Y186*H183:H186),"0")</f>
        <v>33.6</v>
      </c>
      <c r="Z188" s="37"/>
      <c r="AA188" s="271"/>
      <c r="AB188" s="271"/>
      <c r="AC188" s="271"/>
    </row>
    <row r="189" spans="1:68" ht="16.5" hidden="1" customHeight="1" x14ac:dyDescent="0.25">
      <c r="A189" s="280" t="s">
        <v>273</v>
      </c>
      <c r="B189" s="281"/>
      <c r="C189" s="281"/>
      <c r="D189" s="281"/>
      <c r="E189" s="281"/>
      <c r="F189" s="281"/>
      <c r="G189" s="281"/>
      <c r="H189" s="281"/>
      <c r="I189" s="281"/>
      <c r="J189" s="281"/>
      <c r="K189" s="281"/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281"/>
      <c r="Z189" s="281"/>
      <c r="AA189" s="263"/>
      <c r="AB189" s="263"/>
      <c r="AC189" s="263"/>
    </row>
    <row r="190" spans="1:68" ht="14.25" hidden="1" customHeight="1" x14ac:dyDescent="0.25">
      <c r="A190" s="286" t="s">
        <v>64</v>
      </c>
      <c r="B190" s="281"/>
      <c r="C190" s="281"/>
      <c r="D190" s="281"/>
      <c r="E190" s="281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64"/>
      <c r="AB190" s="264"/>
      <c r="AC190" s="264"/>
    </row>
    <row r="191" spans="1:68" ht="27" hidden="1" customHeight="1" x14ac:dyDescent="0.25">
      <c r="A191" s="54" t="s">
        <v>274</v>
      </c>
      <c r="B191" s="54" t="s">
        <v>275</v>
      </c>
      <c r="C191" s="31">
        <v>4301071108</v>
      </c>
      <c r="D191" s="274">
        <v>4607111035912</v>
      </c>
      <c r="E191" s="27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67</v>
      </c>
      <c r="L191" s="32" t="s">
        <v>68</v>
      </c>
      <c r="M191" s="33" t="s">
        <v>69</v>
      </c>
      <c r="N191" s="33"/>
      <c r="O191" s="32">
        <v>180</v>
      </c>
      <c r="P191" s="329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84"/>
      <c r="R191" s="284"/>
      <c r="S191" s="284"/>
      <c r="T191" s="285"/>
      <c r="U191" s="34"/>
      <c r="V191" s="34"/>
      <c r="W191" s="35" t="s">
        <v>70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72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74">
        <v>4607111035103</v>
      </c>
      <c r="E192" s="27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426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4301071109</v>
      </c>
      <c r="D193" s="274">
        <v>4607111035929</v>
      </c>
      <c r="E193" s="27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349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4301071106</v>
      </c>
      <c r="D194" s="274">
        <v>4607111035882</v>
      </c>
      <c r="E194" s="27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41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283</v>
      </c>
      <c r="B195" s="54" t="s">
        <v>284</v>
      </c>
      <c r="C195" s="31">
        <v>4301071107</v>
      </c>
      <c r="D195" s="274">
        <v>4607111035905</v>
      </c>
      <c r="E195" s="27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414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300"/>
      <c r="B196" s="281"/>
      <c r="C196" s="281"/>
      <c r="D196" s="281"/>
      <c r="E196" s="281"/>
      <c r="F196" s="281"/>
      <c r="G196" s="281"/>
      <c r="H196" s="281"/>
      <c r="I196" s="281"/>
      <c r="J196" s="281"/>
      <c r="K196" s="281"/>
      <c r="L196" s="281"/>
      <c r="M196" s="281"/>
      <c r="N196" s="281"/>
      <c r="O196" s="301"/>
      <c r="P196" s="288" t="s">
        <v>73</v>
      </c>
      <c r="Q196" s="289"/>
      <c r="R196" s="289"/>
      <c r="S196" s="289"/>
      <c r="T196" s="289"/>
      <c r="U196" s="289"/>
      <c r="V196" s="290"/>
      <c r="W196" s="37" t="s">
        <v>70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hidden="1" x14ac:dyDescent="0.2">
      <c r="A197" s="281"/>
      <c r="B197" s="281"/>
      <c r="C197" s="281"/>
      <c r="D197" s="281"/>
      <c r="E197" s="281"/>
      <c r="F197" s="281"/>
      <c r="G197" s="281"/>
      <c r="H197" s="281"/>
      <c r="I197" s="281"/>
      <c r="J197" s="281"/>
      <c r="K197" s="281"/>
      <c r="L197" s="281"/>
      <c r="M197" s="281"/>
      <c r="N197" s="281"/>
      <c r="O197" s="301"/>
      <c r="P197" s="288" t="s">
        <v>73</v>
      </c>
      <c r="Q197" s="289"/>
      <c r="R197" s="289"/>
      <c r="S197" s="289"/>
      <c r="T197" s="289"/>
      <c r="U197" s="289"/>
      <c r="V197" s="290"/>
      <c r="W197" s="37" t="s">
        <v>74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hidden="1" customHeight="1" x14ac:dyDescent="0.25">
      <c r="A198" s="280" t="s">
        <v>285</v>
      </c>
      <c r="B198" s="281"/>
      <c r="C198" s="281"/>
      <c r="D198" s="281"/>
      <c r="E198" s="281"/>
      <c r="F198" s="281"/>
      <c r="G198" s="281"/>
      <c r="H198" s="281"/>
      <c r="I198" s="281"/>
      <c r="J198" s="281"/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281"/>
      <c r="V198" s="281"/>
      <c r="W198" s="281"/>
      <c r="X198" s="281"/>
      <c r="Y198" s="281"/>
      <c r="Z198" s="281"/>
      <c r="AA198" s="263"/>
      <c r="AB198" s="263"/>
      <c r="AC198" s="263"/>
    </row>
    <row r="199" spans="1:68" ht="14.25" hidden="1" customHeight="1" x14ac:dyDescent="0.25">
      <c r="A199" s="286" t="s">
        <v>64</v>
      </c>
      <c r="B199" s="281"/>
      <c r="C199" s="281"/>
      <c r="D199" s="281"/>
      <c r="E199" s="281"/>
      <c r="F199" s="281"/>
      <c r="G199" s="281"/>
      <c r="H199" s="281"/>
      <c r="I199" s="281"/>
      <c r="J199" s="281"/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281"/>
      <c r="V199" s="281"/>
      <c r="W199" s="281"/>
      <c r="X199" s="281"/>
      <c r="Y199" s="281"/>
      <c r="Z199" s="281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74">
        <v>4620207491096</v>
      </c>
      <c r="E200" s="27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81</v>
      </c>
      <c r="M200" s="33" t="s">
        <v>69</v>
      </c>
      <c r="N200" s="33"/>
      <c r="O200" s="32">
        <v>180</v>
      </c>
      <c r="P200" s="303" t="s">
        <v>288</v>
      </c>
      <c r="Q200" s="284"/>
      <c r="R200" s="284"/>
      <c r="S200" s="284"/>
      <c r="T200" s="285"/>
      <c r="U200" s="34"/>
      <c r="V200" s="34"/>
      <c r="W200" s="35" t="s">
        <v>70</v>
      </c>
      <c r="X200" s="268">
        <v>24</v>
      </c>
      <c r="Y200" s="269">
        <f>IFERROR(IF(X200="","",X200),"")</f>
        <v>24</v>
      </c>
      <c r="Z200" s="36">
        <f>IFERROR(IF(X200="","",X200*0.0155),"")</f>
        <v>0.372</v>
      </c>
      <c r="AA200" s="56"/>
      <c r="AB200" s="57"/>
      <c r="AC200" s="202" t="s">
        <v>289</v>
      </c>
      <c r="AG200" s="67"/>
      <c r="AJ200" s="71" t="s">
        <v>83</v>
      </c>
      <c r="AK200" s="71">
        <v>12</v>
      </c>
      <c r="BB200" s="203" t="s">
        <v>1</v>
      </c>
      <c r="BM200" s="67">
        <f>IFERROR(X200*I200,"0")</f>
        <v>125.52000000000001</v>
      </c>
      <c r="BN200" s="67">
        <f>IFERROR(Y200*I200,"0")</f>
        <v>125.52000000000001</v>
      </c>
      <c r="BO200" s="67">
        <f>IFERROR(X200/J200,"0")</f>
        <v>0.2857142857142857</v>
      </c>
      <c r="BP200" s="67">
        <f>IFERROR(Y200/J200,"0")</f>
        <v>0.2857142857142857</v>
      </c>
    </row>
    <row r="201" spans="1:68" x14ac:dyDescent="0.2">
      <c r="A201" s="300"/>
      <c r="B201" s="281"/>
      <c r="C201" s="281"/>
      <c r="D201" s="281"/>
      <c r="E201" s="281"/>
      <c r="F201" s="281"/>
      <c r="G201" s="281"/>
      <c r="H201" s="281"/>
      <c r="I201" s="281"/>
      <c r="J201" s="281"/>
      <c r="K201" s="281"/>
      <c r="L201" s="281"/>
      <c r="M201" s="281"/>
      <c r="N201" s="281"/>
      <c r="O201" s="301"/>
      <c r="P201" s="288" t="s">
        <v>73</v>
      </c>
      <c r="Q201" s="289"/>
      <c r="R201" s="289"/>
      <c r="S201" s="289"/>
      <c r="T201" s="289"/>
      <c r="U201" s="289"/>
      <c r="V201" s="290"/>
      <c r="W201" s="37" t="s">
        <v>70</v>
      </c>
      <c r="X201" s="270">
        <f>IFERROR(SUM(X200:X200),"0")</f>
        <v>24</v>
      </c>
      <c r="Y201" s="270">
        <f>IFERROR(SUM(Y200:Y200),"0")</f>
        <v>24</v>
      </c>
      <c r="Z201" s="270">
        <f>IFERROR(IF(Z200="",0,Z200),"0")</f>
        <v>0.372</v>
      </c>
      <c r="AA201" s="271"/>
      <c r="AB201" s="271"/>
      <c r="AC201" s="271"/>
    </row>
    <row r="202" spans="1:68" x14ac:dyDescent="0.2">
      <c r="A202" s="281"/>
      <c r="B202" s="281"/>
      <c r="C202" s="281"/>
      <c r="D202" s="281"/>
      <c r="E202" s="281"/>
      <c r="F202" s="281"/>
      <c r="G202" s="281"/>
      <c r="H202" s="281"/>
      <c r="I202" s="281"/>
      <c r="J202" s="281"/>
      <c r="K202" s="281"/>
      <c r="L202" s="281"/>
      <c r="M202" s="281"/>
      <c r="N202" s="281"/>
      <c r="O202" s="301"/>
      <c r="P202" s="288" t="s">
        <v>73</v>
      </c>
      <c r="Q202" s="289"/>
      <c r="R202" s="289"/>
      <c r="S202" s="289"/>
      <c r="T202" s="289"/>
      <c r="U202" s="289"/>
      <c r="V202" s="290"/>
      <c r="W202" s="37" t="s">
        <v>74</v>
      </c>
      <c r="X202" s="270">
        <f>IFERROR(SUMPRODUCT(X200:X200*H200:H200),"0")</f>
        <v>120</v>
      </c>
      <c r="Y202" s="270">
        <f>IFERROR(SUMPRODUCT(Y200:Y200*H200:H200),"0")</f>
        <v>120</v>
      </c>
      <c r="Z202" s="37"/>
      <c r="AA202" s="271"/>
      <c r="AB202" s="271"/>
      <c r="AC202" s="271"/>
    </row>
    <row r="203" spans="1:68" ht="16.5" hidden="1" customHeight="1" x14ac:dyDescent="0.25">
      <c r="A203" s="280" t="s">
        <v>290</v>
      </c>
      <c r="B203" s="281"/>
      <c r="C203" s="281"/>
      <c r="D203" s="281"/>
      <c r="E203" s="281"/>
      <c r="F203" s="281"/>
      <c r="G203" s="281"/>
      <c r="H203" s="281"/>
      <c r="I203" s="281"/>
      <c r="J203" s="281"/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281"/>
      <c r="V203" s="281"/>
      <c r="W203" s="281"/>
      <c r="X203" s="281"/>
      <c r="Y203" s="281"/>
      <c r="Z203" s="281"/>
      <c r="AA203" s="263"/>
      <c r="AB203" s="263"/>
      <c r="AC203" s="263"/>
    </row>
    <row r="204" spans="1:68" ht="14.25" hidden="1" customHeight="1" x14ac:dyDescent="0.25">
      <c r="A204" s="286" t="s">
        <v>64</v>
      </c>
      <c r="B204" s="281"/>
      <c r="C204" s="281"/>
      <c r="D204" s="281"/>
      <c r="E204" s="281"/>
      <c r="F204" s="281"/>
      <c r="G204" s="281"/>
      <c r="H204" s="281"/>
      <c r="I204" s="281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64"/>
      <c r="AB204" s="264"/>
      <c r="AC204" s="264"/>
    </row>
    <row r="205" spans="1:68" ht="27" hidden="1" customHeight="1" x14ac:dyDescent="0.25">
      <c r="A205" s="54" t="s">
        <v>291</v>
      </c>
      <c r="B205" s="54" t="s">
        <v>292</v>
      </c>
      <c r="C205" s="31">
        <v>4301071093</v>
      </c>
      <c r="D205" s="274">
        <v>4620207490709</v>
      </c>
      <c r="E205" s="27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40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4"/>
      <c r="R205" s="284"/>
      <c r="S205" s="284"/>
      <c r="T205" s="285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300"/>
      <c r="B206" s="281"/>
      <c r="C206" s="281"/>
      <c r="D206" s="281"/>
      <c r="E206" s="281"/>
      <c r="F206" s="281"/>
      <c r="G206" s="281"/>
      <c r="H206" s="281"/>
      <c r="I206" s="281"/>
      <c r="J206" s="281"/>
      <c r="K206" s="281"/>
      <c r="L206" s="281"/>
      <c r="M206" s="281"/>
      <c r="N206" s="281"/>
      <c r="O206" s="301"/>
      <c r="P206" s="288" t="s">
        <v>73</v>
      </c>
      <c r="Q206" s="289"/>
      <c r="R206" s="289"/>
      <c r="S206" s="289"/>
      <c r="T206" s="289"/>
      <c r="U206" s="289"/>
      <c r="V206" s="290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1"/>
      <c r="B207" s="281"/>
      <c r="C207" s="281"/>
      <c r="D207" s="281"/>
      <c r="E207" s="281"/>
      <c r="F207" s="281"/>
      <c r="G207" s="281"/>
      <c r="H207" s="281"/>
      <c r="I207" s="281"/>
      <c r="J207" s="281"/>
      <c r="K207" s="281"/>
      <c r="L207" s="281"/>
      <c r="M207" s="281"/>
      <c r="N207" s="281"/>
      <c r="O207" s="301"/>
      <c r="P207" s="288" t="s">
        <v>73</v>
      </c>
      <c r="Q207" s="289"/>
      <c r="R207" s="289"/>
      <c r="S207" s="289"/>
      <c r="T207" s="289"/>
      <c r="U207" s="289"/>
      <c r="V207" s="290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86" t="s">
        <v>121</v>
      </c>
      <c r="B208" s="281"/>
      <c r="C208" s="281"/>
      <c r="D208" s="281"/>
      <c r="E208" s="281"/>
      <c r="F208" s="281"/>
      <c r="G208" s="281"/>
      <c r="H208" s="281"/>
      <c r="I208" s="281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64"/>
      <c r="AB208" s="264"/>
      <c r="AC208" s="264"/>
    </row>
    <row r="209" spans="1:68" ht="27" hidden="1" customHeight="1" x14ac:dyDescent="0.25">
      <c r="A209" s="54" t="s">
        <v>294</v>
      </c>
      <c r="B209" s="54" t="s">
        <v>295</v>
      </c>
      <c r="C209" s="31">
        <v>4301135692</v>
      </c>
      <c r="D209" s="274">
        <v>4620207490570</v>
      </c>
      <c r="E209" s="27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45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4"/>
      <c r="R209" s="284"/>
      <c r="S209" s="284"/>
      <c r="T209" s="285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297</v>
      </c>
      <c r="B210" s="54" t="s">
        <v>298</v>
      </c>
      <c r="C210" s="31">
        <v>4301135691</v>
      </c>
      <c r="D210" s="274">
        <v>4620207490549</v>
      </c>
      <c r="E210" s="27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28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4301135694</v>
      </c>
      <c r="D211" s="274">
        <v>4620207490501</v>
      </c>
      <c r="E211" s="27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9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00"/>
      <c r="B212" s="281"/>
      <c r="C212" s="281"/>
      <c r="D212" s="281"/>
      <c r="E212" s="281"/>
      <c r="F212" s="281"/>
      <c r="G212" s="281"/>
      <c r="H212" s="281"/>
      <c r="I212" s="281"/>
      <c r="J212" s="281"/>
      <c r="K212" s="281"/>
      <c r="L212" s="281"/>
      <c r="M212" s="281"/>
      <c r="N212" s="281"/>
      <c r="O212" s="301"/>
      <c r="P212" s="288" t="s">
        <v>73</v>
      </c>
      <c r="Q212" s="289"/>
      <c r="R212" s="289"/>
      <c r="S212" s="289"/>
      <c r="T212" s="289"/>
      <c r="U212" s="289"/>
      <c r="V212" s="290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1"/>
      <c r="B213" s="281"/>
      <c r="C213" s="281"/>
      <c r="D213" s="281"/>
      <c r="E213" s="281"/>
      <c r="F213" s="281"/>
      <c r="G213" s="281"/>
      <c r="H213" s="281"/>
      <c r="I213" s="281"/>
      <c r="J213" s="281"/>
      <c r="K213" s="281"/>
      <c r="L213" s="281"/>
      <c r="M213" s="281"/>
      <c r="N213" s="281"/>
      <c r="O213" s="301"/>
      <c r="P213" s="288" t="s">
        <v>73</v>
      </c>
      <c r="Q213" s="289"/>
      <c r="R213" s="289"/>
      <c r="S213" s="289"/>
      <c r="T213" s="289"/>
      <c r="U213" s="289"/>
      <c r="V213" s="290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80" t="s">
        <v>301</v>
      </c>
      <c r="B214" s="281"/>
      <c r="C214" s="281"/>
      <c r="D214" s="281"/>
      <c r="E214" s="281"/>
      <c r="F214" s="281"/>
      <c r="G214" s="281"/>
      <c r="H214" s="281"/>
      <c r="I214" s="281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63"/>
      <c r="AB214" s="263"/>
      <c r="AC214" s="263"/>
    </row>
    <row r="215" spans="1:68" ht="14.25" hidden="1" customHeight="1" x14ac:dyDescent="0.25">
      <c r="A215" s="286" t="s">
        <v>64</v>
      </c>
      <c r="B215" s="281"/>
      <c r="C215" s="281"/>
      <c r="D215" s="281"/>
      <c r="E215" s="281"/>
      <c r="F215" s="281"/>
      <c r="G215" s="281"/>
      <c r="H215" s="281"/>
      <c r="I215" s="281"/>
      <c r="J215" s="281"/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281"/>
      <c r="V215" s="281"/>
      <c r="W215" s="281"/>
      <c r="X215" s="281"/>
      <c r="Y215" s="281"/>
      <c r="Z215" s="281"/>
      <c r="AA215" s="264"/>
      <c r="AB215" s="264"/>
      <c r="AC215" s="264"/>
    </row>
    <row r="216" spans="1:68" ht="16.5" hidden="1" customHeight="1" x14ac:dyDescent="0.25">
      <c r="A216" s="54" t="s">
        <v>302</v>
      </c>
      <c r="B216" s="54" t="s">
        <v>303</v>
      </c>
      <c r="C216" s="31">
        <v>4301071099</v>
      </c>
      <c r="D216" s="274">
        <v>4607111039019</v>
      </c>
      <c r="E216" s="27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8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4"/>
      <c r="R216" s="284"/>
      <c r="S216" s="284"/>
      <c r="T216" s="285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305</v>
      </c>
      <c r="B217" s="54" t="s">
        <v>306</v>
      </c>
      <c r="C217" s="31">
        <v>4301071100</v>
      </c>
      <c r="D217" s="274">
        <v>4607111038708</v>
      </c>
      <c r="E217" s="27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8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4"/>
      <c r="R217" s="284"/>
      <c r="S217" s="284"/>
      <c r="T217" s="285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300"/>
      <c r="B218" s="281"/>
      <c r="C218" s="281"/>
      <c r="D218" s="281"/>
      <c r="E218" s="281"/>
      <c r="F218" s="281"/>
      <c r="G218" s="281"/>
      <c r="H218" s="281"/>
      <c r="I218" s="281"/>
      <c r="J218" s="281"/>
      <c r="K218" s="281"/>
      <c r="L218" s="281"/>
      <c r="M218" s="281"/>
      <c r="N218" s="281"/>
      <c r="O218" s="301"/>
      <c r="P218" s="288" t="s">
        <v>73</v>
      </c>
      <c r="Q218" s="289"/>
      <c r="R218" s="289"/>
      <c r="S218" s="289"/>
      <c r="T218" s="289"/>
      <c r="U218" s="289"/>
      <c r="V218" s="290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1"/>
      <c r="B219" s="281"/>
      <c r="C219" s="281"/>
      <c r="D219" s="281"/>
      <c r="E219" s="281"/>
      <c r="F219" s="281"/>
      <c r="G219" s="281"/>
      <c r="H219" s="281"/>
      <c r="I219" s="281"/>
      <c r="J219" s="281"/>
      <c r="K219" s="281"/>
      <c r="L219" s="281"/>
      <c r="M219" s="281"/>
      <c r="N219" s="281"/>
      <c r="O219" s="301"/>
      <c r="P219" s="288" t="s">
        <v>73</v>
      </c>
      <c r="Q219" s="289"/>
      <c r="R219" s="289"/>
      <c r="S219" s="289"/>
      <c r="T219" s="289"/>
      <c r="U219" s="289"/>
      <c r="V219" s="290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291" t="s">
        <v>307</v>
      </c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48"/>
      <c r="AB220" s="48"/>
      <c r="AC220" s="48"/>
    </row>
    <row r="221" spans="1:68" ht="16.5" hidden="1" customHeight="1" x14ac:dyDescent="0.25">
      <c r="A221" s="280" t="s">
        <v>308</v>
      </c>
      <c r="B221" s="281"/>
      <c r="C221" s="281"/>
      <c r="D221" s="281"/>
      <c r="E221" s="281"/>
      <c r="F221" s="281"/>
      <c r="G221" s="281"/>
      <c r="H221" s="281"/>
      <c r="I221" s="281"/>
      <c r="J221" s="281"/>
      <c r="K221" s="281"/>
      <c r="L221" s="281"/>
      <c r="M221" s="281"/>
      <c r="N221" s="281"/>
      <c r="O221" s="281"/>
      <c r="P221" s="281"/>
      <c r="Q221" s="281"/>
      <c r="R221" s="281"/>
      <c r="S221" s="281"/>
      <c r="T221" s="281"/>
      <c r="U221" s="281"/>
      <c r="V221" s="281"/>
      <c r="W221" s="281"/>
      <c r="X221" s="281"/>
      <c r="Y221" s="281"/>
      <c r="Z221" s="281"/>
      <c r="AA221" s="263"/>
      <c r="AB221" s="263"/>
      <c r="AC221" s="263"/>
    </row>
    <row r="222" spans="1:68" ht="14.25" hidden="1" customHeight="1" x14ac:dyDescent="0.25">
      <c r="A222" s="286" t="s">
        <v>64</v>
      </c>
      <c r="B222" s="281"/>
      <c r="C222" s="281"/>
      <c r="D222" s="281"/>
      <c r="E222" s="281"/>
      <c r="F222" s="281"/>
      <c r="G222" s="281"/>
      <c r="H222" s="281"/>
      <c r="I222" s="281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64"/>
      <c r="AB222" s="264"/>
      <c r="AC222" s="264"/>
    </row>
    <row r="223" spans="1:68" ht="27" hidden="1" customHeight="1" x14ac:dyDescent="0.25">
      <c r="A223" s="54" t="s">
        <v>309</v>
      </c>
      <c r="B223" s="54" t="s">
        <v>310</v>
      </c>
      <c r="C223" s="31">
        <v>4301071036</v>
      </c>
      <c r="D223" s="274">
        <v>4607111036162</v>
      </c>
      <c r="E223" s="27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4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4"/>
      <c r="R223" s="284"/>
      <c r="S223" s="284"/>
      <c r="T223" s="285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300"/>
      <c r="B224" s="281"/>
      <c r="C224" s="281"/>
      <c r="D224" s="281"/>
      <c r="E224" s="281"/>
      <c r="F224" s="281"/>
      <c r="G224" s="281"/>
      <c r="H224" s="281"/>
      <c r="I224" s="281"/>
      <c r="J224" s="281"/>
      <c r="K224" s="281"/>
      <c r="L224" s="281"/>
      <c r="M224" s="281"/>
      <c r="N224" s="281"/>
      <c r="O224" s="301"/>
      <c r="P224" s="288" t="s">
        <v>73</v>
      </c>
      <c r="Q224" s="289"/>
      <c r="R224" s="289"/>
      <c r="S224" s="289"/>
      <c r="T224" s="289"/>
      <c r="U224" s="289"/>
      <c r="V224" s="290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1"/>
      <c r="B225" s="281"/>
      <c r="C225" s="281"/>
      <c r="D225" s="281"/>
      <c r="E225" s="281"/>
      <c r="F225" s="281"/>
      <c r="G225" s="281"/>
      <c r="H225" s="281"/>
      <c r="I225" s="281"/>
      <c r="J225" s="281"/>
      <c r="K225" s="281"/>
      <c r="L225" s="281"/>
      <c r="M225" s="281"/>
      <c r="N225" s="281"/>
      <c r="O225" s="301"/>
      <c r="P225" s="288" t="s">
        <v>73</v>
      </c>
      <c r="Q225" s="289"/>
      <c r="R225" s="289"/>
      <c r="S225" s="289"/>
      <c r="T225" s="289"/>
      <c r="U225" s="289"/>
      <c r="V225" s="290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291" t="s">
        <v>312</v>
      </c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48"/>
      <c r="AB226" s="48"/>
      <c r="AC226" s="48"/>
    </row>
    <row r="227" spans="1:68" ht="16.5" hidden="1" customHeight="1" x14ac:dyDescent="0.25">
      <c r="A227" s="280" t="s">
        <v>313</v>
      </c>
      <c r="B227" s="281"/>
      <c r="C227" s="281"/>
      <c r="D227" s="281"/>
      <c r="E227" s="281"/>
      <c r="F227" s="281"/>
      <c r="G227" s="281"/>
      <c r="H227" s="281"/>
      <c r="I227" s="281"/>
      <c r="J227" s="281"/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281"/>
      <c r="Z227" s="281"/>
      <c r="AA227" s="263"/>
      <c r="AB227" s="263"/>
      <c r="AC227" s="263"/>
    </row>
    <row r="228" spans="1:68" ht="14.25" hidden="1" customHeight="1" x14ac:dyDescent="0.25">
      <c r="A228" s="286" t="s">
        <v>64</v>
      </c>
      <c r="B228" s="281"/>
      <c r="C228" s="281"/>
      <c r="D228" s="281"/>
      <c r="E228" s="281"/>
      <c r="F228" s="281"/>
      <c r="G228" s="281"/>
      <c r="H228" s="281"/>
      <c r="I228" s="281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64"/>
      <c r="AB228" s="264"/>
      <c r="AC228" s="264"/>
    </row>
    <row r="229" spans="1:68" ht="27" hidden="1" customHeight="1" x14ac:dyDescent="0.25">
      <c r="A229" s="54" t="s">
        <v>314</v>
      </c>
      <c r="B229" s="54" t="s">
        <v>315</v>
      </c>
      <c r="C229" s="31">
        <v>4301071029</v>
      </c>
      <c r="D229" s="274">
        <v>4607111035899</v>
      </c>
      <c r="E229" s="27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68</v>
      </c>
      <c r="M229" s="33" t="s">
        <v>69</v>
      </c>
      <c r="N229" s="33"/>
      <c r="O229" s="32">
        <v>180</v>
      </c>
      <c r="P229" s="38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4"/>
      <c r="R229" s="284"/>
      <c r="S229" s="284"/>
      <c r="T229" s="285"/>
      <c r="U229" s="34"/>
      <c r="V229" s="34"/>
      <c r="W229" s="35" t="s">
        <v>70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237</v>
      </c>
      <c r="AG229" s="67"/>
      <c r="AJ229" s="71" t="s">
        <v>72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00"/>
      <c r="B230" s="281"/>
      <c r="C230" s="281"/>
      <c r="D230" s="281"/>
      <c r="E230" s="281"/>
      <c r="F230" s="281"/>
      <c r="G230" s="281"/>
      <c r="H230" s="281"/>
      <c r="I230" s="281"/>
      <c r="J230" s="281"/>
      <c r="K230" s="281"/>
      <c r="L230" s="281"/>
      <c r="M230" s="281"/>
      <c r="N230" s="281"/>
      <c r="O230" s="301"/>
      <c r="P230" s="288" t="s">
        <v>73</v>
      </c>
      <c r="Q230" s="289"/>
      <c r="R230" s="289"/>
      <c r="S230" s="289"/>
      <c r="T230" s="289"/>
      <c r="U230" s="289"/>
      <c r="V230" s="290"/>
      <c r="W230" s="37" t="s">
        <v>70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1"/>
      <c r="B231" s="281"/>
      <c r="C231" s="281"/>
      <c r="D231" s="281"/>
      <c r="E231" s="281"/>
      <c r="F231" s="281"/>
      <c r="G231" s="281"/>
      <c r="H231" s="281"/>
      <c r="I231" s="281"/>
      <c r="J231" s="281"/>
      <c r="K231" s="281"/>
      <c r="L231" s="281"/>
      <c r="M231" s="281"/>
      <c r="N231" s="281"/>
      <c r="O231" s="301"/>
      <c r="P231" s="288" t="s">
        <v>73</v>
      </c>
      <c r="Q231" s="289"/>
      <c r="R231" s="289"/>
      <c r="S231" s="289"/>
      <c r="T231" s="289"/>
      <c r="U231" s="289"/>
      <c r="V231" s="290"/>
      <c r="W231" s="37" t="s">
        <v>74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291" t="s">
        <v>316</v>
      </c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  <c r="AA232" s="48"/>
      <c r="AB232" s="48"/>
      <c r="AC232" s="48"/>
    </row>
    <row r="233" spans="1:68" ht="16.5" hidden="1" customHeight="1" x14ac:dyDescent="0.25">
      <c r="A233" s="280" t="s">
        <v>317</v>
      </c>
      <c r="B233" s="281"/>
      <c r="C233" s="281"/>
      <c r="D233" s="281"/>
      <c r="E233" s="281"/>
      <c r="F233" s="281"/>
      <c r="G233" s="281"/>
      <c r="H233" s="281"/>
      <c r="I233" s="281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63"/>
      <c r="AB233" s="263"/>
      <c r="AC233" s="263"/>
    </row>
    <row r="234" spans="1:68" ht="14.25" hidden="1" customHeight="1" x14ac:dyDescent="0.25">
      <c r="A234" s="286" t="s">
        <v>318</v>
      </c>
      <c r="B234" s="281"/>
      <c r="C234" s="281"/>
      <c r="D234" s="281"/>
      <c r="E234" s="281"/>
      <c r="F234" s="281"/>
      <c r="G234" s="281"/>
      <c r="H234" s="281"/>
      <c r="I234" s="281"/>
      <c r="J234" s="281"/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64"/>
      <c r="AB234" s="264"/>
      <c r="AC234" s="264"/>
    </row>
    <row r="235" spans="1:68" ht="27" hidden="1" customHeight="1" x14ac:dyDescent="0.25">
      <c r="A235" s="54" t="s">
        <v>319</v>
      </c>
      <c r="B235" s="54" t="s">
        <v>320</v>
      </c>
      <c r="C235" s="31">
        <v>4301133004</v>
      </c>
      <c r="D235" s="274">
        <v>4607111039774</v>
      </c>
      <c r="E235" s="27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42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4"/>
      <c r="R235" s="284"/>
      <c r="S235" s="284"/>
      <c r="T235" s="285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00"/>
      <c r="B236" s="281"/>
      <c r="C236" s="281"/>
      <c r="D236" s="281"/>
      <c r="E236" s="281"/>
      <c r="F236" s="281"/>
      <c r="G236" s="281"/>
      <c r="H236" s="281"/>
      <c r="I236" s="281"/>
      <c r="J236" s="281"/>
      <c r="K236" s="281"/>
      <c r="L236" s="281"/>
      <c r="M236" s="281"/>
      <c r="N236" s="281"/>
      <c r="O236" s="301"/>
      <c r="P236" s="288" t="s">
        <v>73</v>
      </c>
      <c r="Q236" s="289"/>
      <c r="R236" s="289"/>
      <c r="S236" s="289"/>
      <c r="T236" s="289"/>
      <c r="U236" s="289"/>
      <c r="V236" s="290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1"/>
      <c r="B237" s="281"/>
      <c r="C237" s="281"/>
      <c r="D237" s="281"/>
      <c r="E237" s="281"/>
      <c r="F237" s="281"/>
      <c r="G237" s="281"/>
      <c r="H237" s="281"/>
      <c r="I237" s="281"/>
      <c r="J237" s="281"/>
      <c r="K237" s="281"/>
      <c r="L237" s="281"/>
      <c r="M237" s="281"/>
      <c r="N237" s="281"/>
      <c r="O237" s="301"/>
      <c r="P237" s="288" t="s">
        <v>73</v>
      </c>
      <c r="Q237" s="289"/>
      <c r="R237" s="289"/>
      <c r="S237" s="289"/>
      <c r="T237" s="289"/>
      <c r="U237" s="289"/>
      <c r="V237" s="290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86" t="s">
        <v>121</v>
      </c>
      <c r="B238" s="281"/>
      <c r="C238" s="281"/>
      <c r="D238" s="281"/>
      <c r="E238" s="281"/>
      <c r="F238" s="281"/>
      <c r="G238" s="281"/>
      <c r="H238" s="281"/>
      <c r="I238" s="281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64"/>
      <c r="AB238" s="264"/>
      <c r="AC238" s="264"/>
    </row>
    <row r="239" spans="1:68" ht="37.5" hidden="1" customHeight="1" x14ac:dyDescent="0.25">
      <c r="A239" s="54" t="s">
        <v>322</v>
      </c>
      <c r="B239" s="54" t="s">
        <v>323</v>
      </c>
      <c r="C239" s="31">
        <v>4301135400</v>
      </c>
      <c r="D239" s="274">
        <v>4607111039361</v>
      </c>
      <c r="E239" s="27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40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4"/>
      <c r="R239" s="284"/>
      <c r="S239" s="284"/>
      <c r="T239" s="285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300"/>
      <c r="B240" s="281"/>
      <c r="C240" s="281"/>
      <c r="D240" s="281"/>
      <c r="E240" s="281"/>
      <c r="F240" s="281"/>
      <c r="G240" s="281"/>
      <c r="H240" s="281"/>
      <c r="I240" s="281"/>
      <c r="J240" s="281"/>
      <c r="K240" s="281"/>
      <c r="L240" s="281"/>
      <c r="M240" s="281"/>
      <c r="N240" s="281"/>
      <c r="O240" s="301"/>
      <c r="P240" s="288" t="s">
        <v>73</v>
      </c>
      <c r="Q240" s="289"/>
      <c r="R240" s="289"/>
      <c r="S240" s="289"/>
      <c r="T240" s="289"/>
      <c r="U240" s="289"/>
      <c r="V240" s="290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1"/>
      <c r="B241" s="281"/>
      <c r="C241" s="281"/>
      <c r="D241" s="281"/>
      <c r="E241" s="281"/>
      <c r="F241" s="281"/>
      <c r="G241" s="281"/>
      <c r="H241" s="281"/>
      <c r="I241" s="281"/>
      <c r="J241" s="281"/>
      <c r="K241" s="281"/>
      <c r="L241" s="281"/>
      <c r="M241" s="281"/>
      <c r="N241" s="281"/>
      <c r="O241" s="301"/>
      <c r="P241" s="288" t="s">
        <v>73</v>
      </c>
      <c r="Q241" s="289"/>
      <c r="R241" s="289"/>
      <c r="S241" s="289"/>
      <c r="T241" s="289"/>
      <c r="U241" s="289"/>
      <c r="V241" s="290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291" t="s">
        <v>324</v>
      </c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  <c r="AA242" s="48"/>
      <c r="AB242" s="48"/>
      <c r="AC242" s="48"/>
    </row>
    <row r="243" spans="1:68" ht="16.5" hidden="1" customHeight="1" x14ac:dyDescent="0.25">
      <c r="A243" s="280" t="s">
        <v>324</v>
      </c>
      <c r="B243" s="281"/>
      <c r="C243" s="281"/>
      <c r="D243" s="281"/>
      <c r="E243" s="281"/>
      <c r="F243" s="281"/>
      <c r="G243" s="281"/>
      <c r="H243" s="281"/>
      <c r="I243" s="281"/>
      <c r="J243" s="281"/>
      <c r="K243" s="281"/>
      <c r="L243" s="281"/>
      <c r="M243" s="281"/>
      <c r="N243" s="281"/>
      <c r="O243" s="281"/>
      <c r="P243" s="281"/>
      <c r="Q243" s="281"/>
      <c r="R243" s="281"/>
      <c r="S243" s="281"/>
      <c r="T243" s="281"/>
      <c r="U243" s="281"/>
      <c r="V243" s="281"/>
      <c r="W243" s="281"/>
      <c r="X243" s="281"/>
      <c r="Y243" s="281"/>
      <c r="Z243" s="281"/>
      <c r="AA243" s="263"/>
      <c r="AB243" s="263"/>
      <c r="AC243" s="263"/>
    </row>
    <row r="244" spans="1:68" ht="14.25" hidden="1" customHeight="1" x14ac:dyDescent="0.25">
      <c r="A244" s="286" t="s">
        <v>64</v>
      </c>
      <c r="B244" s="281"/>
      <c r="C244" s="281"/>
      <c r="D244" s="281"/>
      <c r="E244" s="281"/>
      <c r="F244" s="281"/>
      <c r="G244" s="281"/>
      <c r="H244" s="281"/>
      <c r="I244" s="281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64"/>
      <c r="AB244" s="264"/>
      <c r="AC244" s="264"/>
    </row>
    <row r="245" spans="1:68" ht="27" hidden="1" customHeight="1" x14ac:dyDescent="0.25">
      <c r="A245" s="54" t="s">
        <v>325</v>
      </c>
      <c r="B245" s="54" t="s">
        <v>326</v>
      </c>
      <c r="C245" s="31">
        <v>4301071014</v>
      </c>
      <c r="D245" s="274">
        <v>4640242181264</v>
      </c>
      <c r="E245" s="27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9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4"/>
      <c r="R245" s="284"/>
      <c r="S245" s="284"/>
      <c r="T245" s="285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328</v>
      </c>
      <c r="B246" s="54" t="s">
        <v>329</v>
      </c>
      <c r="C246" s="31">
        <v>4301071021</v>
      </c>
      <c r="D246" s="274">
        <v>4640242181325</v>
      </c>
      <c r="E246" s="27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41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4"/>
      <c r="R246" s="284"/>
      <c r="S246" s="284"/>
      <c r="T246" s="285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4301070993</v>
      </c>
      <c r="D247" s="274">
        <v>4640242180670</v>
      </c>
      <c r="E247" s="27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352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4"/>
      <c r="R247" s="284"/>
      <c r="S247" s="284"/>
      <c r="T247" s="285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0"/>
      <c r="B248" s="281"/>
      <c r="C248" s="281"/>
      <c r="D248" s="281"/>
      <c r="E248" s="281"/>
      <c r="F248" s="281"/>
      <c r="G248" s="281"/>
      <c r="H248" s="281"/>
      <c r="I248" s="281"/>
      <c r="J248" s="281"/>
      <c r="K248" s="281"/>
      <c r="L248" s="281"/>
      <c r="M248" s="281"/>
      <c r="N248" s="281"/>
      <c r="O248" s="301"/>
      <c r="P248" s="288" t="s">
        <v>73</v>
      </c>
      <c r="Q248" s="289"/>
      <c r="R248" s="289"/>
      <c r="S248" s="289"/>
      <c r="T248" s="289"/>
      <c r="U248" s="289"/>
      <c r="V248" s="290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1"/>
      <c r="B249" s="281"/>
      <c r="C249" s="281"/>
      <c r="D249" s="281"/>
      <c r="E249" s="281"/>
      <c r="F249" s="281"/>
      <c r="G249" s="281"/>
      <c r="H249" s="281"/>
      <c r="I249" s="281"/>
      <c r="J249" s="281"/>
      <c r="K249" s="281"/>
      <c r="L249" s="281"/>
      <c r="M249" s="281"/>
      <c r="N249" s="281"/>
      <c r="O249" s="301"/>
      <c r="P249" s="288" t="s">
        <v>73</v>
      </c>
      <c r="Q249" s="289"/>
      <c r="R249" s="289"/>
      <c r="S249" s="289"/>
      <c r="T249" s="289"/>
      <c r="U249" s="289"/>
      <c r="V249" s="290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286" t="s">
        <v>77</v>
      </c>
      <c r="B250" s="281"/>
      <c r="C250" s="281"/>
      <c r="D250" s="281"/>
      <c r="E250" s="281"/>
      <c r="F250" s="281"/>
      <c r="G250" s="281"/>
      <c r="H250" s="281"/>
      <c r="I250" s="281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64"/>
      <c r="AB250" s="264"/>
      <c r="AC250" s="264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74">
        <v>4640242180397</v>
      </c>
      <c r="E251" s="27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34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4"/>
      <c r="R251" s="284"/>
      <c r="S251" s="284"/>
      <c r="T251" s="285"/>
      <c r="U251" s="34"/>
      <c r="V251" s="34"/>
      <c r="W251" s="35" t="s">
        <v>70</v>
      </c>
      <c r="X251" s="268">
        <v>72</v>
      </c>
      <c r="Y251" s="269">
        <f>IFERROR(IF(X251="","",X251),"")</f>
        <v>72</v>
      </c>
      <c r="Z251" s="36">
        <f>IFERROR(IF(X251="","",X251*0.0155),"")</f>
        <v>1.1160000000000001</v>
      </c>
      <c r="AA251" s="56"/>
      <c r="AB251" s="57"/>
      <c r="AC251" s="230" t="s">
        <v>335</v>
      </c>
      <c r="AG251" s="67"/>
      <c r="AJ251" s="71" t="s">
        <v>83</v>
      </c>
      <c r="AK251" s="71">
        <v>12</v>
      </c>
      <c r="BB251" s="231" t="s">
        <v>84</v>
      </c>
      <c r="BM251" s="67">
        <f>IFERROR(X251*I251,"0")</f>
        <v>450.71999999999997</v>
      </c>
      <c r="BN251" s="67">
        <f>IFERROR(Y251*I251,"0")</f>
        <v>450.71999999999997</v>
      </c>
      <c r="BO251" s="67">
        <f>IFERROR(X251/J251,"0")</f>
        <v>0.8571428571428571</v>
      </c>
      <c r="BP251" s="67">
        <f>IFERROR(Y251/J251,"0")</f>
        <v>0.8571428571428571</v>
      </c>
    </row>
    <row r="252" spans="1:68" ht="27" hidden="1" customHeight="1" x14ac:dyDescent="0.25">
      <c r="A252" s="54" t="s">
        <v>336</v>
      </c>
      <c r="B252" s="54" t="s">
        <v>337</v>
      </c>
      <c r="C252" s="31">
        <v>4301132104</v>
      </c>
      <c r="D252" s="274">
        <v>4640242181219</v>
      </c>
      <c r="E252" s="27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132</v>
      </c>
      <c r="L252" s="32" t="s">
        <v>68</v>
      </c>
      <c r="M252" s="33" t="s">
        <v>69</v>
      </c>
      <c r="N252" s="33"/>
      <c r="O252" s="32">
        <v>180</v>
      </c>
      <c r="P252" s="45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4"/>
      <c r="R252" s="284"/>
      <c r="S252" s="284"/>
      <c r="T252" s="285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72</v>
      </c>
      <c r="AK252" s="71">
        <v>1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00"/>
      <c r="B253" s="281"/>
      <c r="C253" s="281"/>
      <c r="D253" s="281"/>
      <c r="E253" s="281"/>
      <c r="F253" s="281"/>
      <c r="G253" s="281"/>
      <c r="H253" s="281"/>
      <c r="I253" s="281"/>
      <c r="J253" s="281"/>
      <c r="K253" s="281"/>
      <c r="L253" s="281"/>
      <c r="M253" s="281"/>
      <c r="N253" s="281"/>
      <c r="O253" s="301"/>
      <c r="P253" s="288" t="s">
        <v>73</v>
      </c>
      <c r="Q253" s="289"/>
      <c r="R253" s="289"/>
      <c r="S253" s="289"/>
      <c r="T253" s="289"/>
      <c r="U253" s="289"/>
      <c r="V253" s="290"/>
      <c r="W253" s="37" t="s">
        <v>70</v>
      </c>
      <c r="X253" s="270">
        <f>IFERROR(SUM(X251:X252),"0")</f>
        <v>72</v>
      </c>
      <c r="Y253" s="270">
        <f>IFERROR(SUM(Y251:Y252),"0")</f>
        <v>72</v>
      </c>
      <c r="Z253" s="270">
        <f>IFERROR(IF(Z251="",0,Z251),"0")+IFERROR(IF(Z252="",0,Z252),"0")</f>
        <v>1.1160000000000001</v>
      </c>
      <c r="AA253" s="271"/>
      <c r="AB253" s="271"/>
      <c r="AC253" s="271"/>
    </row>
    <row r="254" spans="1:68" x14ac:dyDescent="0.2">
      <c r="A254" s="281"/>
      <c r="B254" s="281"/>
      <c r="C254" s="281"/>
      <c r="D254" s="281"/>
      <c r="E254" s="281"/>
      <c r="F254" s="281"/>
      <c r="G254" s="281"/>
      <c r="H254" s="281"/>
      <c r="I254" s="281"/>
      <c r="J254" s="281"/>
      <c r="K254" s="281"/>
      <c r="L254" s="281"/>
      <c r="M254" s="281"/>
      <c r="N254" s="281"/>
      <c r="O254" s="301"/>
      <c r="P254" s="288" t="s">
        <v>73</v>
      </c>
      <c r="Q254" s="289"/>
      <c r="R254" s="289"/>
      <c r="S254" s="289"/>
      <c r="T254" s="289"/>
      <c r="U254" s="289"/>
      <c r="V254" s="290"/>
      <c r="W254" s="37" t="s">
        <v>74</v>
      </c>
      <c r="X254" s="270">
        <f>IFERROR(SUMPRODUCT(X251:X252*H251:H252),"0")</f>
        <v>432</v>
      </c>
      <c r="Y254" s="270">
        <f>IFERROR(SUMPRODUCT(Y251:Y252*H251:H252),"0")</f>
        <v>432</v>
      </c>
      <c r="Z254" s="37"/>
      <c r="AA254" s="271"/>
      <c r="AB254" s="271"/>
      <c r="AC254" s="271"/>
    </row>
    <row r="255" spans="1:68" ht="14.25" hidden="1" customHeight="1" x14ac:dyDescent="0.25">
      <c r="A255" s="286" t="s">
        <v>115</v>
      </c>
      <c r="B255" s="281"/>
      <c r="C255" s="281"/>
      <c r="D255" s="281"/>
      <c r="E255" s="281"/>
      <c r="F255" s="281"/>
      <c r="G255" s="281"/>
      <c r="H255" s="281"/>
      <c r="I255" s="281"/>
      <c r="J255" s="281"/>
      <c r="K255" s="281"/>
      <c r="L255" s="281"/>
      <c r="M255" s="281"/>
      <c r="N255" s="281"/>
      <c r="O255" s="281"/>
      <c r="P255" s="281"/>
      <c r="Q255" s="281"/>
      <c r="R255" s="281"/>
      <c r="S255" s="281"/>
      <c r="T255" s="281"/>
      <c r="U255" s="281"/>
      <c r="V255" s="281"/>
      <c r="W255" s="281"/>
      <c r="X255" s="281"/>
      <c r="Y255" s="281"/>
      <c r="Z255" s="281"/>
      <c r="AA255" s="264"/>
      <c r="AB255" s="264"/>
      <c r="AC255" s="264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74">
        <v>4640242180304</v>
      </c>
      <c r="E256" s="27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81</v>
      </c>
      <c r="M256" s="33" t="s">
        <v>69</v>
      </c>
      <c r="N256" s="33"/>
      <c r="O256" s="32">
        <v>180</v>
      </c>
      <c r="P256" s="34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4"/>
      <c r="V256" s="34"/>
      <c r="W256" s="35" t="s">
        <v>70</v>
      </c>
      <c r="X256" s="268">
        <v>14</v>
      </c>
      <c r="Y256" s="269">
        <f>IFERROR(IF(X256="","",X256),"")</f>
        <v>14</v>
      </c>
      <c r="Z256" s="36">
        <f>IFERROR(IF(X256="","",X256*0.00936),"")</f>
        <v>0.13103999999999999</v>
      </c>
      <c r="AA256" s="56"/>
      <c r="AB256" s="57"/>
      <c r="AC256" s="234" t="s">
        <v>340</v>
      </c>
      <c r="AG256" s="67"/>
      <c r="AJ256" s="71" t="s">
        <v>83</v>
      </c>
      <c r="AK256" s="71">
        <v>14</v>
      </c>
      <c r="BB256" s="235" t="s">
        <v>84</v>
      </c>
      <c r="BM256" s="67">
        <f>IFERROR(X256*I256,"0")</f>
        <v>40.468400000000003</v>
      </c>
      <c r="BN256" s="67">
        <f>IFERROR(Y256*I256,"0")</f>
        <v>40.468400000000003</v>
      </c>
      <c r="BO256" s="67">
        <f>IFERROR(X256/J256,"0")</f>
        <v>0.1111111111111111</v>
      </c>
      <c r="BP256" s="67">
        <f>IFERROR(Y256/J256,"0")</f>
        <v>0.1111111111111111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74">
        <v>4640242180236</v>
      </c>
      <c r="E257" s="27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29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4"/>
      <c r="V257" s="34"/>
      <c r="W257" s="35" t="s">
        <v>70</v>
      </c>
      <c r="X257" s="268">
        <v>60</v>
      </c>
      <c r="Y257" s="269">
        <f>IFERROR(IF(X257="","",X257),"")</f>
        <v>60</v>
      </c>
      <c r="Z257" s="36">
        <f>IFERROR(IF(X257="","",X257*0.0155),"")</f>
        <v>0.92999999999999994</v>
      </c>
      <c r="AA257" s="56"/>
      <c r="AB257" s="57"/>
      <c r="AC257" s="236" t="s">
        <v>340</v>
      </c>
      <c r="AG257" s="67"/>
      <c r="AJ257" s="71" t="s">
        <v>83</v>
      </c>
      <c r="AK257" s="71">
        <v>12</v>
      </c>
      <c r="BB257" s="237" t="s">
        <v>84</v>
      </c>
      <c r="BM257" s="67">
        <f>IFERROR(X257*I257,"0")</f>
        <v>314.10000000000002</v>
      </c>
      <c r="BN257" s="67">
        <f>IFERROR(Y257*I257,"0")</f>
        <v>314.10000000000002</v>
      </c>
      <c r="BO257" s="67">
        <f>IFERROR(X257/J257,"0")</f>
        <v>0.7142857142857143</v>
      </c>
      <c r="BP257" s="67">
        <f>IFERROR(Y257/J257,"0")</f>
        <v>0.7142857142857143</v>
      </c>
    </row>
    <row r="258" spans="1:68" ht="27" hidden="1" customHeight="1" x14ac:dyDescent="0.25">
      <c r="A258" s="54" t="s">
        <v>343</v>
      </c>
      <c r="B258" s="54" t="s">
        <v>344</v>
      </c>
      <c r="C258" s="31">
        <v>4301136052</v>
      </c>
      <c r="D258" s="274">
        <v>4640242180410</v>
      </c>
      <c r="E258" s="27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68</v>
      </c>
      <c r="M258" s="33" t="s">
        <v>69</v>
      </c>
      <c r="N258" s="33"/>
      <c r="O258" s="32">
        <v>180</v>
      </c>
      <c r="P258" s="4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4"/>
      <c r="V258" s="34"/>
      <c r="W258" s="35" t="s">
        <v>70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72</v>
      </c>
      <c r="AK258" s="71">
        <v>1</v>
      </c>
      <c r="BB258" s="239" t="s">
        <v>84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300"/>
      <c r="B259" s="281"/>
      <c r="C259" s="281"/>
      <c r="D259" s="281"/>
      <c r="E259" s="281"/>
      <c r="F259" s="281"/>
      <c r="G259" s="281"/>
      <c r="H259" s="281"/>
      <c r="I259" s="281"/>
      <c r="J259" s="281"/>
      <c r="K259" s="281"/>
      <c r="L259" s="281"/>
      <c r="M259" s="281"/>
      <c r="N259" s="281"/>
      <c r="O259" s="301"/>
      <c r="P259" s="288" t="s">
        <v>73</v>
      </c>
      <c r="Q259" s="289"/>
      <c r="R259" s="289"/>
      <c r="S259" s="289"/>
      <c r="T259" s="289"/>
      <c r="U259" s="289"/>
      <c r="V259" s="290"/>
      <c r="W259" s="37" t="s">
        <v>70</v>
      </c>
      <c r="X259" s="270">
        <f>IFERROR(SUM(X256:X258),"0")</f>
        <v>74</v>
      </c>
      <c r="Y259" s="270">
        <f>IFERROR(SUM(Y256:Y258),"0")</f>
        <v>74</v>
      </c>
      <c r="Z259" s="270">
        <f>IFERROR(IF(Z256="",0,Z256),"0")+IFERROR(IF(Z257="",0,Z257),"0")+IFERROR(IF(Z258="",0,Z258),"0")</f>
        <v>1.06104</v>
      </c>
      <c r="AA259" s="271"/>
      <c r="AB259" s="271"/>
      <c r="AC259" s="271"/>
    </row>
    <row r="260" spans="1:68" x14ac:dyDescent="0.2">
      <c r="A260" s="281"/>
      <c r="B260" s="281"/>
      <c r="C260" s="281"/>
      <c r="D260" s="281"/>
      <c r="E260" s="281"/>
      <c r="F260" s="281"/>
      <c r="G260" s="281"/>
      <c r="H260" s="281"/>
      <c r="I260" s="281"/>
      <c r="J260" s="281"/>
      <c r="K260" s="281"/>
      <c r="L260" s="281"/>
      <c r="M260" s="281"/>
      <c r="N260" s="281"/>
      <c r="O260" s="301"/>
      <c r="P260" s="288" t="s">
        <v>73</v>
      </c>
      <c r="Q260" s="289"/>
      <c r="R260" s="289"/>
      <c r="S260" s="289"/>
      <c r="T260" s="289"/>
      <c r="U260" s="289"/>
      <c r="V260" s="290"/>
      <c r="W260" s="37" t="s">
        <v>74</v>
      </c>
      <c r="X260" s="270">
        <f>IFERROR(SUMPRODUCT(X256:X258*H256:H258),"0")</f>
        <v>337.8</v>
      </c>
      <c r="Y260" s="270">
        <f>IFERROR(SUMPRODUCT(Y256:Y258*H256:H258),"0")</f>
        <v>337.8</v>
      </c>
      <c r="Z260" s="37"/>
      <c r="AA260" s="271"/>
      <c r="AB260" s="271"/>
      <c r="AC260" s="271"/>
    </row>
    <row r="261" spans="1:68" ht="14.25" hidden="1" customHeight="1" x14ac:dyDescent="0.25">
      <c r="A261" s="286" t="s">
        <v>121</v>
      </c>
      <c r="B261" s="281"/>
      <c r="C261" s="281"/>
      <c r="D261" s="281"/>
      <c r="E261" s="281"/>
      <c r="F261" s="281"/>
      <c r="G261" s="281"/>
      <c r="H261" s="281"/>
      <c r="I261" s="281"/>
      <c r="J261" s="281"/>
      <c r="K261" s="281"/>
      <c r="L261" s="281"/>
      <c r="M261" s="281"/>
      <c r="N261" s="281"/>
      <c r="O261" s="281"/>
      <c r="P261" s="281"/>
      <c r="Q261" s="281"/>
      <c r="R261" s="281"/>
      <c r="S261" s="281"/>
      <c r="T261" s="281"/>
      <c r="U261" s="281"/>
      <c r="V261" s="281"/>
      <c r="W261" s="281"/>
      <c r="X261" s="281"/>
      <c r="Y261" s="281"/>
      <c r="Z261" s="281"/>
      <c r="AA261" s="264"/>
      <c r="AB261" s="264"/>
      <c r="AC261" s="264"/>
    </row>
    <row r="262" spans="1:68" ht="37.5" hidden="1" customHeight="1" x14ac:dyDescent="0.25">
      <c r="A262" s="54" t="s">
        <v>345</v>
      </c>
      <c r="B262" s="54" t="s">
        <v>346</v>
      </c>
      <c r="C262" s="31">
        <v>4301135504</v>
      </c>
      <c r="D262" s="274">
        <v>4640242181554</v>
      </c>
      <c r="E262" s="27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33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74">
        <v>4640242181561</v>
      </c>
      <c r="E263" s="27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81</v>
      </c>
      <c r="M263" s="33" t="s">
        <v>69</v>
      </c>
      <c r="N263" s="33"/>
      <c r="O263" s="32">
        <v>180</v>
      </c>
      <c r="P263" s="36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70</v>
      </c>
      <c r="X263" s="268">
        <v>14</v>
      </c>
      <c r="Y263" s="269">
        <f t="shared" si="12"/>
        <v>14</v>
      </c>
      <c r="Z263" s="36">
        <f>IFERROR(IF(X263="","",X263*0.00936),"")</f>
        <v>0.13103999999999999</v>
      </c>
      <c r="AA263" s="56"/>
      <c r="AB263" s="57"/>
      <c r="AC263" s="242" t="s">
        <v>350</v>
      </c>
      <c r="AG263" s="67"/>
      <c r="AJ263" s="71" t="s">
        <v>83</v>
      </c>
      <c r="AK263" s="71">
        <v>14</v>
      </c>
      <c r="BB263" s="243" t="s">
        <v>84</v>
      </c>
      <c r="BM263" s="67">
        <f t="shared" si="13"/>
        <v>54.488</v>
      </c>
      <c r="BN263" s="67">
        <f t="shared" si="14"/>
        <v>54.488</v>
      </c>
      <c r="BO263" s="67">
        <f t="shared" si="15"/>
        <v>0.1111111111111111</v>
      </c>
      <c r="BP263" s="67">
        <f t="shared" si="16"/>
        <v>0.1111111111111111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74">
        <v>4640242181424</v>
      </c>
      <c r="E264" s="27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81</v>
      </c>
      <c r="M264" s="33" t="s">
        <v>69</v>
      </c>
      <c r="N264" s="33"/>
      <c r="O264" s="32">
        <v>180</v>
      </c>
      <c r="P264" s="40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4"/>
      <c r="V264" s="34"/>
      <c r="W264" s="35" t="s">
        <v>70</v>
      </c>
      <c r="X264" s="268">
        <v>24</v>
      </c>
      <c r="Y264" s="269">
        <f t="shared" si="12"/>
        <v>24</v>
      </c>
      <c r="Z264" s="36">
        <f>IFERROR(IF(X264="","",X264*0.0155),"")</f>
        <v>0.372</v>
      </c>
      <c r="AA264" s="56"/>
      <c r="AB264" s="57"/>
      <c r="AC264" s="244" t="s">
        <v>347</v>
      </c>
      <c r="AG264" s="67"/>
      <c r="AJ264" s="71" t="s">
        <v>83</v>
      </c>
      <c r="AK264" s="71">
        <v>12</v>
      </c>
      <c r="BB264" s="245" t="s">
        <v>84</v>
      </c>
      <c r="BM264" s="67">
        <f t="shared" si="13"/>
        <v>137.64000000000001</v>
      </c>
      <c r="BN264" s="67">
        <f t="shared" si="14"/>
        <v>137.64000000000001</v>
      </c>
      <c r="BO264" s="67">
        <f t="shared" si="15"/>
        <v>0.2857142857142857</v>
      </c>
      <c r="BP264" s="67">
        <f t="shared" si="16"/>
        <v>0.2857142857142857</v>
      </c>
    </row>
    <row r="265" spans="1:68" ht="27" hidden="1" customHeight="1" x14ac:dyDescent="0.25">
      <c r="A265" s="54" t="s">
        <v>353</v>
      </c>
      <c r="B265" s="54" t="s">
        <v>354</v>
      </c>
      <c r="C265" s="31">
        <v>4301135405</v>
      </c>
      <c r="D265" s="274">
        <v>4640242181523</v>
      </c>
      <c r="E265" s="27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81</v>
      </c>
      <c r="M265" s="33" t="s">
        <v>69</v>
      </c>
      <c r="N265" s="33"/>
      <c r="O265" s="32">
        <v>180</v>
      </c>
      <c r="P265" s="4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4"/>
      <c r="V265" s="34"/>
      <c r="W265" s="35" t="s">
        <v>70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350</v>
      </c>
      <c r="AG265" s="67"/>
      <c r="AJ265" s="71" t="s">
        <v>83</v>
      </c>
      <c r="AK265" s="71">
        <v>14</v>
      </c>
      <c r="BB265" s="247" t="s">
        <v>84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74">
        <v>4640242181486</v>
      </c>
      <c r="E266" s="27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200</v>
      </c>
      <c r="M266" s="33" t="s">
        <v>69</v>
      </c>
      <c r="N266" s="33"/>
      <c r="O266" s="32">
        <v>180</v>
      </c>
      <c r="P266" s="44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4"/>
      <c r="V266" s="34"/>
      <c r="W266" s="35" t="s">
        <v>70</v>
      </c>
      <c r="X266" s="268">
        <v>14</v>
      </c>
      <c r="Y266" s="269">
        <f t="shared" si="12"/>
        <v>14</v>
      </c>
      <c r="Z266" s="36">
        <f t="shared" si="17"/>
        <v>0.13103999999999999</v>
      </c>
      <c r="AA266" s="56"/>
      <c r="AB266" s="57"/>
      <c r="AC266" s="248" t="s">
        <v>347</v>
      </c>
      <c r="AG266" s="67"/>
      <c r="AJ266" s="71" t="s">
        <v>201</v>
      </c>
      <c r="AK266" s="71">
        <v>126</v>
      </c>
      <c r="BB266" s="249" t="s">
        <v>84</v>
      </c>
      <c r="BM266" s="67">
        <f t="shared" si="13"/>
        <v>54.488</v>
      </c>
      <c r="BN266" s="67">
        <f t="shared" si="14"/>
        <v>54.488</v>
      </c>
      <c r="BO266" s="67">
        <f t="shared" si="15"/>
        <v>0.1111111111111111</v>
      </c>
      <c r="BP266" s="67">
        <f t="shared" si="16"/>
        <v>0.1111111111111111</v>
      </c>
    </row>
    <row r="267" spans="1:68" ht="37.5" hidden="1" customHeight="1" x14ac:dyDescent="0.25">
      <c r="A267" s="54" t="s">
        <v>357</v>
      </c>
      <c r="B267" s="54" t="s">
        <v>358</v>
      </c>
      <c r="C267" s="31">
        <v>4301135402</v>
      </c>
      <c r="D267" s="274">
        <v>4640242181493</v>
      </c>
      <c r="E267" s="27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81</v>
      </c>
      <c r="M267" s="33" t="s">
        <v>69</v>
      </c>
      <c r="N267" s="33"/>
      <c r="O267" s="32">
        <v>180</v>
      </c>
      <c r="P267" s="42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83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4301135403</v>
      </c>
      <c r="D268" s="274">
        <v>4640242181509</v>
      </c>
      <c r="E268" s="27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45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361</v>
      </c>
      <c r="B269" s="54" t="s">
        <v>362</v>
      </c>
      <c r="C269" s="31">
        <v>4301135304</v>
      </c>
      <c r="D269" s="274">
        <v>4640242181240</v>
      </c>
      <c r="E269" s="27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28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4301135610</v>
      </c>
      <c r="D270" s="274">
        <v>4640242181318</v>
      </c>
      <c r="E270" s="27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3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4301135306</v>
      </c>
      <c r="D271" s="274">
        <v>4640242181387</v>
      </c>
      <c r="E271" s="27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132</v>
      </c>
      <c r="L271" s="32" t="s">
        <v>68</v>
      </c>
      <c r="M271" s="33" t="s">
        <v>69</v>
      </c>
      <c r="N271" s="33"/>
      <c r="O271" s="32">
        <v>180</v>
      </c>
      <c r="P271" s="43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300"/>
      <c r="B272" s="281"/>
      <c r="C272" s="281"/>
      <c r="D272" s="281"/>
      <c r="E272" s="281"/>
      <c r="F272" s="281"/>
      <c r="G272" s="281"/>
      <c r="H272" s="281"/>
      <c r="I272" s="281"/>
      <c r="J272" s="281"/>
      <c r="K272" s="281"/>
      <c r="L272" s="281"/>
      <c r="M272" s="281"/>
      <c r="N272" s="281"/>
      <c r="O272" s="301"/>
      <c r="P272" s="288" t="s">
        <v>73</v>
      </c>
      <c r="Q272" s="289"/>
      <c r="R272" s="289"/>
      <c r="S272" s="289"/>
      <c r="T272" s="289"/>
      <c r="U272" s="289"/>
      <c r="V272" s="290"/>
      <c r="W272" s="37" t="s">
        <v>70</v>
      </c>
      <c r="X272" s="270">
        <f>IFERROR(SUM(X262:X271),"0")</f>
        <v>52</v>
      </c>
      <c r="Y272" s="270">
        <f>IFERROR(SUM(Y262:Y271),"0")</f>
        <v>52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0.63407999999999998</v>
      </c>
      <c r="AA272" s="271"/>
      <c r="AB272" s="271"/>
      <c r="AC272" s="271"/>
    </row>
    <row r="273" spans="1:32" x14ac:dyDescent="0.2">
      <c r="A273" s="281"/>
      <c r="B273" s="281"/>
      <c r="C273" s="281"/>
      <c r="D273" s="281"/>
      <c r="E273" s="281"/>
      <c r="F273" s="281"/>
      <c r="G273" s="281"/>
      <c r="H273" s="281"/>
      <c r="I273" s="281"/>
      <c r="J273" s="281"/>
      <c r="K273" s="281"/>
      <c r="L273" s="281"/>
      <c r="M273" s="281"/>
      <c r="N273" s="281"/>
      <c r="O273" s="301"/>
      <c r="P273" s="288" t="s">
        <v>73</v>
      </c>
      <c r="Q273" s="289"/>
      <c r="R273" s="289"/>
      <c r="S273" s="289"/>
      <c r="T273" s="289"/>
      <c r="U273" s="289"/>
      <c r="V273" s="290"/>
      <c r="W273" s="37" t="s">
        <v>74</v>
      </c>
      <c r="X273" s="270">
        <f>IFERROR(SUMPRODUCT(X262:X271*H262:H271),"0")</f>
        <v>235.60000000000002</v>
      </c>
      <c r="Y273" s="270">
        <f>IFERROR(SUMPRODUCT(Y262:Y271*H262:H271),"0")</f>
        <v>235.60000000000002</v>
      </c>
      <c r="Z273" s="37"/>
      <c r="AA273" s="271"/>
      <c r="AB273" s="271"/>
      <c r="AC273" s="271"/>
    </row>
    <row r="274" spans="1:32" ht="15" customHeight="1" x14ac:dyDescent="0.2">
      <c r="A274" s="332"/>
      <c r="B274" s="281"/>
      <c r="C274" s="281"/>
      <c r="D274" s="281"/>
      <c r="E274" s="281"/>
      <c r="F274" s="281"/>
      <c r="G274" s="281"/>
      <c r="H274" s="281"/>
      <c r="I274" s="281"/>
      <c r="J274" s="281"/>
      <c r="K274" s="281"/>
      <c r="L274" s="281"/>
      <c r="M274" s="281"/>
      <c r="N274" s="281"/>
      <c r="O274" s="333"/>
      <c r="P274" s="356" t="s">
        <v>367</v>
      </c>
      <c r="Q274" s="357"/>
      <c r="R274" s="357"/>
      <c r="S274" s="357"/>
      <c r="T274" s="357"/>
      <c r="U274" s="357"/>
      <c r="V274" s="316"/>
      <c r="W274" s="37" t="s">
        <v>74</v>
      </c>
      <c r="X274" s="270">
        <f>IFERROR(X24+X31+X38+X46+X51+X55+X60+X66+X72+X77+X83+X93+X99+X110+X114+X118+X124+X130+X136+X141+X146+X151+X156+X163+X171+X175+X181+X188+X197+X202+X207+X213+X219+X225+X231+X237+X241+X249+X254+X260+X273,"0")</f>
        <v>2339.6799999999998</v>
      </c>
      <c r="Y274" s="270">
        <f>IFERROR(Y24+Y31+Y38+Y46+Y51+Y55+Y60+Y66+Y72+Y77+Y83+Y93+Y99+Y110+Y114+Y118+Y124+Y130+Y136+Y141+Y146+Y151+Y156+Y163+Y171+Y175+Y181+Y188+Y197+Y202+Y207+Y213+Y219+Y225+Y231+Y237+Y241+Y249+Y254+Y260+Y273,"0")</f>
        <v>2339.6799999999998</v>
      </c>
      <c r="Z274" s="37"/>
      <c r="AA274" s="271"/>
      <c r="AB274" s="271"/>
      <c r="AC274" s="271"/>
    </row>
    <row r="275" spans="1:32" x14ac:dyDescent="0.2">
      <c r="A275" s="281"/>
      <c r="B275" s="281"/>
      <c r="C275" s="281"/>
      <c r="D275" s="281"/>
      <c r="E275" s="281"/>
      <c r="F275" s="281"/>
      <c r="G275" s="281"/>
      <c r="H275" s="281"/>
      <c r="I275" s="281"/>
      <c r="J275" s="281"/>
      <c r="K275" s="281"/>
      <c r="L275" s="281"/>
      <c r="M275" s="281"/>
      <c r="N275" s="281"/>
      <c r="O275" s="333"/>
      <c r="P275" s="356" t="s">
        <v>368</v>
      </c>
      <c r="Q275" s="357"/>
      <c r="R275" s="357"/>
      <c r="S275" s="357"/>
      <c r="T275" s="357"/>
      <c r="U275" s="357"/>
      <c r="V275" s="316"/>
      <c r="W275" s="37" t="s">
        <v>74</v>
      </c>
      <c r="X275" s="270">
        <f>IFERROR(SUM(BM22:BM271),"0")</f>
        <v>2514.6371999999997</v>
      </c>
      <c r="Y275" s="270">
        <f>IFERROR(SUM(BN22:BN271),"0")</f>
        <v>2514.6371999999997</v>
      </c>
      <c r="Z275" s="37"/>
      <c r="AA275" s="271"/>
      <c r="AB275" s="271"/>
      <c r="AC275" s="271"/>
    </row>
    <row r="276" spans="1:32" x14ac:dyDescent="0.2">
      <c r="A276" s="281"/>
      <c r="B276" s="281"/>
      <c r="C276" s="281"/>
      <c r="D276" s="281"/>
      <c r="E276" s="281"/>
      <c r="F276" s="281"/>
      <c r="G276" s="281"/>
      <c r="H276" s="281"/>
      <c r="I276" s="281"/>
      <c r="J276" s="281"/>
      <c r="K276" s="281"/>
      <c r="L276" s="281"/>
      <c r="M276" s="281"/>
      <c r="N276" s="281"/>
      <c r="O276" s="333"/>
      <c r="P276" s="356" t="s">
        <v>369</v>
      </c>
      <c r="Q276" s="357"/>
      <c r="R276" s="357"/>
      <c r="S276" s="357"/>
      <c r="T276" s="357"/>
      <c r="U276" s="357"/>
      <c r="V276" s="316"/>
      <c r="W276" s="37" t="s">
        <v>370</v>
      </c>
      <c r="X276" s="38">
        <f>ROUNDUP(SUM(BO22:BO271),0)</f>
        <v>6</v>
      </c>
      <c r="Y276" s="38">
        <f>ROUNDUP(SUM(BP22:BP271),0)</f>
        <v>6</v>
      </c>
      <c r="Z276" s="37"/>
      <c r="AA276" s="271"/>
      <c r="AB276" s="271"/>
      <c r="AC276" s="271"/>
    </row>
    <row r="277" spans="1:32" x14ac:dyDescent="0.2">
      <c r="A277" s="281"/>
      <c r="B277" s="281"/>
      <c r="C277" s="281"/>
      <c r="D277" s="281"/>
      <c r="E277" s="281"/>
      <c r="F277" s="281"/>
      <c r="G277" s="281"/>
      <c r="H277" s="281"/>
      <c r="I277" s="281"/>
      <c r="J277" s="281"/>
      <c r="K277" s="281"/>
      <c r="L277" s="281"/>
      <c r="M277" s="281"/>
      <c r="N277" s="281"/>
      <c r="O277" s="333"/>
      <c r="P277" s="356" t="s">
        <v>371</v>
      </c>
      <c r="Q277" s="357"/>
      <c r="R277" s="357"/>
      <c r="S277" s="357"/>
      <c r="T277" s="357"/>
      <c r="U277" s="357"/>
      <c r="V277" s="316"/>
      <c r="W277" s="37" t="s">
        <v>74</v>
      </c>
      <c r="X277" s="270">
        <f>GrossWeightTotal+PalletQtyTotal*25</f>
        <v>2664.6371999999997</v>
      </c>
      <c r="Y277" s="270">
        <f>GrossWeightTotalR+PalletQtyTotalR*25</f>
        <v>2664.6371999999997</v>
      </c>
      <c r="Z277" s="37"/>
      <c r="AA277" s="271"/>
      <c r="AB277" s="271"/>
      <c r="AC277" s="271"/>
    </row>
    <row r="278" spans="1:32" x14ac:dyDescent="0.2">
      <c r="A278" s="281"/>
      <c r="B278" s="281"/>
      <c r="C278" s="281"/>
      <c r="D278" s="281"/>
      <c r="E278" s="281"/>
      <c r="F278" s="281"/>
      <c r="G278" s="281"/>
      <c r="H278" s="281"/>
      <c r="I278" s="281"/>
      <c r="J278" s="281"/>
      <c r="K278" s="281"/>
      <c r="L278" s="281"/>
      <c r="M278" s="281"/>
      <c r="N278" s="281"/>
      <c r="O278" s="333"/>
      <c r="P278" s="356" t="s">
        <v>372</v>
      </c>
      <c r="Q278" s="357"/>
      <c r="R278" s="357"/>
      <c r="S278" s="357"/>
      <c r="T278" s="357"/>
      <c r="U278" s="357"/>
      <c r="V278" s="316"/>
      <c r="W278" s="37" t="s">
        <v>370</v>
      </c>
      <c r="X278" s="270">
        <f>IFERROR(X23+X30+X37+X45+X50+X54+X59+X65+X71+X76+X82+X92+X98+X109+X113+X117+X123+X129+X135+X140+X145+X150+X155+X162+X170+X174+X180+X187+X196+X201+X206+X212+X218+X224+X230+X236+X240+X248+X253+X259+X272,"0")</f>
        <v>520</v>
      </c>
      <c r="Y278" s="270">
        <f>IFERROR(Y23+Y30+Y37+Y45+Y50+Y54+Y59+Y65+Y71+Y76+Y82+Y92+Y98+Y109+Y113+Y117+Y123+Y129+Y135+Y140+Y145+Y150+Y155+Y162+Y170+Y174+Y180+Y187+Y196+Y201+Y206+Y212+Y218+Y224+Y230+Y236+Y240+Y248+Y253+Y259+Y272,"0")</f>
        <v>520</v>
      </c>
      <c r="Z278" s="37"/>
      <c r="AA278" s="271"/>
      <c r="AB278" s="271"/>
      <c r="AC278" s="271"/>
    </row>
    <row r="279" spans="1:32" ht="14.25" hidden="1" customHeight="1" x14ac:dyDescent="0.2">
      <c r="A279" s="281"/>
      <c r="B279" s="281"/>
      <c r="C279" s="281"/>
      <c r="D279" s="281"/>
      <c r="E279" s="281"/>
      <c r="F279" s="281"/>
      <c r="G279" s="281"/>
      <c r="H279" s="281"/>
      <c r="I279" s="281"/>
      <c r="J279" s="281"/>
      <c r="K279" s="281"/>
      <c r="L279" s="281"/>
      <c r="M279" s="281"/>
      <c r="N279" s="281"/>
      <c r="O279" s="333"/>
      <c r="P279" s="356" t="s">
        <v>373</v>
      </c>
      <c r="Q279" s="357"/>
      <c r="R279" s="357"/>
      <c r="S279" s="357"/>
      <c r="T279" s="357"/>
      <c r="U279" s="357"/>
      <c r="V279" s="316"/>
      <c r="W279" s="39" t="s">
        <v>374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7.4390000000000009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5" t="s">
        <v>63</v>
      </c>
      <c r="C281" s="272" t="s">
        <v>75</v>
      </c>
      <c r="D281" s="313"/>
      <c r="E281" s="313"/>
      <c r="F281" s="313"/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  <c r="T281" s="314"/>
      <c r="U281" s="265" t="s">
        <v>230</v>
      </c>
      <c r="V281" s="265" t="s">
        <v>238</v>
      </c>
      <c r="W281" s="272" t="s">
        <v>257</v>
      </c>
      <c r="X281" s="313"/>
      <c r="Y281" s="313"/>
      <c r="Z281" s="313"/>
      <c r="AA281" s="314"/>
      <c r="AB281" s="265" t="s">
        <v>307</v>
      </c>
      <c r="AC281" s="265" t="s">
        <v>312</v>
      </c>
      <c r="AD281" s="265" t="s">
        <v>316</v>
      </c>
      <c r="AE281" s="265" t="s">
        <v>324</v>
      </c>
      <c r="AF281" s="266"/>
    </row>
    <row r="282" spans="1:32" ht="14.25" customHeight="1" thickTop="1" x14ac:dyDescent="0.2">
      <c r="A282" s="455" t="s">
        <v>376</v>
      </c>
      <c r="B282" s="272" t="s">
        <v>63</v>
      </c>
      <c r="C282" s="272" t="s">
        <v>76</v>
      </c>
      <c r="D282" s="272" t="s">
        <v>87</v>
      </c>
      <c r="E282" s="272" t="s">
        <v>97</v>
      </c>
      <c r="F282" s="272" t="s">
        <v>108</v>
      </c>
      <c r="G282" s="272" t="s">
        <v>129</v>
      </c>
      <c r="H282" s="272" t="s">
        <v>136</v>
      </c>
      <c r="I282" s="272" t="s">
        <v>140</v>
      </c>
      <c r="J282" s="272" t="s">
        <v>148</v>
      </c>
      <c r="K282" s="272" t="s">
        <v>163</v>
      </c>
      <c r="L282" s="272" t="s">
        <v>169</v>
      </c>
      <c r="M282" s="272" t="s">
        <v>194</v>
      </c>
      <c r="N282" s="266"/>
      <c r="O282" s="272" t="s">
        <v>202</v>
      </c>
      <c r="P282" s="272" t="s">
        <v>209</v>
      </c>
      <c r="Q282" s="272" t="s">
        <v>214</v>
      </c>
      <c r="R282" s="272" t="s">
        <v>218</v>
      </c>
      <c r="S282" s="272" t="s">
        <v>221</v>
      </c>
      <c r="T282" s="272" t="s">
        <v>226</v>
      </c>
      <c r="U282" s="272" t="s">
        <v>231</v>
      </c>
      <c r="V282" s="272" t="s">
        <v>239</v>
      </c>
      <c r="W282" s="272" t="s">
        <v>258</v>
      </c>
      <c r="X282" s="272" t="s">
        <v>273</v>
      </c>
      <c r="Y282" s="272" t="s">
        <v>285</v>
      </c>
      <c r="Z282" s="272" t="s">
        <v>290</v>
      </c>
      <c r="AA282" s="272" t="s">
        <v>301</v>
      </c>
      <c r="AB282" s="272" t="s">
        <v>308</v>
      </c>
      <c r="AC282" s="272" t="s">
        <v>313</v>
      </c>
      <c r="AD282" s="272" t="s">
        <v>317</v>
      </c>
      <c r="AE282" s="272" t="s">
        <v>324</v>
      </c>
      <c r="AF282" s="266"/>
    </row>
    <row r="283" spans="1:32" ht="13.5" customHeight="1" thickBot="1" x14ac:dyDescent="0.25">
      <c r="A283" s="456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21</v>
      </c>
      <c r="D284" s="46">
        <f>IFERROR(X34*H34,"0")+IFERROR(X35*H35,"0")+IFERROR(X36*H36,"0")</f>
        <v>268.79999999999995</v>
      </c>
      <c r="E284" s="46">
        <f>IFERROR(X41*H41,"0")+IFERROR(X42*H42,"0")+IFERROR(X43*H43,"0")+IFERROR(X44*H44,"0")</f>
        <v>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240</v>
      </c>
      <c r="H284" s="46">
        <f>IFERROR(X75*H75,"0")</f>
        <v>0</v>
      </c>
      <c r="I284" s="46">
        <f>IFERROR(X80*H80,"0")+IFERROR(X81*H81,"0")</f>
        <v>50.4</v>
      </c>
      <c r="J284" s="46">
        <f>IFERROR(X86*H86,"0")+IFERROR(X87*H87,"0")+IFERROR(X88*H88,"0")+IFERROR(X89*H89,"0")+IFERROR(X90*H90,"0")+IFERROR(X91*H91,"0")</f>
        <v>120.96000000000001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168</v>
      </c>
      <c r="M284" s="46">
        <f>IFERROR(X121*H121,"0")+IFERROR(X122*H122,"0")</f>
        <v>0</v>
      </c>
      <c r="N284" s="266"/>
      <c r="O284" s="46">
        <f>IFERROR(X127*H127,"0")+IFERROR(X128*H128,"0")</f>
        <v>0</v>
      </c>
      <c r="P284" s="46">
        <f>IFERROR(X133*H133,"0")+IFERROR(X134*H134,"0")</f>
        <v>0</v>
      </c>
      <c r="Q284" s="46">
        <f>IFERROR(X139*H139,"0")</f>
        <v>0</v>
      </c>
      <c r="R284" s="46">
        <f>IFERROR(X144*H144,"0")</f>
        <v>0</v>
      </c>
      <c r="S284" s="46">
        <f>IFERROR(X149*H149,"0")</f>
        <v>0</v>
      </c>
      <c r="T284" s="46">
        <f>IFERROR(X154*H154,"0")</f>
        <v>23.52</v>
      </c>
      <c r="U284" s="46">
        <f>IFERROR(X160*H160,"0")+IFERROR(X161*H161,"0")</f>
        <v>120</v>
      </c>
      <c r="V284" s="46">
        <f>IFERROR(X167*H167,"0")+IFERROR(X168*H168,"0")+IFERROR(X169*H169,"0")+IFERROR(X173*H173,"0")</f>
        <v>168</v>
      </c>
      <c r="W284" s="46">
        <f>IFERROR(X179*H179,"0")+IFERROR(X183*H183,"0")+IFERROR(X184*H184,"0")+IFERROR(X185*H185,"0")+IFERROR(X186*H186,"0")</f>
        <v>33.6</v>
      </c>
      <c r="X284" s="46">
        <f>IFERROR(X191*H191,"0")+IFERROR(X192*H192,"0")+IFERROR(X193*H193,"0")+IFERROR(X194*H194,"0")+IFERROR(X195*H195,"0")</f>
        <v>0</v>
      </c>
      <c r="Y284" s="46">
        <f>IFERROR(X200*H200,"0")</f>
        <v>120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1005.3999999999999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916.8</v>
      </c>
      <c r="B287" s="60">
        <f>SUMPRODUCT(--(BB:BB="ПГП"),--(W:W="кор"),H:H,Y:Y)+SUMPRODUCT(--(BB:BB="ПГП"),--(W:W="кг"),Y:Y)</f>
        <v>1422.8799999999999</v>
      </c>
      <c r="C287" s="60">
        <f>SUMPRODUCT(--(BB:BB="КИЗ"),--(W:W="кор"),H:H,Y:Y)+SUMPRODUCT(--(BB:BB="КИЗ"),--(W:W="кг"),Y:Y)</f>
        <v>0</v>
      </c>
    </row>
  </sheetData>
  <sheetProtection algorithmName="SHA-512" hashValue="GvBa3TQTScGt1cVAgF8ouW0LNQuf9zc4wCSNQS7ZFOIc6d+tjDS1zvlvyTGgIRxaZKTNQn6grIDetZxcbhCrwQ==" saltValue="5Ev+O+NV/nh6wTFcX+KBRw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,00"/>
        <filter val="120,00"/>
        <filter val="120,96"/>
        <filter val="14,00"/>
        <filter val="168,00"/>
        <filter val="2 339,68"/>
        <filter val="2 514,64"/>
        <filter val="2 664,64"/>
        <filter val="21,00"/>
        <filter val="23,52"/>
        <filter val="235,60"/>
        <filter val="24,00"/>
        <filter val="240,00"/>
        <filter val="268,80"/>
        <filter val="28,00"/>
        <filter val="33,60"/>
        <filter val="337,80"/>
        <filter val="42,00"/>
        <filter val="432,00"/>
        <filter val="48,00"/>
        <filter val="50,40"/>
        <filter val="52,00"/>
        <filter val="520,00"/>
        <filter val="56,00"/>
        <filter val="6"/>
        <filter val="60,00"/>
        <filter val="72,00"/>
        <filter val="74,00"/>
      </filters>
    </filterColumn>
    <filterColumn colId="29" showButton="0"/>
    <filterColumn colId="30" showButton="0"/>
  </autoFilter>
  <mergeCells count="495"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  <mergeCell ref="P268:T26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185:T185"/>
    <mergeCell ref="D106:E106"/>
    <mergeCell ref="P72:V72"/>
    <mergeCell ref="P122:T122"/>
    <mergeCell ref="D116:E116"/>
    <mergeCell ref="A177:Z177"/>
    <mergeCell ref="P235:T235"/>
    <mergeCell ref="P249:V249"/>
    <mergeCell ref="D267:E267"/>
    <mergeCell ref="P144:T144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97:T97"/>
    <mergeCell ref="D211:E211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P267:T267"/>
    <mergeCell ref="P254:V254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P43:T43"/>
    <mergeCell ref="P65:V65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R282:R283"/>
    <mergeCell ref="A32:Z3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P116:T116"/>
    <mergeCell ref="D122:E122"/>
    <mergeCell ref="A162:O163"/>
    <mergeCell ref="P103:T103"/>
    <mergeCell ref="A26:Z26"/>
    <mergeCell ref="C17:C18"/>
    <mergeCell ref="K17:K18"/>
    <mergeCell ref="P168:T168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D245:E245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2:T22"/>
    <mergeCell ref="A170:O171"/>
    <mergeCell ref="P236:V236"/>
    <mergeCell ref="A61:Z61"/>
    <mergeCell ref="P92:V9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P62:T62"/>
    <mergeCell ref="A27:Z27"/>
    <mergeCell ref="P31:V31"/>
    <mergeCell ref="A214:Z214"/>
    <mergeCell ref="P257:T257"/>
    <mergeCell ref="P54:V54"/>
    <mergeCell ref="P80:T80"/>
    <mergeCell ref="D194:E194"/>
    <mergeCell ref="P237:V237"/>
    <mergeCell ref="P112:T112"/>
    <mergeCell ref="D58:E58"/>
    <mergeCell ref="A236:O237"/>
    <mergeCell ref="A113:O114"/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V282:V283"/>
    <mergeCell ref="P282:P283"/>
    <mergeCell ref="F282:F283"/>
    <mergeCell ref="P269:T269"/>
    <mergeCell ref="Y282:Y283"/>
    <mergeCell ref="H282:H283"/>
    <mergeCell ref="P273:V273"/>
    <mergeCell ref="E282:E283"/>
    <mergeCell ref="G282:G283"/>
    <mergeCell ref="A220:Z220"/>
    <mergeCell ref="P139:T139"/>
    <mergeCell ref="D269:E26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5 X205 X209:X211 X216:X217 X223 X229 X235 X239 X245:X247 X252 X258 X262 X268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200 X251 X256:X257 X263:X265 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383</v>
      </c>
      <c r="D6" s="47" t="s">
        <v>384</v>
      </c>
      <c r="E6" s="47"/>
    </row>
    <row r="8" spans="2:8" x14ac:dyDescent="0.2">
      <c r="B8" s="47" t="s">
        <v>19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EaP37O+K2XzQ3s86tMVUnK1z53PKfxSs7+tVMeyTEHGfvqVQZ3a0R3IGPeSJmVbPfGMoC8cVlGhD6mS6pbgVsQ==" saltValue="8M+IAi4UMNUqoJbS9ZM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