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9939690-F3EF-4A33-8271-45D85EBE6BF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заказа'!$B$54:$B$54</definedName>
    <definedName name="ProductId14">'Бланк заказа'!$B$58:$B$58</definedName>
    <definedName name="ProductId15">'Бланк заказа'!$B$59:$B$59</definedName>
    <definedName name="ProductId16">'Бланк заказа'!$B$63:$B$63</definedName>
    <definedName name="ProductId17">'Бланк заказа'!$B$64:$B$64</definedName>
    <definedName name="ProductId18">'Бланк заказа'!$B$65:$B$65</definedName>
    <definedName name="ProductId19">'Бланк заказа'!$B$70:$B$70</definedName>
    <definedName name="ProductId2">'Бланк заказа'!$B$28:$B$28</definedName>
    <definedName name="ProductId20">'Бланк заказа'!$B$71:$B$71</definedName>
    <definedName name="ProductId21">'Бланк заказа'!$B$76:$B$76</definedName>
    <definedName name="ProductId22">'Бланк заказа'!$B$81:$B$81</definedName>
    <definedName name="ProductId23">'Бланк заказа'!$B$82:$B$82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заказа'!$B$92:$B$92</definedName>
    <definedName name="ProductId3">'Бланк заказа'!$B$29:$B$29</definedName>
    <definedName name="ProductId30">'Бланк заказа'!$B$97:$B$97</definedName>
    <definedName name="ProductId31">'Бланк заказа'!$B$98:$B$98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заказа'!$B$30:$B$30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заказа'!$X$54:$X$54</definedName>
    <definedName name="SalesQty14">'Бланк заказа'!$X$58:$X$58</definedName>
    <definedName name="SalesQty15">'Бланк заказа'!$X$59:$X$59</definedName>
    <definedName name="SalesQty16">'Бланк заказа'!$X$63:$X$63</definedName>
    <definedName name="SalesQty17">'Бланк заказа'!$X$64:$X$64</definedName>
    <definedName name="SalesQty18">'Бланк заказа'!$X$65:$X$65</definedName>
    <definedName name="SalesQty19">'Бланк заказа'!$X$70:$X$70</definedName>
    <definedName name="SalesQty2">'Бланк заказа'!$X$28:$X$28</definedName>
    <definedName name="SalesQty20">'Бланк заказа'!$X$71:$X$71</definedName>
    <definedName name="SalesQty21">'Бланк заказа'!$X$76:$X$76</definedName>
    <definedName name="SalesQty22">'Бланк заказа'!$X$81:$X$81</definedName>
    <definedName name="SalesQty23">'Бланк заказа'!$X$82:$X$82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заказа'!$X$92:$X$92</definedName>
    <definedName name="SalesQty3">'Бланк заказа'!$X$29:$X$29</definedName>
    <definedName name="SalesQty30">'Бланк заказа'!$X$97:$X$97</definedName>
    <definedName name="SalesQty31">'Бланк заказа'!$X$98:$X$98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заказа'!$X$30:$X$30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заказа'!$Y$54:$Y$54</definedName>
    <definedName name="SalesRoundBox14">'Бланк заказа'!$Y$58:$Y$58</definedName>
    <definedName name="SalesRoundBox15">'Бланк заказа'!$Y$59:$Y$59</definedName>
    <definedName name="SalesRoundBox16">'Бланк заказа'!$Y$63:$Y$63</definedName>
    <definedName name="SalesRoundBox17">'Бланк заказа'!$Y$64:$Y$64</definedName>
    <definedName name="SalesRoundBox18">'Бланк заказа'!$Y$65:$Y$65</definedName>
    <definedName name="SalesRoundBox19">'Бланк заказа'!$Y$70:$Y$70</definedName>
    <definedName name="SalesRoundBox2">'Бланк заказа'!$Y$28:$Y$28</definedName>
    <definedName name="SalesRoundBox20">'Бланк заказа'!$Y$71:$Y$71</definedName>
    <definedName name="SalesRoundBox21">'Бланк заказа'!$Y$76:$Y$76</definedName>
    <definedName name="SalesRoundBox22">'Бланк заказа'!$Y$81:$Y$81</definedName>
    <definedName name="SalesRoundBox23">'Бланк заказа'!$Y$82:$Y$82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заказа'!$Y$92:$Y$92</definedName>
    <definedName name="SalesRoundBox3">'Бланк заказа'!$Y$29:$Y$29</definedName>
    <definedName name="SalesRoundBox30">'Бланк заказа'!$Y$97:$Y$97</definedName>
    <definedName name="SalesRoundBox31">'Бланк заказа'!$Y$98:$Y$98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заказа'!$Y$30:$Y$30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заказа'!$W$54:$W$54</definedName>
    <definedName name="UnitOfMeasure14">'Бланк заказа'!$W$58:$W$58</definedName>
    <definedName name="UnitOfMeasure15">'Бланк заказа'!$W$59:$W$59</definedName>
    <definedName name="UnitOfMeasure16">'Бланк заказа'!$W$63:$W$63</definedName>
    <definedName name="UnitOfMeasure17">'Бланк заказа'!$W$64:$W$64</definedName>
    <definedName name="UnitOfMeasure18">'Бланк заказа'!$W$65:$W$65</definedName>
    <definedName name="UnitOfMeasure19">'Бланк заказа'!$W$70:$W$70</definedName>
    <definedName name="UnitOfMeasure2">'Бланк заказа'!$W$28:$W$28</definedName>
    <definedName name="UnitOfMeasure20">'Бланк заказа'!$W$71:$W$71</definedName>
    <definedName name="UnitOfMeasure21">'Бланк заказа'!$W$76:$W$76</definedName>
    <definedName name="UnitOfMeasure22">'Бланк заказа'!$W$81:$W$81</definedName>
    <definedName name="UnitOfMeasure23">'Бланк заказа'!$W$82:$W$82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заказа'!$W$92:$W$92</definedName>
    <definedName name="UnitOfMeasure3">'Бланк заказа'!$W$29:$W$29</definedName>
    <definedName name="UnitOfMeasure30">'Бланк заказа'!$W$97:$W$97</definedName>
    <definedName name="UnitOfMeasure31">'Бланк заказа'!$W$98:$W$98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заказа'!$W$30:$W$30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BO257" i="1"/>
  <c r="BM257" i="1"/>
  <c r="Z257" i="1"/>
  <c r="Y257" i="1"/>
  <c r="P257" i="1"/>
  <c r="X255" i="1"/>
  <c r="X254" i="1"/>
  <c r="BO253" i="1"/>
  <c r="BM253" i="1"/>
  <c r="Z253" i="1"/>
  <c r="Y253" i="1"/>
  <c r="P253" i="1"/>
  <c r="BP252" i="1"/>
  <c r="BO252" i="1"/>
  <c r="BN252" i="1"/>
  <c r="BM252" i="1"/>
  <c r="Z252" i="1"/>
  <c r="Z254" i="1" s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BO246" i="1"/>
  <c r="BM246" i="1"/>
  <c r="Z246" i="1"/>
  <c r="Y246" i="1"/>
  <c r="Y250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BO210" i="1"/>
  <c r="BM210" i="1"/>
  <c r="Z210" i="1"/>
  <c r="Y210" i="1"/>
  <c r="P210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Z202" i="1" s="1"/>
  <c r="Y201" i="1"/>
  <c r="X198" i="1"/>
  <c r="X197" i="1"/>
  <c r="BO196" i="1"/>
  <c r="BM196" i="1"/>
  <c r="Z196" i="1"/>
  <c r="Y196" i="1"/>
  <c r="BP196" i="1" s="1"/>
  <c r="P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X172" i="1"/>
  <c r="X171" i="1"/>
  <c r="BO170" i="1"/>
  <c r="BM170" i="1"/>
  <c r="Z170" i="1"/>
  <c r="Y170" i="1"/>
  <c r="BP170" i="1" s="1"/>
  <c r="P170" i="1"/>
  <c r="BO169" i="1"/>
  <c r="BM169" i="1"/>
  <c r="Z169" i="1"/>
  <c r="Y169" i="1"/>
  <c r="P169" i="1"/>
  <c r="BO168" i="1"/>
  <c r="BM168" i="1"/>
  <c r="Z168" i="1"/>
  <c r="Y168" i="1"/>
  <c r="BP168" i="1" s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P150" i="1"/>
  <c r="X147" i="1"/>
  <c r="X146" i="1"/>
  <c r="BO145" i="1"/>
  <c r="BM145" i="1"/>
  <c r="Z145" i="1"/>
  <c r="Z146" i="1" s="1"/>
  <c r="Y145" i="1"/>
  <c r="Y146" i="1" s="1"/>
  <c r="P145" i="1"/>
  <c r="X142" i="1"/>
  <c r="X141" i="1"/>
  <c r="BO140" i="1"/>
  <c r="BM140" i="1"/>
  <c r="Z140" i="1"/>
  <c r="Z141" i="1" s="1"/>
  <c r="Y140" i="1"/>
  <c r="Y141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Y129" i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Z114" i="1" s="1"/>
  <c r="Y113" i="1"/>
  <c r="Y115" i="1" s="1"/>
  <c r="P113" i="1"/>
  <c r="X111" i="1"/>
  <c r="X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BO106" i="1"/>
  <c r="BM106" i="1"/>
  <c r="Z106" i="1"/>
  <c r="Y106" i="1"/>
  <c r="BP106" i="1" s="1"/>
  <c r="P106" i="1"/>
  <c r="BO105" i="1"/>
  <c r="BM105" i="1"/>
  <c r="Z105" i="1"/>
  <c r="Y105" i="1"/>
  <c r="P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BO90" i="1"/>
  <c r="BM90" i="1"/>
  <c r="Z90" i="1"/>
  <c r="Y90" i="1"/>
  <c r="BP90" i="1" s="1"/>
  <c r="P90" i="1"/>
  <c r="BO89" i="1"/>
  <c r="BM89" i="1"/>
  <c r="Z89" i="1"/>
  <c r="Y89" i="1"/>
  <c r="P89" i="1"/>
  <c r="BO88" i="1"/>
  <c r="BM88" i="1"/>
  <c r="Z88" i="1"/>
  <c r="Y88" i="1"/>
  <c r="BP88" i="1" s="1"/>
  <c r="P88" i="1"/>
  <c r="BO87" i="1"/>
  <c r="BM87" i="1"/>
  <c r="Z87" i="1"/>
  <c r="Y87" i="1"/>
  <c r="P87" i="1"/>
  <c r="X84" i="1"/>
  <c r="X83" i="1"/>
  <c r="BO82" i="1"/>
  <c r="BM82" i="1"/>
  <c r="Z82" i="1"/>
  <c r="Y82" i="1"/>
  <c r="BP82" i="1" s="1"/>
  <c r="P82" i="1"/>
  <c r="BO81" i="1"/>
  <c r="BM81" i="1"/>
  <c r="Z81" i="1"/>
  <c r="Y81" i="1"/>
  <c r="P81" i="1"/>
  <c r="X78" i="1"/>
  <c r="X77" i="1"/>
  <c r="BO76" i="1"/>
  <c r="BM76" i="1"/>
  <c r="Z76" i="1"/>
  <c r="Z77" i="1" s="1"/>
  <c r="Y76" i="1"/>
  <c r="Y77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P70" i="1"/>
  <c r="X67" i="1"/>
  <c r="X66" i="1"/>
  <c r="BP65" i="1"/>
  <c r="BO65" i="1"/>
  <c r="BN65" i="1"/>
  <c r="BM65" i="1"/>
  <c r="Z65" i="1"/>
  <c r="Y65" i="1"/>
  <c r="P65" i="1"/>
  <c r="BO64" i="1"/>
  <c r="BM64" i="1"/>
  <c r="Z64" i="1"/>
  <c r="Y64" i="1"/>
  <c r="BP64" i="1" s="1"/>
  <c r="P64" i="1"/>
  <c r="BP63" i="1"/>
  <c r="BO63" i="1"/>
  <c r="BN63" i="1"/>
  <c r="BM63" i="1"/>
  <c r="Z63" i="1"/>
  <c r="Z66" i="1" s="1"/>
  <c r="Y63" i="1"/>
  <c r="P63" i="1"/>
  <c r="X61" i="1"/>
  <c r="X60" i="1"/>
  <c r="BO59" i="1"/>
  <c r="BM59" i="1"/>
  <c r="Z59" i="1"/>
  <c r="Y59" i="1"/>
  <c r="P59" i="1"/>
  <c r="BO58" i="1"/>
  <c r="BM58" i="1"/>
  <c r="Z58" i="1"/>
  <c r="Z60" i="1" s="1"/>
  <c r="Y58" i="1"/>
  <c r="P58" i="1"/>
  <c r="X56" i="1"/>
  <c r="X55" i="1"/>
  <c r="BO54" i="1"/>
  <c r="BM54" i="1"/>
  <c r="Z54" i="1"/>
  <c r="Z55" i="1" s="1"/>
  <c r="Y54" i="1"/>
  <c r="Y55" i="1" s="1"/>
  <c r="P54" i="1"/>
  <c r="X52" i="1"/>
  <c r="X51" i="1"/>
  <c r="BO50" i="1"/>
  <c r="BM50" i="1"/>
  <c r="Z50" i="1"/>
  <c r="Z51" i="1" s="1"/>
  <c r="Y50" i="1"/>
  <c r="Y51" i="1" s="1"/>
  <c r="P50" i="1"/>
  <c r="X47" i="1"/>
  <c r="X46" i="1"/>
  <c r="BO45" i="1"/>
  <c r="BM45" i="1"/>
  <c r="Z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Z46" i="1" s="1"/>
  <c r="Y42" i="1"/>
  <c r="P42" i="1"/>
  <c r="X39" i="1"/>
  <c r="X38" i="1"/>
  <c r="BO37" i="1"/>
  <c r="BM37" i="1"/>
  <c r="Z37" i="1"/>
  <c r="Y37" i="1"/>
  <c r="P37" i="1"/>
  <c r="BO36" i="1"/>
  <c r="BM36" i="1"/>
  <c r="Z36" i="1"/>
  <c r="Y36" i="1"/>
  <c r="BP36" i="1" s="1"/>
  <c r="P36" i="1"/>
  <c r="BO35" i="1"/>
  <c r="BM35" i="1"/>
  <c r="Z35" i="1"/>
  <c r="Y35" i="1"/>
  <c r="P35" i="1"/>
  <c r="X32" i="1"/>
  <c r="X31" i="1"/>
  <c r="BP30" i="1"/>
  <c r="BO30" i="1"/>
  <c r="BN30" i="1"/>
  <c r="BM30" i="1"/>
  <c r="Z30" i="1"/>
  <c r="Y30" i="1"/>
  <c r="P30" i="1"/>
  <c r="BO29" i="1"/>
  <c r="BM29" i="1"/>
  <c r="Z29" i="1"/>
  <c r="Y29" i="1"/>
  <c r="BP29" i="1" s="1"/>
  <c r="P29" i="1"/>
  <c r="BP28" i="1"/>
  <c r="BO28" i="1"/>
  <c r="BN28" i="1"/>
  <c r="BM28" i="1"/>
  <c r="Z28" i="1"/>
  <c r="Z31" i="1" s="1"/>
  <c r="Y28" i="1"/>
  <c r="P28" i="1"/>
  <c r="X24" i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F9" i="1"/>
  <c r="A9" i="1"/>
  <c r="A10" i="1" s="1"/>
  <c r="D7" i="1"/>
  <c r="Q6" i="1"/>
  <c r="P2" i="1"/>
  <c r="Y84" i="1" l="1"/>
  <c r="BN82" i="1"/>
  <c r="Y100" i="1"/>
  <c r="BN98" i="1"/>
  <c r="BN113" i="1"/>
  <c r="BP113" i="1"/>
  <c r="Y114" i="1"/>
  <c r="BN117" i="1"/>
  <c r="BP117" i="1"/>
  <c r="Y118" i="1"/>
  <c r="Z124" i="1"/>
  <c r="BN122" i="1"/>
  <c r="Z130" i="1"/>
  <c r="Z136" i="1"/>
  <c r="BN134" i="1"/>
  <c r="Z171" i="1"/>
  <c r="BN168" i="1"/>
  <c r="BN170" i="1"/>
  <c r="BN185" i="1"/>
  <c r="BN187" i="1"/>
  <c r="Y93" i="1"/>
  <c r="BP87" i="1"/>
  <c r="BN87" i="1"/>
  <c r="BP89" i="1"/>
  <c r="BN89" i="1"/>
  <c r="BP91" i="1"/>
  <c r="BN91" i="1"/>
  <c r="Y111" i="1"/>
  <c r="BP103" i="1"/>
  <c r="BN103" i="1"/>
  <c r="BP105" i="1"/>
  <c r="BN105" i="1"/>
  <c r="BP107" i="1"/>
  <c r="BN107" i="1"/>
  <c r="BP109" i="1"/>
  <c r="BN109" i="1"/>
  <c r="BP129" i="1"/>
  <c r="BN129" i="1"/>
  <c r="BP162" i="1"/>
  <c r="BN162" i="1"/>
  <c r="X276" i="1"/>
  <c r="Y39" i="1"/>
  <c r="BP35" i="1"/>
  <c r="BN35" i="1"/>
  <c r="BP37" i="1"/>
  <c r="BN37" i="1"/>
  <c r="BP59" i="1"/>
  <c r="BN59" i="1"/>
  <c r="Y72" i="1"/>
  <c r="BP70" i="1"/>
  <c r="BN70" i="1"/>
  <c r="J9" i="1"/>
  <c r="X277" i="1"/>
  <c r="X279" i="1"/>
  <c r="X275" i="1"/>
  <c r="Y32" i="1"/>
  <c r="Z38" i="1"/>
  <c r="Y46" i="1"/>
  <c r="Y61" i="1"/>
  <c r="Y67" i="1"/>
  <c r="Z72" i="1"/>
  <c r="Z83" i="1"/>
  <c r="Z93" i="1"/>
  <c r="Z99" i="1"/>
  <c r="Z110" i="1"/>
  <c r="Y124" i="1"/>
  <c r="Y131" i="1"/>
  <c r="Y136" i="1"/>
  <c r="Z197" i="1"/>
  <c r="BN192" i="1"/>
  <c r="BN194" i="1"/>
  <c r="BN196" i="1"/>
  <c r="Z213" i="1"/>
  <c r="BN211" i="1"/>
  <c r="Z219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Z249" i="1"/>
  <c r="BN246" i="1"/>
  <c r="BP246" i="1"/>
  <c r="BN248" i="1"/>
  <c r="Y254" i="1"/>
  <c r="Y255" i="1"/>
  <c r="Z260" i="1"/>
  <c r="BN258" i="1"/>
  <c r="Z273" i="1"/>
  <c r="X278" i="1"/>
  <c r="Y31" i="1"/>
  <c r="Y38" i="1"/>
  <c r="Y47" i="1"/>
  <c r="Y52" i="1"/>
  <c r="Y56" i="1"/>
  <c r="Y60" i="1"/>
  <c r="Y66" i="1"/>
  <c r="Y73" i="1"/>
  <c r="Y78" i="1"/>
  <c r="Y83" i="1"/>
  <c r="Y94" i="1"/>
  <c r="Y99" i="1"/>
  <c r="Y110" i="1"/>
  <c r="Y125" i="1"/>
  <c r="Y130" i="1"/>
  <c r="Y137" i="1"/>
  <c r="Y142" i="1"/>
  <c r="Y147" i="1"/>
  <c r="Y151" i="1"/>
  <c r="BP150" i="1"/>
  <c r="BN150" i="1"/>
  <c r="Y164" i="1"/>
  <c r="BP161" i="1"/>
  <c r="BN161" i="1"/>
  <c r="Y163" i="1"/>
  <c r="BP169" i="1"/>
  <c r="BN169" i="1"/>
  <c r="Y171" i="1"/>
  <c r="Y175" i="1"/>
  <c r="BP174" i="1"/>
  <c r="BN174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13" i="1"/>
  <c r="BP210" i="1"/>
  <c r="BN210" i="1"/>
  <c r="BP212" i="1"/>
  <c r="BN212" i="1"/>
  <c r="Y260" i="1"/>
  <c r="BP257" i="1"/>
  <c r="BN257" i="1"/>
  <c r="BP259" i="1"/>
  <c r="BN259" i="1"/>
  <c r="H9" i="1"/>
  <c r="BN29" i="1"/>
  <c r="BN36" i="1"/>
  <c r="BN43" i="1"/>
  <c r="BN45" i="1"/>
  <c r="BN50" i="1"/>
  <c r="BP50" i="1"/>
  <c r="BN54" i="1"/>
  <c r="BP54" i="1"/>
  <c r="BN58" i="1"/>
  <c r="BP58" i="1"/>
  <c r="BN64" i="1"/>
  <c r="BN71" i="1"/>
  <c r="BN76" i="1"/>
  <c r="BP76" i="1"/>
  <c r="BN81" i="1"/>
  <c r="BP81" i="1"/>
  <c r="BN88" i="1"/>
  <c r="BN90" i="1"/>
  <c r="BN92" i="1"/>
  <c r="BN97" i="1"/>
  <c r="BP97" i="1"/>
  <c r="BN104" i="1"/>
  <c r="BN106" i="1"/>
  <c r="BN108" i="1"/>
  <c r="BN123" i="1"/>
  <c r="BN128" i="1"/>
  <c r="BP128" i="1"/>
  <c r="BN135" i="1"/>
  <c r="BN140" i="1"/>
  <c r="BP140" i="1"/>
  <c r="BN145" i="1"/>
  <c r="BP145" i="1"/>
  <c r="Y152" i="1"/>
  <c r="Y156" i="1"/>
  <c r="BP155" i="1"/>
  <c r="BN155" i="1"/>
  <c r="Z163" i="1"/>
  <c r="Y172" i="1"/>
  <c r="Y176" i="1"/>
  <c r="Y181" i="1"/>
  <c r="BP180" i="1"/>
  <c r="BN180" i="1"/>
  <c r="Z188" i="1"/>
  <c r="Y198" i="1"/>
  <c r="Y203" i="1"/>
  <c r="Y207" i="1"/>
  <c r="BP206" i="1"/>
  <c r="BN206" i="1"/>
  <c r="Y214" i="1"/>
  <c r="Y220" i="1"/>
  <c r="BP217" i="1"/>
  <c r="BN217" i="1"/>
  <c r="Y219" i="1"/>
  <c r="BP247" i="1"/>
  <c r="BN247" i="1"/>
  <c r="Y249" i="1"/>
  <c r="BP253" i="1"/>
  <c r="BN253" i="1"/>
  <c r="Y261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Y277" i="1" l="1"/>
  <c r="Z280" i="1"/>
  <c r="Y276" i="1"/>
  <c r="Y278" i="1" s="1"/>
  <c r="Y275" i="1"/>
  <c r="Y279" i="1"/>
  <c r="C288" i="1"/>
  <c r="B288" i="1"/>
  <c r="A288" i="1"/>
</calcChain>
</file>

<file path=xl/sharedStrings.xml><?xml version="1.0" encoding="utf-8"?>
<sst xmlns="http://schemas.openxmlformats.org/spreadsheetml/2006/main" count="1239" uniqueCount="399">
  <si>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</si>
  <si>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</si>
  <si>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</si>
  <si>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</si>
  <si>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</si>
  <si>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</si>
  <si>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</si>
  <si>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</si>
  <si>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</si>
  <si>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</si>
  <si>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</si>
  <si>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</si>
  <si>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</si>
  <si>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</si>
  <si>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</si>
  <si>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</si>
  <si>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</si>
  <si>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</si>
  <si>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</si>
  <si>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</si>
  <si>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</si>
  <si>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</si>
  <si>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</si>
  <si>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</si>
  <si>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</si>
  <si>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</si>
  <si>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</si>
  <si>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</si>
  <si>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</si>
  <si>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</si>
  <si>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</si>
  <si>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</si>
  <si>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</si>
  <si>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</si>
  <si>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</si>
  <si>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</si>
  <si>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</si>
  <si>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</si>
  <si>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</si>
  <si>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</si>
  <si>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</si>
  <si>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</si>
  <si>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</si>
  <si>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</si>
  <si>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</si>
  <si>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</si>
  <si>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</si>
  <si>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</si>
  <si>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</si>
  <si>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</si>
  <si>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</si>
  <si>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</si>
  <si>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</si>
  <si>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</si>
  <si>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</si>
  <si>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</si>
  <si>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</si>
  <si>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</si>
  <si>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</si>
  <si>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</si>
  <si>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</si>
  <si>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</si>
  <si>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</si>
  <si>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</si>
  <si>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</si>
  <si>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</si>
  <si>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</si>
  <si>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</si>
  <si>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</si>
  <si>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</si>
  <si>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</si>
  <si>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</si>
  <si>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</si>
  <si>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</si>
  <si>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</si>
  <si>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</si>
  <si>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</si>
  <si>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</si>
  <si>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SU002898</t>
  </si>
  <si>
    <t>P004901</t>
  </si>
  <si>
    <t>14</t>
  </si>
  <si>
    <t>ЕАЭС N RU Д-RU.РА10.В.22386/23</t>
  </si>
  <si>
    <t>ПГП</t>
  </si>
  <si>
    <t>SU003598</t>
  </si>
  <si>
    <t>P004602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</si>
  <si>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</si>
  <si>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</si>
  <si>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</si>
  <si>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</si>
  <si>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</si>
  <si>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</si>
  <si>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</si>
  <si>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</si>
  <si>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</si>
  <si>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</si>
  <si>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</si>
  <si>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</si>
  <si>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</si>
  <si>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</si>
  <si>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</si>
  <si>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</si>
  <si>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</si>
  <si>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</si>
  <si>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</si>
  <si>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</si>
  <si>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</si>
  <si>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</si>
  <si>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</si>
  <si>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</si>
  <si>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</si>
  <si>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</si>
  <si>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</si>
  <si>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</si>
  <si>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</si>
  <si>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</si>
  <si>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</si>
  <si>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</si>
  <si>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</si>
  <si>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</si>
  <si>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</si>
  <si>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</si>
  <si>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</si>
  <si>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</si>
  <si>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</si>
  <si>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</si>
  <si>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</si>
  <si>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</si>
  <si>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</si>
  <si>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</si>
  <si>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</si>
  <si>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</si>
  <si>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</si>
  <si>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</si>
  <si>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</si>
  <si>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</si>
  <si>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</si>
  <si>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</si>
  <si>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</si>
  <si>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</si>
  <si>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</si>
  <si>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</si>
  <si>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</si>
  <si>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</si>
  <si>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</si>
  <si>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</si>
  <si>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</si>
  <si>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</si>
  <si>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</si>
  <si>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</si>
  <si>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</si>
  <si>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</si>
  <si>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</si>
  <si>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</si>
  <si>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</si>
  <si>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</si>
  <si>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</si>
  <si>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</si>
  <si>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</si>
  <si>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</si>
  <si>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</si>
  <si>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</si>
  <si>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</si>
  <si>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</si>
  <si>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</si>
  <si>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</si>
  <si>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</si>
  <si>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</si>
  <si>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</si>
  <si>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</si>
  <si>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</si>
  <si>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</si>
  <si>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</si>
  <si>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</si>
  <si>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</si>
  <si>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</si>
  <si>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</si>
  <si>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</si>
  <si>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</si>
  <si>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</si>
  <si>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</si>
  <si>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</si>
  <si>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</si>
  <si>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</si>
  <si>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</si>
  <si>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</si>
  <si>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</si>
  <si>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</si>
  <si>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</si>
  <si>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</si>
  <si>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</si>
  <si>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</si>
  <si>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</si>
  <si>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</si>
  <si>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</si>
  <si>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</si>
  <si>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</si>
  <si>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</si>
  <si>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</si>
  <si>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</si>
  <si>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</si>
  <si>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</si>
  <si>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</si>
  <si>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</si>
  <si>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</si>
  <si>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</si>
  <si>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</si>
  <si>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</si>
  <si>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</si>
  <si>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</si>
  <si>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</si>
  <si>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</si>
  <si>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</si>
  <si>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</si>
  <si>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</si>
  <si>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</si>
  <si>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</si>
  <si>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</si>
  <si>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</si>
  <si>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</si>
  <si>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</si>
  <si>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</si>
  <si>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</si>
  <si>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</si>
  <si>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</si>
  <si>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</si>
  <si>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</si>
  <si>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</si>
  <si>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</si>
  <si>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</si>
  <si>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</si>
  <si>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</si>
  <si>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</si>
  <si>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</si>
  <si>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</si>
  <si>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</si>
  <si>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</si>
  <si>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</si>
  <si>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</si>
  <si>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</si>
  <si>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</si>
  <si>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</si>
  <si>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</si>
  <si>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</si>
  <si>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</si>
  <si>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</si>
  <si>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</si>
  <si>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</si>
  <si>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</si>
  <si>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</si>
  <si>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</si>
  <si>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</si>
  <si>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</si>
  <si>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</si>
  <si>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</si>
  <si>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</si>
  <si>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</si>
  <si>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</si>
  <si>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</si>
  <si>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</si>
  <si>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</si>
  <si>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</si>
  <si>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</si>
  <si>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</si>
  <si>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</si>
  <si>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</si>
  <si>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</si>
  <si>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</si>
  <si>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</si>
  <si>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</si>
  <si>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</si>
  <si>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</si>
  <si>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</si>
  <si>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</si>
  <si>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</si>
  <si>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</si>
  <si>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</si>
  <si>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</si>
  <si>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</si>
  <si>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</si>
  <si>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</si>
  <si>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</si>
  <si>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</si>
  <si>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</si>
  <si>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</si>
  <si>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</si>
  <si>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</si>
  <si>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</si>
  <si>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</si>
  <si>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</si>
  <si>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</si>
  <si>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</si>
  <si>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</si>
  <si>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</si>
  <si>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</si>
  <si>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</si>
  <si>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</si>
  <si>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</si>
  <si>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</si>
  <si>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</si>
  <si>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</si>
  <si>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</si>
  <si>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</si>
  <si>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</si>
  <si>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</si>
  <si>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</si>
  <si>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</si>
  <si>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</si>
  <si>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</si>
  <si>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</si>
  <si>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</si>
  <si>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</si>
  <si>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</si>
  <si>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</si>
  <si>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</si>
  <si>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</si>
  <si>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</si>
  <si>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</si>
  <si>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</si>
  <si>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</si>
  <si>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</si>
  <si>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</si>
  <si>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</si>
  <si>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</si>
  <si>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</si>
  <si>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</si>
  <si>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</si>
  <si>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</si>
  <si>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</si>
  <si>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</si>
  <si>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</si>
  <si>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</si>
  <si>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</si>
  <si>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</si>
  <si>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</si>
  <si>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</si>
  <si>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</si>
  <si>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</si>
  <si>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</si>
  <si>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</si>
  <si>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</si>
  <si>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</si>
  <si>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</si>
  <si>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</si>
  <si>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</si>
  <si>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</si>
  <si>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</si>
  <si>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</si>
  <si>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</si>
  <si>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</si>
  <si>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</si>
  <si>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</si>
  <si>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</si>
  <si>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</si>
  <si>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</si>
  <si>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</si>
  <si>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</si>
  <si>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</si>
  <si>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</si>
  <si>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</si>
  <si>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</si>
  <si>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</si>
  <si>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</si>
  <si>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</si>
  <si>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</si>
  <si>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</si>
  <si>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</si>
  <si>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</si>
  <si>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</si>
  <si>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</si>
  <si>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</si>
  <si>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</si>
  <si>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</si>
  <si>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</si>
  <si>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</si>
  <si>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</si>
  <si>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</si>
  <si>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</si>
  <si>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</si>
  <si>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</si>
  <si>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</si>
  <si>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</si>
  <si>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</si>
  <si>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</si>
  <si>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</si>
  <si>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</si>
  <si>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</si>
  <si>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</si>
  <si>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</si>
  <si>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</si>
  <si>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</si>
  <si>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</si>
  <si>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</si>
  <si>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</si>
  <si>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</si>
  <si>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</si>
  <si>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</si>
  <si>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</si>
  <si>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</si>
  <si>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11 европалет,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</si>
</sst>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0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32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9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71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9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36" t="s">
        <v>0</v>
      </c>
      <c r="E1" s="283"/>
      <c r="F1" s="283"/>
      <c r="G1" s="12" t="s">
        <v>1</v>
      </c>
      <c r="H1" s="336" t="s">
        <v>2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3</v>
      </c>
      <c r="S1" s="283"/>
      <c r="T1" s="2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43" t="s">
        <v>8</v>
      </c>
      <c r="B5" s="313"/>
      <c r="C5" s="314"/>
      <c r="D5" s="345"/>
      <c r="E5" s="346"/>
      <c r="F5" s="447" t="s">
        <v>9</v>
      </c>
      <c r="G5" s="314"/>
      <c r="H5" s="345" t="s">
        <v>398</v>
      </c>
      <c r="I5" s="414"/>
      <c r="J5" s="414"/>
      <c r="K5" s="414"/>
      <c r="L5" s="414"/>
      <c r="M5" s="346"/>
      <c r="N5" s="61"/>
      <c r="P5" s="24" t="s">
        <v>10</v>
      </c>
      <c r="Q5" s="451">
        <v>45971</v>
      </c>
      <c r="R5" s="342"/>
      <c r="T5" s="384" t="s">
        <v>11</v>
      </c>
      <c r="U5" s="379"/>
      <c r="V5" s="386" t="s">
        <v>12</v>
      </c>
      <c r="W5" s="342"/>
      <c r="AB5" s="51"/>
      <c r="AC5" s="51"/>
      <c r="AD5" s="51"/>
      <c r="AE5" s="51"/>
    </row>
    <row r="6" spans="1:32" s="267" customFormat="1" ht="24" customHeight="1" x14ac:dyDescent="0.2">
      <c r="A6" s="343" t="s">
        <v>13</v>
      </c>
      <c r="B6" s="313"/>
      <c r="C6" s="314"/>
      <c r="D6" s="416" t="s">
        <v>14</v>
      </c>
      <c r="E6" s="417"/>
      <c r="F6" s="417"/>
      <c r="G6" s="417"/>
      <c r="H6" s="417"/>
      <c r="I6" s="417"/>
      <c r="J6" s="417"/>
      <c r="K6" s="417"/>
      <c r="L6" s="417"/>
      <c r="M6" s="342"/>
      <c r="N6" s="62"/>
      <c r="P6" s="24" t="s">
        <v>15</v>
      </c>
      <c r="Q6" s="455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89" t="s">
        <v>16</v>
      </c>
      <c r="U6" s="379"/>
      <c r="V6" s="317" t="s">
        <v>17</v>
      </c>
      <c r="W6" s="297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0"/>
      <c r="U7" s="379"/>
      <c r="V7" s="318"/>
      <c r="W7" s="319"/>
      <c r="AB7" s="51"/>
      <c r="AC7" s="51"/>
      <c r="AD7" s="51"/>
      <c r="AE7" s="51"/>
    </row>
    <row r="8" spans="1:32" s="267" customFormat="1" ht="25.5" customHeight="1" x14ac:dyDescent="0.2">
      <c r="A8" s="457" t="s">
        <v>18</v>
      </c>
      <c r="B8" s="277"/>
      <c r="C8" s="278"/>
      <c r="D8" s="324" t="s">
        <v>19</v>
      </c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20</v>
      </c>
      <c r="Q8" s="344">
        <v>0.41666666666666669</v>
      </c>
      <c r="R8" s="308"/>
      <c r="T8" s="280"/>
      <c r="U8" s="379"/>
      <c r="V8" s="318"/>
      <c r="W8" s="319"/>
      <c r="AB8" s="51"/>
      <c r="AC8" s="51"/>
      <c r="AD8" s="51"/>
      <c r="AE8" s="51"/>
    </row>
    <row r="9" spans="1:32" s="267" customFormat="1" ht="39.950000000000003" customHeight="1" x14ac:dyDescent="0.2">
      <c r="A9" s="2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73"/>
      <c r="E9" s="294"/>
      <c r="F9" s="2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93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2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8"/>
      <c r="P9" s="26" t="s">
        <v>21</v>
      </c>
      <c r="Q9" s="339"/>
      <c r="R9" s="340"/>
      <c r="T9" s="280"/>
      <c r="U9" s="379"/>
      <c r="V9" s="320"/>
      <c r="W9" s="321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2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73"/>
      <c r="E10" s="294"/>
      <c r="F10" s="2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4" t="str">
        <f>IFERROR(VLOOKUP($D$10,Proxy,2,FALSE),"")</f>
        <v/>
      </c>
      <c r="I10" s="280"/>
      <c r="J10" s="280"/>
      <c r="K10" s="280"/>
      <c r="L10" s="280"/>
      <c r="M10" s="280"/>
      <c r="N10" s="266"/>
      <c r="P10" s="26" t="s">
        <v>22</v>
      </c>
      <c r="Q10" s="390"/>
      <c r="R10" s="391"/>
      <c r="U10" s="24" t="s">
        <v>23</v>
      </c>
      <c r="V10" s="296" t="s">
        <v>24</v>
      </c>
      <c r="W10" s="297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1"/>
      <c r="R11" s="342"/>
      <c r="U11" s="24" t="s">
        <v>27</v>
      </c>
      <c r="V11" s="422" t="s">
        <v>28</v>
      </c>
      <c r="W11" s="340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12" t="s">
        <v>29</v>
      </c>
      <c r="B12" s="313"/>
      <c r="C12" s="313"/>
      <c r="D12" s="313"/>
      <c r="E12" s="313"/>
      <c r="F12" s="313"/>
      <c r="G12" s="313"/>
      <c r="H12" s="313"/>
      <c r="I12" s="313"/>
      <c r="J12" s="313"/>
      <c r="K12" s="313"/>
      <c r="L12" s="313"/>
      <c r="M12" s="314"/>
      <c r="N12" s="65"/>
      <c r="P12" s="24" t="s">
        <v>30</v>
      </c>
      <c r="Q12" s="344"/>
      <c r="R12" s="308"/>
      <c r="S12" s="23"/>
      <c r="U12" s="24"/>
      <c r="V12" s="283"/>
      <c r="W12" s="280"/>
      <c r="AB12" s="51"/>
      <c r="AC12" s="51"/>
      <c r="AD12" s="51"/>
      <c r="AE12" s="51"/>
    </row>
    <row r="13" spans="1:32" s="267" customFormat="1" ht="23.25" customHeight="1" x14ac:dyDescent="0.2">
      <c r="A13" s="312" t="s">
        <v>31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4"/>
      <c r="N13" s="65"/>
      <c r="O13" s="26"/>
      <c r="P13" s="26" t="s">
        <v>32</v>
      </c>
      <c r="Q13" s="422"/>
      <c r="R13" s="34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12" t="s">
        <v>33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400" t="s">
        <v>34</v>
      </c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4"/>
      <c r="N15" s="66"/>
      <c r="P15" s="332" t="s">
        <v>35</v>
      </c>
      <c r="Q15" s="283"/>
      <c r="R15" s="283"/>
      <c r="S15" s="283"/>
      <c r="T15" s="2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1" t="s">
        <v>36</v>
      </c>
      <c r="B17" s="281" t="s">
        <v>37</v>
      </c>
      <c r="C17" s="372" t="s">
        <v>38</v>
      </c>
      <c r="D17" s="281" t="s">
        <v>39</v>
      </c>
      <c r="E17" s="357"/>
      <c r="F17" s="281" t="s">
        <v>40</v>
      </c>
      <c r="G17" s="281" t="s">
        <v>41</v>
      </c>
      <c r="H17" s="281" t="s">
        <v>42</v>
      </c>
      <c r="I17" s="281" t="s">
        <v>43</v>
      </c>
      <c r="J17" s="281" t="s">
        <v>44</v>
      </c>
      <c r="K17" s="281" t="s">
        <v>45</v>
      </c>
      <c r="L17" s="281" t="s">
        <v>46</v>
      </c>
      <c r="M17" s="281" t="s">
        <v>47</v>
      </c>
      <c r="N17" s="281" t="s">
        <v>48</v>
      </c>
      <c r="O17" s="281" t="s">
        <v>49</v>
      </c>
      <c r="P17" s="281" t="s">
        <v>50</v>
      </c>
      <c r="Q17" s="356"/>
      <c r="R17" s="356"/>
      <c r="S17" s="356"/>
      <c r="T17" s="357"/>
      <c r="U17" s="433" t="s">
        <v>51</v>
      </c>
      <c r="V17" s="314"/>
      <c r="W17" s="281" t="s">
        <v>52</v>
      </c>
      <c r="X17" s="281" t="s">
        <v>53</v>
      </c>
      <c r="Y17" s="434" t="s">
        <v>54</v>
      </c>
      <c r="Z17" s="322" t="s">
        <v>55</v>
      </c>
      <c r="AA17" s="405" t="s">
        <v>56</v>
      </c>
      <c r="AB17" s="405" t="s">
        <v>57</v>
      </c>
      <c r="AC17" s="405" t="s">
        <v>58</v>
      </c>
      <c r="AD17" s="405" t="s">
        <v>59</v>
      </c>
      <c r="AE17" s="442"/>
      <c r="AF17" s="443"/>
      <c r="AG17" s="69"/>
      <c r="BD17" s="68" t="s">
        <v>60</v>
      </c>
    </row>
    <row r="18" spans="1:68" ht="14.25" customHeight="1" x14ac:dyDescent="0.2">
      <c r="A18" s="282"/>
      <c r="B18" s="282"/>
      <c r="C18" s="282"/>
      <c r="D18" s="358"/>
      <c r="E18" s="360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358"/>
      <c r="Q18" s="359"/>
      <c r="R18" s="359"/>
      <c r="S18" s="359"/>
      <c r="T18" s="360"/>
      <c r="U18" s="70" t="s">
        <v>61</v>
      </c>
      <c r="V18" s="70" t="s">
        <v>62</v>
      </c>
      <c r="W18" s="282"/>
      <c r="X18" s="282"/>
      <c r="Y18" s="435"/>
      <c r="Z18" s="323"/>
      <c r="AA18" s="406"/>
      <c r="AB18" s="406"/>
      <c r="AC18" s="406"/>
      <c r="AD18" s="444"/>
      <c r="AE18" s="445"/>
      <c r="AF18" s="446"/>
      <c r="AG18" s="69"/>
      <c r="BD18" s="68"/>
    </row>
    <row r="19" spans="1:68" ht="27.75" hidden="1" customHeight="1" x14ac:dyDescent="0.2">
      <c r="A19" s="315" t="s">
        <v>63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48"/>
      <c r="AB19" s="48"/>
      <c r="AC19" s="48"/>
    </row>
    <row r="20" spans="1:68" ht="16.5" hidden="1" customHeight="1" x14ac:dyDescent="0.25">
      <c r="A20" s="305" t="s">
        <v>63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5"/>
      <c r="AB20" s="265"/>
      <c r="AC20" s="265"/>
    </row>
    <row r="21" spans="1:68" ht="14.25" hidden="1" customHeight="1" x14ac:dyDescent="0.25">
      <c r="A21" s="279" t="s">
        <v>64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9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90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90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hidden="1" customHeight="1" x14ac:dyDescent="0.2">
      <c r="A25" s="315" t="s">
        <v>75</v>
      </c>
      <c r="B25" s="316"/>
      <c r="C25" s="316"/>
      <c r="D25" s="316"/>
      <c r="E25" s="316"/>
      <c r="F25" s="316"/>
      <c r="G25" s="316"/>
      <c r="H25" s="316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48"/>
      <c r="AB25" s="48"/>
      <c r="AC25" s="48"/>
    </row>
    <row r="26" spans="1:68" ht="16.5" hidden="1" customHeight="1" x14ac:dyDescent="0.25">
      <c r="A26" s="305" t="s">
        <v>76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5"/>
      <c r="AB26" s="265"/>
      <c r="AC26" s="265"/>
    </row>
    <row r="27" spans="1:68" ht="14.25" hidden="1" customHeight="1" x14ac:dyDescent="0.25">
      <c r="A27" s="279" t="s">
        <v>77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hidden="1" customHeight="1" x14ac:dyDescent="0.25">
      <c r="A28" s="54" t="s">
        <v>78</v>
      </c>
      <c r="B28" s="54" t="s">
        <v>79</v>
      </c>
      <c r="C28" s="31">
        <v>4301132208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285" t="str">
        <f>HYPERLINK("https://abi.ru/products/Замороженные/Горячая штучка/Наггетсы ГШ/Наггетсы/P004901/","Наггетсы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70</v>
      </c>
      <c r="X28" s="270">
        <v>0</v>
      </c>
      <c r="Y28" s="27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72</v>
      </c>
      <c r="AK28" s="71">
        <v>1</v>
      </c>
      <c r="BB28" s="75" t="s">
        <v>82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4301132190</v>
      </c>
      <c r="D29" s="274">
        <v>4607111036537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85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9" s="286"/>
      <c r="R29" s="286"/>
      <c r="S29" s="286"/>
      <c r="T29" s="287"/>
      <c r="U29" s="34"/>
      <c r="V29" s="34"/>
      <c r="W29" s="35" t="s">
        <v>70</v>
      </c>
      <c r="X29" s="270">
        <v>14</v>
      </c>
      <c r="Y29" s="271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81</v>
      </c>
      <c r="AG29" s="67"/>
      <c r="AJ29" s="71" t="s">
        <v>86</v>
      </c>
      <c r="AK29" s="71">
        <v>14</v>
      </c>
      <c r="BB29" s="77" t="s">
        <v>82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ht="27" hidden="1" customHeight="1" x14ac:dyDescent="0.25">
      <c r="A30" s="54" t="s">
        <v>87</v>
      </c>
      <c r="B30" s="54" t="s">
        <v>88</v>
      </c>
      <c r="C30" s="31">
        <v>4301132188</v>
      </c>
      <c r="D30" s="274">
        <v>4607111036605</v>
      </c>
      <c r="E30" s="275"/>
      <c r="F30" s="269">
        <v>0.25</v>
      </c>
      <c r="G30" s="32">
        <v>6</v>
      </c>
      <c r="H30" s="269">
        <v>1.5</v>
      </c>
      <c r="I30" s="269">
        <v>1.9218</v>
      </c>
      <c r="J30" s="32">
        <v>140</v>
      </c>
      <c r="K30" s="32" t="s">
        <v>80</v>
      </c>
      <c r="L30" s="32" t="s">
        <v>85</v>
      </c>
      <c r="M30" s="33" t="s">
        <v>69</v>
      </c>
      <c r="N30" s="33"/>
      <c r="O30" s="32">
        <v>365</v>
      </c>
      <c r="P30" s="2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0" s="286"/>
      <c r="R30" s="286"/>
      <c r="S30" s="286"/>
      <c r="T30" s="287"/>
      <c r="U30" s="34"/>
      <c r="V30" s="34"/>
      <c r="W30" s="35" t="s">
        <v>70</v>
      </c>
      <c r="X30" s="270">
        <v>0</v>
      </c>
      <c r="Y30" s="27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81</v>
      </c>
      <c r="AG30" s="67"/>
      <c r="AJ30" s="71" t="s">
        <v>86</v>
      </c>
      <c r="AK30" s="71">
        <v>14</v>
      </c>
      <c r="BB30" s="79" t="s">
        <v>82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289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90"/>
      <c r="P31" s="276" t="s">
        <v>73</v>
      </c>
      <c r="Q31" s="277"/>
      <c r="R31" s="277"/>
      <c r="S31" s="277"/>
      <c r="T31" s="277"/>
      <c r="U31" s="277"/>
      <c r="V31" s="278"/>
      <c r="W31" s="37" t="s">
        <v>70</v>
      </c>
      <c r="X31" s="272">
        <f>IFERROR(SUM(X28:X30),"0")</f>
        <v>14</v>
      </c>
      <c r="Y31" s="272">
        <f>IFERROR(SUM(Y28:Y30),"0")</f>
        <v>14</v>
      </c>
      <c r="Z31" s="272">
        <f>IFERROR(IF(Z28="",0,Z28),"0")+IFERROR(IF(Z29="",0,Z29),"0")+IFERROR(IF(Z30="",0,Z30),"0")</f>
        <v>0.13174</v>
      </c>
      <c r="AA31" s="273"/>
      <c r="AB31" s="273"/>
      <c r="AC31" s="273"/>
    </row>
    <row r="32" spans="1:68" x14ac:dyDescent="0.2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90"/>
      <c r="P32" s="276" t="s">
        <v>73</v>
      </c>
      <c r="Q32" s="277"/>
      <c r="R32" s="277"/>
      <c r="S32" s="277"/>
      <c r="T32" s="277"/>
      <c r="U32" s="277"/>
      <c r="V32" s="278"/>
      <c r="W32" s="37" t="s">
        <v>74</v>
      </c>
      <c r="X32" s="272">
        <f>IFERROR(SUMPRODUCT(X28:X30*H28:H30),"0")</f>
        <v>21</v>
      </c>
      <c r="Y32" s="272">
        <f>IFERROR(SUMPRODUCT(Y28:Y30*H28:H30),"0")</f>
        <v>21</v>
      </c>
      <c r="Z32" s="37"/>
      <c r="AA32" s="273"/>
      <c r="AB32" s="273"/>
      <c r="AC32" s="273"/>
    </row>
    <row r="33" spans="1:68" ht="16.5" hidden="1" customHeight="1" x14ac:dyDescent="0.25">
      <c r="A33" s="305" t="s">
        <v>89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5"/>
      <c r="AB33" s="265"/>
      <c r="AC33" s="265"/>
    </row>
    <row r="34" spans="1:68" ht="14.25" hidden="1" customHeight="1" x14ac:dyDescent="0.25">
      <c r="A34" s="279" t="s">
        <v>64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64"/>
      <c r="AB34" s="264"/>
      <c r="AC34" s="264"/>
    </row>
    <row r="35" spans="1:68" ht="27" hidden="1" customHeight="1" x14ac:dyDescent="0.25">
      <c r="A35" s="54" t="s">
        <v>90</v>
      </c>
      <c r="B35" s="54" t="s">
        <v>91</v>
      </c>
      <c r="C35" s="31">
        <v>4301071090</v>
      </c>
      <c r="D35" s="274">
        <v>4620207490075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85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5" s="286"/>
      <c r="R35" s="286"/>
      <c r="S35" s="286"/>
      <c r="T35" s="287"/>
      <c r="U35" s="34"/>
      <c r="V35" s="34"/>
      <c r="W35" s="35" t="s">
        <v>70</v>
      </c>
      <c r="X35" s="270">
        <v>0</v>
      </c>
      <c r="Y35" s="27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86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4301071092</v>
      </c>
      <c r="D36" s="274">
        <v>4620207490174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85</v>
      </c>
      <c r="M36" s="33" t="s">
        <v>69</v>
      </c>
      <c r="N36" s="33"/>
      <c r="O36" s="32">
        <v>180</v>
      </c>
      <c r="P36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6" s="286"/>
      <c r="R36" s="286"/>
      <c r="S36" s="286"/>
      <c r="T36" s="287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86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hidden="1" customHeight="1" x14ac:dyDescent="0.25">
      <c r="A37" s="54" t="s">
        <v>96</v>
      </c>
      <c r="B37" s="54" t="s">
        <v>97</v>
      </c>
      <c r="C37" s="31">
        <v>4301071091</v>
      </c>
      <c r="D37" s="274">
        <v>4620207490044</v>
      </c>
      <c r="E37" s="275"/>
      <c r="F37" s="269">
        <v>0.7</v>
      </c>
      <c r="G37" s="32">
        <v>8</v>
      </c>
      <c r="H37" s="269">
        <v>5.6</v>
      </c>
      <c r="I37" s="269">
        <v>5.87</v>
      </c>
      <c r="J37" s="32">
        <v>84</v>
      </c>
      <c r="K37" s="32" t="s">
        <v>67</v>
      </c>
      <c r="L37" s="32" t="s">
        <v>85</v>
      </c>
      <c r="M37" s="33" t="s">
        <v>69</v>
      </c>
      <c r="N37" s="33"/>
      <c r="O37" s="32">
        <v>180</v>
      </c>
      <c r="P37" s="40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7" s="286"/>
      <c r="R37" s="286"/>
      <c r="S37" s="286"/>
      <c r="T37" s="287"/>
      <c r="U37" s="34"/>
      <c r="V37" s="34"/>
      <c r="W37" s="35" t="s">
        <v>70</v>
      </c>
      <c r="X37" s="270">
        <v>0</v>
      </c>
      <c r="Y37" s="271">
        <f>IFERROR(IF(X37="","",X37),"")</f>
        <v>0</v>
      </c>
      <c r="Z37" s="36">
        <f>IFERROR(IF(X37="","",X37*0.0155),"")</f>
        <v>0</v>
      </c>
      <c r="AA37" s="56"/>
      <c r="AB37" s="57"/>
      <c r="AC37" s="84" t="s">
        <v>98</v>
      </c>
      <c r="AG37" s="67"/>
      <c r="AJ37" s="71" t="s">
        <v>86</v>
      </c>
      <c r="AK37" s="71">
        <v>12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hidden="1" x14ac:dyDescent="0.2">
      <c r="A38" s="289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90"/>
      <c r="P38" s="276" t="s">
        <v>73</v>
      </c>
      <c r="Q38" s="277"/>
      <c r="R38" s="277"/>
      <c r="S38" s="277"/>
      <c r="T38" s="277"/>
      <c r="U38" s="277"/>
      <c r="V38" s="278"/>
      <c r="W38" s="37" t="s">
        <v>70</v>
      </c>
      <c r="X38" s="272">
        <f>IFERROR(SUM(X35:X37),"0")</f>
        <v>0</v>
      </c>
      <c r="Y38" s="272">
        <f>IFERROR(SUM(Y35:Y37),"0")</f>
        <v>0</v>
      </c>
      <c r="Z38" s="272">
        <f>IFERROR(IF(Z35="",0,Z35),"0")+IFERROR(IF(Z36="",0,Z36),"0")+IFERROR(IF(Z37="",0,Z37),"0")</f>
        <v>0</v>
      </c>
      <c r="AA38" s="273"/>
      <c r="AB38" s="273"/>
      <c r="AC38" s="273"/>
    </row>
    <row r="39" spans="1:68" hidden="1" x14ac:dyDescent="0.2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90"/>
      <c r="P39" s="276" t="s">
        <v>73</v>
      </c>
      <c r="Q39" s="277"/>
      <c r="R39" s="277"/>
      <c r="S39" s="277"/>
      <c r="T39" s="277"/>
      <c r="U39" s="277"/>
      <c r="V39" s="278"/>
      <c r="W39" s="37" t="s">
        <v>74</v>
      </c>
      <c r="X39" s="272">
        <f>IFERROR(SUMPRODUCT(X35:X37*H35:H37),"0")</f>
        <v>0</v>
      </c>
      <c r="Y39" s="272">
        <f>IFERROR(SUMPRODUCT(Y35:Y37*H35:H37),"0")</f>
        <v>0</v>
      </c>
      <c r="Z39" s="37"/>
      <c r="AA39" s="273"/>
      <c r="AB39" s="273"/>
      <c r="AC39" s="273"/>
    </row>
    <row r="40" spans="1:68" ht="16.5" hidden="1" customHeight="1" x14ac:dyDescent="0.25">
      <c r="A40" s="305" t="s">
        <v>99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5"/>
      <c r="AB40" s="265"/>
      <c r="AC40" s="265"/>
    </row>
    <row r="41" spans="1:68" ht="14.25" hidden="1" customHeight="1" x14ac:dyDescent="0.25">
      <c r="A41" s="279" t="s">
        <v>64</v>
      </c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64"/>
      <c r="AB41" s="264"/>
      <c r="AC41" s="264"/>
    </row>
    <row r="42" spans="1:68" ht="27" customHeight="1" x14ac:dyDescent="0.25">
      <c r="A42" s="54" t="s">
        <v>100</v>
      </c>
      <c r="B42" s="54" t="s">
        <v>101</v>
      </c>
      <c r="C42" s="31">
        <v>4301071044</v>
      </c>
      <c r="D42" s="274">
        <v>4607111039385</v>
      </c>
      <c r="E42" s="275"/>
      <c r="F42" s="269">
        <v>0.7</v>
      </c>
      <c r="G42" s="32">
        <v>10</v>
      </c>
      <c r="H42" s="269">
        <v>7</v>
      </c>
      <c r="I42" s="269">
        <v>7.3</v>
      </c>
      <c r="J42" s="32">
        <v>84</v>
      </c>
      <c r="K42" s="32" t="s">
        <v>67</v>
      </c>
      <c r="L42" s="32" t="s">
        <v>85</v>
      </c>
      <c r="M42" s="33" t="s">
        <v>69</v>
      </c>
      <c r="N42" s="33"/>
      <c r="O42" s="32">
        <v>180</v>
      </c>
      <c r="P42" s="34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2" s="286"/>
      <c r="R42" s="286"/>
      <c r="S42" s="286"/>
      <c r="T42" s="287"/>
      <c r="U42" s="34"/>
      <c r="V42" s="34"/>
      <c r="W42" s="35" t="s">
        <v>70</v>
      </c>
      <c r="X42" s="270">
        <v>36</v>
      </c>
      <c r="Y42" s="271">
        <f>IFERROR(IF(X42="","",X42),"")</f>
        <v>36</v>
      </c>
      <c r="Z42" s="36">
        <f>IFERROR(IF(X42="","",X42*0.0155),"")</f>
        <v>0.55800000000000005</v>
      </c>
      <c r="AA42" s="56"/>
      <c r="AB42" s="57"/>
      <c r="AC42" s="86" t="s">
        <v>102</v>
      </c>
      <c r="AG42" s="67"/>
      <c r="AJ42" s="71" t="s">
        <v>86</v>
      </c>
      <c r="AK42" s="71">
        <v>12</v>
      </c>
      <c r="BB42" s="87" t="s">
        <v>1</v>
      </c>
      <c r="BM42" s="67">
        <f>IFERROR(X42*I42,"0")</f>
        <v>262.8</v>
      </c>
      <c r="BN42" s="67">
        <f>IFERROR(Y42*I42,"0")</f>
        <v>262.8</v>
      </c>
      <c r="BO42" s="67">
        <f>IFERROR(X42/J42,"0")</f>
        <v>0.42857142857142855</v>
      </c>
      <c r="BP42" s="67">
        <f>IFERROR(Y42/J42,"0")</f>
        <v>0.42857142857142855</v>
      </c>
    </row>
    <row r="43" spans="1:68" ht="27" customHeight="1" x14ac:dyDescent="0.25">
      <c r="A43" s="54" t="s">
        <v>103</v>
      </c>
      <c r="B43" s="54" t="s">
        <v>104</v>
      </c>
      <c r="C43" s="31">
        <v>4301071031</v>
      </c>
      <c r="D43" s="274">
        <v>4607111038982</v>
      </c>
      <c r="E43" s="275"/>
      <c r="F43" s="269">
        <v>0.7</v>
      </c>
      <c r="G43" s="32">
        <v>10</v>
      </c>
      <c r="H43" s="269">
        <v>7</v>
      </c>
      <c r="I43" s="269">
        <v>7.2859999999999996</v>
      </c>
      <c r="J43" s="32">
        <v>84</v>
      </c>
      <c r="K43" s="32" t="s">
        <v>67</v>
      </c>
      <c r="L43" s="32" t="s">
        <v>85</v>
      </c>
      <c r="M43" s="33" t="s">
        <v>69</v>
      </c>
      <c r="N43" s="33"/>
      <c r="O43" s="32">
        <v>180</v>
      </c>
      <c r="P43" s="37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3" s="286"/>
      <c r="R43" s="286"/>
      <c r="S43" s="286"/>
      <c r="T43" s="287"/>
      <c r="U43" s="34"/>
      <c r="V43" s="34"/>
      <c r="W43" s="35" t="s">
        <v>70</v>
      </c>
      <c r="X43" s="270">
        <v>12</v>
      </c>
      <c r="Y43" s="271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86</v>
      </c>
      <c r="AK43" s="71">
        <v>12</v>
      </c>
      <c r="BB43" s="89" t="s">
        <v>1</v>
      </c>
      <c r="BM43" s="67">
        <f>IFERROR(X43*I43,"0")</f>
        <v>87.431999999999988</v>
      </c>
      <c r="BN43" s="67">
        <f>IFERROR(Y43*I43,"0")</f>
        <v>87.431999999999988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hidden="1" customHeight="1" x14ac:dyDescent="0.25">
      <c r="A44" s="54" t="s">
        <v>106</v>
      </c>
      <c r="B44" s="54" t="s">
        <v>107</v>
      </c>
      <c r="C44" s="31">
        <v>4301071046</v>
      </c>
      <c r="D44" s="274">
        <v>4607111039354</v>
      </c>
      <c r="E44" s="275"/>
      <c r="F44" s="269">
        <v>0.4</v>
      </c>
      <c r="G44" s="32">
        <v>16</v>
      </c>
      <c r="H44" s="269">
        <v>6.4</v>
      </c>
      <c r="I44" s="269">
        <v>6.7195999999999998</v>
      </c>
      <c r="J44" s="32">
        <v>84</v>
      </c>
      <c r="K44" s="32" t="s">
        <v>67</v>
      </c>
      <c r="L44" s="32" t="s">
        <v>85</v>
      </c>
      <c r="M44" s="33" t="s">
        <v>69</v>
      </c>
      <c r="N44" s="33"/>
      <c r="O44" s="32">
        <v>180</v>
      </c>
      <c r="P44" s="3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4" s="286"/>
      <c r="R44" s="286"/>
      <c r="S44" s="286"/>
      <c r="T44" s="287"/>
      <c r="U44" s="34"/>
      <c r="V44" s="34"/>
      <c r="W44" s="35" t="s">
        <v>70</v>
      </c>
      <c r="X44" s="270">
        <v>0</v>
      </c>
      <c r="Y44" s="271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86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t="27" hidden="1" customHeight="1" x14ac:dyDescent="0.25">
      <c r="A45" s="54" t="s">
        <v>108</v>
      </c>
      <c r="B45" s="54" t="s">
        <v>109</v>
      </c>
      <c r="C45" s="31">
        <v>4301071047</v>
      </c>
      <c r="D45" s="274">
        <v>4607111039330</v>
      </c>
      <c r="E45" s="275"/>
      <c r="F45" s="269">
        <v>0.7</v>
      </c>
      <c r="G45" s="32">
        <v>10</v>
      </c>
      <c r="H45" s="269">
        <v>7</v>
      </c>
      <c r="I45" s="269">
        <v>7.3</v>
      </c>
      <c r="J45" s="32">
        <v>84</v>
      </c>
      <c r="K45" s="32" t="s">
        <v>67</v>
      </c>
      <c r="L45" s="32" t="s">
        <v>85</v>
      </c>
      <c r="M45" s="33" t="s">
        <v>69</v>
      </c>
      <c r="N45" s="33"/>
      <c r="O45" s="32">
        <v>180</v>
      </c>
      <c r="P45" s="4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86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89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90"/>
      <c r="P46" s="276" t="s">
        <v>73</v>
      </c>
      <c r="Q46" s="277"/>
      <c r="R46" s="277"/>
      <c r="S46" s="277"/>
      <c r="T46" s="277"/>
      <c r="U46" s="277"/>
      <c r="V46" s="278"/>
      <c r="W46" s="37" t="s">
        <v>70</v>
      </c>
      <c r="X46" s="272">
        <f>IFERROR(SUM(X42:X45),"0")</f>
        <v>48</v>
      </c>
      <c r="Y46" s="272">
        <f>IFERROR(SUM(Y42:Y45),"0")</f>
        <v>48</v>
      </c>
      <c r="Z46" s="272">
        <f>IFERROR(IF(Z42="",0,Z42),"0")+IFERROR(IF(Z43="",0,Z43),"0")+IFERROR(IF(Z44="",0,Z44),"0")+IFERROR(IF(Z45="",0,Z45),"0")</f>
        <v>0.74399999999999999</v>
      </c>
      <c r="AA46" s="273"/>
      <c r="AB46" s="273"/>
      <c r="AC46" s="273"/>
    </row>
    <row r="47" spans="1:68" x14ac:dyDescent="0.2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90"/>
      <c r="P47" s="276" t="s">
        <v>73</v>
      </c>
      <c r="Q47" s="277"/>
      <c r="R47" s="277"/>
      <c r="S47" s="277"/>
      <c r="T47" s="277"/>
      <c r="U47" s="277"/>
      <c r="V47" s="278"/>
      <c r="W47" s="37" t="s">
        <v>74</v>
      </c>
      <c r="X47" s="272">
        <f>IFERROR(SUMPRODUCT(X42:X45*H42:H45),"0")</f>
        <v>336</v>
      </c>
      <c r="Y47" s="272">
        <f>IFERROR(SUMPRODUCT(Y42:Y45*H42:H45),"0")</f>
        <v>336</v>
      </c>
      <c r="Z47" s="37"/>
      <c r="AA47" s="273"/>
      <c r="AB47" s="273"/>
      <c r="AC47" s="273"/>
    </row>
    <row r="48" spans="1:68" ht="16.5" hidden="1" customHeight="1" x14ac:dyDescent="0.25">
      <c r="A48" s="305" t="s">
        <v>110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5"/>
      <c r="AB48" s="265"/>
      <c r="AC48" s="265"/>
    </row>
    <row r="49" spans="1:68" ht="14.25" hidden="1" customHeight="1" x14ac:dyDescent="0.25">
      <c r="A49" s="279" t="s">
        <v>64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64"/>
      <c r="AB49" s="264"/>
      <c r="AC49" s="264"/>
    </row>
    <row r="50" spans="1:68" ht="16.5" hidden="1" customHeight="1" x14ac:dyDescent="0.25">
      <c r="A50" s="54" t="s">
        <v>111</v>
      </c>
      <c r="B50" s="54" t="s">
        <v>112</v>
      </c>
      <c r="C50" s="31">
        <v>4301071073</v>
      </c>
      <c r="D50" s="274">
        <v>4620207490822</v>
      </c>
      <c r="E50" s="275"/>
      <c r="F50" s="269">
        <v>0.43</v>
      </c>
      <c r="G50" s="32">
        <v>8</v>
      </c>
      <c r="H50" s="269">
        <v>3.44</v>
      </c>
      <c r="I50" s="269">
        <v>3.64</v>
      </c>
      <c r="J50" s="32">
        <v>144</v>
      </c>
      <c r="K50" s="32" t="s">
        <v>67</v>
      </c>
      <c r="L50" s="32" t="s">
        <v>68</v>
      </c>
      <c r="M50" s="33" t="s">
        <v>69</v>
      </c>
      <c r="N50" s="33"/>
      <c r="O50" s="32">
        <v>365</v>
      </c>
      <c r="P50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0" s="286"/>
      <c r="R50" s="286"/>
      <c r="S50" s="286"/>
      <c r="T50" s="287"/>
      <c r="U50" s="34"/>
      <c r="V50" s="34"/>
      <c r="W50" s="35" t="s">
        <v>70</v>
      </c>
      <c r="X50" s="270">
        <v>0</v>
      </c>
      <c r="Y50" s="271">
        <f>IFERROR(IF(X50="","",X50),"")</f>
        <v>0</v>
      </c>
      <c r="Z50" s="36">
        <f>IFERROR(IF(X50="","",X50*0.00866),"")</f>
        <v>0</v>
      </c>
      <c r="AA50" s="56"/>
      <c r="AB50" s="57"/>
      <c r="AC50" s="94" t="s">
        <v>113</v>
      </c>
      <c r="AG50" s="67"/>
      <c r="AJ50" s="71" t="s">
        <v>72</v>
      </c>
      <c r="AK50" s="71">
        <v>1</v>
      </c>
      <c r="BB50" s="95" t="s">
        <v>1</v>
      </c>
      <c r="BM50" s="67">
        <f>IFERROR(X50*I50,"0")</f>
        <v>0</v>
      </c>
      <c r="BN50" s="67">
        <f>IFERROR(Y50*I50,"0")</f>
        <v>0</v>
      </c>
      <c r="BO50" s="67">
        <f>IFERROR(X50/J50,"0")</f>
        <v>0</v>
      </c>
      <c r="BP50" s="67">
        <f>IFERROR(Y50/J50,"0")</f>
        <v>0</v>
      </c>
    </row>
    <row r="51" spans="1:68" hidden="1" x14ac:dyDescent="0.2">
      <c r="A51" s="289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90"/>
      <c r="P51" s="276" t="s">
        <v>73</v>
      </c>
      <c r="Q51" s="277"/>
      <c r="R51" s="277"/>
      <c r="S51" s="277"/>
      <c r="T51" s="277"/>
      <c r="U51" s="277"/>
      <c r="V51" s="278"/>
      <c r="W51" s="37" t="s">
        <v>70</v>
      </c>
      <c r="X51" s="272">
        <f>IFERROR(SUM(X50:X50),"0")</f>
        <v>0</v>
      </c>
      <c r="Y51" s="272">
        <f>IFERROR(SUM(Y50:Y50),"0")</f>
        <v>0</v>
      </c>
      <c r="Z51" s="272">
        <f>IFERROR(IF(Z50="",0,Z50),"0")</f>
        <v>0</v>
      </c>
      <c r="AA51" s="273"/>
      <c r="AB51" s="273"/>
      <c r="AC51" s="273"/>
    </row>
    <row r="52" spans="1:68" hidden="1" x14ac:dyDescent="0.2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90"/>
      <c r="P52" s="276" t="s">
        <v>73</v>
      </c>
      <c r="Q52" s="277"/>
      <c r="R52" s="277"/>
      <c r="S52" s="277"/>
      <c r="T52" s="277"/>
      <c r="U52" s="277"/>
      <c r="V52" s="278"/>
      <c r="W52" s="37" t="s">
        <v>74</v>
      </c>
      <c r="X52" s="272">
        <f>IFERROR(SUMPRODUCT(X50:X50*H50:H50),"0")</f>
        <v>0</v>
      </c>
      <c r="Y52" s="272">
        <f>IFERROR(SUMPRODUCT(Y50:Y50*H50:H50),"0")</f>
        <v>0</v>
      </c>
      <c r="Z52" s="37"/>
      <c r="AA52" s="273"/>
      <c r="AB52" s="273"/>
      <c r="AC52" s="273"/>
    </row>
    <row r="53" spans="1:68" ht="14.25" hidden="1" customHeight="1" x14ac:dyDescent="0.25">
      <c r="A53" s="279" t="s">
        <v>77</v>
      </c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64"/>
      <c r="AB53" s="264"/>
      <c r="AC53" s="264"/>
    </row>
    <row r="54" spans="1:68" ht="27" hidden="1" customHeight="1" x14ac:dyDescent="0.25">
      <c r="A54" s="54" t="s">
        <v>114</v>
      </c>
      <c r="B54" s="54" t="s">
        <v>115</v>
      </c>
      <c r="C54" s="31">
        <v>4301132194</v>
      </c>
      <c r="D54" s="274">
        <v>4607111039712</v>
      </c>
      <c r="E54" s="275"/>
      <c r="F54" s="269">
        <v>0.2</v>
      </c>
      <c r="G54" s="32">
        <v>6</v>
      </c>
      <c r="H54" s="269">
        <v>1.2</v>
      </c>
      <c r="I54" s="269">
        <v>1.56</v>
      </c>
      <c r="J54" s="32">
        <v>140</v>
      </c>
      <c r="K54" s="32" t="s">
        <v>80</v>
      </c>
      <c r="L54" s="32" t="s">
        <v>85</v>
      </c>
      <c r="M54" s="33" t="s">
        <v>69</v>
      </c>
      <c r="N54" s="33"/>
      <c r="O54" s="32">
        <v>365</v>
      </c>
      <c r="P5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70">
        <v>0</v>
      </c>
      <c r="Y54" s="271">
        <f>IFERROR(IF(X54="","",X54),"")</f>
        <v>0</v>
      </c>
      <c r="Z54" s="36">
        <f>IFERROR(IF(X54="","",X54*0.00941),"")</f>
        <v>0</v>
      </c>
      <c r="AA54" s="56"/>
      <c r="AB54" s="57"/>
      <c r="AC54" s="96" t="s">
        <v>116</v>
      </c>
      <c r="AG54" s="67"/>
      <c r="AJ54" s="71" t="s">
        <v>86</v>
      </c>
      <c r="AK54" s="71">
        <v>14</v>
      </c>
      <c r="BB54" s="97" t="s">
        <v>82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289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90"/>
      <c r="P55" s="276" t="s">
        <v>73</v>
      </c>
      <c r="Q55" s="277"/>
      <c r="R55" s="277"/>
      <c r="S55" s="277"/>
      <c r="T55" s="277"/>
      <c r="U55" s="277"/>
      <c r="V55" s="278"/>
      <c r="W55" s="37" t="s">
        <v>70</v>
      </c>
      <c r="X55" s="272">
        <f>IFERROR(SUM(X54:X54),"0")</f>
        <v>0</v>
      </c>
      <c r="Y55" s="272">
        <f>IFERROR(SUM(Y54:Y54),"0")</f>
        <v>0</v>
      </c>
      <c r="Z55" s="272">
        <f>IFERROR(IF(Z54="",0,Z54),"0")</f>
        <v>0</v>
      </c>
      <c r="AA55" s="273"/>
      <c r="AB55" s="273"/>
      <c r="AC55" s="273"/>
    </row>
    <row r="56" spans="1:68" hidden="1" x14ac:dyDescent="0.2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90"/>
      <c r="P56" s="276" t="s">
        <v>73</v>
      </c>
      <c r="Q56" s="277"/>
      <c r="R56" s="277"/>
      <c r="S56" s="277"/>
      <c r="T56" s="277"/>
      <c r="U56" s="277"/>
      <c r="V56" s="278"/>
      <c r="W56" s="37" t="s">
        <v>74</v>
      </c>
      <c r="X56" s="272">
        <f>IFERROR(SUMPRODUCT(X54:X54*H54:H54),"0")</f>
        <v>0</v>
      </c>
      <c r="Y56" s="272">
        <f>IFERROR(SUMPRODUCT(Y54:Y54*H54:H54),"0")</f>
        <v>0</v>
      </c>
      <c r="Z56" s="37"/>
      <c r="AA56" s="273"/>
      <c r="AB56" s="273"/>
      <c r="AC56" s="273"/>
    </row>
    <row r="57" spans="1:68" ht="14.25" hidden="1" customHeight="1" x14ac:dyDescent="0.25">
      <c r="A57" s="279" t="s">
        <v>117</v>
      </c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64"/>
      <c r="AB57" s="264"/>
      <c r="AC57" s="264"/>
    </row>
    <row r="58" spans="1:68" ht="16.5" hidden="1" customHeight="1" x14ac:dyDescent="0.25">
      <c r="A58" s="54" t="s">
        <v>118</v>
      </c>
      <c r="B58" s="54" t="s">
        <v>119</v>
      </c>
      <c r="C58" s="31">
        <v>4301136018</v>
      </c>
      <c r="D58" s="274">
        <v>4607111037008</v>
      </c>
      <c r="E58" s="275"/>
      <c r="F58" s="269">
        <v>0.36</v>
      </c>
      <c r="G58" s="32">
        <v>4</v>
      </c>
      <c r="H58" s="269">
        <v>1.44</v>
      </c>
      <c r="I58" s="269">
        <v>1.74</v>
      </c>
      <c r="J58" s="32">
        <v>140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8" s="286"/>
      <c r="R58" s="286"/>
      <c r="S58" s="286"/>
      <c r="T58" s="287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IFERROR(IF(X58="","",X58*0.00941),"")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hidden="1" customHeight="1" x14ac:dyDescent="0.25">
      <c r="A59" s="54" t="s">
        <v>121</v>
      </c>
      <c r="B59" s="54" t="s">
        <v>122</v>
      </c>
      <c r="C59" s="31">
        <v>4301136015</v>
      </c>
      <c r="D59" s="274">
        <v>4607111037398</v>
      </c>
      <c r="E59" s="275"/>
      <c r="F59" s="269">
        <v>0.09</v>
      </c>
      <c r="G59" s="32">
        <v>24</v>
      </c>
      <c r="H59" s="269">
        <v>2.16</v>
      </c>
      <c r="I59" s="269">
        <v>4.0199999999999996</v>
      </c>
      <c r="J59" s="32">
        <v>126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42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9" s="286"/>
      <c r="R59" s="286"/>
      <c r="S59" s="286"/>
      <c r="T59" s="287"/>
      <c r="U59" s="34"/>
      <c r="V59" s="34"/>
      <c r="W59" s="35" t="s">
        <v>70</v>
      </c>
      <c r="X59" s="270">
        <v>0</v>
      </c>
      <c r="Y59" s="271">
        <f>IFERROR(IF(X59="","",X59),"")</f>
        <v>0</v>
      </c>
      <c r="Z59" s="36">
        <f>IFERROR(IF(X59="","",X59*0.00936),"")</f>
        <v>0</v>
      </c>
      <c r="AA59" s="56"/>
      <c r="AB59" s="57"/>
      <c r="AC59" s="100" t="s">
        <v>120</v>
      </c>
      <c r="AG59" s="67"/>
      <c r="AJ59" s="71" t="s">
        <v>72</v>
      </c>
      <c r="AK59" s="71">
        <v>1</v>
      </c>
      <c r="BB59" s="101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idden="1" x14ac:dyDescent="0.2">
      <c r="A60" s="289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90"/>
      <c r="P60" s="276" t="s">
        <v>73</v>
      </c>
      <c r="Q60" s="277"/>
      <c r="R60" s="277"/>
      <c r="S60" s="277"/>
      <c r="T60" s="277"/>
      <c r="U60" s="277"/>
      <c r="V60" s="278"/>
      <c r="W60" s="37" t="s">
        <v>70</v>
      </c>
      <c r="X60" s="272">
        <f>IFERROR(SUM(X58:X59),"0")</f>
        <v>0</v>
      </c>
      <c r="Y60" s="272">
        <f>IFERROR(SUM(Y58:Y59),"0")</f>
        <v>0</v>
      </c>
      <c r="Z60" s="272">
        <f>IFERROR(IF(Z58="",0,Z58),"0")+IFERROR(IF(Z59="",0,Z59),"0")</f>
        <v>0</v>
      </c>
      <c r="AA60" s="273"/>
      <c r="AB60" s="273"/>
      <c r="AC60" s="273"/>
    </row>
    <row r="61" spans="1:68" hidden="1" x14ac:dyDescent="0.2">
      <c r="A61" s="280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90"/>
      <c r="P61" s="276" t="s">
        <v>73</v>
      </c>
      <c r="Q61" s="277"/>
      <c r="R61" s="277"/>
      <c r="S61" s="277"/>
      <c r="T61" s="277"/>
      <c r="U61" s="277"/>
      <c r="V61" s="278"/>
      <c r="W61" s="37" t="s">
        <v>74</v>
      </c>
      <c r="X61" s="272">
        <f>IFERROR(SUMPRODUCT(X58:X59*H58:H59),"0")</f>
        <v>0</v>
      </c>
      <c r="Y61" s="272">
        <f>IFERROR(SUMPRODUCT(Y58:Y59*H58:H59),"0")</f>
        <v>0</v>
      </c>
      <c r="Z61" s="37"/>
      <c r="AA61" s="273"/>
      <c r="AB61" s="273"/>
      <c r="AC61" s="273"/>
    </row>
    <row r="62" spans="1:68" ht="14.25" hidden="1" customHeight="1" x14ac:dyDescent="0.25">
      <c r="A62" s="279" t="s">
        <v>123</v>
      </c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64"/>
      <c r="AB62" s="264"/>
      <c r="AC62" s="264"/>
    </row>
    <row r="63" spans="1:68" ht="27" hidden="1" customHeight="1" x14ac:dyDescent="0.25">
      <c r="A63" s="54" t="s">
        <v>124</v>
      </c>
      <c r="B63" s="54" t="s">
        <v>125</v>
      </c>
      <c r="C63" s="31">
        <v>4301135664</v>
      </c>
      <c r="D63" s="274">
        <v>4607111039705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126</v>
      </c>
      <c r="M63" s="33" t="s">
        <v>69</v>
      </c>
      <c r="N63" s="33"/>
      <c r="O63" s="32">
        <v>365</v>
      </c>
      <c r="P63" s="36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70</v>
      </c>
      <c r="X63" s="270">
        <v>0</v>
      </c>
      <c r="Y63" s="271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120</v>
      </c>
      <c r="AG63" s="67"/>
      <c r="AJ63" s="71" t="s">
        <v>127</v>
      </c>
      <c r="AK63" s="71">
        <v>140</v>
      </c>
      <c r="BB63" s="103" t="s">
        <v>82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128</v>
      </c>
      <c r="B64" s="54" t="s">
        <v>129</v>
      </c>
      <c r="C64" s="31">
        <v>4301135665</v>
      </c>
      <c r="D64" s="274">
        <v>4607111039729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126</v>
      </c>
      <c r="M64" s="33" t="s">
        <v>69</v>
      </c>
      <c r="N64" s="33"/>
      <c r="O64" s="32">
        <v>365</v>
      </c>
      <c r="P64" s="43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130</v>
      </c>
      <c r="AG64" s="67"/>
      <c r="AJ64" s="71" t="s">
        <v>127</v>
      </c>
      <c r="AK64" s="71">
        <v>140</v>
      </c>
      <c r="BB64" s="105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27" hidden="1" customHeight="1" x14ac:dyDescent="0.25">
      <c r="A65" s="54" t="s">
        <v>131</v>
      </c>
      <c r="B65" s="54" t="s">
        <v>132</v>
      </c>
      <c r="C65" s="31">
        <v>4301135702</v>
      </c>
      <c r="D65" s="274">
        <v>4620207490228</v>
      </c>
      <c r="E65" s="275"/>
      <c r="F65" s="269">
        <v>0.2</v>
      </c>
      <c r="G65" s="32">
        <v>6</v>
      </c>
      <c r="H65" s="269">
        <v>1.2</v>
      </c>
      <c r="I65" s="269">
        <v>1.56</v>
      </c>
      <c r="J65" s="32">
        <v>140</v>
      </c>
      <c r="K65" s="32" t="s">
        <v>80</v>
      </c>
      <c r="L65" s="32" t="s">
        <v>126</v>
      </c>
      <c r="M65" s="33" t="s">
        <v>69</v>
      </c>
      <c r="N65" s="33"/>
      <c r="O65" s="32">
        <v>365</v>
      </c>
      <c r="P65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5" s="286"/>
      <c r="R65" s="286"/>
      <c r="S65" s="286"/>
      <c r="T65" s="287"/>
      <c r="U65" s="34"/>
      <c r="V65" s="34"/>
      <c r="W65" s="35" t="s">
        <v>70</v>
      </c>
      <c r="X65" s="270">
        <v>0</v>
      </c>
      <c r="Y65" s="271">
        <f>IFERROR(IF(X65="","",X65),"")</f>
        <v>0</v>
      </c>
      <c r="Z65" s="36">
        <f>IFERROR(IF(X65="","",X65*0.00941),"")</f>
        <v>0</v>
      </c>
      <c r="AA65" s="56"/>
      <c r="AB65" s="57"/>
      <c r="AC65" s="106" t="s">
        <v>130</v>
      </c>
      <c r="AG65" s="67"/>
      <c r="AJ65" s="71" t="s">
        <v>127</v>
      </c>
      <c r="AK65" s="71">
        <v>140</v>
      </c>
      <c r="BB65" s="107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9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90"/>
      <c r="P66" s="276" t="s">
        <v>73</v>
      </c>
      <c r="Q66" s="277"/>
      <c r="R66" s="277"/>
      <c r="S66" s="277"/>
      <c r="T66" s="277"/>
      <c r="U66" s="277"/>
      <c r="V66" s="278"/>
      <c r="W66" s="37" t="s">
        <v>70</v>
      </c>
      <c r="X66" s="272">
        <f>IFERROR(SUM(X63:X65),"0")</f>
        <v>0</v>
      </c>
      <c r="Y66" s="272">
        <f>IFERROR(SUM(Y63:Y65),"0")</f>
        <v>0</v>
      </c>
      <c r="Z66" s="272">
        <f>IFERROR(IF(Z63="",0,Z63),"0")+IFERROR(IF(Z64="",0,Z64),"0")+IFERROR(IF(Z65="",0,Z65),"0")</f>
        <v>0</v>
      </c>
      <c r="AA66" s="273"/>
      <c r="AB66" s="273"/>
      <c r="AC66" s="273"/>
    </row>
    <row r="67" spans="1:68" hidden="1" x14ac:dyDescent="0.2">
      <c r="A67" s="280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90"/>
      <c r="P67" s="276" t="s">
        <v>73</v>
      </c>
      <c r="Q67" s="277"/>
      <c r="R67" s="277"/>
      <c r="S67" s="277"/>
      <c r="T67" s="277"/>
      <c r="U67" s="277"/>
      <c r="V67" s="278"/>
      <c r="W67" s="37" t="s">
        <v>74</v>
      </c>
      <c r="X67" s="272">
        <f>IFERROR(SUMPRODUCT(X63:X65*H63:H65),"0")</f>
        <v>0</v>
      </c>
      <c r="Y67" s="272">
        <f>IFERROR(SUMPRODUCT(Y63:Y65*H63:H65),"0")</f>
        <v>0</v>
      </c>
      <c r="Z67" s="37"/>
      <c r="AA67" s="273"/>
      <c r="AB67" s="273"/>
      <c r="AC67" s="273"/>
    </row>
    <row r="68" spans="1:68" ht="16.5" hidden="1" customHeight="1" x14ac:dyDescent="0.25">
      <c r="A68" s="305" t="s">
        <v>133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5"/>
      <c r="AB68" s="265"/>
      <c r="AC68" s="265"/>
    </row>
    <row r="69" spans="1:68" ht="14.25" hidden="1" customHeight="1" x14ac:dyDescent="0.25">
      <c r="A69" s="279" t="s">
        <v>64</v>
      </c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64"/>
      <c r="AB69" s="264"/>
      <c r="AC69" s="264"/>
    </row>
    <row r="70" spans="1:68" ht="27" hidden="1" customHeight="1" x14ac:dyDescent="0.25">
      <c r="A70" s="54" t="s">
        <v>134</v>
      </c>
      <c r="B70" s="54" t="s">
        <v>135</v>
      </c>
      <c r="C70" s="31">
        <v>4301070977</v>
      </c>
      <c r="D70" s="274">
        <v>4607111037411</v>
      </c>
      <c r="E70" s="275"/>
      <c r="F70" s="269">
        <v>2.7</v>
      </c>
      <c r="G70" s="32">
        <v>1</v>
      </c>
      <c r="H70" s="269">
        <v>2.7</v>
      </c>
      <c r="I70" s="269">
        <v>2.8132000000000001</v>
      </c>
      <c r="J70" s="32">
        <v>234</v>
      </c>
      <c r="K70" s="32" t="s">
        <v>136</v>
      </c>
      <c r="L70" s="32" t="s">
        <v>85</v>
      </c>
      <c r="M70" s="33" t="s">
        <v>69</v>
      </c>
      <c r="N70" s="33"/>
      <c r="O70" s="32">
        <v>180</v>
      </c>
      <c r="P70" s="45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286"/>
      <c r="R70" s="286"/>
      <c r="S70" s="286"/>
      <c r="T70" s="287"/>
      <c r="U70" s="34"/>
      <c r="V70" s="34"/>
      <c r="W70" s="35" t="s">
        <v>70</v>
      </c>
      <c r="X70" s="270">
        <v>0</v>
      </c>
      <c r="Y70" s="271">
        <f>IFERROR(IF(X70="","",X70),"")</f>
        <v>0</v>
      </c>
      <c r="Z70" s="36">
        <f>IFERROR(IF(X70="","",X70*0.00502),"")</f>
        <v>0</v>
      </c>
      <c r="AA70" s="56"/>
      <c r="AB70" s="57"/>
      <c r="AC70" s="108" t="s">
        <v>137</v>
      </c>
      <c r="AG70" s="67"/>
      <c r="AJ70" s="71" t="s">
        <v>86</v>
      </c>
      <c r="AK70" s="71">
        <v>18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1">
        <v>4301070981</v>
      </c>
      <c r="D71" s="274">
        <v>4607111036728</v>
      </c>
      <c r="E71" s="275"/>
      <c r="F71" s="269">
        <v>5</v>
      </c>
      <c r="G71" s="32">
        <v>1</v>
      </c>
      <c r="H71" s="269">
        <v>5</v>
      </c>
      <c r="I71" s="269">
        <v>5.2131999999999996</v>
      </c>
      <c r="J71" s="32">
        <v>144</v>
      </c>
      <c r="K71" s="32" t="s">
        <v>67</v>
      </c>
      <c r="L71" s="32" t="s">
        <v>85</v>
      </c>
      <c r="M71" s="33" t="s">
        <v>69</v>
      </c>
      <c r="N71" s="33"/>
      <c r="O71" s="32">
        <v>180</v>
      </c>
      <c r="P71" s="45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286"/>
      <c r="R71" s="286"/>
      <c r="S71" s="286"/>
      <c r="T71" s="287"/>
      <c r="U71" s="34"/>
      <c r="V71" s="34"/>
      <c r="W71" s="35" t="s">
        <v>70</v>
      </c>
      <c r="X71" s="270">
        <v>36</v>
      </c>
      <c r="Y71" s="271">
        <f>IFERROR(IF(X71="","",X71),"")</f>
        <v>36</v>
      </c>
      <c r="Z71" s="36">
        <f>IFERROR(IF(X71="","",X71*0.00866),"")</f>
        <v>0.31175999999999998</v>
      </c>
      <c r="AA71" s="56"/>
      <c r="AB71" s="57"/>
      <c r="AC71" s="110" t="s">
        <v>137</v>
      </c>
      <c r="AG71" s="67"/>
      <c r="AJ71" s="71" t="s">
        <v>86</v>
      </c>
      <c r="AK71" s="71">
        <v>12</v>
      </c>
      <c r="BB71" s="111" t="s">
        <v>1</v>
      </c>
      <c r="BM71" s="67">
        <f>IFERROR(X71*I71,"0")</f>
        <v>187.67519999999999</v>
      </c>
      <c r="BN71" s="67">
        <f>IFERROR(Y71*I71,"0")</f>
        <v>187.67519999999999</v>
      </c>
      <c r="BO71" s="67">
        <f>IFERROR(X71/J71,"0")</f>
        <v>0.25</v>
      </c>
      <c r="BP71" s="67">
        <f>IFERROR(Y71/J71,"0")</f>
        <v>0.25</v>
      </c>
    </row>
    <row r="72" spans="1:68" x14ac:dyDescent="0.2">
      <c r="A72" s="289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90"/>
      <c r="P72" s="276" t="s">
        <v>73</v>
      </c>
      <c r="Q72" s="277"/>
      <c r="R72" s="277"/>
      <c r="S72" s="277"/>
      <c r="T72" s="277"/>
      <c r="U72" s="277"/>
      <c r="V72" s="278"/>
      <c r="W72" s="37" t="s">
        <v>70</v>
      </c>
      <c r="X72" s="272">
        <f>IFERROR(SUM(X70:X71),"0")</f>
        <v>36</v>
      </c>
      <c r="Y72" s="272">
        <f>IFERROR(SUM(Y70:Y71),"0")</f>
        <v>36</v>
      </c>
      <c r="Z72" s="272">
        <f>IFERROR(IF(Z70="",0,Z70),"0")+IFERROR(IF(Z71="",0,Z71),"0")</f>
        <v>0.31175999999999998</v>
      </c>
      <c r="AA72" s="273"/>
      <c r="AB72" s="273"/>
      <c r="AC72" s="273"/>
    </row>
    <row r="73" spans="1:68" x14ac:dyDescent="0.2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90"/>
      <c r="P73" s="276" t="s">
        <v>73</v>
      </c>
      <c r="Q73" s="277"/>
      <c r="R73" s="277"/>
      <c r="S73" s="277"/>
      <c r="T73" s="277"/>
      <c r="U73" s="277"/>
      <c r="V73" s="278"/>
      <c r="W73" s="37" t="s">
        <v>74</v>
      </c>
      <c r="X73" s="272">
        <f>IFERROR(SUMPRODUCT(X70:X71*H70:H71),"0")</f>
        <v>180</v>
      </c>
      <c r="Y73" s="272">
        <f>IFERROR(SUMPRODUCT(Y70:Y71*H70:H71),"0")</f>
        <v>180</v>
      </c>
      <c r="Z73" s="37"/>
      <c r="AA73" s="273"/>
      <c r="AB73" s="273"/>
      <c r="AC73" s="273"/>
    </row>
    <row r="74" spans="1:68" ht="16.5" hidden="1" customHeight="1" x14ac:dyDescent="0.25">
      <c r="A74" s="305" t="s">
        <v>140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5"/>
      <c r="AB74" s="265"/>
      <c r="AC74" s="265"/>
    </row>
    <row r="75" spans="1:68" ht="14.25" hidden="1" customHeight="1" x14ac:dyDescent="0.25">
      <c r="A75" s="279" t="s">
        <v>123</v>
      </c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64"/>
      <c r="AB75" s="264"/>
      <c r="AC75" s="264"/>
    </row>
    <row r="76" spans="1:68" ht="27" hidden="1" customHeight="1" x14ac:dyDescent="0.25">
      <c r="A76" s="54" t="s">
        <v>141</v>
      </c>
      <c r="B76" s="54" t="s">
        <v>142</v>
      </c>
      <c r="C76" s="31">
        <v>4301135574</v>
      </c>
      <c r="D76" s="274">
        <v>4607111033659</v>
      </c>
      <c r="E76" s="275"/>
      <c r="F76" s="269">
        <v>0.3</v>
      </c>
      <c r="G76" s="32">
        <v>12</v>
      </c>
      <c r="H76" s="269">
        <v>3.6</v>
      </c>
      <c r="I76" s="269">
        <v>4.3036000000000003</v>
      </c>
      <c r="J76" s="32">
        <v>70</v>
      </c>
      <c r="K76" s="32" t="s">
        <v>80</v>
      </c>
      <c r="L76" s="32" t="s">
        <v>85</v>
      </c>
      <c r="M76" s="33" t="s">
        <v>69</v>
      </c>
      <c r="N76" s="33"/>
      <c r="O76" s="32">
        <v>180</v>
      </c>
      <c r="P76" s="3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6" s="286"/>
      <c r="R76" s="286"/>
      <c r="S76" s="286"/>
      <c r="T76" s="287"/>
      <c r="U76" s="34"/>
      <c r="V76" s="34"/>
      <c r="W76" s="35" t="s">
        <v>70</v>
      </c>
      <c r="X76" s="270">
        <v>0</v>
      </c>
      <c r="Y76" s="271">
        <f>IFERROR(IF(X76="","",X76),"")</f>
        <v>0</v>
      </c>
      <c r="Z76" s="36">
        <f>IFERROR(IF(X76="","",X76*0.01788),"")</f>
        <v>0</v>
      </c>
      <c r="AA76" s="56"/>
      <c r="AB76" s="57"/>
      <c r="AC76" s="112" t="s">
        <v>143</v>
      </c>
      <c r="AG76" s="67"/>
      <c r="AJ76" s="71" t="s">
        <v>86</v>
      </c>
      <c r="AK76" s="71">
        <v>14</v>
      </c>
      <c r="BB76" s="113" t="s">
        <v>82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idden="1" x14ac:dyDescent="0.2">
      <c r="A77" s="289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90"/>
      <c r="P77" s="276" t="s">
        <v>73</v>
      </c>
      <c r="Q77" s="277"/>
      <c r="R77" s="277"/>
      <c r="S77" s="277"/>
      <c r="T77" s="277"/>
      <c r="U77" s="277"/>
      <c r="V77" s="278"/>
      <c r="W77" s="37" t="s">
        <v>70</v>
      </c>
      <c r="X77" s="272">
        <f>IFERROR(SUM(X76:X76),"0")</f>
        <v>0</v>
      </c>
      <c r="Y77" s="272">
        <f>IFERROR(SUM(Y76:Y76),"0")</f>
        <v>0</v>
      </c>
      <c r="Z77" s="272">
        <f>IFERROR(IF(Z76="",0,Z76),"0")</f>
        <v>0</v>
      </c>
      <c r="AA77" s="273"/>
      <c r="AB77" s="273"/>
      <c r="AC77" s="273"/>
    </row>
    <row r="78" spans="1:68" hidden="1" x14ac:dyDescent="0.2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90"/>
      <c r="P78" s="276" t="s">
        <v>73</v>
      </c>
      <c r="Q78" s="277"/>
      <c r="R78" s="277"/>
      <c r="S78" s="277"/>
      <c r="T78" s="277"/>
      <c r="U78" s="277"/>
      <c r="V78" s="278"/>
      <c r="W78" s="37" t="s">
        <v>74</v>
      </c>
      <c r="X78" s="272">
        <f>IFERROR(SUMPRODUCT(X76:X76*H76:H76),"0")</f>
        <v>0</v>
      </c>
      <c r="Y78" s="272">
        <f>IFERROR(SUMPRODUCT(Y76:Y76*H76:H76),"0")</f>
        <v>0</v>
      </c>
      <c r="Z78" s="37"/>
      <c r="AA78" s="273"/>
      <c r="AB78" s="273"/>
      <c r="AC78" s="273"/>
    </row>
    <row r="79" spans="1:68" ht="16.5" hidden="1" customHeight="1" x14ac:dyDescent="0.25">
      <c r="A79" s="305" t="s">
        <v>144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5"/>
      <c r="AB79" s="265"/>
      <c r="AC79" s="265"/>
    </row>
    <row r="80" spans="1:68" ht="14.25" hidden="1" customHeight="1" x14ac:dyDescent="0.25">
      <c r="A80" s="279" t="s">
        <v>145</v>
      </c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64"/>
      <c r="AB80" s="264"/>
      <c r="AC80" s="264"/>
    </row>
    <row r="81" spans="1:68" ht="27" customHeight="1" x14ac:dyDescent="0.25">
      <c r="A81" s="54" t="s">
        <v>146</v>
      </c>
      <c r="B81" s="54" t="s">
        <v>147</v>
      </c>
      <c r="C81" s="31">
        <v>4301131047</v>
      </c>
      <c r="D81" s="274">
        <v>4607111034120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85</v>
      </c>
      <c r="M81" s="33" t="s">
        <v>69</v>
      </c>
      <c r="N81" s="33"/>
      <c r="O81" s="32">
        <v>180</v>
      </c>
      <c r="P81" s="2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70</v>
      </c>
      <c r="X81" s="270">
        <v>14</v>
      </c>
      <c r="Y81" s="271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148</v>
      </c>
      <c r="AG81" s="67"/>
      <c r="AJ81" s="71" t="s">
        <v>86</v>
      </c>
      <c r="AK81" s="71">
        <v>14</v>
      </c>
      <c r="BB81" s="115" t="s">
        <v>82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ht="27" hidden="1" customHeight="1" x14ac:dyDescent="0.25">
      <c r="A82" s="54" t="s">
        <v>149</v>
      </c>
      <c r="B82" s="54" t="s">
        <v>150</v>
      </c>
      <c r="C82" s="31">
        <v>4301131046</v>
      </c>
      <c r="D82" s="274">
        <v>4607111034137</v>
      </c>
      <c r="E82" s="275"/>
      <c r="F82" s="269">
        <v>0.3</v>
      </c>
      <c r="G82" s="32">
        <v>12</v>
      </c>
      <c r="H82" s="269">
        <v>3.6</v>
      </c>
      <c r="I82" s="269">
        <v>4.3036000000000003</v>
      </c>
      <c r="J82" s="32">
        <v>70</v>
      </c>
      <c r="K82" s="32" t="s">
        <v>80</v>
      </c>
      <c r="L82" s="32" t="s">
        <v>85</v>
      </c>
      <c r="M82" s="33" t="s">
        <v>69</v>
      </c>
      <c r="N82" s="33"/>
      <c r="O82" s="32">
        <v>180</v>
      </c>
      <c r="P82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70</v>
      </c>
      <c r="X82" s="270">
        <v>0</v>
      </c>
      <c r="Y82" s="271">
        <f>IFERROR(IF(X82="","",X82),"")</f>
        <v>0</v>
      </c>
      <c r="Z82" s="36">
        <f>IFERROR(IF(X82="","",X82*0.01788),"")</f>
        <v>0</v>
      </c>
      <c r="AA82" s="56"/>
      <c r="AB82" s="57"/>
      <c r="AC82" s="116" t="s">
        <v>151</v>
      </c>
      <c r="AG82" s="67"/>
      <c r="AJ82" s="71" t="s">
        <v>86</v>
      </c>
      <c r="AK82" s="71">
        <v>14</v>
      </c>
      <c r="BB82" s="117" t="s">
        <v>82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x14ac:dyDescent="0.2">
      <c r="A83" s="289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90"/>
      <c r="P83" s="276" t="s">
        <v>73</v>
      </c>
      <c r="Q83" s="277"/>
      <c r="R83" s="277"/>
      <c r="S83" s="277"/>
      <c r="T83" s="277"/>
      <c r="U83" s="277"/>
      <c r="V83" s="278"/>
      <c r="W83" s="37" t="s">
        <v>70</v>
      </c>
      <c r="X83" s="272">
        <f>IFERROR(SUM(X81:X82),"0")</f>
        <v>14</v>
      </c>
      <c r="Y83" s="272">
        <f>IFERROR(SUM(Y81:Y82),"0")</f>
        <v>14</v>
      </c>
      <c r="Z83" s="272">
        <f>IFERROR(IF(Z81="",0,Z81),"0")+IFERROR(IF(Z82="",0,Z82),"0")</f>
        <v>0.25031999999999999</v>
      </c>
      <c r="AA83" s="273"/>
      <c r="AB83" s="273"/>
      <c r="AC83" s="273"/>
    </row>
    <row r="84" spans="1:68" x14ac:dyDescent="0.2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90"/>
      <c r="P84" s="276" t="s">
        <v>73</v>
      </c>
      <c r="Q84" s="277"/>
      <c r="R84" s="277"/>
      <c r="S84" s="277"/>
      <c r="T84" s="277"/>
      <c r="U84" s="277"/>
      <c r="V84" s="278"/>
      <c r="W84" s="37" t="s">
        <v>74</v>
      </c>
      <c r="X84" s="272">
        <f>IFERROR(SUMPRODUCT(X81:X82*H81:H82),"0")</f>
        <v>50.4</v>
      </c>
      <c r="Y84" s="272">
        <f>IFERROR(SUMPRODUCT(Y81:Y82*H81:H82),"0")</f>
        <v>50.4</v>
      </c>
      <c r="Z84" s="37"/>
      <c r="AA84" s="273"/>
      <c r="AB84" s="273"/>
      <c r="AC84" s="273"/>
    </row>
    <row r="85" spans="1:68" ht="16.5" hidden="1" customHeight="1" x14ac:dyDescent="0.25">
      <c r="A85" s="305" t="s">
        <v>152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5"/>
      <c r="AB85" s="265"/>
      <c r="AC85" s="265"/>
    </row>
    <row r="86" spans="1:68" ht="14.25" hidden="1" customHeight="1" x14ac:dyDescent="0.25">
      <c r="A86" s="279" t="s">
        <v>123</v>
      </c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64"/>
      <c r="AB86" s="264"/>
      <c r="AC86" s="264"/>
    </row>
    <row r="87" spans="1:68" ht="27" hidden="1" customHeight="1" x14ac:dyDescent="0.25">
      <c r="A87" s="54" t="s">
        <v>153</v>
      </c>
      <c r="B87" s="54" t="s">
        <v>154</v>
      </c>
      <c r="C87" s="31">
        <v>4301135763</v>
      </c>
      <c r="D87" s="274">
        <v>4620207491027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85</v>
      </c>
      <c r="M87" s="33" t="s">
        <v>69</v>
      </c>
      <c r="N87" s="33"/>
      <c r="O87" s="32">
        <v>180</v>
      </c>
      <c r="P87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70</v>
      </c>
      <c r="X87" s="270">
        <v>0</v>
      </c>
      <c r="Y87" s="271">
        <f t="shared" ref="Y87:Y92" si="0">IFERROR(IF(X87="","",X87),"")</f>
        <v>0</v>
      </c>
      <c r="Z87" s="36">
        <f t="shared" ref="Z87:Z92" si="1">IFERROR(IF(X87="","",X87*0.01788),"")</f>
        <v>0</v>
      </c>
      <c r="AA87" s="56"/>
      <c r="AB87" s="57"/>
      <c r="AC87" s="118" t="s">
        <v>143</v>
      </c>
      <c r="AG87" s="67"/>
      <c r="AJ87" s="71" t="s">
        <v>86</v>
      </c>
      <c r="AK87" s="71">
        <v>14</v>
      </c>
      <c r="BB87" s="119" t="s">
        <v>82</v>
      </c>
      <c r="BM87" s="67">
        <f t="shared" ref="BM87:BM92" si="2">IFERROR(X87*I87,"0")</f>
        <v>0</v>
      </c>
      <c r="BN87" s="67">
        <f t="shared" ref="BN87:BN92" si="3">IFERROR(Y87*I87,"0")</f>
        <v>0</v>
      </c>
      <c r="BO87" s="67">
        <f t="shared" ref="BO87:BO92" si="4">IFERROR(X87/J87,"0")</f>
        <v>0</v>
      </c>
      <c r="BP87" s="67">
        <f t="shared" ref="BP87:BP92" si="5">IFERROR(Y87/J87,"0")</f>
        <v>0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4301135793</v>
      </c>
      <c r="D88" s="274">
        <v>4620207491003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85</v>
      </c>
      <c r="M88" s="33" t="s">
        <v>69</v>
      </c>
      <c r="N88" s="33"/>
      <c r="O88" s="32">
        <v>180</v>
      </c>
      <c r="P88" s="39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143</v>
      </c>
      <c r="AG88" s="67"/>
      <c r="AJ88" s="71" t="s">
        <v>86</v>
      </c>
      <c r="AK88" s="71">
        <v>14</v>
      </c>
      <c r="BB88" s="121" t="s">
        <v>82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hidden="1" customHeight="1" x14ac:dyDescent="0.25">
      <c r="A89" s="54" t="s">
        <v>157</v>
      </c>
      <c r="B89" s="54" t="s">
        <v>158</v>
      </c>
      <c r="C89" s="31">
        <v>4301135768</v>
      </c>
      <c r="D89" s="274">
        <v>4620207491034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85</v>
      </c>
      <c r="M89" s="33" t="s">
        <v>69</v>
      </c>
      <c r="N89" s="33"/>
      <c r="O89" s="32">
        <v>180</v>
      </c>
      <c r="P89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70</v>
      </c>
      <c r="X89" s="270">
        <v>0</v>
      </c>
      <c r="Y89" s="271">
        <f t="shared" si="0"/>
        <v>0</v>
      </c>
      <c r="Z89" s="36">
        <f t="shared" si="1"/>
        <v>0</v>
      </c>
      <c r="AA89" s="56"/>
      <c r="AB89" s="57"/>
      <c r="AC89" s="122" t="s">
        <v>159</v>
      </c>
      <c r="AG89" s="67"/>
      <c r="AJ89" s="71" t="s">
        <v>86</v>
      </c>
      <c r="AK89" s="71">
        <v>14</v>
      </c>
      <c r="BB89" s="123" t="s">
        <v>82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160</v>
      </c>
      <c r="B90" s="54" t="s">
        <v>161</v>
      </c>
      <c r="C90" s="31">
        <v>4301135760</v>
      </c>
      <c r="D90" s="274">
        <v>4620207491010</v>
      </c>
      <c r="E90" s="275"/>
      <c r="F90" s="269">
        <v>0.24</v>
      </c>
      <c r="G90" s="32">
        <v>12</v>
      </c>
      <c r="H90" s="269">
        <v>2.88</v>
      </c>
      <c r="I90" s="269">
        <v>3.5836000000000001</v>
      </c>
      <c r="J90" s="32">
        <v>70</v>
      </c>
      <c r="K90" s="32" t="s">
        <v>80</v>
      </c>
      <c r="L90" s="32" t="s">
        <v>85</v>
      </c>
      <c r="M90" s="33" t="s">
        <v>69</v>
      </c>
      <c r="N90" s="33"/>
      <c r="O90" s="32">
        <v>180</v>
      </c>
      <c r="P90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286"/>
      <c r="R90" s="286"/>
      <c r="S90" s="286"/>
      <c r="T90" s="287"/>
      <c r="U90" s="34"/>
      <c r="V90" s="34"/>
      <c r="W90" s="35" t="s">
        <v>70</v>
      </c>
      <c r="X90" s="270">
        <v>28</v>
      </c>
      <c r="Y90" s="271">
        <f t="shared" si="0"/>
        <v>28</v>
      </c>
      <c r="Z90" s="36">
        <f t="shared" si="1"/>
        <v>0.50063999999999997</v>
      </c>
      <c r="AA90" s="56"/>
      <c r="AB90" s="57"/>
      <c r="AC90" s="124" t="s">
        <v>143</v>
      </c>
      <c r="AG90" s="67"/>
      <c r="AJ90" s="71" t="s">
        <v>86</v>
      </c>
      <c r="AK90" s="71">
        <v>14</v>
      </c>
      <c r="BB90" s="125" t="s">
        <v>82</v>
      </c>
      <c r="BM90" s="67">
        <f t="shared" si="2"/>
        <v>100.3408</v>
      </c>
      <c r="BN90" s="67">
        <f t="shared" si="3"/>
        <v>100.3408</v>
      </c>
      <c r="BO90" s="67">
        <f t="shared" si="4"/>
        <v>0.4</v>
      </c>
      <c r="BP90" s="67">
        <f t="shared" si="5"/>
        <v>0.4</v>
      </c>
    </row>
    <row r="91" spans="1:68" ht="27" hidden="1" customHeight="1" x14ac:dyDescent="0.25">
      <c r="A91" s="54" t="s">
        <v>162</v>
      </c>
      <c r="B91" s="54" t="s">
        <v>163</v>
      </c>
      <c r="C91" s="31">
        <v>4301135571</v>
      </c>
      <c r="D91" s="274">
        <v>4607111035028</v>
      </c>
      <c r="E91" s="275"/>
      <c r="F91" s="269">
        <v>0.48</v>
      </c>
      <c r="G91" s="32">
        <v>8</v>
      </c>
      <c r="H91" s="269">
        <v>3.84</v>
      </c>
      <c r="I91" s="269">
        <v>4.4488000000000003</v>
      </c>
      <c r="J91" s="32">
        <v>70</v>
      </c>
      <c r="K91" s="32" t="s">
        <v>80</v>
      </c>
      <c r="L91" s="32" t="s">
        <v>85</v>
      </c>
      <c r="M91" s="33" t="s">
        <v>69</v>
      </c>
      <c r="N91" s="33"/>
      <c r="O91" s="32">
        <v>180</v>
      </c>
      <c r="P9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143</v>
      </c>
      <c r="AG91" s="67"/>
      <c r="AJ91" s="71" t="s">
        <v>86</v>
      </c>
      <c r="AK91" s="71">
        <v>14</v>
      </c>
      <c r="BB91" s="127" t="s">
        <v>82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ht="27" hidden="1" customHeight="1" x14ac:dyDescent="0.25">
      <c r="A92" s="54" t="s">
        <v>164</v>
      </c>
      <c r="B92" s="54" t="s">
        <v>165</v>
      </c>
      <c r="C92" s="31">
        <v>4301135285</v>
      </c>
      <c r="D92" s="274">
        <v>4607111036407</v>
      </c>
      <c r="E92" s="275"/>
      <c r="F92" s="269">
        <v>0.3</v>
      </c>
      <c r="G92" s="32">
        <v>14</v>
      </c>
      <c r="H92" s="269">
        <v>4.2</v>
      </c>
      <c r="I92" s="269">
        <v>4.5292000000000003</v>
      </c>
      <c r="J92" s="32">
        <v>70</v>
      </c>
      <c r="K92" s="32" t="s">
        <v>80</v>
      </c>
      <c r="L92" s="32" t="s">
        <v>85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2" s="286"/>
      <c r="R92" s="286"/>
      <c r="S92" s="286"/>
      <c r="T92" s="287"/>
      <c r="U92" s="34"/>
      <c r="V92" s="34"/>
      <c r="W92" s="35" t="s">
        <v>70</v>
      </c>
      <c r="X92" s="270">
        <v>0</v>
      </c>
      <c r="Y92" s="271">
        <f t="shared" si="0"/>
        <v>0</v>
      </c>
      <c r="Z92" s="36">
        <f t="shared" si="1"/>
        <v>0</v>
      </c>
      <c r="AA92" s="56"/>
      <c r="AB92" s="57"/>
      <c r="AC92" s="128" t="s">
        <v>166</v>
      </c>
      <c r="AG92" s="67"/>
      <c r="AJ92" s="71" t="s">
        <v>86</v>
      </c>
      <c r="AK92" s="71">
        <v>14</v>
      </c>
      <c r="BB92" s="129" t="s">
        <v>82</v>
      </c>
      <c r="BM92" s="67">
        <f t="shared" si="2"/>
        <v>0</v>
      </c>
      <c r="BN92" s="67">
        <f t="shared" si="3"/>
        <v>0</v>
      </c>
      <c r="BO92" s="67">
        <f t="shared" si="4"/>
        <v>0</v>
      </c>
      <c r="BP92" s="67">
        <f t="shared" si="5"/>
        <v>0</v>
      </c>
    </row>
    <row r="93" spans="1:68" x14ac:dyDescent="0.2">
      <c r="A93" s="289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90"/>
      <c r="P93" s="276" t="s">
        <v>73</v>
      </c>
      <c r="Q93" s="277"/>
      <c r="R93" s="277"/>
      <c r="S93" s="277"/>
      <c r="T93" s="277"/>
      <c r="U93" s="277"/>
      <c r="V93" s="278"/>
      <c r="W93" s="37" t="s">
        <v>70</v>
      </c>
      <c r="X93" s="272">
        <f>IFERROR(SUM(X87:X92),"0")</f>
        <v>28</v>
      </c>
      <c r="Y93" s="272">
        <f>IFERROR(SUM(Y87:Y92),"0")</f>
        <v>28</v>
      </c>
      <c r="Z93" s="272">
        <f>IFERROR(IF(Z87="",0,Z87),"0")+IFERROR(IF(Z88="",0,Z88),"0")+IFERROR(IF(Z89="",0,Z89),"0")+IFERROR(IF(Z90="",0,Z90),"0")+IFERROR(IF(Z91="",0,Z91),"0")+IFERROR(IF(Z92="",0,Z92),"0")</f>
        <v>0.50063999999999997</v>
      </c>
      <c r="AA93" s="273"/>
      <c r="AB93" s="273"/>
      <c r="AC93" s="273"/>
    </row>
    <row r="94" spans="1:68" x14ac:dyDescent="0.2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90"/>
      <c r="P94" s="276" t="s">
        <v>73</v>
      </c>
      <c r="Q94" s="277"/>
      <c r="R94" s="277"/>
      <c r="S94" s="277"/>
      <c r="T94" s="277"/>
      <c r="U94" s="277"/>
      <c r="V94" s="278"/>
      <c r="W94" s="37" t="s">
        <v>74</v>
      </c>
      <c r="X94" s="272">
        <f>IFERROR(SUMPRODUCT(X87:X92*H87:H92),"0")</f>
        <v>80.64</v>
      </c>
      <c r="Y94" s="272">
        <f>IFERROR(SUMPRODUCT(Y87:Y92*H87:H92),"0")</f>
        <v>80.64</v>
      </c>
      <c r="Z94" s="37"/>
      <c r="AA94" s="273"/>
      <c r="AB94" s="273"/>
      <c r="AC94" s="273"/>
    </row>
    <row r="95" spans="1:68" ht="16.5" hidden="1" customHeight="1" x14ac:dyDescent="0.25">
      <c r="A95" s="305" t="s">
        <v>167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5"/>
      <c r="AB95" s="265"/>
      <c r="AC95" s="265"/>
    </row>
    <row r="96" spans="1:68" ht="14.25" hidden="1" customHeight="1" x14ac:dyDescent="0.25">
      <c r="A96" s="279" t="s">
        <v>117</v>
      </c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64"/>
      <c r="AB96" s="264"/>
      <c r="AC96" s="264"/>
    </row>
    <row r="97" spans="1:68" ht="27" hidden="1" customHeight="1" x14ac:dyDescent="0.25">
      <c r="A97" s="54" t="s">
        <v>168</v>
      </c>
      <c r="B97" s="54" t="s">
        <v>169</v>
      </c>
      <c r="C97" s="31">
        <v>4301136070</v>
      </c>
      <c r="D97" s="274">
        <v>4607025784012</v>
      </c>
      <c r="E97" s="275"/>
      <c r="F97" s="269">
        <v>0.09</v>
      </c>
      <c r="G97" s="32">
        <v>24</v>
      </c>
      <c r="H97" s="269">
        <v>2.16</v>
      </c>
      <c r="I97" s="269">
        <v>2.4912000000000001</v>
      </c>
      <c r="J97" s="32">
        <v>126</v>
      </c>
      <c r="K97" s="32" t="s">
        <v>80</v>
      </c>
      <c r="L97" s="32" t="s">
        <v>85</v>
      </c>
      <c r="M97" s="33" t="s">
        <v>69</v>
      </c>
      <c r="N97" s="33"/>
      <c r="O97" s="32">
        <v>180</v>
      </c>
      <c r="P97" s="35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7" s="286"/>
      <c r="R97" s="286"/>
      <c r="S97" s="286"/>
      <c r="T97" s="287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IFERROR(IF(X97="","",X97*0.00936),"")</f>
        <v>0</v>
      </c>
      <c r="AA97" s="56"/>
      <c r="AB97" s="57"/>
      <c r="AC97" s="130" t="s">
        <v>170</v>
      </c>
      <c r="AG97" s="67"/>
      <c r="AJ97" s="71" t="s">
        <v>86</v>
      </c>
      <c r="AK97" s="71">
        <v>14</v>
      </c>
      <c r="BB97" s="131" t="s">
        <v>82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hidden="1" customHeight="1" x14ac:dyDescent="0.25">
      <c r="A98" s="54" t="s">
        <v>171</v>
      </c>
      <c r="B98" s="54" t="s">
        <v>172</v>
      </c>
      <c r="C98" s="31">
        <v>4301136079</v>
      </c>
      <c r="D98" s="274">
        <v>4607025784319</v>
      </c>
      <c r="E98" s="275"/>
      <c r="F98" s="269">
        <v>0.36</v>
      </c>
      <c r="G98" s="32">
        <v>10</v>
      </c>
      <c r="H98" s="269">
        <v>3.6</v>
      </c>
      <c r="I98" s="269">
        <v>4.2439999999999998</v>
      </c>
      <c r="J98" s="32">
        <v>70</v>
      </c>
      <c r="K98" s="32" t="s">
        <v>80</v>
      </c>
      <c r="L98" s="32" t="s">
        <v>85</v>
      </c>
      <c r="M98" s="33" t="s">
        <v>69</v>
      </c>
      <c r="N98" s="33"/>
      <c r="O98" s="32">
        <v>180</v>
      </c>
      <c r="P98" s="41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70">
        <v>0</v>
      </c>
      <c r="Y98" s="271">
        <f>IFERROR(IF(X98="","",X98),"")</f>
        <v>0</v>
      </c>
      <c r="Z98" s="36">
        <f>IFERROR(IF(X98="","",X98*0.01788),"")</f>
        <v>0</v>
      </c>
      <c r="AA98" s="56"/>
      <c r="AB98" s="57"/>
      <c r="AC98" s="132" t="s">
        <v>143</v>
      </c>
      <c r="AG98" s="67"/>
      <c r="AJ98" s="71" t="s">
        <v>86</v>
      </c>
      <c r="AK98" s="71">
        <v>14</v>
      </c>
      <c r="BB98" s="133" t="s">
        <v>82</v>
      </c>
      <c r="BM98" s="67">
        <f>IFERROR(X98*I98,"0")</f>
        <v>0</v>
      </c>
      <c r="BN98" s="67">
        <f>IFERROR(Y98*I98,"0")</f>
        <v>0</v>
      </c>
      <c r="BO98" s="67">
        <f>IFERROR(X98/J98,"0")</f>
        <v>0</v>
      </c>
      <c r="BP98" s="67">
        <f>IFERROR(Y98/J98,"0")</f>
        <v>0</v>
      </c>
    </row>
    <row r="99" spans="1:68" hidden="1" x14ac:dyDescent="0.2">
      <c r="A99" s="289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90"/>
      <c r="P99" s="276" t="s">
        <v>73</v>
      </c>
      <c r="Q99" s="277"/>
      <c r="R99" s="277"/>
      <c r="S99" s="277"/>
      <c r="T99" s="277"/>
      <c r="U99" s="277"/>
      <c r="V99" s="278"/>
      <c r="W99" s="37" t="s">
        <v>70</v>
      </c>
      <c r="X99" s="272">
        <f>IFERROR(SUM(X97:X98),"0")</f>
        <v>0</v>
      </c>
      <c r="Y99" s="272">
        <f>IFERROR(SUM(Y97:Y98),"0")</f>
        <v>0</v>
      </c>
      <c r="Z99" s="272">
        <f>IFERROR(IF(Z97="",0,Z97),"0")+IFERROR(IF(Z98="",0,Z98),"0")</f>
        <v>0</v>
      </c>
      <c r="AA99" s="273"/>
      <c r="AB99" s="273"/>
      <c r="AC99" s="273"/>
    </row>
    <row r="100" spans="1:68" hidden="1" x14ac:dyDescent="0.2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90"/>
      <c r="P100" s="276" t="s">
        <v>73</v>
      </c>
      <c r="Q100" s="277"/>
      <c r="R100" s="277"/>
      <c r="S100" s="277"/>
      <c r="T100" s="277"/>
      <c r="U100" s="277"/>
      <c r="V100" s="278"/>
      <c r="W100" s="37" t="s">
        <v>74</v>
      </c>
      <c r="X100" s="272">
        <f>IFERROR(SUMPRODUCT(X97:X98*H97:H98),"0")</f>
        <v>0</v>
      </c>
      <c r="Y100" s="272">
        <f>IFERROR(SUMPRODUCT(Y97:Y98*H97:H98),"0")</f>
        <v>0</v>
      </c>
      <c r="Z100" s="37"/>
      <c r="AA100" s="273"/>
      <c r="AB100" s="273"/>
      <c r="AC100" s="273"/>
    </row>
    <row r="101" spans="1:68" ht="16.5" hidden="1" customHeight="1" x14ac:dyDescent="0.25">
      <c r="A101" s="305" t="s">
        <v>173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5"/>
      <c r="AB101" s="265"/>
      <c r="AC101" s="265"/>
    </row>
    <row r="102" spans="1:68" ht="14.25" hidden="1" customHeight="1" x14ac:dyDescent="0.25">
      <c r="A102" s="279" t="s">
        <v>64</v>
      </c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64"/>
      <c r="AB102" s="264"/>
      <c r="AC102" s="264"/>
    </row>
    <row r="103" spans="1:68" ht="27" customHeight="1" x14ac:dyDescent="0.25">
      <c r="A103" s="54" t="s">
        <v>174</v>
      </c>
      <c r="B103" s="54" t="s">
        <v>175</v>
      </c>
      <c r="C103" s="31">
        <v>4301071074</v>
      </c>
      <c r="D103" s="274">
        <v>4620207491157</v>
      </c>
      <c r="E103" s="275"/>
      <c r="F103" s="269">
        <v>0.7</v>
      </c>
      <c r="G103" s="32">
        <v>10</v>
      </c>
      <c r="H103" s="269">
        <v>7</v>
      </c>
      <c r="I103" s="269">
        <v>7.28</v>
      </c>
      <c r="J103" s="32">
        <v>84</v>
      </c>
      <c r="K103" s="32" t="s">
        <v>67</v>
      </c>
      <c r="L103" s="32" t="s">
        <v>85</v>
      </c>
      <c r="M103" s="33" t="s">
        <v>69</v>
      </c>
      <c r="N103" s="33"/>
      <c r="O103" s="32">
        <v>180</v>
      </c>
      <c r="P103" s="35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286"/>
      <c r="R103" s="286"/>
      <c r="S103" s="286"/>
      <c r="T103" s="287"/>
      <c r="U103" s="34"/>
      <c r="V103" s="34"/>
      <c r="W103" s="35" t="s">
        <v>70</v>
      </c>
      <c r="X103" s="270">
        <v>12</v>
      </c>
      <c r="Y103" s="271">
        <f t="shared" ref="Y103:Y109" si="6">IFERROR(IF(X103="","",X103),"")</f>
        <v>12</v>
      </c>
      <c r="Z103" s="36">
        <f t="shared" ref="Z103:Z109" si="7">IFERROR(IF(X103="","",X103*0.0155),"")</f>
        <v>0.186</v>
      </c>
      <c r="AA103" s="56"/>
      <c r="AB103" s="57"/>
      <c r="AC103" s="134" t="s">
        <v>176</v>
      </c>
      <c r="AG103" s="67"/>
      <c r="AJ103" s="71" t="s">
        <v>86</v>
      </c>
      <c r="AK103" s="71">
        <v>12</v>
      </c>
      <c r="BB103" s="135" t="s">
        <v>1</v>
      </c>
      <c r="BM103" s="67">
        <f t="shared" ref="BM103:BM109" si="8">IFERROR(X103*I103,"0")</f>
        <v>87.36</v>
      </c>
      <c r="BN103" s="67">
        <f t="shared" ref="BN103:BN109" si="9">IFERROR(Y103*I103,"0")</f>
        <v>87.36</v>
      </c>
      <c r="BO103" s="67">
        <f t="shared" ref="BO103:BO109" si="10">IFERROR(X103/J103,"0")</f>
        <v>0.14285714285714285</v>
      </c>
      <c r="BP103" s="67">
        <f t="shared" ref="BP103:BP109" si="11">IFERROR(Y103/J103,"0")</f>
        <v>0.14285714285714285</v>
      </c>
    </row>
    <row r="104" spans="1:68" ht="27" customHeight="1" x14ac:dyDescent="0.25">
      <c r="A104" s="54" t="s">
        <v>177</v>
      </c>
      <c r="B104" s="54" t="s">
        <v>178</v>
      </c>
      <c r="C104" s="31">
        <v>4301071051</v>
      </c>
      <c r="D104" s="274">
        <v>4607111039262</v>
      </c>
      <c r="E104" s="275"/>
      <c r="F104" s="269">
        <v>0.4</v>
      </c>
      <c r="G104" s="32">
        <v>16</v>
      </c>
      <c r="H104" s="269">
        <v>6.4</v>
      </c>
      <c r="I104" s="269">
        <v>6.7195999999999998</v>
      </c>
      <c r="J104" s="32">
        <v>84</v>
      </c>
      <c r="K104" s="32" t="s">
        <v>67</v>
      </c>
      <c r="L104" s="32" t="s">
        <v>85</v>
      </c>
      <c r="M104" s="33" t="s">
        <v>69</v>
      </c>
      <c r="N104" s="33"/>
      <c r="O104" s="32">
        <v>180</v>
      </c>
      <c r="P104" s="2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4" s="286"/>
      <c r="R104" s="286"/>
      <c r="S104" s="286"/>
      <c r="T104" s="287"/>
      <c r="U104" s="34"/>
      <c r="V104" s="34"/>
      <c r="W104" s="35" t="s">
        <v>70</v>
      </c>
      <c r="X104" s="270">
        <v>12</v>
      </c>
      <c r="Y104" s="271">
        <f t="shared" si="6"/>
        <v>12</v>
      </c>
      <c r="Z104" s="36">
        <f t="shared" si="7"/>
        <v>0.186</v>
      </c>
      <c r="AA104" s="56"/>
      <c r="AB104" s="57"/>
      <c r="AC104" s="136" t="s">
        <v>137</v>
      </c>
      <c r="AG104" s="67"/>
      <c r="AJ104" s="71" t="s">
        <v>86</v>
      </c>
      <c r="AK104" s="71">
        <v>12</v>
      </c>
      <c r="BB104" s="137" t="s">
        <v>1</v>
      </c>
      <c r="BM104" s="67">
        <f t="shared" si="8"/>
        <v>80.635199999999998</v>
      </c>
      <c r="BN104" s="67">
        <f t="shared" si="9"/>
        <v>80.635199999999998</v>
      </c>
      <c r="BO104" s="67">
        <f t="shared" si="10"/>
        <v>0.14285714285714285</v>
      </c>
      <c r="BP104" s="67">
        <f t="shared" si="11"/>
        <v>0.14285714285714285</v>
      </c>
    </row>
    <row r="105" spans="1:68" ht="27" customHeight="1" x14ac:dyDescent="0.25">
      <c r="A105" s="54" t="s">
        <v>179</v>
      </c>
      <c r="B105" s="54" t="s">
        <v>180</v>
      </c>
      <c r="C105" s="31">
        <v>4301071038</v>
      </c>
      <c r="D105" s="274">
        <v>4607111039248</v>
      </c>
      <c r="E105" s="275"/>
      <c r="F105" s="269">
        <v>0.7</v>
      </c>
      <c r="G105" s="32">
        <v>10</v>
      </c>
      <c r="H105" s="269">
        <v>7</v>
      </c>
      <c r="I105" s="269">
        <v>7.3</v>
      </c>
      <c r="J105" s="32">
        <v>84</v>
      </c>
      <c r="K105" s="32" t="s">
        <v>67</v>
      </c>
      <c r="L105" s="32" t="s">
        <v>85</v>
      </c>
      <c r="M105" s="33" t="s">
        <v>69</v>
      </c>
      <c r="N105" s="33"/>
      <c r="O105" s="32">
        <v>180</v>
      </c>
      <c r="P105" s="4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5" s="286"/>
      <c r="R105" s="286"/>
      <c r="S105" s="286"/>
      <c r="T105" s="287"/>
      <c r="U105" s="34"/>
      <c r="V105" s="34"/>
      <c r="W105" s="35" t="s">
        <v>70</v>
      </c>
      <c r="X105" s="270">
        <v>48</v>
      </c>
      <c r="Y105" s="271">
        <f t="shared" si="6"/>
        <v>48</v>
      </c>
      <c r="Z105" s="36">
        <f t="shared" si="7"/>
        <v>0.74399999999999999</v>
      </c>
      <c r="AA105" s="56"/>
      <c r="AB105" s="57"/>
      <c r="AC105" s="138" t="s">
        <v>137</v>
      </c>
      <c r="AG105" s="67"/>
      <c r="AJ105" s="71" t="s">
        <v>86</v>
      </c>
      <c r="AK105" s="71">
        <v>12</v>
      </c>
      <c r="BB105" s="139" t="s">
        <v>1</v>
      </c>
      <c r="BM105" s="67">
        <f t="shared" si="8"/>
        <v>350.4</v>
      </c>
      <c r="BN105" s="67">
        <f t="shared" si="9"/>
        <v>350.4</v>
      </c>
      <c r="BO105" s="67">
        <f t="shared" si="10"/>
        <v>0.5714285714285714</v>
      </c>
      <c r="BP105" s="67">
        <f t="shared" si="11"/>
        <v>0.5714285714285714</v>
      </c>
    </row>
    <row r="106" spans="1:68" ht="27" hidden="1" customHeight="1" x14ac:dyDescent="0.25">
      <c r="A106" s="54" t="s">
        <v>181</v>
      </c>
      <c r="B106" s="54" t="s">
        <v>182</v>
      </c>
      <c r="C106" s="31">
        <v>4301070979</v>
      </c>
      <c r="D106" s="274">
        <v>4607111037145</v>
      </c>
      <c r="E106" s="275"/>
      <c r="F106" s="269">
        <v>0.8</v>
      </c>
      <c r="G106" s="32">
        <v>8</v>
      </c>
      <c r="H106" s="269">
        <v>6.4</v>
      </c>
      <c r="I106" s="269">
        <v>6.6748000000000003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1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6" s="286"/>
      <c r="R106" s="286"/>
      <c r="S106" s="286"/>
      <c r="T106" s="287"/>
      <c r="U106" s="34"/>
      <c r="V106" s="34"/>
      <c r="W106" s="35" t="s">
        <v>70</v>
      </c>
      <c r="X106" s="270">
        <v>0</v>
      </c>
      <c r="Y106" s="271">
        <f t="shared" si="6"/>
        <v>0</v>
      </c>
      <c r="Z106" s="36">
        <f t="shared" si="7"/>
        <v>0</v>
      </c>
      <c r="AA106" s="56"/>
      <c r="AB106" s="57"/>
      <c r="AC106" s="140" t="s">
        <v>183</v>
      </c>
      <c r="AG106" s="67"/>
      <c r="AJ106" s="71" t="s">
        <v>72</v>
      </c>
      <c r="AK106" s="71">
        <v>1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184</v>
      </c>
      <c r="B107" s="54" t="s">
        <v>185</v>
      </c>
      <c r="C107" s="31">
        <v>4301071049</v>
      </c>
      <c r="D107" s="274">
        <v>4607111039293</v>
      </c>
      <c r="E107" s="275"/>
      <c r="F107" s="269">
        <v>0.4</v>
      </c>
      <c r="G107" s="32">
        <v>16</v>
      </c>
      <c r="H107" s="269">
        <v>6.4</v>
      </c>
      <c r="I107" s="269">
        <v>6.7195999999999998</v>
      </c>
      <c r="J107" s="32">
        <v>84</v>
      </c>
      <c r="K107" s="32" t="s">
        <v>67</v>
      </c>
      <c r="L107" s="32" t="s">
        <v>85</v>
      </c>
      <c r="M107" s="33" t="s">
        <v>69</v>
      </c>
      <c r="N107" s="33"/>
      <c r="O107" s="32">
        <v>180</v>
      </c>
      <c r="P107" s="42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7" s="286"/>
      <c r="R107" s="286"/>
      <c r="S107" s="286"/>
      <c r="T107" s="287"/>
      <c r="U107" s="34"/>
      <c r="V107" s="34"/>
      <c r="W107" s="35" t="s">
        <v>70</v>
      </c>
      <c r="X107" s="270">
        <v>12</v>
      </c>
      <c r="Y107" s="271">
        <f t="shared" si="6"/>
        <v>12</v>
      </c>
      <c r="Z107" s="36">
        <f t="shared" si="7"/>
        <v>0.186</v>
      </c>
      <c r="AA107" s="56"/>
      <c r="AB107" s="57"/>
      <c r="AC107" s="142" t="s">
        <v>137</v>
      </c>
      <c r="AG107" s="67"/>
      <c r="AJ107" s="71" t="s">
        <v>86</v>
      </c>
      <c r="AK107" s="71">
        <v>12</v>
      </c>
      <c r="BB107" s="143" t="s">
        <v>1</v>
      </c>
      <c r="BM107" s="67">
        <f t="shared" si="8"/>
        <v>80.635199999999998</v>
      </c>
      <c r="BN107" s="67">
        <f t="shared" si="9"/>
        <v>80.635199999999998</v>
      </c>
      <c r="BO107" s="67">
        <f t="shared" si="10"/>
        <v>0.14285714285714285</v>
      </c>
      <c r="BP107" s="67">
        <f t="shared" si="11"/>
        <v>0.14285714285714285</v>
      </c>
    </row>
    <row r="108" spans="1:68" ht="27" customHeight="1" x14ac:dyDescent="0.25">
      <c r="A108" s="54" t="s">
        <v>186</v>
      </c>
      <c r="B108" s="54" t="s">
        <v>187</v>
      </c>
      <c r="C108" s="31">
        <v>4301071039</v>
      </c>
      <c r="D108" s="274">
        <v>4607111039279</v>
      </c>
      <c r="E108" s="275"/>
      <c r="F108" s="269">
        <v>0.7</v>
      </c>
      <c r="G108" s="32">
        <v>10</v>
      </c>
      <c r="H108" s="269">
        <v>7</v>
      </c>
      <c r="I108" s="269">
        <v>7.3</v>
      </c>
      <c r="J108" s="32">
        <v>84</v>
      </c>
      <c r="K108" s="32" t="s">
        <v>67</v>
      </c>
      <c r="L108" s="32" t="s">
        <v>85</v>
      </c>
      <c r="M108" s="33" t="s">
        <v>69</v>
      </c>
      <c r="N108" s="33"/>
      <c r="O108" s="32">
        <v>180</v>
      </c>
      <c r="P108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70">
        <v>60</v>
      </c>
      <c r="Y108" s="271">
        <f t="shared" si="6"/>
        <v>60</v>
      </c>
      <c r="Z108" s="36">
        <f t="shared" si="7"/>
        <v>0.92999999999999994</v>
      </c>
      <c r="AA108" s="56"/>
      <c r="AB108" s="57"/>
      <c r="AC108" s="144" t="s">
        <v>137</v>
      </c>
      <c r="AG108" s="67"/>
      <c r="AJ108" s="71" t="s">
        <v>86</v>
      </c>
      <c r="AK108" s="71">
        <v>12</v>
      </c>
      <c r="BB108" s="145" t="s">
        <v>1</v>
      </c>
      <c r="BM108" s="67">
        <f t="shared" si="8"/>
        <v>438</v>
      </c>
      <c r="BN108" s="67">
        <f t="shared" si="9"/>
        <v>438</v>
      </c>
      <c r="BO108" s="67">
        <f t="shared" si="10"/>
        <v>0.7142857142857143</v>
      </c>
      <c r="BP108" s="67">
        <f t="shared" si="11"/>
        <v>0.7142857142857143</v>
      </c>
    </row>
    <row r="109" spans="1:68" ht="27" hidden="1" customHeight="1" x14ac:dyDescent="0.25">
      <c r="A109" s="54" t="s">
        <v>188</v>
      </c>
      <c r="B109" s="54" t="s">
        <v>189</v>
      </c>
      <c r="C109" s="31">
        <v>4301070978</v>
      </c>
      <c r="D109" s="274">
        <v>4607111037435</v>
      </c>
      <c r="E109" s="275"/>
      <c r="F109" s="269">
        <v>0.8</v>
      </c>
      <c r="G109" s="32">
        <v>8</v>
      </c>
      <c r="H109" s="269">
        <v>6.4</v>
      </c>
      <c r="I109" s="269">
        <v>6.6859999999999999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9" s="286"/>
      <c r="R109" s="286"/>
      <c r="S109" s="286"/>
      <c r="T109" s="287"/>
      <c r="U109" s="34"/>
      <c r="V109" s="34"/>
      <c r="W109" s="35" t="s">
        <v>70</v>
      </c>
      <c r="X109" s="270">
        <v>0</v>
      </c>
      <c r="Y109" s="271">
        <f t="shared" si="6"/>
        <v>0</v>
      </c>
      <c r="Z109" s="36">
        <f t="shared" si="7"/>
        <v>0</v>
      </c>
      <c r="AA109" s="56"/>
      <c r="AB109" s="57"/>
      <c r="AC109" s="146" t="s">
        <v>190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89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90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2">
        <f>IFERROR(SUM(X103:X109),"0")</f>
        <v>144</v>
      </c>
      <c r="Y110" s="272">
        <f>IFERROR(SUM(Y103:Y109),"0")</f>
        <v>144</v>
      </c>
      <c r="Z110" s="272">
        <f>IFERROR(IF(Z103="",0,Z103),"0")+IFERROR(IF(Z104="",0,Z104),"0")+IFERROR(IF(Z105="",0,Z105),"0")+IFERROR(IF(Z106="",0,Z106),"0")+IFERROR(IF(Z107="",0,Z107),"0")+IFERROR(IF(Z108="",0,Z108),"0")+IFERROR(IF(Z109="",0,Z109),"0")</f>
        <v>2.2320000000000002</v>
      </c>
      <c r="AA110" s="273"/>
      <c r="AB110" s="273"/>
      <c r="AC110" s="273"/>
    </row>
    <row r="111" spans="1:68" x14ac:dyDescent="0.2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90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2">
        <f>IFERROR(SUMPRODUCT(X103:X109*H103:H109),"0")</f>
        <v>993.6</v>
      </c>
      <c r="Y111" s="272">
        <f>IFERROR(SUMPRODUCT(Y103:Y109*H103:H109),"0")</f>
        <v>993.6</v>
      </c>
      <c r="Z111" s="37"/>
      <c r="AA111" s="273"/>
      <c r="AB111" s="273"/>
      <c r="AC111" s="273"/>
    </row>
    <row r="112" spans="1:68" ht="14.25" hidden="1" customHeight="1" x14ac:dyDescent="0.25">
      <c r="A112" s="279" t="s">
        <v>123</v>
      </c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64"/>
      <c r="AB112" s="264"/>
      <c r="AC112" s="264"/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70">
        <v>14</v>
      </c>
      <c r="Y113" s="271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193</v>
      </c>
      <c r="AG113" s="67"/>
      <c r="AJ113" s="71" t="s">
        <v>72</v>
      </c>
      <c r="AK113" s="71">
        <v>1</v>
      </c>
      <c r="BB113" s="149" t="s">
        <v>82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9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90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2">
        <f>IFERROR(SUM(X113:X113),"0")</f>
        <v>14</v>
      </c>
      <c r="Y114" s="272">
        <f>IFERROR(SUM(Y113:Y113),"0")</f>
        <v>14</v>
      </c>
      <c r="Z114" s="272">
        <f>IFERROR(IF(Z113="",0,Z113),"0")</f>
        <v>0.25031999999999999</v>
      </c>
      <c r="AA114" s="273"/>
      <c r="AB114" s="273"/>
      <c r="AC114" s="273"/>
    </row>
    <row r="115" spans="1:68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90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2">
        <f>IFERROR(SUMPRODUCT(X113:X113*H113:H113),"0")</f>
        <v>36.96</v>
      </c>
      <c r="Y115" s="272">
        <f>IFERROR(SUMPRODUCT(Y113:Y113*H113:H113),"0")</f>
        <v>36.96</v>
      </c>
      <c r="Z115" s="37"/>
      <c r="AA115" s="273"/>
      <c r="AB115" s="273"/>
      <c r="AC115" s="273"/>
    </row>
    <row r="116" spans="1:68" ht="14.25" hidden="1" customHeight="1" x14ac:dyDescent="0.25">
      <c r="A116" s="279" t="s">
        <v>194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4"/>
      <c r="AB116" s="264"/>
      <c r="AC116" s="264"/>
    </row>
    <row r="117" spans="1:68" ht="27" hidden="1" customHeight="1" x14ac:dyDescent="0.25">
      <c r="A117" s="54" t="s">
        <v>195</v>
      </c>
      <c r="B117" s="54" t="s">
        <v>196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7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70">
        <v>0</v>
      </c>
      <c r="Y117" s="271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72</v>
      </c>
      <c r="AK117" s="71">
        <v>1</v>
      </c>
      <c r="BB117" s="151" t="s">
        <v>82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9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90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2">
        <f>IFERROR(SUM(X117:X117),"0")</f>
        <v>0</v>
      </c>
      <c r="Y118" s="272">
        <f>IFERROR(SUM(Y117:Y117),"0")</f>
        <v>0</v>
      </c>
      <c r="Z118" s="272">
        <f>IFERROR(IF(Z117="",0,Z117),"0")</f>
        <v>0</v>
      </c>
      <c r="AA118" s="273"/>
      <c r="AB118" s="273"/>
      <c r="AC118" s="273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90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2">
        <f>IFERROR(SUMPRODUCT(X117:X117*H117:H117),"0")</f>
        <v>0</v>
      </c>
      <c r="Y119" s="272">
        <f>IFERROR(SUMPRODUCT(Y117:Y117*H117:H117),"0")</f>
        <v>0</v>
      </c>
      <c r="Z119" s="37"/>
      <c r="AA119" s="273"/>
      <c r="AB119" s="273"/>
      <c r="AC119" s="273"/>
    </row>
    <row r="120" spans="1:68" ht="16.5" hidden="1" customHeight="1" x14ac:dyDescent="0.25">
      <c r="A120" s="305" t="s">
        <v>198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5"/>
      <c r="AB120" s="265"/>
      <c r="AC120" s="265"/>
    </row>
    <row r="121" spans="1:68" ht="14.25" hidden="1" customHeight="1" x14ac:dyDescent="0.25">
      <c r="A121" s="279" t="s">
        <v>123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4"/>
      <c r="AB121" s="264"/>
      <c r="AC121" s="264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85</v>
      </c>
      <c r="M122" s="33" t="s">
        <v>69</v>
      </c>
      <c r="N122" s="33"/>
      <c r="O122" s="32">
        <v>180</v>
      </c>
      <c r="P122" s="37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70</v>
      </c>
      <c r="X122" s="270">
        <v>70</v>
      </c>
      <c r="Y122" s="271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201</v>
      </c>
      <c r="AG122" s="67"/>
      <c r="AJ122" s="71" t="s">
        <v>86</v>
      </c>
      <c r="AK122" s="71">
        <v>14</v>
      </c>
      <c r="BB122" s="153" t="s">
        <v>82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126</v>
      </c>
      <c r="M123" s="33" t="s">
        <v>69</v>
      </c>
      <c r="N123" s="33"/>
      <c r="O123" s="32">
        <v>180</v>
      </c>
      <c r="P123" s="4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70">
        <v>42</v>
      </c>
      <c r="Y123" s="271">
        <f>IFERROR(IF(X123="","",X123),"")</f>
        <v>42</v>
      </c>
      <c r="Z123" s="36">
        <f>IFERROR(IF(X123="","",X123*0.01788),"")</f>
        <v>0.75095999999999996</v>
      </c>
      <c r="AA123" s="56"/>
      <c r="AB123" s="57"/>
      <c r="AC123" s="154" t="s">
        <v>143</v>
      </c>
      <c r="AG123" s="67"/>
      <c r="AJ123" s="71" t="s">
        <v>127</v>
      </c>
      <c r="AK123" s="71">
        <v>70</v>
      </c>
      <c r="BB123" s="155" t="s">
        <v>82</v>
      </c>
      <c r="BM123" s="67">
        <f>IFERROR(X123*I123,"0")</f>
        <v>155.55119999999999</v>
      </c>
      <c r="BN123" s="67">
        <f>IFERROR(Y123*I123,"0")</f>
        <v>155.55119999999999</v>
      </c>
      <c r="BO123" s="67">
        <f>IFERROR(X123/J123,"0")</f>
        <v>0.6</v>
      </c>
      <c r="BP123" s="67">
        <f>IFERROR(Y123/J123,"0")</f>
        <v>0.6</v>
      </c>
    </row>
    <row r="124" spans="1:68" x14ac:dyDescent="0.2">
      <c r="A124" s="289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90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2">
        <f>IFERROR(SUM(X122:X123),"0")</f>
        <v>112</v>
      </c>
      <c r="Y124" s="272">
        <f>IFERROR(SUM(Y122:Y123),"0")</f>
        <v>112</v>
      </c>
      <c r="Z124" s="272">
        <f>IFERROR(IF(Z122="",0,Z122),"0")+IFERROR(IF(Z123="",0,Z123),"0")</f>
        <v>2.0025599999999999</v>
      </c>
      <c r="AA124" s="273"/>
      <c r="AB124" s="273"/>
      <c r="AC124" s="273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90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2">
        <f>IFERROR(SUMPRODUCT(X122:X123*H122:H123),"0")</f>
        <v>336</v>
      </c>
      <c r="Y125" s="272">
        <f>IFERROR(SUMPRODUCT(Y122:Y123*H122:H123),"0")</f>
        <v>336</v>
      </c>
      <c r="Z125" s="37"/>
      <c r="AA125" s="273"/>
      <c r="AB125" s="273"/>
      <c r="AC125" s="273"/>
    </row>
    <row r="126" spans="1:68" ht="16.5" hidden="1" customHeight="1" x14ac:dyDescent="0.25">
      <c r="A126" s="305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5"/>
      <c r="AB126" s="265"/>
      <c r="AC126" s="265"/>
    </row>
    <row r="127" spans="1:68" ht="14.25" hidden="1" customHeight="1" x14ac:dyDescent="0.25">
      <c r="A127" s="279" t="s">
        <v>123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4"/>
      <c r="AB127" s="264"/>
      <c r="AC127" s="264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72</v>
      </c>
      <c r="AK128" s="71">
        <v>1</v>
      </c>
      <c r="BB128" s="157" t="s">
        <v>82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85</v>
      </c>
      <c r="M129" s="33" t="s">
        <v>69</v>
      </c>
      <c r="N129" s="33"/>
      <c r="O129" s="32">
        <v>180</v>
      </c>
      <c r="P129" s="36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6"/>
      <c r="R129" s="286"/>
      <c r="S129" s="286"/>
      <c r="T129" s="287"/>
      <c r="U129" s="34"/>
      <c r="V129" s="34"/>
      <c r="W129" s="35" t="s">
        <v>70</v>
      </c>
      <c r="X129" s="270">
        <v>28</v>
      </c>
      <c r="Y129" s="271">
        <f>IFERROR(IF(X129="","",X129),"")</f>
        <v>28</v>
      </c>
      <c r="Z129" s="36">
        <f>IFERROR(IF(X129="","",X129*0.01788),"")</f>
        <v>0.50063999999999997</v>
      </c>
      <c r="AA129" s="56"/>
      <c r="AB129" s="57"/>
      <c r="AC129" s="158" t="s">
        <v>210</v>
      </c>
      <c r="AG129" s="67"/>
      <c r="AJ129" s="71" t="s">
        <v>86</v>
      </c>
      <c r="AK129" s="71">
        <v>14</v>
      </c>
      <c r="BB129" s="159" t="s">
        <v>82</v>
      </c>
      <c r="BM129" s="67">
        <f>IFERROR(X129*I129,"0")</f>
        <v>103.70079999999999</v>
      </c>
      <c r="BN129" s="67">
        <f>IFERROR(Y129*I129,"0")</f>
        <v>103.70079999999999</v>
      </c>
      <c r="BO129" s="67">
        <f>IFERROR(X129/J129,"0")</f>
        <v>0.4</v>
      </c>
      <c r="BP129" s="67">
        <f>IFERROR(Y129/J129,"0")</f>
        <v>0.4</v>
      </c>
    </row>
    <row r="130" spans="1:68" x14ac:dyDescent="0.2">
      <c r="A130" s="289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90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2">
        <f>IFERROR(SUM(X128:X129),"0")</f>
        <v>42</v>
      </c>
      <c r="Y130" s="272">
        <f>IFERROR(SUM(Y128:Y129),"0")</f>
        <v>42</v>
      </c>
      <c r="Z130" s="272">
        <f>IFERROR(IF(Z128="",0,Z128),"0")+IFERROR(IF(Z129="",0,Z129),"0")</f>
        <v>0.75095999999999996</v>
      </c>
      <c r="AA130" s="273"/>
      <c r="AB130" s="273"/>
      <c r="AC130" s="273"/>
    </row>
    <row r="131" spans="1:68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90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2">
        <f>IFERROR(SUMPRODUCT(X128:X129*H128:H129),"0")</f>
        <v>126</v>
      </c>
      <c r="Y131" s="272">
        <f>IFERROR(SUMPRODUCT(Y128:Y129*H128:H129),"0")</f>
        <v>126</v>
      </c>
      <c r="Z131" s="37"/>
      <c r="AA131" s="273"/>
      <c r="AB131" s="273"/>
      <c r="AC131" s="273"/>
    </row>
    <row r="132" spans="1:68" ht="16.5" hidden="1" customHeight="1" x14ac:dyDescent="0.25">
      <c r="A132" s="305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5"/>
      <c r="AB132" s="265"/>
      <c r="AC132" s="265"/>
    </row>
    <row r="133" spans="1:68" ht="14.25" hidden="1" customHeight="1" x14ac:dyDescent="0.25">
      <c r="A133" s="279" t="s">
        <v>123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4"/>
      <c r="AB133" s="264"/>
      <c r="AC133" s="264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70">
        <v>42</v>
      </c>
      <c r="Y134" s="271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201</v>
      </c>
      <c r="AG134" s="67"/>
      <c r="AJ134" s="71" t="s">
        <v>72</v>
      </c>
      <c r="AK134" s="71">
        <v>1</v>
      </c>
      <c r="BB134" s="161" t="s">
        <v>82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ht="27" hidden="1" customHeight="1" x14ac:dyDescent="0.25">
      <c r="A135" s="54" t="s">
        <v>214</v>
      </c>
      <c r="B135" s="54" t="s">
        <v>215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85</v>
      </c>
      <c r="M135" s="33" t="s">
        <v>69</v>
      </c>
      <c r="N135" s="33"/>
      <c r="O135" s="32">
        <v>180</v>
      </c>
      <c r="P135" s="4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6"/>
      <c r="R135" s="286"/>
      <c r="S135" s="286"/>
      <c r="T135" s="287"/>
      <c r="U135" s="34"/>
      <c r="V135" s="34"/>
      <c r="W135" s="35" t="s">
        <v>70</v>
      </c>
      <c r="X135" s="270">
        <v>0</v>
      </c>
      <c r="Y135" s="271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86</v>
      </c>
      <c r="AK135" s="71">
        <v>14</v>
      </c>
      <c r="BB135" s="163" t="s">
        <v>82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9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90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2">
        <f>IFERROR(SUM(X134:X135),"0")</f>
        <v>42</v>
      </c>
      <c r="Y136" s="272">
        <f>IFERROR(SUM(Y134:Y135),"0")</f>
        <v>42</v>
      </c>
      <c r="Z136" s="272">
        <f>IFERROR(IF(Z134="",0,Z134),"0")+IFERROR(IF(Z135="",0,Z135),"0")</f>
        <v>0.75095999999999996</v>
      </c>
      <c r="AA136" s="273"/>
      <c r="AB136" s="273"/>
      <c r="AC136" s="273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90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2">
        <f>IFERROR(SUMPRODUCT(X134:X135*H134:H135),"0")</f>
        <v>100.8</v>
      </c>
      <c r="Y137" s="272">
        <f>IFERROR(SUMPRODUCT(Y134:Y135*H134:H135),"0")</f>
        <v>100.8</v>
      </c>
      <c r="Z137" s="37"/>
      <c r="AA137" s="273"/>
      <c r="AB137" s="273"/>
      <c r="AC137" s="273"/>
    </row>
    <row r="138" spans="1:68" ht="16.5" hidden="1" customHeight="1" x14ac:dyDescent="0.25">
      <c r="A138" s="305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5"/>
      <c r="AB138" s="265"/>
      <c r="AC138" s="265"/>
    </row>
    <row r="139" spans="1:68" ht="14.25" hidden="1" customHeight="1" x14ac:dyDescent="0.25">
      <c r="A139" s="279" t="s">
        <v>123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4"/>
      <c r="AB139" s="264"/>
      <c r="AC139" s="264"/>
    </row>
    <row r="140" spans="1:68" ht="27" hidden="1" customHeight="1" x14ac:dyDescent="0.25">
      <c r="A140" s="54" t="s">
        <v>217</v>
      </c>
      <c r="B140" s="54" t="s">
        <v>218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85</v>
      </c>
      <c r="M140" s="33" t="s">
        <v>69</v>
      </c>
      <c r="N140" s="33"/>
      <c r="O140" s="32">
        <v>180</v>
      </c>
      <c r="P140" s="38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70">
        <v>0</v>
      </c>
      <c r="Y140" s="271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86</v>
      </c>
      <c r="AK140" s="71">
        <v>14</v>
      </c>
      <c r="BB140" s="165" t="s">
        <v>82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9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90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2">
        <f>IFERROR(SUM(X140:X140),"0")</f>
        <v>0</v>
      </c>
      <c r="Y141" s="272">
        <f>IFERROR(SUM(Y140:Y140),"0")</f>
        <v>0</v>
      </c>
      <c r="Z141" s="272">
        <f>IFERROR(IF(Z140="",0,Z140),"0")</f>
        <v>0</v>
      </c>
      <c r="AA141" s="273"/>
      <c r="AB141" s="273"/>
      <c r="AC141" s="273"/>
    </row>
    <row r="142" spans="1:68" hidden="1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90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2">
        <f>IFERROR(SUMPRODUCT(X140:X140*H140:H140),"0")</f>
        <v>0</v>
      </c>
      <c r="Y142" s="272">
        <f>IFERROR(SUMPRODUCT(Y140:Y140*H140:H140),"0")</f>
        <v>0</v>
      </c>
      <c r="Z142" s="37"/>
      <c r="AA142" s="273"/>
      <c r="AB142" s="273"/>
      <c r="AC142" s="273"/>
    </row>
    <row r="143" spans="1:68" ht="16.5" hidden="1" customHeight="1" x14ac:dyDescent="0.25">
      <c r="A143" s="305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5"/>
      <c r="AB143" s="265"/>
      <c r="AC143" s="265"/>
    </row>
    <row r="144" spans="1:68" ht="14.25" hidden="1" customHeight="1" x14ac:dyDescent="0.25">
      <c r="A144" s="279" t="s">
        <v>123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4"/>
      <c r="AB144" s="264"/>
      <c r="AC144" s="264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85</v>
      </c>
      <c r="M145" s="33" t="s">
        <v>69</v>
      </c>
      <c r="N145" s="33"/>
      <c r="O145" s="32">
        <v>180</v>
      </c>
      <c r="P145" s="2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70">
        <v>0</v>
      </c>
      <c r="Y145" s="271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86</v>
      </c>
      <c r="AK145" s="71">
        <v>14</v>
      </c>
      <c r="BB145" s="167" t="s">
        <v>82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9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90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2">
        <f>IFERROR(SUM(X145:X145),"0")</f>
        <v>0</v>
      </c>
      <c r="Y146" s="272">
        <f>IFERROR(SUM(Y145:Y145),"0")</f>
        <v>0</v>
      </c>
      <c r="Z146" s="272">
        <f>IFERROR(IF(Z145="",0,Z145),"0")</f>
        <v>0</v>
      </c>
      <c r="AA146" s="273"/>
      <c r="AB146" s="273"/>
      <c r="AC146" s="273"/>
    </row>
    <row r="147" spans="1:68" hidden="1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90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2">
        <f>IFERROR(SUMPRODUCT(X145:X145*H145:H145),"0")</f>
        <v>0</v>
      </c>
      <c r="Y147" s="272">
        <f>IFERROR(SUMPRODUCT(Y145:Y145*H145:H145),"0")</f>
        <v>0</v>
      </c>
      <c r="Z147" s="37"/>
      <c r="AA147" s="273"/>
      <c r="AB147" s="273"/>
      <c r="AC147" s="273"/>
    </row>
    <row r="148" spans="1:68" ht="16.5" hidden="1" customHeight="1" x14ac:dyDescent="0.25">
      <c r="A148" s="305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5"/>
      <c r="AB148" s="265"/>
      <c r="AC148" s="265"/>
    </row>
    <row r="149" spans="1:68" ht="14.25" hidden="1" customHeight="1" x14ac:dyDescent="0.25">
      <c r="A149" s="279" t="s">
        <v>194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4"/>
      <c r="AB149" s="264"/>
      <c r="AC149" s="264"/>
    </row>
    <row r="150" spans="1:68" ht="27" hidden="1" customHeight="1" x14ac:dyDescent="0.25">
      <c r="A150" s="54" t="s">
        <v>224</v>
      </c>
      <c r="B150" s="54" t="s">
        <v>225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226</v>
      </c>
      <c r="L150" s="32" t="s">
        <v>85</v>
      </c>
      <c r="M150" s="33" t="s">
        <v>69</v>
      </c>
      <c r="N150" s="33"/>
      <c r="O150" s="32">
        <v>180</v>
      </c>
      <c r="P150" s="28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86</v>
      </c>
      <c r="AK150" s="71">
        <v>6</v>
      </c>
      <c r="BB150" s="169" t="s">
        <v>82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9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90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hidden="1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90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hidden="1" customHeight="1" x14ac:dyDescent="0.25">
      <c r="A153" s="305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5"/>
      <c r="AB153" s="265"/>
      <c r="AC153" s="265"/>
    </row>
    <row r="154" spans="1:68" ht="14.25" hidden="1" customHeight="1" x14ac:dyDescent="0.25">
      <c r="A154" s="279" t="s">
        <v>123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4"/>
      <c r="AB154" s="264"/>
      <c r="AC154" s="264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85</v>
      </c>
      <c r="M155" s="33" t="s">
        <v>69</v>
      </c>
      <c r="N155" s="33"/>
      <c r="O155" s="32">
        <v>180</v>
      </c>
      <c r="P15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70">
        <v>14</v>
      </c>
      <c r="Y155" s="271">
        <f>IFERROR(IF(X155="","",X155),"")</f>
        <v>14</v>
      </c>
      <c r="Z155" s="36">
        <f>IFERROR(IF(X155="","",X155*0.00941),"")</f>
        <v>0.13174</v>
      </c>
      <c r="AA155" s="56"/>
      <c r="AB155" s="57"/>
      <c r="AC155" s="170" t="s">
        <v>231</v>
      </c>
      <c r="AG155" s="67"/>
      <c r="AJ155" s="71" t="s">
        <v>86</v>
      </c>
      <c r="AK155" s="71">
        <v>14</v>
      </c>
      <c r="BB155" s="171" t="s">
        <v>82</v>
      </c>
      <c r="BM155" s="67">
        <f>IFERROR(X155*I155,"0")</f>
        <v>29.425199999999997</v>
      </c>
      <c r="BN155" s="67">
        <f>IFERROR(Y155*I155,"0")</f>
        <v>29.425199999999997</v>
      </c>
      <c r="BO155" s="67">
        <f>IFERROR(X155/J155,"0")</f>
        <v>0.1</v>
      </c>
      <c r="BP155" s="67">
        <f>IFERROR(Y155/J155,"0")</f>
        <v>0.1</v>
      </c>
    </row>
    <row r="156" spans="1:68" x14ac:dyDescent="0.2">
      <c r="A156" s="289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90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2">
        <f>IFERROR(SUM(X155:X155),"0")</f>
        <v>14</v>
      </c>
      <c r="Y156" s="272">
        <f>IFERROR(SUM(Y155:Y155),"0")</f>
        <v>14</v>
      </c>
      <c r="Z156" s="272">
        <f>IFERROR(IF(Z155="",0,Z155),"0")</f>
        <v>0.13174</v>
      </c>
      <c r="AA156" s="273"/>
      <c r="AB156" s="273"/>
      <c r="AC156" s="273"/>
    </row>
    <row r="157" spans="1:68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90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2">
        <f>IFERROR(SUMPRODUCT(X155:X155*H155:H155),"0")</f>
        <v>23.52</v>
      </c>
      <c r="Y157" s="272">
        <f>IFERROR(SUMPRODUCT(Y155:Y155*H155:H155),"0")</f>
        <v>23.52</v>
      </c>
      <c r="Z157" s="37"/>
      <c r="AA157" s="273"/>
      <c r="AB157" s="273"/>
      <c r="AC157" s="273"/>
    </row>
    <row r="158" spans="1:68" ht="27.75" hidden="1" customHeight="1" x14ac:dyDescent="0.2">
      <c r="A158" s="315" t="s">
        <v>232</v>
      </c>
      <c r="B158" s="316"/>
      <c r="C158" s="316"/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6"/>
      <c r="P158" s="316"/>
      <c r="Q158" s="316"/>
      <c r="R158" s="316"/>
      <c r="S158" s="316"/>
      <c r="T158" s="316"/>
      <c r="U158" s="316"/>
      <c r="V158" s="316"/>
      <c r="W158" s="316"/>
      <c r="X158" s="316"/>
      <c r="Y158" s="316"/>
      <c r="Z158" s="316"/>
      <c r="AA158" s="48"/>
      <c r="AB158" s="48"/>
      <c r="AC158" s="48"/>
    </row>
    <row r="159" spans="1:68" ht="16.5" hidden="1" customHeight="1" x14ac:dyDescent="0.25">
      <c r="A159" s="305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5"/>
      <c r="AB159" s="265"/>
      <c r="AC159" s="265"/>
    </row>
    <row r="160" spans="1:68" ht="14.25" hidden="1" customHeight="1" x14ac:dyDescent="0.25">
      <c r="A160" s="279" t="s">
        <v>64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4"/>
      <c r="AB160" s="264"/>
      <c r="AC160" s="264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6"/>
      <c r="R161" s="286"/>
      <c r="S161" s="286"/>
      <c r="T161" s="287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hidden="1" customHeight="1" x14ac:dyDescent="0.25">
      <c r="A162" s="54" t="s">
        <v>237</v>
      </c>
      <c r="B162" s="54" t="s">
        <v>238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85</v>
      </c>
      <c r="M162" s="33" t="s">
        <v>69</v>
      </c>
      <c r="N162" s="33"/>
      <c r="O162" s="32">
        <v>180</v>
      </c>
      <c r="P162" s="41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6"/>
      <c r="R162" s="286"/>
      <c r="S162" s="286"/>
      <c r="T162" s="287"/>
      <c r="U162" s="34"/>
      <c r="V162" s="34"/>
      <c r="W162" s="35" t="s">
        <v>70</v>
      </c>
      <c r="X162" s="270">
        <v>0</v>
      </c>
      <c r="Y162" s="271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239</v>
      </c>
      <c r="AG162" s="67"/>
      <c r="AJ162" s="71" t="s">
        <v>86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90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2">
        <f>IFERROR(SUM(X161:X162),"0")</f>
        <v>0</v>
      </c>
      <c r="Y163" s="272">
        <f>IFERROR(SUM(Y161:Y162),"0")</f>
        <v>0</v>
      </c>
      <c r="Z163" s="272">
        <f>IFERROR(IF(Z161="",0,Z161),"0")+IFERROR(IF(Z162="",0,Z162),"0")</f>
        <v>0</v>
      </c>
      <c r="AA163" s="273"/>
      <c r="AB163" s="273"/>
      <c r="AC163" s="273"/>
    </row>
    <row r="164" spans="1:68" hidden="1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90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2">
        <f>IFERROR(SUMPRODUCT(X161:X162*H161:H162),"0")</f>
        <v>0</v>
      </c>
      <c r="Y164" s="272">
        <f>IFERROR(SUMPRODUCT(Y161:Y162*H161:H162),"0")</f>
        <v>0</v>
      </c>
      <c r="Z164" s="37"/>
      <c r="AA164" s="273"/>
      <c r="AB164" s="273"/>
      <c r="AC164" s="273"/>
    </row>
    <row r="165" spans="1:68" ht="27.75" hidden="1" customHeight="1" x14ac:dyDescent="0.2">
      <c r="A165" s="315" t="s">
        <v>240</v>
      </c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6"/>
      <c r="P165" s="316"/>
      <c r="Q165" s="316"/>
      <c r="R165" s="316"/>
      <c r="S165" s="316"/>
      <c r="T165" s="316"/>
      <c r="U165" s="316"/>
      <c r="V165" s="316"/>
      <c r="W165" s="316"/>
      <c r="X165" s="316"/>
      <c r="Y165" s="316"/>
      <c r="Z165" s="316"/>
      <c r="AA165" s="48"/>
      <c r="AB165" s="48"/>
      <c r="AC165" s="48"/>
    </row>
    <row r="166" spans="1:68" ht="16.5" hidden="1" customHeight="1" x14ac:dyDescent="0.25">
      <c r="A166" s="305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5"/>
      <c r="AB166" s="265"/>
      <c r="AC166" s="265"/>
    </row>
    <row r="167" spans="1:68" ht="14.25" hidden="1" customHeight="1" x14ac:dyDescent="0.25">
      <c r="A167" s="279" t="s">
        <v>77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4"/>
      <c r="AB167" s="264"/>
      <c r="AC167" s="264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85</v>
      </c>
      <c r="M168" s="33" t="s">
        <v>69</v>
      </c>
      <c r="N168" s="33"/>
      <c r="O168" s="32">
        <v>365</v>
      </c>
      <c r="P168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6"/>
      <c r="R168" s="286"/>
      <c r="S168" s="286"/>
      <c r="T168" s="287"/>
      <c r="U168" s="34"/>
      <c r="V168" s="34"/>
      <c r="W168" s="35" t="s">
        <v>70</v>
      </c>
      <c r="X168" s="270">
        <v>14</v>
      </c>
      <c r="Y168" s="271">
        <f>IFERROR(IF(X168="","",X168),"")</f>
        <v>14</v>
      </c>
      <c r="Z168" s="36">
        <f>IFERROR(IF(X168="","",X168*0.01788),"")</f>
        <v>0.25031999999999999</v>
      </c>
      <c r="AA168" s="56"/>
      <c r="AB168" s="57"/>
      <c r="AC168" s="176" t="s">
        <v>244</v>
      </c>
      <c r="AG168" s="67"/>
      <c r="AJ168" s="71" t="s">
        <v>86</v>
      </c>
      <c r="AK168" s="71">
        <v>14</v>
      </c>
      <c r="BB168" s="177" t="s">
        <v>82</v>
      </c>
      <c r="BM168" s="67">
        <f>IFERROR(X168*I168,"0")</f>
        <v>47.432000000000002</v>
      </c>
      <c r="BN168" s="67">
        <f>IFERROR(Y168*I168,"0")</f>
        <v>47.432000000000002</v>
      </c>
      <c r="BO168" s="67">
        <f>IFERROR(X168/J168,"0")</f>
        <v>0.2</v>
      </c>
      <c r="BP168" s="67">
        <f>IFERROR(Y168/J168,"0")</f>
        <v>0.2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85</v>
      </c>
      <c r="M169" s="33" t="s">
        <v>69</v>
      </c>
      <c r="N169" s="33"/>
      <c r="O169" s="32">
        <v>365</v>
      </c>
      <c r="P169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6"/>
      <c r="R169" s="286"/>
      <c r="S169" s="286"/>
      <c r="T169" s="287"/>
      <c r="U169" s="34"/>
      <c r="V169" s="34"/>
      <c r="W169" s="35" t="s">
        <v>70</v>
      </c>
      <c r="X169" s="270">
        <v>0</v>
      </c>
      <c r="Y169" s="271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86</v>
      </c>
      <c r="AK169" s="71">
        <v>14</v>
      </c>
      <c r="BB169" s="179" t="s">
        <v>82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hidden="1" customHeight="1" x14ac:dyDescent="0.25">
      <c r="A170" s="54" t="s">
        <v>248</v>
      </c>
      <c r="B170" s="54" t="s">
        <v>249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85</v>
      </c>
      <c r="M170" s="33" t="s">
        <v>69</v>
      </c>
      <c r="N170" s="33"/>
      <c r="O170" s="32">
        <v>180</v>
      </c>
      <c r="P170" s="30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6"/>
      <c r="R170" s="286"/>
      <c r="S170" s="286"/>
      <c r="T170" s="287"/>
      <c r="U170" s="34"/>
      <c r="V170" s="34"/>
      <c r="W170" s="35" t="s">
        <v>70</v>
      </c>
      <c r="X170" s="270">
        <v>0</v>
      </c>
      <c r="Y170" s="271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86</v>
      </c>
      <c r="AK170" s="71">
        <v>14</v>
      </c>
      <c r="BB170" s="181" t="s">
        <v>82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9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90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2">
        <f>IFERROR(SUM(X168:X170),"0")</f>
        <v>14</v>
      </c>
      <c r="Y171" s="272">
        <f>IFERROR(SUM(Y168:Y170),"0")</f>
        <v>14</v>
      </c>
      <c r="Z171" s="272">
        <f>IFERROR(IF(Z168="",0,Z168),"0")+IFERROR(IF(Z169="",0,Z169),"0")+IFERROR(IF(Z170="",0,Z170),"0")</f>
        <v>0.25031999999999999</v>
      </c>
      <c r="AA171" s="273"/>
      <c r="AB171" s="273"/>
      <c r="AC171" s="273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90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2">
        <f>IFERROR(SUMPRODUCT(X168:X170*H168:H170),"0")</f>
        <v>42</v>
      </c>
      <c r="Y172" s="272">
        <f>IFERROR(SUMPRODUCT(Y168:Y170*H168:H170),"0")</f>
        <v>42</v>
      </c>
      <c r="Z172" s="37"/>
      <c r="AA172" s="273"/>
      <c r="AB172" s="273"/>
      <c r="AC172" s="273"/>
    </row>
    <row r="173" spans="1:68" ht="14.25" hidden="1" customHeight="1" x14ac:dyDescent="0.25">
      <c r="A173" s="279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4"/>
      <c r="AB173" s="264"/>
      <c r="AC173" s="264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254</v>
      </c>
      <c r="L174" s="32" t="s">
        <v>68</v>
      </c>
      <c r="M174" s="33" t="s">
        <v>255</v>
      </c>
      <c r="N174" s="33"/>
      <c r="O174" s="32">
        <v>365</v>
      </c>
      <c r="P174" s="432" t="s">
        <v>256</v>
      </c>
      <c r="Q174" s="286"/>
      <c r="R174" s="286"/>
      <c r="S174" s="286"/>
      <c r="T174" s="287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72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9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90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90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315" t="s">
        <v>259</v>
      </c>
      <c r="B177" s="316"/>
      <c r="C177" s="316"/>
      <c r="D177" s="316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316"/>
      <c r="AA177" s="48"/>
      <c r="AB177" s="48"/>
      <c r="AC177" s="48"/>
    </row>
    <row r="178" spans="1:68" ht="16.5" hidden="1" customHeight="1" x14ac:dyDescent="0.25">
      <c r="A178" s="305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5"/>
      <c r="AB178" s="265"/>
      <c r="AC178" s="265"/>
    </row>
    <row r="179" spans="1:68" ht="14.25" hidden="1" customHeight="1" x14ac:dyDescent="0.25">
      <c r="A179" s="279" t="s">
        <v>77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4"/>
      <c r="AB179" s="264"/>
      <c r="AC179" s="264"/>
    </row>
    <row r="180" spans="1:68" ht="27" hidden="1" customHeight="1" x14ac:dyDescent="0.25">
      <c r="A180" s="54" t="s">
        <v>261</v>
      </c>
      <c r="B180" s="54" t="s">
        <v>262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85</v>
      </c>
      <c r="M180" s="33" t="s">
        <v>69</v>
      </c>
      <c r="N180" s="33"/>
      <c r="O180" s="32">
        <v>180</v>
      </c>
      <c r="P180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6"/>
      <c r="R180" s="286"/>
      <c r="S180" s="286"/>
      <c r="T180" s="287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86</v>
      </c>
      <c r="AK180" s="71">
        <v>14</v>
      </c>
      <c r="BB180" s="185" t="s">
        <v>82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9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90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hidden="1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90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hidden="1" customHeight="1" x14ac:dyDescent="0.25">
      <c r="A183" s="279" t="s">
        <v>123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4"/>
      <c r="AB183" s="264"/>
      <c r="AC183" s="264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85</v>
      </c>
      <c r="M184" s="33" t="s">
        <v>69</v>
      </c>
      <c r="N184" s="33"/>
      <c r="O184" s="32">
        <v>180</v>
      </c>
      <c r="P184" s="33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6"/>
      <c r="R184" s="286"/>
      <c r="S184" s="286"/>
      <c r="T184" s="287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86</v>
      </c>
      <c r="AK184" s="71">
        <v>14</v>
      </c>
      <c r="BB184" s="187" t="s">
        <v>82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85</v>
      </c>
      <c r="M185" s="33" t="s">
        <v>69</v>
      </c>
      <c r="N185" s="33"/>
      <c r="O185" s="32">
        <v>180</v>
      </c>
      <c r="P185" s="37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6"/>
      <c r="R185" s="286"/>
      <c r="S185" s="286"/>
      <c r="T185" s="287"/>
      <c r="U185" s="34"/>
      <c r="V185" s="34"/>
      <c r="W185" s="35" t="s">
        <v>70</v>
      </c>
      <c r="X185" s="270">
        <v>0</v>
      </c>
      <c r="Y185" s="271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269</v>
      </c>
      <c r="AG185" s="67"/>
      <c r="AJ185" s="71" t="s">
        <v>86</v>
      </c>
      <c r="AK185" s="71">
        <v>14</v>
      </c>
      <c r="BB185" s="189" t="s">
        <v>82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85</v>
      </c>
      <c r="M186" s="33" t="s">
        <v>69</v>
      </c>
      <c r="N186" s="33"/>
      <c r="O186" s="32">
        <v>180</v>
      </c>
      <c r="P186" s="44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6"/>
      <c r="R186" s="286"/>
      <c r="S186" s="286"/>
      <c r="T186" s="287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86</v>
      </c>
      <c r="AK186" s="71">
        <v>14</v>
      </c>
      <c r="BB186" s="191" t="s">
        <v>82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272</v>
      </c>
      <c r="B187" s="54" t="s">
        <v>273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85</v>
      </c>
      <c r="M187" s="33" t="s">
        <v>69</v>
      </c>
      <c r="N187" s="33"/>
      <c r="O187" s="32">
        <v>180</v>
      </c>
      <c r="P187" s="36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6"/>
      <c r="R187" s="286"/>
      <c r="S187" s="286"/>
      <c r="T187" s="287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274</v>
      </c>
      <c r="AG187" s="67"/>
      <c r="AJ187" s="71" t="s">
        <v>86</v>
      </c>
      <c r="AK187" s="71">
        <v>14</v>
      </c>
      <c r="BB187" s="193" t="s">
        <v>82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9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90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2">
        <f>IFERROR(SUM(X184:X187),"0")</f>
        <v>0</v>
      </c>
      <c r="Y188" s="272">
        <f>IFERROR(SUM(Y184:Y187),"0")</f>
        <v>0</v>
      </c>
      <c r="Z188" s="272">
        <f>IFERROR(IF(Z184="",0,Z184),"0")+IFERROR(IF(Z185="",0,Z185),"0")+IFERROR(IF(Z186="",0,Z186),"0")+IFERROR(IF(Z187="",0,Z187),"0")</f>
        <v>0</v>
      </c>
      <c r="AA188" s="273"/>
      <c r="AB188" s="273"/>
      <c r="AC188" s="273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90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2">
        <f>IFERROR(SUMPRODUCT(X184:X187*H184:H187),"0")</f>
        <v>0</v>
      </c>
      <c r="Y189" s="272">
        <f>IFERROR(SUMPRODUCT(Y184:Y187*H184:H187),"0")</f>
        <v>0</v>
      </c>
      <c r="Z189" s="37"/>
      <c r="AA189" s="273"/>
      <c r="AB189" s="273"/>
      <c r="AC189" s="273"/>
    </row>
    <row r="190" spans="1:68" ht="16.5" hidden="1" customHeight="1" x14ac:dyDescent="0.25">
      <c r="A190" s="305" t="s">
        <v>275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5"/>
      <c r="AB190" s="265"/>
      <c r="AC190" s="265"/>
    </row>
    <row r="191" spans="1:68" ht="14.25" hidden="1" customHeight="1" x14ac:dyDescent="0.25">
      <c r="A191" s="279" t="s">
        <v>64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4"/>
      <c r="AB191" s="264"/>
      <c r="AC191" s="264"/>
    </row>
    <row r="192" spans="1:68" ht="27" hidden="1" customHeight="1" x14ac:dyDescent="0.25">
      <c r="A192" s="54" t="s">
        <v>276</v>
      </c>
      <c r="B192" s="54" t="s">
        <v>277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54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278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278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6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70</v>
      </c>
      <c r="X194" s="270">
        <v>36</v>
      </c>
      <c r="Y194" s="271">
        <f>IFERROR(IF(X194="","",X194),"")</f>
        <v>36</v>
      </c>
      <c r="Z194" s="36">
        <f>IFERROR(IF(X194="","",X194*0.0155),"")</f>
        <v>0.55800000000000005</v>
      </c>
      <c r="AA194" s="56"/>
      <c r="AB194" s="57"/>
      <c r="AC194" s="198" t="s">
        <v>278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268.92</v>
      </c>
      <c r="BN194" s="67">
        <f>IFERROR(Y194*I194,"0")</f>
        <v>268.92</v>
      </c>
      <c r="BO194" s="67">
        <f>IFERROR(X194/J194,"0")</f>
        <v>0.42857142857142855</v>
      </c>
      <c r="BP194" s="67">
        <f>IFERROR(Y194/J194,"0")</f>
        <v>0.42857142857142855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71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278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285</v>
      </c>
      <c r="B196" s="54" t="s">
        <v>286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1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6"/>
      <c r="R196" s="286"/>
      <c r="S196" s="286"/>
      <c r="T196" s="287"/>
      <c r="U196" s="34"/>
      <c r="V196" s="34"/>
      <c r="W196" s="35" t="s">
        <v>70</v>
      </c>
      <c r="X196" s="270">
        <v>24</v>
      </c>
      <c r="Y196" s="271">
        <f>IFERROR(IF(X196="","",X196),"")</f>
        <v>24</v>
      </c>
      <c r="Z196" s="36">
        <f>IFERROR(IF(X196="","",X196*0.0155),"")</f>
        <v>0.372</v>
      </c>
      <c r="AA196" s="56"/>
      <c r="AB196" s="57"/>
      <c r="AC196" s="202" t="s">
        <v>278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179.28</v>
      </c>
      <c r="BN196" s="67">
        <f>IFERROR(Y196*I196,"0")</f>
        <v>179.28</v>
      </c>
      <c r="BO196" s="67">
        <f>IFERROR(X196/J196,"0")</f>
        <v>0.2857142857142857</v>
      </c>
      <c r="BP196" s="67">
        <f>IFERROR(Y196/J196,"0")</f>
        <v>0.2857142857142857</v>
      </c>
    </row>
    <row r="197" spans="1:68" x14ac:dyDescent="0.2">
      <c r="A197" s="289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90"/>
      <c r="P197" s="276" t="s">
        <v>73</v>
      </c>
      <c r="Q197" s="277"/>
      <c r="R197" s="277"/>
      <c r="S197" s="277"/>
      <c r="T197" s="277"/>
      <c r="U197" s="277"/>
      <c r="V197" s="278"/>
      <c r="W197" s="37" t="s">
        <v>70</v>
      </c>
      <c r="X197" s="272">
        <f>IFERROR(SUM(X192:X196),"0")</f>
        <v>60</v>
      </c>
      <c r="Y197" s="272">
        <f>IFERROR(SUM(Y192:Y196),"0")</f>
        <v>60</v>
      </c>
      <c r="Z197" s="272">
        <f>IFERROR(IF(Z192="",0,Z192),"0")+IFERROR(IF(Z193="",0,Z193),"0")+IFERROR(IF(Z194="",0,Z194),"0")+IFERROR(IF(Z195="",0,Z195),"0")+IFERROR(IF(Z196="",0,Z196),"0")</f>
        <v>0.93</v>
      </c>
      <c r="AA197" s="273"/>
      <c r="AB197" s="273"/>
      <c r="AC197" s="273"/>
    </row>
    <row r="198" spans="1:68" x14ac:dyDescent="0.2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90"/>
      <c r="P198" s="276" t="s">
        <v>73</v>
      </c>
      <c r="Q198" s="277"/>
      <c r="R198" s="277"/>
      <c r="S198" s="277"/>
      <c r="T198" s="277"/>
      <c r="U198" s="277"/>
      <c r="V198" s="278"/>
      <c r="W198" s="37" t="s">
        <v>74</v>
      </c>
      <c r="X198" s="272">
        <f>IFERROR(SUMPRODUCT(X192:X196*H192:H196),"0")</f>
        <v>432</v>
      </c>
      <c r="Y198" s="272">
        <f>IFERROR(SUMPRODUCT(Y192:Y196*H192:H196),"0")</f>
        <v>432</v>
      </c>
      <c r="Z198" s="37"/>
      <c r="AA198" s="273"/>
      <c r="AB198" s="273"/>
      <c r="AC198" s="273"/>
    </row>
    <row r="199" spans="1:68" ht="16.5" hidden="1" customHeight="1" x14ac:dyDescent="0.25">
      <c r="A199" s="305" t="s">
        <v>287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5"/>
      <c r="AB199" s="265"/>
      <c r="AC199" s="265"/>
    </row>
    <row r="200" spans="1:68" ht="14.25" hidden="1" customHeight="1" x14ac:dyDescent="0.25">
      <c r="A200" s="279" t="s">
        <v>64</v>
      </c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64"/>
      <c r="AB200" s="264"/>
      <c r="AC200" s="264"/>
    </row>
    <row r="201" spans="1:68" ht="27" customHeight="1" x14ac:dyDescent="0.25">
      <c r="A201" s="54" t="s">
        <v>288</v>
      </c>
      <c r="B201" s="54" t="s">
        <v>289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85</v>
      </c>
      <c r="M201" s="33" t="s">
        <v>69</v>
      </c>
      <c r="N201" s="33"/>
      <c r="O201" s="32">
        <v>180</v>
      </c>
      <c r="P201" s="423" t="s">
        <v>290</v>
      </c>
      <c r="Q201" s="286"/>
      <c r="R201" s="286"/>
      <c r="S201" s="286"/>
      <c r="T201" s="287"/>
      <c r="U201" s="34"/>
      <c r="V201" s="34"/>
      <c r="W201" s="35" t="s">
        <v>70</v>
      </c>
      <c r="X201" s="270">
        <v>12</v>
      </c>
      <c r="Y201" s="271">
        <f>IFERROR(IF(X201="","",X201),"")</f>
        <v>12</v>
      </c>
      <c r="Z201" s="36">
        <f>IFERROR(IF(X201="","",X201*0.0155),"")</f>
        <v>0.186</v>
      </c>
      <c r="AA201" s="56"/>
      <c r="AB201" s="57"/>
      <c r="AC201" s="204" t="s">
        <v>291</v>
      </c>
      <c r="AG201" s="67"/>
      <c r="AJ201" s="71" t="s">
        <v>86</v>
      </c>
      <c r="AK201" s="71">
        <v>12</v>
      </c>
      <c r="BB201" s="205" t="s">
        <v>1</v>
      </c>
      <c r="BM201" s="67">
        <f>IFERROR(X201*I201,"0")</f>
        <v>62.760000000000005</v>
      </c>
      <c r="BN201" s="67">
        <f>IFERROR(Y201*I201,"0")</f>
        <v>62.760000000000005</v>
      </c>
      <c r="BO201" s="67">
        <f>IFERROR(X201/J201,"0")</f>
        <v>0.14285714285714285</v>
      </c>
      <c r="BP201" s="67">
        <f>IFERROR(Y201/J201,"0")</f>
        <v>0.14285714285714285</v>
      </c>
    </row>
    <row r="202" spans="1:68" x14ac:dyDescent="0.2">
      <c r="A202" s="289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90"/>
      <c r="P202" s="276" t="s">
        <v>73</v>
      </c>
      <c r="Q202" s="277"/>
      <c r="R202" s="277"/>
      <c r="S202" s="277"/>
      <c r="T202" s="277"/>
      <c r="U202" s="277"/>
      <c r="V202" s="278"/>
      <c r="W202" s="37" t="s">
        <v>70</v>
      </c>
      <c r="X202" s="272">
        <f>IFERROR(SUM(X201:X201),"0")</f>
        <v>12</v>
      </c>
      <c r="Y202" s="272">
        <f>IFERROR(SUM(Y201:Y201),"0")</f>
        <v>12</v>
      </c>
      <c r="Z202" s="272">
        <f>IFERROR(IF(Z201="",0,Z201),"0")</f>
        <v>0.186</v>
      </c>
      <c r="AA202" s="273"/>
      <c r="AB202" s="273"/>
      <c r="AC202" s="273"/>
    </row>
    <row r="203" spans="1:68" x14ac:dyDescent="0.2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90"/>
      <c r="P203" s="276" t="s">
        <v>73</v>
      </c>
      <c r="Q203" s="277"/>
      <c r="R203" s="277"/>
      <c r="S203" s="277"/>
      <c r="T203" s="277"/>
      <c r="U203" s="277"/>
      <c r="V203" s="278"/>
      <c r="W203" s="37" t="s">
        <v>74</v>
      </c>
      <c r="X203" s="272">
        <f>IFERROR(SUMPRODUCT(X201:X201*H201:H201),"0")</f>
        <v>60</v>
      </c>
      <c r="Y203" s="272">
        <f>IFERROR(SUMPRODUCT(Y201:Y201*H201:H201),"0")</f>
        <v>60</v>
      </c>
      <c r="Z203" s="37"/>
      <c r="AA203" s="273"/>
      <c r="AB203" s="273"/>
      <c r="AC203" s="273"/>
    </row>
    <row r="204" spans="1:68" ht="16.5" hidden="1" customHeight="1" x14ac:dyDescent="0.25">
      <c r="A204" s="305" t="s">
        <v>292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5"/>
      <c r="AB204" s="265"/>
      <c r="AC204" s="265"/>
    </row>
    <row r="205" spans="1:68" ht="14.25" hidden="1" customHeight="1" x14ac:dyDescent="0.25">
      <c r="A205" s="279" t="s">
        <v>64</v>
      </c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64"/>
      <c r="AB205" s="264"/>
      <c r="AC205" s="264"/>
    </row>
    <row r="206" spans="1:68" ht="27" hidden="1" customHeight="1" x14ac:dyDescent="0.25">
      <c r="A206" s="54" t="s">
        <v>293</v>
      </c>
      <c r="B206" s="54" t="s">
        <v>294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40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6"/>
      <c r="R206" s="286"/>
      <c r="S206" s="286"/>
      <c r="T206" s="287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295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9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90"/>
      <c r="P207" s="276" t="s">
        <v>73</v>
      </c>
      <c r="Q207" s="277"/>
      <c r="R207" s="277"/>
      <c r="S207" s="277"/>
      <c r="T207" s="277"/>
      <c r="U207" s="277"/>
      <c r="V207" s="278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hidden="1" x14ac:dyDescent="0.2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90"/>
      <c r="P208" s="276" t="s">
        <v>73</v>
      </c>
      <c r="Q208" s="277"/>
      <c r="R208" s="277"/>
      <c r="S208" s="277"/>
      <c r="T208" s="277"/>
      <c r="U208" s="277"/>
      <c r="V208" s="278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hidden="1" customHeight="1" x14ac:dyDescent="0.25">
      <c r="A209" s="279" t="s">
        <v>123</v>
      </c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64"/>
      <c r="AB209" s="264"/>
      <c r="AC209" s="264"/>
    </row>
    <row r="210" spans="1:68" ht="27" hidden="1" customHeight="1" x14ac:dyDescent="0.25">
      <c r="A210" s="54" t="s">
        <v>296</v>
      </c>
      <c r="B210" s="54" t="s">
        <v>297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85</v>
      </c>
      <c r="M210" s="33" t="s">
        <v>69</v>
      </c>
      <c r="N210" s="33"/>
      <c r="O210" s="32">
        <v>180</v>
      </c>
      <c r="P210" s="33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70">
        <v>0</v>
      </c>
      <c r="Y210" s="271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298</v>
      </c>
      <c r="AG210" s="67"/>
      <c r="AJ210" s="71" t="s">
        <v>86</v>
      </c>
      <c r="AK210" s="71">
        <v>14</v>
      </c>
      <c r="BB210" s="209" t="s">
        <v>82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85</v>
      </c>
      <c r="M211" s="33" t="s">
        <v>69</v>
      </c>
      <c r="N211" s="33"/>
      <c r="O211" s="32">
        <v>180</v>
      </c>
      <c r="P211" s="39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298</v>
      </c>
      <c r="AG211" s="67"/>
      <c r="AJ211" s="71" t="s">
        <v>86</v>
      </c>
      <c r="AK211" s="71">
        <v>14</v>
      </c>
      <c r="BB211" s="211" t="s">
        <v>82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301</v>
      </c>
      <c r="B212" s="54" t="s">
        <v>302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85</v>
      </c>
      <c r="M212" s="33" t="s">
        <v>69</v>
      </c>
      <c r="N212" s="33"/>
      <c r="O212" s="32">
        <v>180</v>
      </c>
      <c r="P212" s="40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6"/>
      <c r="R212" s="286"/>
      <c r="S212" s="286"/>
      <c r="T212" s="287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298</v>
      </c>
      <c r="AG212" s="67"/>
      <c r="AJ212" s="71" t="s">
        <v>86</v>
      </c>
      <c r="AK212" s="71">
        <v>14</v>
      </c>
      <c r="BB212" s="213" t="s">
        <v>82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9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90"/>
      <c r="P213" s="276" t="s">
        <v>73</v>
      </c>
      <c r="Q213" s="277"/>
      <c r="R213" s="277"/>
      <c r="S213" s="277"/>
      <c r="T213" s="277"/>
      <c r="U213" s="277"/>
      <c r="V213" s="278"/>
      <c r="W213" s="37" t="s">
        <v>70</v>
      </c>
      <c r="X213" s="272">
        <f>IFERROR(SUM(X210:X212),"0")</f>
        <v>0</v>
      </c>
      <c r="Y213" s="272">
        <f>IFERROR(SUM(Y210:Y212),"0")</f>
        <v>0</v>
      </c>
      <c r="Z213" s="272">
        <f>IFERROR(IF(Z210="",0,Z210),"0")+IFERROR(IF(Z211="",0,Z211),"0")+IFERROR(IF(Z212="",0,Z212),"0")</f>
        <v>0</v>
      </c>
      <c r="AA213" s="273"/>
      <c r="AB213" s="273"/>
      <c r="AC213" s="273"/>
    </row>
    <row r="214" spans="1:68" hidden="1" x14ac:dyDescent="0.2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90"/>
      <c r="P214" s="276" t="s">
        <v>73</v>
      </c>
      <c r="Q214" s="277"/>
      <c r="R214" s="277"/>
      <c r="S214" s="277"/>
      <c r="T214" s="277"/>
      <c r="U214" s="277"/>
      <c r="V214" s="278"/>
      <c r="W214" s="37" t="s">
        <v>74</v>
      </c>
      <c r="X214" s="272">
        <f>IFERROR(SUMPRODUCT(X210:X212*H210:H212),"0")</f>
        <v>0</v>
      </c>
      <c r="Y214" s="272">
        <f>IFERROR(SUMPRODUCT(Y210:Y212*H210:H212),"0")</f>
        <v>0</v>
      </c>
      <c r="Z214" s="37"/>
      <c r="AA214" s="273"/>
      <c r="AB214" s="273"/>
      <c r="AC214" s="273"/>
    </row>
    <row r="215" spans="1:68" ht="16.5" hidden="1" customHeight="1" x14ac:dyDescent="0.25">
      <c r="A215" s="305" t="s">
        <v>303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5"/>
      <c r="AB215" s="265"/>
      <c r="AC215" s="265"/>
    </row>
    <row r="216" spans="1:68" ht="14.25" hidden="1" customHeight="1" x14ac:dyDescent="0.25">
      <c r="A216" s="279" t="s">
        <v>64</v>
      </c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64"/>
      <c r="AB216" s="264"/>
      <c r="AC216" s="264"/>
    </row>
    <row r="217" spans="1:68" ht="16.5" hidden="1" customHeight="1" x14ac:dyDescent="0.25">
      <c r="A217" s="54" t="s">
        <v>304</v>
      </c>
      <c r="B217" s="54" t="s">
        <v>305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6"/>
      <c r="R217" s="286"/>
      <c r="S217" s="286"/>
      <c r="T217" s="287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306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hidden="1" customHeight="1" x14ac:dyDescent="0.25">
      <c r="A218" s="54" t="s">
        <v>307</v>
      </c>
      <c r="B218" s="54" t="s">
        <v>308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6"/>
      <c r="R218" s="286"/>
      <c r="S218" s="286"/>
      <c r="T218" s="287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306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9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90"/>
      <c r="P219" s="276" t="s">
        <v>73</v>
      </c>
      <c r="Q219" s="277"/>
      <c r="R219" s="277"/>
      <c r="S219" s="277"/>
      <c r="T219" s="277"/>
      <c r="U219" s="277"/>
      <c r="V219" s="278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hidden="1" x14ac:dyDescent="0.2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90"/>
      <c r="P220" s="276" t="s">
        <v>73</v>
      </c>
      <c r="Q220" s="277"/>
      <c r="R220" s="277"/>
      <c r="S220" s="277"/>
      <c r="T220" s="277"/>
      <c r="U220" s="277"/>
      <c r="V220" s="278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hidden="1" customHeight="1" x14ac:dyDescent="0.2">
      <c r="A221" s="315" t="s">
        <v>309</v>
      </c>
      <c r="B221" s="316"/>
      <c r="C221" s="316"/>
      <c r="D221" s="316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48"/>
      <c r="AB221" s="48"/>
      <c r="AC221" s="48"/>
    </row>
    <row r="222" spans="1:68" ht="16.5" hidden="1" customHeight="1" x14ac:dyDescent="0.25">
      <c r="A222" s="305" t="s">
        <v>310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5"/>
      <c r="AB222" s="265"/>
      <c r="AC222" s="265"/>
    </row>
    <row r="223" spans="1:68" ht="14.25" hidden="1" customHeight="1" x14ac:dyDescent="0.25">
      <c r="A223" s="279" t="s">
        <v>64</v>
      </c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64"/>
      <c r="AB223" s="264"/>
      <c r="AC223" s="264"/>
    </row>
    <row r="224" spans="1:68" ht="27" hidden="1" customHeight="1" x14ac:dyDescent="0.25">
      <c r="A224" s="54" t="s">
        <v>311</v>
      </c>
      <c r="B224" s="54" t="s">
        <v>312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9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6"/>
      <c r="R224" s="286"/>
      <c r="S224" s="286"/>
      <c r="T224" s="287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313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89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90"/>
      <c r="P225" s="276" t="s">
        <v>73</v>
      </c>
      <c r="Q225" s="277"/>
      <c r="R225" s="277"/>
      <c r="S225" s="277"/>
      <c r="T225" s="277"/>
      <c r="U225" s="277"/>
      <c r="V225" s="278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hidden="1" x14ac:dyDescent="0.2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90"/>
      <c r="P226" s="276" t="s">
        <v>73</v>
      </c>
      <c r="Q226" s="277"/>
      <c r="R226" s="277"/>
      <c r="S226" s="277"/>
      <c r="T226" s="277"/>
      <c r="U226" s="277"/>
      <c r="V226" s="278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hidden="1" customHeight="1" x14ac:dyDescent="0.2">
      <c r="A227" s="315" t="s">
        <v>314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48"/>
      <c r="AB227" s="48"/>
      <c r="AC227" s="48"/>
    </row>
    <row r="228" spans="1:68" ht="16.5" hidden="1" customHeight="1" x14ac:dyDescent="0.25">
      <c r="A228" s="305" t="s">
        <v>315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5"/>
      <c r="AB228" s="265"/>
      <c r="AC228" s="265"/>
    </row>
    <row r="229" spans="1:68" ht="14.25" hidden="1" customHeight="1" x14ac:dyDescent="0.25">
      <c r="A229" s="279" t="s">
        <v>64</v>
      </c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64"/>
      <c r="AB229" s="264"/>
      <c r="AC229" s="264"/>
    </row>
    <row r="230" spans="1:68" ht="27" customHeight="1" x14ac:dyDescent="0.25">
      <c r="A230" s="54" t="s">
        <v>316</v>
      </c>
      <c r="B230" s="54" t="s">
        <v>317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85</v>
      </c>
      <c r="M230" s="33" t="s">
        <v>69</v>
      </c>
      <c r="N230" s="33"/>
      <c r="O230" s="32">
        <v>180</v>
      </c>
      <c r="P230" s="35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6"/>
      <c r="R230" s="286"/>
      <c r="S230" s="286"/>
      <c r="T230" s="287"/>
      <c r="U230" s="34"/>
      <c r="V230" s="34"/>
      <c r="W230" s="35" t="s">
        <v>70</v>
      </c>
      <c r="X230" s="270">
        <v>108</v>
      </c>
      <c r="Y230" s="271">
        <f>IFERROR(IF(X230="","",X230),"")</f>
        <v>108</v>
      </c>
      <c r="Z230" s="36">
        <f>IFERROR(IF(X230="","",X230*0.0155),"")</f>
        <v>1.6739999999999999</v>
      </c>
      <c r="AA230" s="56"/>
      <c r="AB230" s="57"/>
      <c r="AC230" s="220" t="s">
        <v>239</v>
      </c>
      <c r="AG230" s="67"/>
      <c r="AJ230" s="71" t="s">
        <v>86</v>
      </c>
      <c r="AK230" s="71">
        <v>12</v>
      </c>
      <c r="BB230" s="221" t="s">
        <v>1</v>
      </c>
      <c r="BM230" s="67">
        <f>IFERROR(X230*I230,"0")</f>
        <v>568.29599999999994</v>
      </c>
      <c r="BN230" s="67">
        <f>IFERROR(Y230*I230,"0")</f>
        <v>568.29599999999994</v>
      </c>
      <c r="BO230" s="67">
        <f>IFERROR(X230/J230,"0")</f>
        <v>1.2857142857142858</v>
      </c>
      <c r="BP230" s="67">
        <f>IFERROR(Y230/J230,"0")</f>
        <v>1.2857142857142858</v>
      </c>
    </row>
    <row r="231" spans="1:68" x14ac:dyDescent="0.2">
      <c r="A231" s="289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90"/>
      <c r="P231" s="276" t="s">
        <v>73</v>
      </c>
      <c r="Q231" s="277"/>
      <c r="R231" s="277"/>
      <c r="S231" s="277"/>
      <c r="T231" s="277"/>
      <c r="U231" s="277"/>
      <c r="V231" s="278"/>
      <c r="W231" s="37" t="s">
        <v>70</v>
      </c>
      <c r="X231" s="272">
        <f>IFERROR(SUM(X230:X230),"0")</f>
        <v>108</v>
      </c>
      <c r="Y231" s="272">
        <f>IFERROR(SUM(Y230:Y230),"0")</f>
        <v>108</v>
      </c>
      <c r="Z231" s="272">
        <f>IFERROR(IF(Z230="",0,Z230),"0")</f>
        <v>1.6739999999999999</v>
      </c>
      <c r="AA231" s="273"/>
      <c r="AB231" s="273"/>
      <c r="AC231" s="273"/>
    </row>
    <row r="232" spans="1:68" x14ac:dyDescent="0.2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90"/>
      <c r="P232" s="276" t="s">
        <v>73</v>
      </c>
      <c r="Q232" s="277"/>
      <c r="R232" s="277"/>
      <c r="S232" s="277"/>
      <c r="T232" s="277"/>
      <c r="U232" s="277"/>
      <c r="V232" s="278"/>
      <c r="W232" s="37" t="s">
        <v>74</v>
      </c>
      <c r="X232" s="272">
        <f>IFERROR(SUMPRODUCT(X230:X230*H230:H230),"0")</f>
        <v>540</v>
      </c>
      <c r="Y232" s="272">
        <f>IFERROR(SUMPRODUCT(Y230:Y230*H230:H230),"0")</f>
        <v>540</v>
      </c>
      <c r="Z232" s="37"/>
      <c r="AA232" s="273"/>
      <c r="AB232" s="273"/>
      <c r="AC232" s="273"/>
    </row>
    <row r="233" spans="1:68" ht="27.75" hidden="1" customHeight="1" x14ac:dyDescent="0.2">
      <c r="A233" s="315" t="s">
        <v>318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48"/>
      <c r="AB233" s="48"/>
      <c r="AC233" s="48"/>
    </row>
    <row r="234" spans="1:68" ht="16.5" hidden="1" customHeight="1" x14ac:dyDescent="0.25">
      <c r="A234" s="305" t="s">
        <v>319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5"/>
      <c r="AB234" s="265"/>
      <c r="AC234" s="265"/>
    </row>
    <row r="235" spans="1:68" ht="14.25" hidden="1" customHeight="1" x14ac:dyDescent="0.25">
      <c r="A235" s="279" t="s">
        <v>320</v>
      </c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64"/>
      <c r="AB235" s="264"/>
      <c r="AC235" s="264"/>
    </row>
    <row r="236" spans="1:68" ht="27" hidden="1" customHeight="1" x14ac:dyDescent="0.25">
      <c r="A236" s="54" t="s">
        <v>321</v>
      </c>
      <c r="B236" s="54" t="s">
        <v>322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323</v>
      </c>
      <c r="AG236" s="67"/>
      <c r="AJ236" s="71" t="s">
        <v>72</v>
      </c>
      <c r="AK236" s="71">
        <v>1</v>
      </c>
      <c r="BB236" s="223" t="s">
        <v>82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9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90"/>
      <c r="P237" s="276" t="s">
        <v>73</v>
      </c>
      <c r="Q237" s="277"/>
      <c r="R237" s="277"/>
      <c r="S237" s="277"/>
      <c r="T237" s="277"/>
      <c r="U237" s="277"/>
      <c r="V237" s="278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hidden="1" x14ac:dyDescent="0.2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90"/>
      <c r="P238" s="276" t="s">
        <v>73</v>
      </c>
      <c r="Q238" s="277"/>
      <c r="R238" s="277"/>
      <c r="S238" s="277"/>
      <c r="T238" s="277"/>
      <c r="U238" s="277"/>
      <c r="V238" s="278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hidden="1" customHeight="1" x14ac:dyDescent="0.25">
      <c r="A239" s="279" t="s">
        <v>123</v>
      </c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64"/>
      <c r="AB239" s="264"/>
      <c r="AC239" s="264"/>
    </row>
    <row r="240" spans="1:68" ht="37.5" hidden="1" customHeight="1" x14ac:dyDescent="0.25">
      <c r="A240" s="54" t="s">
        <v>324</v>
      </c>
      <c r="B240" s="54" t="s">
        <v>325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85</v>
      </c>
      <c r="M240" s="33" t="s">
        <v>69</v>
      </c>
      <c r="N240" s="33"/>
      <c r="O240" s="32">
        <v>180</v>
      </c>
      <c r="P240" s="3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6"/>
      <c r="R240" s="286"/>
      <c r="S240" s="286"/>
      <c r="T240" s="287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323</v>
      </c>
      <c r="AG240" s="67"/>
      <c r="AJ240" s="71" t="s">
        <v>86</v>
      </c>
      <c r="AK240" s="71">
        <v>14</v>
      </c>
      <c r="BB240" s="225" t="s">
        <v>82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9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90"/>
      <c r="P241" s="276" t="s">
        <v>73</v>
      </c>
      <c r="Q241" s="277"/>
      <c r="R241" s="277"/>
      <c r="S241" s="277"/>
      <c r="T241" s="277"/>
      <c r="U241" s="277"/>
      <c r="V241" s="278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hidden="1" x14ac:dyDescent="0.2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90"/>
      <c r="P242" s="276" t="s">
        <v>73</v>
      </c>
      <c r="Q242" s="277"/>
      <c r="R242" s="277"/>
      <c r="S242" s="277"/>
      <c r="T242" s="277"/>
      <c r="U242" s="277"/>
      <c r="V242" s="278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hidden="1" customHeight="1" x14ac:dyDescent="0.2">
      <c r="A243" s="315" t="s">
        <v>326</v>
      </c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48"/>
      <c r="AB243" s="48"/>
      <c r="AC243" s="48"/>
    </row>
    <row r="244" spans="1:68" ht="16.5" hidden="1" customHeight="1" x14ac:dyDescent="0.25">
      <c r="A244" s="305" t="s">
        <v>326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5"/>
      <c r="AB244" s="265"/>
      <c r="AC244" s="265"/>
    </row>
    <row r="245" spans="1:68" ht="14.25" hidden="1" customHeight="1" x14ac:dyDescent="0.25">
      <c r="A245" s="279" t="s">
        <v>64</v>
      </c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64"/>
      <c r="AB245" s="264"/>
      <c r="AC245" s="264"/>
    </row>
    <row r="246" spans="1:68" ht="27" hidden="1" customHeight="1" x14ac:dyDescent="0.25">
      <c r="A246" s="54" t="s">
        <v>327</v>
      </c>
      <c r="B246" s="54" t="s">
        <v>328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6"/>
      <c r="R246" s="286"/>
      <c r="S246" s="286"/>
      <c r="T246" s="287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85</v>
      </c>
      <c r="M247" s="33" t="s">
        <v>69</v>
      </c>
      <c r="N247" s="33"/>
      <c r="O247" s="32">
        <v>180</v>
      </c>
      <c r="P24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6"/>
      <c r="R247" s="286"/>
      <c r="S247" s="286"/>
      <c r="T247" s="287"/>
      <c r="U247" s="34"/>
      <c r="V247" s="34"/>
      <c r="W247" s="35" t="s">
        <v>70</v>
      </c>
      <c r="X247" s="270">
        <v>48</v>
      </c>
      <c r="Y247" s="271">
        <f>IFERROR(IF(X247="","",X247),"")</f>
        <v>48</v>
      </c>
      <c r="Z247" s="36">
        <f>IFERROR(IF(X247="","",X247*0.0155),"")</f>
        <v>0.74399999999999999</v>
      </c>
      <c r="AA247" s="56"/>
      <c r="AB247" s="57"/>
      <c r="AC247" s="228" t="s">
        <v>329</v>
      </c>
      <c r="AG247" s="67"/>
      <c r="AJ247" s="71" t="s">
        <v>86</v>
      </c>
      <c r="AK247" s="71">
        <v>12</v>
      </c>
      <c r="BB247" s="229" t="s">
        <v>1</v>
      </c>
      <c r="BM247" s="67">
        <f>IFERROR(X247*I247,"0")</f>
        <v>349.44</v>
      </c>
      <c r="BN247" s="67">
        <f>IFERROR(Y247*I247,"0")</f>
        <v>349.44</v>
      </c>
      <c r="BO247" s="67">
        <f>IFERROR(X247/J247,"0")</f>
        <v>0.5714285714285714</v>
      </c>
      <c r="BP247" s="67">
        <f>IFERROR(Y247/J247,"0")</f>
        <v>0.5714285714285714</v>
      </c>
    </row>
    <row r="248" spans="1:68" ht="27" hidden="1" customHeight="1" x14ac:dyDescent="0.25">
      <c r="A248" s="54" t="s">
        <v>332</v>
      </c>
      <c r="B248" s="54" t="s">
        <v>333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85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6"/>
      <c r="R248" s="286"/>
      <c r="S248" s="286"/>
      <c r="T248" s="287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334</v>
      </c>
      <c r="AG248" s="67"/>
      <c r="AJ248" s="71" t="s">
        <v>86</v>
      </c>
      <c r="AK248" s="71">
        <v>12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9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90"/>
      <c r="P249" s="276" t="s">
        <v>73</v>
      </c>
      <c r="Q249" s="277"/>
      <c r="R249" s="277"/>
      <c r="S249" s="277"/>
      <c r="T249" s="277"/>
      <c r="U249" s="277"/>
      <c r="V249" s="278"/>
      <c r="W249" s="37" t="s">
        <v>70</v>
      </c>
      <c r="X249" s="272">
        <f>IFERROR(SUM(X246:X248),"0")</f>
        <v>48</v>
      </c>
      <c r="Y249" s="272">
        <f>IFERROR(SUM(Y246:Y248),"0")</f>
        <v>48</v>
      </c>
      <c r="Z249" s="272">
        <f>IFERROR(IF(Z246="",0,Z246),"0")+IFERROR(IF(Z247="",0,Z247),"0")+IFERROR(IF(Z248="",0,Z248),"0")</f>
        <v>0.74399999999999999</v>
      </c>
      <c r="AA249" s="273"/>
      <c r="AB249" s="273"/>
      <c r="AC249" s="273"/>
    </row>
    <row r="250" spans="1:68" x14ac:dyDescent="0.2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90"/>
      <c r="P250" s="276" t="s">
        <v>73</v>
      </c>
      <c r="Q250" s="277"/>
      <c r="R250" s="277"/>
      <c r="S250" s="277"/>
      <c r="T250" s="277"/>
      <c r="U250" s="277"/>
      <c r="V250" s="278"/>
      <c r="W250" s="37" t="s">
        <v>74</v>
      </c>
      <c r="X250" s="272">
        <f>IFERROR(SUMPRODUCT(X246:X248*H246:H248),"0")</f>
        <v>336</v>
      </c>
      <c r="Y250" s="272">
        <f>IFERROR(SUMPRODUCT(Y246:Y248*H246:H248),"0")</f>
        <v>336</v>
      </c>
      <c r="Z250" s="37"/>
      <c r="AA250" s="273"/>
      <c r="AB250" s="273"/>
      <c r="AC250" s="273"/>
    </row>
    <row r="251" spans="1:68" ht="14.25" hidden="1" customHeight="1" x14ac:dyDescent="0.25">
      <c r="A251" s="279" t="s">
        <v>77</v>
      </c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64"/>
      <c r="AB251" s="264"/>
      <c r="AC251" s="264"/>
    </row>
    <row r="252" spans="1:68" ht="27" customHeight="1" x14ac:dyDescent="0.25">
      <c r="A252" s="54" t="s">
        <v>335</v>
      </c>
      <c r="B252" s="54" t="s">
        <v>336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85</v>
      </c>
      <c r="M252" s="33" t="s">
        <v>69</v>
      </c>
      <c r="N252" s="33"/>
      <c r="O252" s="32">
        <v>180</v>
      </c>
      <c r="P252" s="3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6"/>
      <c r="R252" s="286"/>
      <c r="S252" s="286"/>
      <c r="T252" s="287"/>
      <c r="U252" s="34"/>
      <c r="V252" s="34"/>
      <c r="W252" s="35" t="s">
        <v>70</v>
      </c>
      <c r="X252" s="270">
        <v>12</v>
      </c>
      <c r="Y252" s="271">
        <f>IFERROR(IF(X252="","",X252),"")</f>
        <v>12</v>
      </c>
      <c r="Z252" s="36">
        <f>IFERROR(IF(X252="","",X252*0.0155),"")</f>
        <v>0.186</v>
      </c>
      <c r="AA252" s="56"/>
      <c r="AB252" s="57"/>
      <c r="AC252" s="232" t="s">
        <v>337</v>
      </c>
      <c r="AG252" s="67"/>
      <c r="AJ252" s="71" t="s">
        <v>86</v>
      </c>
      <c r="AK252" s="71">
        <v>12</v>
      </c>
      <c r="BB252" s="233" t="s">
        <v>82</v>
      </c>
      <c r="BM252" s="67">
        <f>IFERROR(X252*I252,"0")</f>
        <v>75.12</v>
      </c>
      <c r="BN252" s="67">
        <f>IFERROR(Y252*I252,"0")</f>
        <v>75.12</v>
      </c>
      <c r="BO252" s="67">
        <f>IFERROR(X252/J252,"0")</f>
        <v>0.14285714285714285</v>
      </c>
      <c r="BP252" s="67">
        <f>IFERROR(Y252/J252,"0")</f>
        <v>0.14285714285714285</v>
      </c>
    </row>
    <row r="253" spans="1:68" ht="27" hidden="1" customHeight="1" x14ac:dyDescent="0.25">
      <c r="A253" s="54" t="s">
        <v>338</v>
      </c>
      <c r="B253" s="54" t="s">
        <v>339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136</v>
      </c>
      <c r="L253" s="32" t="s">
        <v>85</v>
      </c>
      <c r="M253" s="33" t="s">
        <v>69</v>
      </c>
      <c r="N253" s="33"/>
      <c r="O253" s="32">
        <v>180</v>
      </c>
      <c r="P253" s="441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6"/>
      <c r="R253" s="286"/>
      <c r="S253" s="286"/>
      <c r="T253" s="287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337</v>
      </c>
      <c r="AG253" s="67"/>
      <c r="AJ253" s="71" t="s">
        <v>86</v>
      </c>
      <c r="AK253" s="71">
        <v>18</v>
      </c>
      <c r="BB253" s="235" t="s">
        <v>82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90"/>
      <c r="P254" s="276" t="s">
        <v>73</v>
      </c>
      <c r="Q254" s="277"/>
      <c r="R254" s="277"/>
      <c r="S254" s="277"/>
      <c r="T254" s="277"/>
      <c r="U254" s="277"/>
      <c r="V254" s="278"/>
      <c r="W254" s="37" t="s">
        <v>70</v>
      </c>
      <c r="X254" s="272">
        <f>IFERROR(SUM(X252:X253),"0")</f>
        <v>12</v>
      </c>
      <c r="Y254" s="272">
        <f>IFERROR(SUM(Y252:Y253),"0")</f>
        <v>12</v>
      </c>
      <c r="Z254" s="272">
        <f>IFERROR(IF(Z252="",0,Z252),"0")+IFERROR(IF(Z253="",0,Z253),"0")</f>
        <v>0.186</v>
      </c>
      <c r="AA254" s="273"/>
      <c r="AB254" s="273"/>
      <c r="AC254" s="273"/>
    </row>
    <row r="255" spans="1:68" x14ac:dyDescent="0.2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90"/>
      <c r="P255" s="276" t="s">
        <v>73</v>
      </c>
      <c r="Q255" s="277"/>
      <c r="R255" s="277"/>
      <c r="S255" s="277"/>
      <c r="T255" s="277"/>
      <c r="U255" s="277"/>
      <c r="V255" s="278"/>
      <c r="W255" s="37" t="s">
        <v>74</v>
      </c>
      <c r="X255" s="272">
        <f>IFERROR(SUMPRODUCT(X252:X253*H252:H253),"0")</f>
        <v>72</v>
      </c>
      <c r="Y255" s="272">
        <f>IFERROR(SUMPRODUCT(Y252:Y253*H252:H253),"0")</f>
        <v>72</v>
      </c>
      <c r="Z255" s="37"/>
      <c r="AA255" s="273"/>
      <c r="AB255" s="273"/>
      <c r="AC255" s="273"/>
    </row>
    <row r="256" spans="1:68" ht="14.25" hidden="1" customHeight="1" x14ac:dyDescent="0.25">
      <c r="A256" s="279" t="s">
        <v>117</v>
      </c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64"/>
      <c r="AB256" s="264"/>
      <c r="AC256" s="264"/>
    </row>
    <row r="257" spans="1:68" ht="27" hidden="1" customHeight="1" x14ac:dyDescent="0.25">
      <c r="A257" s="54" t="s">
        <v>340</v>
      </c>
      <c r="B257" s="54" t="s">
        <v>341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85</v>
      </c>
      <c r="M257" s="33" t="s">
        <v>69</v>
      </c>
      <c r="N257" s="33"/>
      <c r="O257" s="32">
        <v>180</v>
      </c>
      <c r="P257" s="41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6"/>
      <c r="R257" s="286"/>
      <c r="S257" s="286"/>
      <c r="T257" s="287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342</v>
      </c>
      <c r="AG257" s="67"/>
      <c r="AJ257" s="71" t="s">
        <v>86</v>
      </c>
      <c r="AK257" s="71">
        <v>14</v>
      </c>
      <c r="BB257" s="237" t="s">
        <v>82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85</v>
      </c>
      <c r="M258" s="33" t="s">
        <v>69</v>
      </c>
      <c r="N258" s="33"/>
      <c r="O258" s="32">
        <v>180</v>
      </c>
      <c r="P258" s="36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6"/>
      <c r="R258" s="286"/>
      <c r="S258" s="286"/>
      <c r="T258" s="287"/>
      <c r="U258" s="34"/>
      <c r="V258" s="34"/>
      <c r="W258" s="35" t="s">
        <v>70</v>
      </c>
      <c r="X258" s="270">
        <v>72</v>
      </c>
      <c r="Y258" s="271">
        <f>IFERROR(IF(X258="","",X258),"")</f>
        <v>72</v>
      </c>
      <c r="Z258" s="36">
        <f>IFERROR(IF(X258="","",X258*0.0155),"")</f>
        <v>1.1160000000000001</v>
      </c>
      <c r="AA258" s="56"/>
      <c r="AB258" s="57"/>
      <c r="AC258" s="238" t="s">
        <v>342</v>
      </c>
      <c r="AG258" s="67"/>
      <c r="AJ258" s="71" t="s">
        <v>86</v>
      </c>
      <c r="AK258" s="71">
        <v>12</v>
      </c>
      <c r="BB258" s="239" t="s">
        <v>82</v>
      </c>
      <c r="BM258" s="67">
        <f>IFERROR(X258*I258,"0")</f>
        <v>376.92</v>
      </c>
      <c r="BN258" s="67">
        <f>IFERROR(Y258*I258,"0")</f>
        <v>376.92</v>
      </c>
      <c r="BO258" s="67">
        <f>IFERROR(X258/J258,"0")</f>
        <v>0.8571428571428571</v>
      </c>
      <c r="BP258" s="67">
        <f>IFERROR(Y258/J258,"0")</f>
        <v>0.8571428571428571</v>
      </c>
    </row>
    <row r="259" spans="1:68" ht="27" hidden="1" customHeight="1" x14ac:dyDescent="0.25">
      <c r="A259" s="54" t="s">
        <v>345</v>
      </c>
      <c r="B259" s="54" t="s">
        <v>346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68</v>
      </c>
      <c r="M259" s="33" t="s">
        <v>69</v>
      </c>
      <c r="N259" s="33"/>
      <c r="O259" s="32">
        <v>180</v>
      </c>
      <c r="P259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6"/>
      <c r="R259" s="286"/>
      <c r="S259" s="286"/>
      <c r="T259" s="287"/>
      <c r="U259" s="34"/>
      <c r="V259" s="34"/>
      <c r="W259" s="35" t="s">
        <v>70</v>
      </c>
      <c r="X259" s="270">
        <v>0</v>
      </c>
      <c r="Y259" s="271">
        <f>IFERROR(IF(X259="","",X259),"")</f>
        <v>0</v>
      </c>
      <c r="Z259" s="36">
        <f>IFERROR(IF(X259="","",X259*0.00936),"")</f>
        <v>0</v>
      </c>
      <c r="AA259" s="56"/>
      <c r="AB259" s="57"/>
      <c r="AC259" s="240" t="s">
        <v>342</v>
      </c>
      <c r="AG259" s="67"/>
      <c r="AJ259" s="71" t="s">
        <v>72</v>
      </c>
      <c r="AK259" s="71">
        <v>1</v>
      </c>
      <c r="BB259" s="241" t="s">
        <v>82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289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90"/>
      <c r="P260" s="276" t="s">
        <v>73</v>
      </c>
      <c r="Q260" s="277"/>
      <c r="R260" s="277"/>
      <c r="S260" s="277"/>
      <c r="T260" s="277"/>
      <c r="U260" s="277"/>
      <c r="V260" s="278"/>
      <c r="W260" s="37" t="s">
        <v>70</v>
      </c>
      <c r="X260" s="272">
        <f>IFERROR(SUM(X257:X259),"0")</f>
        <v>72</v>
      </c>
      <c r="Y260" s="272">
        <f>IFERROR(SUM(Y257:Y259),"0")</f>
        <v>72</v>
      </c>
      <c r="Z260" s="272">
        <f>IFERROR(IF(Z257="",0,Z257),"0")+IFERROR(IF(Z258="",0,Z258),"0")+IFERROR(IF(Z259="",0,Z259),"0")</f>
        <v>1.1160000000000001</v>
      </c>
      <c r="AA260" s="273"/>
      <c r="AB260" s="273"/>
      <c r="AC260" s="273"/>
    </row>
    <row r="261" spans="1:68" x14ac:dyDescent="0.2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90"/>
      <c r="P261" s="276" t="s">
        <v>73</v>
      </c>
      <c r="Q261" s="277"/>
      <c r="R261" s="277"/>
      <c r="S261" s="277"/>
      <c r="T261" s="277"/>
      <c r="U261" s="277"/>
      <c r="V261" s="278"/>
      <c r="W261" s="37" t="s">
        <v>74</v>
      </c>
      <c r="X261" s="272">
        <f>IFERROR(SUMPRODUCT(X257:X259*H257:H259),"0")</f>
        <v>360</v>
      </c>
      <c r="Y261" s="272">
        <f>IFERROR(SUMPRODUCT(Y257:Y259*H257:H259),"0")</f>
        <v>360</v>
      </c>
      <c r="Z261" s="37"/>
      <c r="AA261" s="273"/>
      <c r="AB261" s="273"/>
      <c r="AC261" s="273"/>
    </row>
    <row r="262" spans="1:68" ht="14.25" hidden="1" customHeight="1" x14ac:dyDescent="0.25">
      <c r="A262" s="279" t="s">
        <v>123</v>
      </c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64"/>
      <c r="AB262" s="264"/>
      <c r="AC262" s="264"/>
    </row>
    <row r="263" spans="1:68" ht="37.5" hidden="1" customHeight="1" x14ac:dyDescent="0.25">
      <c r="A263" s="54" t="s">
        <v>347</v>
      </c>
      <c r="B263" s="54" t="s">
        <v>348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85</v>
      </c>
      <c r="M263" s="33" t="s">
        <v>69</v>
      </c>
      <c r="N263" s="33"/>
      <c r="O263" s="32">
        <v>180</v>
      </c>
      <c r="P263" s="45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6"/>
      <c r="R263" s="286"/>
      <c r="S263" s="286"/>
      <c r="T263" s="287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349</v>
      </c>
      <c r="AG263" s="67"/>
      <c r="AJ263" s="71" t="s">
        <v>86</v>
      </c>
      <c r="AK263" s="71">
        <v>14</v>
      </c>
      <c r="BB263" s="243" t="s">
        <v>82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85</v>
      </c>
      <c r="M264" s="33" t="s">
        <v>69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6"/>
      <c r="R264" s="286"/>
      <c r="S264" s="286"/>
      <c r="T264" s="287"/>
      <c r="U264" s="34"/>
      <c r="V264" s="34"/>
      <c r="W264" s="35" t="s">
        <v>70</v>
      </c>
      <c r="X264" s="270">
        <v>28</v>
      </c>
      <c r="Y264" s="271">
        <f t="shared" si="12"/>
        <v>28</v>
      </c>
      <c r="Z264" s="36">
        <f>IFERROR(IF(X264="","",X264*0.00936),"")</f>
        <v>0.26207999999999998</v>
      </c>
      <c r="AA264" s="56"/>
      <c r="AB264" s="57"/>
      <c r="AC264" s="244" t="s">
        <v>352</v>
      </c>
      <c r="AG264" s="67"/>
      <c r="AJ264" s="71" t="s">
        <v>86</v>
      </c>
      <c r="AK264" s="71">
        <v>14</v>
      </c>
      <c r="BB264" s="245" t="s">
        <v>82</v>
      </c>
      <c r="BM264" s="67">
        <f t="shared" si="13"/>
        <v>108.976</v>
      </c>
      <c r="BN264" s="67">
        <f t="shared" si="14"/>
        <v>108.976</v>
      </c>
      <c r="BO264" s="67">
        <f t="shared" si="15"/>
        <v>0.22222222222222221</v>
      </c>
      <c r="BP264" s="67">
        <f t="shared" si="16"/>
        <v>0.22222222222222221</v>
      </c>
    </row>
    <row r="265" spans="1:68" ht="27" hidden="1" customHeight="1" x14ac:dyDescent="0.25">
      <c r="A265" s="54" t="s">
        <v>353</v>
      </c>
      <c r="B265" s="54" t="s">
        <v>354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85</v>
      </c>
      <c r="M265" s="33" t="s">
        <v>69</v>
      </c>
      <c r="N265" s="33"/>
      <c r="O265" s="32">
        <v>180</v>
      </c>
      <c r="P265" s="43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6"/>
      <c r="R265" s="286"/>
      <c r="S265" s="286"/>
      <c r="T265" s="287"/>
      <c r="U265" s="34"/>
      <c r="V265" s="34"/>
      <c r="W265" s="35" t="s">
        <v>70</v>
      </c>
      <c r="X265" s="270">
        <v>0</v>
      </c>
      <c r="Y265" s="271">
        <f t="shared" si="12"/>
        <v>0</v>
      </c>
      <c r="Z265" s="36">
        <f>IFERROR(IF(X265="","",X265*0.0155),"")</f>
        <v>0</v>
      </c>
      <c r="AA265" s="56"/>
      <c r="AB265" s="57"/>
      <c r="AC265" s="246" t="s">
        <v>349</v>
      </c>
      <c r="AG265" s="67"/>
      <c r="AJ265" s="71" t="s">
        <v>86</v>
      </c>
      <c r="AK265" s="71">
        <v>12</v>
      </c>
      <c r="BB265" s="247" t="s">
        <v>82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85</v>
      </c>
      <c r="M266" s="33" t="s">
        <v>69</v>
      </c>
      <c r="N266" s="33"/>
      <c r="O266" s="32">
        <v>180</v>
      </c>
      <c r="P266" s="32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6"/>
      <c r="R266" s="286"/>
      <c r="S266" s="286"/>
      <c r="T266" s="287"/>
      <c r="U266" s="34"/>
      <c r="V266" s="34"/>
      <c r="W266" s="35" t="s">
        <v>70</v>
      </c>
      <c r="X266" s="270">
        <v>0</v>
      </c>
      <c r="Y266" s="271">
        <f t="shared" si="12"/>
        <v>0</v>
      </c>
      <c r="Z266" s="36">
        <f t="shared" ref="Z266:Z271" si="17">IFERROR(IF(X266="","",X266*0.00936),"")</f>
        <v>0</v>
      </c>
      <c r="AA266" s="56"/>
      <c r="AB266" s="57"/>
      <c r="AC266" s="248" t="s">
        <v>352</v>
      </c>
      <c r="AG266" s="67"/>
      <c r="AJ266" s="71" t="s">
        <v>86</v>
      </c>
      <c r="AK266" s="71">
        <v>14</v>
      </c>
      <c r="BB266" s="249" t="s">
        <v>82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27" hidden="1" customHeight="1" x14ac:dyDescent="0.25">
      <c r="A267" s="54" t="s">
        <v>357</v>
      </c>
      <c r="B267" s="54" t="s">
        <v>358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126</v>
      </c>
      <c r="M267" s="33" t="s">
        <v>69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349</v>
      </c>
      <c r="AG267" s="67"/>
      <c r="AJ267" s="71" t="s">
        <v>127</v>
      </c>
      <c r="AK267" s="71">
        <v>126</v>
      </c>
      <c r="BB267" s="251" t="s">
        <v>82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85</v>
      </c>
      <c r="M268" s="33" t="s">
        <v>69</v>
      </c>
      <c r="N268" s="33"/>
      <c r="O268" s="32">
        <v>180</v>
      </c>
      <c r="P268" s="33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6"/>
      <c r="R268" s="286"/>
      <c r="S268" s="286"/>
      <c r="T268" s="287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349</v>
      </c>
      <c r="AG268" s="67"/>
      <c r="AJ268" s="71" t="s">
        <v>86</v>
      </c>
      <c r="AK268" s="71">
        <v>14</v>
      </c>
      <c r="BB268" s="253" t="s">
        <v>82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hidden="1" customHeight="1" x14ac:dyDescent="0.25">
      <c r="A269" s="54" t="s">
        <v>361</v>
      </c>
      <c r="B269" s="54" t="s">
        <v>362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85</v>
      </c>
      <c r="M269" s="33" t="s">
        <v>69</v>
      </c>
      <c r="N269" s="33"/>
      <c r="O269" s="32">
        <v>180</v>
      </c>
      <c r="P269" s="38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6"/>
      <c r="R269" s="286"/>
      <c r="S269" s="286"/>
      <c r="T269" s="287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349</v>
      </c>
      <c r="AG269" s="67"/>
      <c r="AJ269" s="71" t="s">
        <v>86</v>
      </c>
      <c r="AK269" s="71">
        <v>14</v>
      </c>
      <c r="BB269" s="255" t="s">
        <v>82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85</v>
      </c>
      <c r="M270" s="33" t="s">
        <v>69</v>
      </c>
      <c r="N270" s="33"/>
      <c r="O270" s="32">
        <v>180</v>
      </c>
      <c r="P270" s="42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86</v>
      </c>
      <c r="AK270" s="71">
        <v>14</v>
      </c>
      <c r="BB270" s="257" t="s">
        <v>82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85</v>
      </c>
      <c r="M271" s="33" t="s">
        <v>69</v>
      </c>
      <c r="N271" s="33"/>
      <c r="O271" s="32">
        <v>180</v>
      </c>
      <c r="P271" s="42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352</v>
      </c>
      <c r="AG271" s="67"/>
      <c r="AJ271" s="71" t="s">
        <v>86</v>
      </c>
      <c r="AK271" s="71">
        <v>14</v>
      </c>
      <c r="BB271" s="259" t="s">
        <v>82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hidden="1" customHeight="1" x14ac:dyDescent="0.25">
      <c r="A272" s="54" t="s">
        <v>367</v>
      </c>
      <c r="B272" s="54" t="s">
        <v>368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136</v>
      </c>
      <c r="L272" s="32" t="s">
        <v>85</v>
      </c>
      <c r="M272" s="33" t="s">
        <v>69</v>
      </c>
      <c r="N272" s="33"/>
      <c r="O272" s="32">
        <v>180</v>
      </c>
      <c r="P272" s="3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6"/>
      <c r="R272" s="286"/>
      <c r="S272" s="286"/>
      <c r="T272" s="287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349</v>
      </c>
      <c r="AG272" s="67"/>
      <c r="AJ272" s="71" t="s">
        <v>86</v>
      </c>
      <c r="AK272" s="71">
        <v>18</v>
      </c>
      <c r="BB272" s="261" t="s">
        <v>82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90"/>
      <c r="P273" s="276" t="s">
        <v>73</v>
      </c>
      <c r="Q273" s="277"/>
      <c r="R273" s="277"/>
      <c r="S273" s="277"/>
      <c r="T273" s="277"/>
      <c r="U273" s="277"/>
      <c r="V273" s="278"/>
      <c r="W273" s="37" t="s">
        <v>70</v>
      </c>
      <c r="X273" s="272">
        <f>IFERROR(SUM(X263:X272),"0")</f>
        <v>28</v>
      </c>
      <c r="Y273" s="272">
        <f>IFERROR(SUM(Y263:Y272),"0")</f>
        <v>28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0.26207999999999998</v>
      </c>
      <c r="AA273" s="273"/>
      <c r="AB273" s="273"/>
      <c r="AC273" s="273"/>
    </row>
    <row r="274" spans="1:32" x14ac:dyDescent="0.2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90"/>
      <c r="P274" s="276" t="s">
        <v>73</v>
      </c>
      <c r="Q274" s="277"/>
      <c r="R274" s="277"/>
      <c r="S274" s="277"/>
      <c r="T274" s="277"/>
      <c r="U274" s="277"/>
      <c r="V274" s="278"/>
      <c r="W274" s="37" t="s">
        <v>74</v>
      </c>
      <c r="X274" s="272">
        <f>IFERROR(SUMPRODUCT(X263:X272*H263:H272),"0")</f>
        <v>103.60000000000001</v>
      </c>
      <c r="Y274" s="272">
        <f>IFERROR(SUMPRODUCT(Y263:Y272*H263:H272),"0")</f>
        <v>103.60000000000001</v>
      </c>
      <c r="Z274" s="37"/>
      <c r="AA274" s="273"/>
      <c r="AB274" s="273"/>
      <c r="AC274" s="273"/>
    </row>
    <row r="275" spans="1:32" ht="15" customHeight="1" x14ac:dyDescent="0.2">
      <c r="A275" s="378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79"/>
      <c r="P275" s="328" t="s">
        <v>369</v>
      </c>
      <c r="Q275" s="313"/>
      <c r="R275" s="313"/>
      <c r="S275" s="313"/>
      <c r="T275" s="313"/>
      <c r="U275" s="313"/>
      <c r="V275" s="314"/>
      <c r="W275" s="37" t="s">
        <v>74</v>
      </c>
      <c r="X275" s="272">
        <f>IFERROR(X24+X32+X39+X47+X52+X56+X61+X67+X73+X78+X84+X94+X100+X111+X115+X119+X125+X131+X137+X142+X147+X152+X157+X164+X172+X176+X182+X189+X198+X203+X208+X214+X220+X226+X232+X238+X242+X250+X255+X261+X274,"0")</f>
        <v>4230.5200000000004</v>
      </c>
      <c r="Y275" s="272">
        <f>IFERROR(Y24+Y32+Y39+Y47+Y52+Y56+Y61+Y67+Y73+Y78+Y84+Y94+Y100+Y111+Y115+Y119+Y125+Y131+Y137+Y142+Y147+Y152+Y157+Y164+Y172+Y176+Y182+Y189+Y198+Y203+Y208+Y214+Y220+Y226+Y232+Y238+Y242+Y250+Y255+Y261+Y274,"0")</f>
        <v>4230.5200000000004</v>
      </c>
      <c r="Z275" s="37"/>
      <c r="AA275" s="273"/>
      <c r="AB275" s="273"/>
      <c r="AC275" s="273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79"/>
      <c r="P276" s="328" t="s">
        <v>370</v>
      </c>
      <c r="Q276" s="313"/>
      <c r="R276" s="313"/>
      <c r="S276" s="313"/>
      <c r="T276" s="313"/>
      <c r="U276" s="313"/>
      <c r="V276" s="314"/>
      <c r="W276" s="37" t="s">
        <v>74</v>
      </c>
      <c r="X276" s="272">
        <f>IFERROR(SUM(BM22:BM272),"0")</f>
        <v>4559.3495999999996</v>
      </c>
      <c r="Y276" s="272">
        <f>IFERROR(SUM(BN22:BN272),"0")</f>
        <v>4559.3495999999996</v>
      </c>
      <c r="Z276" s="37"/>
      <c r="AA276" s="273"/>
      <c r="AB276" s="273"/>
      <c r="AC276" s="273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79"/>
      <c r="P277" s="328" t="s">
        <v>371</v>
      </c>
      <c r="Q277" s="313"/>
      <c r="R277" s="313"/>
      <c r="S277" s="313"/>
      <c r="T277" s="313"/>
      <c r="U277" s="313"/>
      <c r="V277" s="314"/>
      <c r="W277" s="37" t="s">
        <v>372</v>
      </c>
      <c r="X277" s="38">
        <f>ROUNDUP(SUM(BO22:BO272),0)</f>
        <v>11</v>
      </c>
      <c r="Y277" s="38">
        <f>ROUNDUP(SUM(BP22:BP272),0)</f>
        <v>11</v>
      </c>
      <c r="Z277" s="37"/>
      <c r="AA277" s="273"/>
      <c r="AB277" s="273"/>
      <c r="AC277" s="273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79"/>
      <c r="P278" s="328" t="s">
        <v>373</v>
      </c>
      <c r="Q278" s="313"/>
      <c r="R278" s="313"/>
      <c r="S278" s="313"/>
      <c r="T278" s="313"/>
      <c r="U278" s="313"/>
      <c r="V278" s="314"/>
      <c r="W278" s="37" t="s">
        <v>74</v>
      </c>
      <c r="X278" s="272">
        <f>GrossWeightTotal+PalletQtyTotal*25</f>
        <v>4834.3495999999996</v>
      </c>
      <c r="Y278" s="272">
        <f>GrossWeightTotalR+PalletQtyTotalR*25</f>
        <v>4834.3495999999996</v>
      </c>
      <c r="Z278" s="37"/>
      <c r="AA278" s="273"/>
      <c r="AB278" s="273"/>
      <c r="AC278" s="273"/>
    </row>
    <row r="279" spans="1:32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79"/>
      <c r="P279" s="328" t="s">
        <v>374</v>
      </c>
      <c r="Q279" s="313"/>
      <c r="R279" s="313"/>
      <c r="S279" s="313"/>
      <c r="T279" s="313"/>
      <c r="U279" s="313"/>
      <c r="V279" s="314"/>
      <c r="W279" s="37" t="s">
        <v>372</v>
      </c>
      <c r="X279" s="272">
        <f>IFERROR(X23+X31+X38+X46+X51+X55+X60+X66+X72+X77+X83+X93+X99+X110+X114+X118+X124+X130+X136+X141+X146+X151+X156+X163+X171+X175+X181+X188+X197+X202+X207+X213+X219+X225+X231+X237+X241+X249+X254+X260+X273,"0")</f>
        <v>862</v>
      </c>
      <c r="Y279" s="272">
        <f>IFERROR(Y23+Y31+Y38+Y46+Y51+Y55+Y60+Y66+Y72+Y77+Y83+Y93+Y99+Y110+Y114+Y118+Y124+Y130+Y136+Y141+Y146+Y151+Y156+Y163+Y171+Y175+Y181+Y188+Y197+Y202+Y207+Y213+Y219+Y225+Y231+Y237+Y241+Y249+Y254+Y260+Y273,"0")</f>
        <v>862</v>
      </c>
      <c r="Z279" s="37"/>
      <c r="AA279" s="273"/>
      <c r="AB279" s="273"/>
      <c r="AC279" s="273"/>
    </row>
    <row r="280" spans="1:32" ht="14.25" hidden="1" customHeight="1" x14ac:dyDescent="0.2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379"/>
      <c r="P280" s="328" t="s">
        <v>375</v>
      </c>
      <c r="Q280" s="313"/>
      <c r="R280" s="313"/>
      <c r="S280" s="313"/>
      <c r="T280" s="313"/>
      <c r="U280" s="313"/>
      <c r="V280" s="314"/>
      <c r="W280" s="39" t="s">
        <v>376</v>
      </c>
      <c r="X280" s="37"/>
      <c r="Y280" s="37"/>
      <c r="Z280" s="37">
        <f>IFERROR(Z23+Z31+Z38+Z46+Z51+Z55+Z60+Z66+Z72+Z77+Z83+Z93+Z99+Z110+Z114+Z118+Z124+Z130+Z136+Z141+Z146+Z151+Z156+Z163+Z171+Z175+Z181+Z188+Z197+Z202+Z207+Z213+Z219+Z225+Z231+Z237+Z241+Z249+Z254+Z260+Z273,"0")</f>
        <v>13.405399999999998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377</v>
      </c>
      <c r="B282" s="262" t="s">
        <v>63</v>
      </c>
      <c r="C282" s="300" t="s">
        <v>75</v>
      </c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2"/>
      <c r="U282" s="262" t="s">
        <v>232</v>
      </c>
      <c r="V282" s="262" t="s">
        <v>240</v>
      </c>
      <c r="W282" s="300" t="s">
        <v>259</v>
      </c>
      <c r="X282" s="381"/>
      <c r="Y282" s="381"/>
      <c r="Z282" s="381"/>
      <c r="AA282" s="382"/>
      <c r="AB282" s="262" t="s">
        <v>309</v>
      </c>
      <c r="AC282" s="262" t="s">
        <v>314</v>
      </c>
      <c r="AD282" s="262" t="s">
        <v>318</v>
      </c>
      <c r="AE282" s="262" t="s">
        <v>326</v>
      </c>
      <c r="AF282" s="263"/>
    </row>
    <row r="283" spans="1:32" ht="14.25" customHeight="1" thickTop="1" x14ac:dyDescent="0.2">
      <c r="A283" s="364" t="s">
        <v>378</v>
      </c>
      <c r="B283" s="300" t="s">
        <v>63</v>
      </c>
      <c r="C283" s="300" t="s">
        <v>76</v>
      </c>
      <c r="D283" s="300" t="s">
        <v>89</v>
      </c>
      <c r="E283" s="300" t="s">
        <v>99</v>
      </c>
      <c r="F283" s="300" t="s">
        <v>110</v>
      </c>
      <c r="G283" s="300" t="s">
        <v>133</v>
      </c>
      <c r="H283" s="300" t="s">
        <v>140</v>
      </c>
      <c r="I283" s="300" t="s">
        <v>144</v>
      </c>
      <c r="J283" s="300" t="s">
        <v>152</v>
      </c>
      <c r="K283" s="300" t="s">
        <v>167</v>
      </c>
      <c r="L283" s="300" t="s">
        <v>173</v>
      </c>
      <c r="M283" s="300" t="s">
        <v>198</v>
      </c>
      <c r="N283" s="263"/>
      <c r="O283" s="300" t="s">
        <v>204</v>
      </c>
      <c r="P283" s="300" t="s">
        <v>211</v>
      </c>
      <c r="Q283" s="300" t="s">
        <v>216</v>
      </c>
      <c r="R283" s="300" t="s">
        <v>220</v>
      </c>
      <c r="S283" s="300" t="s">
        <v>223</v>
      </c>
      <c r="T283" s="300" t="s">
        <v>228</v>
      </c>
      <c r="U283" s="300" t="s">
        <v>233</v>
      </c>
      <c r="V283" s="300" t="s">
        <v>241</v>
      </c>
      <c r="W283" s="300" t="s">
        <v>260</v>
      </c>
      <c r="X283" s="300" t="s">
        <v>275</v>
      </c>
      <c r="Y283" s="300" t="s">
        <v>287</v>
      </c>
      <c r="Z283" s="300" t="s">
        <v>292</v>
      </c>
      <c r="AA283" s="300" t="s">
        <v>303</v>
      </c>
      <c r="AB283" s="300" t="s">
        <v>310</v>
      </c>
      <c r="AC283" s="300" t="s">
        <v>315</v>
      </c>
      <c r="AD283" s="300" t="s">
        <v>319</v>
      </c>
      <c r="AE283" s="300" t="s">
        <v>326</v>
      </c>
      <c r="AF283" s="263"/>
    </row>
    <row r="284" spans="1:32" ht="13.5" customHeight="1" thickBot="1" x14ac:dyDescent="0.25">
      <c r="A284" s="365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263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  <c r="AD284" s="301"/>
      <c r="AE284" s="301"/>
      <c r="AF284" s="263"/>
    </row>
    <row r="285" spans="1:32" ht="18" customHeight="1" thickTop="1" thickBot="1" x14ac:dyDescent="0.25">
      <c r="A285" s="40" t="s">
        <v>379</v>
      </c>
      <c r="B285" s="46">
        <f>IFERROR(X22*H22,"0")</f>
        <v>0</v>
      </c>
      <c r="C285" s="46">
        <f>IFERROR(X28*H28,"0")+IFERROR(X29*H29,"0")+IFERROR(X30*H30,"0")</f>
        <v>21</v>
      </c>
      <c r="D285" s="46">
        <f>IFERROR(X35*H35,"0")+IFERROR(X36*H36,"0")+IFERROR(X37*H37,"0")</f>
        <v>0</v>
      </c>
      <c r="E285" s="46">
        <f>IFERROR(X42*H42,"0")+IFERROR(X43*H43,"0")+IFERROR(X44*H44,"0")+IFERROR(X45*H45,"0")</f>
        <v>336</v>
      </c>
      <c r="F285" s="46">
        <f>IFERROR(X50*H50,"0")+IFERROR(X54*H54,"0")+IFERROR(X58*H58,"0")+IFERROR(X59*H59,"0")+IFERROR(X63*H63,"0")+IFERROR(X64*H64,"0")+IFERROR(X65*H65,"0")</f>
        <v>0</v>
      </c>
      <c r="G285" s="46">
        <f>IFERROR(X70*H70,"0")+IFERROR(X71*H71,"0")</f>
        <v>180</v>
      </c>
      <c r="H285" s="46">
        <f>IFERROR(X76*H76,"0")</f>
        <v>0</v>
      </c>
      <c r="I285" s="46">
        <f>IFERROR(X81*H81,"0")+IFERROR(X82*H82,"0")</f>
        <v>50.4</v>
      </c>
      <c r="J285" s="46">
        <f>IFERROR(X87*H87,"0")+IFERROR(X88*H88,"0")+IFERROR(X89*H89,"0")+IFERROR(X90*H90,"0")+IFERROR(X91*H91,"0")+IFERROR(X92*H92,"0")</f>
        <v>80.64</v>
      </c>
      <c r="K285" s="46">
        <f>IFERROR(X97*H97,"0")+IFERROR(X98*H98,"0")</f>
        <v>0</v>
      </c>
      <c r="L285" s="46">
        <f>IFERROR(X103*H103,"0")+IFERROR(X104*H104,"0")+IFERROR(X105*H105,"0")+IFERROR(X106*H106,"0")+IFERROR(X107*H107,"0")+IFERROR(X108*H108,"0")+IFERROR(X109*H109,"0")+IFERROR(X113*H113,"0")+IFERROR(X117*H117,"0")</f>
        <v>1030.56</v>
      </c>
      <c r="M285" s="46">
        <f>IFERROR(X122*H122,"0")+IFERROR(X123*H123,"0")</f>
        <v>336</v>
      </c>
      <c r="N285" s="263"/>
      <c r="O285" s="46">
        <f>IFERROR(X128*H128,"0")+IFERROR(X129*H129,"0")</f>
        <v>126</v>
      </c>
      <c r="P285" s="46">
        <f>IFERROR(X134*H134,"0")+IFERROR(X135*H135,"0")</f>
        <v>100.8</v>
      </c>
      <c r="Q285" s="46">
        <f>IFERROR(X140*H140,"0")</f>
        <v>0</v>
      </c>
      <c r="R285" s="46">
        <f>IFERROR(X145*H145,"0")</f>
        <v>0</v>
      </c>
      <c r="S285" s="46">
        <f>IFERROR(X150*H150,"0")</f>
        <v>0</v>
      </c>
      <c r="T285" s="46">
        <f>IFERROR(X155*H155,"0")</f>
        <v>23.52</v>
      </c>
      <c r="U285" s="46">
        <f>IFERROR(X161*H161,"0")+IFERROR(X162*H162,"0")</f>
        <v>0</v>
      </c>
      <c r="V285" s="46">
        <f>IFERROR(X168*H168,"0")+IFERROR(X169*H169,"0")+IFERROR(X170*H170,"0")+IFERROR(X174*H174,"0")</f>
        <v>42</v>
      </c>
      <c r="W285" s="46">
        <f>IFERROR(X180*H180,"0")+IFERROR(X184*H184,"0")+IFERROR(X185*H185,"0")+IFERROR(X186*H186,"0")+IFERROR(X187*H187,"0")</f>
        <v>0</v>
      </c>
      <c r="X285" s="46">
        <f>IFERROR(X192*H192,"0")+IFERROR(X193*H193,"0")+IFERROR(X194*H194,"0")+IFERROR(X195*H195,"0")+IFERROR(X196*H196,"0")</f>
        <v>432</v>
      </c>
      <c r="Y285" s="46">
        <f>IFERROR(X201*H201,"0")</f>
        <v>60</v>
      </c>
      <c r="Z285" s="46">
        <f>IFERROR(X206*H206,"0")+IFERROR(X210*H210,"0")+IFERROR(X211*H211,"0")+IFERROR(X212*H212,"0")</f>
        <v>0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540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871.6</v>
      </c>
      <c r="AF285" s="263"/>
    </row>
    <row r="286" spans="1:32" ht="13.5" customHeight="1" thickTop="1" x14ac:dyDescent="0.2">
      <c r="C286" s="263"/>
    </row>
    <row r="287" spans="1:32" ht="19.5" customHeight="1" x14ac:dyDescent="0.2">
      <c r="A287" s="58" t="s">
        <v>380</v>
      </c>
      <c r="B287" s="58" t="s">
        <v>381</v>
      </c>
      <c r="C287" s="58" t="s">
        <v>382</v>
      </c>
    </row>
    <row r="288" spans="1:32" x14ac:dyDescent="0.2">
      <c r="A288" s="59">
        <f>SUMPRODUCT(--(BB:BB="ЗПФ"),--(W:W="кор"),H:H,Y:Y)+SUMPRODUCT(--(BB:BB="ЗПФ"),--(W:W="кг"),Y:Y)</f>
        <v>2877.6</v>
      </c>
      <c r="B288" s="60">
        <f>SUMPRODUCT(--(BB:BB="ПГП"),--(W:W="кор"),H:H,Y:Y)+SUMPRODUCT(--(BB:BB="ПГП"),--(W:W="кг"),Y:Y)</f>
        <v>1352.9199999999998</v>
      </c>
      <c r="C288" s="60">
        <f>SUMPRODUCT(--(BB:BB="КИЗ"),--(W:W="кор"),H:H,Y:Y)+SUMPRODUCT(--(BB:BB="КИЗ"),--(W:W="кг"),Y:Y)</f>
        <v>0</v>
      </c>
    </row>
  </sheetData>
  <sheetProtection algorithmName="SHA-512" hashValue="31ulvpGzLHe4zFMoGYBcav6AdeAYFGaYoCqd3S3biWGQEFqe22yuw8nhDT/Jy5Tf4t53/TvsyvtQMlENZ/JhRw==" saltValue="X0ZxU5iywqwy/mrBJ8yFuA==" spinCount="100000" sheet="1" objects="1" scenarios="1" sort="0" autoFilter="0" pivotTables="0"/>
  <autoFilter ref="A18:AF28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03,60"/>
        <filter val="108,00"/>
        <filter val="11"/>
        <filter val="112,00"/>
        <filter val="12,00"/>
        <filter val="126,00"/>
        <filter val="14,00"/>
        <filter val="144,00"/>
        <filter val="180,00"/>
        <filter val="21,00"/>
        <filter val="23,52"/>
        <filter val="24,00"/>
        <filter val="28,00"/>
        <filter val="336,00"/>
        <filter val="36,00"/>
        <filter val="36,96"/>
        <filter val="360,00"/>
        <filter val="4 230,52"/>
        <filter val="4 559,35"/>
        <filter val="4 834,35"/>
        <filter val="42,00"/>
        <filter val="432,00"/>
        <filter val="48,00"/>
        <filter val="50,40"/>
        <filter val="540,00"/>
        <filter val="60,00"/>
        <filter val="70,00"/>
        <filter val="72,00"/>
        <filter val="80,64"/>
        <filter val="862,00"/>
        <filter val="993,60"/>
      </filters>
    </filterColumn>
    <filterColumn colId="29" showButton="0"/>
    <filterColumn colId="30" showButton="0"/>
  </autoFilter>
  <mergeCells count="497">
    <mergeCell ref="A8:C8"/>
    <mergeCell ref="A260:O261"/>
    <mergeCell ref="P163:V163"/>
    <mergeCell ref="M283:M284"/>
    <mergeCell ref="A153:Z153"/>
    <mergeCell ref="D97:E97"/>
    <mergeCell ref="D268:E268"/>
    <mergeCell ref="A197:O198"/>
    <mergeCell ref="A10:C10"/>
    <mergeCell ref="P218:T218"/>
    <mergeCell ref="A21:Z21"/>
    <mergeCell ref="D184:E184"/>
    <mergeCell ref="A57:Z57"/>
    <mergeCell ref="D192:E192"/>
    <mergeCell ref="A99:O100"/>
    <mergeCell ref="Y283:Y284"/>
    <mergeCell ref="D42:E42"/>
    <mergeCell ref="D17:E18"/>
    <mergeCell ref="A213:O214"/>
    <mergeCell ref="A151:O152"/>
    <mergeCell ref="P71:T71"/>
    <mergeCell ref="X17:X18"/>
    <mergeCell ref="D123:E123"/>
    <mergeCell ref="P58:T58"/>
    <mergeCell ref="Q5:R5"/>
    <mergeCell ref="F17:F18"/>
    <mergeCell ref="B283:B284"/>
    <mergeCell ref="D107:E107"/>
    <mergeCell ref="P65:T65"/>
    <mergeCell ref="P70:T70"/>
    <mergeCell ref="A60:O61"/>
    <mergeCell ref="P263:T263"/>
    <mergeCell ref="Q6:R6"/>
    <mergeCell ref="P134:T134"/>
    <mergeCell ref="A124:O125"/>
    <mergeCell ref="A118:O119"/>
    <mergeCell ref="E283:E284"/>
    <mergeCell ref="P208:V208"/>
    <mergeCell ref="A33:Z33"/>
    <mergeCell ref="A204:Z204"/>
    <mergeCell ref="D196:E196"/>
    <mergeCell ref="A55:O56"/>
    <mergeCell ref="P219:V219"/>
    <mergeCell ref="P23:V23"/>
    <mergeCell ref="A262:Z262"/>
    <mergeCell ref="A62:Z62"/>
    <mergeCell ref="W283:W284"/>
    <mergeCell ref="D54:E54"/>
    <mergeCell ref="AD17:AF18"/>
    <mergeCell ref="P142:V142"/>
    <mergeCell ref="A132:Z132"/>
    <mergeCell ref="D76:E76"/>
    <mergeCell ref="F5:G5"/>
    <mergeCell ref="P55:V55"/>
    <mergeCell ref="A221:Z221"/>
    <mergeCell ref="A25:Z25"/>
    <mergeCell ref="P119:V119"/>
    <mergeCell ref="P186:T186"/>
    <mergeCell ref="P82:T82"/>
    <mergeCell ref="V11:W11"/>
    <mergeCell ref="A136:O137"/>
    <mergeCell ref="D29:E29"/>
    <mergeCell ref="A20:Z20"/>
    <mergeCell ref="P123:T123"/>
    <mergeCell ref="A112:Z112"/>
    <mergeCell ref="P66:V66"/>
    <mergeCell ref="P137:V137"/>
    <mergeCell ref="D218:E218"/>
    <mergeCell ref="P197:V197"/>
    <mergeCell ref="A127:Z127"/>
    <mergeCell ref="A191:Z191"/>
    <mergeCell ref="D105:E105"/>
    <mergeCell ref="P2:W3"/>
    <mergeCell ref="F283:F284"/>
    <mergeCell ref="P54:T54"/>
    <mergeCell ref="D35:E35"/>
    <mergeCell ref="D10:E10"/>
    <mergeCell ref="A23:O24"/>
    <mergeCell ref="P64:T64"/>
    <mergeCell ref="F10:G10"/>
    <mergeCell ref="P135:T135"/>
    <mergeCell ref="A181:O182"/>
    <mergeCell ref="D270:E270"/>
    <mergeCell ref="P78:V78"/>
    <mergeCell ref="C282:T282"/>
    <mergeCell ref="P128:T128"/>
    <mergeCell ref="A223:Z223"/>
    <mergeCell ref="P253:T253"/>
    <mergeCell ref="D265:E265"/>
    <mergeCell ref="D252:E252"/>
    <mergeCell ref="D247:E247"/>
    <mergeCell ref="A178:Z178"/>
    <mergeCell ref="A83:O84"/>
    <mergeCell ref="D170:E170"/>
    <mergeCell ref="X283:X284"/>
    <mergeCell ref="A31:O32"/>
    <mergeCell ref="P265:T265"/>
    <mergeCell ref="P283:P284"/>
    <mergeCell ref="P250:V250"/>
    <mergeCell ref="A75:Z75"/>
    <mergeCell ref="R283:R284"/>
    <mergeCell ref="A233:Z233"/>
    <mergeCell ref="M17:M18"/>
    <mergeCell ref="O17:O18"/>
    <mergeCell ref="P131:V131"/>
    <mergeCell ref="P52:V52"/>
    <mergeCell ref="A235:Z235"/>
    <mergeCell ref="P189:V189"/>
    <mergeCell ref="P196:T196"/>
    <mergeCell ref="N17:N18"/>
    <mergeCell ref="D271:E271"/>
    <mergeCell ref="A245:Z245"/>
    <mergeCell ref="A202:O203"/>
    <mergeCell ref="Z283:Z284"/>
    <mergeCell ref="P174:T174"/>
    <mergeCell ref="D266:E266"/>
    <mergeCell ref="U17:V17"/>
    <mergeCell ref="Y17:Y18"/>
    <mergeCell ref="A163:O164"/>
    <mergeCell ref="D50:E50"/>
    <mergeCell ref="P32:V32"/>
    <mergeCell ref="Q13:R13"/>
    <mergeCell ref="P201:T201"/>
    <mergeCell ref="P47:V47"/>
    <mergeCell ref="P247:T247"/>
    <mergeCell ref="D22:E22"/>
    <mergeCell ref="D155:E155"/>
    <mergeCell ref="A222:Z222"/>
    <mergeCell ref="P255:V255"/>
    <mergeCell ref="P105:T105"/>
    <mergeCell ref="A110:O111"/>
    <mergeCell ref="P36:T36"/>
    <mergeCell ref="P107:T107"/>
    <mergeCell ref="D150:E150"/>
    <mergeCell ref="D44:E44"/>
    <mergeCell ref="D81:E81"/>
    <mergeCell ref="A188:O189"/>
    <mergeCell ref="AB17:AB18"/>
    <mergeCell ref="P100:V100"/>
    <mergeCell ref="P94:V94"/>
    <mergeCell ref="A41:Z41"/>
    <mergeCell ref="P237:V237"/>
    <mergeCell ref="H5:M5"/>
    <mergeCell ref="P31:V31"/>
    <mergeCell ref="A27:Z27"/>
    <mergeCell ref="A154:Z154"/>
    <mergeCell ref="P98:T98"/>
    <mergeCell ref="D212:E212"/>
    <mergeCell ref="D6:M6"/>
    <mergeCell ref="A85:Z85"/>
    <mergeCell ref="P162:T162"/>
    <mergeCell ref="P106:T106"/>
    <mergeCell ref="A231:O232"/>
    <mergeCell ref="P35:T35"/>
    <mergeCell ref="G17:G18"/>
    <mergeCell ref="A143:Z143"/>
    <mergeCell ref="P171:V171"/>
    <mergeCell ref="A167:Z167"/>
    <mergeCell ref="P59:T59"/>
    <mergeCell ref="A114:O115"/>
    <mergeCell ref="A227:Z227"/>
    <mergeCell ref="AD283:AD284"/>
    <mergeCell ref="A160:Z160"/>
    <mergeCell ref="H10:M10"/>
    <mergeCell ref="AA17:AA18"/>
    <mergeCell ref="P212:T212"/>
    <mergeCell ref="AC17:AC18"/>
    <mergeCell ref="O283:O284"/>
    <mergeCell ref="P108:T108"/>
    <mergeCell ref="D89:E89"/>
    <mergeCell ref="Q283:Q284"/>
    <mergeCell ref="P147:V147"/>
    <mergeCell ref="A199:Z199"/>
    <mergeCell ref="A175:O176"/>
    <mergeCell ref="P45:T45"/>
    <mergeCell ref="D128:E128"/>
    <mergeCell ref="P109:T109"/>
    <mergeCell ref="D186:E186"/>
    <mergeCell ref="A93:O94"/>
    <mergeCell ref="D217:E217"/>
    <mergeCell ref="P22:T22"/>
    <mergeCell ref="D65:E65"/>
    <mergeCell ref="P193:T193"/>
    <mergeCell ref="P257:T257"/>
    <mergeCell ref="D194:E194"/>
    <mergeCell ref="AE283:AE284"/>
    <mergeCell ref="P225:V225"/>
    <mergeCell ref="P88:T88"/>
    <mergeCell ref="A156:O157"/>
    <mergeCell ref="A72:O73"/>
    <mergeCell ref="D36:E36"/>
    <mergeCell ref="A138:Z138"/>
    <mergeCell ref="P202:V202"/>
    <mergeCell ref="A13:M13"/>
    <mergeCell ref="G283:G284"/>
    <mergeCell ref="P73:V73"/>
    <mergeCell ref="A69:Z69"/>
    <mergeCell ref="P231:V231"/>
    <mergeCell ref="A15:M15"/>
    <mergeCell ref="A256:Z256"/>
    <mergeCell ref="A183:Z183"/>
    <mergeCell ref="A133:Z133"/>
    <mergeCell ref="D193:E193"/>
    <mergeCell ref="P206:T206"/>
    <mergeCell ref="P37:T37"/>
    <mergeCell ref="P220:V220"/>
    <mergeCell ref="A273:O274"/>
    <mergeCell ref="D64:E64"/>
    <mergeCell ref="P248:T248"/>
    <mergeCell ref="AB283:AB284"/>
    <mergeCell ref="P87:T87"/>
    <mergeCell ref="P151:V151"/>
    <mergeCell ref="D201:E201"/>
    <mergeCell ref="P224:T224"/>
    <mergeCell ref="A141:O142"/>
    <mergeCell ref="P211:T211"/>
    <mergeCell ref="P89:T89"/>
    <mergeCell ref="D59:E59"/>
    <mergeCell ref="P157:V157"/>
    <mergeCell ref="P213:V213"/>
    <mergeCell ref="A209:Z209"/>
    <mergeCell ref="P249:V249"/>
    <mergeCell ref="P172:V172"/>
    <mergeCell ref="P152:V152"/>
    <mergeCell ref="I283:I284"/>
    <mergeCell ref="D140:E140"/>
    <mergeCell ref="D267:E267"/>
    <mergeCell ref="P90:T90"/>
    <mergeCell ref="P161:T161"/>
    <mergeCell ref="P217:T217"/>
    <mergeCell ref="A207:O208"/>
    <mergeCell ref="D269:E269"/>
    <mergeCell ref="P275:V275"/>
    <mergeCell ref="AA283:AA284"/>
    <mergeCell ref="AC283:AC284"/>
    <mergeCell ref="T5:U5"/>
    <mergeCell ref="P76:T76"/>
    <mergeCell ref="V5:W5"/>
    <mergeCell ref="D246:E246"/>
    <mergeCell ref="A48:Z48"/>
    <mergeCell ref="Q8:R8"/>
    <mergeCell ref="P140:T140"/>
    <mergeCell ref="P267:T267"/>
    <mergeCell ref="D248:E248"/>
    <mergeCell ref="D104:E104"/>
    <mergeCell ref="P83:V83"/>
    <mergeCell ref="A79:Z79"/>
    <mergeCell ref="P254:V254"/>
    <mergeCell ref="T6:U9"/>
    <mergeCell ref="Q10:R10"/>
    <mergeCell ref="D185:E185"/>
    <mergeCell ref="J283:J284"/>
    <mergeCell ref="P60:V60"/>
    <mergeCell ref="D43:E43"/>
    <mergeCell ref="P84:V84"/>
    <mergeCell ref="A139:Z139"/>
    <mergeCell ref="P124:V124"/>
    <mergeCell ref="H283:H284"/>
    <mergeCell ref="D106:E106"/>
    <mergeCell ref="P185:T185"/>
    <mergeCell ref="A146:O147"/>
    <mergeCell ref="D264:E264"/>
    <mergeCell ref="P72:V72"/>
    <mergeCell ref="A251:Z251"/>
    <mergeCell ref="P122:T122"/>
    <mergeCell ref="P43:T43"/>
    <mergeCell ref="P136:V136"/>
    <mergeCell ref="A126:Z126"/>
    <mergeCell ref="A53:Z53"/>
    <mergeCell ref="A68:Z68"/>
    <mergeCell ref="A190:Z190"/>
    <mergeCell ref="D109:E109"/>
    <mergeCell ref="D206:E206"/>
    <mergeCell ref="A275:O280"/>
    <mergeCell ref="P241:V241"/>
    <mergeCell ref="P91:T91"/>
    <mergeCell ref="A158:Z158"/>
    <mergeCell ref="P56:V56"/>
    <mergeCell ref="W282:AA282"/>
    <mergeCell ref="P99:V99"/>
    <mergeCell ref="P269:T269"/>
    <mergeCell ref="U283:U284"/>
    <mergeCell ref="P198:V198"/>
    <mergeCell ref="A5:C5"/>
    <mergeCell ref="P51:V51"/>
    <mergeCell ref="A17:A18"/>
    <mergeCell ref="K17:K18"/>
    <mergeCell ref="P195:T195"/>
    <mergeCell ref="C17:C18"/>
    <mergeCell ref="D103:E103"/>
    <mergeCell ref="D37:E37"/>
    <mergeCell ref="D230:E230"/>
    <mergeCell ref="D168:E168"/>
    <mergeCell ref="D9:E9"/>
    <mergeCell ref="D180:E180"/>
    <mergeCell ref="F9:G9"/>
    <mergeCell ref="A254:O255"/>
    <mergeCell ref="D161:E161"/>
    <mergeCell ref="P67:V67"/>
    <mergeCell ref="P238:V238"/>
    <mergeCell ref="P264:T264"/>
    <mergeCell ref="D169:E169"/>
    <mergeCell ref="A121:Z121"/>
    <mergeCell ref="A249:O250"/>
    <mergeCell ref="P146:V146"/>
    <mergeCell ref="A283:A284"/>
    <mergeCell ref="P50:T50"/>
    <mergeCell ref="A166:Z166"/>
    <mergeCell ref="D108:E108"/>
    <mergeCell ref="P187:T187"/>
    <mergeCell ref="P258:T258"/>
    <mergeCell ref="S283:S284"/>
    <mergeCell ref="I17:I18"/>
    <mergeCell ref="D135:E135"/>
    <mergeCell ref="P176:V176"/>
    <mergeCell ref="P114:V114"/>
    <mergeCell ref="P203:V203"/>
    <mergeCell ref="A120:Z120"/>
    <mergeCell ref="P276:V276"/>
    <mergeCell ref="P214:V214"/>
    <mergeCell ref="A239:Z239"/>
    <mergeCell ref="A95:Z95"/>
    <mergeCell ref="P278:V278"/>
    <mergeCell ref="A159:Z159"/>
    <mergeCell ref="D113:E113"/>
    <mergeCell ref="P180:T180"/>
    <mergeCell ref="A96:Z96"/>
    <mergeCell ref="D88:E88"/>
    <mergeCell ref="P117:T117"/>
    <mergeCell ref="K283:K284"/>
    <mergeCell ref="P111:V111"/>
    <mergeCell ref="A234:Z234"/>
    <mergeCell ref="T283:T284"/>
    <mergeCell ref="J17:J18"/>
    <mergeCell ref="D82:E82"/>
    <mergeCell ref="V283:V284"/>
    <mergeCell ref="L17:L18"/>
    <mergeCell ref="P61:V61"/>
    <mergeCell ref="D240:E240"/>
    <mergeCell ref="A244:Z244"/>
    <mergeCell ref="A165:Z165"/>
    <mergeCell ref="P125:V125"/>
    <mergeCell ref="P192:T192"/>
    <mergeCell ref="P277:V277"/>
    <mergeCell ref="A102:Z102"/>
    <mergeCell ref="P113:T113"/>
    <mergeCell ref="A173:Z173"/>
    <mergeCell ref="P17:T18"/>
    <mergeCell ref="A229:Z229"/>
    <mergeCell ref="P129:T129"/>
    <mergeCell ref="P63:T63"/>
    <mergeCell ref="A148:Z148"/>
    <mergeCell ref="P194:T194"/>
    <mergeCell ref="C283:C284"/>
    <mergeCell ref="D5:E5"/>
    <mergeCell ref="P42:T42"/>
    <mergeCell ref="P259:T259"/>
    <mergeCell ref="P175:V175"/>
    <mergeCell ref="P240:T240"/>
    <mergeCell ref="P93:V93"/>
    <mergeCell ref="P226:V226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A26:Z26"/>
    <mergeCell ref="P103:T103"/>
    <mergeCell ref="P97:T97"/>
    <mergeCell ref="P230:T230"/>
    <mergeCell ref="P130:V130"/>
    <mergeCell ref="P168:T168"/>
    <mergeCell ref="H1:Q1"/>
    <mergeCell ref="P38:V38"/>
    <mergeCell ref="P280:V280"/>
    <mergeCell ref="A243:Z243"/>
    <mergeCell ref="P274:V274"/>
    <mergeCell ref="A74:Z74"/>
    <mergeCell ref="D259:E259"/>
    <mergeCell ref="A66:O67"/>
    <mergeCell ref="D28:E28"/>
    <mergeCell ref="A237:O238"/>
    <mergeCell ref="A101:Z101"/>
    <mergeCell ref="P184:T184"/>
    <mergeCell ref="D236:E236"/>
    <mergeCell ref="D117:E117"/>
    <mergeCell ref="D92:E92"/>
    <mergeCell ref="D30:E30"/>
    <mergeCell ref="D1:F1"/>
    <mergeCell ref="D211:E211"/>
    <mergeCell ref="P46:V46"/>
    <mergeCell ref="P268:T268"/>
    <mergeCell ref="Q9:R9"/>
    <mergeCell ref="Q11:R11"/>
    <mergeCell ref="A6:C6"/>
    <mergeCell ref="Q12:R12"/>
    <mergeCell ref="P279:V279"/>
    <mergeCell ref="P118:V118"/>
    <mergeCell ref="A228:Z228"/>
    <mergeCell ref="P266:T266"/>
    <mergeCell ref="P182:V182"/>
    <mergeCell ref="D90:E90"/>
    <mergeCell ref="P169:T169"/>
    <mergeCell ref="A130:O131"/>
    <mergeCell ref="P246:T246"/>
    <mergeCell ref="P181:V181"/>
    <mergeCell ref="P110:V110"/>
    <mergeCell ref="A177:Z177"/>
    <mergeCell ref="D91:E91"/>
    <mergeCell ref="D162:E162"/>
    <mergeCell ref="P272:T272"/>
    <mergeCell ref="P210:T210"/>
    <mergeCell ref="P261:V261"/>
    <mergeCell ref="A144:Z144"/>
    <mergeCell ref="P273:V273"/>
    <mergeCell ref="A116:Z116"/>
    <mergeCell ref="A219:O220"/>
    <mergeCell ref="D257:E257"/>
    <mergeCell ref="P270:T270"/>
    <mergeCell ref="P271:T271"/>
    <mergeCell ref="D195:E195"/>
    <mergeCell ref="P170:T170"/>
    <mergeCell ref="A215:Z215"/>
    <mergeCell ref="D7:M7"/>
    <mergeCell ref="D129:E129"/>
    <mergeCell ref="P236:T236"/>
    <mergeCell ref="P156:V156"/>
    <mergeCell ref="P92:T92"/>
    <mergeCell ref="P29:T29"/>
    <mergeCell ref="A12:M12"/>
    <mergeCell ref="A19:Z19"/>
    <mergeCell ref="A14:M14"/>
    <mergeCell ref="J9:M9"/>
    <mergeCell ref="A40:Z40"/>
    <mergeCell ref="H17:H18"/>
    <mergeCell ref="V6:W9"/>
    <mergeCell ref="Z17:Z18"/>
    <mergeCell ref="D8:M8"/>
    <mergeCell ref="P44:T44"/>
    <mergeCell ref="D63:E63"/>
    <mergeCell ref="A38:O39"/>
    <mergeCell ref="P15:T16"/>
    <mergeCell ref="A86:Z86"/>
    <mergeCell ref="P39:V39"/>
    <mergeCell ref="V10:W10"/>
    <mergeCell ref="P145:T145"/>
    <mergeCell ref="P242:V242"/>
    <mergeCell ref="A241:O242"/>
    <mergeCell ref="A51:O52"/>
    <mergeCell ref="A9:C9"/>
    <mergeCell ref="D58:E58"/>
    <mergeCell ref="A179:Z179"/>
    <mergeCell ref="D283:D284"/>
    <mergeCell ref="D70:E70"/>
    <mergeCell ref="A205:Z205"/>
    <mergeCell ref="D263:E263"/>
    <mergeCell ref="A80:Z80"/>
    <mergeCell ref="D134:E134"/>
    <mergeCell ref="A200:Z200"/>
    <mergeCell ref="L283:L284"/>
    <mergeCell ref="A171:O172"/>
    <mergeCell ref="D258:E258"/>
    <mergeCell ref="P207:V207"/>
    <mergeCell ref="D187:E187"/>
    <mergeCell ref="D174:E174"/>
    <mergeCell ref="P260:V260"/>
    <mergeCell ref="P155:T155"/>
    <mergeCell ref="P252:T252"/>
    <mergeCell ref="D253:E253"/>
    <mergeCell ref="P232:V232"/>
    <mergeCell ref="A149:Z149"/>
    <mergeCell ref="W17:W18"/>
    <mergeCell ref="V12:W12"/>
    <mergeCell ref="R1:T1"/>
    <mergeCell ref="D71:E71"/>
    <mergeCell ref="P28:T28"/>
    <mergeCell ref="P150:T150"/>
    <mergeCell ref="P115:V115"/>
    <mergeCell ref="A46:O47"/>
    <mergeCell ref="D98:E98"/>
    <mergeCell ref="P30:T30"/>
    <mergeCell ref="P77:V77"/>
    <mergeCell ref="P141:V141"/>
    <mergeCell ref="P104:T104"/>
    <mergeCell ref="B17:B18"/>
    <mergeCell ref="A77:O78"/>
    <mergeCell ref="A34:Z34"/>
    <mergeCell ref="H9:I9"/>
    <mergeCell ref="D45:E45"/>
    <mergeCell ref="A49:Z49"/>
    <mergeCell ref="P24:V24"/>
    <mergeCell ref="P81:T8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 X50 X58:X59 X106 X109 X113 X117 X128 X134 X161 X174 X192:X196 X206 X217:X218 X224 X236 X246 X25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:X30 X35:X37 X42:X45 X54 X70:X71 X76 X81:X82 X87:X92 X97:X98 X103:X105 X107:X108 X122 X129 X135 X140 X145 X150 X155 X162 X168:X170 X180 X184:X187 X201 X210:X212 X230 X240 X247:X248 X252:X253 X257:X258 X263:X266 X268:X272" xr:uid="{00000000-0002-0000-0000-000012000000}">
      <formula1>IF(AK29&gt;0,OR(X29=0,AND(IF(X29-AK29&gt;=0,TRUE,FALSE),X29&gt;0,IF(X29/K29=ROUND(X29/K29,0),TRUE,FALSE))),FALSE)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3:X65 X123 X267" xr:uid="{00000000-0002-0000-0000-000013000000}">
      <formula1>IF(AK63&gt;0,OR(X63=0,AND(IF(X63-AK63&gt;=0,TRUE,FALSE),X63&gt;0,IF(X63/J63=ROUND(X63/J63,0),TRUE,FALSE))),FALSE)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385</v>
      </c>
      <c r="D6" s="47" t="s">
        <v>386</v>
      </c>
      <c r="E6" s="47"/>
    </row>
    <row r="8" spans="2:8" x14ac:dyDescent="0.2">
      <c r="B8" s="47" t="s">
        <v>19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7JKwCljVuYVWag4WOJGdP3+dW0bJpy9HhzrCCqY7XfkQ4Qaod2UV5jlMWj5lF8V5jHjHEFP4/V3JzCRZSa9a0g==" saltValue="GWK0RmY4furayzd3hT9B4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