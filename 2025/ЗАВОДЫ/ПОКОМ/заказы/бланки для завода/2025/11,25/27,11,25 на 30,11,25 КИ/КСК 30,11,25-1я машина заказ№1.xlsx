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B28B8CC-F81D-424D-889F-ACFCC42C8EE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BP471" i="1" s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BP449" i="1" s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BP435" i="1" s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P423" i="1" s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BP377" i="1" s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BP322" i="1" s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BP308" i="1" s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BP271" i="1" s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O246" i="1"/>
  <c r="BM246" i="1"/>
  <c r="Y246" i="1"/>
  <c r="BP246" i="1" s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BP224" i="1" s="1"/>
  <c r="P224" i="1"/>
  <c r="X221" i="1"/>
  <c r="X220" i="1"/>
  <c r="BO219" i="1"/>
  <c r="BM219" i="1"/>
  <c r="Y219" i="1"/>
  <c r="BP219" i="1" s="1"/>
  <c r="P219" i="1"/>
  <c r="BO218" i="1"/>
  <c r="BM218" i="1"/>
  <c r="Y218" i="1"/>
  <c r="Y220" i="1" s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O145" i="1"/>
  <c r="BM145" i="1"/>
  <c r="Y145" i="1"/>
  <c r="BP145" i="1" s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7" i="1"/>
  <c r="X136" i="1"/>
  <c r="BO135" i="1"/>
  <c r="BM135" i="1"/>
  <c r="Y135" i="1"/>
  <c r="P135" i="1"/>
  <c r="BO134" i="1"/>
  <c r="BM134" i="1"/>
  <c r="Y134" i="1"/>
  <c r="BP134" i="1" s="1"/>
  <c r="P134" i="1"/>
  <c r="X132" i="1"/>
  <c r="X131" i="1"/>
  <c r="BO130" i="1"/>
  <c r="BM130" i="1"/>
  <c r="Y130" i="1"/>
  <c r="BP130" i="1" s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X488" i="1" l="1"/>
  <c r="Y32" i="1"/>
  <c r="Z34" i="1"/>
  <c r="Z35" i="1" s="1"/>
  <c r="BN34" i="1"/>
  <c r="BP34" i="1"/>
  <c r="Y35" i="1"/>
  <c r="Z40" i="1"/>
  <c r="BN40" i="1"/>
  <c r="Z55" i="1"/>
  <c r="BN55" i="1"/>
  <c r="Z75" i="1"/>
  <c r="BN75" i="1"/>
  <c r="Z94" i="1"/>
  <c r="BN94" i="1"/>
  <c r="Z113" i="1"/>
  <c r="BN113" i="1"/>
  <c r="Z134" i="1"/>
  <c r="BN134" i="1"/>
  <c r="Z175" i="1"/>
  <c r="BN175" i="1"/>
  <c r="Z198" i="1"/>
  <c r="BN198" i="1"/>
  <c r="Z208" i="1"/>
  <c r="BN208" i="1"/>
  <c r="Z218" i="1"/>
  <c r="BN218" i="1"/>
  <c r="Z219" i="1"/>
  <c r="BN219" i="1"/>
  <c r="Z224" i="1"/>
  <c r="BN224" i="1"/>
  <c r="Z232" i="1"/>
  <c r="BN232" i="1"/>
  <c r="Z257" i="1"/>
  <c r="BN257" i="1"/>
  <c r="Z273" i="1"/>
  <c r="BN273" i="1"/>
  <c r="Z292" i="1"/>
  <c r="BN292" i="1"/>
  <c r="Z308" i="1"/>
  <c r="BN308" i="1"/>
  <c r="Z322" i="1"/>
  <c r="BN322" i="1"/>
  <c r="Z345" i="1"/>
  <c r="BN345" i="1"/>
  <c r="Z377" i="1"/>
  <c r="BN377" i="1"/>
  <c r="Z391" i="1"/>
  <c r="BN391" i="1"/>
  <c r="Z423" i="1"/>
  <c r="BN423" i="1"/>
  <c r="Z435" i="1"/>
  <c r="BN435" i="1"/>
  <c r="Z449" i="1"/>
  <c r="BN449" i="1"/>
  <c r="Z471" i="1"/>
  <c r="BN471" i="1"/>
  <c r="J9" i="1"/>
  <c r="BP278" i="1"/>
  <c r="BN278" i="1"/>
  <c r="BP290" i="1"/>
  <c r="BN290" i="1"/>
  <c r="Z290" i="1"/>
  <c r="BP302" i="1"/>
  <c r="BN302" i="1"/>
  <c r="Z302" i="1"/>
  <c r="BP316" i="1"/>
  <c r="BN316" i="1"/>
  <c r="Z316" i="1"/>
  <c r="BP320" i="1"/>
  <c r="BN320" i="1"/>
  <c r="Z320" i="1"/>
  <c r="BP343" i="1"/>
  <c r="BN343" i="1"/>
  <c r="Z343" i="1"/>
  <c r="BP373" i="1"/>
  <c r="BN373" i="1"/>
  <c r="Z373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Y69" i="1"/>
  <c r="Z73" i="1"/>
  <c r="BN73" i="1"/>
  <c r="Z79" i="1"/>
  <c r="BN79" i="1"/>
  <c r="BP79" i="1"/>
  <c r="Z92" i="1"/>
  <c r="BN92" i="1"/>
  <c r="Z99" i="1"/>
  <c r="BN99" i="1"/>
  <c r="Z107" i="1"/>
  <c r="BN107" i="1"/>
  <c r="Z115" i="1"/>
  <c r="BN115" i="1"/>
  <c r="Z130" i="1"/>
  <c r="BN130" i="1"/>
  <c r="Y136" i="1"/>
  <c r="Z141" i="1"/>
  <c r="BN141" i="1"/>
  <c r="Z145" i="1"/>
  <c r="BN145" i="1"/>
  <c r="Z164" i="1"/>
  <c r="BN164" i="1"/>
  <c r="Z165" i="1"/>
  <c r="BN165" i="1"/>
  <c r="Z169" i="1"/>
  <c r="BN169" i="1"/>
  <c r="Z186" i="1"/>
  <c r="BN186" i="1"/>
  <c r="Y192" i="1"/>
  <c r="Z196" i="1"/>
  <c r="BN196" i="1"/>
  <c r="Z200" i="1"/>
  <c r="BN200" i="1"/>
  <c r="Z206" i="1"/>
  <c r="BN206" i="1"/>
  <c r="BP206" i="1"/>
  <c r="Z210" i="1"/>
  <c r="BN210" i="1"/>
  <c r="Z214" i="1"/>
  <c r="BN214" i="1"/>
  <c r="Z226" i="1"/>
  <c r="BN226" i="1"/>
  <c r="Z230" i="1"/>
  <c r="BN230" i="1"/>
  <c r="Z246" i="1"/>
  <c r="BN246" i="1"/>
  <c r="Z255" i="1"/>
  <c r="BN255" i="1"/>
  <c r="Z264" i="1"/>
  <c r="BN264" i="1"/>
  <c r="Z271" i="1"/>
  <c r="BN271" i="1"/>
  <c r="Z278" i="1"/>
  <c r="BP298" i="1"/>
  <c r="BN298" i="1"/>
  <c r="Z298" i="1"/>
  <c r="BP310" i="1"/>
  <c r="BN310" i="1"/>
  <c r="Z310" i="1"/>
  <c r="BP328" i="1"/>
  <c r="BN328" i="1"/>
  <c r="Z328" i="1"/>
  <c r="BP347" i="1"/>
  <c r="BN347" i="1"/>
  <c r="Z347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318" i="1"/>
  <c r="Y317" i="1"/>
  <c r="Y379" i="1"/>
  <c r="Y453" i="1"/>
  <c r="Y452" i="1"/>
  <c r="Y31" i="1"/>
  <c r="Y43" i="1"/>
  <c r="Y58" i="1"/>
  <c r="Y64" i="1"/>
  <c r="Y70" i="1"/>
  <c r="Y77" i="1"/>
  <c r="BP72" i="1"/>
  <c r="BN72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BP146" i="1"/>
  <c r="BN146" i="1"/>
  <c r="Z146" i="1"/>
  <c r="Z148" i="1" s="1"/>
  <c r="BP163" i="1"/>
  <c r="BN163" i="1"/>
  <c r="Z163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8" i="1"/>
  <c r="Y188" i="1"/>
  <c r="BP185" i="1"/>
  <c r="BN185" i="1"/>
  <c r="Z185" i="1"/>
  <c r="Z187" i="1" s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84" i="1"/>
  <c r="BN284" i="1"/>
  <c r="Z284" i="1"/>
  <c r="Y286" i="1"/>
  <c r="Q498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D498" i="1"/>
  <c r="H9" i="1"/>
  <c r="B498" i="1"/>
  <c r="X489" i="1"/>
  <c r="X490" i="1"/>
  <c r="X492" i="1"/>
  <c r="Y24" i="1"/>
  <c r="Z27" i="1"/>
  <c r="BN27" i="1"/>
  <c r="Z29" i="1"/>
  <c r="BN29" i="1"/>
  <c r="C498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Z72" i="1"/>
  <c r="Z76" i="1" s="1"/>
  <c r="Y76" i="1"/>
  <c r="BP80" i="1"/>
  <c r="BN80" i="1"/>
  <c r="Z80" i="1"/>
  <c r="Z81" i="1" s="1"/>
  <c r="Y82" i="1"/>
  <c r="E498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Y131" i="1"/>
  <c r="BP135" i="1"/>
  <c r="BN135" i="1"/>
  <c r="Z135" i="1"/>
  <c r="Z136" i="1" s="1"/>
  <c r="Y137" i="1"/>
  <c r="H498" i="1"/>
  <c r="Y143" i="1"/>
  <c r="BP140" i="1"/>
  <c r="BN140" i="1"/>
  <c r="Z140" i="1"/>
  <c r="Z142" i="1" s="1"/>
  <c r="Y149" i="1"/>
  <c r="Y148" i="1"/>
  <c r="Y152" i="1"/>
  <c r="BP151" i="1"/>
  <c r="BN151" i="1"/>
  <c r="Z151" i="1"/>
  <c r="Z152" i="1" s="1"/>
  <c r="Y153" i="1"/>
  <c r="I498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Y187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1" i="1"/>
  <c r="BN211" i="1"/>
  <c r="Z211" i="1"/>
  <c r="Y215" i="1"/>
  <c r="BP225" i="1"/>
  <c r="BN225" i="1"/>
  <c r="Z225" i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498" i="1"/>
  <c r="BP258" i="1"/>
  <c r="BN258" i="1"/>
  <c r="Z258" i="1"/>
  <c r="Y260" i="1"/>
  <c r="M498" i="1"/>
  <c r="Y268" i="1"/>
  <c r="BP263" i="1"/>
  <c r="BN263" i="1"/>
  <c r="Z263" i="1"/>
  <c r="Y267" i="1"/>
  <c r="BP272" i="1"/>
  <c r="BN272" i="1"/>
  <c r="Z272" i="1"/>
  <c r="Z274" i="1" s="1"/>
  <c r="Y274" i="1"/>
  <c r="BP321" i="1"/>
  <c r="BN321" i="1"/>
  <c r="Z321" i="1"/>
  <c r="Y325" i="1"/>
  <c r="BP329" i="1"/>
  <c r="BN329" i="1"/>
  <c r="Z329" i="1"/>
  <c r="Y331" i="1"/>
  <c r="R498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Y221" i="1"/>
  <c r="BP218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5" i="1"/>
  <c r="BP283" i="1"/>
  <c r="BN283" i="1"/>
  <c r="Z283" i="1"/>
  <c r="Z285" i="1" s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BP315" i="1"/>
  <c r="BN315" i="1"/>
  <c r="Z315" i="1"/>
  <c r="Y324" i="1"/>
  <c r="BP323" i="1"/>
  <c r="BN323" i="1"/>
  <c r="Z323" i="1"/>
  <c r="Y330" i="1"/>
  <c r="BP327" i="1"/>
  <c r="BN327" i="1"/>
  <c r="Z327" i="1"/>
  <c r="BP336" i="1"/>
  <c r="BN336" i="1"/>
  <c r="Z336" i="1"/>
  <c r="S498" i="1"/>
  <c r="Y349" i="1"/>
  <c r="BP342" i="1"/>
  <c r="BN342" i="1"/>
  <c r="Z342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K498" i="1"/>
  <c r="Y234" i="1"/>
  <c r="O498" i="1"/>
  <c r="Y275" i="1"/>
  <c r="P498" i="1"/>
  <c r="Y280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Z452" i="1" s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349" i="1" l="1"/>
  <c r="Z330" i="1"/>
  <c r="Z324" i="1"/>
  <c r="Z317" i="1"/>
  <c r="Z177" i="1"/>
  <c r="Z88" i="1"/>
  <c r="Z63" i="1"/>
  <c r="X491" i="1"/>
  <c r="Z220" i="1"/>
  <c r="Z461" i="1"/>
  <c r="Y490" i="1"/>
  <c r="Z57" i="1"/>
  <c r="Z31" i="1"/>
  <c r="Z437" i="1"/>
  <c r="Z410" i="1"/>
  <c r="Z234" i="1"/>
  <c r="Z215" i="1"/>
  <c r="Z109" i="1"/>
  <c r="Y489" i="1"/>
  <c r="Z103" i="1"/>
  <c r="Z95" i="1"/>
  <c r="Y492" i="1"/>
  <c r="Y491" i="1"/>
  <c r="Z446" i="1"/>
  <c r="Z431" i="1"/>
  <c r="Z267" i="1"/>
  <c r="Z259" i="1"/>
  <c r="Z250" i="1"/>
  <c r="Z393" i="1"/>
  <c r="Z337" i="1"/>
  <c r="Z304" i="1"/>
  <c r="Z294" i="1"/>
  <c r="Z116" i="1"/>
  <c r="Z203" i="1"/>
  <c r="Z171" i="1"/>
  <c r="Z69" i="1"/>
  <c r="Y488" i="1"/>
  <c r="Z493" i="1" l="1"/>
</calcChain>
</file>

<file path=xl/sharedStrings.xml><?xml version="1.0" encoding="utf-8"?>
<sst xmlns="http://schemas.openxmlformats.org/spreadsheetml/2006/main" count="2269" uniqueCount="761">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</sst>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4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22" t="s">
        <v>0</v>
      </c>
      <c r="E1" s="564"/>
      <c r="F1" s="564"/>
      <c r="G1" s="12" t="s">
        <v>1</v>
      </c>
      <c r="H1" s="622" t="s">
        <v>2</v>
      </c>
      <c r="I1" s="564"/>
      <c r="J1" s="564"/>
      <c r="K1" s="564"/>
      <c r="L1" s="564"/>
      <c r="M1" s="564"/>
      <c r="N1" s="564"/>
      <c r="O1" s="564"/>
      <c r="P1" s="564"/>
      <c r="Q1" s="564"/>
      <c r="R1" s="563" t="s">
        <v>3</v>
      </c>
      <c r="S1" s="564"/>
      <c r="T1" s="5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24" t="s">
        <v>8</v>
      </c>
      <c r="B5" s="625"/>
      <c r="C5" s="626"/>
      <c r="D5" s="596"/>
      <c r="E5" s="597"/>
      <c r="F5" s="822" t="s">
        <v>9</v>
      </c>
      <c r="G5" s="626"/>
      <c r="H5" s="596" t="s">
        <v>760</v>
      </c>
      <c r="I5" s="764"/>
      <c r="J5" s="764"/>
      <c r="K5" s="764"/>
      <c r="L5" s="764"/>
      <c r="M5" s="597"/>
      <c r="N5" s="58"/>
      <c r="P5" s="24" t="s">
        <v>10</v>
      </c>
      <c r="Q5" s="831">
        <v>45991</v>
      </c>
      <c r="R5" s="656"/>
      <c r="T5" s="703" t="s">
        <v>11</v>
      </c>
      <c r="U5" s="704"/>
      <c r="V5" s="705" t="s">
        <v>12</v>
      </c>
      <c r="W5" s="656"/>
      <c r="AB5" s="51"/>
      <c r="AC5" s="51"/>
      <c r="AD5" s="51"/>
      <c r="AE5" s="51"/>
    </row>
    <row r="6" spans="1:32" s="533" customFormat="1" ht="24" customHeight="1" x14ac:dyDescent="0.2">
      <c r="A6" s="624" t="s">
        <v>13</v>
      </c>
      <c r="B6" s="625"/>
      <c r="C6" s="626"/>
      <c r="D6" s="767" t="s">
        <v>14</v>
      </c>
      <c r="E6" s="768"/>
      <c r="F6" s="768"/>
      <c r="G6" s="768"/>
      <c r="H6" s="768"/>
      <c r="I6" s="768"/>
      <c r="J6" s="768"/>
      <c r="K6" s="768"/>
      <c r="L6" s="768"/>
      <c r="M6" s="656"/>
      <c r="N6" s="59"/>
      <c r="P6" s="24" t="s">
        <v>15</v>
      </c>
      <c r="Q6" s="839" t="str">
        <f>IF(Q5=0," ",CHOOSE(WEEKDAY(Q5,2),"Понедельник","Вторник","Среда","Четверг","Пятница","Суббота","Воскресенье"))</f>
        <v>Воскресенье</v>
      </c>
      <c r="R6" s="544"/>
      <c r="T6" s="707" t="s">
        <v>16</v>
      </c>
      <c r="U6" s="704"/>
      <c r="V6" s="749" t="s">
        <v>17</v>
      </c>
      <c r="W6" s="579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8" t="str">
        <f>IFERROR(VLOOKUP(DeliveryAddress,Table,3,0),1)</f>
        <v>1</v>
      </c>
      <c r="E7" s="599"/>
      <c r="F7" s="599"/>
      <c r="G7" s="599"/>
      <c r="H7" s="599"/>
      <c r="I7" s="599"/>
      <c r="J7" s="599"/>
      <c r="K7" s="599"/>
      <c r="L7" s="599"/>
      <c r="M7" s="600"/>
      <c r="N7" s="60"/>
      <c r="P7" s="24"/>
      <c r="Q7" s="42"/>
      <c r="R7" s="42"/>
      <c r="T7" s="554"/>
      <c r="U7" s="704"/>
      <c r="V7" s="750"/>
      <c r="W7" s="751"/>
      <c r="AB7" s="51"/>
      <c r="AC7" s="51"/>
      <c r="AD7" s="51"/>
      <c r="AE7" s="51"/>
    </row>
    <row r="8" spans="1:32" s="533" customFormat="1" ht="25.5" customHeight="1" x14ac:dyDescent="0.2">
      <c r="A8" s="860" t="s">
        <v>18</v>
      </c>
      <c r="B8" s="546"/>
      <c r="C8" s="547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27">
        <v>0.375</v>
      </c>
      <c r="R8" s="600"/>
      <c r="T8" s="554"/>
      <c r="U8" s="704"/>
      <c r="V8" s="750"/>
      <c r="W8" s="751"/>
      <c r="AB8" s="51"/>
      <c r="AC8" s="51"/>
      <c r="AD8" s="51"/>
      <c r="AE8" s="51"/>
    </row>
    <row r="9" spans="1:32" s="533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68"/>
      <c r="E9" s="552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1" t="str">
        <f>IF(AND($A$9="Тип доверенности/получателя при получении в адресе перегруза:",$D$9="Разовая доверенность"),"Введите ФИО","")</f>
        <v/>
      </c>
      <c r="I9" s="552"/>
      <c r="J9" s="5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2"/>
      <c r="L9" s="552"/>
      <c r="M9" s="552"/>
      <c r="N9" s="531"/>
      <c r="P9" s="26" t="s">
        <v>21</v>
      </c>
      <c r="Q9" s="653"/>
      <c r="R9" s="654"/>
      <c r="T9" s="554"/>
      <c r="U9" s="704"/>
      <c r="V9" s="752"/>
      <c r="W9" s="753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68"/>
      <c r="E10" s="552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38" t="str">
        <f>IFERROR(VLOOKUP($D$10,Proxy,2,FALSE),"")</f>
        <v/>
      </c>
      <c r="I10" s="554"/>
      <c r="J10" s="554"/>
      <c r="K10" s="554"/>
      <c r="L10" s="554"/>
      <c r="M10" s="554"/>
      <c r="N10" s="532"/>
      <c r="P10" s="26" t="s">
        <v>22</v>
      </c>
      <c r="Q10" s="708"/>
      <c r="R10" s="709"/>
      <c r="U10" s="24" t="s">
        <v>23</v>
      </c>
      <c r="V10" s="578" t="s">
        <v>24</v>
      </c>
      <c r="W10" s="579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5"/>
      <c r="R11" s="656"/>
      <c r="U11" s="24" t="s">
        <v>27</v>
      </c>
      <c r="V11" s="785" t="s">
        <v>28</v>
      </c>
      <c r="W11" s="654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1" t="s">
        <v>29</v>
      </c>
      <c r="B12" s="625"/>
      <c r="C12" s="625"/>
      <c r="D12" s="625"/>
      <c r="E12" s="625"/>
      <c r="F12" s="625"/>
      <c r="G12" s="625"/>
      <c r="H12" s="625"/>
      <c r="I12" s="625"/>
      <c r="J12" s="625"/>
      <c r="K12" s="625"/>
      <c r="L12" s="625"/>
      <c r="M12" s="626"/>
      <c r="N12" s="62"/>
      <c r="P12" s="24" t="s">
        <v>30</v>
      </c>
      <c r="Q12" s="627"/>
      <c r="R12" s="600"/>
      <c r="S12" s="23"/>
      <c r="U12" s="24"/>
      <c r="V12" s="564"/>
      <c r="W12" s="554"/>
      <c r="AB12" s="51"/>
      <c r="AC12" s="51"/>
      <c r="AD12" s="51"/>
      <c r="AE12" s="51"/>
    </row>
    <row r="13" spans="1:32" s="533" customFormat="1" ht="23.25" customHeight="1" x14ac:dyDescent="0.2">
      <c r="A13" s="691" t="s">
        <v>31</v>
      </c>
      <c r="B13" s="625"/>
      <c r="C13" s="625"/>
      <c r="D13" s="625"/>
      <c r="E13" s="625"/>
      <c r="F13" s="625"/>
      <c r="G13" s="625"/>
      <c r="H13" s="625"/>
      <c r="I13" s="625"/>
      <c r="J13" s="625"/>
      <c r="K13" s="625"/>
      <c r="L13" s="625"/>
      <c r="M13" s="626"/>
      <c r="N13" s="62"/>
      <c r="O13" s="26"/>
      <c r="P13" s="26" t="s">
        <v>32</v>
      </c>
      <c r="Q13" s="785"/>
      <c r="R13" s="6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1" t="s">
        <v>33</v>
      </c>
      <c r="B14" s="625"/>
      <c r="C14" s="625"/>
      <c r="D14" s="625"/>
      <c r="E14" s="625"/>
      <c r="F14" s="625"/>
      <c r="G14" s="625"/>
      <c r="H14" s="625"/>
      <c r="I14" s="625"/>
      <c r="J14" s="625"/>
      <c r="K14" s="625"/>
      <c r="L14" s="625"/>
      <c r="M14" s="62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5" t="s">
        <v>34</v>
      </c>
      <c r="B15" s="625"/>
      <c r="C15" s="625"/>
      <c r="D15" s="625"/>
      <c r="E15" s="625"/>
      <c r="F15" s="625"/>
      <c r="G15" s="625"/>
      <c r="H15" s="625"/>
      <c r="I15" s="625"/>
      <c r="J15" s="625"/>
      <c r="K15" s="625"/>
      <c r="L15" s="625"/>
      <c r="M15" s="626"/>
      <c r="N15" s="63"/>
      <c r="P15" s="631" t="s">
        <v>35</v>
      </c>
      <c r="Q15" s="564"/>
      <c r="R15" s="564"/>
      <c r="S15" s="564"/>
      <c r="T15" s="5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32"/>
      <c r="Q16" s="632"/>
      <c r="R16" s="632"/>
      <c r="S16" s="632"/>
      <c r="T16" s="63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6" t="s">
        <v>36</v>
      </c>
      <c r="B17" s="576" t="s">
        <v>37</v>
      </c>
      <c r="C17" s="630" t="s">
        <v>38</v>
      </c>
      <c r="D17" s="576" t="s">
        <v>39</v>
      </c>
      <c r="E17" s="636"/>
      <c r="F17" s="576" t="s">
        <v>40</v>
      </c>
      <c r="G17" s="576" t="s">
        <v>41</v>
      </c>
      <c r="H17" s="576" t="s">
        <v>42</v>
      </c>
      <c r="I17" s="576" t="s">
        <v>43</v>
      </c>
      <c r="J17" s="576" t="s">
        <v>44</v>
      </c>
      <c r="K17" s="576" t="s">
        <v>45</v>
      </c>
      <c r="L17" s="576" t="s">
        <v>46</v>
      </c>
      <c r="M17" s="576" t="s">
        <v>47</v>
      </c>
      <c r="N17" s="576" t="s">
        <v>48</v>
      </c>
      <c r="O17" s="576" t="s">
        <v>49</v>
      </c>
      <c r="P17" s="576" t="s">
        <v>50</v>
      </c>
      <c r="Q17" s="635"/>
      <c r="R17" s="635"/>
      <c r="S17" s="635"/>
      <c r="T17" s="636"/>
      <c r="U17" s="855" t="s">
        <v>51</v>
      </c>
      <c r="V17" s="626"/>
      <c r="W17" s="576" t="s">
        <v>52</v>
      </c>
      <c r="X17" s="576" t="s">
        <v>53</v>
      </c>
      <c r="Y17" s="856" t="s">
        <v>54</v>
      </c>
      <c r="Z17" s="761" t="s">
        <v>55</v>
      </c>
      <c r="AA17" s="735" t="s">
        <v>56</v>
      </c>
      <c r="AB17" s="735" t="s">
        <v>57</v>
      </c>
      <c r="AC17" s="735" t="s">
        <v>58</v>
      </c>
      <c r="AD17" s="735" t="s">
        <v>59</v>
      </c>
      <c r="AE17" s="816"/>
      <c r="AF17" s="817"/>
      <c r="AG17" s="66"/>
      <c r="BD17" s="65" t="s">
        <v>60</v>
      </c>
    </row>
    <row r="18" spans="1:68" ht="14.25" customHeight="1" x14ac:dyDescent="0.2">
      <c r="A18" s="577"/>
      <c r="B18" s="577"/>
      <c r="C18" s="577"/>
      <c r="D18" s="637"/>
      <c r="E18" s="639"/>
      <c r="F18" s="577"/>
      <c r="G18" s="577"/>
      <c r="H18" s="577"/>
      <c r="I18" s="577"/>
      <c r="J18" s="577"/>
      <c r="K18" s="577"/>
      <c r="L18" s="577"/>
      <c r="M18" s="577"/>
      <c r="N18" s="577"/>
      <c r="O18" s="577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77"/>
      <c r="X18" s="577"/>
      <c r="Y18" s="857"/>
      <c r="Z18" s="762"/>
      <c r="AA18" s="736"/>
      <c r="AB18" s="736"/>
      <c r="AC18" s="736"/>
      <c r="AD18" s="818"/>
      <c r="AE18" s="819"/>
      <c r="AF18" s="820"/>
      <c r="AG18" s="66"/>
      <c r="BD18" s="65"/>
    </row>
    <row r="19" spans="1:68" ht="27.75" hidden="1" customHeight="1" x14ac:dyDescent="0.2">
      <c r="A19" s="694" t="s">
        <v>63</v>
      </c>
      <c r="B19" s="695"/>
      <c r="C19" s="695"/>
      <c r="D19" s="695"/>
      <c r="E19" s="695"/>
      <c r="F19" s="695"/>
      <c r="G19" s="695"/>
      <c r="H19" s="695"/>
      <c r="I19" s="695"/>
      <c r="J19" s="695"/>
      <c r="K19" s="695"/>
      <c r="L19" s="695"/>
      <c r="M19" s="695"/>
      <c r="N19" s="695"/>
      <c r="O19" s="695"/>
      <c r="P19" s="695"/>
      <c r="Q19" s="695"/>
      <c r="R19" s="695"/>
      <c r="S19" s="695"/>
      <c r="T19" s="695"/>
      <c r="U19" s="695"/>
      <c r="V19" s="695"/>
      <c r="W19" s="695"/>
      <c r="X19" s="695"/>
      <c r="Y19" s="695"/>
      <c r="Z19" s="695"/>
      <c r="AA19" s="48"/>
      <c r="AB19" s="48"/>
      <c r="AC19" s="48"/>
    </row>
    <row r="20" spans="1:68" ht="16.5" hidden="1" customHeight="1" x14ac:dyDescent="0.25">
      <c r="A20" s="553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4"/>
      <c r="AB20" s="534"/>
      <c r="AC20" s="534"/>
    </row>
    <row r="21" spans="1:68" ht="14.25" hidden="1" customHeight="1" x14ac:dyDescent="0.25">
      <c r="A21" s="556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9"/>
      <c r="R22" s="549"/>
      <c r="S22" s="549"/>
      <c r="T22" s="550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5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66"/>
      <c r="P23" s="545" t="s">
        <v>71</v>
      </c>
      <c r="Q23" s="546"/>
      <c r="R23" s="546"/>
      <c r="S23" s="546"/>
      <c r="T23" s="546"/>
      <c r="U23" s="546"/>
      <c r="V23" s="547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66"/>
      <c r="P24" s="545" t="s">
        <v>71</v>
      </c>
      <c r="Q24" s="546"/>
      <c r="R24" s="546"/>
      <c r="S24" s="546"/>
      <c r="T24" s="546"/>
      <c r="U24" s="546"/>
      <c r="V24" s="547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6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9"/>
      <c r="R26" s="549"/>
      <c r="S26" s="549"/>
      <c r="T26" s="550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9"/>
      <c r="R27" s="549"/>
      <c r="S27" s="549"/>
      <c r="T27" s="550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9"/>
      <c r="R28" s="549"/>
      <c r="S28" s="549"/>
      <c r="T28" s="550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9"/>
      <c r="R29" s="549"/>
      <c r="S29" s="549"/>
      <c r="T29" s="550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9"/>
      <c r="R30" s="549"/>
      <c r="S30" s="549"/>
      <c r="T30" s="550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5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66"/>
      <c r="P31" s="545" t="s">
        <v>71</v>
      </c>
      <c r="Q31" s="546"/>
      <c r="R31" s="546"/>
      <c r="S31" s="546"/>
      <c r="T31" s="546"/>
      <c r="U31" s="546"/>
      <c r="V31" s="547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66"/>
      <c r="P32" s="545" t="s">
        <v>71</v>
      </c>
      <c r="Q32" s="546"/>
      <c r="R32" s="546"/>
      <c r="S32" s="546"/>
      <c r="T32" s="546"/>
      <c r="U32" s="546"/>
      <c r="V32" s="547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6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9"/>
      <c r="R34" s="549"/>
      <c r="S34" s="549"/>
      <c r="T34" s="550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5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66"/>
      <c r="P35" s="545" t="s">
        <v>71</v>
      </c>
      <c r="Q35" s="546"/>
      <c r="R35" s="546"/>
      <c r="S35" s="546"/>
      <c r="T35" s="546"/>
      <c r="U35" s="546"/>
      <c r="V35" s="547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66"/>
      <c r="P36" s="545" t="s">
        <v>71</v>
      </c>
      <c r="Q36" s="546"/>
      <c r="R36" s="546"/>
      <c r="S36" s="546"/>
      <c r="T36" s="546"/>
      <c r="U36" s="546"/>
      <c r="V36" s="547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4" t="s">
        <v>97</v>
      </c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5"/>
      <c r="P37" s="695"/>
      <c r="Q37" s="695"/>
      <c r="R37" s="695"/>
      <c r="S37" s="695"/>
      <c r="T37" s="695"/>
      <c r="U37" s="695"/>
      <c r="V37" s="695"/>
      <c r="W37" s="695"/>
      <c r="X37" s="695"/>
      <c r="Y37" s="695"/>
      <c r="Z37" s="695"/>
      <c r="AA37" s="48"/>
      <c r="AB37" s="48"/>
      <c r="AC37" s="48"/>
    </row>
    <row r="38" spans="1:68" ht="16.5" hidden="1" customHeight="1" x14ac:dyDescent="0.25">
      <c r="A38" s="553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4"/>
      <c r="AB38" s="534"/>
      <c r="AC38" s="534"/>
    </row>
    <row r="39" spans="1:68" ht="14.25" hidden="1" customHeight="1" x14ac:dyDescent="0.25">
      <c r="A39" s="556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9"/>
      <c r="R40" s="549"/>
      <c r="S40" s="549"/>
      <c r="T40" s="550"/>
      <c r="U40" s="34"/>
      <c r="V40" s="34"/>
      <c r="W40" s="35" t="s">
        <v>69</v>
      </c>
      <c r="X40" s="539">
        <v>50</v>
      </c>
      <c r="Y40" s="540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51.898148148148145</v>
      </c>
      <c r="BN40" s="64">
        <f>IFERROR(Y40*I40/H40,"0")</f>
        <v>56.05</v>
      </c>
      <c r="BO40" s="64">
        <f>IFERROR(1/J40*(X40/H40),"0")</f>
        <v>7.2337962962962965E-2</v>
      </c>
      <c r="BP40" s="64">
        <f>IFERROR(1/J40*(Y40/H40),"0")</f>
        <v>7.8125E-2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7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9"/>
      <c r="R41" s="549"/>
      <c r="S41" s="549"/>
      <c r="T41" s="550"/>
      <c r="U41" s="34"/>
      <c r="V41" s="34"/>
      <c r="W41" s="35" t="s">
        <v>69</v>
      </c>
      <c r="X41" s="539">
        <v>100</v>
      </c>
      <c r="Y41" s="540">
        <f>IFERROR(IF(X41="",0,CEILING((X41/$H41),1)*$H41),"")</f>
        <v>100</v>
      </c>
      <c r="Z41" s="36">
        <f>IFERROR(IF(Y41=0,"",ROUNDUP(Y41/H41,0)*0.00902),"")</f>
        <v>0.22550000000000001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104.75000000000001</v>
      </c>
      <c r="BN41" s="64">
        <f>IFERROR(Y41*I41/H41,"0")</f>
        <v>104.75000000000001</v>
      </c>
      <c r="BO41" s="64">
        <f>IFERROR(1/J41*(X41/H41),"0")</f>
        <v>0.18939393939393939</v>
      </c>
      <c r="BP41" s="64">
        <f>IFERROR(1/J41*(Y41/H41),"0")</f>
        <v>0.18939393939393939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5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9"/>
      <c r="R42" s="549"/>
      <c r="S42" s="549"/>
      <c r="T42" s="550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5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66"/>
      <c r="P43" s="545" t="s">
        <v>71</v>
      </c>
      <c r="Q43" s="546"/>
      <c r="R43" s="546"/>
      <c r="S43" s="546"/>
      <c r="T43" s="546"/>
      <c r="U43" s="546"/>
      <c r="V43" s="547"/>
      <c r="W43" s="37" t="s">
        <v>72</v>
      </c>
      <c r="X43" s="541">
        <f>IFERROR(X40/H40,"0")+IFERROR(X41/H41,"0")+IFERROR(X42/H42,"0")</f>
        <v>29.62962962962963</v>
      </c>
      <c r="Y43" s="541">
        <f>IFERROR(Y40/H40,"0")+IFERROR(Y41/H41,"0")+IFERROR(Y42/H42,"0")</f>
        <v>30</v>
      </c>
      <c r="Z43" s="541">
        <f>IFERROR(IF(Z40="",0,Z40),"0")+IFERROR(IF(Z41="",0,Z41),"0")+IFERROR(IF(Z42="",0,Z42),"0")</f>
        <v>0.32040000000000002</v>
      </c>
      <c r="AA43" s="542"/>
      <c r="AB43" s="542"/>
      <c r="AC43" s="542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66"/>
      <c r="P44" s="545" t="s">
        <v>71</v>
      </c>
      <c r="Q44" s="546"/>
      <c r="R44" s="546"/>
      <c r="S44" s="546"/>
      <c r="T44" s="546"/>
      <c r="U44" s="546"/>
      <c r="V44" s="547"/>
      <c r="W44" s="37" t="s">
        <v>69</v>
      </c>
      <c r="X44" s="541">
        <f>IFERROR(SUM(X40:X42),"0")</f>
        <v>150</v>
      </c>
      <c r="Y44" s="541">
        <f>IFERROR(SUM(Y40:Y42),"0")</f>
        <v>154</v>
      </c>
      <c r="Z44" s="37"/>
      <c r="AA44" s="542"/>
      <c r="AB44" s="542"/>
      <c r="AC44" s="542"/>
    </row>
    <row r="45" spans="1:68" ht="14.25" hidden="1" customHeight="1" x14ac:dyDescent="0.25">
      <c r="A45" s="556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5"/>
      <c r="AB45" s="535"/>
      <c r="AC45" s="53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9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9"/>
      <c r="R46" s="549"/>
      <c r="S46" s="549"/>
      <c r="T46" s="550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5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66"/>
      <c r="P47" s="545" t="s">
        <v>71</v>
      </c>
      <c r="Q47" s="546"/>
      <c r="R47" s="546"/>
      <c r="S47" s="546"/>
      <c r="T47" s="546"/>
      <c r="U47" s="546"/>
      <c r="V47" s="547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66"/>
      <c r="P48" s="545" t="s">
        <v>71</v>
      </c>
      <c r="Q48" s="546"/>
      <c r="R48" s="546"/>
      <c r="S48" s="546"/>
      <c r="T48" s="546"/>
      <c r="U48" s="546"/>
      <c r="V48" s="547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53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4"/>
      <c r="AB49" s="534"/>
      <c r="AC49" s="534"/>
    </row>
    <row r="50" spans="1:68" ht="14.25" hidden="1" customHeight="1" x14ac:dyDescent="0.25">
      <c r="A50" s="556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5"/>
      <c r="AB50" s="535"/>
      <c r="AC50" s="53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3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9"/>
      <c r="R51" s="549"/>
      <c r="S51" s="549"/>
      <c r="T51" s="550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9"/>
      <c r="R52" s="549"/>
      <c r="S52" s="549"/>
      <c r="T52" s="550"/>
      <c r="U52" s="34"/>
      <c r="V52" s="34"/>
      <c r="W52" s="35" t="s">
        <v>69</v>
      </c>
      <c r="X52" s="539">
        <v>50</v>
      </c>
      <c r="Y52" s="540">
        <f t="shared" si="0"/>
        <v>54</v>
      </c>
      <c r="Z52" s="36">
        <f>IFERROR(IF(Y52=0,"",ROUNDUP(Y52/H52,0)*0.01898),"")</f>
        <v>9.4899999999999998E-2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51.898148148148145</v>
      </c>
      <c r="BN52" s="64">
        <f t="shared" si="2"/>
        <v>56.05</v>
      </c>
      <c r="BO52" s="64">
        <f t="shared" si="3"/>
        <v>7.2337962962962965E-2</v>
      </c>
      <c r="BP52" s="64">
        <f t="shared" si="4"/>
        <v>7.8125E-2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9"/>
      <c r="R53" s="549"/>
      <c r="S53" s="549"/>
      <c r="T53" s="550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9"/>
      <c r="R54" s="549"/>
      <c r="S54" s="549"/>
      <c r="T54" s="550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9"/>
      <c r="R55" s="549"/>
      <c r="S55" s="549"/>
      <c r="T55" s="550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9"/>
      <c r="R56" s="549"/>
      <c r="S56" s="549"/>
      <c r="T56" s="550"/>
      <c r="U56" s="34"/>
      <c r="V56" s="34"/>
      <c r="W56" s="35" t="s">
        <v>69</v>
      </c>
      <c r="X56" s="539">
        <v>180</v>
      </c>
      <c r="Y56" s="540">
        <f t="shared" si="0"/>
        <v>180</v>
      </c>
      <c r="Z56" s="36">
        <f>IFERROR(IF(Y56=0,"",ROUNDUP(Y56/H56,0)*0.00902),"")</f>
        <v>0.36080000000000001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187.60000000000002</v>
      </c>
      <c r="BN56" s="64">
        <f t="shared" si="2"/>
        <v>187.60000000000002</v>
      </c>
      <c r="BO56" s="64">
        <f t="shared" si="3"/>
        <v>0.30303030303030304</v>
      </c>
      <c r="BP56" s="64">
        <f t="shared" si="4"/>
        <v>0.30303030303030304</v>
      </c>
    </row>
    <row r="57" spans="1:68" x14ac:dyDescent="0.2">
      <c r="A57" s="565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66"/>
      <c r="P57" s="545" t="s">
        <v>71</v>
      </c>
      <c r="Q57" s="546"/>
      <c r="R57" s="546"/>
      <c r="S57" s="546"/>
      <c r="T57" s="546"/>
      <c r="U57" s="546"/>
      <c r="V57" s="547"/>
      <c r="W57" s="37" t="s">
        <v>72</v>
      </c>
      <c r="X57" s="541">
        <f>IFERROR(X51/H51,"0")+IFERROR(X52/H52,"0")+IFERROR(X53/H53,"0")+IFERROR(X54/H54,"0")+IFERROR(X55/H55,"0")+IFERROR(X56/H56,"0")</f>
        <v>44.629629629629633</v>
      </c>
      <c r="Y57" s="541">
        <f>IFERROR(Y51/H51,"0")+IFERROR(Y52/H52,"0")+IFERROR(Y53/H53,"0")+IFERROR(Y54/H54,"0")+IFERROR(Y55/H55,"0")+IFERROR(Y56/H56,"0")</f>
        <v>45</v>
      </c>
      <c r="Z57" s="541">
        <f>IFERROR(IF(Z51="",0,Z51),"0")+IFERROR(IF(Z52="",0,Z52),"0")+IFERROR(IF(Z53="",0,Z53),"0")+IFERROR(IF(Z54="",0,Z54),"0")+IFERROR(IF(Z55="",0,Z55),"0")+IFERROR(IF(Z56="",0,Z56),"0")</f>
        <v>0.45569999999999999</v>
      </c>
      <c r="AA57" s="542"/>
      <c r="AB57" s="542"/>
      <c r="AC57" s="542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66"/>
      <c r="P58" s="545" t="s">
        <v>71</v>
      </c>
      <c r="Q58" s="546"/>
      <c r="R58" s="546"/>
      <c r="S58" s="546"/>
      <c r="T58" s="546"/>
      <c r="U58" s="546"/>
      <c r="V58" s="547"/>
      <c r="W58" s="37" t="s">
        <v>69</v>
      </c>
      <c r="X58" s="541">
        <f>IFERROR(SUM(X51:X56),"0")</f>
        <v>230</v>
      </c>
      <c r="Y58" s="541">
        <f>IFERROR(SUM(Y51:Y56),"0")</f>
        <v>234</v>
      </c>
      <c r="Z58" s="37"/>
      <c r="AA58" s="542"/>
      <c r="AB58" s="542"/>
      <c r="AC58" s="542"/>
    </row>
    <row r="59" spans="1:68" ht="14.25" hidden="1" customHeight="1" x14ac:dyDescent="0.25">
      <c r="A59" s="556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9"/>
      <c r="R60" s="549"/>
      <c r="S60" s="549"/>
      <c r="T60" s="550"/>
      <c r="U60" s="34"/>
      <c r="V60" s="34"/>
      <c r="W60" s="35" t="s">
        <v>69</v>
      </c>
      <c r="X60" s="539">
        <v>180</v>
      </c>
      <c r="Y60" s="540">
        <f>IFERROR(IF(X60="",0,CEILING((X60/$H60),1)*$H60),"")</f>
        <v>183.60000000000002</v>
      </c>
      <c r="Z60" s="36">
        <f>IFERROR(IF(Y60=0,"",ROUNDUP(Y60/H60,0)*0.01898),"")</f>
        <v>0.32266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186.83333333333334</v>
      </c>
      <c r="BN60" s="64">
        <f>IFERROR(Y60*I60/H60,"0")</f>
        <v>190.57000000000002</v>
      </c>
      <c r="BO60" s="64">
        <f>IFERROR(1/J60*(X60/H60),"0")</f>
        <v>0.26041666666666663</v>
      </c>
      <c r="BP60" s="64">
        <f>IFERROR(1/J60*(Y60/H60),"0")</f>
        <v>0.265625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9"/>
      <c r="R61" s="549"/>
      <c r="S61" s="549"/>
      <c r="T61" s="550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9"/>
      <c r="R62" s="549"/>
      <c r="S62" s="549"/>
      <c r="T62" s="550"/>
      <c r="U62" s="34"/>
      <c r="V62" s="34"/>
      <c r="W62" s="35" t="s">
        <v>69</v>
      </c>
      <c r="X62" s="539">
        <v>180</v>
      </c>
      <c r="Y62" s="540">
        <f>IFERROR(IF(X62="",0,CEILING((X62/$H62),1)*$H62),"")</f>
        <v>180.9</v>
      </c>
      <c r="Z62" s="36">
        <f>IFERROR(IF(Y62=0,"",ROUNDUP(Y62/H62,0)*0.00651),"")</f>
        <v>0.43617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191.99999999999997</v>
      </c>
      <c r="BN62" s="64">
        <f>IFERROR(Y62*I62/H62,"0")</f>
        <v>192.95999999999998</v>
      </c>
      <c r="BO62" s="64">
        <f>IFERROR(1/J62*(X62/H62),"0")</f>
        <v>0.36630036630036628</v>
      </c>
      <c r="BP62" s="64">
        <f>IFERROR(1/J62*(Y62/H62),"0")</f>
        <v>0.36813186813186816</v>
      </c>
    </row>
    <row r="63" spans="1:68" x14ac:dyDescent="0.2">
      <c r="A63" s="565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66"/>
      <c r="P63" s="545" t="s">
        <v>71</v>
      </c>
      <c r="Q63" s="546"/>
      <c r="R63" s="546"/>
      <c r="S63" s="546"/>
      <c r="T63" s="546"/>
      <c r="U63" s="546"/>
      <c r="V63" s="547"/>
      <c r="W63" s="37" t="s">
        <v>72</v>
      </c>
      <c r="X63" s="541">
        <f>IFERROR(X60/H60,"0")+IFERROR(X61/H61,"0")+IFERROR(X62/H62,"0")</f>
        <v>83.333333333333314</v>
      </c>
      <c r="Y63" s="541">
        <f>IFERROR(Y60/H60,"0")+IFERROR(Y61/H61,"0")+IFERROR(Y62/H62,"0")</f>
        <v>84</v>
      </c>
      <c r="Z63" s="541">
        <f>IFERROR(IF(Z60="",0,Z60),"0")+IFERROR(IF(Z61="",0,Z61),"0")+IFERROR(IF(Z62="",0,Z62),"0")</f>
        <v>0.75883</v>
      </c>
      <c r="AA63" s="542"/>
      <c r="AB63" s="542"/>
      <c r="AC63" s="542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66"/>
      <c r="P64" s="545" t="s">
        <v>71</v>
      </c>
      <c r="Q64" s="546"/>
      <c r="R64" s="546"/>
      <c r="S64" s="546"/>
      <c r="T64" s="546"/>
      <c r="U64" s="546"/>
      <c r="V64" s="547"/>
      <c r="W64" s="37" t="s">
        <v>69</v>
      </c>
      <c r="X64" s="541">
        <f>IFERROR(SUM(X60:X62),"0")</f>
        <v>360</v>
      </c>
      <c r="Y64" s="541">
        <f>IFERROR(SUM(Y60:Y62),"0")</f>
        <v>364.5</v>
      </c>
      <c r="Z64" s="37"/>
      <c r="AA64" s="542"/>
      <c r="AB64" s="542"/>
      <c r="AC64" s="542"/>
    </row>
    <row r="65" spans="1:68" ht="14.25" hidden="1" customHeight="1" x14ac:dyDescent="0.25">
      <c r="A65" s="556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5"/>
      <c r="AB65" s="535"/>
      <c r="AC65" s="53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9"/>
      <c r="R66" s="549"/>
      <c r="S66" s="549"/>
      <c r="T66" s="550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9"/>
      <c r="R67" s="549"/>
      <c r="S67" s="549"/>
      <c r="T67" s="550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9"/>
      <c r="R68" s="549"/>
      <c r="S68" s="549"/>
      <c r="T68" s="550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5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66"/>
      <c r="P69" s="545" t="s">
        <v>71</v>
      </c>
      <c r="Q69" s="546"/>
      <c r="R69" s="546"/>
      <c r="S69" s="546"/>
      <c r="T69" s="546"/>
      <c r="U69" s="546"/>
      <c r="V69" s="547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66"/>
      <c r="P70" s="545" t="s">
        <v>71</v>
      </c>
      <c r="Q70" s="546"/>
      <c r="R70" s="546"/>
      <c r="S70" s="546"/>
      <c r="T70" s="546"/>
      <c r="U70" s="546"/>
      <c r="V70" s="547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6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5"/>
      <c r="AB71" s="535"/>
      <c r="AC71" s="53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9"/>
      <c r="R72" s="549"/>
      <c r="S72" s="549"/>
      <c r="T72" s="550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9"/>
      <c r="R73" s="549"/>
      <c r="S73" s="549"/>
      <c r="T73" s="550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9"/>
      <c r="R74" s="549"/>
      <c r="S74" s="549"/>
      <c r="T74" s="550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9"/>
      <c r="R75" s="549"/>
      <c r="S75" s="549"/>
      <c r="T75" s="550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5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66"/>
      <c r="P76" s="545" t="s">
        <v>71</v>
      </c>
      <c r="Q76" s="546"/>
      <c r="R76" s="546"/>
      <c r="S76" s="546"/>
      <c r="T76" s="546"/>
      <c r="U76" s="546"/>
      <c r="V76" s="547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66"/>
      <c r="P77" s="545" t="s">
        <v>71</v>
      </c>
      <c r="Q77" s="546"/>
      <c r="R77" s="546"/>
      <c r="S77" s="546"/>
      <c r="T77" s="546"/>
      <c r="U77" s="546"/>
      <c r="V77" s="547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6" t="s">
        <v>163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9"/>
      <c r="R79" s="549"/>
      <c r="S79" s="549"/>
      <c r="T79" s="550"/>
      <c r="U79" s="34"/>
      <c r="V79" s="34"/>
      <c r="W79" s="35" t="s">
        <v>69</v>
      </c>
      <c r="X79" s="539">
        <v>30</v>
      </c>
      <c r="Y79" s="540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31.57692307692308</v>
      </c>
      <c r="BN79" s="64">
        <f>IFERROR(Y79*I79/H79,"0")</f>
        <v>32.840000000000003</v>
      </c>
      <c r="BO79" s="64">
        <f>IFERROR(1/J79*(X79/H79),"0")</f>
        <v>6.0096153846153848E-2</v>
      </c>
      <c r="BP79" s="64">
        <f>IFERROR(1/J79*(Y79/H79),"0")</f>
        <v>6.25E-2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9"/>
      <c r="R80" s="549"/>
      <c r="S80" s="549"/>
      <c r="T80" s="550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5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66"/>
      <c r="P81" s="545" t="s">
        <v>71</v>
      </c>
      <c r="Q81" s="546"/>
      <c r="R81" s="546"/>
      <c r="S81" s="546"/>
      <c r="T81" s="546"/>
      <c r="U81" s="546"/>
      <c r="V81" s="547"/>
      <c r="W81" s="37" t="s">
        <v>72</v>
      </c>
      <c r="X81" s="541">
        <f>IFERROR(X79/H79,"0")+IFERROR(X80/H80,"0")</f>
        <v>3.8461538461538463</v>
      </c>
      <c r="Y81" s="541">
        <f>IFERROR(Y79/H79,"0")+IFERROR(Y80/H80,"0")</f>
        <v>4</v>
      </c>
      <c r="Z81" s="541">
        <f>IFERROR(IF(Z79="",0,Z79),"0")+IFERROR(IF(Z80="",0,Z80),"0")</f>
        <v>7.5920000000000001E-2</v>
      </c>
      <c r="AA81" s="542"/>
      <c r="AB81" s="542"/>
      <c r="AC81" s="542"/>
    </row>
    <row r="82" spans="1:68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66"/>
      <c r="P82" s="545" t="s">
        <v>71</v>
      </c>
      <c r="Q82" s="546"/>
      <c r="R82" s="546"/>
      <c r="S82" s="546"/>
      <c r="T82" s="546"/>
      <c r="U82" s="546"/>
      <c r="V82" s="547"/>
      <c r="W82" s="37" t="s">
        <v>69</v>
      </c>
      <c r="X82" s="541">
        <f>IFERROR(SUM(X79:X80),"0")</f>
        <v>30</v>
      </c>
      <c r="Y82" s="541">
        <f>IFERROR(SUM(Y79:Y80),"0")</f>
        <v>31.2</v>
      </c>
      <c r="Z82" s="37"/>
      <c r="AA82" s="542"/>
      <c r="AB82" s="542"/>
      <c r="AC82" s="542"/>
    </row>
    <row r="83" spans="1:68" ht="16.5" hidden="1" customHeight="1" x14ac:dyDescent="0.25">
      <c r="A83" s="553" t="s">
        <v>170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4"/>
      <c r="AB83" s="534"/>
      <c r="AC83" s="534"/>
    </row>
    <row r="84" spans="1:68" ht="14.25" hidden="1" customHeight="1" x14ac:dyDescent="0.25">
      <c r="A84" s="556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9"/>
      <c r="R85" s="549"/>
      <c r="S85" s="549"/>
      <c r="T85" s="550"/>
      <c r="U85" s="34"/>
      <c r="V85" s="34"/>
      <c r="W85" s="35" t="s">
        <v>69</v>
      </c>
      <c r="X85" s="539">
        <v>100</v>
      </c>
      <c r="Y85" s="540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9"/>
      <c r="R86" s="549"/>
      <c r="S86" s="549"/>
      <c r="T86" s="550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9"/>
      <c r="R87" s="549"/>
      <c r="S87" s="549"/>
      <c r="T87" s="550"/>
      <c r="U87" s="34"/>
      <c r="V87" s="34"/>
      <c r="W87" s="35" t="s">
        <v>69</v>
      </c>
      <c r="X87" s="539">
        <v>450</v>
      </c>
      <c r="Y87" s="540">
        <f>IFERROR(IF(X87="",0,CEILING((X87/$H87),1)*$H87),"")</f>
        <v>450</v>
      </c>
      <c r="Z87" s="36">
        <f>IFERROR(IF(Y87=0,"",ROUNDUP(Y87/H87,0)*0.00902),"")</f>
        <v>0.90200000000000002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469</v>
      </c>
      <c r="BN87" s="64">
        <f>IFERROR(Y87*I87/H87,"0")</f>
        <v>469</v>
      </c>
      <c r="BO87" s="64">
        <f>IFERROR(1/J87*(X87/H87),"0")</f>
        <v>0.75757575757575757</v>
      </c>
      <c r="BP87" s="64">
        <f>IFERROR(1/J87*(Y87/H87),"0")</f>
        <v>0.75757575757575757</v>
      </c>
    </row>
    <row r="88" spans="1:68" x14ac:dyDescent="0.2">
      <c r="A88" s="565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66"/>
      <c r="P88" s="545" t="s">
        <v>71</v>
      </c>
      <c r="Q88" s="546"/>
      <c r="R88" s="546"/>
      <c r="S88" s="546"/>
      <c r="T88" s="546"/>
      <c r="U88" s="546"/>
      <c r="V88" s="547"/>
      <c r="W88" s="37" t="s">
        <v>72</v>
      </c>
      <c r="X88" s="541">
        <f>IFERROR(X85/H85,"0")+IFERROR(X86/H86,"0")+IFERROR(X87/H87,"0")</f>
        <v>109.25925925925927</v>
      </c>
      <c r="Y88" s="541">
        <f>IFERROR(Y85/H85,"0")+IFERROR(Y86/H86,"0")+IFERROR(Y87/H87,"0")</f>
        <v>110</v>
      </c>
      <c r="Z88" s="541">
        <f>IFERROR(IF(Z85="",0,Z85),"0")+IFERROR(IF(Z86="",0,Z86),"0")+IFERROR(IF(Z87="",0,Z87),"0")</f>
        <v>1.0918000000000001</v>
      </c>
      <c r="AA88" s="542"/>
      <c r="AB88" s="542"/>
      <c r="AC88" s="542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66"/>
      <c r="P89" s="545" t="s">
        <v>71</v>
      </c>
      <c r="Q89" s="546"/>
      <c r="R89" s="546"/>
      <c r="S89" s="546"/>
      <c r="T89" s="546"/>
      <c r="U89" s="546"/>
      <c r="V89" s="547"/>
      <c r="W89" s="37" t="s">
        <v>69</v>
      </c>
      <c r="X89" s="541">
        <f>IFERROR(SUM(X85:X87),"0")</f>
        <v>550</v>
      </c>
      <c r="Y89" s="541">
        <f>IFERROR(SUM(Y85:Y87),"0")</f>
        <v>558</v>
      </c>
      <c r="Z89" s="37"/>
      <c r="AA89" s="542"/>
      <c r="AB89" s="542"/>
      <c r="AC89" s="542"/>
    </row>
    <row r="90" spans="1:68" ht="14.25" hidden="1" customHeight="1" x14ac:dyDescent="0.25">
      <c r="A90" s="556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5"/>
      <c r="AB90" s="535"/>
      <c r="AC90" s="535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9"/>
      <c r="R91" s="549"/>
      <c r="S91" s="549"/>
      <c r="T91" s="550"/>
      <c r="U91" s="34"/>
      <c r="V91" s="34"/>
      <c r="W91" s="35" t="s">
        <v>69</v>
      </c>
      <c r="X91" s="539">
        <v>350</v>
      </c>
      <c r="Y91" s="540">
        <f>IFERROR(IF(X91="",0,CEILING((X91/$H91),1)*$H91),"")</f>
        <v>356.4</v>
      </c>
      <c r="Z91" s="36">
        <f>IFERROR(IF(Y91=0,"",ROUNDUP(Y91/H91,0)*0.01898),"")</f>
        <v>0.83511999999999997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371.34567901234567</v>
      </c>
      <c r="BN91" s="64">
        <f>IFERROR(Y91*I91/H91,"0")</f>
        <v>378.13599999999997</v>
      </c>
      <c r="BO91" s="64">
        <f>IFERROR(1/J91*(X91/H91),"0")</f>
        <v>0.67515432098765438</v>
      </c>
      <c r="BP91" s="64">
        <f>IFERROR(1/J91*(Y91/H91),"0")</f>
        <v>0.6875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9"/>
      <c r="R92" s="549"/>
      <c r="S92" s="549"/>
      <c r="T92" s="550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4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9"/>
      <c r="R93" s="549"/>
      <c r="S93" s="549"/>
      <c r="T93" s="550"/>
      <c r="U93" s="34"/>
      <c r="V93" s="34"/>
      <c r="W93" s="35" t="s">
        <v>69</v>
      </c>
      <c r="X93" s="539">
        <v>270</v>
      </c>
      <c r="Y93" s="540">
        <f>IFERROR(IF(X93="",0,CEILING((X93/$H93),1)*$H93),"")</f>
        <v>270</v>
      </c>
      <c r="Z93" s="36">
        <f>IFERROR(IF(Y93=0,"",ROUNDUP(Y93/H93,0)*0.00651),"")</f>
        <v>0.65100000000000002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295.2</v>
      </c>
      <c r="BN93" s="64">
        <f>IFERROR(Y93*I93/H93,"0")</f>
        <v>295.2</v>
      </c>
      <c r="BO93" s="64">
        <f>IFERROR(1/J93*(X93/H93),"0")</f>
        <v>0.5494505494505495</v>
      </c>
      <c r="BP93" s="64">
        <f>IFERROR(1/J93*(Y93/H93),"0")</f>
        <v>0.5494505494505495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9"/>
      <c r="R94" s="549"/>
      <c r="S94" s="549"/>
      <c r="T94" s="550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5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66"/>
      <c r="P95" s="545" t="s">
        <v>71</v>
      </c>
      <c r="Q95" s="546"/>
      <c r="R95" s="546"/>
      <c r="S95" s="546"/>
      <c r="T95" s="546"/>
      <c r="U95" s="546"/>
      <c r="V95" s="547"/>
      <c r="W95" s="37" t="s">
        <v>72</v>
      </c>
      <c r="X95" s="541">
        <f>IFERROR(X91/H91,"0")+IFERROR(X92/H92,"0")+IFERROR(X93/H93,"0")+IFERROR(X94/H94,"0")</f>
        <v>143.20987654320987</v>
      </c>
      <c r="Y95" s="541">
        <f>IFERROR(Y91/H91,"0")+IFERROR(Y92/H92,"0")+IFERROR(Y93/H93,"0")+IFERROR(Y94/H94,"0")</f>
        <v>144</v>
      </c>
      <c r="Z95" s="541">
        <f>IFERROR(IF(Z91="",0,Z91),"0")+IFERROR(IF(Z92="",0,Z92),"0")+IFERROR(IF(Z93="",0,Z93),"0")+IFERROR(IF(Z94="",0,Z94),"0")</f>
        <v>1.4861200000000001</v>
      </c>
      <c r="AA95" s="542"/>
      <c r="AB95" s="542"/>
      <c r="AC95" s="542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66"/>
      <c r="P96" s="545" t="s">
        <v>71</v>
      </c>
      <c r="Q96" s="546"/>
      <c r="R96" s="546"/>
      <c r="S96" s="546"/>
      <c r="T96" s="546"/>
      <c r="U96" s="546"/>
      <c r="V96" s="547"/>
      <c r="W96" s="37" t="s">
        <v>69</v>
      </c>
      <c r="X96" s="541">
        <f>IFERROR(SUM(X91:X94),"0")</f>
        <v>620</v>
      </c>
      <c r="Y96" s="541">
        <f>IFERROR(SUM(Y91:Y94),"0")</f>
        <v>626.4</v>
      </c>
      <c r="Z96" s="37"/>
      <c r="AA96" s="542"/>
      <c r="AB96" s="542"/>
      <c r="AC96" s="542"/>
    </row>
    <row r="97" spans="1:68" ht="16.5" hidden="1" customHeight="1" x14ac:dyDescent="0.25">
      <c r="A97" s="553" t="s">
        <v>189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4"/>
      <c r="AB97" s="534"/>
      <c r="AC97" s="534"/>
    </row>
    <row r="98" spans="1:68" ht="14.25" hidden="1" customHeight="1" x14ac:dyDescent="0.25">
      <c r="A98" s="556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9"/>
      <c r="R99" s="549"/>
      <c r="S99" s="549"/>
      <c r="T99" s="550"/>
      <c r="U99" s="34"/>
      <c r="V99" s="34"/>
      <c r="W99" s="35" t="s">
        <v>69</v>
      </c>
      <c r="X99" s="539">
        <v>50</v>
      </c>
      <c r="Y99" s="540">
        <f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51.898148148148145</v>
      </c>
      <c r="BN99" s="64">
        <f>IFERROR(Y99*I99/H99,"0")</f>
        <v>56.05</v>
      </c>
      <c r="BO99" s="64">
        <f>IFERROR(1/J99*(X99/H99),"0")</f>
        <v>7.2337962962962965E-2</v>
      </c>
      <c r="BP99" s="64">
        <f>IFERROR(1/J99*(Y99/H99),"0")</f>
        <v>7.8125E-2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9"/>
      <c r="R100" s="549"/>
      <c r="S100" s="549"/>
      <c r="T100" s="550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9"/>
      <c r="R101" s="549"/>
      <c r="S101" s="549"/>
      <c r="T101" s="550"/>
      <c r="U101" s="34"/>
      <c r="V101" s="34"/>
      <c r="W101" s="35" t="s">
        <v>69</v>
      </c>
      <c r="X101" s="539">
        <v>585</v>
      </c>
      <c r="Y101" s="540">
        <f>IFERROR(IF(X101="",0,CEILING((X101/$H101),1)*$H101),"")</f>
        <v>585</v>
      </c>
      <c r="Z101" s="36">
        <f>IFERROR(IF(Y101=0,"",ROUNDUP(Y101/H101,0)*0.00902),"")</f>
        <v>1.1726000000000001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609.70000000000005</v>
      </c>
      <c r="BN101" s="64">
        <f>IFERROR(Y101*I101/H101,"0")</f>
        <v>609.70000000000005</v>
      </c>
      <c r="BO101" s="64">
        <f>IFERROR(1/J101*(X101/H101),"0")</f>
        <v>0.98484848484848486</v>
      </c>
      <c r="BP101" s="64">
        <f>IFERROR(1/J101*(Y101/H101),"0")</f>
        <v>0.98484848484848486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9"/>
      <c r="R102" s="549"/>
      <c r="S102" s="549"/>
      <c r="T102" s="550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5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66"/>
      <c r="P103" s="545" t="s">
        <v>71</v>
      </c>
      <c r="Q103" s="546"/>
      <c r="R103" s="546"/>
      <c r="S103" s="546"/>
      <c r="T103" s="546"/>
      <c r="U103" s="546"/>
      <c r="V103" s="547"/>
      <c r="W103" s="37" t="s">
        <v>72</v>
      </c>
      <c r="X103" s="541">
        <f>IFERROR(X99/H99,"0")+IFERROR(X100/H100,"0")+IFERROR(X101/H101,"0")+IFERROR(X102/H102,"0")</f>
        <v>134.62962962962962</v>
      </c>
      <c r="Y103" s="541">
        <f>IFERROR(Y99/H99,"0")+IFERROR(Y100/H100,"0")+IFERROR(Y101/H101,"0")+IFERROR(Y102/H102,"0")</f>
        <v>135</v>
      </c>
      <c r="Z103" s="541">
        <f>IFERROR(IF(Z99="",0,Z99),"0")+IFERROR(IF(Z100="",0,Z100),"0")+IFERROR(IF(Z101="",0,Z101),"0")+IFERROR(IF(Z102="",0,Z102),"0")</f>
        <v>1.2675000000000001</v>
      </c>
      <c r="AA103" s="542"/>
      <c r="AB103" s="542"/>
      <c r="AC103" s="542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66"/>
      <c r="P104" s="545" t="s">
        <v>71</v>
      </c>
      <c r="Q104" s="546"/>
      <c r="R104" s="546"/>
      <c r="S104" s="546"/>
      <c r="T104" s="546"/>
      <c r="U104" s="546"/>
      <c r="V104" s="547"/>
      <c r="W104" s="37" t="s">
        <v>69</v>
      </c>
      <c r="X104" s="541">
        <f>IFERROR(SUM(X99:X102),"0")</f>
        <v>635</v>
      </c>
      <c r="Y104" s="541">
        <f>IFERROR(SUM(Y99:Y102),"0")</f>
        <v>639</v>
      </c>
      <c r="Z104" s="37"/>
      <c r="AA104" s="542"/>
      <c r="AB104" s="542"/>
      <c r="AC104" s="542"/>
    </row>
    <row r="105" spans="1:68" ht="14.25" hidden="1" customHeight="1" x14ac:dyDescent="0.25">
      <c r="A105" s="556" t="s">
        <v>135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5"/>
      <c r="AB105" s="535"/>
      <c r="AC105" s="535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9"/>
      <c r="R106" s="549"/>
      <c r="S106" s="549"/>
      <c r="T106" s="550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9"/>
      <c r="R107" s="549"/>
      <c r="S107" s="549"/>
      <c r="T107" s="550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9"/>
      <c r="R108" s="549"/>
      <c r="S108" s="549"/>
      <c r="T108" s="550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65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66"/>
      <c r="P109" s="545" t="s">
        <v>71</v>
      </c>
      <c r="Q109" s="546"/>
      <c r="R109" s="546"/>
      <c r="S109" s="546"/>
      <c r="T109" s="546"/>
      <c r="U109" s="546"/>
      <c r="V109" s="547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66"/>
      <c r="P110" s="545" t="s">
        <v>71</v>
      </c>
      <c r="Q110" s="546"/>
      <c r="R110" s="546"/>
      <c r="S110" s="546"/>
      <c r="T110" s="546"/>
      <c r="U110" s="546"/>
      <c r="V110" s="547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6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9"/>
      <c r="R112" s="549"/>
      <c r="S112" s="549"/>
      <c r="T112" s="550"/>
      <c r="U112" s="34"/>
      <c r="V112" s="34"/>
      <c r="W112" s="35" t="s">
        <v>69</v>
      </c>
      <c r="X112" s="539">
        <v>320</v>
      </c>
      <c r="Y112" s="540">
        <f>IFERROR(IF(X112="",0,CEILING((X112/$H112),1)*$H112),"")</f>
        <v>324</v>
      </c>
      <c r="Z112" s="36">
        <f>IFERROR(IF(Y112=0,"",ROUNDUP(Y112/H112,0)*0.01898),"")</f>
        <v>0.75919999999999999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339.27901234567901</v>
      </c>
      <c r="BN112" s="64">
        <f>IFERROR(Y112*I112/H112,"0")</f>
        <v>343.52</v>
      </c>
      <c r="BO112" s="64">
        <f>IFERROR(1/J112*(X112/H112),"0")</f>
        <v>0.61728395061728403</v>
      </c>
      <c r="BP112" s="64">
        <f>IFERROR(1/J112*(Y112/H112),"0")</f>
        <v>0.625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9"/>
      <c r="R113" s="549"/>
      <c r="S113" s="549"/>
      <c r="T113" s="550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78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9"/>
      <c r="R114" s="549"/>
      <c r="S114" s="549"/>
      <c r="T114" s="550"/>
      <c r="U114" s="34"/>
      <c r="V114" s="34"/>
      <c r="W114" s="35" t="s">
        <v>69</v>
      </c>
      <c r="X114" s="539">
        <v>405</v>
      </c>
      <c r="Y114" s="540">
        <f>IFERROR(IF(X114="",0,CEILING((X114/$H114),1)*$H114),"")</f>
        <v>405</v>
      </c>
      <c r="Z114" s="36">
        <f>IFERROR(IF(Y114=0,"",ROUNDUP(Y114/H114,0)*0.00651),"")</f>
        <v>0.97650000000000003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442.79999999999995</v>
      </c>
      <c r="BN114" s="64">
        <f>IFERROR(Y114*I114/H114,"0")</f>
        <v>442.79999999999995</v>
      </c>
      <c r="BO114" s="64">
        <f>IFERROR(1/J114*(X114/H114),"0")</f>
        <v>0.82417582417582425</v>
      </c>
      <c r="BP114" s="64">
        <f>IFERROR(1/J114*(Y114/H114),"0")</f>
        <v>0.82417582417582425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 t="s">
        <v>213</v>
      </c>
      <c r="M115" s="33" t="s">
        <v>77</v>
      </c>
      <c r="N115" s="33"/>
      <c r="O115" s="32">
        <v>45</v>
      </c>
      <c r="P115" s="71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9"/>
      <c r="R115" s="549"/>
      <c r="S115" s="549"/>
      <c r="T115" s="550"/>
      <c r="U115" s="34"/>
      <c r="V115" s="34"/>
      <c r="W115" s="35" t="s">
        <v>69</v>
      </c>
      <c r="X115" s="539">
        <v>15</v>
      </c>
      <c r="Y115" s="540">
        <f>IFERROR(IF(X115="",0,CEILING((X115/$H115),1)*$H115),"")</f>
        <v>16.2</v>
      </c>
      <c r="Z115" s="36">
        <f>IFERROR(IF(Y115=0,"",ROUNDUP(Y115/H115,0)*0.00651),"")</f>
        <v>5.8590000000000003E-2</v>
      </c>
      <c r="AA115" s="56"/>
      <c r="AB115" s="57"/>
      <c r="AC115" s="161" t="s">
        <v>216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16.5</v>
      </c>
      <c r="BN115" s="64">
        <f>IFERROR(Y115*I115/H115,"0")</f>
        <v>17.82</v>
      </c>
      <c r="BO115" s="64">
        <f>IFERROR(1/J115*(X115/H115),"0")</f>
        <v>4.5787545787545791E-2</v>
      </c>
      <c r="BP115" s="64">
        <f>IFERROR(1/J115*(Y115/H115),"0")</f>
        <v>4.9450549450549455E-2</v>
      </c>
    </row>
    <row r="116" spans="1:68" x14ac:dyDescent="0.2">
      <c r="A116" s="565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66"/>
      <c r="P116" s="545" t="s">
        <v>71</v>
      </c>
      <c r="Q116" s="546"/>
      <c r="R116" s="546"/>
      <c r="S116" s="546"/>
      <c r="T116" s="546"/>
      <c r="U116" s="546"/>
      <c r="V116" s="547"/>
      <c r="W116" s="37" t="s">
        <v>72</v>
      </c>
      <c r="X116" s="541">
        <f>IFERROR(X112/H112,"0")+IFERROR(X113/H113,"0")+IFERROR(X114/H114,"0")+IFERROR(X115/H115,"0")</f>
        <v>197.83950617283952</v>
      </c>
      <c r="Y116" s="541">
        <f>IFERROR(Y112/H112,"0")+IFERROR(Y113/H113,"0")+IFERROR(Y114/H114,"0")+IFERROR(Y115/H115,"0")</f>
        <v>199</v>
      </c>
      <c r="Z116" s="541">
        <f>IFERROR(IF(Z112="",0,Z112),"0")+IFERROR(IF(Z113="",0,Z113),"0")+IFERROR(IF(Z114="",0,Z114),"0")+IFERROR(IF(Z115="",0,Z115),"0")</f>
        <v>1.7942899999999999</v>
      </c>
      <c r="AA116" s="542"/>
      <c r="AB116" s="542"/>
      <c r="AC116" s="542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66"/>
      <c r="P117" s="545" t="s">
        <v>71</v>
      </c>
      <c r="Q117" s="546"/>
      <c r="R117" s="546"/>
      <c r="S117" s="546"/>
      <c r="T117" s="546"/>
      <c r="U117" s="546"/>
      <c r="V117" s="547"/>
      <c r="W117" s="37" t="s">
        <v>69</v>
      </c>
      <c r="X117" s="541">
        <f>IFERROR(SUM(X112:X115),"0")</f>
        <v>740</v>
      </c>
      <c r="Y117" s="541">
        <f>IFERROR(SUM(Y112:Y115),"0")</f>
        <v>745.2</v>
      </c>
      <c r="Z117" s="37"/>
      <c r="AA117" s="542"/>
      <c r="AB117" s="542"/>
      <c r="AC117" s="542"/>
    </row>
    <row r="118" spans="1:68" ht="14.25" hidden="1" customHeight="1" x14ac:dyDescent="0.25">
      <c r="A118" s="556" t="s">
        <v>163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 t="s">
        <v>213</v>
      </c>
      <c r="M119" s="33" t="s">
        <v>77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9"/>
      <c r="R119" s="549"/>
      <c r="S119" s="549"/>
      <c r="T119" s="550"/>
      <c r="U119" s="34"/>
      <c r="V119" s="34"/>
      <c r="W119" s="35" t="s">
        <v>69</v>
      </c>
      <c r="X119" s="539">
        <v>19.8</v>
      </c>
      <c r="Y119" s="540">
        <f>IFERROR(IF(X119="",0,CEILING((X119/$H119),1)*$H119),"")</f>
        <v>19.8</v>
      </c>
      <c r="Z119" s="36">
        <f>IFERROR(IF(Y119=0,"",ROUNDUP(Y119/H119,0)*0.00651),"")</f>
        <v>6.5100000000000005E-2</v>
      </c>
      <c r="AA119" s="56"/>
      <c r="AB119" s="57"/>
      <c r="AC119" s="163" t="s">
        <v>219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22.380000000000003</v>
      </c>
      <c r="BN119" s="64">
        <f>IFERROR(Y119*I119/H119,"0")</f>
        <v>22.380000000000003</v>
      </c>
      <c r="BO119" s="64">
        <f>IFERROR(1/J119*(X119/H119),"0")</f>
        <v>5.4945054945054951E-2</v>
      </c>
      <c r="BP119" s="64">
        <f>IFERROR(1/J119*(Y119/H119),"0")</f>
        <v>5.4945054945054951E-2</v>
      </c>
    </row>
    <row r="120" spans="1:68" x14ac:dyDescent="0.2">
      <c r="A120" s="565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66"/>
      <c r="P120" s="545" t="s">
        <v>71</v>
      </c>
      <c r="Q120" s="546"/>
      <c r="R120" s="546"/>
      <c r="S120" s="546"/>
      <c r="T120" s="546"/>
      <c r="U120" s="546"/>
      <c r="V120" s="547"/>
      <c r="W120" s="37" t="s">
        <v>72</v>
      </c>
      <c r="X120" s="541">
        <f>IFERROR(X119/H119,"0")</f>
        <v>10</v>
      </c>
      <c r="Y120" s="541">
        <f>IFERROR(Y119/H119,"0")</f>
        <v>10</v>
      </c>
      <c r="Z120" s="541">
        <f>IFERROR(IF(Z119="",0,Z119),"0")</f>
        <v>6.5100000000000005E-2</v>
      </c>
      <c r="AA120" s="542"/>
      <c r="AB120" s="542"/>
      <c r="AC120" s="542"/>
    </row>
    <row r="121" spans="1:68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66"/>
      <c r="P121" s="545" t="s">
        <v>71</v>
      </c>
      <c r="Q121" s="546"/>
      <c r="R121" s="546"/>
      <c r="S121" s="546"/>
      <c r="T121" s="546"/>
      <c r="U121" s="546"/>
      <c r="V121" s="547"/>
      <c r="W121" s="37" t="s">
        <v>69</v>
      </c>
      <c r="X121" s="541">
        <f>IFERROR(SUM(X119:X119),"0")</f>
        <v>19.8</v>
      </c>
      <c r="Y121" s="541">
        <f>IFERROR(SUM(Y119:Y119),"0")</f>
        <v>19.8</v>
      </c>
      <c r="Z121" s="37"/>
      <c r="AA121" s="542"/>
      <c r="AB121" s="542"/>
      <c r="AC121" s="542"/>
    </row>
    <row r="122" spans="1:68" ht="16.5" hidden="1" customHeight="1" x14ac:dyDescent="0.25">
      <c r="A122" s="553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4"/>
      <c r="AB122" s="534"/>
      <c r="AC122" s="534"/>
    </row>
    <row r="123" spans="1:68" ht="14.25" hidden="1" customHeight="1" x14ac:dyDescent="0.25">
      <c r="A123" s="556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213</v>
      </c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9"/>
      <c r="R124" s="549"/>
      <c r="S124" s="549"/>
      <c r="T124" s="550"/>
      <c r="U124" s="34"/>
      <c r="V124" s="34"/>
      <c r="W124" s="35" t="s">
        <v>69</v>
      </c>
      <c r="X124" s="539">
        <v>80</v>
      </c>
      <c r="Y124" s="540">
        <f>IFERROR(IF(X124="",0,CEILING((X124/$H124),1)*$H124),"")</f>
        <v>80</v>
      </c>
      <c r="Z124" s="36">
        <f>IFERROR(IF(Y124=0,"",ROUNDUP(Y124/H124,0)*0.00651),"")</f>
        <v>0.16275000000000001</v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84.499999999999986</v>
      </c>
      <c r="BN124" s="64">
        <f>IFERROR(Y124*I124/H124,"0")</f>
        <v>84.499999999999986</v>
      </c>
      <c r="BO124" s="64">
        <f>IFERROR(1/J124*(X124/H124),"0")</f>
        <v>0.13736263736263737</v>
      </c>
      <c r="BP124" s="64">
        <f>IFERROR(1/J124*(Y124/H124),"0")</f>
        <v>0.13736263736263737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9"/>
      <c r="R125" s="549"/>
      <c r="S125" s="549"/>
      <c r="T125" s="550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5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66"/>
      <c r="P126" s="545" t="s">
        <v>71</v>
      </c>
      <c r="Q126" s="546"/>
      <c r="R126" s="546"/>
      <c r="S126" s="546"/>
      <c r="T126" s="546"/>
      <c r="U126" s="546"/>
      <c r="V126" s="547"/>
      <c r="W126" s="37" t="s">
        <v>72</v>
      </c>
      <c r="X126" s="541">
        <f>IFERROR(X124/H124,"0")+IFERROR(X125/H125,"0")</f>
        <v>25</v>
      </c>
      <c r="Y126" s="541">
        <f>IFERROR(Y124/H124,"0")+IFERROR(Y125/H125,"0")</f>
        <v>25</v>
      </c>
      <c r="Z126" s="541">
        <f>IFERROR(IF(Z124="",0,Z124),"0")+IFERROR(IF(Z125="",0,Z125),"0")</f>
        <v>0.16275000000000001</v>
      </c>
      <c r="AA126" s="542"/>
      <c r="AB126" s="542"/>
      <c r="AC126" s="542"/>
    </row>
    <row r="127" spans="1:68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66"/>
      <c r="P127" s="545" t="s">
        <v>71</v>
      </c>
      <c r="Q127" s="546"/>
      <c r="R127" s="546"/>
      <c r="S127" s="546"/>
      <c r="T127" s="546"/>
      <c r="U127" s="546"/>
      <c r="V127" s="547"/>
      <c r="W127" s="37" t="s">
        <v>69</v>
      </c>
      <c r="X127" s="541">
        <f>IFERROR(SUM(X124:X125),"0")</f>
        <v>80</v>
      </c>
      <c r="Y127" s="541">
        <f>IFERROR(SUM(Y124:Y125),"0")</f>
        <v>80</v>
      </c>
      <c r="Z127" s="37"/>
      <c r="AA127" s="542"/>
      <c r="AB127" s="542"/>
      <c r="AC127" s="542"/>
    </row>
    <row r="128" spans="1:68" ht="14.25" hidden="1" customHeight="1" x14ac:dyDescent="0.25">
      <c r="A128" s="556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9"/>
      <c r="R129" s="549"/>
      <c r="S129" s="549"/>
      <c r="T129" s="550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213</v>
      </c>
      <c r="M130" s="33" t="s">
        <v>94</v>
      </c>
      <c r="N130" s="33"/>
      <c r="O130" s="32">
        <v>90</v>
      </c>
      <c r="P130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9"/>
      <c r="R130" s="549"/>
      <c r="S130" s="549"/>
      <c r="T130" s="550"/>
      <c r="U130" s="34"/>
      <c r="V130" s="34"/>
      <c r="W130" s="35" t="s">
        <v>69</v>
      </c>
      <c r="X130" s="539">
        <v>87.5</v>
      </c>
      <c r="Y130" s="540">
        <f>IFERROR(IF(X130="",0,CEILING((X130/$H130),1)*$H130),"")</f>
        <v>89.6</v>
      </c>
      <c r="Z130" s="36">
        <f>IFERROR(IF(Y130=0,"",ROUNDUP(Y130/H130,0)*0.00651),"")</f>
        <v>0.20832000000000001</v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95.875</v>
      </c>
      <c r="BN130" s="64">
        <f>IFERROR(Y130*I130/H130,"0")</f>
        <v>98.175999999999988</v>
      </c>
      <c r="BO130" s="64">
        <f>IFERROR(1/J130*(X130/H130),"0")</f>
        <v>0.17170329670329673</v>
      </c>
      <c r="BP130" s="64">
        <f>IFERROR(1/J130*(Y130/H130),"0")</f>
        <v>0.17582417582417584</v>
      </c>
    </row>
    <row r="131" spans="1:68" x14ac:dyDescent="0.2">
      <c r="A131" s="565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66"/>
      <c r="P131" s="545" t="s">
        <v>71</v>
      </c>
      <c r="Q131" s="546"/>
      <c r="R131" s="546"/>
      <c r="S131" s="546"/>
      <c r="T131" s="546"/>
      <c r="U131" s="546"/>
      <c r="V131" s="547"/>
      <c r="W131" s="37" t="s">
        <v>72</v>
      </c>
      <c r="X131" s="541">
        <f>IFERROR(X129/H129,"0")+IFERROR(X130/H130,"0")</f>
        <v>31.250000000000004</v>
      </c>
      <c r="Y131" s="541">
        <f>IFERROR(Y129/H129,"0")+IFERROR(Y130/H130,"0")</f>
        <v>32</v>
      </c>
      <c r="Z131" s="541">
        <f>IFERROR(IF(Z129="",0,Z129),"0")+IFERROR(IF(Z130="",0,Z130),"0")</f>
        <v>0.20832000000000001</v>
      </c>
      <c r="AA131" s="542"/>
      <c r="AB131" s="542"/>
      <c r="AC131" s="542"/>
    </row>
    <row r="132" spans="1:68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66"/>
      <c r="P132" s="545" t="s">
        <v>71</v>
      </c>
      <c r="Q132" s="546"/>
      <c r="R132" s="546"/>
      <c r="S132" s="546"/>
      <c r="T132" s="546"/>
      <c r="U132" s="546"/>
      <c r="V132" s="547"/>
      <c r="W132" s="37" t="s">
        <v>69</v>
      </c>
      <c r="X132" s="541">
        <f>IFERROR(SUM(X129:X130),"0")</f>
        <v>87.5</v>
      </c>
      <c r="Y132" s="541">
        <f>IFERROR(SUM(Y129:Y130),"0")</f>
        <v>89.6</v>
      </c>
      <c r="Z132" s="37"/>
      <c r="AA132" s="542"/>
      <c r="AB132" s="542"/>
      <c r="AC132" s="542"/>
    </row>
    <row r="133" spans="1:68" ht="14.25" hidden="1" customHeight="1" x14ac:dyDescent="0.25">
      <c r="A133" s="556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9"/>
      <c r="R134" s="549"/>
      <c r="S134" s="549"/>
      <c r="T134" s="550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 t="s">
        <v>213</v>
      </c>
      <c r="M135" s="33" t="s">
        <v>94</v>
      </c>
      <c r="N135" s="33"/>
      <c r="O135" s="32">
        <v>60</v>
      </c>
      <c r="P135" s="81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9"/>
      <c r="R135" s="549"/>
      <c r="S135" s="549"/>
      <c r="T135" s="550"/>
      <c r="U135" s="34"/>
      <c r="V135" s="34"/>
      <c r="W135" s="35" t="s">
        <v>69</v>
      </c>
      <c r="X135" s="539">
        <v>66</v>
      </c>
      <c r="Y135" s="540">
        <f>IFERROR(IF(X135="",0,CEILING((X135/$H135),1)*$H135),"")</f>
        <v>66</v>
      </c>
      <c r="Z135" s="36">
        <f>IFERROR(IF(Y135=0,"",ROUNDUP(Y135/H135,0)*0.00651),"")</f>
        <v>0.16275000000000001</v>
      </c>
      <c r="AA135" s="56"/>
      <c r="AB135" s="57"/>
      <c r="AC135" s="175" t="s">
        <v>223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72.699999999999989</v>
      </c>
      <c r="BN135" s="64">
        <f>IFERROR(Y135*I135/H135,"0")</f>
        <v>72.699999999999989</v>
      </c>
      <c r="BO135" s="64">
        <f>IFERROR(1/J135*(X135/H135),"0")</f>
        <v>0.13736263736263737</v>
      </c>
      <c r="BP135" s="64">
        <f>IFERROR(1/J135*(Y135/H135),"0")</f>
        <v>0.13736263736263737</v>
      </c>
    </row>
    <row r="136" spans="1:68" x14ac:dyDescent="0.2">
      <c r="A136" s="565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66"/>
      <c r="P136" s="545" t="s">
        <v>71</v>
      </c>
      <c r="Q136" s="546"/>
      <c r="R136" s="546"/>
      <c r="S136" s="546"/>
      <c r="T136" s="546"/>
      <c r="U136" s="546"/>
      <c r="V136" s="547"/>
      <c r="W136" s="37" t="s">
        <v>72</v>
      </c>
      <c r="X136" s="541">
        <f>IFERROR(X134/H134,"0")+IFERROR(X135/H135,"0")</f>
        <v>25</v>
      </c>
      <c r="Y136" s="541">
        <f>IFERROR(Y134/H134,"0")+IFERROR(Y135/H135,"0")</f>
        <v>25</v>
      </c>
      <c r="Z136" s="541">
        <f>IFERROR(IF(Z134="",0,Z134),"0")+IFERROR(IF(Z135="",0,Z135),"0")</f>
        <v>0.16275000000000001</v>
      </c>
      <c r="AA136" s="542"/>
      <c r="AB136" s="542"/>
      <c r="AC136" s="542"/>
    </row>
    <row r="137" spans="1:68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66"/>
      <c r="P137" s="545" t="s">
        <v>71</v>
      </c>
      <c r="Q137" s="546"/>
      <c r="R137" s="546"/>
      <c r="S137" s="546"/>
      <c r="T137" s="546"/>
      <c r="U137" s="546"/>
      <c r="V137" s="547"/>
      <c r="W137" s="37" t="s">
        <v>69</v>
      </c>
      <c r="X137" s="541">
        <f>IFERROR(SUM(X134:X135),"0")</f>
        <v>66</v>
      </c>
      <c r="Y137" s="541">
        <f>IFERROR(SUM(Y134:Y135),"0")</f>
        <v>66</v>
      </c>
      <c r="Z137" s="37"/>
      <c r="AA137" s="542"/>
      <c r="AB137" s="542"/>
      <c r="AC137" s="542"/>
    </row>
    <row r="138" spans="1:68" ht="16.5" hidden="1" customHeight="1" x14ac:dyDescent="0.25">
      <c r="A138" s="553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4"/>
      <c r="AB138" s="534"/>
      <c r="AC138" s="534"/>
    </row>
    <row r="139" spans="1:68" ht="14.25" hidden="1" customHeight="1" x14ac:dyDescent="0.25">
      <c r="A139" s="556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9"/>
      <c r="R140" s="549"/>
      <c r="S140" s="549"/>
      <c r="T140" s="550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9"/>
      <c r="R141" s="549"/>
      <c r="S141" s="549"/>
      <c r="T141" s="550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65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66"/>
      <c r="P142" s="545" t="s">
        <v>71</v>
      </c>
      <c r="Q142" s="546"/>
      <c r="R142" s="546"/>
      <c r="S142" s="546"/>
      <c r="T142" s="546"/>
      <c r="U142" s="546"/>
      <c r="V142" s="547"/>
      <c r="W142" s="37" t="s">
        <v>72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66"/>
      <c r="P143" s="545" t="s">
        <v>71</v>
      </c>
      <c r="Q143" s="546"/>
      <c r="R143" s="546"/>
      <c r="S143" s="546"/>
      <c r="T143" s="546"/>
      <c r="U143" s="546"/>
      <c r="V143" s="547"/>
      <c r="W143" s="37" t="s">
        <v>69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hidden="1" customHeight="1" x14ac:dyDescent="0.25">
      <c r="A144" s="556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5"/>
      <c r="AB144" s="535"/>
      <c r="AC144" s="535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3">
        <v>4607091387667</v>
      </c>
      <c r="E145" s="544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8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9"/>
      <c r="R145" s="549"/>
      <c r="S145" s="549"/>
      <c r="T145" s="550"/>
      <c r="U145" s="34"/>
      <c r="V145" s="34"/>
      <c r="W145" s="35" t="s">
        <v>69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3">
        <v>4607091387636</v>
      </c>
      <c r="E146" s="544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5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9"/>
      <c r="R146" s="549"/>
      <c r="S146" s="549"/>
      <c r="T146" s="550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3">
        <v>4607091382426</v>
      </c>
      <c r="E147" s="544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8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9"/>
      <c r="R147" s="549"/>
      <c r="S147" s="549"/>
      <c r="T147" s="550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65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66"/>
      <c r="P148" s="545" t="s">
        <v>71</v>
      </c>
      <c r="Q148" s="546"/>
      <c r="R148" s="546"/>
      <c r="S148" s="546"/>
      <c r="T148" s="546"/>
      <c r="U148" s="546"/>
      <c r="V148" s="547"/>
      <c r="W148" s="37" t="s">
        <v>72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66"/>
      <c r="P149" s="545" t="s">
        <v>71</v>
      </c>
      <c r="Q149" s="546"/>
      <c r="R149" s="546"/>
      <c r="S149" s="546"/>
      <c r="T149" s="546"/>
      <c r="U149" s="546"/>
      <c r="V149" s="547"/>
      <c r="W149" s="37" t="s">
        <v>69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hidden="1" customHeight="1" x14ac:dyDescent="0.25">
      <c r="A150" s="556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5"/>
      <c r="AB150" s="535"/>
      <c r="AC150" s="535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3">
        <v>4680115887459</v>
      </c>
      <c r="E151" s="544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2" t="s">
        <v>249</v>
      </c>
      <c r="Q151" s="549"/>
      <c r="R151" s="549"/>
      <c r="S151" s="549"/>
      <c r="T151" s="550"/>
      <c r="U151" s="34"/>
      <c r="V151" s="34"/>
      <c r="W151" s="35" t="s">
        <v>69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5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66"/>
      <c r="P152" s="545" t="s">
        <v>71</v>
      </c>
      <c r="Q152" s="546"/>
      <c r="R152" s="546"/>
      <c r="S152" s="546"/>
      <c r="T152" s="546"/>
      <c r="U152" s="546"/>
      <c r="V152" s="547"/>
      <c r="W152" s="37" t="s">
        <v>72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66"/>
      <c r="P153" s="545" t="s">
        <v>71</v>
      </c>
      <c r="Q153" s="546"/>
      <c r="R153" s="546"/>
      <c r="S153" s="546"/>
      <c r="T153" s="546"/>
      <c r="U153" s="546"/>
      <c r="V153" s="547"/>
      <c r="W153" s="37" t="s">
        <v>69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hidden="1" customHeight="1" x14ac:dyDescent="0.2">
      <c r="A154" s="694" t="s">
        <v>251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48"/>
      <c r="AB154" s="48"/>
      <c r="AC154" s="48"/>
    </row>
    <row r="155" spans="1:68" ht="16.5" hidden="1" customHeight="1" x14ac:dyDescent="0.25">
      <c r="A155" s="553" t="s">
        <v>252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4"/>
      <c r="AB155" s="534"/>
      <c r="AC155" s="534"/>
    </row>
    <row r="156" spans="1:68" ht="14.25" hidden="1" customHeight="1" x14ac:dyDescent="0.25">
      <c r="A156" s="556" t="s">
        <v>135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5"/>
      <c r="AB156" s="535"/>
      <c r="AC156" s="535"/>
    </row>
    <row r="157" spans="1:68" ht="27" hidden="1" customHeight="1" x14ac:dyDescent="0.25">
      <c r="A157" s="54" t="s">
        <v>253</v>
      </c>
      <c r="B157" s="54" t="s">
        <v>254</v>
      </c>
      <c r="C157" s="31">
        <v>4301020323</v>
      </c>
      <c r="D157" s="543">
        <v>4680115886223</v>
      </c>
      <c r="E157" s="544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9"/>
      <c r="R157" s="549"/>
      <c r="S157" s="549"/>
      <c r="T157" s="550"/>
      <c r="U157" s="34"/>
      <c r="V157" s="34"/>
      <c r="W157" s="35" t="s">
        <v>69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5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66"/>
      <c r="P158" s="545" t="s">
        <v>71</v>
      </c>
      <c r="Q158" s="546"/>
      <c r="R158" s="546"/>
      <c r="S158" s="546"/>
      <c r="T158" s="546"/>
      <c r="U158" s="546"/>
      <c r="V158" s="547"/>
      <c r="W158" s="37" t="s">
        <v>72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66"/>
      <c r="P159" s="545" t="s">
        <v>71</v>
      </c>
      <c r="Q159" s="546"/>
      <c r="R159" s="546"/>
      <c r="S159" s="546"/>
      <c r="T159" s="546"/>
      <c r="U159" s="546"/>
      <c r="V159" s="547"/>
      <c r="W159" s="37" t="s">
        <v>69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hidden="1" customHeight="1" x14ac:dyDescent="0.25">
      <c r="A160" s="556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5"/>
      <c r="AB160" s="535"/>
      <c r="AC160" s="535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43">
        <v>4680115880993</v>
      </c>
      <c r="E161" s="544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9"/>
      <c r="R161" s="549"/>
      <c r="S161" s="549"/>
      <c r="T161" s="550"/>
      <c r="U161" s="34"/>
      <c r="V161" s="34"/>
      <c r="W161" s="35" t="s">
        <v>69</v>
      </c>
      <c r="X161" s="539">
        <v>50</v>
      </c>
      <c r="Y161" s="540">
        <f t="shared" ref="Y161:Y170" si="5">IFERROR(IF(X161="",0,CEILING((X161/$H161),1)*$H161),"")</f>
        <v>50.400000000000006</v>
      </c>
      <c r="Z161" s="36">
        <f>IFERROR(IF(Y161=0,"",ROUNDUP(Y161/H161,0)*0.00902),"")</f>
        <v>0.10824</v>
      </c>
      <c r="AA161" s="56"/>
      <c r="AB161" s="57"/>
      <c r="AC161" s="191" t="s">
        <v>258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52.976190476190474</v>
      </c>
      <c r="BN161" s="64">
        <f t="shared" ref="BN161:BN170" si="7">IFERROR(Y161*I161/H161,"0")</f>
        <v>53.400000000000006</v>
      </c>
      <c r="BO161" s="64">
        <f t="shared" ref="BO161:BO170" si="8">IFERROR(1/J161*(X161/H161),"0")</f>
        <v>9.0187590187590191E-2</v>
      </c>
      <c r="BP161" s="64">
        <f t="shared" ref="BP161:BP170" si="9">IFERROR(1/J161*(Y161/H161),"0")</f>
        <v>9.0909090909090912E-2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43">
        <v>4680115881761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9"/>
      <c r="R162" s="549"/>
      <c r="S162" s="549"/>
      <c r="T162" s="550"/>
      <c r="U162" s="34"/>
      <c r="V162" s="34"/>
      <c r="W162" s="35" t="s">
        <v>69</v>
      </c>
      <c r="X162" s="539">
        <v>30</v>
      </c>
      <c r="Y162" s="540">
        <f t="shared" si="5"/>
        <v>33.6</v>
      </c>
      <c r="Z162" s="36">
        <f>IFERROR(IF(Y162=0,"",ROUNDUP(Y162/H162,0)*0.00902),"")</f>
        <v>7.2160000000000002E-2</v>
      </c>
      <c r="AA162" s="56"/>
      <c r="AB162" s="57"/>
      <c r="AC162" s="193" t="s">
        <v>261</v>
      </c>
      <c r="AG162" s="64"/>
      <c r="AJ162" s="68" t="s">
        <v>106</v>
      </c>
      <c r="AK162" s="68">
        <v>50.4</v>
      </c>
      <c r="BB162" s="194" t="s">
        <v>1</v>
      </c>
      <c r="BM162" s="64">
        <f t="shared" si="6"/>
        <v>31.785714285714285</v>
      </c>
      <c r="BN162" s="64">
        <f t="shared" si="7"/>
        <v>35.6</v>
      </c>
      <c r="BO162" s="64">
        <f t="shared" si="8"/>
        <v>5.4112554112554112E-2</v>
      </c>
      <c r="BP162" s="64">
        <f t="shared" si="9"/>
        <v>6.0606060606060608E-2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3">
        <v>4680115881563</v>
      </c>
      <c r="E163" s="544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9"/>
      <c r="R163" s="549"/>
      <c r="S163" s="549"/>
      <c r="T163" s="550"/>
      <c r="U163" s="34"/>
      <c r="V163" s="34"/>
      <c r="W163" s="35" t="s">
        <v>69</v>
      </c>
      <c r="X163" s="539">
        <v>80</v>
      </c>
      <c r="Y163" s="540">
        <f t="shared" si="5"/>
        <v>84</v>
      </c>
      <c r="Z163" s="36">
        <f>IFERROR(IF(Y163=0,"",ROUNDUP(Y163/H163,0)*0.00902),"")</f>
        <v>0.1804</v>
      </c>
      <c r="AA163" s="56"/>
      <c r="AB163" s="57"/>
      <c r="AC163" s="195" t="s">
        <v>264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83.619047619047606</v>
      </c>
      <c r="BN163" s="64">
        <f t="shared" si="7"/>
        <v>87.8</v>
      </c>
      <c r="BO163" s="64">
        <f t="shared" si="8"/>
        <v>0.14430014430014429</v>
      </c>
      <c r="BP163" s="64">
        <f t="shared" si="9"/>
        <v>0.15151515151515152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3">
        <v>4680115880986</v>
      </c>
      <c r="E164" s="544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9"/>
      <c r="R164" s="549"/>
      <c r="S164" s="549"/>
      <c r="T164" s="550"/>
      <c r="U164" s="34"/>
      <c r="V164" s="34"/>
      <c r="W164" s="35" t="s">
        <v>69</v>
      </c>
      <c r="X164" s="539">
        <v>70</v>
      </c>
      <c r="Y164" s="540">
        <f t="shared" si="5"/>
        <v>71.400000000000006</v>
      </c>
      <c r="Z164" s="36">
        <f>IFERROR(IF(Y164=0,"",ROUNDUP(Y164/H164,0)*0.00502),"")</f>
        <v>0.17068</v>
      </c>
      <c r="AA164" s="56"/>
      <c r="AB164" s="57"/>
      <c r="AC164" s="197" t="s">
        <v>258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74.333333333333329</v>
      </c>
      <c r="BN164" s="64">
        <f t="shared" si="7"/>
        <v>75.820000000000007</v>
      </c>
      <c r="BO164" s="64">
        <f t="shared" si="8"/>
        <v>0.14245014245014245</v>
      </c>
      <c r="BP164" s="64">
        <f t="shared" si="9"/>
        <v>0.14529914529914531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4301031443</v>
      </c>
      <c r="D165" s="543">
        <v>4680115887213</v>
      </c>
      <c r="E165" s="544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3" t="s">
        <v>270</v>
      </c>
      <c r="Q165" s="549"/>
      <c r="R165" s="549"/>
      <c r="S165" s="549"/>
      <c r="T165" s="550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9"/>
      <c r="R166" s="549"/>
      <c r="S166" s="549"/>
      <c r="T166" s="550"/>
      <c r="U166" s="34"/>
      <c r="V166" s="34"/>
      <c r="W166" s="35" t="s">
        <v>69</v>
      </c>
      <c r="X166" s="539">
        <v>87.5</v>
      </c>
      <c r="Y166" s="540">
        <f t="shared" si="5"/>
        <v>88.2</v>
      </c>
      <c r="Z166" s="36">
        <f>IFERROR(IF(Y166=0,"",ROUNDUP(Y166/H166,0)*0.00502),"")</f>
        <v>0.21084</v>
      </c>
      <c r="AA166" s="56"/>
      <c r="AB166" s="57"/>
      <c r="AC166" s="201" t="s">
        <v>261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92.916666666666657</v>
      </c>
      <c r="BN166" s="64">
        <f t="shared" si="7"/>
        <v>93.66</v>
      </c>
      <c r="BO166" s="64">
        <f t="shared" si="8"/>
        <v>0.17806267806267806</v>
      </c>
      <c r="BP166" s="64">
        <f t="shared" si="9"/>
        <v>0.17948717948717952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9"/>
      <c r="R167" s="549"/>
      <c r="S167" s="549"/>
      <c r="T167" s="550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8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9"/>
      <c r="R168" s="549"/>
      <c r="S168" s="549"/>
      <c r="T168" s="550"/>
      <c r="U168" s="34"/>
      <c r="V168" s="34"/>
      <c r="W168" s="35" t="s">
        <v>69</v>
      </c>
      <c r="X168" s="539">
        <v>140</v>
      </c>
      <c r="Y168" s="540">
        <f t="shared" si="5"/>
        <v>140.70000000000002</v>
      </c>
      <c r="Z168" s="36">
        <f>IFERROR(IF(Y168=0,"",ROUNDUP(Y168/H168,0)*0.00502),"")</f>
        <v>0.33634000000000003</v>
      </c>
      <c r="AA168" s="56"/>
      <c r="AB168" s="57"/>
      <c r="AC168" s="205" t="s">
        <v>264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146.66666666666666</v>
      </c>
      <c r="BN168" s="64">
        <f t="shared" si="7"/>
        <v>147.40000000000003</v>
      </c>
      <c r="BO168" s="64">
        <f t="shared" si="8"/>
        <v>0.28490028490028491</v>
      </c>
      <c r="BP168" s="64">
        <f t="shared" si="9"/>
        <v>0.28632478632478636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9"/>
      <c r="R169" s="549"/>
      <c r="S169" s="549"/>
      <c r="T169" s="550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9"/>
      <c r="R170" s="549"/>
      <c r="S170" s="549"/>
      <c r="T170" s="550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5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66"/>
      <c r="P171" s="545" t="s">
        <v>71</v>
      </c>
      <c r="Q171" s="546"/>
      <c r="R171" s="546"/>
      <c r="S171" s="546"/>
      <c r="T171" s="546"/>
      <c r="U171" s="546"/>
      <c r="V171" s="547"/>
      <c r="W171" s="37" t="s">
        <v>72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179.76190476190473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183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1.07866</v>
      </c>
      <c r="AA171" s="542"/>
      <c r="AB171" s="542"/>
      <c r="AC171" s="542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66"/>
      <c r="P172" s="545" t="s">
        <v>71</v>
      </c>
      <c r="Q172" s="546"/>
      <c r="R172" s="546"/>
      <c r="S172" s="546"/>
      <c r="T172" s="546"/>
      <c r="U172" s="546"/>
      <c r="V172" s="547"/>
      <c r="W172" s="37" t="s">
        <v>69</v>
      </c>
      <c r="X172" s="541">
        <f>IFERROR(SUM(X161:X170),"0")</f>
        <v>457.5</v>
      </c>
      <c r="Y172" s="541">
        <f>IFERROR(SUM(Y161:Y170),"0")</f>
        <v>468.30000000000007</v>
      </c>
      <c r="Z172" s="37"/>
      <c r="AA172" s="542"/>
      <c r="AB172" s="542"/>
      <c r="AC172" s="542"/>
    </row>
    <row r="173" spans="1:68" ht="14.25" hidden="1" customHeight="1" x14ac:dyDescent="0.25">
      <c r="A173" s="556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9"/>
      <c r="R174" s="549"/>
      <c r="S174" s="549"/>
      <c r="T174" s="550"/>
      <c r="U174" s="34"/>
      <c r="V174" s="34"/>
      <c r="W174" s="35" t="s">
        <v>69</v>
      </c>
      <c r="X174" s="539">
        <v>7.0000000000000009</v>
      </c>
      <c r="Y174" s="540">
        <f>IFERROR(IF(X174="",0,CEILING((X174/$H174),1)*$H174),"")</f>
        <v>7.5600000000000005</v>
      </c>
      <c r="Z174" s="36">
        <f>IFERROR(IF(Y174=0,"",ROUNDUP(Y174/H174,0)*0.0059),"")</f>
        <v>3.5400000000000001E-2</v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8.0555555555555554</v>
      </c>
      <c r="BN174" s="64">
        <f>IFERROR(Y174*I174/H174,"0")</f>
        <v>8.6999999999999993</v>
      </c>
      <c r="BO174" s="64">
        <f>IFERROR(1/J174*(X174/H174),"0")</f>
        <v>2.5720164609053499E-2</v>
      </c>
      <c r="BP174" s="64">
        <f>IFERROR(1/J174*(Y174/H174),"0")</f>
        <v>2.7777777777777776E-2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9"/>
      <c r="R175" s="549"/>
      <c r="S175" s="549"/>
      <c r="T175" s="550"/>
      <c r="U175" s="34"/>
      <c r="V175" s="34"/>
      <c r="W175" s="35" t="s">
        <v>69</v>
      </c>
      <c r="X175" s="539">
        <v>7.0000000000000009</v>
      </c>
      <c r="Y175" s="540">
        <f>IFERROR(IF(X175="",0,CEILING((X175/$H175),1)*$H175),"")</f>
        <v>7.5600000000000005</v>
      </c>
      <c r="Z175" s="36">
        <f>IFERROR(IF(Y175=0,"",ROUNDUP(Y175/H175,0)*0.0059),"")</f>
        <v>3.5400000000000001E-2</v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8.0555555555555554</v>
      </c>
      <c r="BN175" s="64">
        <f>IFERROR(Y175*I175/H175,"0")</f>
        <v>8.6999999999999993</v>
      </c>
      <c r="BO175" s="64">
        <f>IFERROR(1/J175*(X175/H175),"0")</f>
        <v>2.5720164609053499E-2</v>
      </c>
      <c r="BP175" s="64">
        <f>IFERROR(1/J175*(Y175/H175),"0")</f>
        <v>2.7777777777777776E-2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9"/>
      <c r="R176" s="549"/>
      <c r="S176" s="549"/>
      <c r="T176" s="550"/>
      <c r="U176" s="34"/>
      <c r="V176" s="34"/>
      <c r="W176" s="35" t="s">
        <v>69</v>
      </c>
      <c r="X176" s="539">
        <v>7.0000000000000009</v>
      </c>
      <c r="Y176" s="540">
        <f>IFERROR(IF(X176="",0,CEILING((X176/$H176),1)*$H176),"")</f>
        <v>7.5600000000000005</v>
      </c>
      <c r="Z176" s="36">
        <f>IFERROR(IF(Y176=0,"",ROUNDUP(Y176/H176,0)*0.0059),"")</f>
        <v>3.5400000000000001E-2</v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8.0555555555555554</v>
      </c>
      <c r="BN176" s="64">
        <f>IFERROR(Y176*I176/H176,"0")</f>
        <v>8.6999999999999993</v>
      </c>
      <c r="BO176" s="64">
        <f>IFERROR(1/J176*(X176/H176),"0")</f>
        <v>2.5720164609053499E-2</v>
      </c>
      <c r="BP176" s="64">
        <f>IFERROR(1/J176*(Y176/H176),"0")</f>
        <v>2.7777777777777776E-2</v>
      </c>
    </row>
    <row r="177" spans="1:68" x14ac:dyDescent="0.2">
      <c r="A177" s="565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66"/>
      <c r="P177" s="545" t="s">
        <v>71</v>
      </c>
      <c r="Q177" s="546"/>
      <c r="R177" s="546"/>
      <c r="S177" s="546"/>
      <c r="T177" s="546"/>
      <c r="U177" s="546"/>
      <c r="V177" s="547"/>
      <c r="W177" s="37" t="s">
        <v>72</v>
      </c>
      <c r="X177" s="541">
        <f>IFERROR(X174/H174,"0")+IFERROR(X175/H175,"0")+IFERROR(X176/H176,"0")</f>
        <v>16.666666666666668</v>
      </c>
      <c r="Y177" s="541">
        <f>IFERROR(Y174/H174,"0")+IFERROR(Y175/H175,"0")+IFERROR(Y176/H176,"0")</f>
        <v>18</v>
      </c>
      <c r="Z177" s="541">
        <f>IFERROR(IF(Z174="",0,Z174),"0")+IFERROR(IF(Z175="",0,Z175),"0")+IFERROR(IF(Z176="",0,Z176),"0")</f>
        <v>0.1062</v>
      </c>
      <c r="AA177" s="542"/>
      <c r="AB177" s="542"/>
      <c r="AC177" s="542"/>
    </row>
    <row r="178" spans="1:68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66"/>
      <c r="P178" s="545" t="s">
        <v>71</v>
      </c>
      <c r="Q178" s="546"/>
      <c r="R178" s="546"/>
      <c r="S178" s="546"/>
      <c r="T178" s="546"/>
      <c r="U178" s="546"/>
      <c r="V178" s="547"/>
      <c r="W178" s="37" t="s">
        <v>69</v>
      </c>
      <c r="X178" s="541">
        <f>IFERROR(SUM(X174:X176),"0")</f>
        <v>21.000000000000004</v>
      </c>
      <c r="Y178" s="541">
        <f>IFERROR(SUM(Y174:Y176),"0")</f>
        <v>22.68</v>
      </c>
      <c r="Z178" s="37"/>
      <c r="AA178" s="542"/>
      <c r="AB178" s="542"/>
      <c r="AC178" s="542"/>
    </row>
    <row r="179" spans="1:68" ht="14.25" hidden="1" customHeight="1" x14ac:dyDescent="0.25">
      <c r="A179" s="556" t="s">
        <v>294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9"/>
      <c r="R180" s="549"/>
      <c r="S180" s="549"/>
      <c r="T180" s="550"/>
      <c r="U180" s="34"/>
      <c r="V180" s="34"/>
      <c r="W180" s="35" t="s">
        <v>69</v>
      </c>
      <c r="X180" s="539">
        <v>3.5</v>
      </c>
      <c r="Y180" s="540">
        <f>IFERROR(IF(X180="",0,CEILING((X180/$H180),1)*$H180),"")</f>
        <v>3.7800000000000002</v>
      </c>
      <c r="Z180" s="36">
        <f>IFERROR(IF(Y180=0,"",ROUNDUP(Y180/H180,0)*0.0059),"")</f>
        <v>1.77E-2</v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4.0277777777777777</v>
      </c>
      <c r="BN180" s="64">
        <f>IFERROR(Y180*I180/H180,"0")</f>
        <v>4.3499999999999996</v>
      </c>
      <c r="BO180" s="64">
        <f>IFERROR(1/J180*(X180/H180),"0")</f>
        <v>1.2860082304526748E-2</v>
      </c>
      <c r="BP180" s="64">
        <f>IFERROR(1/J180*(Y180/H180),"0")</f>
        <v>1.3888888888888888E-2</v>
      </c>
    </row>
    <row r="181" spans="1:68" x14ac:dyDescent="0.2">
      <c r="A181" s="565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66"/>
      <c r="P181" s="545" t="s">
        <v>71</v>
      </c>
      <c r="Q181" s="546"/>
      <c r="R181" s="546"/>
      <c r="S181" s="546"/>
      <c r="T181" s="546"/>
      <c r="U181" s="546"/>
      <c r="V181" s="547"/>
      <c r="W181" s="37" t="s">
        <v>72</v>
      </c>
      <c r="X181" s="541">
        <f>IFERROR(X180/H180,"0")</f>
        <v>2.7777777777777777</v>
      </c>
      <c r="Y181" s="541">
        <f>IFERROR(Y180/H180,"0")</f>
        <v>3</v>
      </c>
      <c r="Z181" s="541">
        <f>IFERROR(IF(Z180="",0,Z180),"0")</f>
        <v>1.77E-2</v>
      </c>
      <c r="AA181" s="542"/>
      <c r="AB181" s="542"/>
      <c r="AC181" s="542"/>
    </row>
    <row r="182" spans="1:68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66"/>
      <c r="P182" s="545" t="s">
        <v>71</v>
      </c>
      <c r="Q182" s="546"/>
      <c r="R182" s="546"/>
      <c r="S182" s="546"/>
      <c r="T182" s="546"/>
      <c r="U182" s="546"/>
      <c r="V182" s="547"/>
      <c r="W182" s="37" t="s">
        <v>69</v>
      </c>
      <c r="X182" s="541">
        <f>IFERROR(SUM(X180:X180),"0")</f>
        <v>3.5</v>
      </c>
      <c r="Y182" s="541">
        <f>IFERROR(SUM(Y180:Y180),"0")</f>
        <v>3.7800000000000002</v>
      </c>
      <c r="Z182" s="37"/>
      <c r="AA182" s="542"/>
      <c r="AB182" s="542"/>
      <c r="AC182" s="542"/>
    </row>
    <row r="183" spans="1:68" ht="16.5" hidden="1" customHeight="1" x14ac:dyDescent="0.25">
      <c r="A183" s="553" t="s">
        <v>297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4"/>
      <c r="AB183" s="534"/>
      <c r="AC183" s="534"/>
    </row>
    <row r="184" spans="1:68" ht="14.25" hidden="1" customHeight="1" x14ac:dyDescent="0.25">
      <c r="A184" s="556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9"/>
      <c r="R185" s="549"/>
      <c r="S185" s="549"/>
      <c r="T185" s="550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9"/>
      <c r="R186" s="549"/>
      <c r="S186" s="549"/>
      <c r="T186" s="550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5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66"/>
      <c r="P187" s="545" t="s">
        <v>71</v>
      </c>
      <c r="Q187" s="546"/>
      <c r="R187" s="546"/>
      <c r="S187" s="546"/>
      <c r="T187" s="546"/>
      <c r="U187" s="546"/>
      <c r="V187" s="547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66"/>
      <c r="P188" s="545" t="s">
        <v>71</v>
      </c>
      <c r="Q188" s="546"/>
      <c r="R188" s="546"/>
      <c r="S188" s="546"/>
      <c r="T188" s="546"/>
      <c r="U188" s="546"/>
      <c r="V188" s="547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6" t="s">
        <v>135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9"/>
      <c r="R190" s="549"/>
      <c r="S190" s="549"/>
      <c r="T190" s="550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9"/>
      <c r="R191" s="549"/>
      <c r="S191" s="549"/>
      <c r="T191" s="550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65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66"/>
      <c r="P192" s="545" t="s">
        <v>71</v>
      </c>
      <c r="Q192" s="546"/>
      <c r="R192" s="546"/>
      <c r="S192" s="546"/>
      <c r="T192" s="546"/>
      <c r="U192" s="546"/>
      <c r="V192" s="547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66"/>
      <c r="P193" s="545" t="s">
        <v>71</v>
      </c>
      <c r="Q193" s="546"/>
      <c r="R193" s="546"/>
      <c r="S193" s="546"/>
      <c r="T193" s="546"/>
      <c r="U193" s="546"/>
      <c r="V193" s="547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6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5"/>
      <c r="AB194" s="535"/>
      <c r="AC194" s="535"/>
    </row>
    <row r="195" spans="1:68" ht="27" hidden="1" customHeight="1" x14ac:dyDescent="0.25">
      <c r="A195" s="54" t="s">
        <v>308</v>
      </c>
      <c r="B195" s="54" t="s">
        <v>309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9"/>
      <c r="R195" s="549"/>
      <c r="S195" s="549"/>
      <c r="T195" s="550"/>
      <c r="U195" s="34"/>
      <c r="V195" s="34"/>
      <c r="W195" s="35" t="s">
        <v>69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9"/>
      <c r="R196" s="549"/>
      <c r="S196" s="549"/>
      <c r="T196" s="550"/>
      <c r="U196" s="34"/>
      <c r="V196" s="34"/>
      <c r="W196" s="35" t="s">
        <v>69</v>
      </c>
      <c r="X196" s="539">
        <v>50</v>
      </c>
      <c r="Y196" s="540">
        <f t="shared" si="10"/>
        <v>54</v>
      </c>
      <c r="Z196" s="36">
        <f>IFERROR(IF(Y196=0,"",ROUNDUP(Y196/H196,0)*0.00902),"")</f>
        <v>9.0200000000000002E-2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51.759259259259252</v>
      </c>
      <c r="BN196" s="64">
        <f t="shared" si="12"/>
        <v>55.9</v>
      </c>
      <c r="BO196" s="64">
        <f t="shared" si="13"/>
        <v>7.0145903479236812E-2</v>
      </c>
      <c r="BP196" s="64">
        <f t="shared" si="14"/>
        <v>7.575757575757576E-2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9"/>
      <c r="R197" s="549"/>
      <c r="S197" s="549"/>
      <c r="T197" s="550"/>
      <c r="U197" s="34"/>
      <c r="V197" s="34"/>
      <c r="W197" s="35" t="s">
        <v>69</v>
      </c>
      <c r="X197" s="539">
        <v>400</v>
      </c>
      <c r="Y197" s="540">
        <f t="shared" si="10"/>
        <v>405</v>
      </c>
      <c r="Z197" s="36">
        <f>IFERROR(IF(Y197=0,"",ROUNDUP(Y197/H197,0)*0.00902),"")</f>
        <v>0.67649999999999999</v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414.07407407407402</v>
      </c>
      <c r="BN197" s="64">
        <f t="shared" si="12"/>
        <v>419.24999999999994</v>
      </c>
      <c r="BO197" s="64">
        <f t="shared" si="13"/>
        <v>0.5611672278338945</v>
      </c>
      <c r="BP197" s="64">
        <f t="shared" si="14"/>
        <v>0.56818181818181823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9"/>
      <c r="R198" s="549"/>
      <c r="S198" s="549"/>
      <c r="T198" s="550"/>
      <c r="U198" s="34"/>
      <c r="V198" s="34"/>
      <c r="W198" s="35" t="s">
        <v>69</v>
      </c>
      <c r="X198" s="539">
        <v>90</v>
      </c>
      <c r="Y198" s="540">
        <f t="shared" si="10"/>
        <v>91.800000000000011</v>
      </c>
      <c r="Z198" s="36">
        <f>IFERROR(IF(Y198=0,"",ROUNDUP(Y198/H198,0)*0.00902),"")</f>
        <v>0.15334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93.166666666666657</v>
      </c>
      <c r="BN198" s="64">
        <f t="shared" si="12"/>
        <v>95.03</v>
      </c>
      <c r="BO198" s="64">
        <f t="shared" si="13"/>
        <v>0.12626262626262624</v>
      </c>
      <c r="BP198" s="64">
        <f t="shared" si="14"/>
        <v>0.12878787878787878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9"/>
      <c r="R199" s="549"/>
      <c r="S199" s="549"/>
      <c r="T199" s="550"/>
      <c r="U199" s="34"/>
      <c r="V199" s="34"/>
      <c r="W199" s="35" t="s">
        <v>69</v>
      </c>
      <c r="X199" s="539">
        <v>120</v>
      </c>
      <c r="Y199" s="540">
        <f t="shared" si="10"/>
        <v>120.60000000000001</v>
      </c>
      <c r="Z199" s="36">
        <f>IFERROR(IF(Y199=0,"",ROUNDUP(Y199/H199,0)*0.00502),"")</f>
        <v>0.33634000000000003</v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128.66666666666666</v>
      </c>
      <c r="BN199" s="64">
        <f t="shared" si="12"/>
        <v>129.31</v>
      </c>
      <c r="BO199" s="64">
        <f t="shared" si="13"/>
        <v>0.28490028490028496</v>
      </c>
      <c r="BP199" s="64">
        <f t="shared" si="14"/>
        <v>0.28632478632478636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9"/>
      <c r="R200" s="549"/>
      <c r="S200" s="549"/>
      <c r="T200" s="550"/>
      <c r="U200" s="34"/>
      <c r="V200" s="34"/>
      <c r="W200" s="35" t="s">
        <v>69</v>
      </c>
      <c r="X200" s="539">
        <v>60</v>
      </c>
      <c r="Y200" s="540">
        <f t="shared" si="10"/>
        <v>61.2</v>
      </c>
      <c r="Z200" s="36">
        <f>IFERROR(IF(Y200=0,"",ROUNDUP(Y200/H200,0)*0.00502),"")</f>
        <v>0.17068</v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63.333333333333329</v>
      </c>
      <c r="BN200" s="64">
        <f t="shared" si="12"/>
        <v>64.599999999999994</v>
      </c>
      <c r="BO200" s="64">
        <f t="shared" si="13"/>
        <v>0.14245014245014248</v>
      </c>
      <c r="BP200" s="64">
        <f t="shared" si="14"/>
        <v>0.14529914529914531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 t="s">
        <v>267</v>
      </c>
      <c r="M201" s="33" t="s">
        <v>68</v>
      </c>
      <c r="N201" s="33"/>
      <c r="O201" s="32">
        <v>40</v>
      </c>
      <c r="P201" s="78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9"/>
      <c r="R201" s="549"/>
      <c r="S201" s="549"/>
      <c r="T201" s="550"/>
      <c r="U201" s="34"/>
      <c r="V201" s="34"/>
      <c r="W201" s="35" t="s">
        <v>69</v>
      </c>
      <c r="X201" s="539">
        <v>120</v>
      </c>
      <c r="Y201" s="540">
        <f t="shared" si="10"/>
        <v>120.60000000000001</v>
      </c>
      <c r="Z201" s="36">
        <f>IFERROR(IF(Y201=0,"",ROUNDUP(Y201/H201,0)*0.00502),"")</f>
        <v>0.33634000000000003</v>
      </c>
      <c r="AA201" s="56"/>
      <c r="AB201" s="57"/>
      <c r="AC201" s="239" t="s">
        <v>316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126.66666666666666</v>
      </c>
      <c r="BN201" s="64">
        <f t="shared" si="12"/>
        <v>127.30000000000001</v>
      </c>
      <c r="BO201" s="64">
        <f t="shared" si="13"/>
        <v>0.28490028490028496</v>
      </c>
      <c r="BP201" s="64">
        <f t="shared" si="14"/>
        <v>0.28632478632478636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9"/>
      <c r="R202" s="549"/>
      <c r="S202" s="549"/>
      <c r="T202" s="550"/>
      <c r="U202" s="34"/>
      <c r="V202" s="34"/>
      <c r="W202" s="35" t="s">
        <v>69</v>
      </c>
      <c r="X202" s="539">
        <v>60</v>
      </c>
      <c r="Y202" s="540">
        <f t="shared" si="10"/>
        <v>61.2</v>
      </c>
      <c r="Z202" s="36">
        <f>IFERROR(IF(Y202=0,"",ROUNDUP(Y202/H202,0)*0.00502),"")</f>
        <v>0.17068</v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63.333333333333329</v>
      </c>
      <c r="BN202" s="64">
        <f t="shared" si="12"/>
        <v>64.599999999999994</v>
      </c>
      <c r="BO202" s="64">
        <f t="shared" si="13"/>
        <v>0.14245014245014248</v>
      </c>
      <c r="BP202" s="64">
        <f t="shared" si="14"/>
        <v>0.14529914529914531</v>
      </c>
    </row>
    <row r="203" spans="1:68" x14ac:dyDescent="0.2">
      <c r="A203" s="565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66"/>
      <c r="P203" s="545" t="s">
        <v>71</v>
      </c>
      <c r="Q203" s="546"/>
      <c r="R203" s="546"/>
      <c r="S203" s="546"/>
      <c r="T203" s="546"/>
      <c r="U203" s="546"/>
      <c r="V203" s="547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300</v>
      </c>
      <c r="Y203" s="541">
        <f>IFERROR(Y195/H195,"0")+IFERROR(Y196/H196,"0")+IFERROR(Y197/H197,"0")+IFERROR(Y198/H198,"0")+IFERROR(Y199/H199,"0")+IFERROR(Y200/H200,"0")+IFERROR(Y201/H201,"0")+IFERROR(Y202/H202,"0")</f>
        <v>304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1.93408</v>
      </c>
      <c r="AA203" s="542"/>
      <c r="AB203" s="542"/>
      <c r="AC203" s="542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66"/>
      <c r="P204" s="545" t="s">
        <v>71</v>
      </c>
      <c r="Q204" s="546"/>
      <c r="R204" s="546"/>
      <c r="S204" s="546"/>
      <c r="T204" s="546"/>
      <c r="U204" s="546"/>
      <c r="V204" s="547"/>
      <c r="W204" s="37" t="s">
        <v>69</v>
      </c>
      <c r="X204" s="541">
        <f>IFERROR(SUM(X195:X202),"0")</f>
        <v>900</v>
      </c>
      <c r="Y204" s="541">
        <f>IFERROR(SUM(Y195:Y202),"0")</f>
        <v>914.40000000000009</v>
      </c>
      <c r="Z204" s="37"/>
      <c r="AA204" s="542"/>
      <c r="AB204" s="542"/>
      <c r="AC204" s="542"/>
    </row>
    <row r="205" spans="1:68" ht="14.25" hidden="1" customHeight="1" x14ac:dyDescent="0.25">
      <c r="A205" s="556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9"/>
      <c r="R206" s="549"/>
      <c r="S206" s="549"/>
      <c r="T206" s="550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9"/>
      <c r="R207" s="549"/>
      <c r="S207" s="549"/>
      <c r="T207" s="550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9"/>
      <c r="R208" s="549"/>
      <c r="S208" s="549"/>
      <c r="T208" s="550"/>
      <c r="U208" s="34"/>
      <c r="V208" s="34"/>
      <c r="W208" s="35" t="s">
        <v>69</v>
      </c>
      <c r="X208" s="539">
        <v>200</v>
      </c>
      <c r="Y208" s="540">
        <f t="shared" si="15"/>
        <v>200.1</v>
      </c>
      <c r="Z208" s="36">
        <f>IFERROR(IF(Y208=0,"",ROUNDUP(Y208/H208,0)*0.01898),"")</f>
        <v>0.43653999999999998</v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211.35632183908049</v>
      </c>
      <c r="BN208" s="64">
        <f t="shared" si="17"/>
        <v>211.46200000000005</v>
      </c>
      <c r="BO208" s="64">
        <f t="shared" si="18"/>
        <v>0.35919540229885061</v>
      </c>
      <c r="BP208" s="64">
        <f t="shared" si="19"/>
        <v>0.359375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9"/>
      <c r="R209" s="549"/>
      <c r="S209" s="549"/>
      <c r="T209" s="550"/>
      <c r="U209" s="34"/>
      <c r="V209" s="34"/>
      <c r="W209" s="35" t="s">
        <v>69</v>
      </c>
      <c r="X209" s="539">
        <v>280</v>
      </c>
      <c r="Y209" s="540">
        <f t="shared" si="15"/>
        <v>280.8</v>
      </c>
      <c r="Z209" s="36">
        <f t="shared" ref="Z209:Z214" si="20">IFERROR(IF(Y209=0,"",ROUNDUP(Y209/H209,0)*0.00651),"")</f>
        <v>0.76167000000000007</v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311.5</v>
      </c>
      <c r="BN209" s="64">
        <f t="shared" si="17"/>
        <v>312.39</v>
      </c>
      <c r="BO209" s="64">
        <f t="shared" si="18"/>
        <v>0.64102564102564108</v>
      </c>
      <c r="BP209" s="64">
        <f t="shared" si="19"/>
        <v>0.64285714285714302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9"/>
      <c r="R210" s="549"/>
      <c r="S210" s="549"/>
      <c r="T210" s="550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7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9"/>
      <c r="R211" s="549"/>
      <c r="S211" s="549"/>
      <c r="T211" s="550"/>
      <c r="U211" s="34"/>
      <c r="V211" s="34"/>
      <c r="W211" s="35" t="s">
        <v>69</v>
      </c>
      <c r="X211" s="539">
        <v>520</v>
      </c>
      <c r="Y211" s="540">
        <f t="shared" si="15"/>
        <v>520.79999999999995</v>
      </c>
      <c r="Z211" s="36">
        <f t="shared" si="20"/>
        <v>1.4126700000000001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574.6</v>
      </c>
      <c r="BN211" s="64">
        <f t="shared" si="17"/>
        <v>575.48400000000004</v>
      </c>
      <c r="BO211" s="64">
        <f t="shared" si="18"/>
        <v>1.1904761904761907</v>
      </c>
      <c r="BP211" s="64">
        <f t="shared" si="19"/>
        <v>1.1923076923076923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9"/>
      <c r="R212" s="549"/>
      <c r="S212" s="549"/>
      <c r="T212" s="550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9"/>
      <c r="R213" s="549"/>
      <c r="S213" s="549"/>
      <c r="T213" s="550"/>
      <c r="U213" s="34"/>
      <c r="V213" s="34"/>
      <c r="W213" s="35" t="s">
        <v>69</v>
      </c>
      <c r="X213" s="539">
        <v>120</v>
      </c>
      <c r="Y213" s="540">
        <f t="shared" si="15"/>
        <v>120</v>
      </c>
      <c r="Z213" s="36">
        <f t="shared" si="20"/>
        <v>0.32550000000000001</v>
      </c>
      <c r="AA213" s="56"/>
      <c r="AB213" s="57"/>
      <c r="AC213" s="257" t="s">
        <v>347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132.60000000000002</v>
      </c>
      <c r="BN213" s="64">
        <f t="shared" si="17"/>
        <v>132.60000000000002</v>
      </c>
      <c r="BO213" s="64">
        <f t="shared" si="18"/>
        <v>0.27472527472527475</v>
      </c>
      <c r="BP213" s="64">
        <f t="shared" si="19"/>
        <v>0.27472527472527475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9"/>
      <c r="R214" s="549"/>
      <c r="S214" s="549"/>
      <c r="T214" s="550"/>
      <c r="U214" s="34"/>
      <c r="V214" s="34"/>
      <c r="W214" s="35" t="s">
        <v>69</v>
      </c>
      <c r="X214" s="539">
        <v>200</v>
      </c>
      <c r="Y214" s="540">
        <f t="shared" si="15"/>
        <v>201.6</v>
      </c>
      <c r="Z214" s="36">
        <f t="shared" si="20"/>
        <v>0.54683999999999999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221.50000000000003</v>
      </c>
      <c r="BN214" s="64">
        <f t="shared" si="17"/>
        <v>223.27200000000002</v>
      </c>
      <c r="BO214" s="64">
        <f t="shared" si="18"/>
        <v>0.45787545787545797</v>
      </c>
      <c r="BP214" s="64">
        <f t="shared" si="19"/>
        <v>0.46153846153846156</v>
      </c>
    </row>
    <row r="215" spans="1:68" x14ac:dyDescent="0.2">
      <c r="A215" s="565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66"/>
      <c r="P215" s="545" t="s">
        <v>71</v>
      </c>
      <c r="Q215" s="546"/>
      <c r="R215" s="546"/>
      <c r="S215" s="546"/>
      <c r="T215" s="546"/>
      <c r="U215" s="546"/>
      <c r="V215" s="547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489.65517241379314</v>
      </c>
      <c r="Y215" s="541">
        <f>IFERROR(Y206/H206,"0")+IFERROR(Y207/H207,"0")+IFERROR(Y208/H208,"0")+IFERROR(Y209/H209,"0")+IFERROR(Y210/H210,"0")+IFERROR(Y211/H211,"0")+IFERROR(Y212/H212,"0")+IFERROR(Y213/H213,"0")+IFERROR(Y214/H214,"0")</f>
        <v>491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3.4832199999999998</v>
      </c>
      <c r="AA215" s="542"/>
      <c r="AB215" s="542"/>
      <c r="AC215" s="542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66"/>
      <c r="P216" s="545" t="s">
        <v>71</v>
      </c>
      <c r="Q216" s="546"/>
      <c r="R216" s="546"/>
      <c r="S216" s="546"/>
      <c r="T216" s="546"/>
      <c r="U216" s="546"/>
      <c r="V216" s="547"/>
      <c r="W216" s="37" t="s">
        <v>69</v>
      </c>
      <c r="X216" s="541">
        <f>IFERROR(SUM(X206:X214),"0")</f>
        <v>1320</v>
      </c>
      <c r="Y216" s="541">
        <f>IFERROR(SUM(Y206:Y214),"0")</f>
        <v>1323.2999999999997</v>
      </c>
      <c r="Z216" s="37"/>
      <c r="AA216" s="542"/>
      <c r="AB216" s="542"/>
      <c r="AC216" s="542"/>
    </row>
    <row r="217" spans="1:68" ht="14.25" hidden="1" customHeight="1" x14ac:dyDescent="0.25">
      <c r="A217" s="556" t="s">
        <v>163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5"/>
      <c r="AB217" s="535"/>
      <c r="AC217" s="535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213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9"/>
      <c r="R218" s="549"/>
      <c r="S218" s="549"/>
      <c r="T218" s="550"/>
      <c r="U218" s="34"/>
      <c r="V218" s="34"/>
      <c r="W218" s="35" t="s">
        <v>69</v>
      </c>
      <c r="X218" s="539">
        <v>12</v>
      </c>
      <c r="Y218" s="540">
        <f>IFERROR(IF(X218="",0,CEILING((X218/$H218),1)*$H218),"")</f>
        <v>12</v>
      </c>
      <c r="Z218" s="36">
        <f>IFERROR(IF(Y218=0,"",ROUNDUP(Y218/H218,0)*0.00651),"")</f>
        <v>3.2550000000000003E-2</v>
      </c>
      <c r="AA218" s="56"/>
      <c r="AB218" s="57"/>
      <c r="AC218" s="261" t="s">
        <v>352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13.260000000000002</v>
      </c>
      <c r="BN218" s="64">
        <f>IFERROR(Y218*I218/H218,"0")</f>
        <v>13.260000000000002</v>
      </c>
      <c r="BO218" s="64">
        <f>IFERROR(1/J218*(X218/H218),"0")</f>
        <v>2.7472527472527476E-2</v>
      </c>
      <c r="BP218" s="64">
        <f>IFERROR(1/J218*(Y218/H218),"0")</f>
        <v>2.7472527472527476E-2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213</v>
      </c>
      <c r="M219" s="33" t="s">
        <v>77</v>
      </c>
      <c r="N219" s="33"/>
      <c r="O219" s="32">
        <v>40</v>
      </c>
      <c r="P219" s="6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9"/>
      <c r="R219" s="549"/>
      <c r="S219" s="549"/>
      <c r="T219" s="550"/>
      <c r="U219" s="34"/>
      <c r="V219" s="34"/>
      <c r="W219" s="35" t="s">
        <v>69</v>
      </c>
      <c r="X219" s="539">
        <v>32</v>
      </c>
      <c r="Y219" s="540">
        <f>IFERROR(IF(X219="",0,CEILING((X219/$H219),1)*$H219),"")</f>
        <v>33.6</v>
      </c>
      <c r="Z219" s="36">
        <f>IFERROR(IF(Y219=0,"",ROUNDUP(Y219/H219,0)*0.00651),"")</f>
        <v>9.1139999999999999E-2</v>
      </c>
      <c r="AA219" s="56"/>
      <c r="AB219" s="57"/>
      <c r="AC219" s="263" t="s">
        <v>355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35.360000000000007</v>
      </c>
      <c r="BN219" s="64">
        <f>IFERROR(Y219*I219/H219,"0")</f>
        <v>37.128000000000007</v>
      </c>
      <c r="BO219" s="64">
        <f>IFERROR(1/J219*(X219/H219),"0")</f>
        <v>7.3260073260073263E-2</v>
      </c>
      <c r="BP219" s="64">
        <f>IFERROR(1/J219*(Y219/H219),"0")</f>
        <v>7.6923076923076941E-2</v>
      </c>
    </row>
    <row r="220" spans="1:68" x14ac:dyDescent="0.2">
      <c r="A220" s="565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66"/>
      <c r="P220" s="545" t="s">
        <v>71</v>
      </c>
      <c r="Q220" s="546"/>
      <c r="R220" s="546"/>
      <c r="S220" s="546"/>
      <c r="T220" s="546"/>
      <c r="U220" s="546"/>
      <c r="V220" s="547"/>
      <c r="W220" s="37" t="s">
        <v>72</v>
      </c>
      <c r="X220" s="541">
        <f>IFERROR(X218/H218,"0")+IFERROR(X219/H219,"0")</f>
        <v>18.333333333333336</v>
      </c>
      <c r="Y220" s="541">
        <f>IFERROR(Y218/H218,"0")+IFERROR(Y219/H219,"0")</f>
        <v>19</v>
      </c>
      <c r="Z220" s="541">
        <f>IFERROR(IF(Z218="",0,Z218),"0")+IFERROR(IF(Z219="",0,Z219),"0")</f>
        <v>0.12368999999999999</v>
      </c>
      <c r="AA220" s="542"/>
      <c r="AB220" s="542"/>
      <c r="AC220" s="542"/>
    </row>
    <row r="221" spans="1:68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66"/>
      <c r="P221" s="545" t="s">
        <v>71</v>
      </c>
      <c r="Q221" s="546"/>
      <c r="R221" s="546"/>
      <c r="S221" s="546"/>
      <c r="T221" s="546"/>
      <c r="U221" s="546"/>
      <c r="V221" s="547"/>
      <c r="W221" s="37" t="s">
        <v>69</v>
      </c>
      <c r="X221" s="541">
        <f>IFERROR(SUM(X218:X219),"0")</f>
        <v>44</v>
      </c>
      <c r="Y221" s="541">
        <f>IFERROR(SUM(Y218:Y219),"0")</f>
        <v>45.6</v>
      </c>
      <c r="Z221" s="37"/>
      <c r="AA221" s="542"/>
      <c r="AB221" s="542"/>
      <c r="AC221" s="542"/>
    </row>
    <row r="222" spans="1:68" ht="16.5" hidden="1" customHeight="1" x14ac:dyDescent="0.25">
      <c r="A222" s="553" t="s">
        <v>356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4"/>
      <c r="AB222" s="534"/>
      <c r="AC222" s="534"/>
    </row>
    <row r="223" spans="1:68" ht="14.25" hidden="1" customHeight="1" x14ac:dyDescent="0.25">
      <c r="A223" s="556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5"/>
      <c r="AB223" s="535"/>
      <c r="AC223" s="535"/>
    </row>
    <row r="224" spans="1:68" ht="27" customHeight="1" x14ac:dyDescent="0.25">
      <c r="A224" s="54" t="s">
        <v>357</v>
      </c>
      <c r="B224" s="54" t="s">
        <v>358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9"/>
      <c r="R224" s="549"/>
      <c r="S224" s="549"/>
      <c r="T224" s="550"/>
      <c r="U224" s="34"/>
      <c r="V224" s="34"/>
      <c r="W224" s="35" t="s">
        <v>69</v>
      </c>
      <c r="X224" s="539">
        <v>10</v>
      </c>
      <c r="Y224" s="540">
        <f t="shared" ref="Y224:Y233" si="21">IFERROR(IF(X224="",0,CEILING((X224/$H224),1)*$H224),"")</f>
        <v>11.6</v>
      </c>
      <c r="Z224" s="36">
        <f>IFERROR(IF(Y224=0,"",ROUNDUP(Y224/H224,0)*0.01898),"")</f>
        <v>1.898E-2</v>
      </c>
      <c r="AA224" s="56"/>
      <c r="AB224" s="57"/>
      <c r="AC224" s="265" t="s">
        <v>359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10.353448275862069</v>
      </c>
      <c r="BN224" s="64">
        <f t="shared" ref="BN224:BN233" si="23">IFERROR(Y224*I224/H224,"0")</f>
        <v>12.01</v>
      </c>
      <c r="BO224" s="64">
        <f t="shared" ref="BO224:BO233" si="24">IFERROR(1/J224*(X224/H224),"0")</f>
        <v>1.3469827586206897E-2</v>
      </c>
      <c r="BP224" s="64">
        <f t="shared" ref="BP224:BP233" si="25">IFERROR(1/J224*(Y224/H224),"0")</f>
        <v>1.5625E-2</v>
      </c>
    </row>
    <row r="225" spans="1:68" ht="27" hidden="1" customHeight="1" x14ac:dyDescent="0.25">
      <c r="A225" s="54" t="s">
        <v>360</v>
      </c>
      <c r="B225" s="54" t="s">
        <v>361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9"/>
      <c r="R225" s="549"/>
      <c r="S225" s="549"/>
      <c r="T225" s="550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9"/>
      <c r="R226" s="549"/>
      <c r="S226" s="549"/>
      <c r="T226" s="550"/>
      <c r="U226" s="34"/>
      <c r="V226" s="34"/>
      <c r="W226" s="35" t="s">
        <v>69</v>
      </c>
      <c r="X226" s="539">
        <v>30</v>
      </c>
      <c r="Y226" s="540">
        <f t="shared" si="21"/>
        <v>34.799999999999997</v>
      </c>
      <c r="Z226" s="36">
        <f>IFERROR(IF(Y226=0,"",ROUNDUP(Y226/H226,0)*0.01898),"")</f>
        <v>5.6940000000000004E-2</v>
      </c>
      <c r="AA226" s="56"/>
      <c r="AB226" s="57"/>
      <c r="AC226" s="269" t="s">
        <v>365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31.06034482758621</v>
      </c>
      <c r="BN226" s="64">
        <f t="shared" si="23"/>
        <v>36.03</v>
      </c>
      <c r="BO226" s="64">
        <f t="shared" si="24"/>
        <v>4.0409482758620691E-2</v>
      </c>
      <c r="BP226" s="64">
        <f t="shared" si="25"/>
        <v>4.6875E-2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 t="s">
        <v>110</v>
      </c>
      <c r="M227" s="33" t="s">
        <v>104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9"/>
      <c r="R227" s="549"/>
      <c r="S227" s="549"/>
      <c r="T227" s="550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366</v>
      </c>
      <c r="B228" s="54" t="s">
        <v>368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3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9"/>
      <c r="R228" s="549"/>
      <c r="S228" s="549"/>
      <c r="T228" s="550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370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9"/>
      <c r="R229" s="549"/>
      <c r="S229" s="549"/>
      <c r="T229" s="550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7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9"/>
      <c r="R230" s="549"/>
      <c r="S230" s="549"/>
      <c r="T230" s="550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61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9"/>
      <c r="R231" s="549"/>
      <c r="S231" s="549"/>
      <c r="T231" s="550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9"/>
      <c r="R232" s="549"/>
      <c r="S232" s="549"/>
      <c r="T232" s="550"/>
      <c r="U232" s="34"/>
      <c r="V232" s="34"/>
      <c r="W232" s="35" t="s">
        <v>69</v>
      </c>
      <c r="X232" s="539">
        <v>48</v>
      </c>
      <c r="Y232" s="540">
        <f t="shared" si="21"/>
        <v>48</v>
      </c>
      <c r="Z232" s="36">
        <f>IFERROR(IF(Y232=0,"",ROUNDUP(Y232/H232,0)*0.00902),"")</f>
        <v>0.10824</v>
      </c>
      <c r="AA232" s="56"/>
      <c r="AB232" s="57"/>
      <c r="AC232" s="281" t="s">
        <v>365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50.28</v>
      </c>
      <c r="BN232" s="64">
        <f t="shared" si="23"/>
        <v>50.28</v>
      </c>
      <c r="BO232" s="64">
        <f t="shared" si="24"/>
        <v>9.0909090909090912E-2</v>
      </c>
      <c r="BP232" s="64">
        <f t="shared" si="25"/>
        <v>9.0909090909090912E-2</v>
      </c>
    </row>
    <row r="233" spans="1:68" ht="27" hidden="1" customHeight="1" x14ac:dyDescent="0.25">
      <c r="A233" s="54" t="s">
        <v>376</v>
      </c>
      <c r="B233" s="54" t="s">
        <v>378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9"/>
      <c r="R233" s="549"/>
      <c r="S233" s="549"/>
      <c r="T233" s="550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5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66"/>
      <c r="P234" s="545" t="s">
        <v>71</v>
      </c>
      <c r="Q234" s="546"/>
      <c r="R234" s="546"/>
      <c r="S234" s="546"/>
      <c r="T234" s="546"/>
      <c r="U234" s="546"/>
      <c r="V234" s="547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15.448275862068966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16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0.18415999999999999</v>
      </c>
      <c r="AA234" s="542"/>
      <c r="AB234" s="542"/>
      <c r="AC234" s="542"/>
    </row>
    <row r="235" spans="1:68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66"/>
      <c r="P235" s="545" t="s">
        <v>71</v>
      </c>
      <c r="Q235" s="546"/>
      <c r="R235" s="546"/>
      <c r="S235" s="546"/>
      <c r="T235" s="546"/>
      <c r="U235" s="546"/>
      <c r="V235" s="547"/>
      <c r="W235" s="37" t="s">
        <v>69</v>
      </c>
      <c r="X235" s="541">
        <f>IFERROR(SUM(X224:X233),"0")</f>
        <v>88</v>
      </c>
      <c r="Y235" s="541">
        <f>IFERROR(SUM(Y224:Y233),"0")</f>
        <v>94.4</v>
      </c>
      <c r="Z235" s="37"/>
      <c r="AA235" s="542"/>
      <c r="AB235" s="542"/>
      <c r="AC235" s="542"/>
    </row>
    <row r="236" spans="1:68" ht="14.25" hidden="1" customHeight="1" x14ac:dyDescent="0.25">
      <c r="A236" s="556" t="s">
        <v>135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5"/>
      <c r="AB236" s="535"/>
      <c r="AC236" s="535"/>
    </row>
    <row r="237" spans="1:68" ht="27" hidden="1" customHeight="1" x14ac:dyDescent="0.25">
      <c r="A237" s="54" t="s">
        <v>379</v>
      </c>
      <c r="B237" s="54" t="s">
        <v>380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9"/>
      <c r="R237" s="549"/>
      <c r="S237" s="549"/>
      <c r="T237" s="550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65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66"/>
      <c r="P238" s="545" t="s">
        <v>71</v>
      </c>
      <c r="Q238" s="546"/>
      <c r="R238" s="546"/>
      <c r="S238" s="546"/>
      <c r="T238" s="546"/>
      <c r="U238" s="546"/>
      <c r="V238" s="547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66"/>
      <c r="P239" s="545" t="s">
        <v>71</v>
      </c>
      <c r="Q239" s="546"/>
      <c r="R239" s="546"/>
      <c r="S239" s="546"/>
      <c r="T239" s="546"/>
      <c r="U239" s="546"/>
      <c r="V239" s="547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6" t="s">
        <v>382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5"/>
      <c r="AB240" s="535"/>
      <c r="AC240" s="535"/>
    </row>
    <row r="241" spans="1:68" ht="27" hidden="1" customHeight="1" x14ac:dyDescent="0.25">
      <c r="A241" s="54" t="s">
        <v>383</v>
      </c>
      <c r="B241" s="54" t="s">
        <v>384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7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9"/>
      <c r="R241" s="549"/>
      <c r="S241" s="549"/>
      <c r="T241" s="550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65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66"/>
      <c r="P242" s="545" t="s">
        <v>71</v>
      </c>
      <c r="Q242" s="546"/>
      <c r="R242" s="546"/>
      <c r="S242" s="546"/>
      <c r="T242" s="546"/>
      <c r="U242" s="546"/>
      <c r="V242" s="547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66"/>
      <c r="P243" s="545" t="s">
        <v>71</v>
      </c>
      <c r="Q243" s="546"/>
      <c r="R243" s="546"/>
      <c r="S243" s="546"/>
      <c r="T243" s="546"/>
      <c r="U243" s="546"/>
      <c r="V243" s="547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6" t="s">
        <v>386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5"/>
      <c r="AB244" s="535"/>
      <c r="AC244" s="535"/>
    </row>
    <row r="245" spans="1:68" ht="27" hidden="1" customHeight="1" x14ac:dyDescent="0.25">
      <c r="A245" s="54" t="s">
        <v>387</v>
      </c>
      <c r="B245" s="54" t="s">
        <v>388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9"/>
      <c r="R245" s="549"/>
      <c r="S245" s="549"/>
      <c r="T245" s="550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9"/>
      <c r="R246" s="549"/>
      <c r="S246" s="549"/>
      <c r="T246" s="550"/>
      <c r="U246" s="34"/>
      <c r="V246" s="34"/>
      <c r="W246" s="35" t="s">
        <v>69</v>
      </c>
      <c r="X246" s="539">
        <v>3.5</v>
      </c>
      <c r="Y246" s="540">
        <f>IFERROR(IF(X246="",0,CEILING((X246/$H246),1)*$H246),"")</f>
        <v>3.6</v>
      </c>
      <c r="Z246" s="36">
        <f>IFERROR(IF(Y246=0,"",ROUNDUP(Y246/H246,0)*0.0059),"")</f>
        <v>1.18E-2</v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3.8402777777777781</v>
      </c>
      <c r="BN246" s="64">
        <f>IFERROR(Y246*I246/H246,"0")</f>
        <v>3.95</v>
      </c>
      <c r="BO246" s="64">
        <f>IFERROR(1/J246*(X246/H246),"0")</f>
        <v>9.0020576131687232E-3</v>
      </c>
      <c r="BP246" s="64">
        <f>IFERROR(1/J246*(Y246/H246),"0")</f>
        <v>9.2592592592592587E-3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9"/>
      <c r="R247" s="549"/>
      <c r="S247" s="549"/>
      <c r="T247" s="550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9"/>
      <c r="R248" s="549"/>
      <c r="S248" s="549"/>
      <c r="T248" s="550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71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9"/>
      <c r="R249" s="549"/>
      <c r="S249" s="549"/>
      <c r="T249" s="550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5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66"/>
      <c r="P250" s="545" t="s">
        <v>71</v>
      </c>
      <c r="Q250" s="546"/>
      <c r="R250" s="546"/>
      <c r="S250" s="546"/>
      <c r="T250" s="546"/>
      <c r="U250" s="546"/>
      <c r="V250" s="547"/>
      <c r="W250" s="37" t="s">
        <v>72</v>
      </c>
      <c r="X250" s="541">
        <f>IFERROR(X245/H245,"0")+IFERROR(X246/H246,"0")+IFERROR(X247/H247,"0")+IFERROR(X248/H248,"0")+IFERROR(X249/H249,"0")</f>
        <v>1.9444444444444444</v>
      </c>
      <c r="Y250" s="541">
        <f>IFERROR(Y245/H245,"0")+IFERROR(Y246/H246,"0")+IFERROR(Y247/H247,"0")+IFERROR(Y248/H248,"0")+IFERROR(Y249/H249,"0")</f>
        <v>2</v>
      </c>
      <c r="Z250" s="541">
        <f>IFERROR(IF(Z245="",0,Z245),"0")+IFERROR(IF(Z246="",0,Z246),"0")+IFERROR(IF(Z247="",0,Z247),"0")+IFERROR(IF(Z248="",0,Z248),"0")+IFERROR(IF(Z249="",0,Z249),"0")</f>
        <v>1.18E-2</v>
      </c>
      <c r="AA250" s="542"/>
      <c r="AB250" s="542"/>
      <c r="AC250" s="542"/>
    </row>
    <row r="251" spans="1:68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66"/>
      <c r="P251" s="545" t="s">
        <v>71</v>
      </c>
      <c r="Q251" s="546"/>
      <c r="R251" s="546"/>
      <c r="S251" s="546"/>
      <c r="T251" s="546"/>
      <c r="U251" s="546"/>
      <c r="V251" s="547"/>
      <c r="W251" s="37" t="s">
        <v>69</v>
      </c>
      <c r="X251" s="541">
        <f>IFERROR(SUM(X245:X249),"0")</f>
        <v>3.5</v>
      </c>
      <c r="Y251" s="541">
        <f>IFERROR(SUM(Y245:Y249),"0")</f>
        <v>3.6</v>
      </c>
      <c r="Z251" s="37"/>
      <c r="AA251" s="542"/>
      <c r="AB251" s="542"/>
      <c r="AC251" s="542"/>
    </row>
    <row r="252" spans="1:68" ht="16.5" hidden="1" customHeight="1" x14ac:dyDescent="0.25">
      <c r="A252" s="553" t="s">
        <v>398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4"/>
      <c r="AB252" s="534"/>
      <c r="AC252" s="534"/>
    </row>
    <row r="253" spans="1:68" ht="14.25" hidden="1" customHeight="1" x14ac:dyDescent="0.25">
      <c r="A253" s="556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5"/>
      <c r="AB253" s="535"/>
      <c r="AC253" s="535"/>
    </row>
    <row r="254" spans="1:68" ht="27" hidden="1" customHeight="1" x14ac:dyDescent="0.25">
      <c r="A254" s="54" t="s">
        <v>399</v>
      </c>
      <c r="B254" s="54" t="s">
        <v>400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9"/>
      <c r="R254" s="549"/>
      <c r="S254" s="549"/>
      <c r="T254" s="550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402</v>
      </c>
      <c r="B255" s="54" t="s">
        <v>403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9"/>
      <c r="R255" s="549"/>
      <c r="S255" s="549"/>
      <c r="T255" s="550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405</v>
      </c>
      <c r="B256" s="54" t="s">
        <v>406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9"/>
      <c r="R256" s="549"/>
      <c r="S256" s="549"/>
      <c r="T256" s="550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9"/>
      <c r="R257" s="549"/>
      <c r="S257" s="549"/>
      <c r="T257" s="550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411</v>
      </c>
      <c r="B258" s="54" t="s">
        <v>412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9"/>
      <c r="R258" s="549"/>
      <c r="S258" s="549"/>
      <c r="T258" s="550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5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66"/>
      <c r="P259" s="545" t="s">
        <v>71</v>
      </c>
      <c r="Q259" s="546"/>
      <c r="R259" s="546"/>
      <c r="S259" s="546"/>
      <c r="T259" s="546"/>
      <c r="U259" s="546"/>
      <c r="V259" s="547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66"/>
      <c r="P260" s="545" t="s">
        <v>71</v>
      </c>
      <c r="Q260" s="546"/>
      <c r="R260" s="546"/>
      <c r="S260" s="546"/>
      <c r="T260" s="546"/>
      <c r="U260" s="546"/>
      <c r="V260" s="547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53" t="s">
        <v>414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4"/>
      <c r="AB261" s="534"/>
      <c r="AC261" s="534"/>
    </row>
    <row r="262" spans="1:68" ht="14.25" hidden="1" customHeight="1" x14ac:dyDescent="0.25">
      <c r="A262" s="556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5"/>
      <c r="AB262" s="535"/>
      <c r="AC262" s="535"/>
    </row>
    <row r="263" spans="1:68" ht="27" hidden="1" customHeight="1" x14ac:dyDescent="0.25">
      <c r="A263" s="54" t="s">
        <v>415</v>
      </c>
      <c r="B263" s="54" t="s">
        <v>416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9"/>
      <c r="R263" s="549"/>
      <c r="S263" s="549"/>
      <c r="T263" s="550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417</v>
      </c>
      <c r="B264" s="54" t="s">
        <v>418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9"/>
      <c r="R264" s="549"/>
      <c r="S264" s="549"/>
      <c r="T264" s="550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9"/>
      <c r="R265" s="549"/>
      <c r="S265" s="549"/>
      <c r="T265" s="550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422</v>
      </c>
      <c r="B266" s="54" t="s">
        <v>423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9"/>
      <c r="R266" s="549"/>
      <c r="S266" s="549"/>
      <c r="T266" s="550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5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66"/>
      <c r="P267" s="545" t="s">
        <v>71</v>
      </c>
      <c r="Q267" s="546"/>
      <c r="R267" s="546"/>
      <c r="S267" s="546"/>
      <c r="T267" s="546"/>
      <c r="U267" s="546"/>
      <c r="V267" s="547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66"/>
      <c r="P268" s="545" t="s">
        <v>71</v>
      </c>
      <c r="Q268" s="546"/>
      <c r="R268" s="546"/>
      <c r="S268" s="546"/>
      <c r="T268" s="546"/>
      <c r="U268" s="546"/>
      <c r="V268" s="547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53" t="s">
        <v>425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4"/>
      <c r="AB269" s="534"/>
      <c r="AC269" s="534"/>
    </row>
    <row r="270" spans="1:68" ht="14.25" hidden="1" customHeight="1" x14ac:dyDescent="0.25">
      <c r="A270" s="556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5"/>
      <c r="AB270" s="535"/>
      <c r="AC270" s="535"/>
    </row>
    <row r="271" spans="1:68" ht="27" hidden="1" customHeight="1" x14ac:dyDescent="0.25">
      <c r="A271" s="54" t="s">
        <v>426</v>
      </c>
      <c r="B271" s="54" t="s">
        <v>427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9"/>
      <c r="R271" s="549"/>
      <c r="S271" s="549"/>
      <c r="T271" s="550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6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9"/>
      <c r="R272" s="549"/>
      <c r="S272" s="549"/>
      <c r="T272" s="550"/>
      <c r="U272" s="34"/>
      <c r="V272" s="34"/>
      <c r="W272" s="35" t="s">
        <v>69</v>
      </c>
      <c r="X272" s="539">
        <v>80</v>
      </c>
      <c r="Y272" s="540">
        <f>IFERROR(IF(X272="",0,CEILING((X272/$H272),1)*$H272),"")</f>
        <v>81.599999999999994</v>
      </c>
      <c r="Z272" s="36">
        <f>IFERROR(IF(Y272=0,"",ROUNDUP(Y272/H272,0)*0.00651),"")</f>
        <v>0.22134000000000001</v>
      </c>
      <c r="AA272" s="56"/>
      <c r="AB272" s="57"/>
      <c r="AC272" s="319" t="s">
        <v>431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88.40000000000002</v>
      </c>
      <c r="BN272" s="64">
        <f>IFERROR(Y272*I272/H272,"0")</f>
        <v>90.168000000000006</v>
      </c>
      <c r="BO272" s="64">
        <f>IFERROR(1/J272*(X272/H272),"0")</f>
        <v>0.18315018315018317</v>
      </c>
      <c r="BP272" s="64">
        <f>IFERROR(1/J272*(Y272/H272),"0")</f>
        <v>0.18681318681318682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9"/>
      <c r="R273" s="549"/>
      <c r="S273" s="549"/>
      <c r="T273" s="550"/>
      <c r="U273" s="34"/>
      <c r="V273" s="34"/>
      <c r="W273" s="35" t="s">
        <v>69</v>
      </c>
      <c r="X273" s="539">
        <v>140</v>
      </c>
      <c r="Y273" s="540">
        <f>IFERROR(IF(X273="",0,CEILING((X273/$H273),1)*$H273),"")</f>
        <v>141.6</v>
      </c>
      <c r="Z273" s="36">
        <f>IFERROR(IF(Y273=0,"",ROUNDUP(Y273/H273,0)*0.00651),"")</f>
        <v>0.38408999999999999</v>
      </c>
      <c r="AA273" s="56"/>
      <c r="AB273" s="57"/>
      <c r="AC273" s="321" t="s">
        <v>428</v>
      </c>
      <c r="AG273" s="64"/>
      <c r="AJ273" s="68"/>
      <c r="AK273" s="68">
        <v>0</v>
      </c>
      <c r="BB273" s="322" t="s">
        <v>1</v>
      </c>
      <c r="BM273" s="64">
        <f>IFERROR(X273*I273/H273,"0")</f>
        <v>150.5</v>
      </c>
      <c r="BN273" s="64">
        <f>IFERROR(Y273*I273/H273,"0")</f>
        <v>152.22</v>
      </c>
      <c r="BO273" s="64">
        <f>IFERROR(1/J273*(X273/H273),"0")</f>
        <v>0.32051282051282054</v>
      </c>
      <c r="BP273" s="64">
        <f>IFERROR(1/J273*(Y273/H273),"0")</f>
        <v>0.32417582417582419</v>
      </c>
    </row>
    <row r="274" spans="1:68" x14ac:dyDescent="0.2">
      <c r="A274" s="565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66"/>
      <c r="P274" s="545" t="s">
        <v>71</v>
      </c>
      <c r="Q274" s="546"/>
      <c r="R274" s="546"/>
      <c r="S274" s="546"/>
      <c r="T274" s="546"/>
      <c r="U274" s="546"/>
      <c r="V274" s="547"/>
      <c r="W274" s="37" t="s">
        <v>72</v>
      </c>
      <c r="X274" s="541">
        <f>IFERROR(X271/H271,"0")+IFERROR(X272/H272,"0")+IFERROR(X273/H273,"0")</f>
        <v>91.666666666666671</v>
      </c>
      <c r="Y274" s="541">
        <f>IFERROR(Y271/H271,"0")+IFERROR(Y272/H272,"0")+IFERROR(Y273/H273,"0")</f>
        <v>93</v>
      </c>
      <c r="Z274" s="541">
        <f>IFERROR(IF(Z271="",0,Z271),"0")+IFERROR(IF(Z272="",0,Z272),"0")+IFERROR(IF(Z273="",0,Z273),"0")</f>
        <v>0.60543000000000002</v>
      </c>
      <c r="AA274" s="542"/>
      <c r="AB274" s="542"/>
      <c r="AC274" s="542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66"/>
      <c r="P275" s="545" t="s">
        <v>71</v>
      </c>
      <c r="Q275" s="546"/>
      <c r="R275" s="546"/>
      <c r="S275" s="546"/>
      <c r="T275" s="546"/>
      <c r="U275" s="546"/>
      <c r="V275" s="547"/>
      <c r="W275" s="37" t="s">
        <v>69</v>
      </c>
      <c r="X275" s="541">
        <f>IFERROR(SUM(X271:X273),"0")</f>
        <v>220</v>
      </c>
      <c r="Y275" s="541">
        <f>IFERROR(SUM(Y271:Y273),"0")</f>
        <v>223.2</v>
      </c>
      <c r="Z275" s="37"/>
      <c r="AA275" s="542"/>
      <c r="AB275" s="542"/>
      <c r="AC275" s="542"/>
    </row>
    <row r="276" spans="1:68" ht="16.5" hidden="1" customHeight="1" x14ac:dyDescent="0.25">
      <c r="A276" s="553" t="s">
        <v>434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4"/>
      <c r="AB276" s="534"/>
      <c r="AC276" s="534"/>
    </row>
    <row r="277" spans="1:68" ht="14.25" hidden="1" customHeight="1" x14ac:dyDescent="0.25">
      <c r="A277" s="556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5"/>
      <c r="AB277" s="535"/>
      <c r="AC277" s="535"/>
    </row>
    <row r="278" spans="1:68" ht="27" hidden="1" customHeight="1" x14ac:dyDescent="0.25">
      <c r="A278" s="54" t="s">
        <v>435</v>
      </c>
      <c r="B278" s="54" t="s">
        <v>436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9"/>
      <c r="R278" s="549"/>
      <c r="S278" s="549"/>
      <c r="T278" s="550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438</v>
      </c>
      <c r="B279" s="54" t="s">
        <v>439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3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9"/>
      <c r="R279" s="549"/>
      <c r="S279" s="549"/>
      <c r="T279" s="550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65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66"/>
      <c r="P280" s="545" t="s">
        <v>71</v>
      </c>
      <c r="Q280" s="546"/>
      <c r="R280" s="546"/>
      <c r="S280" s="546"/>
      <c r="T280" s="546"/>
      <c r="U280" s="546"/>
      <c r="V280" s="547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66"/>
      <c r="P281" s="545" t="s">
        <v>71</v>
      </c>
      <c r="Q281" s="546"/>
      <c r="R281" s="546"/>
      <c r="S281" s="546"/>
      <c r="T281" s="546"/>
      <c r="U281" s="546"/>
      <c r="V281" s="547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6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5"/>
      <c r="AB282" s="535"/>
      <c r="AC282" s="535"/>
    </row>
    <row r="283" spans="1:68" ht="37.5" hidden="1" customHeight="1" x14ac:dyDescent="0.25">
      <c r="A283" s="54" t="s">
        <v>441</v>
      </c>
      <c r="B283" s="54" t="s">
        <v>442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71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9"/>
      <c r="R283" s="549"/>
      <c r="S283" s="549"/>
      <c r="T283" s="550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444</v>
      </c>
      <c r="B284" s="54" t="s">
        <v>445</v>
      </c>
      <c r="C284" s="31">
        <v>4301052057</v>
      </c>
      <c r="D284" s="543">
        <v>4680115887114</v>
      </c>
      <c r="E284" s="544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6" t="s">
        <v>446</v>
      </c>
      <c r="Q284" s="549"/>
      <c r="R284" s="549"/>
      <c r="S284" s="549"/>
      <c r="T284" s="550"/>
      <c r="U284" s="34"/>
      <c r="V284" s="34"/>
      <c r="W284" s="35" t="s">
        <v>69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5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66"/>
      <c r="P285" s="545" t="s">
        <v>71</v>
      </c>
      <c r="Q285" s="546"/>
      <c r="R285" s="546"/>
      <c r="S285" s="546"/>
      <c r="T285" s="546"/>
      <c r="U285" s="546"/>
      <c r="V285" s="547"/>
      <c r="W285" s="37" t="s">
        <v>72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66"/>
      <c r="P286" s="545" t="s">
        <v>71</v>
      </c>
      <c r="Q286" s="546"/>
      <c r="R286" s="546"/>
      <c r="S286" s="546"/>
      <c r="T286" s="546"/>
      <c r="U286" s="546"/>
      <c r="V286" s="547"/>
      <c r="W286" s="37" t="s">
        <v>69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hidden="1" customHeight="1" x14ac:dyDescent="0.25">
      <c r="A287" s="553" t="s">
        <v>448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4"/>
      <c r="AB287" s="534"/>
      <c r="AC287" s="534"/>
    </row>
    <row r="288" spans="1:68" ht="14.25" hidden="1" customHeight="1" x14ac:dyDescent="0.25">
      <c r="A288" s="556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5"/>
      <c r="AB288" s="535"/>
      <c r="AC288" s="535"/>
    </row>
    <row r="289" spans="1:68" ht="27" hidden="1" customHeight="1" x14ac:dyDescent="0.25">
      <c r="A289" s="54" t="s">
        <v>449</v>
      </c>
      <c r="B289" s="54" t="s">
        <v>450</v>
      </c>
      <c r="C289" s="31">
        <v>4301012024</v>
      </c>
      <c r="D289" s="543">
        <v>4680115885615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9"/>
      <c r="R289" s="549"/>
      <c r="S289" s="549"/>
      <c r="T289" s="550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452</v>
      </c>
      <c r="B290" s="54" t="s">
        <v>453</v>
      </c>
      <c r="C290" s="31">
        <v>4301011858</v>
      </c>
      <c r="D290" s="543">
        <v>4680115885646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9"/>
      <c r="R290" s="549"/>
      <c r="S290" s="549"/>
      <c r="T290" s="550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455</v>
      </c>
      <c r="B291" s="54" t="s">
        <v>456</v>
      </c>
      <c r="C291" s="31">
        <v>4301012016</v>
      </c>
      <c r="D291" s="543">
        <v>4680115885554</v>
      </c>
      <c r="E291" s="544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9"/>
      <c r="R291" s="549"/>
      <c r="S291" s="549"/>
      <c r="T291" s="550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4301011857</v>
      </c>
      <c r="D292" s="543">
        <v>4680115885622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9"/>
      <c r="R292" s="549"/>
      <c r="S292" s="549"/>
      <c r="T292" s="550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460</v>
      </c>
      <c r="B293" s="54" t="s">
        <v>461</v>
      </c>
      <c r="C293" s="31">
        <v>4301011859</v>
      </c>
      <c r="D293" s="543">
        <v>4680115885608</v>
      </c>
      <c r="E293" s="544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3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9"/>
      <c r="R293" s="549"/>
      <c r="S293" s="549"/>
      <c r="T293" s="550"/>
      <c r="U293" s="34"/>
      <c r="V293" s="34"/>
      <c r="W293" s="35" t="s">
        <v>69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5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66"/>
      <c r="P294" s="545" t="s">
        <v>71</v>
      </c>
      <c r="Q294" s="546"/>
      <c r="R294" s="546"/>
      <c r="S294" s="546"/>
      <c r="T294" s="546"/>
      <c r="U294" s="546"/>
      <c r="V294" s="547"/>
      <c r="W294" s="37" t="s">
        <v>72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66"/>
      <c r="P295" s="545" t="s">
        <v>71</v>
      </c>
      <c r="Q295" s="546"/>
      <c r="R295" s="546"/>
      <c r="S295" s="546"/>
      <c r="T295" s="546"/>
      <c r="U295" s="546"/>
      <c r="V295" s="547"/>
      <c r="W295" s="37" t="s">
        <v>69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hidden="1" customHeight="1" x14ac:dyDescent="0.25">
      <c r="A296" s="556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5"/>
      <c r="AB296" s="535"/>
      <c r="AC296" s="535"/>
    </row>
    <row r="297" spans="1:68" ht="27" hidden="1" customHeight="1" x14ac:dyDescent="0.25">
      <c r="A297" s="54" t="s">
        <v>463</v>
      </c>
      <c r="B297" s="54" t="s">
        <v>464</v>
      </c>
      <c r="C297" s="31">
        <v>4301030878</v>
      </c>
      <c r="D297" s="543">
        <v>4607091387193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3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9"/>
      <c r="R297" s="549"/>
      <c r="S297" s="549"/>
      <c r="T297" s="550"/>
      <c r="U297" s="34"/>
      <c r="V297" s="34"/>
      <c r="W297" s="35" t="s">
        <v>69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466</v>
      </c>
      <c r="B298" s="54" t="s">
        <v>467</v>
      </c>
      <c r="C298" s="31">
        <v>4301031153</v>
      </c>
      <c r="D298" s="543">
        <v>4607091387230</v>
      </c>
      <c r="E298" s="544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9"/>
      <c r="R298" s="549"/>
      <c r="S298" s="549"/>
      <c r="T298" s="550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4301031154</v>
      </c>
      <c r="D299" s="543">
        <v>4607091387292</v>
      </c>
      <c r="E299" s="544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9"/>
      <c r="R299" s="549"/>
      <c r="S299" s="549"/>
      <c r="T299" s="550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4301031152</v>
      </c>
      <c r="D300" s="543">
        <v>4607091387285</v>
      </c>
      <c r="E300" s="544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67</v>
      </c>
      <c r="L300" s="32" t="s">
        <v>267</v>
      </c>
      <c r="M300" s="33" t="s">
        <v>68</v>
      </c>
      <c r="N300" s="33"/>
      <c r="O300" s="32">
        <v>40</v>
      </c>
      <c r="P300" s="6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9"/>
      <c r="R300" s="549"/>
      <c r="S300" s="549"/>
      <c r="T300" s="550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3">
        <v>4607091389845</v>
      </c>
      <c r="E301" s="544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9"/>
      <c r="R301" s="549"/>
      <c r="S301" s="549"/>
      <c r="T301" s="550"/>
      <c r="U301" s="34"/>
      <c r="V301" s="34"/>
      <c r="W301" s="35" t="s">
        <v>69</v>
      </c>
      <c r="X301" s="539">
        <v>175</v>
      </c>
      <c r="Y301" s="540">
        <f t="shared" si="26"/>
        <v>176.4</v>
      </c>
      <c r="Z301" s="36">
        <f>IFERROR(IF(Y301=0,"",ROUNDUP(Y301/H301,0)*0.00502),"")</f>
        <v>0.42168</v>
      </c>
      <c r="AA301" s="56"/>
      <c r="AB301" s="57"/>
      <c r="AC301" s="349" t="s">
        <v>476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183.33333333333334</v>
      </c>
      <c r="BN301" s="64">
        <f t="shared" si="28"/>
        <v>184.8</v>
      </c>
      <c r="BO301" s="64">
        <f t="shared" si="29"/>
        <v>0.35612535612535612</v>
      </c>
      <c r="BP301" s="64">
        <f t="shared" si="30"/>
        <v>0.35897435897435903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4301031306</v>
      </c>
      <c r="D302" s="543">
        <v>4680115882881</v>
      </c>
      <c r="E302" s="544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61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9"/>
      <c r="R302" s="549"/>
      <c r="S302" s="549"/>
      <c r="T302" s="550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4301031066</v>
      </c>
      <c r="D303" s="543">
        <v>4607091383836</v>
      </c>
      <c r="E303" s="544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76</v>
      </c>
      <c r="L303" s="32" t="s">
        <v>213</v>
      </c>
      <c r="M303" s="33" t="s">
        <v>68</v>
      </c>
      <c r="N303" s="33"/>
      <c r="O303" s="32">
        <v>40</v>
      </c>
      <c r="P303" s="67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9"/>
      <c r="R303" s="549"/>
      <c r="S303" s="549"/>
      <c r="T303" s="550"/>
      <c r="U303" s="34"/>
      <c r="V303" s="34"/>
      <c r="W303" s="35" t="s">
        <v>69</v>
      </c>
      <c r="X303" s="539">
        <v>21</v>
      </c>
      <c r="Y303" s="540">
        <f t="shared" si="26"/>
        <v>21.6</v>
      </c>
      <c r="Z303" s="36">
        <f>IFERROR(IF(Y303=0,"",ROUNDUP(Y303/H303,0)*0.00651),"")</f>
        <v>7.8119999999999995E-2</v>
      </c>
      <c r="AA303" s="56"/>
      <c r="AB303" s="57"/>
      <c r="AC303" s="353" t="s">
        <v>481</v>
      </c>
      <c r="AG303" s="64"/>
      <c r="AJ303" s="68" t="s">
        <v>106</v>
      </c>
      <c r="AK303" s="68">
        <v>25.2</v>
      </c>
      <c r="BB303" s="354" t="s">
        <v>1</v>
      </c>
      <c r="BM303" s="64">
        <f t="shared" si="27"/>
        <v>23.66</v>
      </c>
      <c r="BN303" s="64">
        <f t="shared" si="28"/>
        <v>24.335999999999999</v>
      </c>
      <c r="BO303" s="64">
        <f t="shared" si="29"/>
        <v>6.4102564102564111E-2</v>
      </c>
      <c r="BP303" s="64">
        <f t="shared" si="30"/>
        <v>6.5934065934065936E-2</v>
      </c>
    </row>
    <row r="304" spans="1:68" x14ac:dyDescent="0.2">
      <c r="A304" s="565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66"/>
      <c r="P304" s="545" t="s">
        <v>71</v>
      </c>
      <c r="Q304" s="546"/>
      <c r="R304" s="546"/>
      <c r="S304" s="546"/>
      <c r="T304" s="546"/>
      <c r="U304" s="546"/>
      <c r="V304" s="547"/>
      <c r="W304" s="37" t="s">
        <v>72</v>
      </c>
      <c r="X304" s="541">
        <f>IFERROR(X297/H297,"0")+IFERROR(X298/H298,"0")+IFERROR(X299/H299,"0")+IFERROR(X300/H300,"0")+IFERROR(X301/H301,"0")+IFERROR(X302/H302,"0")+IFERROR(X303/H303,"0")</f>
        <v>95</v>
      </c>
      <c r="Y304" s="541">
        <f>IFERROR(Y297/H297,"0")+IFERROR(Y298/H298,"0")+IFERROR(Y299/H299,"0")+IFERROR(Y300/H300,"0")+IFERROR(Y301/H301,"0")+IFERROR(Y302/H302,"0")+IFERROR(Y303/H303,"0")</f>
        <v>96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0.49980000000000002</v>
      </c>
      <c r="AA304" s="542"/>
      <c r="AB304" s="542"/>
      <c r="AC304" s="542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66"/>
      <c r="P305" s="545" t="s">
        <v>71</v>
      </c>
      <c r="Q305" s="546"/>
      <c r="R305" s="546"/>
      <c r="S305" s="546"/>
      <c r="T305" s="546"/>
      <c r="U305" s="546"/>
      <c r="V305" s="547"/>
      <c r="W305" s="37" t="s">
        <v>69</v>
      </c>
      <c r="X305" s="541">
        <f>IFERROR(SUM(X297:X303),"0")</f>
        <v>196</v>
      </c>
      <c r="Y305" s="541">
        <f>IFERROR(SUM(Y297:Y303),"0")</f>
        <v>198</v>
      </c>
      <c r="Z305" s="37"/>
      <c r="AA305" s="542"/>
      <c r="AB305" s="542"/>
      <c r="AC305" s="542"/>
    </row>
    <row r="306" spans="1:68" ht="14.25" hidden="1" customHeight="1" x14ac:dyDescent="0.25">
      <c r="A306" s="556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5"/>
      <c r="AB306" s="535"/>
      <c r="AC306" s="535"/>
    </row>
    <row r="307" spans="1:68" ht="27" hidden="1" customHeight="1" x14ac:dyDescent="0.25">
      <c r="A307" s="54" t="s">
        <v>482</v>
      </c>
      <c r="B307" s="54" t="s">
        <v>483</v>
      </c>
      <c r="C307" s="31">
        <v>4301051100</v>
      </c>
      <c r="D307" s="543">
        <v>4607091387766</v>
      </c>
      <c r="E307" s="544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9"/>
      <c r="R307" s="549"/>
      <c r="S307" s="549"/>
      <c r="T307" s="550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4301051818</v>
      </c>
      <c r="D308" s="543">
        <v>4607091387957</v>
      </c>
      <c r="E308" s="544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9"/>
      <c r="R308" s="549"/>
      <c r="S308" s="549"/>
      <c r="T308" s="550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4301051819</v>
      </c>
      <c r="D309" s="543">
        <v>4607091387964</v>
      </c>
      <c r="E309" s="544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9"/>
      <c r="R309" s="549"/>
      <c r="S309" s="549"/>
      <c r="T309" s="550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4301051734</v>
      </c>
      <c r="D310" s="543">
        <v>4680115884588</v>
      </c>
      <c r="E310" s="544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9"/>
      <c r="R310" s="549"/>
      <c r="S310" s="549"/>
      <c r="T310" s="550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65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66"/>
      <c r="P311" s="545" t="s">
        <v>71</v>
      </c>
      <c r="Q311" s="546"/>
      <c r="R311" s="546"/>
      <c r="S311" s="546"/>
      <c r="T311" s="546"/>
      <c r="U311" s="546"/>
      <c r="V311" s="547"/>
      <c r="W311" s="37" t="s">
        <v>72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66"/>
      <c r="P312" s="545" t="s">
        <v>71</v>
      </c>
      <c r="Q312" s="546"/>
      <c r="R312" s="546"/>
      <c r="S312" s="546"/>
      <c r="T312" s="546"/>
      <c r="U312" s="546"/>
      <c r="V312" s="547"/>
      <c r="W312" s="37" t="s">
        <v>69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6" t="s">
        <v>163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9"/>
      <c r="R314" s="549"/>
      <c r="S314" s="549"/>
      <c r="T314" s="550"/>
      <c r="U314" s="34"/>
      <c r="V314" s="34"/>
      <c r="W314" s="35" t="s">
        <v>69</v>
      </c>
      <c r="X314" s="539">
        <v>40</v>
      </c>
      <c r="Y314" s="540">
        <f>IFERROR(IF(X314="",0,CEILING((X314/$H314),1)*$H314),"")</f>
        <v>42</v>
      </c>
      <c r="Z314" s="36">
        <f>IFERROR(IF(Y314=0,"",ROUNDUP(Y314/H314,0)*0.01898),"")</f>
        <v>9.4899999999999998E-2</v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42.352380952380948</v>
      </c>
      <c r="BN314" s="64">
        <f>IFERROR(Y314*I314/H314,"0")</f>
        <v>44.47</v>
      </c>
      <c r="BO314" s="64">
        <f>IFERROR(1/J314*(X314/H314),"0")</f>
        <v>7.4404761904761904E-2</v>
      </c>
      <c r="BP314" s="64">
        <f>IFERROR(1/J314*(Y314/H314),"0")</f>
        <v>7.8125E-2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9"/>
      <c r="R315" s="549"/>
      <c r="S315" s="549"/>
      <c r="T315" s="550"/>
      <c r="U315" s="34"/>
      <c r="V315" s="34"/>
      <c r="W315" s="35" t="s">
        <v>69</v>
      </c>
      <c r="X315" s="539">
        <v>300</v>
      </c>
      <c r="Y315" s="540">
        <f>IFERROR(IF(X315="",0,CEILING((X315/$H315),1)*$H315),"")</f>
        <v>304.2</v>
      </c>
      <c r="Z315" s="36">
        <f>IFERROR(IF(Y315=0,"",ROUNDUP(Y315/H315,0)*0.01898),"")</f>
        <v>0.74021999999999999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319.00000000000006</v>
      </c>
      <c r="BN315" s="64">
        <f>IFERROR(Y315*I315/H315,"0")</f>
        <v>323.46600000000001</v>
      </c>
      <c r="BO315" s="64">
        <f>IFERROR(1/J315*(X315/H315),"0")</f>
        <v>0.60096153846153844</v>
      </c>
      <c r="BP315" s="64">
        <f>IFERROR(1/J315*(Y315/H315),"0")</f>
        <v>0.609375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9"/>
      <c r="R316" s="549"/>
      <c r="S316" s="549"/>
      <c r="T316" s="550"/>
      <c r="U316" s="34"/>
      <c r="V316" s="34"/>
      <c r="W316" s="35" t="s">
        <v>69</v>
      </c>
      <c r="X316" s="539">
        <v>300</v>
      </c>
      <c r="Y316" s="540">
        <f>IFERROR(IF(X316="",0,CEILING((X316/$H316),1)*$H316),"")</f>
        <v>302.40000000000003</v>
      </c>
      <c r="Z316" s="36">
        <f>IFERROR(IF(Y316=0,"",ROUNDUP(Y316/H316,0)*0.01898),"")</f>
        <v>0.68328</v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317.64285714285711</v>
      </c>
      <c r="BN316" s="64">
        <f>IFERROR(Y316*I316/H316,"0")</f>
        <v>320.18400000000003</v>
      </c>
      <c r="BO316" s="64">
        <f>IFERROR(1/J316*(X316/H316),"0")</f>
        <v>0.5580357142857143</v>
      </c>
      <c r="BP316" s="64">
        <f>IFERROR(1/J316*(Y316/H316),"0")</f>
        <v>0.5625</v>
      </c>
    </row>
    <row r="317" spans="1:68" x14ac:dyDescent="0.2">
      <c r="A317" s="565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66"/>
      <c r="P317" s="545" t="s">
        <v>71</v>
      </c>
      <c r="Q317" s="546"/>
      <c r="R317" s="546"/>
      <c r="S317" s="546"/>
      <c r="T317" s="546"/>
      <c r="U317" s="546"/>
      <c r="V317" s="547"/>
      <c r="W317" s="37" t="s">
        <v>72</v>
      </c>
      <c r="X317" s="541">
        <f>IFERROR(X314/H314,"0")+IFERROR(X315/H315,"0")+IFERROR(X316/H316,"0")</f>
        <v>78.937728937728934</v>
      </c>
      <c r="Y317" s="541">
        <f>IFERROR(Y314/H314,"0")+IFERROR(Y315/H315,"0")+IFERROR(Y316/H316,"0")</f>
        <v>80</v>
      </c>
      <c r="Z317" s="541">
        <f>IFERROR(IF(Z314="",0,Z314),"0")+IFERROR(IF(Z315="",0,Z315),"0")+IFERROR(IF(Z316="",0,Z316),"0")</f>
        <v>1.5184</v>
      </c>
      <c r="AA317" s="542"/>
      <c r="AB317" s="542"/>
      <c r="AC317" s="542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66"/>
      <c r="P318" s="545" t="s">
        <v>71</v>
      </c>
      <c r="Q318" s="546"/>
      <c r="R318" s="546"/>
      <c r="S318" s="546"/>
      <c r="T318" s="546"/>
      <c r="U318" s="546"/>
      <c r="V318" s="547"/>
      <c r="W318" s="37" t="s">
        <v>69</v>
      </c>
      <c r="X318" s="541">
        <f>IFERROR(SUM(X314:X316),"0")</f>
        <v>640</v>
      </c>
      <c r="Y318" s="541">
        <f>IFERROR(SUM(Y314:Y316),"0")</f>
        <v>648.6</v>
      </c>
      <c r="Z318" s="37"/>
      <c r="AA318" s="542"/>
      <c r="AB318" s="542"/>
      <c r="AC318" s="542"/>
    </row>
    <row r="319" spans="1:68" ht="14.25" hidden="1" customHeight="1" x14ac:dyDescent="0.25">
      <c r="A319" s="556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5"/>
      <c r="AB319" s="535"/>
      <c r="AC319" s="535"/>
    </row>
    <row r="320" spans="1:68" ht="27" hidden="1" customHeight="1" x14ac:dyDescent="0.25">
      <c r="A320" s="54" t="s">
        <v>503</v>
      </c>
      <c r="B320" s="54" t="s">
        <v>504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9"/>
      <c r="R320" s="549"/>
      <c r="S320" s="549"/>
      <c r="T320" s="550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506</v>
      </c>
      <c r="B321" s="54" t="s">
        <v>507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9"/>
      <c r="R321" s="549"/>
      <c r="S321" s="549"/>
      <c r="T321" s="550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508</v>
      </c>
      <c r="B322" s="54" t="s">
        <v>509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213</v>
      </c>
      <c r="M322" s="33" t="s">
        <v>94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9"/>
      <c r="R322" s="549"/>
      <c r="S322" s="549"/>
      <c r="T322" s="550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510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213</v>
      </c>
      <c r="M323" s="33" t="s">
        <v>94</v>
      </c>
      <c r="N323" s="33"/>
      <c r="O323" s="32">
        <v>180</v>
      </c>
      <c r="P323" s="80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9"/>
      <c r="R323" s="549"/>
      <c r="S323" s="549"/>
      <c r="T323" s="550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65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66"/>
      <c r="P324" s="545" t="s">
        <v>71</v>
      </c>
      <c r="Q324" s="546"/>
      <c r="R324" s="546"/>
      <c r="S324" s="546"/>
      <c r="T324" s="546"/>
      <c r="U324" s="546"/>
      <c r="V324" s="547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hidden="1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66"/>
      <c r="P325" s="545" t="s">
        <v>71</v>
      </c>
      <c r="Q325" s="546"/>
      <c r="R325" s="546"/>
      <c r="S325" s="546"/>
      <c r="T325" s="546"/>
      <c r="U325" s="546"/>
      <c r="V325" s="547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hidden="1" customHeight="1" x14ac:dyDescent="0.25">
      <c r="A326" s="556" t="s">
        <v>513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5"/>
      <c r="AB326" s="535"/>
      <c r="AC326" s="535"/>
    </row>
    <row r="327" spans="1:68" ht="16.5" hidden="1" customHeight="1" x14ac:dyDescent="0.25">
      <c r="A327" s="54" t="s">
        <v>514</v>
      </c>
      <c r="B327" s="54" t="s">
        <v>515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213</v>
      </c>
      <c r="M327" s="33" t="s">
        <v>516</v>
      </c>
      <c r="N327" s="33"/>
      <c r="O327" s="32">
        <v>730</v>
      </c>
      <c r="P327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9"/>
      <c r="R327" s="549"/>
      <c r="S327" s="549"/>
      <c r="T327" s="550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517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518</v>
      </c>
      <c r="B328" s="54" t="s">
        <v>519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516</v>
      </c>
      <c r="N328" s="33"/>
      <c r="O328" s="32">
        <v>730</v>
      </c>
      <c r="P328" s="5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9"/>
      <c r="R328" s="549"/>
      <c r="S328" s="549"/>
      <c r="T328" s="550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517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520</v>
      </c>
      <c r="B329" s="54" t="s">
        <v>521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213</v>
      </c>
      <c r="M329" s="33" t="s">
        <v>516</v>
      </c>
      <c r="N329" s="33"/>
      <c r="O329" s="32">
        <v>730</v>
      </c>
      <c r="P329" s="6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9"/>
      <c r="R329" s="549"/>
      <c r="S329" s="549"/>
      <c r="T329" s="550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517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5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66"/>
      <c r="P330" s="545" t="s">
        <v>71</v>
      </c>
      <c r="Q330" s="546"/>
      <c r="R330" s="546"/>
      <c r="S330" s="546"/>
      <c r="T330" s="546"/>
      <c r="U330" s="546"/>
      <c r="V330" s="547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66"/>
      <c r="P331" s="545" t="s">
        <v>71</v>
      </c>
      <c r="Q331" s="546"/>
      <c r="R331" s="546"/>
      <c r="S331" s="546"/>
      <c r="T331" s="546"/>
      <c r="U331" s="546"/>
      <c r="V331" s="547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hidden="1" customHeight="1" x14ac:dyDescent="0.25">
      <c r="A332" s="553" t="s">
        <v>522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4"/>
      <c r="AB332" s="534"/>
      <c r="AC332" s="534"/>
    </row>
    <row r="333" spans="1:68" ht="14.25" hidden="1" customHeight="1" x14ac:dyDescent="0.25">
      <c r="A333" s="556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5"/>
      <c r="AB333" s="535"/>
      <c r="AC333" s="535"/>
    </row>
    <row r="334" spans="1:68" ht="27" hidden="1" customHeight="1" x14ac:dyDescent="0.25">
      <c r="A334" s="54" t="s">
        <v>523</v>
      </c>
      <c r="B334" s="54" t="s">
        <v>524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9"/>
      <c r="R334" s="549"/>
      <c r="S334" s="549"/>
      <c r="T334" s="550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525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526</v>
      </c>
      <c r="B335" s="54" t="s">
        <v>527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213</v>
      </c>
      <c r="M335" s="33" t="s">
        <v>77</v>
      </c>
      <c r="N335" s="33"/>
      <c r="O335" s="32">
        <v>45</v>
      </c>
      <c r="P335" s="7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9"/>
      <c r="R335" s="549"/>
      <c r="S335" s="549"/>
      <c r="T335" s="550"/>
      <c r="U335" s="34"/>
      <c r="V335" s="34"/>
      <c r="W335" s="35" t="s">
        <v>69</v>
      </c>
      <c r="X335" s="539">
        <v>1120</v>
      </c>
      <c r="Y335" s="540">
        <f>IFERROR(IF(X335="",0,CEILING((X335/$H335),1)*$H335),"")</f>
        <v>1121.4000000000001</v>
      </c>
      <c r="Z335" s="36">
        <f>IFERROR(IF(Y335=0,"",ROUNDUP(Y335/H335,0)*0.00651),"")</f>
        <v>3.47634</v>
      </c>
      <c r="AA335" s="56"/>
      <c r="AB335" s="57"/>
      <c r="AC335" s="385" t="s">
        <v>528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1254.3999999999999</v>
      </c>
      <c r="BN335" s="64">
        <f>IFERROR(Y335*I335/H335,"0")</f>
        <v>1255.9679999999998</v>
      </c>
      <c r="BO335" s="64">
        <f>IFERROR(1/J335*(X335/H335),"0")</f>
        <v>2.9304029304029302</v>
      </c>
      <c r="BP335" s="64">
        <f>IFERROR(1/J335*(Y335/H335),"0")</f>
        <v>2.9340659340659343</v>
      </c>
    </row>
    <row r="336" spans="1:68" ht="27" customHeight="1" x14ac:dyDescent="0.25">
      <c r="A336" s="54" t="s">
        <v>529</v>
      </c>
      <c r="B336" s="54" t="s">
        <v>530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213</v>
      </c>
      <c r="M336" s="33" t="s">
        <v>84</v>
      </c>
      <c r="N336" s="33"/>
      <c r="O336" s="32">
        <v>40</v>
      </c>
      <c r="P336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9"/>
      <c r="R336" s="549"/>
      <c r="S336" s="549"/>
      <c r="T336" s="550"/>
      <c r="U336" s="34"/>
      <c r="V336" s="34"/>
      <c r="W336" s="35" t="s">
        <v>69</v>
      </c>
      <c r="X336" s="539">
        <v>420</v>
      </c>
      <c r="Y336" s="540">
        <f>IFERROR(IF(X336="",0,CEILING((X336/$H336),1)*$H336),"")</f>
        <v>420</v>
      </c>
      <c r="Z336" s="36">
        <f>IFERROR(IF(Y336=0,"",ROUNDUP(Y336/H336,0)*0.00651),"")</f>
        <v>1.302</v>
      </c>
      <c r="AA336" s="56"/>
      <c r="AB336" s="57"/>
      <c r="AC336" s="387" t="s">
        <v>531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467.99999999999994</v>
      </c>
      <c r="BN336" s="64">
        <f>IFERROR(Y336*I336/H336,"0")</f>
        <v>467.99999999999994</v>
      </c>
      <c r="BO336" s="64">
        <f>IFERROR(1/J336*(X336/H336),"0")</f>
        <v>1.098901098901099</v>
      </c>
      <c r="BP336" s="64">
        <f>IFERROR(1/J336*(Y336/H336),"0")</f>
        <v>1.098901098901099</v>
      </c>
    </row>
    <row r="337" spans="1:68" x14ac:dyDescent="0.2">
      <c r="A337" s="565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66"/>
      <c r="P337" s="545" t="s">
        <v>71</v>
      </c>
      <c r="Q337" s="546"/>
      <c r="R337" s="546"/>
      <c r="S337" s="546"/>
      <c r="T337" s="546"/>
      <c r="U337" s="546"/>
      <c r="V337" s="547"/>
      <c r="W337" s="37" t="s">
        <v>72</v>
      </c>
      <c r="X337" s="541">
        <f>IFERROR(X334/H334,"0")+IFERROR(X335/H335,"0")+IFERROR(X336/H336,"0")</f>
        <v>733.33333333333326</v>
      </c>
      <c r="Y337" s="541">
        <f>IFERROR(Y334/H334,"0")+IFERROR(Y335/H335,"0")+IFERROR(Y336/H336,"0")</f>
        <v>734</v>
      </c>
      <c r="Z337" s="541">
        <f>IFERROR(IF(Z334="",0,Z334),"0")+IFERROR(IF(Z335="",0,Z335),"0")+IFERROR(IF(Z336="",0,Z336),"0")</f>
        <v>4.77834</v>
      </c>
      <c r="AA337" s="542"/>
      <c r="AB337" s="542"/>
      <c r="AC337" s="542"/>
    </row>
    <row r="338" spans="1:68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66"/>
      <c r="P338" s="545" t="s">
        <v>71</v>
      </c>
      <c r="Q338" s="546"/>
      <c r="R338" s="546"/>
      <c r="S338" s="546"/>
      <c r="T338" s="546"/>
      <c r="U338" s="546"/>
      <c r="V338" s="547"/>
      <c r="W338" s="37" t="s">
        <v>69</v>
      </c>
      <c r="X338" s="541">
        <f>IFERROR(SUM(X334:X336),"0")</f>
        <v>1540</v>
      </c>
      <c r="Y338" s="541">
        <f>IFERROR(SUM(Y334:Y336),"0")</f>
        <v>1541.4</v>
      </c>
      <c r="Z338" s="37"/>
      <c r="AA338" s="542"/>
      <c r="AB338" s="542"/>
      <c r="AC338" s="542"/>
    </row>
    <row r="339" spans="1:68" ht="27.75" hidden="1" customHeight="1" x14ac:dyDescent="0.2">
      <c r="A339" s="694" t="s">
        <v>532</v>
      </c>
      <c r="B339" s="695"/>
      <c r="C339" s="695"/>
      <c r="D339" s="695"/>
      <c r="E339" s="695"/>
      <c r="F339" s="695"/>
      <c r="G339" s="695"/>
      <c r="H339" s="695"/>
      <c r="I339" s="695"/>
      <c r="J339" s="695"/>
      <c r="K339" s="695"/>
      <c r="L339" s="695"/>
      <c r="M339" s="695"/>
      <c r="N339" s="695"/>
      <c r="O339" s="695"/>
      <c r="P339" s="695"/>
      <c r="Q339" s="695"/>
      <c r="R339" s="695"/>
      <c r="S339" s="695"/>
      <c r="T339" s="695"/>
      <c r="U339" s="695"/>
      <c r="V339" s="695"/>
      <c r="W339" s="695"/>
      <c r="X339" s="695"/>
      <c r="Y339" s="695"/>
      <c r="Z339" s="695"/>
      <c r="AA339" s="48"/>
      <c r="AB339" s="48"/>
      <c r="AC339" s="48"/>
    </row>
    <row r="340" spans="1:68" ht="16.5" hidden="1" customHeight="1" x14ac:dyDescent="0.25">
      <c r="A340" s="553" t="s">
        <v>533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4"/>
      <c r="AB340" s="534"/>
      <c r="AC340" s="534"/>
    </row>
    <row r="341" spans="1:68" ht="14.25" hidden="1" customHeight="1" x14ac:dyDescent="0.25">
      <c r="A341" s="556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5"/>
      <c r="AB341" s="535"/>
      <c r="AC341" s="535"/>
    </row>
    <row r="342" spans="1:68" ht="37.5" customHeight="1" x14ac:dyDescent="0.25">
      <c r="A342" s="54" t="s">
        <v>534</v>
      </c>
      <c r="B342" s="54" t="s">
        <v>535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9"/>
      <c r="R342" s="549"/>
      <c r="S342" s="549"/>
      <c r="T342" s="550"/>
      <c r="U342" s="34"/>
      <c r="V342" s="34"/>
      <c r="W342" s="35" t="s">
        <v>69</v>
      </c>
      <c r="X342" s="539">
        <v>1100</v>
      </c>
      <c r="Y342" s="540">
        <f t="shared" ref="Y342:Y348" si="31">IFERROR(IF(X342="",0,CEILING((X342/$H342),1)*$H342),"")</f>
        <v>1110</v>
      </c>
      <c r="Z342" s="36">
        <f>IFERROR(IF(Y342=0,"",ROUNDUP(Y342/H342,0)*0.02175),"")</f>
        <v>1.6094999999999999</v>
      </c>
      <c r="AA342" s="56"/>
      <c r="AB342" s="57"/>
      <c r="AC342" s="389" t="s">
        <v>536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1134.4666666666667</v>
      </c>
      <c r="BN342" s="64">
        <f t="shared" ref="BN342:BN348" si="33">IFERROR(Y342*I342/H342,"0")</f>
        <v>1144.78</v>
      </c>
      <c r="BO342" s="64">
        <f t="shared" ref="BO342:BO348" si="34">IFERROR(1/J342*(X342/H342),"0")</f>
        <v>1.5277777777777777</v>
      </c>
      <c r="BP342" s="64">
        <f t="shared" ref="BP342:BP348" si="35">IFERROR(1/J342*(Y342/H342),"0")</f>
        <v>1.5416666666666665</v>
      </c>
    </row>
    <row r="343" spans="1:68" ht="27" customHeight="1" x14ac:dyDescent="0.25">
      <c r="A343" s="54" t="s">
        <v>537</v>
      </c>
      <c r="B343" s="54" t="s">
        <v>538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9"/>
      <c r="R343" s="549"/>
      <c r="S343" s="549"/>
      <c r="T343" s="550"/>
      <c r="U343" s="34"/>
      <c r="V343" s="34"/>
      <c r="W343" s="35" t="s">
        <v>69</v>
      </c>
      <c r="X343" s="539">
        <v>1000</v>
      </c>
      <c r="Y343" s="540">
        <f t="shared" si="31"/>
        <v>1005</v>
      </c>
      <c r="Z343" s="36">
        <f>IFERROR(IF(Y343=0,"",ROUNDUP(Y343/H343,0)*0.02175),"")</f>
        <v>1.4572499999999999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si="32"/>
        <v>1031.3333333333333</v>
      </c>
      <c r="BN343" s="64">
        <f t="shared" si="33"/>
        <v>1036.49</v>
      </c>
      <c r="BO343" s="64">
        <f t="shared" si="34"/>
        <v>1.3888888888888888</v>
      </c>
      <c r="BP343" s="64">
        <f t="shared" si="35"/>
        <v>1.3958333333333333</v>
      </c>
    </row>
    <row r="344" spans="1:68" ht="37.5" customHeight="1" x14ac:dyDescent="0.25">
      <c r="A344" s="54" t="s">
        <v>540</v>
      </c>
      <c r="B344" s="54" t="s">
        <v>541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9"/>
      <c r="R344" s="549"/>
      <c r="S344" s="549"/>
      <c r="T344" s="550"/>
      <c r="U344" s="34"/>
      <c r="V344" s="34"/>
      <c r="W344" s="35" t="s">
        <v>69</v>
      </c>
      <c r="X344" s="539">
        <v>1600</v>
      </c>
      <c r="Y344" s="540">
        <f t="shared" si="31"/>
        <v>1605</v>
      </c>
      <c r="Z344" s="36">
        <f>IFERROR(IF(Y344=0,"",ROUNDUP(Y344/H344,0)*0.02175),"")</f>
        <v>2.3272499999999998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2"/>
        <v>1650.1333333333334</v>
      </c>
      <c r="BN344" s="64">
        <f t="shared" si="33"/>
        <v>1655.2900000000002</v>
      </c>
      <c r="BO344" s="64">
        <f t="shared" si="34"/>
        <v>2.2222222222222223</v>
      </c>
      <c r="BP344" s="64">
        <f t="shared" si="35"/>
        <v>2.2291666666666665</v>
      </c>
    </row>
    <row r="345" spans="1:68" ht="27" customHeight="1" x14ac:dyDescent="0.25">
      <c r="A345" s="54" t="s">
        <v>543</v>
      </c>
      <c r="B345" s="54" t="s">
        <v>544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9"/>
      <c r="R345" s="549"/>
      <c r="S345" s="549"/>
      <c r="T345" s="550"/>
      <c r="U345" s="34"/>
      <c r="V345" s="34"/>
      <c r="W345" s="35" t="s">
        <v>69</v>
      </c>
      <c r="X345" s="539">
        <v>250</v>
      </c>
      <c r="Y345" s="540">
        <f t="shared" si="31"/>
        <v>255</v>
      </c>
      <c r="Z345" s="36">
        <f>IFERROR(IF(Y345=0,"",ROUNDUP(Y345/H345,0)*0.02175),"")</f>
        <v>0.36974999999999997</v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2"/>
        <v>257.83333333333331</v>
      </c>
      <c r="BN345" s="64">
        <f t="shared" si="33"/>
        <v>262.99</v>
      </c>
      <c r="BO345" s="64">
        <f t="shared" si="34"/>
        <v>0.34722222222222221</v>
      </c>
      <c r="BP345" s="64">
        <f t="shared" si="35"/>
        <v>0.35416666666666663</v>
      </c>
    </row>
    <row r="346" spans="1:68" ht="27" hidden="1" customHeight="1" x14ac:dyDescent="0.25">
      <c r="A346" s="54" t="s">
        <v>546</v>
      </c>
      <c r="B346" s="54" t="s">
        <v>547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9"/>
      <c r="R346" s="549"/>
      <c r="S346" s="549"/>
      <c r="T346" s="550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9"/>
      <c r="R347" s="549"/>
      <c r="S347" s="549"/>
      <c r="T347" s="550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539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551</v>
      </c>
      <c r="B348" s="54" t="s">
        <v>552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9"/>
      <c r="R348" s="549"/>
      <c r="S348" s="549"/>
      <c r="T348" s="550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5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66"/>
      <c r="P349" s="545" t="s">
        <v>71</v>
      </c>
      <c r="Q349" s="546"/>
      <c r="R349" s="546"/>
      <c r="S349" s="546"/>
      <c r="T349" s="546"/>
      <c r="U349" s="546"/>
      <c r="V349" s="547"/>
      <c r="W349" s="37" t="s">
        <v>72</v>
      </c>
      <c r="X349" s="541">
        <f>IFERROR(X342/H342,"0")+IFERROR(X343/H343,"0")+IFERROR(X344/H344,"0")+IFERROR(X345/H345,"0")+IFERROR(X346/H346,"0")+IFERROR(X347/H347,"0")+IFERROR(X348/H348,"0")</f>
        <v>263.33333333333337</v>
      </c>
      <c r="Y349" s="541">
        <f>IFERROR(Y342/H342,"0")+IFERROR(Y343/H343,"0")+IFERROR(Y344/H344,"0")+IFERROR(Y345/H345,"0")+IFERROR(Y346/H346,"0")+IFERROR(Y347/H347,"0")+IFERROR(Y348/H348,"0")</f>
        <v>265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5.7637499999999999</v>
      </c>
      <c r="AA349" s="542"/>
      <c r="AB349" s="542"/>
      <c r="AC349" s="542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66"/>
      <c r="P350" s="545" t="s">
        <v>71</v>
      </c>
      <c r="Q350" s="546"/>
      <c r="R350" s="546"/>
      <c r="S350" s="546"/>
      <c r="T350" s="546"/>
      <c r="U350" s="546"/>
      <c r="V350" s="547"/>
      <c r="W350" s="37" t="s">
        <v>69</v>
      </c>
      <c r="X350" s="541">
        <f>IFERROR(SUM(X342:X348),"0")</f>
        <v>3950</v>
      </c>
      <c r="Y350" s="541">
        <f>IFERROR(SUM(Y342:Y348),"0")</f>
        <v>3975</v>
      </c>
      <c r="Z350" s="37"/>
      <c r="AA350" s="542"/>
      <c r="AB350" s="542"/>
      <c r="AC350" s="542"/>
    </row>
    <row r="351" spans="1:68" ht="14.25" hidden="1" customHeight="1" x14ac:dyDescent="0.25">
      <c r="A351" s="556" t="s">
        <v>135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5"/>
      <c r="AB351" s="535"/>
      <c r="AC351" s="535"/>
    </row>
    <row r="352" spans="1:68" ht="27" customHeight="1" x14ac:dyDescent="0.25">
      <c r="A352" s="54" t="s">
        <v>553</v>
      </c>
      <c r="B352" s="54" t="s">
        <v>554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9"/>
      <c r="R352" s="549"/>
      <c r="S352" s="549"/>
      <c r="T352" s="550"/>
      <c r="U352" s="34"/>
      <c r="V352" s="34"/>
      <c r="W352" s="35" t="s">
        <v>69</v>
      </c>
      <c r="X352" s="539">
        <v>1300</v>
      </c>
      <c r="Y352" s="540">
        <f>IFERROR(IF(X352="",0,CEILING((X352/$H352),1)*$H352),"")</f>
        <v>1305</v>
      </c>
      <c r="Z352" s="36">
        <f>IFERROR(IF(Y352=0,"",ROUNDUP(Y352/H352,0)*0.02175),"")</f>
        <v>1.8922499999999998</v>
      </c>
      <c r="AA352" s="56"/>
      <c r="AB352" s="57"/>
      <c r="AC352" s="403" t="s">
        <v>555</v>
      </c>
      <c r="AG352" s="64"/>
      <c r="AJ352" s="68"/>
      <c r="AK352" s="68">
        <v>0</v>
      </c>
      <c r="BB352" s="404" t="s">
        <v>1</v>
      </c>
      <c r="BM352" s="64">
        <f>IFERROR(X352*I352/H352,"0")</f>
        <v>1340.7333333333333</v>
      </c>
      <c r="BN352" s="64">
        <f>IFERROR(Y352*I352/H352,"0")</f>
        <v>1345.89</v>
      </c>
      <c r="BO352" s="64">
        <f>IFERROR(1/J352*(X352/H352),"0")</f>
        <v>1.8055555555555556</v>
      </c>
      <c r="BP352" s="64">
        <f>IFERROR(1/J352*(Y352/H352),"0")</f>
        <v>1.8125</v>
      </c>
    </row>
    <row r="353" spans="1:68" ht="16.5" hidden="1" customHeight="1" x14ac:dyDescent="0.25">
      <c r="A353" s="54" t="s">
        <v>556</v>
      </c>
      <c r="B353" s="54" t="s">
        <v>557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9"/>
      <c r="R353" s="549"/>
      <c r="S353" s="549"/>
      <c r="T353" s="550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555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5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66"/>
      <c r="P354" s="545" t="s">
        <v>71</v>
      </c>
      <c r="Q354" s="546"/>
      <c r="R354" s="546"/>
      <c r="S354" s="546"/>
      <c r="T354" s="546"/>
      <c r="U354" s="546"/>
      <c r="V354" s="547"/>
      <c r="W354" s="37" t="s">
        <v>72</v>
      </c>
      <c r="X354" s="541">
        <f>IFERROR(X352/H352,"0")+IFERROR(X353/H353,"0")</f>
        <v>86.666666666666671</v>
      </c>
      <c r="Y354" s="541">
        <f>IFERROR(Y352/H352,"0")+IFERROR(Y353/H353,"0")</f>
        <v>87</v>
      </c>
      <c r="Z354" s="541">
        <f>IFERROR(IF(Z352="",0,Z352),"0")+IFERROR(IF(Z353="",0,Z353),"0")</f>
        <v>1.8922499999999998</v>
      </c>
      <c r="AA354" s="542"/>
      <c r="AB354" s="542"/>
      <c r="AC354" s="542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66"/>
      <c r="P355" s="545" t="s">
        <v>71</v>
      </c>
      <c r="Q355" s="546"/>
      <c r="R355" s="546"/>
      <c r="S355" s="546"/>
      <c r="T355" s="546"/>
      <c r="U355" s="546"/>
      <c r="V355" s="547"/>
      <c r="W355" s="37" t="s">
        <v>69</v>
      </c>
      <c r="X355" s="541">
        <f>IFERROR(SUM(X352:X353),"0")</f>
        <v>1300</v>
      </c>
      <c r="Y355" s="541">
        <f>IFERROR(SUM(Y352:Y353),"0")</f>
        <v>1305</v>
      </c>
      <c r="Z355" s="37"/>
      <c r="AA355" s="542"/>
      <c r="AB355" s="542"/>
      <c r="AC355" s="542"/>
    </row>
    <row r="356" spans="1:68" ht="14.25" hidden="1" customHeight="1" x14ac:dyDescent="0.25">
      <c r="A356" s="556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5"/>
      <c r="AB356" s="535"/>
      <c r="AC356" s="535"/>
    </row>
    <row r="357" spans="1:68" ht="27" hidden="1" customHeight="1" x14ac:dyDescent="0.25">
      <c r="A357" s="54" t="s">
        <v>558</v>
      </c>
      <c r="B357" s="54" t="s">
        <v>559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9"/>
      <c r="R357" s="549"/>
      <c r="S357" s="549"/>
      <c r="T357" s="550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561</v>
      </c>
      <c r="B358" s="54" t="s">
        <v>562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9"/>
      <c r="R358" s="549"/>
      <c r="S358" s="549"/>
      <c r="T358" s="550"/>
      <c r="U358" s="34"/>
      <c r="V358" s="34"/>
      <c r="W358" s="35" t="s">
        <v>69</v>
      </c>
      <c r="X358" s="539">
        <v>50</v>
      </c>
      <c r="Y358" s="540">
        <f>IFERROR(IF(X358="",0,CEILING((X358/$H358),1)*$H358),"")</f>
        <v>54</v>
      </c>
      <c r="Z358" s="36">
        <f>IFERROR(IF(Y358=0,"",ROUNDUP(Y358/H358,0)*0.01898),"")</f>
        <v>0.11388000000000001</v>
      </c>
      <c r="AA358" s="56"/>
      <c r="AB358" s="57"/>
      <c r="AC358" s="409" t="s">
        <v>563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52.74444444444444</v>
      </c>
      <c r="BN358" s="64">
        <f>IFERROR(Y358*I358/H358,"0")</f>
        <v>56.963999999999992</v>
      </c>
      <c r="BO358" s="64">
        <f>IFERROR(1/J358*(X358/H358),"0")</f>
        <v>8.6805555555555552E-2</v>
      </c>
      <c r="BP358" s="64">
        <f>IFERROR(1/J358*(Y358/H358),"0")</f>
        <v>9.375E-2</v>
      </c>
    </row>
    <row r="359" spans="1:68" x14ac:dyDescent="0.2">
      <c r="A359" s="565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66"/>
      <c r="P359" s="545" t="s">
        <v>71</v>
      </c>
      <c r="Q359" s="546"/>
      <c r="R359" s="546"/>
      <c r="S359" s="546"/>
      <c r="T359" s="546"/>
      <c r="U359" s="546"/>
      <c r="V359" s="547"/>
      <c r="W359" s="37" t="s">
        <v>72</v>
      </c>
      <c r="X359" s="541">
        <f>IFERROR(X357/H357,"0")+IFERROR(X358/H358,"0")</f>
        <v>5.5555555555555554</v>
      </c>
      <c r="Y359" s="541">
        <f>IFERROR(Y357/H357,"0")+IFERROR(Y358/H358,"0")</f>
        <v>6</v>
      </c>
      <c r="Z359" s="541">
        <f>IFERROR(IF(Z357="",0,Z357),"0")+IFERROR(IF(Z358="",0,Z358),"0")</f>
        <v>0.11388000000000001</v>
      </c>
      <c r="AA359" s="542"/>
      <c r="AB359" s="542"/>
      <c r="AC359" s="542"/>
    </row>
    <row r="360" spans="1:68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66"/>
      <c r="P360" s="545" t="s">
        <v>71</v>
      </c>
      <c r="Q360" s="546"/>
      <c r="R360" s="546"/>
      <c r="S360" s="546"/>
      <c r="T360" s="546"/>
      <c r="U360" s="546"/>
      <c r="V360" s="547"/>
      <c r="W360" s="37" t="s">
        <v>69</v>
      </c>
      <c r="X360" s="541">
        <f>IFERROR(SUM(X357:X358),"0")</f>
        <v>50</v>
      </c>
      <c r="Y360" s="541">
        <f>IFERROR(SUM(Y357:Y358),"0")</f>
        <v>54</v>
      </c>
      <c r="Z360" s="37"/>
      <c r="AA360" s="542"/>
      <c r="AB360" s="542"/>
      <c r="AC360" s="542"/>
    </row>
    <row r="361" spans="1:68" ht="14.25" hidden="1" customHeight="1" x14ac:dyDescent="0.25">
      <c r="A361" s="556" t="s">
        <v>163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5"/>
      <c r="AB361" s="535"/>
      <c r="AC361" s="535"/>
    </row>
    <row r="362" spans="1:68" ht="16.5" customHeight="1" x14ac:dyDescent="0.25">
      <c r="A362" s="54" t="s">
        <v>564</v>
      </c>
      <c r="B362" s="54" t="s">
        <v>565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9"/>
      <c r="R362" s="549"/>
      <c r="S362" s="549"/>
      <c r="T362" s="550"/>
      <c r="U362" s="34"/>
      <c r="V362" s="34"/>
      <c r="W362" s="35" t="s">
        <v>69</v>
      </c>
      <c r="X362" s="539">
        <v>30</v>
      </c>
      <c r="Y362" s="540">
        <f>IFERROR(IF(X362="",0,CEILING((X362/$H362),1)*$H362),"")</f>
        <v>36</v>
      </c>
      <c r="Z362" s="36">
        <f>IFERROR(IF(Y362=0,"",ROUNDUP(Y362/H362,0)*0.01898),"")</f>
        <v>7.5920000000000001E-2</v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31.646666666666665</v>
      </c>
      <c r="BN362" s="64">
        <f>IFERROR(Y362*I362/H362,"0")</f>
        <v>37.975999999999999</v>
      </c>
      <c r="BO362" s="64">
        <f>IFERROR(1/J362*(X362/H362),"0")</f>
        <v>5.2083333333333336E-2</v>
      </c>
      <c r="BP362" s="64">
        <f>IFERROR(1/J362*(Y362/H362),"0")</f>
        <v>6.25E-2</v>
      </c>
    </row>
    <row r="363" spans="1:68" x14ac:dyDescent="0.2">
      <c r="A363" s="565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66"/>
      <c r="P363" s="545" t="s">
        <v>71</v>
      </c>
      <c r="Q363" s="546"/>
      <c r="R363" s="546"/>
      <c r="S363" s="546"/>
      <c r="T363" s="546"/>
      <c r="U363" s="546"/>
      <c r="V363" s="547"/>
      <c r="W363" s="37" t="s">
        <v>72</v>
      </c>
      <c r="X363" s="541">
        <f>IFERROR(X362/H362,"0")</f>
        <v>3.3333333333333335</v>
      </c>
      <c r="Y363" s="541">
        <f>IFERROR(Y362/H362,"0")</f>
        <v>4</v>
      </c>
      <c r="Z363" s="541">
        <f>IFERROR(IF(Z362="",0,Z362),"0")</f>
        <v>7.5920000000000001E-2</v>
      </c>
      <c r="AA363" s="542"/>
      <c r="AB363" s="542"/>
      <c r="AC363" s="542"/>
    </row>
    <row r="364" spans="1:68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66"/>
      <c r="P364" s="545" t="s">
        <v>71</v>
      </c>
      <c r="Q364" s="546"/>
      <c r="R364" s="546"/>
      <c r="S364" s="546"/>
      <c r="T364" s="546"/>
      <c r="U364" s="546"/>
      <c r="V364" s="547"/>
      <c r="W364" s="37" t="s">
        <v>69</v>
      </c>
      <c r="X364" s="541">
        <f>IFERROR(SUM(X362:X362),"0")</f>
        <v>30</v>
      </c>
      <c r="Y364" s="541">
        <f>IFERROR(SUM(Y362:Y362),"0")</f>
        <v>36</v>
      </c>
      <c r="Z364" s="37"/>
      <c r="AA364" s="542"/>
      <c r="AB364" s="542"/>
      <c r="AC364" s="542"/>
    </row>
    <row r="365" spans="1:68" ht="16.5" hidden="1" customHeight="1" x14ac:dyDescent="0.25">
      <c r="A365" s="553" t="s">
        <v>567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4"/>
      <c r="AB365" s="534"/>
      <c r="AC365" s="534"/>
    </row>
    <row r="366" spans="1:68" ht="14.25" hidden="1" customHeight="1" x14ac:dyDescent="0.25">
      <c r="A366" s="556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5"/>
      <c r="AB366" s="535"/>
      <c r="AC366" s="535"/>
    </row>
    <row r="367" spans="1:68" ht="37.5" customHeight="1" x14ac:dyDescent="0.25">
      <c r="A367" s="54" t="s">
        <v>568</v>
      </c>
      <c r="B367" s="54" t="s">
        <v>569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9"/>
      <c r="R367" s="549"/>
      <c r="S367" s="549"/>
      <c r="T367" s="550"/>
      <c r="U367" s="34"/>
      <c r="V367" s="34"/>
      <c r="W367" s="35" t="s">
        <v>69</v>
      </c>
      <c r="X367" s="539">
        <v>30</v>
      </c>
      <c r="Y367" s="540">
        <f>IFERROR(IF(X367="",0,CEILING((X367/$H367),1)*$H367),"")</f>
        <v>36</v>
      </c>
      <c r="Z367" s="36">
        <f>IFERROR(IF(Y367=0,"",ROUNDUP(Y367/H367,0)*0.01898),"")</f>
        <v>5.6940000000000004E-2</v>
      </c>
      <c r="AA367" s="56"/>
      <c r="AB367" s="57"/>
      <c r="AC367" s="413" t="s">
        <v>570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31.025000000000002</v>
      </c>
      <c r="BN367" s="64">
        <f>IFERROR(Y367*I367/H367,"0")</f>
        <v>37.229999999999997</v>
      </c>
      <c r="BO367" s="64">
        <f>IFERROR(1/J367*(X367/H367),"0")</f>
        <v>3.90625E-2</v>
      </c>
      <c r="BP367" s="64">
        <f>IFERROR(1/J367*(Y367/H367),"0")</f>
        <v>4.6875E-2</v>
      </c>
    </row>
    <row r="368" spans="1:68" ht="37.5" hidden="1" customHeight="1" x14ac:dyDescent="0.25">
      <c r="A368" s="54" t="s">
        <v>571</v>
      </c>
      <c r="B368" s="54" t="s">
        <v>572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9"/>
      <c r="R368" s="549"/>
      <c r="S368" s="549"/>
      <c r="T368" s="550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5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66"/>
      <c r="P369" s="545" t="s">
        <v>71</v>
      </c>
      <c r="Q369" s="546"/>
      <c r="R369" s="546"/>
      <c r="S369" s="546"/>
      <c r="T369" s="546"/>
      <c r="U369" s="546"/>
      <c r="V369" s="547"/>
      <c r="W369" s="37" t="s">
        <v>72</v>
      </c>
      <c r="X369" s="541">
        <f>IFERROR(X367/H367,"0")+IFERROR(X368/H368,"0")</f>
        <v>2.5</v>
      </c>
      <c r="Y369" s="541">
        <f>IFERROR(Y367/H367,"0")+IFERROR(Y368/H368,"0")</f>
        <v>3</v>
      </c>
      <c r="Z369" s="541">
        <f>IFERROR(IF(Z367="",0,Z367),"0")+IFERROR(IF(Z368="",0,Z368),"0")</f>
        <v>5.6940000000000004E-2</v>
      </c>
      <c r="AA369" s="542"/>
      <c r="AB369" s="542"/>
      <c r="AC369" s="542"/>
    </row>
    <row r="370" spans="1:68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66"/>
      <c r="P370" s="545" t="s">
        <v>71</v>
      </c>
      <c r="Q370" s="546"/>
      <c r="R370" s="546"/>
      <c r="S370" s="546"/>
      <c r="T370" s="546"/>
      <c r="U370" s="546"/>
      <c r="V370" s="547"/>
      <c r="W370" s="37" t="s">
        <v>69</v>
      </c>
      <c r="X370" s="541">
        <f>IFERROR(SUM(X367:X368),"0")</f>
        <v>30</v>
      </c>
      <c r="Y370" s="541">
        <f>IFERROR(SUM(Y367:Y368),"0")</f>
        <v>36</v>
      </c>
      <c r="Z370" s="37"/>
      <c r="AA370" s="542"/>
      <c r="AB370" s="542"/>
      <c r="AC370" s="542"/>
    </row>
    <row r="371" spans="1:68" ht="14.25" hidden="1" customHeight="1" x14ac:dyDescent="0.25">
      <c r="A371" s="556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5"/>
      <c r="AB371" s="535"/>
      <c r="AC371" s="535"/>
    </row>
    <row r="372" spans="1:68" ht="27" hidden="1" customHeight="1" x14ac:dyDescent="0.25">
      <c r="A372" s="54" t="s">
        <v>573</v>
      </c>
      <c r="B372" s="54" t="s">
        <v>574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9"/>
      <c r="R372" s="549"/>
      <c r="S372" s="549"/>
      <c r="T372" s="550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573</v>
      </c>
      <c r="B373" s="54" t="s">
        <v>576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9"/>
      <c r="R373" s="549"/>
      <c r="S373" s="549"/>
      <c r="T373" s="550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65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66"/>
      <c r="P374" s="545" t="s">
        <v>71</v>
      </c>
      <c r="Q374" s="546"/>
      <c r="R374" s="546"/>
      <c r="S374" s="546"/>
      <c r="T374" s="546"/>
      <c r="U374" s="546"/>
      <c r="V374" s="547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66"/>
      <c r="P375" s="545" t="s">
        <v>71</v>
      </c>
      <c r="Q375" s="546"/>
      <c r="R375" s="546"/>
      <c r="S375" s="546"/>
      <c r="T375" s="546"/>
      <c r="U375" s="546"/>
      <c r="V375" s="547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6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5"/>
      <c r="AB376" s="535"/>
      <c r="AC376" s="535"/>
    </row>
    <row r="377" spans="1:68" ht="27" hidden="1" customHeight="1" x14ac:dyDescent="0.25">
      <c r="A377" s="54" t="s">
        <v>578</v>
      </c>
      <c r="B377" s="54" t="s">
        <v>579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9"/>
      <c r="R377" s="549"/>
      <c r="S377" s="549"/>
      <c r="T377" s="550"/>
      <c r="U377" s="34"/>
      <c r="V377" s="34"/>
      <c r="W377" s="35" t="s">
        <v>69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580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581</v>
      </c>
      <c r="B378" s="54" t="s">
        <v>582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9"/>
      <c r="R378" s="549"/>
      <c r="S378" s="549"/>
      <c r="T378" s="550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65"/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66"/>
      <c r="P379" s="545" t="s">
        <v>71</v>
      </c>
      <c r="Q379" s="546"/>
      <c r="R379" s="546"/>
      <c r="S379" s="546"/>
      <c r="T379" s="546"/>
      <c r="U379" s="546"/>
      <c r="V379" s="547"/>
      <c r="W379" s="37" t="s">
        <v>72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hidden="1" x14ac:dyDescent="0.2">
      <c r="A380" s="554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66"/>
      <c r="P380" s="545" t="s">
        <v>71</v>
      </c>
      <c r="Q380" s="546"/>
      <c r="R380" s="546"/>
      <c r="S380" s="546"/>
      <c r="T380" s="546"/>
      <c r="U380" s="546"/>
      <c r="V380" s="547"/>
      <c r="W380" s="37" t="s">
        <v>69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hidden="1" customHeight="1" x14ac:dyDescent="0.2">
      <c r="A381" s="694" t="s">
        <v>583</v>
      </c>
      <c r="B381" s="695"/>
      <c r="C381" s="695"/>
      <c r="D381" s="695"/>
      <c r="E381" s="695"/>
      <c r="F381" s="695"/>
      <c r="G381" s="695"/>
      <c r="H381" s="695"/>
      <c r="I381" s="695"/>
      <c r="J381" s="695"/>
      <c r="K381" s="695"/>
      <c r="L381" s="695"/>
      <c r="M381" s="695"/>
      <c r="N381" s="695"/>
      <c r="O381" s="695"/>
      <c r="P381" s="695"/>
      <c r="Q381" s="695"/>
      <c r="R381" s="695"/>
      <c r="S381" s="695"/>
      <c r="T381" s="695"/>
      <c r="U381" s="695"/>
      <c r="V381" s="695"/>
      <c r="W381" s="695"/>
      <c r="X381" s="695"/>
      <c r="Y381" s="695"/>
      <c r="Z381" s="695"/>
      <c r="AA381" s="48"/>
      <c r="AB381" s="48"/>
      <c r="AC381" s="48"/>
    </row>
    <row r="382" spans="1:68" ht="16.5" hidden="1" customHeight="1" x14ac:dyDescent="0.25">
      <c r="A382" s="553" t="s">
        <v>584</v>
      </c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4"/>
      <c r="P382" s="554"/>
      <c r="Q382" s="554"/>
      <c r="R382" s="554"/>
      <c r="S382" s="554"/>
      <c r="T382" s="554"/>
      <c r="U382" s="554"/>
      <c r="V382" s="554"/>
      <c r="W382" s="554"/>
      <c r="X382" s="554"/>
      <c r="Y382" s="554"/>
      <c r="Z382" s="554"/>
      <c r="AA382" s="534"/>
      <c r="AB382" s="534"/>
      <c r="AC382" s="534"/>
    </row>
    <row r="383" spans="1:68" ht="14.25" hidden="1" customHeight="1" x14ac:dyDescent="0.25">
      <c r="A383" s="556" t="s">
        <v>64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5"/>
      <c r="AB383" s="535"/>
      <c r="AC383" s="535"/>
    </row>
    <row r="384" spans="1:68" ht="27" hidden="1" customHeight="1" x14ac:dyDescent="0.25">
      <c r="A384" s="54" t="s">
        <v>585</v>
      </c>
      <c r="B384" s="54" t="s">
        <v>586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9"/>
      <c r="R384" s="549"/>
      <c r="S384" s="549"/>
      <c r="T384" s="550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587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588</v>
      </c>
      <c r="B385" s="54" t="s">
        <v>589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9"/>
      <c r="R385" s="549"/>
      <c r="S385" s="549"/>
      <c r="T385" s="550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591</v>
      </c>
      <c r="B386" s="54" t="s">
        <v>592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9"/>
      <c r="R386" s="549"/>
      <c r="S386" s="549"/>
      <c r="T386" s="550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69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9"/>
      <c r="R387" s="549"/>
      <c r="S387" s="549"/>
      <c r="T387" s="550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587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 t="s">
        <v>267</v>
      </c>
      <c r="M388" s="33" t="s">
        <v>68</v>
      </c>
      <c r="N388" s="33"/>
      <c r="O388" s="32">
        <v>50</v>
      </c>
      <c r="P388" s="7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9"/>
      <c r="R388" s="549"/>
      <c r="S388" s="549"/>
      <c r="T388" s="550"/>
      <c r="U388" s="34"/>
      <c r="V388" s="34"/>
      <c r="W388" s="35" t="s">
        <v>69</v>
      </c>
      <c r="X388" s="539">
        <v>14</v>
      </c>
      <c r="Y388" s="540">
        <f t="shared" si="36"/>
        <v>14.700000000000001</v>
      </c>
      <c r="Z388" s="36">
        <f t="shared" si="41"/>
        <v>3.5140000000000005E-2</v>
      </c>
      <c r="AA388" s="56"/>
      <c r="AB388" s="57"/>
      <c r="AC388" s="433" t="s">
        <v>587</v>
      </c>
      <c r="AG388" s="64"/>
      <c r="AJ388" s="68" t="s">
        <v>106</v>
      </c>
      <c r="AK388" s="68">
        <v>37.799999999999997</v>
      </c>
      <c r="BB388" s="434" t="s">
        <v>1</v>
      </c>
      <c r="BM388" s="64">
        <f t="shared" si="37"/>
        <v>14.866666666666665</v>
      </c>
      <c r="BN388" s="64">
        <f t="shared" si="38"/>
        <v>15.61</v>
      </c>
      <c r="BO388" s="64">
        <f t="shared" si="39"/>
        <v>2.8490028490028491E-2</v>
      </c>
      <c r="BP388" s="64">
        <f t="shared" si="40"/>
        <v>2.9914529914529919E-2</v>
      </c>
    </row>
    <row r="389" spans="1:68" ht="37.5" customHeight="1" x14ac:dyDescent="0.25">
      <c r="A389" s="54" t="s">
        <v>598</v>
      </c>
      <c r="B389" s="54" t="s">
        <v>599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 t="s">
        <v>267</v>
      </c>
      <c r="M389" s="33" t="s">
        <v>68</v>
      </c>
      <c r="N389" s="33"/>
      <c r="O389" s="32">
        <v>50</v>
      </c>
      <c r="P389" s="5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9"/>
      <c r="R389" s="549"/>
      <c r="S389" s="549"/>
      <c r="T389" s="550"/>
      <c r="U389" s="34"/>
      <c r="V389" s="34"/>
      <c r="W389" s="35" t="s">
        <v>69</v>
      </c>
      <c r="X389" s="539">
        <v>28</v>
      </c>
      <c r="Y389" s="540">
        <f t="shared" si="36"/>
        <v>29.400000000000002</v>
      </c>
      <c r="Z389" s="36">
        <f t="shared" si="41"/>
        <v>7.0280000000000009E-2</v>
      </c>
      <c r="AA389" s="56"/>
      <c r="AB389" s="57"/>
      <c r="AC389" s="435" t="s">
        <v>600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29.733333333333331</v>
      </c>
      <c r="BN389" s="64">
        <f t="shared" si="38"/>
        <v>31.22</v>
      </c>
      <c r="BO389" s="64">
        <f t="shared" si="39"/>
        <v>5.6980056980056981E-2</v>
      </c>
      <c r="BP389" s="64">
        <f t="shared" si="40"/>
        <v>5.9829059829059839E-2</v>
      </c>
    </row>
    <row r="390" spans="1:68" ht="27" hidden="1" customHeight="1" x14ac:dyDescent="0.25">
      <c r="A390" s="54" t="s">
        <v>601</v>
      </c>
      <c r="B390" s="54" t="s">
        <v>602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2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9"/>
      <c r="R390" s="549"/>
      <c r="S390" s="549"/>
      <c r="T390" s="550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267</v>
      </c>
      <c r="M391" s="33" t="s">
        <v>68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9"/>
      <c r="R391" s="549"/>
      <c r="S391" s="549"/>
      <c r="T391" s="550"/>
      <c r="U391" s="34"/>
      <c r="V391" s="34"/>
      <c r="W391" s="35" t="s">
        <v>69</v>
      </c>
      <c r="X391" s="539">
        <v>35</v>
      </c>
      <c r="Y391" s="540">
        <f t="shared" si="36"/>
        <v>35.700000000000003</v>
      </c>
      <c r="Z391" s="36">
        <f t="shared" si="41"/>
        <v>8.5339999999999999E-2</v>
      </c>
      <c r="AA391" s="56"/>
      <c r="AB391" s="57"/>
      <c r="AC391" s="439" t="s">
        <v>606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37.166666666666664</v>
      </c>
      <c r="BN391" s="64">
        <f t="shared" si="38"/>
        <v>37.910000000000004</v>
      </c>
      <c r="BO391" s="64">
        <f t="shared" si="39"/>
        <v>7.1225071225071226E-2</v>
      </c>
      <c r="BP391" s="64">
        <f t="shared" si="40"/>
        <v>7.2649572649572655E-2</v>
      </c>
    </row>
    <row r="392" spans="1:68" ht="37.5" hidden="1" customHeight="1" x14ac:dyDescent="0.25">
      <c r="A392" s="54" t="s">
        <v>607</v>
      </c>
      <c r="B392" s="54" t="s">
        <v>608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9"/>
      <c r="R392" s="549"/>
      <c r="S392" s="549"/>
      <c r="T392" s="550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5"/>
      <c r="B393" s="554"/>
      <c r="C393" s="554"/>
      <c r="D393" s="554"/>
      <c r="E393" s="554"/>
      <c r="F393" s="554"/>
      <c r="G393" s="554"/>
      <c r="H393" s="554"/>
      <c r="I393" s="554"/>
      <c r="J393" s="554"/>
      <c r="K393" s="554"/>
      <c r="L393" s="554"/>
      <c r="M393" s="554"/>
      <c r="N393" s="554"/>
      <c r="O393" s="566"/>
      <c r="P393" s="545" t="s">
        <v>71</v>
      </c>
      <c r="Q393" s="546"/>
      <c r="R393" s="546"/>
      <c r="S393" s="546"/>
      <c r="T393" s="546"/>
      <c r="U393" s="546"/>
      <c r="V393" s="547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36.666666666666664</v>
      </c>
      <c r="Y393" s="541">
        <f>IFERROR(Y384/H384,"0")+IFERROR(Y385/H385,"0")+IFERROR(Y386/H386,"0")+IFERROR(Y387/H387,"0")+IFERROR(Y388/H388,"0")+IFERROR(Y389/H389,"0")+IFERROR(Y390/H390,"0")+IFERROR(Y391/H391,"0")+IFERROR(Y392/H392,"0")</f>
        <v>38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0.19076000000000001</v>
      </c>
      <c r="AA393" s="542"/>
      <c r="AB393" s="542"/>
      <c r="AC393" s="542"/>
    </row>
    <row r="394" spans="1:68" x14ac:dyDescent="0.2">
      <c r="A394" s="554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66"/>
      <c r="P394" s="545" t="s">
        <v>71</v>
      </c>
      <c r="Q394" s="546"/>
      <c r="R394" s="546"/>
      <c r="S394" s="546"/>
      <c r="T394" s="546"/>
      <c r="U394" s="546"/>
      <c r="V394" s="547"/>
      <c r="W394" s="37" t="s">
        <v>69</v>
      </c>
      <c r="X394" s="541">
        <f>IFERROR(SUM(X384:X392),"0")</f>
        <v>77</v>
      </c>
      <c r="Y394" s="541">
        <f>IFERROR(SUM(Y384:Y392),"0")</f>
        <v>79.800000000000011</v>
      </c>
      <c r="Z394" s="37"/>
      <c r="AA394" s="542"/>
      <c r="AB394" s="542"/>
      <c r="AC394" s="542"/>
    </row>
    <row r="395" spans="1:68" ht="14.25" hidden="1" customHeight="1" x14ac:dyDescent="0.25">
      <c r="A395" s="556" t="s">
        <v>73</v>
      </c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4"/>
      <c r="P395" s="554"/>
      <c r="Q395" s="554"/>
      <c r="R395" s="554"/>
      <c r="S395" s="554"/>
      <c r="T395" s="554"/>
      <c r="U395" s="554"/>
      <c r="V395" s="554"/>
      <c r="W395" s="554"/>
      <c r="X395" s="554"/>
      <c r="Y395" s="554"/>
      <c r="Z395" s="554"/>
      <c r="AA395" s="535"/>
      <c r="AB395" s="535"/>
      <c r="AC395" s="535"/>
    </row>
    <row r="396" spans="1:68" ht="27" hidden="1" customHeight="1" x14ac:dyDescent="0.25">
      <c r="A396" s="54" t="s">
        <v>609</v>
      </c>
      <c r="B396" s="54" t="s">
        <v>610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9"/>
      <c r="R396" s="549"/>
      <c r="S396" s="549"/>
      <c r="T396" s="550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611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612</v>
      </c>
      <c r="B397" s="54" t="s">
        <v>613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9"/>
      <c r="R397" s="549"/>
      <c r="S397" s="549"/>
      <c r="T397" s="550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65"/>
      <c r="B398" s="554"/>
      <c r="C398" s="554"/>
      <c r="D398" s="554"/>
      <c r="E398" s="554"/>
      <c r="F398" s="554"/>
      <c r="G398" s="554"/>
      <c r="H398" s="554"/>
      <c r="I398" s="554"/>
      <c r="J398" s="554"/>
      <c r="K398" s="554"/>
      <c r="L398" s="554"/>
      <c r="M398" s="554"/>
      <c r="N398" s="554"/>
      <c r="O398" s="566"/>
      <c r="P398" s="545" t="s">
        <v>71</v>
      </c>
      <c r="Q398" s="546"/>
      <c r="R398" s="546"/>
      <c r="S398" s="546"/>
      <c r="T398" s="546"/>
      <c r="U398" s="546"/>
      <c r="V398" s="547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54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66"/>
      <c r="P399" s="545" t="s">
        <v>71</v>
      </c>
      <c r="Q399" s="546"/>
      <c r="R399" s="546"/>
      <c r="S399" s="546"/>
      <c r="T399" s="546"/>
      <c r="U399" s="546"/>
      <c r="V399" s="547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53" t="s">
        <v>615</v>
      </c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4"/>
      <c r="P400" s="554"/>
      <c r="Q400" s="554"/>
      <c r="R400" s="554"/>
      <c r="S400" s="554"/>
      <c r="T400" s="554"/>
      <c r="U400" s="554"/>
      <c r="V400" s="554"/>
      <c r="W400" s="554"/>
      <c r="X400" s="554"/>
      <c r="Y400" s="554"/>
      <c r="Z400" s="554"/>
      <c r="AA400" s="534"/>
      <c r="AB400" s="534"/>
      <c r="AC400" s="534"/>
    </row>
    <row r="401" spans="1:68" ht="14.25" hidden="1" customHeight="1" x14ac:dyDescent="0.25">
      <c r="A401" s="556" t="s">
        <v>135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5"/>
      <c r="AB401" s="535"/>
      <c r="AC401" s="535"/>
    </row>
    <row r="402" spans="1:68" ht="27" hidden="1" customHeight="1" x14ac:dyDescent="0.25">
      <c r="A402" s="54" t="s">
        <v>616</v>
      </c>
      <c r="B402" s="54" t="s">
        <v>617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54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9"/>
      <c r="R402" s="549"/>
      <c r="S402" s="549"/>
      <c r="T402" s="550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618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5"/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66"/>
      <c r="P403" s="545" t="s">
        <v>71</v>
      </c>
      <c r="Q403" s="546"/>
      <c r="R403" s="546"/>
      <c r="S403" s="546"/>
      <c r="T403" s="546"/>
      <c r="U403" s="546"/>
      <c r="V403" s="547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54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66"/>
      <c r="P404" s="545" t="s">
        <v>71</v>
      </c>
      <c r="Q404" s="546"/>
      <c r="R404" s="546"/>
      <c r="S404" s="546"/>
      <c r="T404" s="546"/>
      <c r="U404" s="546"/>
      <c r="V404" s="547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6" t="s">
        <v>64</v>
      </c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4"/>
      <c r="P405" s="554"/>
      <c r="Q405" s="554"/>
      <c r="R405" s="554"/>
      <c r="S405" s="554"/>
      <c r="T405" s="554"/>
      <c r="U405" s="554"/>
      <c r="V405" s="554"/>
      <c r="W405" s="554"/>
      <c r="X405" s="554"/>
      <c r="Y405" s="554"/>
      <c r="Z405" s="554"/>
      <c r="AA405" s="535"/>
      <c r="AB405" s="535"/>
      <c r="AC405" s="535"/>
    </row>
    <row r="406" spans="1:68" ht="27" hidden="1" customHeight="1" x14ac:dyDescent="0.25">
      <c r="A406" s="54" t="s">
        <v>619</v>
      </c>
      <c r="B406" s="54" t="s">
        <v>620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9"/>
      <c r="R406" s="549"/>
      <c r="S406" s="549"/>
      <c r="T406" s="550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621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622</v>
      </c>
      <c r="B407" s="54" t="s">
        <v>623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9"/>
      <c r="R407" s="549"/>
      <c r="S407" s="549"/>
      <c r="T407" s="550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624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9"/>
      <c r="R408" s="549"/>
      <c r="S408" s="549"/>
      <c r="T408" s="550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9"/>
      <c r="R409" s="549"/>
      <c r="S409" s="549"/>
      <c r="T409" s="550"/>
      <c r="U409" s="34"/>
      <c r="V409" s="34"/>
      <c r="W409" s="35" t="s">
        <v>69</v>
      </c>
      <c r="X409" s="539">
        <v>10.5</v>
      </c>
      <c r="Y409" s="540">
        <f>IFERROR(IF(X409="",0,CEILING((X409/$H409),1)*$H409),"")</f>
        <v>10.5</v>
      </c>
      <c r="Z409" s="36">
        <f>IFERROR(IF(Y409=0,"",ROUNDUP(Y409/H409,0)*0.00502),"")</f>
        <v>2.5100000000000001E-2</v>
      </c>
      <c r="AA409" s="56"/>
      <c r="AB409" s="57"/>
      <c r="AC409" s="455" t="s">
        <v>627</v>
      </c>
      <c r="AG409" s="64"/>
      <c r="AJ409" s="68"/>
      <c r="AK409" s="68">
        <v>0</v>
      </c>
      <c r="BB409" s="456" t="s">
        <v>1</v>
      </c>
      <c r="BM409" s="64">
        <f>IFERROR(X409*I409/H409,"0")</f>
        <v>11.149999999999999</v>
      </c>
      <c r="BN409" s="64">
        <f>IFERROR(Y409*I409/H409,"0")</f>
        <v>11.149999999999999</v>
      </c>
      <c r="BO409" s="64">
        <f>IFERROR(1/J409*(X409/H409),"0")</f>
        <v>2.1367521367521368E-2</v>
      </c>
      <c r="BP409" s="64">
        <f>IFERROR(1/J409*(Y409/H409),"0")</f>
        <v>2.1367521367521368E-2</v>
      </c>
    </row>
    <row r="410" spans="1:68" x14ac:dyDescent="0.2">
      <c r="A410" s="565"/>
      <c r="B410" s="554"/>
      <c r="C410" s="554"/>
      <c r="D410" s="554"/>
      <c r="E410" s="554"/>
      <c r="F410" s="554"/>
      <c r="G410" s="554"/>
      <c r="H410" s="554"/>
      <c r="I410" s="554"/>
      <c r="J410" s="554"/>
      <c r="K410" s="554"/>
      <c r="L410" s="554"/>
      <c r="M410" s="554"/>
      <c r="N410" s="554"/>
      <c r="O410" s="566"/>
      <c r="P410" s="545" t="s">
        <v>71</v>
      </c>
      <c r="Q410" s="546"/>
      <c r="R410" s="546"/>
      <c r="S410" s="546"/>
      <c r="T410" s="546"/>
      <c r="U410" s="546"/>
      <c r="V410" s="547"/>
      <c r="W410" s="37" t="s">
        <v>72</v>
      </c>
      <c r="X410" s="541">
        <f>IFERROR(X406/H406,"0")+IFERROR(X407/H407,"0")+IFERROR(X408/H408,"0")+IFERROR(X409/H409,"0")</f>
        <v>5</v>
      </c>
      <c r="Y410" s="541">
        <f>IFERROR(Y406/H406,"0")+IFERROR(Y407/H407,"0")+IFERROR(Y408/H408,"0")+IFERROR(Y409/H409,"0")</f>
        <v>5</v>
      </c>
      <c r="Z410" s="541">
        <f>IFERROR(IF(Z406="",0,Z406),"0")+IFERROR(IF(Z407="",0,Z407),"0")+IFERROR(IF(Z408="",0,Z408),"0")+IFERROR(IF(Z409="",0,Z409),"0")</f>
        <v>2.5100000000000001E-2</v>
      </c>
      <c r="AA410" s="542"/>
      <c r="AB410" s="542"/>
      <c r="AC410" s="542"/>
    </row>
    <row r="411" spans="1:68" x14ac:dyDescent="0.2">
      <c r="A411" s="554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66"/>
      <c r="P411" s="545" t="s">
        <v>71</v>
      </c>
      <c r="Q411" s="546"/>
      <c r="R411" s="546"/>
      <c r="S411" s="546"/>
      <c r="T411" s="546"/>
      <c r="U411" s="546"/>
      <c r="V411" s="547"/>
      <c r="W411" s="37" t="s">
        <v>69</v>
      </c>
      <c r="X411" s="541">
        <f>IFERROR(SUM(X406:X409),"0")</f>
        <v>10.5</v>
      </c>
      <c r="Y411" s="541">
        <f>IFERROR(SUM(Y406:Y409),"0")</f>
        <v>10.5</v>
      </c>
      <c r="Z411" s="37"/>
      <c r="AA411" s="542"/>
      <c r="AB411" s="542"/>
      <c r="AC411" s="542"/>
    </row>
    <row r="412" spans="1:68" ht="16.5" hidden="1" customHeight="1" x14ac:dyDescent="0.25">
      <c r="A412" s="553" t="s">
        <v>630</v>
      </c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4"/>
      <c r="P412" s="554"/>
      <c r="Q412" s="554"/>
      <c r="R412" s="554"/>
      <c r="S412" s="554"/>
      <c r="T412" s="554"/>
      <c r="U412" s="554"/>
      <c r="V412" s="554"/>
      <c r="W412" s="554"/>
      <c r="X412" s="554"/>
      <c r="Y412" s="554"/>
      <c r="Z412" s="554"/>
      <c r="AA412" s="534"/>
      <c r="AB412" s="534"/>
      <c r="AC412" s="534"/>
    </row>
    <row r="413" spans="1:68" ht="14.25" hidden="1" customHeight="1" x14ac:dyDescent="0.25">
      <c r="A413" s="556" t="s">
        <v>64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5"/>
      <c r="AB413" s="535"/>
      <c r="AC413" s="535"/>
    </row>
    <row r="414" spans="1:68" ht="27" customHeight="1" x14ac:dyDescent="0.25">
      <c r="A414" s="54" t="s">
        <v>631</v>
      </c>
      <c r="B414" s="54" t="s">
        <v>632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 t="s">
        <v>213</v>
      </c>
      <c r="M414" s="33" t="s">
        <v>68</v>
      </c>
      <c r="N414" s="33"/>
      <c r="O414" s="32">
        <v>50</v>
      </c>
      <c r="P414" s="6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9"/>
      <c r="R414" s="549"/>
      <c r="S414" s="549"/>
      <c r="T414" s="550"/>
      <c r="U414" s="34"/>
      <c r="V414" s="34"/>
      <c r="W414" s="35" t="s">
        <v>69</v>
      </c>
      <c r="X414" s="539">
        <v>30</v>
      </c>
      <c r="Y414" s="540">
        <f>IFERROR(IF(X414="",0,CEILING((X414/$H414),1)*$H414),"")</f>
        <v>30</v>
      </c>
      <c r="Z414" s="36">
        <f>IFERROR(IF(Y414=0,"",ROUNDUP(Y414/H414,0)*0.00651),"")</f>
        <v>0.16275000000000001</v>
      </c>
      <c r="AA414" s="56"/>
      <c r="AB414" s="57"/>
      <c r="AC414" s="457" t="s">
        <v>633</v>
      </c>
      <c r="AG414" s="64"/>
      <c r="AJ414" s="68" t="s">
        <v>106</v>
      </c>
      <c r="AK414" s="68">
        <v>16.8</v>
      </c>
      <c r="BB414" s="458" t="s">
        <v>1</v>
      </c>
      <c r="BM414" s="64">
        <f>IFERROR(X414*I414/H414,"0")</f>
        <v>52.5</v>
      </c>
      <c r="BN414" s="64">
        <f>IFERROR(Y414*I414/H414,"0")</f>
        <v>52.5</v>
      </c>
      <c r="BO414" s="64">
        <f>IFERROR(1/J414*(X414/H414),"0")</f>
        <v>0.13736263736263737</v>
      </c>
      <c r="BP414" s="64">
        <f>IFERROR(1/J414*(Y414/H414),"0")</f>
        <v>0.13736263736263737</v>
      </c>
    </row>
    <row r="415" spans="1:68" x14ac:dyDescent="0.2">
      <c r="A415" s="565"/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66"/>
      <c r="P415" s="545" t="s">
        <v>71</v>
      </c>
      <c r="Q415" s="546"/>
      <c r="R415" s="546"/>
      <c r="S415" s="546"/>
      <c r="T415" s="546"/>
      <c r="U415" s="546"/>
      <c r="V415" s="547"/>
      <c r="W415" s="37" t="s">
        <v>72</v>
      </c>
      <c r="X415" s="541">
        <f>IFERROR(X414/H414,"0")</f>
        <v>25</v>
      </c>
      <c r="Y415" s="541">
        <f>IFERROR(Y414/H414,"0")</f>
        <v>25</v>
      </c>
      <c r="Z415" s="541">
        <f>IFERROR(IF(Z414="",0,Z414),"0")</f>
        <v>0.16275000000000001</v>
      </c>
      <c r="AA415" s="542"/>
      <c r="AB415" s="542"/>
      <c r="AC415" s="542"/>
    </row>
    <row r="416" spans="1:68" x14ac:dyDescent="0.2">
      <c r="A416" s="554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66"/>
      <c r="P416" s="545" t="s">
        <v>71</v>
      </c>
      <c r="Q416" s="546"/>
      <c r="R416" s="546"/>
      <c r="S416" s="546"/>
      <c r="T416" s="546"/>
      <c r="U416" s="546"/>
      <c r="V416" s="547"/>
      <c r="W416" s="37" t="s">
        <v>69</v>
      </c>
      <c r="X416" s="541">
        <f>IFERROR(SUM(X414:X414),"0")</f>
        <v>30</v>
      </c>
      <c r="Y416" s="541">
        <f>IFERROR(SUM(Y414:Y414),"0")</f>
        <v>30</v>
      </c>
      <c r="Z416" s="37"/>
      <c r="AA416" s="542"/>
      <c r="AB416" s="542"/>
      <c r="AC416" s="542"/>
    </row>
    <row r="417" spans="1:68" ht="27.75" hidden="1" customHeight="1" x14ac:dyDescent="0.2">
      <c r="A417" s="694" t="s">
        <v>634</v>
      </c>
      <c r="B417" s="695"/>
      <c r="C417" s="695"/>
      <c r="D417" s="695"/>
      <c r="E417" s="695"/>
      <c r="F417" s="695"/>
      <c r="G417" s="695"/>
      <c r="H417" s="695"/>
      <c r="I417" s="695"/>
      <c r="J417" s="695"/>
      <c r="K417" s="695"/>
      <c r="L417" s="695"/>
      <c r="M417" s="695"/>
      <c r="N417" s="695"/>
      <c r="O417" s="695"/>
      <c r="P417" s="695"/>
      <c r="Q417" s="695"/>
      <c r="R417" s="695"/>
      <c r="S417" s="695"/>
      <c r="T417" s="695"/>
      <c r="U417" s="695"/>
      <c r="V417" s="695"/>
      <c r="W417" s="695"/>
      <c r="X417" s="695"/>
      <c r="Y417" s="695"/>
      <c r="Z417" s="695"/>
      <c r="AA417" s="48"/>
      <c r="AB417" s="48"/>
      <c r="AC417" s="48"/>
    </row>
    <row r="418" spans="1:68" ht="16.5" hidden="1" customHeight="1" x14ac:dyDescent="0.25">
      <c r="A418" s="553" t="s">
        <v>634</v>
      </c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4"/>
      <c r="P418" s="554"/>
      <c r="Q418" s="554"/>
      <c r="R418" s="554"/>
      <c r="S418" s="554"/>
      <c r="T418" s="554"/>
      <c r="U418" s="554"/>
      <c r="V418" s="554"/>
      <c r="W418" s="554"/>
      <c r="X418" s="554"/>
      <c r="Y418" s="554"/>
      <c r="Z418" s="554"/>
      <c r="AA418" s="534"/>
      <c r="AB418" s="534"/>
      <c r="AC418" s="534"/>
    </row>
    <row r="419" spans="1:68" ht="14.25" hidden="1" customHeight="1" x14ac:dyDescent="0.25">
      <c r="A419" s="556" t="s">
        <v>99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5"/>
      <c r="AB419" s="535"/>
      <c r="AC419" s="535"/>
    </row>
    <row r="420" spans="1:68" ht="27" customHeight="1" x14ac:dyDescent="0.25">
      <c r="A420" s="54" t="s">
        <v>635</v>
      </c>
      <c r="B420" s="54" t="s">
        <v>636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9"/>
      <c r="R420" s="549"/>
      <c r="S420" s="549"/>
      <c r="T420" s="550"/>
      <c r="U420" s="34"/>
      <c r="V420" s="34"/>
      <c r="W420" s="35" t="s">
        <v>69</v>
      </c>
      <c r="X420" s="539">
        <v>120</v>
      </c>
      <c r="Y420" s="540">
        <f t="shared" ref="Y420:Y430" si="42">IFERROR(IF(X420="",0,CEILING((X420/$H420),1)*$H420),"")</f>
        <v>121.44000000000001</v>
      </c>
      <c r="Z420" s="36">
        <f t="shared" ref="Z420:Z425" si="43">IFERROR(IF(Y420=0,"",ROUNDUP(Y420/H420,0)*0.01196),"")</f>
        <v>0.27507999999999999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127.95454545454545</v>
      </c>
      <c r="BN420" s="64">
        <f t="shared" ref="BN420:BN430" si="45">IFERROR(Y420*I420/H420,"0")</f>
        <v>129.49</v>
      </c>
      <c r="BO420" s="64">
        <f t="shared" ref="BO420:BO430" si="46">IFERROR(1/J420*(X420/H420),"0")</f>
        <v>0.21853146853146854</v>
      </c>
      <c r="BP420" s="64">
        <f t="shared" ref="BP420:BP430" si="47">IFERROR(1/J420*(Y420/H420),"0")</f>
        <v>0.22115384615384617</v>
      </c>
    </row>
    <row r="421" spans="1:68" ht="27" hidden="1" customHeight="1" x14ac:dyDescent="0.25">
      <c r="A421" s="54" t="s">
        <v>637</v>
      </c>
      <c r="B421" s="54" t="s">
        <v>638</v>
      </c>
      <c r="C421" s="31">
        <v>4301012145</v>
      </c>
      <c r="D421" s="543">
        <v>4607091383522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9"/>
      <c r="R421" s="549"/>
      <c r="S421" s="549"/>
      <c r="T421" s="550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639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hidden="1" customHeight="1" x14ac:dyDescent="0.25">
      <c r="A422" s="54" t="s">
        <v>640</v>
      </c>
      <c r="B422" s="54" t="s">
        <v>641</v>
      </c>
      <c r="C422" s="31">
        <v>4301011961</v>
      </c>
      <c r="D422" s="543">
        <v>4680115885271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9"/>
      <c r="R422" s="549"/>
      <c r="S422" s="549"/>
      <c r="T422" s="550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4301011376</v>
      </c>
      <c r="D423" s="543">
        <v>4680115885226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9"/>
      <c r="R423" s="549"/>
      <c r="S423" s="549"/>
      <c r="T423" s="550"/>
      <c r="U423" s="34"/>
      <c r="V423" s="34"/>
      <c r="W423" s="35" t="s">
        <v>69</v>
      </c>
      <c r="X423" s="539">
        <v>60</v>
      </c>
      <c r="Y423" s="540">
        <f t="shared" si="42"/>
        <v>63.36</v>
      </c>
      <c r="Z423" s="36">
        <f t="shared" si="43"/>
        <v>0.14352000000000001</v>
      </c>
      <c r="AA423" s="56"/>
      <c r="AB423" s="57"/>
      <c r="AC423" s="465" t="s">
        <v>645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63.977272727272727</v>
      </c>
      <c r="BN423" s="64">
        <f t="shared" si="45"/>
        <v>67.559999999999988</v>
      </c>
      <c r="BO423" s="64">
        <f t="shared" si="46"/>
        <v>0.10926573426573427</v>
      </c>
      <c r="BP423" s="64">
        <f t="shared" si="47"/>
        <v>0.11538461538461539</v>
      </c>
    </row>
    <row r="424" spans="1:68" ht="16.5" hidden="1" customHeight="1" x14ac:dyDescent="0.25">
      <c r="A424" s="54" t="s">
        <v>646</v>
      </c>
      <c r="B424" s="54" t="s">
        <v>647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9"/>
      <c r="R424" s="549"/>
      <c r="S424" s="549"/>
      <c r="T424" s="550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648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649</v>
      </c>
      <c r="B425" s="54" t="s">
        <v>650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9"/>
      <c r="R425" s="549"/>
      <c r="S425" s="549"/>
      <c r="T425" s="550"/>
      <c r="U425" s="34"/>
      <c r="V425" s="34"/>
      <c r="W425" s="35" t="s">
        <v>69</v>
      </c>
      <c r="X425" s="539">
        <v>200</v>
      </c>
      <c r="Y425" s="540">
        <f t="shared" si="42"/>
        <v>200.64000000000001</v>
      </c>
      <c r="Z425" s="36">
        <f t="shared" si="43"/>
        <v>0.45448</v>
      </c>
      <c r="AA425" s="56"/>
      <c r="AB425" s="57"/>
      <c r="AC425" s="469" t="s">
        <v>651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213.25757575757575</v>
      </c>
      <c r="BN425" s="64">
        <f t="shared" si="45"/>
        <v>213.94</v>
      </c>
      <c r="BO425" s="64">
        <f t="shared" si="46"/>
        <v>0.36421911421911418</v>
      </c>
      <c r="BP425" s="64">
        <f t="shared" si="47"/>
        <v>0.36538461538461542</v>
      </c>
    </row>
    <row r="426" spans="1:68" ht="27" hidden="1" customHeight="1" x14ac:dyDescent="0.25">
      <c r="A426" s="54" t="s">
        <v>652</v>
      </c>
      <c r="B426" s="54" t="s">
        <v>653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9"/>
      <c r="R426" s="549"/>
      <c r="S426" s="549"/>
      <c r="T426" s="550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9"/>
      <c r="R427" s="549"/>
      <c r="S427" s="549"/>
      <c r="T427" s="550"/>
      <c r="U427" s="34"/>
      <c r="V427" s="34"/>
      <c r="W427" s="35" t="s">
        <v>69</v>
      </c>
      <c r="X427" s="539">
        <v>36</v>
      </c>
      <c r="Y427" s="540">
        <f t="shared" si="42"/>
        <v>38.4</v>
      </c>
      <c r="Z427" s="36">
        <f>IFERROR(IF(Y427=0,"",ROUNDUP(Y427/H427,0)*0.00902),"")</f>
        <v>7.2160000000000002E-2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51.825000000000003</v>
      </c>
      <c r="BN427" s="64">
        <f t="shared" si="45"/>
        <v>55.28</v>
      </c>
      <c r="BO427" s="64">
        <f t="shared" si="46"/>
        <v>5.6818181818181823E-2</v>
      </c>
      <c r="BP427" s="64">
        <f t="shared" si="47"/>
        <v>6.0606060606060608E-2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9"/>
      <c r="R428" s="549"/>
      <c r="S428" s="549"/>
      <c r="T428" s="550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642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5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9"/>
      <c r="R429" s="549"/>
      <c r="S429" s="549"/>
      <c r="T429" s="550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3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9"/>
      <c r="R430" s="549"/>
      <c r="S430" s="549"/>
      <c r="T430" s="550"/>
      <c r="U430" s="34"/>
      <c r="V430" s="34"/>
      <c r="W430" s="35" t="s">
        <v>69</v>
      </c>
      <c r="X430" s="539">
        <v>60</v>
      </c>
      <c r="Y430" s="540">
        <f t="shared" si="42"/>
        <v>62.4</v>
      </c>
      <c r="Z430" s="36">
        <f>IFERROR(IF(Y430=0,"",ROUNDUP(Y430/H430,0)*0.00902),"")</f>
        <v>0.11726</v>
      </c>
      <c r="AA430" s="56"/>
      <c r="AB430" s="57"/>
      <c r="AC430" s="479" t="s">
        <v>651</v>
      </c>
      <c r="AG430" s="64"/>
      <c r="AJ430" s="68"/>
      <c r="AK430" s="68">
        <v>0</v>
      </c>
      <c r="BB430" s="480" t="s">
        <v>1</v>
      </c>
      <c r="BM430" s="64">
        <f t="shared" si="44"/>
        <v>86.375000000000014</v>
      </c>
      <c r="BN430" s="64">
        <f t="shared" si="45"/>
        <v>89.830000000000013</v>
      </c>
      <c r="BO430" s="64">
        <f t="shared" si="46"/>
        <v>9.4696969696969696E-2</v>
      </c>
      <c r="BP430" s="64">
        <f t="shared" si="47"/>
        <v>9.8484848484848481E-2</v>
      </c>
    </row>
    <row r="431" spans="1:68" x14ac:dyDescent="0.2">
      <c r="A431" s="565"/>
      <c r="B431" s="554"/>
      <c r="C431" s="554"/>
      <c r="D431" s="554"/>
      <c r="E431" s="554"/>
      <c r="F431" s="554"/>
      <c r="G431" s="554"/>
      <c r="H431" s="554"/>
      <c r="I431" s="554"/>
      <c r="J431" s="554"/>
      <c r="K431" s="554"/>
      <c r="L431" s="554"/>
      <c r="M431" s="554"/>
      <c r="N431" s="554"/>
      <c r="O431" s="566"/>
      <c r="P431" s="545" t="s">
        <v>71</v>
      </c>
      <c r="Q431" s="546"/>
      <c r="R431" s="546"/>
      <c r="S431" s="546"/>
      <c r="T431" s="546"/>
      <c r="U431" s="546"/>
      <c r="V431" s="547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91.969696969696969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94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1.0625</v>
      </c>
      <c r="AA431" s="542"/>
      <c r="AB431" s="542"/>
      <c r="AC431" s="542"/>
    </row>
    <row r="432" spans="1:68" x14ac:dyDescent="0.2">
      <c r="A432" s="554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66"/>
      <c r="P432" s="545" t="s">
        <v>71</v>
      </c>
      <c r="Q432" s="546"/>
      <c r="R432" s="546"/>
      <c r="S432" s="546"/>
      <c r="T432" s="546"/>
      <c r="U432" s="546"/>
      <c r="V432" s="547"/>
      <c r="W432" s="37" t="s">
        <v>69</v>
      </c>
      <c r="X432" s="541">
        <f>IFERROR(SUM(X420:X430),"0")</f>
        <v>476</v>
      </c>
      <c r="Y432" s="541">
        <f>IFERROR(SUM(Y420:Y430),"0")</f>
        <v>486.24</v>
      </c>
      <c r="Z432" s="37"/>
      <c r="AA432" s="542"/>
      <c r="AB432" s="542"/>
      <c r="AC432" s="542"/>
    </row>
    <row r="433" spans="1:68" ht="14.25" hidden="1" customHeight="1" x14ac:dyDescent="0.25">
      <c r="A433" s="556" t="s">
        <v>135</v>
      </c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4"/>
      <c r="P433" s="554"/>
      <c r="Q433" s="554"/>
      <c r="R433" s="554"/>
      <c r="S433" s="554"/>
      <c r="T433" s="554"/>
      <c r="U433" s="554"/>
      <c r="V433" s="554"/>
      <c r="W433" s="554"/>
      <c r="X433" s="554"/>
      <c r="Y433" s="554"/>
      <c r="Z433" s="554"/>
      <c r="AA433" s="535"/>
      <c r="AB433" s="535"/>
      <c r="AC433" s="535"/>
    </row>
    <row r="434" spans="1:68" ht="16.5" customHeight="1" x14ac:dyDescent="0.25">
      <c r="A434" s="54" t="s">
        <v>663</v>
      </c>
      <c r="B434" s="54" t="s">
        <v>664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3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9"/>
      <c r="R434" s="549"/>
      <c r="S434" s="549"/>
      <c r="T434" s="550"/>
      <c r="U434" s="34"/>
      <c r="V434" s="34"/>
      <c r="W434" s="35" t="s">
        <v>69</v>
      </c>
      <c r="X434" s="539">
        <v>200</v>
      </c>
      <c r="Y434" s="540">
        <f>IFERROR(IF(X434="",0,CEILING((X434/$H434),1)*$H434),"")</f>
        <v>200.64000000000001</v>
      </c>
      <c r="Z434" s="36">
        <f>IFERROR(IF(Y434=0,"",ROUNDUP(Y434/H434,0)*0.01196),"")</f>
        <v>0.45448</v>
      </c>
      <c r="AA434" s="56"/>
      <c r="AB434" s="57"/>
      <c r="AC434" s="481" t="s">
        <v>665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213.25757575757575</v>
      </c>
      <c r="BN434" s="64">
        <f>IFERROR(Y434*I434/H434,"0")</f>
        <v>213.94</v>
      </c>
      <c r="BO434" s="64">
        <f>IFERROR(1/J434*(X434/H434),"0")</f>
        <v>0.36421911421911418</v>
      </c>
      <c r="BP434" s="64">
        <f>IFERROR(1/J434*(Y434/H434),"0")</f>
        <v>0.36538461538461542</v>
      </c>
    </row>
    <row r="435" spans="1:68" ht="16.5" hidden="1" customHeight="1" x14ac:dyDescent="0.25">
      <c r="A435" s="54" t="s">
        <v>666</v>
      </c>
      <c r="B435" s="54" t="s">
        <v>667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9"/>
      <c r="R435" s="549"/>
      <c r="S435" s="549"/>
      <c r="T435" s="550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665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2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9"/>
      <c r="R436" s="549"/>
      <c r="S436" s="549"/>
      <c r="T436" s="550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665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5"/>
      <c r="B437" s="554"/>
      <c r="C437" s="554"/>
      <c r="D437" s="554"/>
      <c r="E437" s="554"/>
      <c r="F437" s="554"/>
      <c r="G437" s="554"/>
      <c r="H437" s="554"/>
      <c r="I437" s="554"/>
      <c r="J437" s="554"/>
      <c r="K437" s="554"/>
      <c r="L437" s="554"/>
      <c r="M437" s="554"/>
      <c r="N437" s="554"/>
      <c r="O437" s="566"/>
      <c r="P437" s="545" t="s">
        <v>71</v>
      </c>
      <c r="Q437" s="546"/>
      <c r="R437" s="546"/>
      <c r="S437" s="546"/>
      <c r="T437" s="546"/>
      <c r="U437" s="546"/>
      <c r="V437" s="547"/>
      <c r="W437" s="37" t="s">
        <v>72</v>
      </c>
      <c r="X437" s="541">
        <f>IFERROR(X434/H434,"0")+IFERROR(X435/H435,"0")+IFERROR(X436/H436,"0")</f>
        <v>37.878787878787875</v>
      </c>
      <c r="Y437" s="541">
        <f>IFERROR(Y434/H434,"0")+IFERROR(Y435/H435,"0")+IFERROR(Y436/H436,"0")</f>
        <v>38</v>
      </c>
      <c r="Z437" s="541">
        <f>IFERROR(IF(Z434="",0,Z434),"0")+IFERROR(IF(Z435="",0,Z435),"0")+IFERROR(IF(Z436="",0,Z436),"0")</f>
        <v>0.45448</v>
      </c>
      <c r="AA437" s="542"/>
      <c r="AB437" s="542"/>
      <c r="AC437" s="542"/>
    </row>
    <row r="438" spans="1:68" x14ac:dyDescent="0.2">
      <c r="A438" s="554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66"/>
      <c r="P438" s="545" t="s">
        <v>71</v>
      </c>
      <c r="Q438" s="546"/>
      <c r="R438" s="546"/>
      <c r="S438" s="546"/>
      <c r="T438" s="546"/>
      <c r="U438" s="546"/>
      <c r="V438" s="547"/>
      <c r="W438" s="37" t="s">
        <v>69</v>
      </c>
      <c r="X438" s="541">
        <f>IFERROR(SUM(X434:X436),"0")</f>
        <v>200</v>
      </c>
      <c r="Y438" s="541">
        <f>IFERROR(SUM(Y434:Y436),"0")</f>
        <v>200.64000000000001</v>
      </c>
      <c r="Z438" s="37"/>
      <c r="AA438" s="542"/>
      <c r="AB438" s="542"/>
      <c r="AC438" s="542"/>
    </row>
    <row r="439" spans="1:68" ht="14.25" hidden="1" customHeight="1" x14ac:dyDescent="0.25">
      <c r="A439" s="556" t="s">
        <v>64</v>
      </c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4"/>
      <c r="P439" s="554"/>
      <c r="Q439" s="554"/>
      <c r="R439" s="554"/>
      <c r="S439" s="554"/>
      <c r="T439" s="554"/>
      <c r="U439" s="554"/>
      <c r="V439" s="554"/>
      <c r="W439" s="554"/>
      <c r="X439" s="554"/>
      <c r="Y439" s="554"/>
      <c r="Z439" s="554"/>
      <c r="AA439" s="535"/>
      <c r="AB439" s="535"/>
      <c r="AC439" s="535"/>
    </row>
    <row r="440" spans="1:68" ht="27" customHeight="1" x14ac:dyDescent="0.25">
      <c r="A440" s="54" t="s">
        <v>670</v>
      </c>
      <c r="B440" s="54" t="s">
        <v>671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9"/>
      <c r="R440" s="549"/>
      <c r="S440" s="549"/>
      <c r="T440" s="550"/>
      <c r="U440" s="34"/>
      <c r="V440" s="34"/>
      <c r="W440" s="35" t="s">
        <v>69</v>
      </c>
      <c r="X440" s="539">
        <v>100</v>
      </c>
      <c r="Y440" s="540">
        <f t="shared" ref="Y440:Y445" si="48">IFERROR(IF(X440="",0,CEILING((X440/$H440),1)*$H440),"")</f>
        <v>100.32000000000001</v>
      </c>
      <c r="Z440" s="36">
        <f>IFERROR(IF(Y440=0,"",ROUNDUP(Y440/H440,0)*0.01196),"")</f>
        <v>0.22724</v>
      </c>
      <c r="AA440" s="56"/>
      <c r="AB440" s="57"/>
      <c r="AC440" s="487" t="s">
        <v>672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106.62878787878788</v>
      </c>
      <c r="BN440" s="64">
        <f t="shared" ref="BN440:BN445" si="50">IFERROR(Y440*I440/H440,"0")</f>
        <v>106.97</v>
      </c>
      <c r="BO440" s="64">
        <f t="shared" ref="BO440:BO445" si="51">IFERROR(1/J440*(X440/H440),"0")</f>
        <v>0.18210955710955709</v>
      </c>
      <c r="BP440" s="64">
        <f t="shared" ref="BP440:BP445" si="52">IFERROR(1/J440*(Y440/H440),"0")</f>
        <v>0.18269230769230771</v>
      </c>
    </row>
    <row r="441" spans="1:68" ht="27" customHeight="1" x14ac:dyDescent="0.25">
      <c r="A441" s="54" t="s">
        <v>673</v>
      </c>
      <c r="B441" s="54" t="s">
        <v>674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1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9"/>
      <c r="R441" s="549"/>
      <c r="S441" s="549"/>
      <c r="T441" s="550"/>
      <c r="U441" s="34"/>
      <c r="V441" s="34"/>
      <c r="W441" s="35" t="s">
        <v>69</v>
      </c>
      <c r="X441" s="539">
        <v>80</v>
      </c>
      <c r="Y441" s="540">
        <f t="shared" si="48"/>
        <v>84.48</v>
      </c>
      <c r="Z441" s="36">
        <f>IFERROR(IF(Y441=0,"",ROUNDUP(Y441/H441,0)*0.01196),"")</f>
        <v>0.19136</v>
      </c>
      <c r="AA441" s="56"/>
      <c r="AB441" s="57"/>
      <c r="AC441" s="489" t="s">
        <v>675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85.303030303030297</v>
      </c>
      <c r="BN441" s="64">
        <f t="shared" si="50"/>
        <v>90.08</v>
      </c>
      <c r="BO441" s="64">
        <f t="shared" si="51"/>
        <v>0.14568764568764569</v>
      </c>
      <c r="BP441" s="64">
        <f t="shared" si="52"/>
        <v>0.15384615384615385</v>
      </c>
    </row>
    <row r="442" spans="1:68" ht="27" customHeight="1" x14ac:dyDescent="0.25">
      <c r="A442" s="54" t="s">
        <v>676</v>
      </c>
      <c r="B442" s="54" t="s">
        <v>677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9"/>
      <c r="R442" s="549"/>
      <c r="S442" s="549"/>
      <c r="T442" s="550"/>
      <c r="U442" s="34"/>
      <c r="V442" s="34"/>
      <c r="W442" s="35" t="s">
        <v>69</v>
      </c>
      <c r="X442" s="539">
        <v>50</v>
      </c>
      <c r="Y442" s="540">
        <f t="shared" si="48"/>
        <v>52.800000000000004</v>
      </c>
      <c r="Z442" s="36">
        <f>IFERROR(IF(Y442=0,"",ROUNDUP(Y442/H442,0)*0.01196),"")</f>
        <v>0.1196</v>
      </c>
      <c r="AA442" s="56"/>
      <c r="AB442" s="57"/>
      <c r="AC442" s="491" t="s">
        <v>678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53.314393939393938</v>
      </c>
      <c r="BN442" s="64">
        <f t="shared" si="50"/>
        <v>56.3</v>
      </c>
      <c r="BO442" s="64">
        <f t="shared" si="51"/>
        <v>9.1054778554778545E-2</v>
      </c>
      <c r="BP442" s="64">
        <f t="shared" si="52"/>
        <v>9.6153846153846159E-2</v>
      </c>
    </row>
    <row r="443" spans="1:68" ht="27" customHeight="1" x14ac:dyDescent="0.25">
      <c r="A443" s="54" t="s">
        <v>679</v>
      </c>
      <c r="B443" s="54" t="s">
        <v>680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 t="s">
        <v>110</v>
      </c>
      <c r="M443" s="33" t="s">
        <v>104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9"/>
      <c r="R443" s="549"/>
      <c r="S443" s="549"/>
      <c r="T443" s="550"/>
      <c r="U443" s="34"/>
      <c r="V443" s="34"/>
      <c r="W443" s="35" t="s">
        <v>69</v>
      </c>
      <c r="X443" s="539">
        <v>36</v>
      </c>
      <c r="Y443" s="540">
        <f t="shared" si="48"/>
        <v>38.4</v>
      </c>
      <c r="Z443" s="36">
        <f>IFERROR(IF(Y443=0,"",ROUNDUP(Y443/H443,0)*0.00902),"")</f>
        <v>7.2160000000000002E-2</v>
      </c>
      <c r="AA443" s="56"/>
      <c r="AB443" s="57"/>
      <c r="AC443" s="493" t="s">
        <v>672</v>
      </c>
      <c r="AG443" s="64"/>
      <c r="AJ443" s="68" t="s">
        <v>106</v>
      </c>
      <c r="AK443" s="68">
        <v>57.6</v>
      </c>
      <c r="BB443" s="494" t="s">
        <v>1</v>
      </c>
      <c r="BM443" s="64">
        <f t="shared" si="49"/>
        <v>51.825000000000003</v>
      </c>
      <c r="BN443" s="64">
        <f t="shared" si="50"/>
        <v>55.28</v>
      </c>
      <c r="BO443" s="64">
        <f t="shared" si="51"/>
        <v>5.6818181818181823E-2</v>
      </c>
      <c r="BP443" s="64">
        <f t="shared" si="52"/>
        <v>6.0606060606060608E-2</v>
      </c>
    </row>
    <row r="444" spans="1:68" ht="27" customHeight="1" x14ac:dyDescent="0.25">
      <c r="A444" s="54" t="s">
        <v>681</v>
      </c>
      <c r="B444" s="54" t="s">
        <v>682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 t="s">
        <v>110</v>
      </c>
      <c r="M444" s="33" t="s">
        <v>68</v>
      </c>
      <c r="N444" s="33"/>
      <c r="O444" s="32">
        <v>70</v>
      </c>
      <c r="P444" s="8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9"/>
      <c r="R444" s="549"/>
      <c r="S444" s="549"/>
      <c r="T444" s="550"/>
      <c r="U444" s="34"/>
      <c r="V444" s="34"/>
      <c r="W444" s="35" t="s">
        <v>69</v>
      </c>
      <c r="X444" s="539">
        <v>18</v>
      </c>
      <c r="Y444" s="540">
        <f t="shared" si="48"/>
        <v>19.2</v>
      </c>
      <c r="Z444" s="36">
        <f>IFERROR(IF(Y444=0,"",ROUNDUP(Y444/H444,0)*0.00902),"")</f>
        <v>3.6080000000000001E-2</v>
      </c>
      <c r="AA444" s="56"/>
      <c r="AB444" s="57"/>
      <c r="AC444" s="495" t="s">
        <v>675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25.012500000000003</v>
      </c>
      <c r="BN444" s="64">
        <f t="shared" si="50"/>
        <v>26.68</v>
      </c>
      <c r="BO444" s="64">
        <f t="shared" si="51"/>
        <v>2.8409090909090912E-2</v>
      </c>
      <c r="BP444" s="64">
        <f t="shared" si="52"/>
        <v>3.0303030303030304E-2</v>
      </c>
    </row>
    <row r="445" spans="1:68" ht="27" customHeight="1" x14ac:dyDescent="0.25">
      <c r="A445" s="54" t="s">
        <v>683</v>
      </c>
      <c r="B445" s="54" t="s">
        <v>684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 t="s">
        <v>110</v>
      </c>
      <c r="M445" s="33" t="s">
        <v>68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9"/>
      <c r="R445" s="549"/>
      <c r="S445" s="549"/>
      <c r="T445" s="550"/>
      <c r="U445" s="34"/>
      <c r="V445" s="34"/>
      <c r="W445" s="35" t="s">
        <v>69</v>
      </c>
      <c r="X445" s="539">
        <v>78</v>
      </c>
      <c r="Y445" s="540">
        <f t="shared" si="48"/>
        <v>81.599999999999994</v>
      </c>
      <c r="Z445" s="36">
        <f>IFERROR(IF(Y445=0,"",ROUNDUP(Y445/H445,0)*0.00902),"")</f>
        <v>0.15334</v>
      </c>
      <c r="AA445" s="56"/>
      <c r="AB445" s="57"/>
      <c r="AC445" s="497" t="s">
        <v>678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108.3875</v>
      </c>
      <c r="BN445" s="64">
        <f t="shared" si="50"/>
        <v>113.38999999999999</v>
      </c>
      <c r="BO445" s="64">
        <f t="shared" si="51"/>
        <v>0.12310606060606061</v>
      </c>
      <c r="BP445" s="64">
        <f t="shared" si="52"/>
        <v>0.12878787878787878</v>
      </c>
    </row>
    <row r="446" spans="1:68" x14ac:dyDescent="0.2">
      <c r="A446" s="565"/>
      <c r="B446" s="554"/>
      <c r="C446" s="554"/>
      <c r="D446" s="554"/>
      <c r="E446" s="554"/>
      <c r="F446" s="554"/>
      <c r="G446" s="554"/>
      <c r="H446" s="554"/>
      <c r="I446" s="554"/>
      <c r="J446" s="554"/>
      <c r="K446" s="554"/>
      <c r="L446" s="554"/>
      <c r="M446" s="554"/>
      <c r="N446" s="554"/>
      <c r="O446" s="566"/>
      <c r="P446" s="545" t="s">
        <v>71</v>
      </c>
      <c r="Q446" s="546"/>
      <c r="R446" s="546"/>
      <c r="S446" s="546"/>
      <c r="T446" s="546"/>
      <c r="U446" s="546"/>
      <c r="V446" s="547"/>
      <c r="W446" s="37" t="s">
        <v>72</v>
      </c>
      <c r="X446" s="541">
        <f>IFERROR(X440/H440,"0")+IFERROR(X441/H441,"0")+IFERROR(X442/H442,"0")+IFERROR(X443/H443,"0")+IFERROR(X444/H444,"0")+IFERROR(X445/H445,"0")</f>
        <v>71.060606060606062</v>
      </c>
      <c r="Y446" s="541">
        <f>IFERROR(Y440/H440,"0")+IFERROR(Y441/H441,"0")+IFERROR(Y442/H442,"0")+IFERROR(Y443/H443,"0")+IFERROR(Y444/H444,"0")+IFERROR(Y445/H445,"0")</f>
        <v>74</v>
      </c>
      <c r="Z446" s="541">
        <f>IFERROR(IF(Z440="",0,Z440),"0")+IFERROR(IF(Z441="",0,Z441),"0")+IFERROR(IF(Z442="",0,Z442),"0")+IFERROR(IF(Z443="",0,Z443),"0")+IFERROR(IF(Z444="",0,Z444),"0")+IFERROR(IF(Z445="",0,Z445),"0")</f>
        <v>0.79978000000000005</v>
      </c>
      <c r="AA446" s="542"/>
      <c r="AB446" s="542"/>
      <c r="AC446" s="542"/>
    </row>
    <row r="447" spans="1:68" x14ac:dyDescent="0.2">
      <c r="A447" s="554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66"/>
      <c r="P447" s="545" t="s">
        <v>71</v>
      </c>
      <c r="Q447" s="546"/>
      <c r="R447" s="546"/>
      <c r="S447" s="546"/>
      <c r="T447" s="546"/>
      <c r="U447" s="546"/>
      <c r="V447" s="547"/>
      <c r="W447" s="37" t="s">
        <v>69</v>
      </c>
      <c r="X447" s="541">
        <f>IFERROR(SUM(X440:X445),"0")</f>
        <v>362</v>
      </c>
      <c r="Y447" s="541">
        <f>IFERROR(SUM(Y440:Y445),"0")</f>
        <v>376.79999999999995</v>
      </c>
      <c r="Z447" s="37"/>
      <c r="AA447" s="542"/>
      <c r="AB447" s="542"/>
      <c r="AC447" s="542"/>
    </row>
    <row r="448" spans="1:68" ht="14.25" hidden="1" customHeight="1" x14ac:dyDescent="0.25">
      <c r="A448" s="556" t="s">
        <v>73</v>
      </c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4"/>
      <c r="P448" s="554"/>
      <c r="Q448" s="554"/>
      <c r="R448" s="554"/>
      <c r="S448" s="554"/>
      <c r="T448" s="554"/>
      <c r="U448" s="554"/>
      <c r="V448" s="554"/>
      <c r="W448" s="554"/>
      <c r="X448" s="554"/>
      <c r="Y448" s="554"/>
      <c r="Z448" s="554"/>
      <c r="AA448" s="535"/>
      <c r="AB448" s="535"/>
      <c r="AC448" s="535"/>
    </row>
    <row r="449" spans="1:68" ht="16.5" hidden="1" customHeight="1" x14ac:dyDescent="0.25">
      <c r="A449" s="54" t="s">
        <v>685</v>
      </c>
      <c r="B449" s="54" t="s">
        <v>686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9"/>
      <c r="R449" s="549"/>
      <c r="S449" s="549"/>
      <c r="T449" s="550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687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688</v>
      </c>
      <c r="B450" s="54" t="s">
        <v>689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9"/>
      <c r="R450" s="549"/>
      <c r="S450" s="549"/>
      <c r="T450" s="550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691</v>
      </c>
      <c r="B451" s="54" t="s">
        <v>692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69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9"/>
      <c r="R451" s="549"/>
      <c r="S451" s="549"/>
      <c r="T451" s="550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65"/>
      <c r="B452" s="554"/>
      <c r="C452" s="554"/>
      <c r="D452" s="554"/>
      <c r="E452" s="554"/>
      <c r="F452" s="554"/>
      <c r="G452" s="554"/>
      <c r="H452" s="554"/>
      <c r="I452" s="554"/>
      <c r="J452" s="554"/>
      <c r="K452" s="554"/>
      <c r="L452" s="554"/>
      <c r="M452" s="554"/>
      <c r="N452" s="554"/>
      <c r="O452" s="566"/>
      <c r="P452" s="545" t="s">
        <v>71</v>
      </c>
      <c r="Q452" s="546"/>
      <c r="R452" s="546"/>
      <c r="S452" s="546"/>
      <c r="T452" s="546"/>
      <c r="U452" s="546"/>
      <c r="V452" s="547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54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66"/>
      <c r="P453" s="545" t="s">
        <v>71</v>
      </c>
      <c r="Q453" s="546"/>
      <c r="R453" s="546"/>
      <c r="S453" s="546"/>
      <c r="T453" s="546"/>
      <c r="U453" s="546"/>
      <c r="V453" s="547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4" t="s">
        <v>694</v>
      </c>
      <c r="B454" s="695"/>
      <c r="C454" s="695"/>
      <c r="D454" s="695"/>
      <c r="E454" s="695"/>
      <c r="F454" s="695"/>
      <c r="G454" s="695"/>
      <c r="H454" s="695"/>
      <c r="I454" s="695"/>
      <c r="J454" s="695"/>
      <c r="K454" s="695"/>
      <c r="L454" s="695"/>
      <c r="M454" s="695"/>
      <c r="N454" s="695"/>
      <c r="O454" s="695"/>
      <c r="P454" s="695"/>
      <c r="Q454" s="695"/>
      <c r="R454" s="695"/>
      <c r="S454" s="695"/>
      <c r="T454" s="695"/>
      <c r="U454" s="695"/>
      <c r="V454" s="695"/>
      <c r="W454" s="695"/>
      <c r="X454" s="695"/>
      <c r="Y454" s="695"/>
      <c r="Z454" s="695"/>
      <c r="AA454" s="48"/>
      <c r="AB454" s="48"/>
      <c r="AC454" s="48"/>
    </row>
    <row r="455" spans="1:68" ht="16.5" hidden="1" customHeight="1" x14ac:dyDescent="0.25">
      <c r="A455" s="553" t="s">
        <v>694</v>
      </c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4"/>
      <c r="P455" s="554"/>
      <c r="Q455" s="554"/>
      <c r="R455" s="554"/>
      <c r="S455" s="554"/>
      <c r="T455" s="554"/>
      <c r="U455" s="554"/>
      <c r="V455" s="554"/>
      <c r="W455" s="554"/>
      <c r="X455" s="554"/>
      <c r="Y455" s="554"/>
      <c r="Z455" s="554"/>
      <c r="AA455" s="534"/>
      <c r="AB455" s="534"/>
      <c r="AC455" s="534"/>
    </row>
    <row r="456" spans="1:68" ht="14.25" hidden="1" customHeight="1" x14ac:dyDescent="0.25">
      <c r="A456" s="556" t="s">
        <v>99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5"/>
      <c r="AB456" s="535"/>
      <c r="AC456" s="535"/>
    </row>
    <row r="457" spans="1:68" ht="27" hidden="1" customHeight="1" x14ac:dyDescent="0.25">
      <c r="A457" s="54" t="s">
        <v>695</v>
      </c>
      <c r="B457" s="54" t="s">
        <v>696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9"/>
      <c r="R457" s="549"/>
      <c r="S457" s="549"/>
      <c r="T457" s="550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697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698</v>
      </c>
      <c r="B458" s="54" t="s">
        <v>699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9"/>
      <c r="R458" s="549"/>
      <c r="S458" s="549"/>
      <c r="T458" s="550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701</v>
      </c>
      <c r="B459" s="54" t="s">
        <v>702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9"/>
      <c r="R459" s="549"/>
      <c r="S459" s="549"/>
      <c r="T459" s="550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7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9"/>
      <c r="R460" s="549"/>
      <c r="S460" s="549"/>
      <c r="T460" s="550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697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65"/>
      <c r="B461" s="554"/>
      <c r="C461" s="554"/>
      <c r="D461" s="554"/>
      <c r="E461" s="554"/>
      <c r="F461" s="554"/>
      <c r="G461" s="554"/>
      <c r="H461" s="554"/>
      <c r="I461" s="554"/>
      <c r="J461" s="554"/>
      <c r="K461" s="554"/>
      <c r="L461" s="554"/>
      <c r="M461" s="554"/>
      <c r="N461" s="554"/>
      <c r="O461" s="566"/>
      <c r="P461" s="545" t="s">
        <v>71</v>
      </c>
      <c r="Q461" s="546"/>
      <c r="R461" s="546"/>
      <c r="S461" s="546"/>
      <c r="T461" s="546"/>
      <c r="U461" s="546"/>
      <c r="V461" s="547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54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66"/>
      <c r="P462" s="545" t="s">
        <v>71</v>
      </c>
      <c r="Q462" s="546"/>
      <c r="R462" s="546"/>
      <c r="S462" s="546"/>
      <c r="T462" s="546"/>
      <c r="U462" s="546"/>
      <c r="V462" s="547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6" t="s">
        <v>135</v>
      </c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4"/>
      <c r="P463" s="554"/>
      <c r="Q463" s="554"/>
      <c r="R463" s="554"/>
      <c r="S463" s="554"/>
      <c r="T463" s="554"/>
      <c r="U463" s="554"/>
      <c r="V463" s="554"/>
      <c r="W463" s="554"/>
      <c r="X463" s="554"/>
      <c r="Y463" s="554"/>
      <c r="Z463" s="554"/>
      <c r="AA463" s="535"/>
      <c r="AB463" s="535"/>
      <c r="AC463" s="535"/>
    </row>
    <row r="464" spans="1:68" ht="27" hidden="1" customHeight="1" x14ac:dyDescent="0.25">
      <c r="A464" s="54" t="s">
        <v>706</v>
      </c>
      <c r="B464" s="54" t="s">
        <v>707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9"/>
      <c r="R464" s="549"/>
      <c r="S464" s="549"/>
      <c r="T464" s="550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708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709</v>
      </c>
      <c r="B465" s="54" t="s">
        <v>710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9"/>
      <c r="R465" s="549"/>
      <c r="S465" s="549"/>
      <c r="T465" s="550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9"/>
      <c r="R466" s="549"/>
      <c r="S466" s="549"/>
      <c r="T466" s="550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5"/>
      <c r="B467" s="554"/>
      <c r="C467" s="554"/>
      <c r="D467" s="554"/>
      <c r="E467" s="554"/>
      <c r="F467" s="554"/>
      <c r="G467" s="554"/>
      <c r="H467" s="554"/>
      <c r="I467" s="554"/>
      <c r="J467" s="554"/>
      <c r="K467" s="554"/>
      <c r="L467" s="554"/>
      <c r="M467" s="554"/>
      <c r="N467" s="554"/>
      <c r="O467" s="566"/>
      <c r="P467" s="545" t="s">
        <v>71</v>
      </c>
      <c r="Q467" s="546"/>
      <c r="R467" s="546"/>
      <c r="S467" s="546"/>
      <c r="T467" s="546"/>
      <c r="U467" s="546"/>
      <c r="V467" s="547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54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66"/>
      <c r="P468" s="545" t="s">
        <v>71</v>
      </c>
      <c r="Q468" s="546"/>
      <c r="R468" s="546"/>
      <c r="S468" s="546"/>
      <c r="T468" s="546"/>
      <c r="U468" s="546"/>
      <c r="V468" s="547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6" t="s">
        <v>64</v>
      </c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4"/>
      <c r="P469" s="554"/>
      <c r="Q469" s="554"/>
      <c r="R469" s="554"/>
      <c r="S469" s="554"/>
      <c r="T469" s="554"/>
      <c r="U469" s="554"/>
      <c r="V469" s="554"/>
      <c r="W469" s="554"/>
      <c r="X469" s="554"/>
      <c r="Y469" s="554"/>
      <c r="Z469" s="554"/>
      <c r="AA469" s="535"/>
      <c r="AB469" s="535"/>
      <c r="AC469" s="535"/>
    </row>
    <row r="470" spans="1:68" ht="27" hidden="1" customHeight="1" x14ac:dyDescent="0.25">
      <c r="A470" s="54" t="s">
        <v>715</v>
      </c>
      <c r="B470" s="54" t="s">
        <v>716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77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9"/>
      <c r="R470" s="549"/>
      <c r="S470" s="549"/>
      <c r="T470" s="550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718</v>
      </c>
      <c r="B471" s="54" t="s">
        <v>719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5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9"/>
      <c r="R471" s="549"/>
      <c r="S471" s="549"/>
      <c r="T471" s="550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5"/>
      <c r="B472" s="554"/>
      <c r="C472" s="554"/>
      <c r="D472" s="554"/>
      <c r="E472" s="554"/>
      <c r="F472" s="554"/>
      <c r="G472" s="554"/>
      <c r="H472" s="554"/>
      <c r="I472" s="554"/>
      <c r="J472" s="554"/>
      <c r="K472" s="554"/>
      <c r="L472" s="554"/>
      <c r="M472" s="554"/>
      <c r="N472" s="554"/>
      <c r="O472" s="566"/>
      <c r="P472" s="545" t="s">
        <v>71</v>
      </c>
      <c r="Q472" s="546"/>
      <c r="R472" s="546"/>
      <c r="S472" s="546"/>
      <c r="T472" s="546"/>
      <c r="U472" s="546"/>
      <c r="V472" s="547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54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66"/>
      <c r="P473" s="545" t="s">
        <v>71</v>
      </c>
      <c r="Q473" s="546"/>
      <c r="R473" s="546"/>
      <c r="S473" s="546"/>
      <c r="T473" s="546"/>
      <c r="U473" s="546"/>
      <c r="V473" s="547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6" t="s">
        <v>73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535"/>
      <c r="AB474" s="535"/>
      <c r="AC474" s="535"/>
    </row>
    <row r="475" spans="1:68" ht="27" customHeight="1" x14ac:dyDescent="0.25">
      <c r="A475" s="54" t="s">
        <v>721</v>
      </c>
      <c r="B475" s="54" t="s">
        <v>722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9"/>
      <c r="R475" s="549"/>
      <c r="S475" s="549"/>
      <c r="T475" s="550"/>
      <c r="U475" s="34"/>
      <c r="V475" s="34"/>
      <c r="W475" s="35" t="s">
        <v>69</v>
      </c>
      <c r="X475" s="539">
        <v>700</v>
      </c>
      <c r="Y475" s="540">
        <f>IFERROR(IF(X475="",0,CEILING((X475/$H475),1)*$H475),"")</f>
        <v>702</v>
      </c>
      <c r="Z475" s="36">
        <f>IFERROR(IF(Y475=0,"",ROUNDUP(Y475/H475,0)*0.01898),"")</f>
        <v>1.48044</v>
      </c>
      <c r="AA475" s="56"/>
      <c r="AB475" s="57"/>
      <c r="AC475" s="523" t="s">
        <v>723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738.42222222222222</v>
      </c>
      <c r="BN475" s="64">
        <f>IFERROR(Y475*I475/H475,"0")</f>
        <v>740.53199999999993</v>
      </c>
      <c r="BO475" s="64">
        <f>IFERROR(1/J475*(X475/H475),"0")</f>
        <v>1.2152777777777777</v>
      </c>
      <c r="BP475" s="64">
        <f>IFERROR(1/J475*(Y475/H475),"0")</f>
        <v>1.21875</v>
      </c>
    </row>
    <row r="476" spans="1:68" x14ac:dyDescent="0.2">
      <c r="A476" s="565"/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66"/>
      <c r="P476" s="545" t="s">
        <v>71</v>
      </c>
      <c r="Q476" s="546"/>
      <c r="R476" s="546"/>
      <c r="S476" s="546"/>
      <c r="T476" s="546"/>
      <c r="U476" s="546"/>
      <c r="V476" s="547"/>
      <c r="W476" s="37" t="s">
        <v>72</v>
      </c>
      <c r="X476" s="541">
        <f>IFERROR(X475/H475,"0")</f>
        <v>77.777777777777771</v>
      </c>
      <c r="Y476" s="541">
        <f>IFERROR(Y475/H475,"0")</f>
        <v>78</v>
      </c>
      <c r="Z476" s="541">
        <f>IFERROR(IF(Z475="",0,Z475),"0")</f>
        <v>1.48044</v>
      </c>
      <c r="AA476" s="542"/>
      <c r="AB476" s="542"/>
      <c r="AC476" s="542"/>
    </row>
    <row r="477" spans="1:68" x14ac:dyDescent="0.2">
      <c r="A477" s="554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66"/>
      <c r="P477" s="545" t="s">
        <v>71</v>
      </c>
      <c r="Q477" s="546"/>
      <c r="R477" s="546"/>
      <c r="S477" s="546"/>
      <c r="T477" s="546"/>
      <c r="U477" s="546"/>
      <c r="V477" s="547"/>
      <c r="W477" s="37" t="s">
        <v>69</v>
      </c>
      <c r="X477" s="541">
        <f>IFERROR(SUM(X475:X475),"0")</f>
        <v>700</v>
      </c>
      <c r="Y477" s="541">
        <f>IFERROR(SUM(Y475:Y475),"0")</f>
        <v>702</v>
      </c>
      <c r="Z477" s="37"/>
      <c r="AA477" s="542"/>
      <c r="AB477" s="542"/>
      <c r="AC477" s="542"/>
    </row>
    <row r="478" spans="1:68" ht="14.25" hidden="1" customHeight="1" x14ac:dyDescent="0.25">
      <c r="A478" s="556" t="s">
        <v>163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535"/>
      <c r="AB478" s="535"/>
      <c r="AC478" s="535"/>
    </row>
    <row r="479" spans="1:68" ht="27" hidden="1" customHeight="1" x14ac:dyDescent="0.25">
      <c r="A479" s="54" t="s">
        <v>724</v>
      </c>
      <c r="B479" s="54" t="s">
        <v>725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9"/>
      <c r="R479" s="549"/>
      <c r="S479" s="549"/>
      <c r="T479" s="550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726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727</v>
      </c>
      <c r="B480" s="54" t="s">
        <v>728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9"/>
      <c r="R480" s="549"/>
      <c r="S480" s="549"/>
      <c r="T480" s="550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5"/>
      <c r="B481" s="554"/>
      <c r="C481" s="554"/>
      <c r="D481" s="554"/>
      <c r="E481" s="554"/>
      <c r="F481" s="554"/>
      <c r="G481" s="554"/>
      <c r="H481" s="554"/>
      <c r="I481" s="554"/>
      <c r="J481" s="554"/>
      <c r="K481" s="554"/>
      <c r="L481" s="554"/>
      <c r="M481" s="554"/>
      <c r="N481" s="554"/>
      <c r="O481" s="566"/>
      <c r="P481" s="545" t="s">
        <v>71</v>
      </c>
      <c r="Q481" s="546"/>
      <c r="R481" s="546"/>
      <c r="S481" s="546"/>
      <c r="T481" s="546"/>
      <c r="U481" s="546"/>
      <c r="V481" s="547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54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66"/>
      <c r="P482" s="545" t="s">
        <v>71</v>
      </c>
      <c r="Q482" s="546"/>
      <c r="R482" s="546"/>
      <c r="S482" s="546"/>
      <c r="T482" s="546"/>
      <c r="U482" s="546"/>
      <c r="V482" s="547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53" t="s">
        <v>730</v>
      </c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4"/>
      <c r="P483" s="554"/>
      <c r="Q483" s="554"/>
      <c r="R483" s="554"/>
      <c r="S483" s="554"/>
      <c r="T483" s="554"/>
      <c r="U483" s="554"/>
      <c r="V483" s="554"/>
      <c r="W483" s="554"/>
      <c r="X483" s="554"/>
      <c r="Y483" s="554"/>
      <c r="Z483" s="554"/>
      <c r="AA483" s="534"/>
      <c r="AB483" s="534"/>
      <c r="AC483" s="534"/>
    </row>
    <row r="484" spans="1:68" ht="14.25" hidden="1" customHeight="1" x14ac:dyDescent="0.25">
      <c r="A484" s="556" t="s">
        <v>135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5"/>
      <c r="AB484" s="535"/>
      <c r="AC484" s="535"/>
    </row>
    <row r="485" spans="1:68" ht="27" hidden="1" customHeight="1" x14ac:dyDescent="0.25">
      <c r="A485" s="54" t="s">
        <v>731</v>
      </c>
      <c r="B485" s="54" t="s">
        <v>732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9"/>
      <c r="R485" s="549"/>
      <c r="S485" s="549"/>
      <c r="T485" s="550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733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5"/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66"/>
      <c r="P486" s="545" t="s">
        <v>71</v>
      </c>
      <c r="Q486" s="546"/>
      <c r="R486" s="546"/>
      <c r="S486" s="546"/>
      <c r="T486" s="546"/>
      <c r="U486" s="546"/>
      <c r="V486" s="547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54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66"/>
      <c r="P487" s="545" t="s">
        <v>71</v>
      </c>
      <c r="Q487" s="546"/>
      <c r="R487" s="546"/>
      <c r="S487" s="546"/>
      <c r="T487" s="546"/>
      <c r="U487" s="546"/>
      <c r="V487" s="547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0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704"/>
      <c r="P488" s="634" t="s">
        <v>734</v>
      </c>
      <c r="Q488" s="625"/>
      <c r="R488" s="625"/>
      <c r="S488" s="625"/>
      <c r="T488" s="625"/>
      <c r="U488" s="625"/>
      <c r="V488" s="626"/>
      <c r="W488" s="37" t="s">
        <v>69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16217.3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16386.939999999999</v>
      </c>
      <c r="Z488" s="37"/>
      <c r="AA488" s="542"/>
      <c r="AB488" s="542"/>
      <c r="AC488" s="542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4"/>
      <c r="P489" s="634" t="s">
        <v>735</v>
      </c>
      <c r="Q489" s="625"/>
      <c r="R489" s="625"/>
      <c r="S489" s="625"/>
      <c r="T489" s="625"/>
      <c r="U489" s="625"/>
      <c r="V489" s="626"/>
      <c r="W489" s="37" t="s">
        <v>69</v>
      </c>
      <c r="X489" s="541">
        <f>IFERROR(SUM(BM22:BM485),"0")</f>
        <v>17276.894897968152</v>
      </c>
      <c r="Y489" s="541">
        <f>IFERROR(SUM(BN22:BN485),"0")</f>
        <v>17459.772000000001</v>
      </c>
      <c r="Z489" s="37"/>
      <c r="AA489" s="542"/>
      <c r="AB489" s="542"/>
      <c r="AC489" s="542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4"/>
      <c r="P490" s="634" t="s">
        <v>736</v>
      </c>
      <c r="Q490" s="625"/>
      <c r="R490" s="625"/>
      <c r="S490" s="625"/>
      <c r="T490" s="625"/>
      <c r="U490" s="625"/>
      <c r="V490" s="626"/>
      <c r="W490" s="37" t="s">
        <v>737</v>
      </c>
      <c r="X490" s="38">
        <f>ROUNDUP(SUM(BO22:BO485),0)</f>
        <v>30</v>
      </c>
      <c r="Y490" s="38">
        <f>ROUNDUP(SUM(BP22:BP485),0)</f>
        <v>30</v>
      </c>
      <c r="Z490" s="37"/>
      <c r="AA490" s="542"/>
      <c r="AB490" s="542"/>
      <c r="AC490" s="542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4"/>
      <c r="P491" s="634" t="s">
        <v>738</v>
      </c>
      <c r="Q491" s="625"/>
      <c r="R491" s="625"/>
      <c r="S491" s="625"/>
      <c r="T491" s="625"/>
      <c r="U491" s="625"/>
      <c r="V491" s="626"/>
      <c r="W491" s="37" t="s">
        <v>69</v>
      </c>
      <c r="X491" s="541">
        <f>GrossWeightTotal+PalletQtyTotal*25</f>
        <v>18026.894897968152</v>
      </c>
      <c r="Y491" s="541">
        <f>GrossWeightTotalR+PalletQtyTotalR*25</f>
        <v>18209.772000000001</v>
      </c>
      <c r="Z491" s="37"/>
      <c r="AA491" s="542"/>
      <c r="AB491" s="542"/>
      <c r="AC491" s="542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4"/>
      <c r="P492" s="634" t="s">
        <v>739</v>
      </c>
      <c r="Q492" s="625"/>
      <c r="R492" s="625"/>
      <c r="S492" s="625"/>
      <c r="T492" s="625"/>
      <c r="U492" s="625"/>
      <c r="V492" s="626"/>
      <c r="W492" s="37" t="s">
        <v>737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3567.894746483827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3599</v>
      </c>
      <c r="Z492" s="37"/>
      <c r="AA492" s="542"/>
      <c r="AB492" s="542"/>
      <c r="AC492" s="542"/>
    </row>
    <row r="493" spans="1:68" ht="14.25" hidden="1" customHeight="1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4"/>
      <c r="P493" s="634" t="s">
        <v>740</v>
      </c>
      <c r="Q493" s="625"/>
      <c r="R493" s="625"/>
      <c r="S493" s="625"/>
      <c r="T493" s="625"/>
      <c r="U493" s="625"/>
      <c r="V493" s="626"/>
      <c r="W493" s="39" t="s">
        <v>741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34.269510000000004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742</v>
      </c>
      <c r="B495" s="536" t="s">
        <v>63</v>
      </c>
      <c r="C495" s="571" t="s">
        <v>97</v>
      </c>
      <c r="D495" s="591"/>
      <c r="E495" s="591"/>
      <c r="F495" s="591"/>
      <c r="G495" s="591"/>
      <c r="H495" s="592"/>
      <c r="I495" s="571" t="s">
        <v>251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532</v>
      </c>
      <c r="T495" s="592"/>
      <c r="U495" s="571" t="s">
        <v>583</v>
      </c>
      <c r="V495" s="591"/>
      <c r="W495" s="592"/>
      <c r="X495" s="536" t="s">
        <v>634</v>
      </c>
      <c r="Y495" s="571" t="s">
        <v>694</v>
      </c>
      <c r="Z495" s="592"/>
      <c r="AB495" s="52"/>
      <c r="AC495" s="52"/>
      <c r="AF495" s="537"/>
    </row>
    <row r="496" spans="1:68" ht="14.25" customHeight="1" thickTop="1" x14ac:dyDescent="0.2">
      <c r="A496" s="601" t="s">
        <v>743</v>
      </c>
      <c r="B496" s="571" t="s">
        <v>63</v>
      </c>
      <c r="C496" s="571" t="s">
        <v>98</v>
      </c>
      <c r="D496" s="571" t="s">
        <v>116</v>
      </c>
      <c r="E496" s="571" t="s">
        <v>170</v>
      </c>
      <c r="F496" s="571" t="s">
        <v>189</v>
      </c>
      <c r="G496" s="571" t="s">
        <v>220</v>
      </c>
      <c r="H496" s="571" t="s">
        <v>97</v>
      </c>
      <c r="I496" s="571" t="s">
        <v>252</v>
      </c>
      <c r="J496" s="571" t="s">
        <v>297</v>
      </c>
      <c r="K496" s="571" t="s">
        <v>356</v>
      </c>
      <c r="L496" s="571" t="s">
        <v>398</v>
      </c>
      <c r="M496" s="571" t="s">
        <v>414</v>
      </c>
      <c r="N496" s="537"/>
      <c r="O496" s="571" t="s">
        <v>425</v>
      </c>
      <c r="P496" s="571" t="s">
        <v>434</v>
      </c>
      <c r="Q496" s="571" t="s">
        <v>448</v>
      </c>
      <c r="R496" s="571" t="s">
        <v>522</v>
      </c>
      <c r="S496" s="571" t="s">
        <v>533</v>
      </c>
      <c r="T496" s="571" t="s">
        <v>567</v>
      </c>
      <c r="U496" s="571" t="s">
        <v>584</v>
      </c>
      <c r="V496" s="571" t="s">
        <v>615</v>
      </c>
      <c r="W496" s="571" t="s">
        <v>630</v>
      </c>
      <c r="X496" s="571" t="s">
        <v>634</v>
      </c>
      <c r="Y496" s="571" t="s">
        <v>694</v>
      </c>
      <c r="Z496" s="571" t="s">
        <v>730</v>
      </c>
      <c r="AB496" s="52"/>
      <c r="AC496" s="52"/>
      <c r="AF496" s="537"/>
    </row>
    <row r="497" spans="1:32" ht="13.5" customHeight="1" thickBot="1" x14ac:dyDescent="0.25">
      <c r="A497" s="602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744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154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629.70000000000005</v>
      </c>
      <c r="E498" s="46">
        <f>IFERROR(Y85*1,"0")+IFERROR(Y86*1,"0")+IFERROR(Y87*1,"0")+IFERROR(Y91*1,"0")+IFERROR(Y92*1,"0")+IFERROR(Y93*1,"0")+IFERROR(Y94*1,"0")</f>
        <v>1184.4000000000001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1404</v>
      </c>
      <c r="G498" s="46">
        <f>IFERROR(Y124*1,"0")+IFERROR(Y125*1,"0")+IFERROR(Y129*1,"0")+IFERROR(Y130*1,"0")+IFERROR(Y134*1,"0")+IFERROR(Y135*1,"0")</f>
        <v>235.6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494.76000000000005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2283.2999999999997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98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223.2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846.60000000000014</v>
      </c>
      <c r="R498" s="46">
        <f>IFERROR(Y334*1,"0")+IFERROR(Y335*1,"0")+IFERROR(Y336*1,"0")</f>
        <v>1541.4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5370</v>
      </c>
      <c r="T498" s="46">
        <f>IFERROR(Y367*1,"0")+IFERROR(Y368*1,"0")+IFERROR(Y372*1,"0")+IFERROR(Y373*1,"0")+IFERROR(Y377*1,"0")+IFERROR(Y378*1,"0")</f>
        <v>36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79.800000000000011</v>
      </c>
      <c r="V498" s="46">
        <f>IFERROR(Y402*1,"0")+IFERROR(Y406*1,"0")+IFERROR(Y407*1,"0")+IFERROR(Y408*1,"0")+IFERROR(Y409*1,"0")</f>
        <v>10.5</v>
      </c>
      <c r="W498" s="46">
        <f>IFERROR(Y414*1,"0")</f>
        <v>30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1063.68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702</v>
      </c>
      <c r="Z498" s="46">
        <f>IFERROR(Y485*1,"0")</f>
        <v>0</v>
      </c>
      <c r="AB498" s="52"/>
      <c r="AC498" s="52"/>
      <c r="AF498" s="537"/>
    </row>
  </sheetData>
  <sheetProtection algorithmName="SHA-512" hashValue="W+O4siZ4YXqSEc5N34jhOgSS5DeTPwp7FDdNyN6JAAgMF/lk6l0HOp1QrZu8KnX3Sl2e/XS87xNuxAUX55tBUw==" saltValue="zYwnMC9l+1epbj79IcWAGg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0,00"/>
        <filter val="1 120,00"/>
        <filter val="1 300,00"/>
        <filter val="1 320,00"/>
        <filter val="1 540,00"/>
        <filter val="1 600,00"/>
        <filter val="1,94"/>
        <filter val="10,00"/>
        <filter val="10,50"/>
        <filter val="100,00"/>
        <filter val="109,26"/>
        <filter val="12,00"/>
        <filter val="120,00"/>
        <filter val="134,63"/>
        <filter val="14,00"/>
        <filter val="140,00"/>
        <filter val="143,21"/>
        <filter val="15,00"/>
        <filter val="15,45"/>
        <filter val="150,00"/>
        <filter val="16 217,30"/>
        <filter val="16,67"/>
        <filter val="17 276,89"/>
        <filter val="175,00"/>
        <filter val="179,76"/>
        <filter val="18 026,89"/>
        <filter val="18,00"/>
        <filter val="18,33"/>
        <filter val="180,00"/>
        <filter val="19,80"/>
        <filter val="196,00"/>
        <filter val="197,84"/>
        <filter val="2,50"/>
        <filter val="2,78"/>
        <filter val="200,00"/>
        <filter val="21,00"/>
        <filter val="220,00"/>
        <filter val="230,00"/>
        <filter val="25,00"/>
        <filter val="250,00"/>
        <filter val="263,33"/>
        <filter val="270,00"/>
        <filter val="28,00"/>
        <filter val="280,00"/>
        <filter val="29,63"/>
        <filter val="3 567,89"/>
        <filter val="3 950,00"/>
        <filter val="3,33"/>
        <filter val="3,50"/>
        <filter val="3,85"/>
        <filter val="30"/>
        <filter val="30,00"/>
        <filter val="300,00"/>
        <filter val="31,25"/>
        <filter val="32,00"/>
        <filter val="320,00"/>
        <filter val="35,00"/>
        <filter val="350,00"/>
        <filter val="36,00"/>
        <filter val="36,67"/>
        <filter val="360,00"/>
        <filter val="362,00"/>
        <filter val="37,88"/>
        <filter val="40,00"/>
        <filter val="400,00"/>
        <filter val="405,00"/>
        <filter val="420,00"/>
        <filter val="44,00"/>
        <filter val="44,63"/>
        <filter val="450,00"/>
        <filter val="457,50"/>
        <filter val="476,00"/>
        <filter val="48,00"/>
        <filter val="489,66"/>
        <filter val="5,00"/>
        <filter val="5,56"/>
        <filter val="50,00"/>
        <filter val="520,00"/>
        <filter val="550,00"/>
        <filter val="585,00"/>
        <filter val="60,00"/>
        <filter val="620,00"/>
        <filter val="635,00"/>
        <filter val="640,00"/>
        <filter val="66,00"/>
        <filter val="7,00"/>
        <filter val="70,00"/>
        <filter val="700,00"/>
        <filter val="71,06"/>
        <filter val="733,33"/>
        <filter val="740,00"/>
        <filter val="77,00"/>
        <filter val="77,78"/>
        <filter val="78,00"/>
        <filter val="78,94"/>
        <filter val="80,00"/>
        <filter val="83,33"/>
        <filter val="86,67"/>
        <filter val="87,50"/>
        <filter val="88,00"/>
        <filter val="90,00"/>
        <filter val="900,00"/>
        <filter val="91,67"/>
        <filter val="91,97"/>
        <filter val="95,00"/>
      </filters>
    </filterColumn>
    <filterColumn colId="29" showButton="0"/>
    <filterColumn colId="30" showButton="0"/>
  </autoFilter>
  <mergeCells count="872"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420:T420"/>
    <mergeCell ref="P146:T146"/>
    <mergeCell ref="D323:E323"/>
    <mergeCell ref="A136:O137"/>
    <mergeCell ref="A192:O193"/>
    <mergeCell ref="D384:E384"/>
    <mergeCell ref="X17:X18"/>
    <mergeCell ref="D408:E408"/>
    <mergeCell ref="P216:V216"/>
    <mergeCell ref="A333:Z333"/>
    <mergeCell ref="D54:E54"/>
    <mergeCell ref="D271:E271"/>
    <mergeCell ref="V12:W12"/>
    <mergeCell ref="D191:E191"/>
    <mergeCell ref="U17:V17"/>
    <mergeCell ref="Y17:Y18"/>
    <mergeCell ref="N17:N18"/>
    <mergeCell ref="F17:F18"/>
    <mergeCell ref="A31:O32"/>
    <mergeCell ref="A33:Z33"/>
    <mergeCell ref="M17:M18"/>
    <mergeCell ref="O17:O18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P385:T385"/>
    <mergeCell ref="P199:T199"/>
    <mergeCell ref="P131:V131"/>
    <mergeCell ref="P410:V410"/>
    <mergeCell ref="P102:T102"/>
    <mergeCell ref="P196:T196"/>
    <mergeCell ref="P281:V281"/>
    <mergeCell ref="D226:E226"/>
    <mergeCell ref="D164:E164"/>
    <mergeCell ref="P62:T62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132:V132"/>
    <mergeCell ref="P72:T72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A478:Z478"/>
    <mergeCell ref="P436:T436"/>
    <mergeCell ref="P379:V379"/>
    <mergeCell ref="D196:E196"/>
    <mergeCell ref="A269:Z269"/>
    <mergeCell ref="A469:Z469"/>
    <mergeCell ref="P336:T336"/>
    <mergeCell ref="P187:V187"/>
    <mergeCell ref="P430:T430"/>
    <mergeCell ref="P350:V350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P307:T307"/>
    <mergeCell ref="P444:T444"/>
    <mergeCell ref="D421:E421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D213:E213"/>
    <mergeCell ref="P192:V192"/>
    <mergeCell ref="P321:T321"/>
    <mergeCell ref="P125:T125"/>
    <mergeCell ref="Z496:Z497"/>
    <mergeCell ref="A454:Z454"/>
    <mergeCell ref="D389:E389"/>
    <mergeCell ref="S495:T495"/>
    <mergeCell ref="D299:E299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D424:E424"/>
    <mergeCell ref="T496:T497"/>
    <mergeCell ref="Q496:Q497"/>
    <mergeCell ref="S496:S497"/>
    <mergeCell ref="A155:Z155"/>
    <mergeCell ref="P268:V268"/>
    <mergeCell ref="D151:E151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17:H18"/>
    <mergeCell ref="A220:O221"/>
    <mergeCell ref="P346:T346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D85:E85"/>
    <mergeCell ref="A285:O286"/>
    <mergeCell ref="P211:T211"/>
    <mergeCell ref="P309:T309"/>
    <mergeCell ref="D74:E74"/>
    <mergeCell ref="D93:E93"/>
    <mergeCell ref="A98:Z98"/>
    <mergeCell ref="D52:E52"/>
    <mergeCell ref="P110:V110"/>
    <mergeCell ref="AA17:AA18"/>
    <mergeCell ref="D292:E292"/>
    <mergeCell ref="D227:E227"/>
    <mergeCell ref="P23:V23"/>
    <mergeCell ref="A262:Z26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D425:E425"/>
    <mergeCell ref="A139:Z139"/>
    <mergeCell ref="D130:E130"/>
    <mergeCell ref="P283:T283"/>
    <mergeCell ref="D264:E264"/>
    <mergeCell ref="D391:E391"/>
    <mergeCell ref="P370:V370"/>
    <mergeCell ref="A369:O370"/>
    <mergeCell ref="D328:E328"/>
    <mergeCell ref="A270:Z270"/>
    <mergeCell ref="D134:E134"/>
    <mergeCell ref="A379:O380"/>
    <mergeCell ref="A330:O331"/>
    <mergeCell ref="P249:T249"/>
    <mergeCell ref="A365:Z365"/>
    <mergeCell ref="D206:E206"/>
    <mergeCell ref="P390:T390"/>
    <mergeCell ref="D298:E298"/>
    <mergeCell ref="P404:V404"/>
    <mergeCell ref="A351:Z351"/>
    <mergeCell ref="D273:E273"/>
    <mergeCell ref="P327:T327"/>
    <mergeCell ref="A160:Z160"/>
    <mergeCell ref="P224:T224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D460:E460"/>
    <mergeCell ref="A474:Z474"/>
    <mergeCell ref="D466:E466"/>
    <mergeCell ref="P450:T450"/>
    <mergeCell ref="D414:E414"/>
    <mergeCell ref="D352:E352"/>
    <mergeCell ref="P219:T219"/>
    <mergeCell ref="D91:E91"/>
    <mergeCell ref="D162:E162"/>
    <mergeCell ref="P272:T272"/>
    <mergeCell ref="D327:E327"/>
    <mergeCell ref="P210:T210"/>
    <mergeCell ref="A267:O268"/>
    <mergeCell ref="P308:T308"/>
    <mergeCell ref="P185:T185"/>
    <mergeCell ref="P380:V380"/>
    <mergeCell ref="D168:E168"/>
    <mergeCell ref="D180:E180"/>
    <mergeCell ref="P168:T168"/>
    <mergeCell ref="P193:V193"/>
    <mergeCell ref="A276:Z276"/>
    <mergeCell ref="A418:Z418"/>
    <mergeCell ref="D283:E283"/>
    <mergeCell ref="A356:Z356"/>
    <mergeCell ref="D112:E112"/>
    <mergeCell ref="P441:T441"/>
    <mergeCell ref="A431:O432"/>
    <mergeCell ref="P82:V82"/>
    <mergeCell ref="P303:T303"/>
    <mergeCell ref="A376:Z376"/>
    <mergeCell ref="A105:Z105"/>
    <mergeCell ref="D224:E224"/>
    <mergeCell ref="A398:O399"/>
    <mergeCell ref="P230:T230"/>
    <mergeCell ref="D211:E211"/>
    <mergeCell ref="D27:E27"/>
    <mergeCell ref="P208:T208"/>
    <mergeCell ref="D396:E396"/>
    <mergeCell ref="A69:O70"/>
    <mergeCell ref="P66:T66"/>
    <mergeCell ref="A83:Z83"/>
    <mergeCell ref="P152:V152"/>
    <mergeCell ref="D140:E140"/>
    <mergeCell ref="A340:Z340"/>
    <mergeCell ref="P104:V104"/>
    <mergeCell ref="P27:T27"/>
    <mergeCell ref="D75:E75"/>
    <mergeCell ref="P91:T91"/>
    <mergeCell ref="P51:T51"/>
    <mergeCell ref="P126:V126"/>
    <mergeCell ref="P322:T322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H1:Q1"/>
    <mergeCell ref="P280:V280"/>
    <mergeCell ref="P109:V109"/>
    <mergeCell ref="P274:V274"/>
    <mergeCell ref="A366:Z366"/>
    <mergeCell ref="D214:E214"/>
    <mergeCell ref="D284:E284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Y495:Z495"/>
    <mergeCell ref="P329:T329"/>
    <mergeCell ref="A148:O149"/>
    <mergeCell ref="P477:V477"/>
    <mergeCell ref="D124:E124"/>
    <mergeCell ref="P56:T56"/>
    <mergeCell ref="D195:E195"/>
    <mergeCell ref="P231:T231"/>
    <mergeCell ref="D423:E423"/>
    <mergeCell ref="P302:T302"/>
    <mergeCell ref="D174:E174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197:T197"/>
    <mergeCell ref="A354:O355"/>
    <mergeCell ref="P53:T53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A84:Z84"/>
    <mergeCell ref="P330:V330"/>
    <mergeCell ref="D289:E289"/>
    <mergeCell ref="P159:V159"/>
    <mergeCell ref="P209:T209"/>
    <mergeCell ref="P147:T147"/>
    <mergeCell ref="P445:T445"/>
    <mergeCell ref="P79:T79"/>
    <mergeCell ref="P73:T73"/>
    <mergeCell ref="P315:T315"/>
    <mergeCell ref="P96:V96"/>
    <mergeCell ref="P325:V325"/>
    <mergeCell ref="A150:Z150"/>
    <mergeCell ref="I495:R495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D426:E426"/>
    <mergeCell ref="P86:T86"/>
    <mergeCell ref="P328:T328"/>
    <mergeCell ref="P384:T384"/>
    <mergeCell ref="P213:T213"/>
    <mergeCell ref="P157:T157"/>
    <mergeCell ref="A144:Z144"/>
    <mergeCell ref="A120:O121"/>
    <mergeCell ref="D378:E378"/>
    <mergeCell ref="D129:E129"/>
    <mergeCell ref="D406:E406"/>
    <mergeCell ref="P251:V251"/>
    <mergeCell ref="D357:E357"/>
    <mergeCell ref="D258:E258"/>
    <mergeCell ref="P235:V235"/>
    <mergeCell ref="P402:T402"/>
    <mergeCell ref="D301:E301"/>
    <mergeCell ref="D245:E245"/>
    <mergeCell ref="P188:V188"/>
    <mergeCell ref="D147:E147"/>
    <mergeCell ref="H9:I9"/>
    <mergeCell ref="P24:V24"/>
    <mergeCell ref="A49:Z49"/>
    <mergeCell ref="P260:V260"/>
    <mergeCell ref="P89:V89"/>
    <mergeCell ref="A65:Z65"/>
    <mergeCell ref="V10:W10"/>
    <mergeCell ref="D53:E53"/>
    <mergeCell ref="A50:Z50"/>
    <mergeCell ref="D60:E60"/>
    <mergeCell ref="W17:W18"/>
    <mergeCell ref="D9:E9"/>
    <mergeCell ref="F9:G9"/>
    <mergeCell ref="D169:E169"/>
    <mergeCell ref="P353:T353"/>
    <mergeCell ref="P204:V20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1:X164 X166 X168 X195:X202 X208:X209 X211 X213:X214 X218:X219 X224 X226:X227 X232 X272 X300:X301 X303 X314:X316 X322:X323 X327 X329 X335:X336 X358 X367 X377 X388:X389 X391 X414 X420 X423 X425 X434 X440:X445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745</v>
      </c>
      <c r="H1" s="52"/>
    </row>
    <row r="3" spans="2:8" x14ac:dyDescent="0.2">
      <c r="B3" s="47" t="s">
        <v>746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747</v>
      </c>
      <c r="D6" s="47" t="s">
        <v>748</v>
      </c>
      <c r="E6" s="47"/>
    </row>
    <row r="8" spans="2:8" x14ac:dyDescent="0.2">
      <c r="B8" s="47" t="s">
        <v>19</v>
      </c>
      <c r="C8" s="47" t="s">
        <v>747</v>
      </c>
      <c r="D8" s="47"/>
      <c r="E8" s="47"/>
    </row>
    <row r="10" spans="2:8" x14ac:dyDescent="0.2">
      <c r="B10" s="47" t="s">
        <v>749</v>
      </c>
      <c r="C10" s="47"/>
      <c r="D10" s="47"/>
      <c r="E10" s="47"/>
    </row>
    <row r="11" spans="2:8" x14ac:dyDescent="0.2">
      <c r="B11" s="47" t="s">
        <v>750</v>
      </c>
      <c r="C11" s="47"/>
      <c r="D11" s="47"/>
      <c r="E11" s="47"/>
    </row>
    <row r="12" spans="2:8" x14ac:dyDescent="0.2">
      <c r="B12" s="47" t="s">
        <v>751</v>
      </c>
      <c r="C12" s="47"/>
      <c r="D12" s="47"/>
      <c r="E12" s="47"/>
    </row>
    <row r="13" spans="2:8" x14ac:dyDescent="0.2">
      <c r="B13" s="47" t="s">
        <v>752</v>
      </c>
      <c r="C13" s="47"/>
      <c r="D13" s="47"/>
      <c r="E13" s="47"/>
    </row>
    <row r="14" spans="2:8" x14ac:dyDescent="0.2">
      <c r="B14" s="47" t="s">
        <v>753</v>
      </c>
      <c r="C14" s="47"/>
      <c r="D14" s="47"/>
      <c r="E14" s="47"/>
    </row>
    <row r="15" spans="2:8" x14ac:dyDescent="0.2">
      <c r="B15" s="47" t="s">
        <v>754</v>
      </c>
      <c r="C15" s="47"/>
      <c r="D15" s="47"/>
      <c r="E15" s="47"/>
    </row>
    <row r="16" spans="2:8" x14ac:dyDescent="0.2">
      <c r="B16" s="47" t="s">
        <v>755</v>
      </c>
      <c r="C16" s="47"/>
      <c r="D16" s="47"/>
      <c r="E16" s="47"/>
    </row>
    <row r="17" spans="2:5" x14ac:dyDescent="0.2">
      <c r="B17" s="47" t="s">
        <v>756</v>
      </c>
      <c r="C17" s="47"/>
      <c r="D17" s="47"/>
      <c r="E17" s="47"/>
    </row>
    <row r="18" spans="2:5" x14ac:dyDescent="0.2">
      <c r="B18" s="47" t="s">
        <v>757</v>
      </c>
      <c r="C18" s="47"/>
      <c r="D18" s="47"/>
      <c r="E18" s="47"/>
    </row>
    <row r="19" spans="2:5" x14ac:dyDescent="0.2">
      <c r="B19" s="47" t="s">
        <v>758</v>
      </c>
      <c r="C19" s="47"/>
      <c r="D19" s="47"/>
      <c r="E19" s="47"/>
    </row>
    <row r="20" spans="2:5" x14ac:dyDescent="0.2">
      <c r="B20" s="47" t="s">
        <v>759</v>
      </c>
      <c r="C20" s="47"/>
      <c r="D20" s="47"/>
      <c r="E20" s="47"/>
    </row>
  </sheetData>
  <sheetProtection algorithmName="SHA-512" hashValue="LxWtGco2CWqg5YHYdCqbo6vhExLfVtMbOEKQY0MNvurS4GEwy8P7bkBvSsDOthwkdl0Kg458e+ih5RmbTSevYA==" saltValue="aVk9yet3IEWJlbRV+Fgm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2025-11-27T09:48:37Z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