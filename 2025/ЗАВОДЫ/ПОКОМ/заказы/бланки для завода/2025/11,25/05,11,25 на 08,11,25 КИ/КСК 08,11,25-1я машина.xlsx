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01F39D-9640-4145-A670-5F37D59DF5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N249" i="1"/>
  <c r="BM249" i="1"/>
  <c r="Z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X122" i="1"/>
  <c r="X121" i="1"/>
  <c r="BO120" i="1"/>
  <c r="BM120" i="1"/>
  <c r="Y120" i="1"/>
  <c r="Y122" i="1" s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BP80" i="1" l="1"/>
  <c r="BN80" i="1"/>
  <c r="Z80" i="1"/>
  <c r="BP116" i="1"/>
  <c r="BN116" i="1"/>
  <c r="Z116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92" i="1"/>
  <c r="BN192" i="1"/>
  <c r="Z192" i="1"/>
  <c r="BP196" i="1"/>
  <c r="BN196" i="1"/>
  <c r="Z196" i="1"/>
  <c r="BP220" i="1"/>
  <c r="BN220" i="1"/>
  <c r="Z220" i="1"/>
  <c r="BP225" i="1"/>
  <c r="BN225" i="1"/>
  <c r="Z225" i="1"/>
  <c r="BP265" i="1"/>
  <c r="BN265" i="1"/>
  <c r="Z265" i="1"/>
  <c r="BP300" i="1"/>
  <c r="BN300" i="1"/>
  <c r="Z300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30" i="1"/>
  <c r="BN30" i="1"/>
  <c r="Z53" i="1"/>
  <c r="BN53" i="1"/>
  <c r="BP61" i="1"/>
  <c r="BN61" i="1"/>
  <c r="Z61" i="1"/>
  <c r="BP100" i="1"/>
  <c r="BN100" i="1"/>
  <c r="Z100" i="1"/>
  <c r="BP148" i="1"/>
  <c r="BN148" i="1"/>
  <c r="Z148" i="1"/>
  <c r="BP171" i="1"/>
  <c r="BN171" i="1"/>
  <c r="Z171" i="1"/>
  <c r="BP208" i="1"/>
  <c r="BN208" i="1"/>
  <c r="Z208" i="1"/>
  <c r="BP233" i="1"/>
  <c r="BN233" i="1"/>
  <c r="Z233" i="1"/>
  <c r="BP279" i="1"/>
  <c r="BN279" i="1"/>
  <c r="Z279" i="1"/>
  <c r="BP316" i="1"/>
  <c r="BN316" i="1"/>
  <c r="Z316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8" i="1"/>
  <c r="Z75" i="1"/>
  <c r="BN75" i="1"/>
  <c r="Z76" i="1"/>
  <c r="BN76" i="1"/>
  <c r="Z87" i="1"/>
  <c r="BN87" i="1"/>
  <c r="Z95" i="1"/>
  <c r="BN95" i="1"/>
  <c r="Z102" i="1"/>
  <c r="BN102" i="1"/>
  <c r="Z114" i="1"/>
  <c r="BN114" i="1"/>
  <c r="Z120" i="1"/>
  <c r="Z121" i="1" s="1"/>
  <c r="BN120" i="1"/>
  <c r="BP120" i="1"/>
  <c r="Y121" i="1"/>
  <c r="Z125" i="1"/>
  <c r="BN125" i="1"/>
  <c r="Z142" i="1"/>
  <c r="BN142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0" i="1"/>
  <c r="BN210" i="1"/>
  <c r="Z214" i="1"/>
  <c r="BN214" i="1"/>
  <c r="Z227" i="1"/>
  <c r="BN227" i="1"/>
  <c r="Z231" i="1"/>
  <c r="BN231" i="1"/>
  <c r="Z247" i="1"/>
  <c r="BN247" i="1"/>
  <c r="BP267" i="1"/>
  <c r="BN267" i="1"/>
  <c r="Z267" i="1"/>
  <c r="BP290" i="1"/>
  <c r="BN290" i="1"/>
  <c r="Z290" i="1"/>
  <c r="BP302" i="1"/>
  <c r="BN302" i="1"/>
  <c r="Z302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57" i="1" l="1"/>
  <c r="Z31" i="1"/>
  <c r="Z468" i="1"/>
  <c r="Z453" i="1"/>
  <c r="Z399" i="1"/>
  <c r="Z331" i="1"/>
  <c r="Z473" i="1"/>
  <c r="Z188" i="1"/>
  <c r="Z172" i="1"/>
  <c r="Z150" i="1"/>
  <c r="Z127" i="1"/>
  <c r="Z117" i="1"/>
  <c r="Z104" i="1"/>
  <c r="Z96" i="1"/>
  <c r="Z275" i="1"/>
  <c r="Z178" i="1"/>
  <c r="Z462" i="1"/>
  <c r="Z318" i="1"/>
  <c r="Y491" i="1"/>
  <c r="Z69" i="1"/>
  <c r="Y490" i="1"/>
  <c r="Z235" i="1"/>
  <c r="Z204" i="1"/>
  <c r="Z411" i="1"/>
  <c r="Z89" i="1"/>
  <c r="Y493" i="1"/>
  <c r="Y492" i="1"/>
  <c r="Z394" i="1"/>
  <c r="Z312" i="1"/>
  <c r="Y489" i="1"/>
  <c r="Z438" i="1"/>
  <c r="Z447" i="1"/>
  <c r="Z432" i="1"/>
  <c r="Z350" i="1"/>
  <c r="Z325" i="1"/>
  <c r="Z338" i="1"/>
  <c r="Z216" i="1"/>
  <c r="Z77" i="1"/>
  <c r="Z63" i="1"/>
  <c r="X492" i="1"/>
  <c r="Z268" i="1"/>
  <c r="Z260" i="1"/>
  <c r="Z251" i="1"/>
  <c r="Z144" i="1"/>
  <c r="Z110" i="1"/>
  <c r="Z494" i="1" l="1"/>
</calcChain>
</file>

<file path=xl/sharedStrings.xml><?xml version="1.0" encoding="utf-8"?>
<sst xmlns="http://schemas.openxmlformats.org/spreadsheetml/2006/main" count="2288" uniqueCount="765">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</sst>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764</v>
      </c>
      <c r="I5" s="843"/>
      <c r="J5" s="843"/>
      <c r="K5" s="843"/>
      <c r="L5" s="843"/>
      <c r="M5" s="616"/>
      <c r="N5" s="58"/>
      <c r="P5" s="24" t="s">
        <v>10</v>
      </c>
      <c r="Q5" s="835">
        <v>45969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Суббота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0.375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150</v>
      </c>
      <c r="Y40" s="542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156.04166666666666</v>
      </c>
      <c r="BN40" s="64">
        <f>IFERROR(Y40*I40/H40,"0")</f>
        <v>157.29000000000002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160</v>
      </c>
      <c r="Y41" s="542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168.4</v>
      </c>
      <c r="BN41" s="64">
        <f>IFERROR(Y41*I41/H41,"0")</f>
        <v>168.4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53.888888888888886</v>
      </c>
      <c r="Y43" s="543">
        <f>IFERROR(Y40/H40,"0")+IFERROR(Y41/H41,"0")+IFERROR(Y42/H42,"0")</f>
        <v>54</v>
      </c>
      <c r="Z43" s="543">
        <f>IFERROR(IF(Z40="",0,Z40),"0")+IFERROR(IF(Z41="",0,Z41),"0")+IFERROR(IF(Z42="",0,Z42),"0")</f>
        <v>0.62651999999999997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310</v>
      </c>
      <c r="Y44" s="543">
        <f>IFERROR(SUM(Y40:Y42),"0")</f>
        <v>311.20000000000005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208.05555555555554</v>
      </c>
      <c r="BN52" s="64">
        <f t="shared" si="2"/>
        <v>213.46499999999997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235.5</v>
      </c>
      <c r="BN56" s="64">
        <f t="shared" si="2"/>
        <v>235.5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68.518518518518519</v>
      </c>
      <c r="Y57" s="543">
        <f>IFERROR(Y51/H51,"0")+IFERROR(Y52/H52,"0")+IFERROR(Y53/H53,"0")+IFERROR(Y54/H54,"0")+IFERROR(Y55/H55,"0")+IFERROR(Y56/H56,"0")</f>
        <v>69</v>
      </c>
      <c r="Z57" s="543">
        <f>IFERROR(IF(Z51="",0,Z51),"0")+IFERROR(IF(Z52="",0,Z52),"0")+IFERROR(IF(Z53="",0,Z53),"0")+IFERROR(IF(Z54="",0,Z54),"0")+IFERROR(IF(Z55="",0,Z55),"0")+IFERROR(IF(Z56="",0,Z56),"0")</f>
        <v>0.81162000000000001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425</v>
      </c>
      <c r="Y58" s="543">
        <f>IFERROR(SUM(Y51:Y56),"0")</f>
        <v>430.20000000000005</v>
      </c>
      <c r="Z58" s="37"/>
      <c r="AA58" s="544"/>
      <c r="AB58" s="544"/>
      <c r="AC58" s="544"/>
    </row>
    <row r="59" spans="1:68" ht="14.25" hidden="1" customHeight="1" x14ac:dyDescent="0.25">
      <c r="A59" s="545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170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176.8472222222222</v>
      </c>
      <c r="BN60" s="64">
        <f>IFERROR(Y60*I60/H60,"0")</f>
        <v>179.76</v>
      </c>
      <c r="BO60" s="64">
        <f>IFERROR(1/J60*(X60/H60),"0")</f>
        <v>0.24594907407407407</v>
      </c>
      <c r="BP60" s="64">
        <f>IFERROR(1/J60*(Y60/H60),"0")</f>
        <v>0.25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202.5</v>
      </c>
      <c r="Y62" s="542">
        <f>IFERROR(IF(X62="",0,CEILING((X62/$H62),1)*$H62),"")</f>
        <v>202.5</v>
      </c>
      <c r="Z62" s="36">
        <f>IFERROR(IF(Y62=0,"",ROUNDUP(Y62/H62,0)*0.00651),"")</f>
        <v>0.48825000000000002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215.99999999999997</v>
      </c>
      <c r="BN62" s="64">
        <f>IFERROR(Y62*I62/H62,"0")</f>
        <v>215.99999999999997</v>
      </c>
      <c r="BO62" s="64">
        <f>IFERROR(1/J62*(X62/H62),"0")</f>
        <v>0.41208791208791212</v>
      </c>
      <c r="BP62" s="64">
        <f>IFERROR(1/J62*(Y62/H62),"0")</f>
        <v>0.41208791208791212</v>
      </c>
    </row>
    <row r="63" spans="1:68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90.740740740740733</v>
      </c>
      <c r="Y63" s="543">
        <f>IFERROR(Y60/H60,"0")+IFERROR(Y61/H61,"0")+IFERROR(Y62/H62,"0")</f>
        <v>91</v>
      </c>
      <c r="Z63" s="543">
        <f>IFERROR(IF(Z60="",0,Z60),"0")+IFERROR(IF(Z61="",0,Z61),"0")+IFERROR(IF(Z62="",0,Z62),"0")</f>
        <v>0.79193000000000002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372.5</v>
      </c>
      <c r="Y64" s="543">
        <f>IFERROR(SUM(Y60:Y62),"0")</f>
        <v>375.3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152</v>
      </c>
      <c r="B72" s="54" t="s">
        <v>153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165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20</v>
      </c>
      <c r="Y80" s="542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21.115384615384613</v>
      </c>
      <c r="BN80" s="64">
        <f>IFERROR(Y80*I80/H80,"0")</f>
        <v>24.704999999999998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2.5641025641025643</v>
      </c>
      <c r="Y82" s="543">
        <f>IFERROR(Y80/H80,"0")+IFERROR(Y81/H81,"0")</f>
        <v>3</v>
      </c>
      <c r="Z82" s="543">
        <f>IFERROR(IF(Z80="",0,Z80),"0")+IFERROR(IF(Z81="",0,Z81),"0")</f>
        <v>5.6940000000000004E-2</v>
      </c>
      <c r="AA82" s="544"/>
      <c r="AB82" s="544"/>
      <c r="AC82" s="544"/>
    </row>
    <row r="83" spans="1:68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20</v>
      </c>
      <c r="Y83" s="543">
        <f>IFERROR(SUM(Y80:Y81),"0")</f>
        <v>23.4</v>
      </c>
      <c r="Z83" s="37"/>
      <c r="AA83" s="544"/>
      <c r="AB83" s="544"/>
      <c r="AC83" s="544"/>
    </row>
    <row r="84" spans="1:68" ht="16.5" hidden="1" customHeight="1" x14ac:dyDescent="0.25">
      <c r="A84" s="574" t="s">
        <v>172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200</v>
      </c>
      <c r="Y86" s="542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/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405</v>
      </c>
      <c r="Y88" s="542">
        <f>IFERROR(IF(X88="",0,CEILING((X88/$H88),1)*$H88),"")</f>
        <v>405</v>
      </c>
      <c r="Z88" s="36">
        <f>IFERROR(IF(Y88=0,"",ROUNDUP(Y88/H88,0)*0.00902),"")</f>
        <v>0.81180000000000008</v>
      </c>
      <c r="AA88" s="56"/>
      <c r="AB88" s="57"/>
      <c r="AC88" s="133" t="s">
        <v>175</v>
      </c>
      <c r="AG88" s="64"/>
      <c r="AJ88" s="68" t="s">
        <v>106</v>
      </c>
      <c r="AK88" s="68">
        <v>4.5</v>
      </c>
      <c r="BB88" s="134" t="s">
        <v>1</v>
      </c>
      <c r="BM88" s="64">
        <f>IFERROR(X88*I88/H88,"0")</f>
        <v>423.9</v>
      </c>
      <c r="BN88" s="64">
        <f>IFERROR(Y88*I88/H88,"0")</f>
        <v>423.9</v>
      </c>
      <c r="BO88" s="64">
        <f>IFERROR(1/J88*(X88/H88),"0")</f>
        <v>0.68181818181818188</v>
      </c>
      <c r="BP88" s="64">
        <f>IFERROR(1/J88*(Y88/H88),"0")</f>
        <v>0.68181818181818188</v>
      </c>
    </row>
    <row r="89" spans="1:68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108.51851851851852</v>
      </c>
      <c r="Y89" s="543">
        <f>IFERROR(Y86/H86,"0")+IFERROR(Y87/H87,"0")+IFERROR(Y88/H88,"0")</f>
        <v>109</v>
      </c>
      <c r="Z89" s="543">
        <f>IFERROR(IF(Z86="",0,Z86),"0")+IFERROR(IF(Z87="",0,Z87),"0")+IFERROR(IF(Z88="",0,Z88),"0")</f>
        <v>1.17242</v>
      </c>
      <c r="AA89" s="544"/>
      <c r="AB89" s="544"/>
      <c r="AC89" s="544"/>
    </row>
    <row r="90" spans="1:68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605</v>
      </c>
      <c r="Y90" s="543">
        <f>IFERROR(SUM(Y86:Y88),"0")</f>
        <v>610.20000000000005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350</v>
      </c>
      <c r="Y92" s="542">
        <f>IFERROR(IF(X92="",0,CEILING((X92/$H92),1)*$H92),"")</f>
        <v>356.4</v>
      </c>
      <c r="Z92" s="36">
        <f>IFERROR(IF(Y92=0,"",ROUNDUP(Y92/H92,0)*0.01898),"")</f>
        <v>0.83511999999999997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372.42592592592598</v>
      </c>
      <c r="BN92" s="64">
        <f>IFERROR(Y92*I92/H92,"0")</f>
        <v>379.23599999999993</v>
      </c>
      <c r="BO92" s="64">
        <f>IFERROR(1/J92*(X92/H92),"0")</f>
        <v>0.67515432098765438</v>
      </c>
      <c r="BP92" s="64">
        <f>IFERROR(1/J92*(Y92/H92),"0")</f>
        <v>0.6875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405</v>
      </c>
      <c r="Y94" s="542">
        <f>IFERROR(IF(X94="",0,CEILING((X94/$H94),1)*$H94),"")</f>
        <v>405</v>
      </c>
      <c r="Z94" s="36">
        <f>IFERROR(IF(Y94=0,"",ROUNDUP(Y94/H94,0)*0.00651),"")</f>
        <v>0.97650000000000003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442.79999999999995</v>
      </c>
      <c r="BN94" s="64">
        <f>IFERROR(Y94*I94/H94,"0")</f>
        <v>442.79999999999995</v>
      </c>
      <c r="BO94" s="64">
        <f>IFERROR(1/J94*(X94/H94),"0")</f>
        <v>0.82417582417582425</v>
      </c>
      <c r="BP94" s="64">
        <f>IFERROR(1/J94*(Y94/H94),"0")</f>
        <v>0.82417582417582425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193.20987654320987</v>
      </c>
      <c r="Y96" s="543">
        <f>IFERROR(Y92/H92,"0")+IFERROR(Y93/H93,"0")+IFERROR(Y94/H94,"0")+IFERROR(Y95/H95,"0")</f>
        <v>194</v>
      </c>
      <c r="Z96" s="543">
        <f>IFERROR(IF(Z92="",0,Z92),"0")+IFERROR(IF(Z93="",0,Z93),"0")+IFERROR(IF(Z94="",0,Z94),"0")+IFERROR(IF(Z95="",0,Z95),"0")</f>
        <v>1.81162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755</v>
      </c>
      <c r="Y97" s="543">
        <f>IFERROR(SUM(Y92:Y95),"0")</f>
        <v>761.4</v>
      </c>
      <c r="Z97" s="37"/>
      <c r="AA97" s="544"/>
      <c r="AB97" s="544"/>
      <c r="AC97" s="544"/>
    </row>
    <row r="98" spans="1:68" ht="16.5" hidden="1" customHeight="1" x14ac:dyDescent="0.25">
      <c r="A98" s="574" t="s">
        <v>191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199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675</v>
      </c>
      <c r="Y102" s="542">
        <f>IFERROR(IF(X102="",0,CEILING((X102/$H102),1)*$H102),"")</f>
        <v>675</v>
      </c>
      <c r="Z102" s="36">
        <f>IFERROR(IF(Y102=0,"",ROUNDUP(Y102/H102,0)*0.00902),"")</f>
        <v>1.353</v>
      </c>
      <c r="AA102" s="56"/>
      <c r="AB102" s="57"/>
      <c r="AC102" s="147" t="s">
        <v>194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706.5</v>
      </c>
      <c r="BN102" s="64">
        <f>IFERROR(Y102*I102/H102,"0")</f>
        <v>706.5</v>
      </c>
      <c r="BO102" s="64">
        <f>IFERROR(1/J102*(X102/H102),"0")</f>
        <v>1.1363636363636365</v>
      </c>
      <c r="BP102" s="64">
        <f>IFERROR(1/J102*(Y102/H102),"0")</f>
        <v>1.1363636363636365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150</v>
      </c>
      <c r="Y104" s="543">
        <f>IFERROR(Y100/H100,"0")+IFERROR(Y101/H101,"0")+IFERROR(Y102/H102,"0")+IFERROR(Y103/H103,"0")</f>
        <v>150</v>
      </c>
      <c r="Z104" s="543">
        <f>IFERROR(IF(Z100="",0,Z100),"0")+IFERROR(IF(Z101="",0,Z101),"0")+IFERROR(IF(Z102="",0,Z102),"0")+IFERROR(IF(Z103="",0,Z103),"0")</f>
        <v>1.353</v>
      </c>
      <c r="AA104" s="544"/>
      <c r="AB104" s="544"/>
      <c r="AC104" s="544"/>
    </row>
    <row r="105" spans="1:68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675</v>
      </c>
      <c r="Y105" s="543">
        <f>IFERROR(SUM(Y100:Y103),"0")</f>
        <v>675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135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hidden="1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350</v>
      </c>
      <c r="Y113" s="542">
        <f>IFERROR(IF(X113="",0,CEILING((X113/$H113),1)*$H113),"")</f>
        <v>356.4</v>
      </c>
      <c r="Z113" s="36">
        <f>IFERROR(IF(Y113=0,"",ROUNDUP(Y113/H113,0)*0.01898),"")</f>
        <v>0.83511999999999997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372.16666666666663</v>
      </c>
      <c r="BN113" s="64">
        <f>IFERROR(Y113*I113/H113,"0")</f>
        <v>378.97199999999998</v>
      </c>
      <c r="BO113" s="64">
        <f>IFERROR(1/J113*(X113/H113),"0")</f>
        <v>0.67515432098765438</v>
      </c>
      <c r="BP113" s="64">
        <f>IFERROR(1/J113*(Y113/H113),"0")</f>
        <v>0.6875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216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315</v>
      </c>
      <c r="Y115" s="542">
        <f>IFERROR(IF(X115="",0,CEILING((X115/$H115),1)*$H115),"")</f>
        <v>315.90000000000003</v>
      </c>
      <c r="Z115" s="36">
        <f>IFERROR(IF(Y115=0,"",ROUNDUP(Y115/H115,0)*0.00651),"")</f>
        <v>0.76167000000000007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344.4</v>
      </c>
      <c r="BN115" s="64">
        <f>IFERROR(Y115*I115/H115,"0")</f>
        <v>345.38400000000001</v>
      </c>
      <c r="BO115" s="64">
        <f>IFERROR(1/J115*(X115/H115),"0")</f>
        <v>0.64102564102564097</v>
      </c>
      <c r="BP115" s="64">
        <f>IFERROR(1/J115*(Y115/H115),"0")</f>
        <v>0.6428571428571429</v>
      </c>
    </row>
    <row r="116" spans="1:68" ht="16.5" customHeight="1" x14ac:dyDescent="0.25">
      <c r="A116" s="54" t="s">
        <v>217</v>
      </c>
      <c r="B116" s="54" t="s">
        <v>218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 t="s">
        <v>216</v>
      </c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36</v>
      </c>
      <c r="Y116" s="542">
        <f>IFERROR(IF(X116="",0,CEILING((X116/$H116),1)*$H116),"")</f>
        <v>36</v>
      </c>
      <c r="Z116" s="36">
        <f>IFERROR(IF(Y116=0,"",ROUNDUP(Y116/H116,0)*0.00651),"")</f>
        <v>0.13020000000000001</v>
      </c>
      <c r="AA116" s="56"/>
      <c r="AB116" s="57"/>
      <c r="AC116" s="163" t="s">
        <v>219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39.6</v>
      </c>
      <c r="BN116" s="64">
        <f>IFERROR(Y116*I116/H116,"0")</f>
        <v>39.6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179.87654320987653</v>
      </c>
      <c r="Y117" s="543">
        <f>IFERROR(Y113/H113,"0")+IFERROR(Y114/H114,"0")+IFERROR(Y115/H115,"0")+IFERROR(Y116/H116,"0")</f>
        <v>181</v>
      </c>
      <c r="Z117" s="543">
        <f>IFERROR(IF(Z113="",0,Z113),"0")+IFERROR(IF(Z114="",0,Z114),"0")+IFERROR(IF(Z115="",0,Z115),"0")+IFERROR(IF(Z116="",0,Z116),"0")</f>
        <v>1.72699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701</v>
      </c>
      <c r="Y118" s="543">
        <f>IFERROR(SUM(Y113:Y116),"0")</f>
        <v>708.3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165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customHeight="1" x14ac:dyDescent="0.25">
      <c r="A120" s="54" t="s">
        <v>220</v>
      </c>
      <c r="B120" s="54" t="s">
        <v>221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 t="s">
        <v>216</v>
      </c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66</v>
      </c>
      <c r="Y120" s="542">
        <f>IFERROR(IF(X120="",0,CEILING((X120/$H120),1)*$H120),"")</f>
        <v>67.319999999999993</v>
      </c>
      <c r="Z120" s="36">
        <f>IFERROR(IF(Y120=0,"",ROUNDUP(Y120/H120,0)*0.00651),"")</f>
        <v>0.22134000000000001</v>
      </c>
      <c r="AA120" s="56"/>
      <c r="AB120" s="57"/>
      <c r="AC120" s="165" t="s">
        <v>222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74.599999999999994</v>
      </c>
      <c r="BN120" s="64">
        <f>IFERROR(Y120*I120/H120,"0")</f>
        <v>76.091999999999985</v>
      </c>
      <c r="BO120" s="64">
        <f>IFERROR(1/J120*(X120/H120),"0")</f>
        <v>0.18315018315018317</v>
      </c>
      <c r="BP120" s="64">
        <f>IFERROR(1/J120*(Y120/H120),"0")</f>
        <v>0.18681318681318682</v>
      </c>
    </row>
    <row r="121" spans="1:68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33.333333333333336</v>
      </c>
      <c r="Y121" s="543">
        <f>IFERROR(Y120/H120,"0")</f>
        <v>34</v>
      </c>
      <c r="Z121" s="543">
        <f>IFERROR(IF(Z120="",0,Z120),"0")</f>
        <v>0.22134000000000001</v>
      </c>
      <c r="AA121" s="544"/>
      <c r="AB121" s="544"/>
      <c r="AC121" s="544"/>
    </row>
    <row r="122" spans="1:68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66</v>
      </c>
      <c r="Y122" s="543">
        <f>IFERROR(SUM(Y120:Y120),"0")</f>
        <v>67.319999999999993</v>
      </c>
      <c r="Z122" s="37"/>
      <c r="AA122" s="544"/>
      <c r="AB122" s="544"/>
      <c r="AC122" s="544"/>
    </row>
    <row r="123" spans="1:68" ht="16.5" hidden="1" customHeight="1" x14ac:dyDescent="0.25">
      <c r="A123" s="574" t="s">
        <v>223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customHeight="1" x14ac:dyDescent="0.25">
      <c r="A125" s="54" t="s">
        <v>224</v>
      </c>
      <c r="B125" s="54" t="s">
        <v>225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216</v>
      </c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80</v>
      </c>
      <c r="Y125" s="542">
        <f>IFERROR(IF(X125="",0,CEILING((X125/$H125),1)*$H125),"")</f>
        <v>80</v>
      </c>
      <c r="Z125" s="36">
        <f>IFERROR(IF(Y125=0,"",ROUNDUP(Y125/H125,0)*0.00651),"")</f>
        <v>0.16275000000000001</v>
      </c>
      <c r="AA125" s="56"/>
      <c r="AB125" s="57"/>
      <c r="AC125" s="167" t="s">
        <v>226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84.499999999999986</v>
      </c>
      <c r="BN125" s="64">
        <f>IFERROR(Y125*I125/H125,"0")</f>
        <v>84.499999999999986</v>
      </c>
      <c r="BO125" s="64">
        <f>IFERROR(1/J125*(X125/H125),"0")</f>
        <v>0.13736263736263737</v>
      </c>
      <c r="BP125" s="64">
        <f>IFERROR(1/J125*(Y125/H125),"0")</f>
        <v>0.13736263736263737</v>
      </c>
    </row>
    <row r="126" spans="1:68" ht="27" hidden="1" customHeight="1" x14ac:dyDescent="0.25">
      <c r="A126" s="54" t="s">
        <v>224</v>
      </c>
      <c r="B126" s="54" t="s">
        <v>227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226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25</v>
      </c>
      <c r="Y127" s="543">
        <f>IFERROR(Y125/H125,"0")+IFERROR(Y126/H126,"0")</f>
        <v>25</v>
      </c>
      <c r="Z127" s="543">
        <f>IFERROR(IF(Z125="",0,Z125),"0")+IFERROR(IF(Z126="",0,Z126),"0")</f>
        <v>0.16275000000000001</v>
      </c>
      <c r="AA127" s="544"/>
      <c r="AB127" s="544"/>
      <c r="AC127" s="544"/>
    </row>
    <row r="128" spans="1:68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80</v>
      </c>
      <c r="Y128" s="543">
        <f>IFERROR(SUM(Y125:Y126),"0")</f>
        <v>80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228</v>
      </c>
      <c r="B130" s="54" t="s">
        <v>229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228</v>
      </c>
      <c r="B131" s="54" t="s">
        <v>231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216</v>
      </c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35</v>
      </c>
      <c r="Y131" s="542">
        <f>IFERROR(IF(X131="",0,CEILING((X131/$H131),1)*$H131),"")</f>
        <v>36.4</v>
      </c>
      <c r="Z131" s="36">
        <f>IFERROR(IF(Y131=0,"",ROUNDUP(Y131/H131,0)*0.00651),"")</f>
        <v>8.4629999999999997E-2</v>
      </c>
      <c r="AA131" s="56"/>
      <c r="AB131" s="57"/>
      <c r="AC131" s="173" t="s">
        <v>230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38.35</v>
      </c>
      <c r="BN131" s="64">
        <f>IFERROR(Y131*I131/H131,"0")</f>
        <v>39.884</v>
      </c>
      <c r="BO131" s="64">
        <f>IFERROR(1/J131*(X131/H131),"0")</f>
        <v>6.8681318681318687E-2</v>
      </c>
      <c r="BP131" s="64">
        <f>IFERROR(1/J131*(Y131/H131),"0")</f>
        <v>7.1428571428571438E-2</v>
      </c>
    </row>
    <row r="132" spans="1:68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12.5</v>
      </c>
      <c r="Y132" s="543">
        <f>IFERROR(Y130/H130,"0")+IFERROR(Y131/H131,"0")</f>
        <v>13</v>
      </c>
      <c r="Z132" s="543">
        <f>IFERROR(IF(Z130="",0,Z130),"0")+IFERROR(IF(Z131="",0,Z131),"0")</f>
        <v>8.4629999999999997E-2</v>
      </c>
      <c r="AA132" s="544"/>
      <c r="AB132" s="544"/>
      <c r="AC132" s="544"/>
    </row>
    <row r="133" spans="1:68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35</v>
      </c>
      <c r="Y133" s="543">
        <f>IFERROR(SUM(Y130:Y131),"0")</f>
        <v>36.4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232</v>
      </c>
      <c r="B135" s="54" t="s">
        <v>233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232</v>
      </c>
      <c r="B136" s="54" t="s">
        <v>234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 t="s">
        <v>216</v>
      </c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72.600000000000009</v>
      </c>
      <c r="Y136" s="542">
        <f>IFERROR(IF(X136="",0,CEILING((X136/$H136),1)*$H136),"")</f>
        <v>73.92</v>
      </c>
      <c r="Z136" s="36">
        <f>IFERROR(IF(Y136=0,"",ROUNDUP(Y136/H136,0)*0.00651),"")</f>
        <v>0.18228</v>
      </c>
      <c r="AA136" s="56"/>
      <c r="AB136" s="57"/>
      <c r="AC136" s="177" t="s">
        <v>226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79.970000000000013</v>
      </c>
      <c r="BN136" s="64">
        <f>IFERROR(Y136*I136/H136,"0")</f>
        <v>81.423999999999992</v>
      </c>
      <c r="BO136" s="64">
        <f>IFERROR(1/J136*(X136/H136),"0")</f>
        <v>0.15109890109890112</v>
      </c>
      <c r="BP136" s="64">
        <f>IFERROR(1/J136*(Y136/H136),"0")</f>
        <v>0.15384615384615385</v>
      </c>
    </row>
    <row r="137" spans="1:68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27.500000000000004</v>
      </c>
      <c r="Y137" s="543">
        <f>IFERROR(Y135/H135,"0")+IFERROR(Y136/H136,"0")</f>
        <v>28</v>
      </c>
      <c r="Z137" s="543">
        <f>IFERROR(IF(Z135="",0,Z135),"0")+IFERROR(IF(Z136="",0,Z136),"0")</f>
        <v>0.18228</v>
      </c>
      <c r="AA137" s="544"/>
      <c r="AB137" s="544"/>
      <c r="AC137" s="544"/>
    </row>
    <row r="138" spans="1:68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72.600000000000009</v>
      </c>
      <c r="Y138" s="543">
        <f>IFERROR(SUM(Y135:Y136),"0")</f>
        <v>73.92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235</v>
      </c>
      <c r="B141" s="54" t="s">
        <v>236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237</v>
      </c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242</v>
      </c>
      <c r="B143" s="54" t="s">
        <v>243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254</v>
      </c>
      <c r="B153" s="54" t="s">
        <v>255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256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237</v>
      </c>
      <c r="AC153" s="191" t="s">
        <v>257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258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259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135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260</v>
      </c>
      <c r="B159" s="54" t="s">
        <v>261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262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customHeight="1" x14ac:dyDescent="0.25">
      <c r="A163" s="54" t="s">
        <v>263</v>
      </c>
      <c r="B163" s="54" t="s">
        <v>264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199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60</v>
      </c>
      <c r="Y163" s="542">
        <f t="shared" ref="Y163:Y171" si="5">IFERROR(IF(X163="",0,CEILING((X163/$H163),1)*$H163),"")</f>
        <v>63</v>
      </c>
      <c r="Z163" s="36">
        <f>IFERROR(IF(Y163=0,"",ROUNDUP(Y163/H163,0)*0.00902),"")</f>
        <v>0.1353</v>
      </c>
      <c r="AA163" s="56"/>
      <c r="AB163" s="57"/>
      <c r="AC163" s="195" t="s">
        <v>265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63.857142857142854</v>
      </c>
      <c r="BN163" s="64">
        <f t="shared" ref="BN163:BN171" si="7">IFERROR(Y163*I163/H163,"0")</f>
        <v>67.049999999999983</v>
      </c>
      <c r="BO163" s="64">
        <f t="shared" ref="BO163:BO171" si="8">IFERROR(1/J163*(X163/H163),"0")</f>
        <v>0.10822510822510822</v>
      </c>
      <c r="BP163" s="64">
        <f t="shared" ref="BP163:BP171" si="9">IFERROR(1/J163*(Y163/H163),"0")</f>
        <v>0.11363636363636365</v>
      </c>
    </row>
    <row r="164" spans="1:68" ht="27" customHeight="1" x14ac:dyDescent="0.25">
      <c r="A164" s="54" t="s">
        <v>266</v>
      </c>
      <c r="B164" s="54" t="s">
        <v>267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 t="s">
        <v>199</v>
      </c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30</v>
      </c>
      <c r="Y164" s="542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31.928571428571427</v>
      </c>
      <c r="BN164" s="64">
        <f t="shared" si="7"/>
        <v>35.76</v>
      </c>
      <c r="BO164" s="64">
        <f t="shared" si="8"/>
        <v>5.4112554112554112E-2</v>
      </c>
      <c r="BP164" s="64">
        <f t="shared" si="9"/>
        <v>6.0606060606060608E-2</v>
      </c>
    </row>
    <row r="165" spans="1:68" ht="27" customHeight="1" x14ac:dyDescent="0.25">
      <c r="A165" s="54" t="s">
        <v>269</v>
      </c>
      <c r="B165" s="54" t="s">
        <v>270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150</v>
      </c>
      <c r="Y165" s="542">
        <f t="shared" si="5"/>
        <v>151.20000000000002</v>
      </c>
      <c r="Z165" s="36">
        <f>IFERROR(IF(Y165=0,"",ROUNDUP(Y165/H165,0)*0.00902),"")</f>
        <v>0.32472000000000001</v>
      </c>
      <c r="AA165" s="56"/>
      <c r="AB165" s="57"/>
      <c r="AC165" s="199" t="s">
        <v>271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157.5</v>
      </c>
      <c r="BN165" s="64">
        <f t="shared" si="7"/>
        <v>158.76000000000002</v>
      </c>
      <c r="BO165" s="64">
        <f t="shared" si="8"/>
        <v>0.27056277056277056</v>
      </c>
      <c r="BP165" s="64">
        <f t="shared" si="9"/>
        <v>0.27272727272727271</v>
      </c>
    </row>
    <row r="166" spans="1:68" ht="27" customHeight="1" x14ac:dyDescent="0.25">
      <c r="A166" s="54" t="s">
        <v>272</v>
      </c>
      <c r="B166" s="54" t="s">
        <v>273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274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112</v>
      </c>
      <c r="Y166" s="542">
        <f t="shared" si="5"/>
        <v>113.4</v>
      </c>
      <c r="Z166" s="36">
        <f>IFERROR(IF(Y166=0,"",ROUNDUP(Y166/H166,0)*0.00502),"")</f>
        <v>0.27107999999999999</v>
      </c>
      <c r="AA166" s="56"/>
      <c r="AB166" s="57"/>
      <c r="AC166" s="201" t="s">
        <v>265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118.93333333333332</v>
      </c>
      <c r="BN166" s="64">
        <f t="shared" si="7"/>
        <v>120.42</v>
      </c>
      <c r="BO166" s="64">
        <f t="shared" si="8"/>
        <v>0.22792022792022792</v>
      </c>
      <c r="BP166" s="64">
        <f t="shared" si="9"/>
        <v>0.23076923076923078</v>
      </c>
    </row>
    <row r="167" spans="1:68" ht="27" customHeight="1" x14ac:dyDescent="0.25">
      <c r="A167" s="54" t="s">
        <v>275</v>
      </c>
      <c r="B167" s="54" t="s">
        <v>276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274</v>
      </c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140</v>
      </c>
      <c r="Y167" s="542">
        <f t="shared" si="5"/>
        <v>140.70000000000002</v>
      </c>
      <c r="Z167" s="36">
        <f>IFERROR(IF(Y167=0,"",ROUNDUP(Y167/H167,0)*0.00502),"")</f>
        <v>0.33634000000000003</v>
      </c>
      <c r="AA167" s="56"/>
      <c r="AB167" s="57"/>
      <c r="AC167" s="203" t="s">
        <v>268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148.66666666666666</v>
      </c>
      <c r="BN167" s="64">
        <f t="shared" si="7"/>
        <v>149.41</v>
      </c>
      <c r="BO167" s="64">
        <f t="shared" si="8"/>
        <v>0.28490028490028491</v>
      </c>
      <c r="BP167" s="64">
        <f t="shared" si="9"/>
        <v>0.28632478632478636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274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210</v>
      </c>
      <c r="Y169" s="542">
        <f t="shared" si="5"/>
        <v>210</v>
      </c>
      <c r="Z169" s="36">
        <f>IFERROR(IF(Y169=0,"",ROUNDUP(Y169/H169,0)*0.00502),"")</f>
        <v>0.502</v>
      </c>
      <c r="AA169" s="56"/>
      <c r="AB169" s="57"/>
      <c r="AC169" s="207" t="s">
        <v>271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220.00000000000003</v>
      </c>
      <c r="BN169" s="64">
        <f t="shared" si="7"/>
        <v>220.00000000000003</v>
      </c>
      <c r="BO169" s="64">
        <f t="shared" si="8"/>
        <v>0.42735042735042739</v>
      </c>
      <c r="BP169" s="64">
        <f t="shared" si="9"/>
        <v>0.42735042735042739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284</v>
      </c>
      <c r="B171" s="54" t="s">
        <v>285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286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277.14285714285711</v>
      </c>
      <c r="Y172" s="543">
        <f>IFERROR(Y163/H163,"0")+IFERROR(Y164/H164,"0")+IFERROR(Y165/H165,"0")+IFERROR(Y166/H166,"0")+IFERROR(Y167/H167,"0")+IFERROR(Y168/H168,"0")+IFERROR(Y169/H169,"0")+IFERROR(Y170/H170,"0")+IFERROR(Y171/H171,"0")</f>
        <v>280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1.6415999999999999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702</v>
      </c>
      <c r="Y173" s="543">
        <f>IFERROR(SUM(Y163:Y171),"0")</f>
        <v>711.90000000000009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customHeight="1" x14ac:dyDescent="0.25">
      <c r="A175" s="54" t="s">
        <v>287</v>
      </c>
      <c r="B175" s="54" t="s">
        <v>288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289</v>
      </c>
      <c r="L175" s="32"/>
      <c r="M175" s="33" t="s">
        <v>290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289</v>
      </c>
      <c r="L176" s="32"/>
      <c r="M176" s="33" t="s">
        <v>290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294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ht="27" customHeight="1" x14ac:dyDescent="0.25">
      <c r="A177" s="54" t="s">
        <v>295</v>
      </c>
      <c r="B177" s="54" t="s">
        <v>296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289</v>
      </c>
      <c r="L177" s="32"/>
      <c r="M177" s="33" t="s">
        <v>290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14</v>
      </c>
      <c r="Y177" s="542">
        <f>IFERROR(IF(X177="",0,CEILING((X177/$H177),1)*$H177),"")</f>
        <v>15.120000000000001</v>
      </c>
      <c r="Z177" s="36">
        <f>IFERROR(IF(Y177=0,"",ROUNDUP(Y177/H177,0)*0.0059),"")</f>
        <v>7.0800000000000002E-2</v>
      </c>
      <c r="AA177" s="56"/>
      <c r="AB177" s="57"/>
      <c r="AC177" s="217" t="s">
        <v>294</v>
      </c>
      <c r="AG177" s="64"/>
      <c r="AJ177" s="68"/>
      <c r="AK177" s="68">
        <v>0</v>
      </c>
      <c r="BB177" s="218" t="s">
        <v>1</v>
      </c>
      <c r="BM177" s="64">
        <f>IFERROR(X177*I177/H177,"0")</f>
        <v>16.111111111111111</v>
      </c>
      <c r="BN177" s="64">
        <f>IFERROR(Y177*I177/H177,"0")</f>
        <v>17.399999999999999</v>
      </c>
      <c r="BO177" s="64">
        <f>IFERROR(1/J177*(X177/H177),"0")</f>
        <v>5.1440329218106991E-2</v>
      </c>
      <c r="BP177" s="64">
        <f>IFERROR(1/J177*(Y177/H177),"0")</f>
        <v>5.5555555555555552E-2</v>
      </c>
    </row>
    <row r="178" spans="1:68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27.777777777777779</v>
      </c>
      <c r="Y178" s="543">
        <f>IFERROR(Y175/H175,"0")+IFERROR(Y176/H176,"0")+IFERROR(Y177/H177,"0")</f>
        <v>30</v>
      </c>
      <c r="Z178" s="543">
        <f>IFERROR(IF(Z175="",0,Z175),"0")+IFERROR(IF(Z176="",0,Z176),"0")+IFERROR(IF(Z177="",0,Z177),"0")</f>
        <v>0.17699999999999999</v>
      </c>
      <c r="AA178" s="544"/>
      <c r="AB178" s="544"/>
      <c r="AC178" s="544"/>
    </row>
    <row r="179" spans="1:68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35</v>
      </c>
      <c r="Y179" s="543">
        <f>IFERROR(SUM(Y175:Y177),"0")</f>
        <v>37.799999999999997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297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customHeight="1" x14ac:dyDescent="0.25">
      <c r="A181" s="54" t="s">
        <v>298</v>
      </c>
      <c r="B181" s="54" t="s">
        <v>299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289</v>
      </c>
      <c r="L181" s="32"/>
      <c r="M181" s="33" t="s">
        <v>290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7.0000000000000009</v>
      </c>
      <c r="Y181" s="542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19" t="s">
        <v>294</v>
      </c>
      <c r="AG181" s="64"/>
      <c r="AJ181" s="68"/>
      <c r="AK181" s="68">
        <v>0</v>
      </c>
      <c r="BB181" s="220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5.5555555555555562</v>
      </c>
      <c r="Y182" s="543">
        <f>IFERROR(Y181/H181,"0")</f>
        <v>6</v>
      </c>
      <c r="Z182" s="543">
        <f>IFERROR(IF(Z181="",0,Z181),"0")</f>
        <v>3.5400000000000001E-2</v>
      </c>
      <c r="AA182" s="544"/>
      <c r="AB182" s="544"/>
      <c r="AC182" s="544"/>
    </row>
    <row r="183" spans="1:68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7.0000000000000009</v>
      </c>
      <c r="Y183" s="543">
        <f>IFERROR(SUM(Y181:Y181),"0")</f>
        <v>7.5600000000000005</v>
      </c>
      <c r="Z183" s="37"/>
      <c r="AA183" s="544"/>
      <c r="AB183" s="544"/>
      <c r="AC183" s="544"/>
    </row>
    <row r="184" spans="1:68" ht="16.5" hidden="1" customHeight="1" x14ac:dyDescent="0.25">
      <c r="A184" s="574" t="s">
        <v>300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301</v>
      </c>
      <c r="B186" s="54" t="s">
        <v>302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303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304</v>
      </c>
      <c r="B187" s="54" t="s">
        <v>305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303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306</v>
      </c>
      <c r="B191" s="54" t="s">
        <v>307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308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309</v>
      </c>
      <c r="B192" s="54" t="s">
        <v>310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308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customHeight="1" x14ac:dyDescent="0.25">
      <c r="A196" s="54" t="s">
        <v>311</v>
      </c>
      <c r="B196" s="54" t="s">
        <v>312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199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124.66666666666667</v>
      </c>
      <c r="BN196" s="64">
        <f t="shared" ref="BN196:BN203" si="12">IFERROR(Y196*I196/H196,"0")</f>
        <v>129.03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199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199</v>
      </c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350</v>
      </c>
      <c r="Y198" s="542">
        <f t="shared" si="10"/>
        <v>351</v>
      </c>
      <c r="Z198" s="36">
        <f>IFERROR(IF(Y198=0,"",ROUNDUP(Y198/H198,0)*0.00902),"")</f>
        <v>0.58630000000000004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363.61111111111109</v>
      </c>
      <c r="BN198" s="64">
        <f t="shared" si="12"/>
        <v>364.65</v>
      </c>
      <c r="BO198" s="64">
        <f t="shared" si="13"/>
        <v>0.49102132435465767</v>
      </c>
      <c r="BP198" s="64">
        <f t="shared" si="14"/>
        <v>0.49242424242424243</v>
      </c>
    </row>
    <row r="199" spans="1:68" ht="27" customHeight="1" x14ac:dyDescent="0.25">
      <c r="A199" s="54" t="s">
        <v>320</v>
      </c>
      <c r="B199" s="54" t="s">
        <v>321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199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30</v>
      </c>
      <c r="Y199" s="542">
        <f t="shared" si="10"/>
        <v>32.400000000000006</v>
      </c>
      <c r="Z199" s="36">
        <f>IFERROR(IF(Y199=0,"",ROUNDUP(Y199/H199,0)*0.00902),"")</f>
        <v>5.4120000000000001E-2</v>
      </c>
      <c r="AA199" s="56"/>
      <c r="AB199" s="57"/>
      <c r="AC199" s="235" t="s">
        <v>322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31.166666666666668</v>
      </c>
      <c r="BN199" s="64">
        <f t="shared" si="12"/>
        <v>33.660000000000004</v>
      </c>
      <c r="BO199" s="64">
        <f t="shared" si="13"/>
        <v>4.208754208754209E-2</v>
      </c>
      <c r="BP199" s="64">
        <f t="shared" si="14"/>
        <v>4.5454545454545463E-2</v>
      </c>
    </row>
    <row r="200" spans="1:68" ht="27" customHeight="1" x14ac:dyDescent="0.25">
      <c r="A200" s="54" t="s">
        <v>323</v>
      </c>
      <c r="B200" s="54" t="s">
        <v>324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274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180</v>
      </c>
      <c r="Y200" s="542">
        <f t="shared" si="10"/>
        <v>180</v>
      </c>
      <c r="Z200" s="36">
        <f>IFERROR(IF(Y200=0,"",ROUNDUP(Y200/H200,0)*0.00502),"")</f>
        <v>0.502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192.99999999999997</v>
      </c>
      <c r="BN200" s="64">
        <f t="shared" si="12"/>
        <v>192.99999999999997</v>
      </c>
      <c r="BO200" s="64">
        <f t="shared" si="13"/>
        <v>0.42735042735042739</v>
      </c>
      <c r="BP200" s="64">
        <f t="shared" si="14"/>
        <v>0.42735042735042739</v>
      </c>
    </row>
    <row r="201" spans="1:68" ht="27" customHeight="1" x14ac:dyDescent="0.25">
      <c r="A201" s="54" t="s">
        <v>325</v>
      </c>
      <c r="B201" s="54" t="s">
        <v>326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274</v>
      </c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75</v>
      </c>
      <c r="Y201" s="542">
        <f t="shared" si="10"/>
        <v>75.600000000000009</v>
      </c>
      <c r="Z201" s="36">
        <f>IFERROR(IF(Y201=0,"",ROUNDUP(Y201/H201,0)*0.00502),"")</f>
        <v>0.21084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79.166666666666671</v>
      </c>
      <c r="BN201" s="64">
        <f t="shared" si="12"/>
        <v>79.800000000000011</v>
      </c>
      <c r="BO201" s="64">
        <f t="shared" si="13"/>
        <v>0.17806267806267806</v>
      </c>
      <c r="BP201" s="64">
        <f t="shared" si="14"/>
        <v>0.17948717948717954</v>
      </c>
    </row>
    <row r="202" spans="1:68" ht="27" customHeight="1" x14ac:dyDescent="0.25">
      <c r="A202" s="54" t="s">
        <v>327</v>
      </c>
      <c r="B202" s="54" t="s">
        <v>328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274</v>
      </c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75</v>
      </c>
      <c r="Y202" s="542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329</v>
      </c>
      <c r="B203" s="54" t="s">
        <v>330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274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60</v>
      </c>
      <c r="Y203" s="542">
        <f t="shared" si="10"/>
        <v>61.2</v>
      </c>
      <c r="Z203" s="36">
        <f>IFERROR(IF(Y203=0,"",ROUNDUP(Y203/H203,0)*0.00502),"")</f>
        <v>0.17068</v>
      </c>
      <c r="AA203" s="56"/>
      <c r="AB203" s="57"/>
      <c r="AC203" s="243" t="s">
        <v>322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63.333333333333329</v>
      </c>
      <c r="BN203" s="64">
        <f t="shared" si="12"/>
        <v>64.599999999999994</v>
      </c>
      <c r="BO203" s="64">
        <f t="shared" si="13"/>
        <v>0.14245014245014248</v>
      </c>
      <c r="BP203" s="64">
        <f t="shared" si="14"/>
        <v>0.14529914529914531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309.25925925925924</v>
      </c>
      <c r="Y204" s="543">
        <f>IFERROR(Y196/H196,"0")+IFERROR(Y197/H197,"0")+IFERROR(Y198/H198,"0")+IFERROR(Y199/H199,"0")+IFERROR(Y200/H200,"0")+IFERROR(Y201/H201,"0")+IFERROR(Y202/H202,"0")+IFERROR(Y203/H203,"0")</f>
        <v>312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1.9422399999999997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890</v>
      </c>
      <c r="Y205" s="543">
        <f>IFERROR(SUM(Y196:Y203),"0")</f>
        <v>900.00000000000011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hidden="1" customHeight="1" x14ac:dyDescent="0.25">
      <c r="A207" s="54" t="s">
        <v>331</v>
      </c>
      <c r="B207" s="54" t="s">
        <v>332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150</v>
      </c>
      <c r="Y209" s="542">
        <f t="shared" si="15"/>
        <v>156.6</v>
      </c>
      <c r="Z209" s="36">
        <f>IFERROR(IF(Y209=0,"",ROUNDUP(Y209/H209,0)*0.01898),"")</f>
        <v>0.34164</v>
      </c>
      <c r="AA209" s="56"/>
      <c r="AB209" s="57"/>
      <c r="AC209" s="249" t="s">
        <v>339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158.94827586206898</v>
      </c>
      <c r="BN209" s="64">
        <f t="shared" si="17"/>
        <v>165.94200000000001</v>
      </c>
      <c r="BO209" s="64">
        <f t="shared" si="18"/>
        <v>0.26939655172413796</v>
      </c>
      <c r="BP209" s="64">
        <f t="shared" si="19"/>
        <v>0.28125</v>
      </c>
    </row>
    <row r="210" spans="1:68" ht="27" customHeight="1" x14ac:dyDescent="0.25">
      <c r="A210" s="54" t="s">
        <v>340</v>
      </c>
      <c r="B210" s="54" t="s">
        <v>341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400</v>
      </c>
      <c r="Y210" s="542">
        <f t="shared" si="15"/>
        <v>400.8</v>
      </c>
      <c r="Z210" s="36">
        <f t="shared" ref="Z210:Z215" si="20">IFERROR(IF(Y210=0,"",ROUNDUP(Y210/H210,0)*0.00651),"")</f>
        <v>1.08717</v>
      </c>
      <c r="AA210" s="56"/>
      <c r="AB210" s="57"/>
      <c r="AC210" s="251" t="s">
        <v>333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445</v>
      </c>
      <c r="BN210" s="64">
        <f t="shared" si="17"/>
        <v>445.89</v>
      </c>
      <c r="BO210" s="64">
        <f t="shared" si="18"/>
        <v>0.91575091575091594</v>
      </c>
      <c r="BP210" s="64">
        <f t="shared" si="19"/>
        <v>0.91758241758241765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344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345</v>
      </c>
      <c r="B212" s="54" t="s">
        <v>346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216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320</v>
      </c>
      <c r="Y212" s="542">
        <f t="shared" si="15"/>
        <v>321.59999999999997</v>
      </c>
      <c r="Z212" s="36">
        <f t="shared" si="20"/>
        <v>0.87234</v>
      </c>
      <c r="AA212" s="56"/>
      <c r="AB212" s="57"/>
      <c r="AC212" s="255" t="s">
        <v>339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353.60000000000008</v>
      </c>
      <c r="BN212" s="64">
        <f t="shared" si="17"/>
        <v>355.36799999999999</v>
      </c>
      <c r="BO212" s="64">
        <f t="shared" si="18"/>
        <v>0.73260073260073266</v>
      </c>
      <c r="BP212" s="64">
        <f t="shared" si="19"/>
        <v>0.73626373626373631</v>
      </c>
    </row>
    <row r="213" spans="1:68" ht="27" hidden="1" customHeight="1" x14ac:dyDescent="0.25">
      <c r="A213" s="54" t="s">
        <v>347</v>
      </c>
      <c r="B213" s="54" t="s">
        <v>348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339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216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104</v>
      </c>
      <c r="Y214" s="542">
        <f t="shared" si="15"/>
        <v>105.6</v>
      </c>
      <c r="Z214" s="36">
        <f t="shared" si="20"/>
        <v>0.28644000000000003</v>
      </c>
      <c r="AA214" s="56"/>
      <c r="AB214" s="57"/>
      <c r="AC214" s="259" t="s">
        <v>351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114.92</v>
      </c>
      <c r="BN214" s="64">
        <f t="shared" si="17"/>
        <v>116.688</v>
      </c>
      <c r="BO214" s="64">
        <f t="shared" si="18"/>
        <v>0.23809523809523814</v>
      </c>
      <c r="BP214" s="64">
        <f t="shared" si="19"/>
        <v>0.24175824175824179</v>
      </c>
    </row>
    <row r="215" spans="1:68" ht="27" customHeight="1" x14ac:dyDescent="0.25">
      <c r="A215" s="54" t="s">
        <v>352</v>
      </c>
      <c r="B215" s="54" t="s">
        <v>353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216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280</v>
      </c>
      <c r="Y215" s="542">
        <f t="shared" si="15"/>
        <v>280.8</v>
      </c>
      <c r="Z215" s="36">
        <f t="shared" si="20"/>
        <v>0.76167000000000007</v>
      </c>
      <c r="AA215" s="56"/>
      <c r="AB215" s="57"/>
      <c r="AC215" s="261" t="s">
        <v>336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310.10000000000002</v>
      </c>
      <c r="BN215" s="64">
        <f t="shared" si="17"/>
        <v>310.98599999999999</v>
      </c>
      <c r="BO215" s="64">
        <f t="shared" si="18"/>
        <v>0.64102564102564108</v>
      </c>
      <c r="BP215" s="64">
        <f t="shared" si="19"/>
        <v>0.64285714285714302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477.24137931034488</v>
      </c>
      <c r="Y216" s="543">
        <f>IFERROR(Y207/H207,"0")+IFERROR(Y208/H208,"0")+IFERROR(Y209/H209,"0")+IFERROR(Y210/H210,"0")+IFERROR(Y211/H211,"0")+IFERROR(Y212/H212,"0")+IFERROR(Y213/H213,"0")+IFERROR(Y214/H214,"0")+IFERROR(Y215/H215,"0")</f>
        <v>480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3.3492599999999997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1254</v>
      </c>
      <c r="Y217" s="543">
        <f>IFERROR(SUM(Y207:Y215),"0")</f>
        <v>1265.4000000000001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165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customHeight="1" x14ac:dyDescent="0.25">
      <c r="A219" s="54" t="s">
        <v>354</v>
      </c>
      <c r="B219" s="54" t="s">
        <v>355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216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40</v>
      </c>
      <c r="Y219" s="542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ht="37.5" customHeight="1" x14ac:dyDescent="0.25">
      <c r="A220" s="54" t="s">
        <v>357</v>
      </c>
      <c r="B220" s="54" t="s">
        <v>358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216</v>
      </c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28</v>
      </c>
      <c r="Y220" s="542">
        <f>IFERROR(IF(X220="",0,CEILING((X220/$H220),1)*$H220),"")</f>
        <v>28.799999999999997</v>
      </c>
      <c r="Z220" s="36">
        <f>IFERROR(IF(Y220=0,"",ROUNDUP(Y220/H220,0)*0.00651),"")</f>
        <v>7.8119999999999995E-2</v>
      </c>
      <c r="AA220" s="56"/>
      <c r="AB220" s="57"/>
      <c r="AC220" s="265" t="s">
        <v>359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30.94</v>
      </c>
      <c r="BN220" s="64">
        <f>IFERROR(Y220*I220/H220,"0")</f>
        <v>31.824000000000002</v>
      </c>
      <c r="BO220" s="64">
        <f>IFERROR(1/J220*(X220/H220),"0")</f>
        <v>6.4102564102564111E-2</v>
      </c>
      <c r="BP220" s="64">
        <f>IFERROR(1/J220*(Y220/H220),"0")</f>
        <v>6.5934065934065936E-2</v>
      </c>
    </row>
    <row r="221" spans="1:68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28.333333333333336</v>
      </c>
      <c r="Y221" s="543">
        <f>IFERROR(Y219/H219,"0")+IFERROR(Y220/H220,"0")</f>
        <v>29</v>
      </c>
      <c r="Z221" s="543">
        <f>IFERROR(IF(Z219="",0,Z219),"0")+IFERROR(IF(Z220="",0,Z220),"0")</f>
        <v>0.18879000000000001</v>
      </c>
      <c r="AA221" s="544"/>
      <c r="AB221" s="544"/>
      <c r="AC221" s="544"/>
    </row>
    <row r="222" spans="1:68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68</v>
      </c>
      <c r="Y222" s="543">
        <f>IFERROR(SUM(Y219:Y220),"0")</f>
        <v>69.599999999999994</v>
      </c>
      <c r="Z222" s="37"/>
      <c r="AA222" s="544"/>
      <c r="AB222" s="544"/>
      <c r="AC222" s="544"/>
    </row>
    <row r="223" spans="1:68" ht="16.5" hidden="1" customHeight="1" x14ac:dyDescent="0.25">
      <c r="A223" s="574" t="s">
        <v>360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customHeight="1" x14ac:dyDescent="0.25">
      <c r="A225" s="54" t="s">
        <v>361</v>
      </c>
      <c r="B225" s="54" t="s">
        <v>362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40</v>
      </c>
      <c r="Y225" s="542">
        <f t="shared" ref="Y225:Y234" si="21">IFERROR(IF(X225="",0,CEILING((X225/$H225),1)*$H225),"")</f>
        <v>46.4</v>
      </c>
      <c r="Z225" s="36">
        <f>IFERROR(IF(Y225=0,"",ROUNDUP(Y225/H225,0)*0.01898),"")</f>
        <v>7.5920000000000001E-2</v>
      </c>
      <c r="AA225" s="56"/>
      <c r="AB225" s="57"/>
      <c r="AC225" s="267" t="s">
        <v>363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41.5</v>
      </c>
      <c r="BN225" s="64">
        <f t="shared" ref="BN225:BN234" si="23">IFERROR(Y225*I225/H225,"0")</f>
        <v>48.14</v>
      </c>
      <c r="BO225" s="64">
        <f t="shared" ref="BO225:BO234" si="24">IFERROR(1/J225*(X225/H225),"0")</f>
        <v>5.387931034482759E-2</v>
      </c>
      <c r="BP225" s="64">
        <f t="shared" ref="BP225:BP234" si="25">IFERROR(1/J225*(Y225/H225),"0")</f>
        <v>6.25E-2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100</v>
      </c>
      <c r="Y227" s="542">
        <f t="shared" si="21"/>
        <v>104.39999999999999</v>
      </c>
      <c r="Z227" s="36">
        <f>IFERROR(IF(Y227=0,"",ROUNDUP(Y227/H227,0)*0.01898),"")</f>
        <v>0.17082</v>
      </c>
      <c r="AA227" s="56"/>
      <c r="AB227" s="57"/>
      <c r="AC227" s="271" t="s">
        <v>369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103.75</v>
      </c>
      <c r="BN227" s="64">
        <f t="shared" si="23"/>
        <v>108.315</v>
      </c>
      <c r="BO227" s="64">
        <f t="shared" si="24"/>
        <v>0.13469827586206898</v>
      </c>
      <c r="BP227" s="64">
        <f t="shared" si="25"/>
        <v>0.140625</v>
      </c>
    </row>
    <row r="228" spans="1:68" ht="27" customHeight="1" x14ac:dyDescent="0.25">
      <c r="A228" s="54" t="s">
        <v>370</v>
      </c>
      <c r="B228" s="54" t="s">
        <v>371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 t="s">
        <v>199</v>
      </c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60</v>
      </c>
      <c r="Y228" s="542">
        <f t="shared" si="21"/>
        <v>60</v>
      </c>
      <c r="Z228" s="36">
        <f>IFERROR(IF(Y228=0,"",ROUNDUP(Y228/H228,0)*0.00902),"")</f>
        <v>0.1353</v>
      </c>
      <c r="AA228" s="56"/>
      <c r="AB228" s="57"/>
      <c r="AC228" s="273" t="s">
        <v>363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63.15</v>
      </c>
      <c r="BN228" s="64">
        <f t="shared" si="23"/>
        <v>63.15</v>
      </c>
      <c r="BO228" s="64">
        <f t="shared" si="24"/>
        <v>0.11363636363636365</v>
      </c>
      <c r="BP228" s="64">
        <f t="shared" si="25"/>
        <v>0.11363636363636365</v>
      </c>
    </row>
    <row r="229" spans="1:68" ht="27" hidden="1" customHeight="1" x14ac:dyDescent="0.25">
      <c r="A229" s="54" t="s">
        <v>370</v>
      </c>
      <c r="B229" s="54" t="s">
        <v>372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375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378</v>
      </c>
      <c r="B232" s="54" t="s">
        <v>379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380</v>
      </c>
      <c r="B233" s="54" t="s">
        <v>381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199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80</v>
      </c>
      <c r="Y233" s="542">
        <f t="shared" si="21"/>
        <v>80</v>
      </c>
      <c r="Z233" s="36">
        <f>IFERROR(IF(Y233=0,"",ROUNDUP(Y233/H233,0)*0.00902),"")</f>
        <v>0.1804</v>
      </c>
      <c r="AA233" s="56"/>
      <c r="AB233" s="57"/>
      <c r="AC233" s="283" t="s">
        <v>369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84.2</v>
      </c>
      <c r="BN233" s="64">
        <f t="shared" si="23"/>
        <v>84.2</v>
      </c>
      <c r="BO233" s="64">
        <f t="shared" si="24"/>
        <v>0.15151515151515152</v>
      </c>
      <c r="BP233" s="64">
        <f t="shared" si="25"/>
        <v>0.15151515151515152</v>
      </c>
    </row>
    <row r="234" spans="1:68" ht="27" hidden="1" customHeight="1" x14ac:dyDescent="0.25">
      <c r="A234" s="54" t="s">
        <v>380</v>
      </c>
      <c r="B234" s="54" t="s">
        <v>382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47.068965517241381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48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0.56244000000000005</v>
      </c>
      <c r="AA235" s="544"/>
      <c r="AB235" s="544"/>
      <c r="AC235" s="544"/>
    </row>
    <row r="236" spans="1:68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280</v>
      </c>
      <c r="Y236" s="543">
        <f>IFERROR(SUM(Y225:Y234),"0")</f>
        <v>290.79999999999995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383</v>
      </c>
      <c r="B238" s="54" t="s">
        <v>384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385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386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customHeight="1" x14ac:dyDescent="0.25">
      <c r="A242" s="54" t="s">
        <v>387</v>
      </c>
      <c r="B242" s="54" t="s">
        <v>388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289</v>
      </c>
      <c r="L242" s="32"/>
      <c r="M242" s="33" t="s">
        <v>290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12</v>
      </c>
      <c r="Y242" s="542">
        <f>IFERROR(IF(X242="",0,CEILING((X242/$H242),1)*$H242),"")</f>
        <v>12.6</v>
      </c>
      <c r="Z242" s="36">
        <f>IFERROR(IF(Y242=0,"",ROUNDUP(Y242/H242,0)*0.0059),"")</f>
        <v>4.1299999999999996E-2</v>
      </c>
      <c r="AA242" s="56"/>
      <c r="AB242" s="57"/>
      <c r="AC242" s="289" t="s">
        <v>389</v>
      </c>
      <c r="AG242" s="64"/>
      <c r="AJ242" s="68"/>
      <c r="AK242" s="68">
        <v>0</v>
      </c>
      <c r="BB242" s="290" t="s">
        <v>1</v>
      </c>
      <c r="BM242" s="64">
        <f>IFERROR(X242*I242/H242,"0")</f>
        <v>13.166666666666668</v>
      </c>
      <c r="BN242" s="64">
        <f>IFERROR(Y242*I242/H242,"0")</f>
        <v>13.825000000000001</v>
      </c>
      <c r="BO242" s="64">
        <f>IFERROR(1/J242*(X242/H242),"0")</f>
        <v>3.0864197530864192E-2</v>
      </c>
      <c r="BP242" s="64">
        <f>IFERROR(1/J242*(Y242/H242),"0")</f>
        <v>3.2407407407407406E-2</v>
      </c>
    </row>
    <row r="243" spans="1:68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6.6666666666666661</v>
      </c>
      <c r="Y243" s="543">
        <f>IFERROR(Y242/H242,"0")</f>
        <v>7</v>
      </c>
      <c r="Z243" s="543">
        <f>IFERROR(IF(Z242="",0,Z242),"0")</f>
        <v>4.1299999999999996E-2</v>
      </c>
      <c r="AA243" s="544"/>
      <c r="AB243" s="544"/>
      <c r="AC243" s="544"/>
    </row>
    <row r="244" spans="1:68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12</v>
      </c>
      <c r="Y244" s="543">
        <f>IFERROR(SUM(Y242:Y242),"0")</f>
        <v>12.6</v>
      </c>
      <c r="Z244" s="37"/>
      <c r="AA244" s="544"/>
      <c r="AB244" s="544"/>
      <c r="AC244" s="544"/>
    </row>
    <row r="245" spans="1:68" ht="14.25" hidden="1" customHeight="1" x14ac:dyDescent="0.25">
      <c r="A245" s="545" t="s">
        <v>390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391</v>
      </c>
      <c r="B246" s="54" t="s">
        <v>392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289</v>
      </c>
      <c r="L246" s="32"/>
      <c r="M246" s="33" t="s">
        <v>290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394</v>
      </c>
      <c r="B247" s="54" t="s">
        <v>395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289</v>
      </c>
      <c r="L247" s="32"/>
      <c r="M247" s="33" t="s">
        <v>290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7.0000000000000009</v>
      </c>
      <c r="Y247" s="542">
        <f>IFERROR(IF(X247="",0,CEILING((X247/$H247),1)*$H247),"")</f>
        <v>7.2</v>
      </c>
      <c r="Z247" s="36">
        <f>IFERROR(IF(Y247=0,"",ROUNDUP(Y247/H247,0)*0.0059),"")</f>
        <v>2.3599999999999999E-2</v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7.6805555555555571</v>
      </c>
      <c r="BN247" s="64">
        <f>IFERROR(Y247*I247/H247,"0")</f>
        <v>7.9</v>
      </c>
      <c r="BO247" s="64">
        <f>IFERROR(1/J247*(X247/H247),"0")</f>
        <v>1.800411522633745E-2</v>
      </c>
      <c r="BP247" s="64">
        <f>IFERROR(1/J247*(Y247/H247),"0")</f>
        <v>1.8518518518518517E-2</v>
      </c>
    </row>
    <row r="248" spans="1:68" ht="27" customHeight="1" x14ac:dyDescent="0.25">
      <c r="A248" s="54" t="s">
        <v>396</v>
      </c>
      <c r="B248" s="54" t="s">
        <v>397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289</v>
      </c>
      <c r="L248" s="32"/>
      <c r="M248" s="33" t="s">
        <v>290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5.5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6.6611111111111114</v>
      </c>
      <c r="BN248" s="64">
        <f>IFERROR(Y248*I248/H248,"0")</f>
        <v>7.63</v>
      </c>
      <c r="BO248" s="64">
        <f>IFERROR(1/J248*(X248/H248),"0")</f>
        <v>2.8292181069958844E-2</v>
      </c>
      <c r="BP248" s="64">
        <f>IFERROR(1/J248*(Y248/H248),"0")</f>
        <v>3.2407407407407406E-2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289</v>
      </c>
      <c r="L249" s="32"/>
      <c r="M249" s="33" t="s">
        <v>290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400</v>
      </c>
      <c r="B250" s="54" t="s">
        <v>401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289</v>
      </c>
      <c r="L250" s="32"/>
      <c r="M250" s="33" t="s">
        <v>290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393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10</v>
      </c>
      <c r="Y251" s="543">
        <f>IFERROR(Y246/H246,"0")+IFERROR(Y247/H247,"0")+IFERROR(Y248/H248,"0")+IFERROR(Y249/H249,"0")+IFERROR(Y250/H250,"0")</f>
        <v>11</v>
      </c>
      <c r="Z251" s="543">
        <f>IFERROR(IF(Z246="",0,Z246),"0")+IFERROR(IF(Z247="",0,Z247),"0")+IFERROR(IF(Z248="",0,Z248),"0")+IFERROR(IF(Z249="",0,Z249),"0")+IFERROR(IF(Z250="",0,Z250),"0")</f>
        <v>6.4899999999999999E-2</v>
      </c>
      <c r="AA251" s="544"/>
      <c r="AB251" s="544"/>
      <c r="AC251" s="544"/>
    </row>
    <row r="252" spans="1:68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12.5</v>
      </c>
      <c r="Y252" s="543">
        <f>IFERROR(SUM(Y246:Y250),"0")</f>
        <v>13.5</v>
      </c>
      <c r="Z252" s="37"/>
      <c r="AA252" s="544"/>
      <c r="AB252" s="544"/>
      <c r="AC252" s="544"/>
    </row>
    <row r="253" spans="1:68" ht="16.5" hidden="1" customHeight="1" x14ac:dyDescent="0.25">
      <c r="A253" s="574" t="s">
        <v>402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403</v>
      </c>
      <c r="B255" s="54" t="s">
        <v>404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406</v>
      </c>
      <c r="B256" s="54" t="s">
        <v>407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412</v>
      </c>
      <c r="B258" s="54" t="s">
        <v>413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415</v>
      </c>
      <c r="B259" s="54" t="s">
        <v>416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417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418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419</v>
      </c>
      <c r="B264" s="54" t="s">
        <v>420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424</v>
      </c>
      <c r="B266" s="54" t="s">
        <v>425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369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426</v>
      </c>
      <c r="B267" s="54" t="s">
        <v>427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428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429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430</v>
      </c>
      <c r="B272" s="54" t="s">
        <v>431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216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92</v>
      </c>
      <c r="Y273" s="542">
        <f>IFERROR(IF(X273="",0,CEILING((X273/$H273),1)*$H273),"")</f>
        <v>93.6</v>
      </c>
      <c r="Z273" s="36">
        <f>IFERROR(IF(Y273=0,"",ROUNDUP(Y273/H273,0)*0.00651),"")</f>
        <v>0.25389</v>
      </c>
      <c r="AA273" s="56"/>
      <c r="AB273" s="57"/>
      <c r="AC273" s="321" t="s">
        <v>435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101.66000000000001</v>
      </c>
      <c r="BN273" s="64">
        <f>IFERROR(Y273*I273/H273,"0")</f>
        <v>103.42800000000001</v>
      </c>
      <c r="BO273" s="64">
        <f>IFERROR(1/J273*(X273/H273),"0")</f>
        <v>0.21062271062271065</v>
      </c>
      <c r="BP273" s="64">
        <f>IFERROR(1/J273*(Y273/H273),"0")</f>
        <v>0.2142857142857143</v>
      </c>
    </row>
    <row r="274" spans="1:68" ht="27" customHeight="1" x14ac:dyDescent="0.25">
      <c r="A274" s="54" t="s">
        <v>436</v>
      </c>
      <c r="B274" s="54" t="s">
        <v>437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140</v>
      </c>
      <c r="Y274" s="542">
        <f>IFERROR(IF(X274="",0,CEILING((X274/$H274),1)*$H274),"")</f>
        <v>141.6</v>
      </c>
      <c r="Z274" s="36">
        <f>IFERROR(IF(Y274=0,"",ROUNDUP(Y274/H274,0)*0.00651),"")</f>
        <v>0.38408999999999999</v>
      </c>
      <c r="AA274" s="56"/>
      <c r="AB274" s="57"/>
      <c r="AC274" s="323" t="s">
        <v>432</v>
      </c>
      <c r="AG274" s="64"/>
      <c r="AJ274" s="68" t="s">
        <v>106</v>
      </c>
      <c r="AK274" s="68">
        <v>2.4</v>
      </c>
      <c r="BB274" s="324" t="s">
        <v>1</v>
      </c>
      <c r="BM274" s="64">
        <f>IFERROR(X274*I274/H274,"0")</f>
        <v>150.5</v>
      </c>
      <c r="BN274" s="64">
        <f>IFERROR(Y274*I274/H274,"0")</f>
        <v>152.22</v>
      </c>
      <c r="BO274" s="64">
        <f>IFERROR(1/J274*(X274/H274),"0")</f>
        <v>0.32051282051282054</v>
      </c>
      <c r="BP274" s="64">
        <f>IFERROR(1/J274*(Y274/H274),"0")</f>
        <v>0.32417582417582419</v>
      </c>
    </row>
    <row r="275" spans="1:68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96.666666666666671</v>
      </c>
      <c r="Y275" s="543">
        <f>IFERROR(Y272/H272,"0")+IFERROR(Y273/H273,"0")+IFERROR(Y274/H274,"0")</f>
        <v>98</v>
      </c>
      <c r="Z275" s="543">
        <f>IFERROR(IF(Z272="",0,Z272),"0")+IFERROR(IF(Z273="",0,Z273),"0")+IFERROR(IF(Z274="",0,Z274),"0")</f>
        <v>0.63797999999999999</v>
      </c>
      <c r="AA275" s="544"/>
      <c r="AB275" s="544"/>
      <c r="AC275" s="544"/>
    </row>
    <row r="276" spans="1:68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232</v>
      </c>
      <c r="Y276" s="543">
        <f>IFERROR(SUM(Y272:Y274),"0")</f>
        <v>235.2</v>
      </c>
      <c r="Z276" s="37"/>
      <c r="AA276" s="544"/>
      <c r="AB276" s="544"/>
      <c r="AC276" s="544"/>
    </row>
    <row r="277" spans="1:68" ht="16.5" hidden="1" customHeight="1" x14ac:dyDescent="0.25">
      <c r="A277" s="574" t="s">
        <v>438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439</v>
      </c>
      <c r="B279" s="54" t="s">
        <v>440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442</v>
      </c>
      <c r="B280" s="54" t="s">
        <v>443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20</v>
      </c>
      <c r="Y280" s="542">
        <f>IFERROR(IF(X280="",0,CEILING((X280/$H280),1)*$H280),"")</f>
        <v>21.599999999999998</v>
      </c>
      <c r="Z280" s="36">
        <f>IFERROR(IF(Y280=0,"",ROUNDUP(Y280/H280,0)*0.00651),"")</f>
        <v>5.8590000000000003E-2</v>
      </c>
      <c r="AA280" s="56"/>
      <c r="AB280" s="57"/>
      <c r="AC280" s="327" t="s">
        <v>444</v>
      </c>
      <c r="AG280" s="64"/>
      <c r="AJ280" s="68"/>
      <c r="AK280" s="68">
        <v>0</v>
      </c>
      <c r="BB280" s="328" t="s">
        <v>1</v>
      </c>
      <c r="BM280" s="64">
        <f>IFERROR(X280*I280/H280,"0")</f>
        <v>21.5</v>
      </c>
      <c r="BN280" s="64">
        <f>IFERROR(Y280*I280/H280,"0")</f>
        <v>23.22</v>
      </c>
      <c r="BO280" s="64">
        <f>IFERROR(1/J280*(X280/H280),"0")</f>
        <v>4.5787545787545791E-2</v>
      </c>
      <c r="BP280" s="64">
        <f>IFERROR(1/J280*(Y280/H280),"0")</f>
        <v>4.9450549450549455E-2</v>
      </c>
    </row>
    <row r="281" spans="1:68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8.3333333333333339</v>
      </c>
      <c r="Y281" s="543">
        <f>IFERROR(Y279/H279,"0")+IFERROR(Y280/H280,"0")</f>
        <v>9</v>
      </c>
      <c r="Z281" s="543">
        <f>IFERROR(IF(Z279="",0,Z279),"0")+IFERROR(IF(Z280="",0,Z280),"0")</f>
        <v>5.8590000000000003E-2</v>
      </c>
      <c r="AA281" s="544"/>
      <c r="AB281" s="544"/>
      <c r="AC281" s="544"/>
    </row>
    <row r="282" spans="1:68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20</v>
      </c>
      <c r="Y282" s="543">
        <f>IFERROR(SUM(Y279:Y280),"0")</f>
        <v>21.599999999999998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445</v>
      </c>
      <c r="B284" s="54" t="s">
        <v>446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448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274</v>
      </c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274</v>
      </c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105</v>
      </c>
      <c r="Y301" s="542">
        <f t="shared" si="26"/>
        <v>105</v>
      </c>
      <c r="Z301" s="36">
        <f>IFERROR(IF(Y301=0,"",ROUNDUP(Y301/H301,0)*0.00502),"")</f>
        <v>0.251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110.00000000000001</v>
      </c>
      <c r="BN301" s="64">
        <f t="shared" si="28"/>
        <v>110.00000000000001</v>
      </c>
      <c r="BO301" s="64">
        <f t="shared" si="29"/>
        <v>0.21367521367521369</v>
      </c>
      <c r="BP301" s="64">
        <f t="shared" si="30"/>
        <v>0.21367521367521369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216</v>
      </c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21</v>
      </c>
      <c r="Y303" s="542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61.666666666666664</v>
      </c>
      <c r="Y304" s="543">
        <f>IFERROR(Y297/H297,"0")+IFERROR(Y298/H298,"0")+IFERROR(Y299/H299,"0")+IFERROR(Y300/H300,"0")+IFERROR(Y301/H301,"0")+IFERROR(Y302/H302,"0")+IFERROR(Y303/H303,"0")</f>
        <v>62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0.32911999999999997</v>
      </c>
      <c r="AA304" s="544"/>
      <c r="AB304" s="544"/>
      <c r="AC304" s="544"/>
    </row>
    <row r="305" spans="1:68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126</v>
      </c>
      <c r="Y305" s="543">
        <f>IFERROR(SUM(Y297:Y303),"0")</f>
        <v>126.6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165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20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499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21.235714285714284</v>
      </c>
      <c r="BN315" s="64">
        <f>IFERROR(Y315*I315/H315,"0")</f>
        <v>26.757000000000001</v>
      </c>
      <c r="BO315" s="64">
        <f>IFERROR(1/J315*(X315/H315),"0")</f>
        <v>3.7202380952380952E-2</v>
      </c>
      <c r="BP315" s="64">
        <f>IFERROR(1/J315*(Y315/H315),"0")</f>
        <v>4.6875E-2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502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319.96153846153851</v>
      </c>
      <c r="BN316" s="64">
        <f>IFERROR(Y316*I316/H316,"0")</f>
        <v>324.44100000000003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300</v>
      </c>
      <c r="Y317" s="542">
        <f>IFERROR(IF(X317="",0,CEILING((X317/$H317),1)*$H317),"")</f>
        <v>302.40000000000003</v>
      </c>
      <c r="Z317" s="36">
        <f>IFERROR(IF(Y317=0,"",ROUNDUP(Y317/H317,0)*0.01898),"")</f>
        <v>0.68328</v>
      </c>
      <c r="AA317" s="56"/>
      <c r="AB317" s="57"/>
      <c r="AC317" s="369" t="s">
        <v>505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318.53571428571428</v>
      </c>
      <c r="BN317" s="64">
        <f>IFERROR(Y317*I317/H317,"0")</f>
        <v>321.084</v>
      </c>
      <c r="BO317" s="64">
        <f>IFERROR(1/J317*(X317/H317),"0")</f>
        <v>0.5580357142857143</v>
      </c>
      <c r="BP317" s="64">
        <f>IFERROR(1/J317*(Y317/H317),"0")</f>
        <v>0.5625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76.556776556776555</v>
      </c>
      <c r="Y318" s="543">
        <f>IFERROR(Y315/H315,"0")+IFERROR(Y316/H316,"0")+IFERROR(Y317/H317,"0")</f>
        <v>78</v>
      </c>
      <c r="Z318" s="543">
        <f>IFERROR(IF(Z315="",0,Z315),"0")+IFERROR(IF(Z316="",0,Z316),"0")+IFERROR(IF(Z317="",0,Z317),"0")</f>
        <v>1.48044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620</v>
      </c>
      <c r="Y319" s="543">
        <f>IFERROR(SUM(Y315:Y317),"0")</f>
        <v>631.79999999999995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511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216</v>
      </c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216</v>
      </c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517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216</v>
      </c>
      <c r="M328" s="33" t="s">
        <v>520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216</v>
      </c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4" t="s">
        <v>526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527</v>
      </c>
      <c r="B335" s="54" t="s">
        <v>528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216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1050</v>
      </c>
      <c r="Y336" s="542">
        <f>IFERROR(IF(X336="",0,CEILING((X336/$H336),1)*$H336),"")</f>
        <v>1050</v>
      </c>
      <c r="Z336" s="36">
        <f>IFERROR(IF(Y336=0,"",ROUNDUP(Y336/H336,0)*0.00651),"")</f>
        <v>3.2549999999999999</v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1176</v>
      </c>
      <c r="BN336" s="64">
        <f>IFERROR(Y336*I336/H336,"0")</f>
        <v>1176</v>
      </c>
      <c r="BO336" s="64">
        <f>IFERROR(1/J336*(X336/H336),"0")</f>
        <v>2.7472527472527473</v>
      </c>
      <c r="BP336" s="64">
        <f>IFERROR(1/J336*(Y336/H336),"0")</f>
        <v>2.7472527472527473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216</v>
      </c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525</v>
      </c>
      <c r="Y337" s="542">
        <f>IFERROR(IF(X337="",0,CEILING((X337/$H337),1)*$H337),"")</f>
        <v>525</v>
      </c>
      <c r="Z337" s="36">
        <f>IFERROR(IF(Y337=0,"",ROUNDUP(Y337/H337,0)*0.00651),"")</f>
        <v>1.6274999999999999</v>
      </c>
      <c r="AA337" s="56"/>
      <c r="AB337" s="57"/>
      <c r="AC337" s="389" t="s">
        <v>535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585</v>
      </c>
      <c r="BN337" s="64">
        <f>IFERROR(Y337*I337/H337,"0")</f>
        <v>585</v>
      </c>
      <c r="BO337" s="64">
        <f>IFERROR(1/J337*(X337/H337),"0")</f>
        <v>1.3736263736263736</v>
      </c>
      <c r="BP337" s="64">
        <f>IFERROR(1/J337*(Y337/H337),"0")</f>
        <v>1.3736263736263736</v>
      </c>
    </row>
    <row r="338" spans="1:68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750</v>
      </c>
      <c r="Y338" s="543">
        <f>IFERROR(Y335/H335,"0")+IFERROR(Y336/H336,"0")+IFERROR(Y337/H337,"0")</f>
        <v>750</v>
      </c>
      <c r="Z338" s="543">
        <f>IFERROR(IF(Z335="",0,Z335),"0")+IFERROR(IF(Z336="",0,Z336),"0")+IFERROR(IF(Z337="",0,Z337),"0")</f>
        <v>4.8825000000000003</v>
      </c>
      <c r="AA338" s="544"/>
      <c r="AB338" s="544"/>
      <c r="AC338" s="544"/>
    </row>
    <row r="339" spans="1:68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1575</v>
      </c>
      <c r="Y339" s="543">
        <f>IFERROR(SUM(Y335:Y337),"0")</f>
        <v>1575</v>
      </c>
      <c r="Z339" s="37"/>
      <c r="AA339" s="544"/>
      <c r="AB339" s="544"/>
      <c r="AC339" s="544"/>
    </row>
    <row r="340" spans="1:68" ht="27.75" hidden="1" customHeight="1" x14ac:dyDescent="0.2">
      <c r="A340" s="644" t="s">
        <v>536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537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1300</v>
      </c>
      <c r="Y343" s="542">
        <f t="shared" ref="Y343:Y349" si="31">IFERROR(IF(X343="",0,CEILING((X343/$H343),1)*$H343),"")</f>
        <v>1305</v>
      </c>
      <c r="Z343" s="36">
        <f>IFERROR(IF(Y343=0,"",ROUNDUP(Y343/H343,0)*0.02175),"")</f>
        <v>1.8922499999999998</v>
      </c>
      <c r="AA343" s="56"/>
      <c r="AB343" s="57"/>
      <c r="AC343" s="391" t="s">
        <v>540</v>
      </c>
      <c r="AG343" s="64"/>
      <c r="AJ343" s="68" t="s">
        <v>106</v>
      </c>
      <c r="AK343" s="68">
        <v>15</v>
      </c>
      <c r="BB343" s="392" t="s">
        <v>1</v>
      </c>
      <c r="BM343" s="64">
        <f t="shared" ref="BM343:BM349" si="32">IFERROR(X343*I343/H343,"0")</f>
        <v>1341.6</v>
      </c>
      <c r="BN343" s="64">
        <f t="shared" ref="BN343:BN349" si="33">IFERROR(Y343*I343/H343,"0")</f>
        <v>1346.76</v>
      </c>
      <c r="BO343" s="64">
        <f t="shared" ref="BO343:BO349" si="34">IFERROR(1/J343*(X343/H343),"0")</f>
        <v>1.8055555555555556</v>
      </c>
      <c r="BP343" s="64">
        <f t="shared" ref="BP343:BP349" si="35">IFERROR(1/J343*(Y343/H343),"0")</f>
        <v>1.8125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543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1032</v>
      </c>
      <c r="BN344" s="64">
        <f t="shared" si="33"/>
        <v>1037.1600000000001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544</v>
      </c>
      <c r="B345" s="54" t="s">
        <v>545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150</v>
      </c>
      <c r="Y345" s="542">
        <f t="shared" si="31"/>
        <v>150</v>
      </c>
      <c r="Z345" s="36">
        <f>IFERROR(IF(Y345=0,"",ROUNDUP(Y345/H345,0)*0.02175),"")</f>
        <v>0.21749999999999997</v>
      </c>
      <c r="AA345" s="56"/>
      <c r="AB345" s="57"/>
      <c r="AC345" s="395" t="s">
        <v>546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154.80000000000001</v>
      </c>
      <c r="BN345" s="64">
        <f t="shared" si="33"/>
        <v>154.80000000000001</v>
      </c>
      <c r="BO345" s="64">
        <f t="shared" si="34"/>
        <v>0.20833333333333331</v>
      </c>
      <c r="BP345" s="64">
        <f t="shared" si="35"/>
        <v>0.20833333333333331</v>
      </c>
    </row>
    <row r="346" spans="1:68" ht="37.5" customHeight="1" x14ac:dyDescent="0.25">
      <c r="A346" s="54" t="s">
        <v>547</v>
      </c>
      <c r="B346" s="54" t="s">
        <v>548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/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1500</v>
      </c>
      <c r="Y346" s="542">
        <f t="shared" si="31"/>
        <v>1500</v>
      </c>
      <c r="Z346" s="36">
        <f>IFERROR(IF(Y346=0,"",ROUNDUP(Y346/H346,0)*0.02175),"")</f>
        <v>2.1749999999999998</v>
      </c>
      <c r="AA346" s="56"/>
      <c r="AB346" s="57"/>
      <c r="AC346" s="397" t="s">
        <v>549</v>
      </c>
      <c r="AG346" s="64"/>
      <c r="AJ346" s="68" t="s">
        <v>106</v>
      </c>
      <c r="AK346" s="68">
        <v>15</v>
      </c>
      <c r="BB346" s="398" t="s">
        <v>1</v>
      </c>
      <c r="BM346" s="64">
        <f t="shared" si="32"/>
        <v>1548</v>
      </c>
      <c r="BN346" s="64">
        <f t="shared" si="33"/>
        <v>1548</v>
      </c>
      <c r="BO346" s="64">
        <f t="shared" si="34"/>
        <v>2.083333333333333</v>
      </c>
      <c r="BP346" s="64">
        <f t="shared" si="35"/>
        <v>2.083333333333333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552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553</v>
      </c>
      <c r="B348" s="54" t="s">
        <v>554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555</v>
      </c>
      <c r="B349" s="54" t="s">
        <v>556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15</v>
      </c>
      <c r="Y349" s="542">
        <f t="shared" si="31"/>
        <v>15</v>
      </c>
      <c r="Z349" s="36">
        <f>IFERROR(IF(Y349=0,"",ROUNDUP(Y349/H349,0)*0.00902),"")</f>
        <v>2.7060000000000001E-2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15.63</v>
      </c>
      <c r="BN349" s="64">
        <f t="shared" si="33"/>
        <v>15.63</v>
      </c>
      <c r="BO349" s="64">
        <f t="shared" si="34"/>
        <v>2.2727272727272728E-2</v>
      </c>
      <c r="BP349" s="64">
        <f t="shared" si="35"/>
        <v>2.2727272727272728E-2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266.33333333333337</v>
      </c>
      <c r="Y350" s="543">
        <f>IFERROR(Y343/H343,"0")+IFERROR(Y344/H344,"0")+IFERROR(Y345/H345,"0")+IFERROR(Y346/H346,"0")+IFERROR(Y347/H347,"0")+IFERROR(Y348/H348,"0")+IFERROR(Y349/H349,"0")</f>
        <v>267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5.7690599999999987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3965</v>
      </c>
      <c r="Y351" s="543">
        <f>IFERROR(SUM(Y343:Y349),"0")</f>
        <v>3975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557</v>
      </c>
      <c r="B353" s="54" t="s">
        <v>558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559</v>
      </c>
      <c r="AG353" s="64"/>
      <c r="AJ353" s="68" t="s">
        <v>106</v>
      </c>
      <c r="AK353" s="68">
        <v>15</v>
      </c>
      <c r="BB353" s="406" t="s">
        <v>1</v>
      </c>
      <c r="BM353" s="64">
        <f>IFERROR(X353*I353/H353,"0")</f>
        <v>1032</v>
      </c>
      <c r="BN353" s="64">
        <f>IFERROR(Y353*I353/H353,"0")</f>
        <v>1037.1600000000001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hidden="1" customHeight="1" x14ac:dyDescent="0.25">
      <c r="A354" s="54" t="s">
        <v>560</v>
      </c>
      <c r="B354" s="54" t="s">
        <v>561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562</v>
      </c>
      <c r="B358" s="54" t="s">
        <v>563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564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565</v>
      </c>
      <c r="B359" s="54" t="s">
        <v>566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567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165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customHeight="1" x14ac:dyDescent="0.25">
      <c r="A363" s="54" t="s">
        <v>568</v>
      </c>
      <c r="B363" s="54" t="s">
        <v>569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3" t="s">
        <v>570</v>
      </c>
      <c r="AG363" s="64"/>
      <c r="AJ363" s="68"/>
      <c r="AK363" s="68">
        <v>0</v>
      </c>
      <c r="BB363" s="414" t="s">
        <v>1</v>
      </c>
      <c r="BM363" s="64">
        <f>IFERROR(X363*I363/H363,"0")</f>
        <v>21.153333333333332</v>
      </c>
      <c r="BN363" s="64">
        <f>IFERROR(Y363*I363/H363,"0")</f>
        <v>28.556999999999999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2.2222222222222223</v>
      </c>
      <c r="Y364" s="543">
        <f>IFERROR(Y363/H363,"0")</f>
        <v>3</v>
      </c>
      <c r="Z364" s="543">
        <f>IFERROR(IF(Z363="",0,Z363),"0")</f>
        <v>5.6940000000000004E-2</v>
      </c>
      <c r="AA364" s="544"/>
      <c r="AB364" s="544"/>
      <c r="AC364" s="544"/>
    </row>
    <row r="365" spans="1:68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20</v>
      </c>
      <c r="Y365" s="543">
        <f>IFERROR(SUM(Y363:Y363),"0")</f>
        <v>27</v>
      </c>
      <c r="Z365" s="37"/>
      <c r="AA365" s="544"/>
      <c r="AB365" s="544"/>
      <c r="AC365" s="544"/>
    </row>
    <row r="366" spans="1:68" ht="16.5" hidden="1" customHeight="1" x14ac:dyDescent="0.25">
      <c r="A366" s="574" t="s">
        <v>571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customHeight="1" x14ac:dyDescent="0.25">
      <c r="A368" s="54" t="s">
        <v>572</v>
      </c>
      <c r="B368" s="54" t="s">
        <v>573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20</v>
      </c>
      <c r="Y368" s="542">
        <f>IFERROR(IF(X368="",0,CEILING((X368/$H368),1)*$H368),"")</f>
        <v>24</v>
      </c>
      <c r="Z368" s="36">
        <f>IFERROR(IF(Y368=0,"",ROUNDUP(Y368/H368,0)*0.01898),"")</f>
        <v>3.7960000000000001E-2</v>
      </c>
      <c r="AA368" s="56"/>
      <c r="AB368" s="57"/>
      <c r="AC368" s="415" t="s">
        <v>574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20.725000000000001</v>
      </c>
      <c r="BN368" s="64">
        <f>IFERROR(Y368*I368/H368,"0")</f>
        <v>24.87</v>
      </c>
      <c r="BO368" s="64">
        <f>IFERROR(1/J368*(X368/H368),"0")</f>
        <v>2.6041666666666668E-2</v>
      </c>
      <c r="BP368" s="64">
        <f>IFERROR(1/J368*(Y368/H368),"0")</f>
        <v>3.125E-2</v>
      </c>
    </row>
    <row r="369" spans="1:68" ht="37.5" hidden="1" customHeight="1" x14ac:dyDescent="0.25">
      <c r="A369" s="54" t="s">
        <v>575</v>
      </c>
      <c r="B369" s="54" t="s">
        <v>576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574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1.6666666666666667</v>
      </c>
      <c r="Y370" s="543">
        <f>IFERROR(Y368/H368,"0")+IFERROR(Y369/H369,"0")</f>
        <v>2</v>
      </c>
      <c r="Z370" s="543">
        <f>IFERROR(IF(Z368="",0,Z368),"0")+IFERROR(IF(Z369="",0,Z369),"0")</f>
        <v>3.7960000000000001E-2</v>
      </c>
      <c r="AA370" s="544"/>
      <c r="AB370" s="544"/>
      <c r="AC370" s="544"/>
    </row>
    <row r="371" spans="1:68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20</v>
      </c>
      <c r="Y371" s="543">
        <f>IFERROR(SUM(Y368:Y369),"0")</f>
        <v>24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577</v>
      </c>
      <c r="B373" s="54" t="s">
        <v>578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577</v>
      </c>
      <c r="B374" s="54" t="s">
        <v>580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customHeight="1" x14ac:dyDescent="0.25">
      <c r="A378" s="54" t="s">
        <v>582</v>
      </c>
      <c r="B378" s="54" t="s">
        <v>583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20</v>
      </c>
      <c r="Y378" s="542">
        <f>IFERROR(IF(X378="",0,CEILING((X378/$H378),1)*$H378),"")</f>
        <v>27</v>
      </c>
      <c r="Z378" s="36">
        <f>IFERROR(IF(Y378=0,"",ROUNDUP(Y378/H378,0)*0.01898),"")</f>
        <v>5.6940000000000004E-2</v>
      </c>
      <c r="AA378" s="56"/>
      <c r="AB378" s="57"/>
      <c r="AC378" s="423" t="s">
        <v>584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21.153333333333332</v>
      </c>
      <c r="BN378" s="64">
        <f>IFERROR(Y378*I378/H378,"0")</f>
        <v>28.556999999999999</v>
      </c>
      <c r="BO378" s="64">
        <f>IFERROR(1/J378*(X378/H378),"0")</f>
        <v>3.4722222222222224E-2</v>
      </c>
      <c r="BP378" s="64">
        <f>IFERROR(1/J378*(Y378/H378),"0")</f>
        <v>4.6875E-2</v>
      </c>
    </row>
    <row r="379" spans="1:68" ht="27" hidden="1" customHeight="1" x14ac:dyDescent="0.25">
      <c r="A379" s="54" t="s">
        <v>585</v>
      </c>
      <c r="B379" s="54" t="s">
        <v>586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2.2222222222222223</v>
      </c>
      <c r="Y380" s="543">
        <f>IFERROR(Y378/H378,"0")+IFERROR(Y379/H379,"0")</f>
        <v>3</v>
      </c>
      <c r="Z380" s="543">
        <f>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20</v>
      </c>
      <c r="Y381" s="543">
        <f>IFERROR(SUM(Y378:Y379),"0")</f>
        <v>27</v>
      </c>
      <c r="Z381" s="37"/>
      <c r="AA381" s="544"/>
      <c r="AB381" s="544"/>
      <c r="AC381" s="544"/>
    </row>
    <row r="382" spans="1:68" ht="27.75" hidden="1" customHeight="1" x14ac:dyDescent="0.2">
      <c r="A382" s="644" t="s">
        <v>587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588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589</v>
      </c>
      <c r="B385" s="54" t="s">
        <v>590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591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592</v>
      </c>
      <c r="B386" s="54" t="s">
        <v>593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594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595</v>
      </c>
      <c r="B387" s="54" t="s">
        <v>596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591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274</v>
      </c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42</v>
      </c>
      <c r="Y389" s="542">
        <f t="shared" si="36"/>
        <v>42</v>
      </c>
      <c r="Z389" s="36">
        <f t="shared" si="41"/>
        <v>0.1004</v>
      </c>
      <c r="AA389" s="56"/>
      <c r="AB389" s="57"/>
      <c r="AC389" s="435" t="s">
        <v>591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44.599999999999994</v>
      </c>
      <c r="BN389" s="64">
        <f t="shared" si="38"/>
        <v>44.599999999999994</v>
      </c>
      <c r="BO389" s="64">
        <f t="shared" si="39"/>
        <v>8.5470085470085472E-2</v>
      </c>
      <c r="BP389" s="64">
        <f t="shared" si="40"/>
        <v>8.5470085470085472E-2</v>
      </c>
    </row>
    <row r="390" spans="1:68" ht="37.5" customHeight="1" x14ac:dyDescent="0.25">
      <c r="A390" s="54" t="s">
        <v>602</v>
      </c>
      <c r="B390" s="54" t="s">
        <v>603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274</v>
      </c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28</v>
      </c>
      <c r="Y390" s="542">
        <f t="shared" si="36"/>
        <v>29.400000000000002</v>
      </c>
      <c r="Z390" s="36">
        <f t="shared" si="41"/>
        <v>7.0280000000000009E-2</v>
      </c>
      <c r="AA390" s="56"/>
      <c r="AB390" s="57"/>
      <c r="AC390" s="437" t="s">
        <v>604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29.733333333333331</v>
      </c>
      <c r="BN390" s="64">
        <f t="shared" si="38"/>
        <v>31.22</v>
      </c>
      <c r="BO390" s="64">
        <f t="shared" si="39"/>
        <v>5.6980056980056981E-2</v>
      </c>
      <c r="BP390" s="64">
        <f t="shared" si="40"/>
        <v>5.9829059829059839E-2</v>
      </c>
    </row>
    <row r="391" spans="1:68" ht="27" hidden="1" customHeight="1" x14ac:dyDescent="0.25">
      <c r="A391" s="54" t="s">
        <v>605</v>
      </c>
      <c r="B391" s="54" t="s">
        <v>606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608</v>
      </c>
      <c r="B392" s="54" t="s">
        <v>609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274</v>
      </c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70</v>
      </c>
      <c r="Y392" s="542">
        <f t="shared" si="36"/>
        <v>71.400000000000006</v>
      </c>
      <c r="Z392" s="36">
        <f t="shared" si="41"/>
        <v>0.17068</v>
      </c>
      <c r="AA392" s="56"/>
      <c r="AB392" s="57"/>
      <c r="AC392" s="441" t="s">
        <v>610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74.333333333333329</v>
      </c>
      <c r="BN392" s="64">
        <f t="shared" si="38"/>
        <v>75.820000000000007</v>
      </c>
      <c r="BO392" s="64">
        <f t="shared" si="39"/>
        <v>0.14245014245014245</v>
      </c>
      <c r="BP392" s="64">
        <f t="shared" si="40"/>
        <v>0.14529914529914531</v>
      </c>
    </row>
    <row r="393" spans="1:68" ht="37.5" hidden="1" customHeight="1" x14ac:dyDescent="0.25">
      <c r="A393" s="54" t="s">
        <v>611</v>
      </c>
      <c r="B393" s="54" t="s">
        <v>612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607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66.666666666666657</v>
      </c>
      <c r="Y394" s="543">
        <f>IFERROR(Y385/H385,"0")+IFERROR(Y386/H386,"0")+IFERROR(Y387/H387,"0")+IFERROR(Y388/H388,"0")+IFERROR(Y389/H389,"0")+IFERROR(Y390/H390,"0")+IFERROR(Y391/H391,"0")+IFERROR(Y392/H392,"0")+IFERROR(Y393/H393,"0")</f>
        <v>68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0.34136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140</v>
      </c>
      <c r="Y395" s="543">
        <f>IFERROR(SUM(Y385:Y393),"0")</f>
        <v>142.80000000000001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613</v>
      </c>
      <c r="B397" s="54" t="s">
        <v>614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615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616</v>
      </c>
      <c r="B398" s="54" t="s">
        <v>617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618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619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620</v>
      </c>
      <c r="B403" s="54" t="s">
        <v>621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622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623</v>
      </c>
      <c r="B407" s="54" t="s">
        <v>624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625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626</v>
      </c>
      <c r="B408" s="54" t="s">
        <v>627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628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629</v>
      </c>
      <c r="B409" s="54" t="s">
        <v>630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631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632</v>
      </c>
      <c r="B410" s="54" t="s">
        <v>633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10.5</v>
      </c>
      <c r="Y410" s="542">
        <f>IFERROR(IF(X410="",0,CEILING((X410/$H410),1)*$H410),"")</f>
        <v>10.5</v>
      </c>
      <c r="Z410" s="36">
        <f>IFERROR(IF(Y410=0,"",ROUNDUP(Y410/H410,0)*0.00502),"")</f>
        <v>2.5100000000000001E-2</v>
      </c>
      <c r="AA410" s="56"/>
      <c r="AB410" s="57"/>
      <c r="AC410" s="457" t="s">
        <v>631</v>
      </c>
      <c r="AG410" s="64"/>
      <c r="AJ410" s="68"/>
      <c r="AK410" s="68">
        <v>0</v>
      </c>
      <c r="BB410" s="458" t="s">
        <v>1</v>
      </c>
      <c r="BM410" s="64">
        <f>IFERROR(X410*I410/H410,"0")</f>
        <v>11.149999999999999</v>
      </c>
      <c r="BN410" s="64">
        <f>IFERROR(Y410*I410/H410,"0")</f>
        <v>11.149999999999999</v>
      </c>
      <c r="BO410" s="64">
        <f>IFERROR(1/J410*(X410/H410),"0")</f>
        <v>2.1367521367521368E-2</v>
      </c>
      <c r="BP410" s="64">
        <f>IFERROR(1/J410*(Y410/H410),"0")</f>
        <v>2.1367521367521368E-2</v>
      </c>
    </row>
    <row r="411" spans="1:68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5</v>
      </c>
      <c r="Y411" s="543">
        <f>IFERROR(Y407/H407,"0")+IFERROR(Y408/H408,"0")+IFERROR(Y409/H409,"0")+IFERROR(Y410/H410,"0")</f>
        <v>5</v>
      </c>
      <c r="Z411" s="543">
        <f>IFERROR(IF(Z407="",0,Z407),"0")+IFERROR(IF(Z408="",0,Z408),"0")+IFERROR(IF(Z409="",0,Z409),"0")+IFERROR(IF(Z410="",0,Z410),"0")</f>
        <v>2.5100000000000001E-2</v>
      </c>
      <c r="AA411" s="544"/>
      <c r="AB411" s="544"/>
      <c r="AC411" s="544"/>
    </row>
    <row r="412" spans="1:68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10.5</v>
      </c>
      <c r="Y412" s="543">
        <f>IFERROR(SUM(Y407:Y410),"0")</f>
        <v>10.5</v>
      </c>
      <c r="Z412" s="37"/>
      <c r="AA412" s="544"/>
      <c r="AB412" s="544"/>
      <c r="AC412" s="544"/>
    </row>
    <row r="413" spans="1:68" ht="16.5" hidden="1" customHeight="1" x14ac:dyDescent="0.25">
      <c r="A413" s="574" t="s">
        <v>634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customHeight="1" x14ac:dyDescent="0.25">
      <c r="A415" s="54" t="s">
        <v>635</v>
      </c>
      <c r="B415" s="54" t="s">
        <v>636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216</v>
      </c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60</v>
      </c>
      <c r="Y415" s="542">
        <f>IFERROR(IF(X415="",0,CEILING((X415/$H415),1)*$H415),"")</f>
        <v>60</v>
      </c>
      <c r="Z415" s="36">
        <f>IFERROR(IF(Y415=0,"",ROUNDUP(Y415/H415,0)*0.00651),"")</f>
        <v>0.32550000000000001</v>
      </c>
      <c r="AA415" s="56"/>
      <c r="AB415" s="57"/>
      <c r="AC415" s="459" t="s">
        <v>637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105</v>
      </c>
      <c r="BN415" s="64">
        <f>IFERROR(Y415*I415/H415,"0")</f>
        <v>105</v>
      </c>
      <c r="BO415" s="64">
        <f>IFERROR(1/J415*(X415/H415),"0")</f>
        <v>0.27472527472527475</v>
      </c>
      <c r="BP415" s="64">
        <f>IFERROR(1/J415*(Y415/H415),"0")</f>
        <v>0.27472527472527475</v>
      </c>
    </row>
    <row r="416" spans="1:68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50</v>
      </c>
      <c r="Y416" s="543">
        <f>IFERROR(Y415/H415,"0")</f>
        <v>50</v>
      </c>
      <c r="Z416" s="543">
        <f>IFERROR(IF(Z415="",0,Z415),"0")</f>
        <v>0.32550000000000001</v>
      </c>
      <c r="AA416" s="544"/>
      <c r="AB416" s="544"/>
      <c r="AC416" s="544"/>
    </row>
    <row r="417" spans="1:68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60</v>
      </c>
      <c r="Y417" s="543">
        <f>IFERROR(SUM(Y415:Y415),"0")</f>
        <v>60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638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638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customHeight="1" x14ac:dyDescent="0.25">
      <c r="A421" s="54" t="s">
        <v>639</v>
      </c>
      <c r="B421" s="54" t="s">
        <v>640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53.409090909090907</v>
      </c>
      <c r="BN421" s="64">
        <f t="shared" ref="BN421:BN431" si="45">IFERROR(Y421*I421/H421,"0")</f>
        <v>56.400000000000006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hidden="1" customHeight="1" x14ac:dyDescent="0.25">
      <c r="A422" s="54" t="s">
        <v>641</v>
      </c>
      <c r="B422" s="54" t="s">
        <v>642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643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644</v>
      </c>
      <c r="B423" s="54" t="s">
        <v>645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300</v>
      </c>
      <c r="Y423" s="542">
        <f t="shared" si="42"/>
        <v>300.96000000000004</v>
      </c>
      <c r="Z423" s="36">
        <f t="shared" si="43"/>
        <v>0.68171999999999999</v>
      </c>
      <c r="AA423" s="56"/>
      <c r="AB423" s="57"/>
      <c r="AC423" s="465" t="s">
        <v>646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320.45454545454544</v>
      </c>
      <c r="BN423" s="64">
        <f t="shared" si="45"/>
        <v>321.48</v>
      </c>
      <c r="BO423" s="64">
        <f t="shared" si="46"/>
        <v>0.54632867132867136</v>
      </c>
      <c r="BP423" s="64">
        <f t="shared" si="47"/>
        <v>0.54807692307692313</v>
      </c>
    </row>
    <row r="424" spans="1:68" ht="27" hidden="1" customHeight="1" x14ac:dyDescent="0.25">
      <c r="A424" s="54" t="s">
        <v>647</v>
      </c>
      <c r="B424" s="54" t="s">
        <v>648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649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650</v>
      </c>
      <c r="B425" s="54" t="s">
        <v>651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652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653</v>
      </c>
      <c r="B426" s="54" t="s">
        <v>654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160</v>
      </c>
      <c r="Y426" s="542">
        <f t="shared" si="42"/>
        <v>163.68</v>
      </c>
      <c r="Z426" s="36">
        <f t="shared" si="43"/>
        <v>0.37075999999999998</v>
      </c>
      <c r="AA426" s="56"/>
      <c r="AB426" s="57"/>
      <c r="AC426" s="471" t="s">
        <v>655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170.90909090909091</v>
      </c>
      <c r="BN426" s="64">
        <f t="shared" si="45"/>
        <v>174.84</v>
      </c>
      <c r="BO426" s="64">
        <f t="shared" si="46"/>
        <v>0.29137529137529139</v>
      </c>
      <c r="BP426" s="64">
        <f t="shared" si="47"/>
        <v>0.29807692307692307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150</v>
      </c>
      <c r="Y428" s="542">
        <f t="shared" si="42"/>
        <v>153.6</v>
      </c>
      <c r="Z428" s="36">
        <f>IFERROR(IF(Y428=0,"",ROUNDUP(Y428/H428,0)*0.00902),"")</f>
        <v>0.28864000000000001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216.5625</v>
      </c>
      <c r="BN428" s="64">
        <f t="shared" si="45"/>
        <v>221.76</v>
      </c>
      <c r="BO428" s="64">
        <f t="shared" si="46"/>
        <v>0.23674242424242425</v>
      </c>
      <c r="BP428" s="64">
        <f t="shared" si="47"/>
        <v>0.24242424242424243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180</v>
      </c>
      <c r="Y431" s="542">
        <f t="shared" si="42"/>
        <v>182.4</v>
      </c>
      <c r="Z431" s="36">
        <f>IFERROR(IF(Y431=0,"",ROUNDUP(Y431/H431,0)*0.00902),"")</f>
        <v>0.34276000000000001</v>
      </c>
      <c r="AA431" s="56"/>
      <c r="AB431" s="57"/>
      <c r="AC431" s="481" t="s">
        <v>655</v>
      </c>
      <c r="AG431" s="64"/>
      <c r="AJ431" s="68"/>
      <c r="AK431" s="68">
        <v>0</v>
      </c>
      <c r="BB431" s="482" t="s">
        <v>1</v>
      </c>
      <c r="BM431" s="64">
        <f t="shared" si="44"/>
        <v>259.875</v>
      </c>
      <c r="BN431" s="64">
        <f t="shared" si="45"/>
        <v>263.33999999999997</v>
      </c>
      <c r="BO431" s="64">
        <f t="shared" si="46"/>
        <v>0.28409090909090912</v>
      </c>
      <c r="BP431" s="64">
        <f t="shared" si="47"/>
        <v>0.2878787878787879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165.34090909090907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1.80348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840</v>
      </c>
      <c r="Y433" s="543">
        <f>IFERROR(SUM(Y421:Y431),"0")</f>
        <v>853.44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667</v>
      </c>
      <c r="B435" s="54" t="s">
        <v>668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100</v>
      </c>
      <c r="Y435" s="542">
        <f>IFERROR(IF(X435="",0,CEILING((X435/$H435),1)*$H435),"")</f>
        <v>100.32000000000001</v>
      </c>
      <c r="Z435" s="36">
        <f>IFERROR(IF(Y435=0,"",ROUNDUP(Y435/H435,0)*0.01196),"")</f>
        <v>0.22724</v>
      </c>
      <c r="AA435" s="56"/>
      <c r="AB435" s="57"/>
      <c r="AC435" s="483" t="s">
        <v>669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106.81818181818181</v>
      </c>
      <c r="BN435" s="64">
        <f>IFERROR(Y435*I435/H435,"0")</f>
        <v>107.16</v>
      </c>
      <c r="BO435" s="64">
        <f>IFERROR(1/J435*(X435/H435),"0")</f>
        <v>0.18210955710955709</v>
      </c>
      <c r="BP435" s="64">
        <f>IFERROR(1/J435*(Y435/H435),"0")</f>
        <v>0.18269230769230771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669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18.939393939393938</v>
      </c>
      <c r="Y438" s="543">
        <f>IFERROR(Y435/H435,"0")+IFERROR(Y436/H436,"0")+IFERROR(Y437/H437,"0")</f>
        <v>19</v>
      </c>
      <c r="Z438" s="543">
        <f>IFERROR(IF(Z435="",0,Z435),"0")+IFERROR(IF(Z436="",0,Z436),"0")+IFERROR(IF(Z437="",0,Z437),"0")</f>
        <v>0.22724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100</v>
      </c>
      <c r="Y439" s="543">
        <f>IFERROR(SUM(Y435:Y437),"0")</f>
        <v>100.32000000000001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674</v>
      </c>
      <c r="B441" s="54" t="s">
        <v>675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676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53.409090909090907</v>
      </c>
      <c r="BN441" s="64">
        <f t="shared" ref="BN441:BN446" si="50">IFERROR(Y441*I441/H441,"0")</f>
        <v>56.400000000000006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677</v>
      </c>
      <c r="B442" s="54" t="s">
        <v>678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110</v>
      </c>
      <c r="Y442" s="542">
        <f t="shared" si="48"/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679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117.49999999999999</v>
      </c>
      <c r="BN442" s="64">
        <f t="shared" si="50"/>
        <v>118.44</v>
      </c>
      <c r="BO442" s="64">
        <f t="shared" si="51"/>
        <v>0.20032051282051283</v>
      </c>
      <c r="BP442" s="64">
        <f t="shared" si="52"/>
        <v>0.20192307692307693</v>
      </c>
    </row>
    <row r="443" spans="1:68" ht="27" customHeight="1" x14ac:dyDescent="0.25">
      <c r="A443" s="54" t="s">
        <v>680</v>
      </c>
      <c r="B443" s="54" t="s">
        <v>681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170</v>
      </c>
      <c r="Y443" s="542">
        <f t="shared" si="48"/>
        <v>174.24</v>
      </c>
      <c r="Z443" s="36">
        <f>IFERROR(IF(Y443=0,"",ROUNDUP(Y443/H443,0)*0.01196),"")</f>
        <v>0.39468000000000003</v>
      </c>
      <c r="AA443" s="56"/>
      <c r="AB443" s="57"/>
      <c r="AC443" s="493" t="s">
        <v>682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181.59090909090907</v>
      </c>
      <c r="BN443" s="64">
        <f t="shared" si="50"/>
        <v>186.12</v>
      </c>
      <c r="BO443" s="64">
        <f t="shared" si="51"/>
        <v>0.3095862470862471</v>
      </c>
      <c r="BP443" s="64">
        <f t="shared" si="52"/>
        <v>0.31730769230769235</v>
      </c>
    </row>
    <row r="444" spans="1:68" ht="27" customHeight="1" x14ac:dyDescent="0.25">
      <c r="A444" s="54" t="s">
        <v>683</v>
      </c>
      <c r="B444" s="54" t="s">
        <v>684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 t="s">
        <v>199</v>
      </c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30</v>
      </c>
      <c r="Y444" s="542">
        <f t="shared" si="48"/>
        <v>33.6</v>
      </c>
      <c r="Z444" s="36">
        <f>IFERROR(IF(Y444=0,"",ROUNDUP(Y444/H444,0)*0.00902),"")</f>
        <v>6.3140000000000002E-2</v>
      </c>
      <c r="AA444" s="56"/>
      <c r="AB444" s="57"/>
      <c r="AC444" s="495" t="s">
        <v>676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43.3125</v>
      </c>
      <c r="BN444" s="64">
        <f t="shared" si="50"/>
        <v>48.510000000000005</v>
      </c>
      <c r="BO444" s="64">
        <f t="shared" si="51"/>
        <v>4.7348484848484848E-2</v>
      </c>
      <c r="BP444" s="64">
        <f t="shared" si="52"/>
        <v>5.3030303030303039E-2</v>
      </c>
    </row>
    <row r="445" spans="1:68" ht="27" customHeight="1" x14ac:dyDescent="0.25">
      <c r="A445" s="54" t="s">
        <v>685</v>
      </c>
      <c r="B445" s="54" t="s">
        <v>686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 t="s">
        <v>199</v>
      </c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679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25.087500000000002</v>
      </c>
      <c r="BN445" s="64">
        <f t="shared" si="50"/>
        <v>26.76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687</v>
      </c>
      <c r="B446" s="54" t="s">
        <v>688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 t="s">
        <v>199</v>
      </c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96</v>
      </c>
      <c r="Y446" s="542">
        <f t="shared" si="48"/>
        <v>96</v>
      </c>
      <c r="Z446" s="36">
        <f>IFERROR(IF(Y446=0,"",ROUNDUP(Y446/H446,0)*0.00902),"")</f>
        <v>0.1804</v>
      </c>
      <c r="AA446" s="56"/>
      <c r="AB446" s="57"/>
      <c r="AC446" s="499" t="s">
        <v>682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133.80000000000001</v>
      </c>
      <c r="BN446" s="64">
        <f t="shared" si="50"/>
        <v>133.80000000000001</v>
      </c>
      <c r="BO446" s="64">
        <f t="shared" si="51"/>
        <v>0.15151515151515152</v>
      </c>
      <c r="BP446" s="64">
        <f t="shared" si="52"/>
        <v>0.15151515151515152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92.5</v>
      </c>
      <c r="Y447" s="543">
        <f>IFERROR(Y441/H441,"0")+IFERROR(Y442/H442,"0")+IFERROR(Y443/H443,"0")+IFERROR(Y444/H444,"0")+IFERROR(Y445/H445,"0")+IFERROR(Y446/H446,"0")</f>
        <v>95</v>
      </c>
      <c r="Z447" s="543">
        <f>IFERROR(IF(Z441="",0,Z441),"0")+IFERROR(IF(Z442="",0,Z442),"0")+IFERROR(IF(Z443="",0,Z443),"0")+IFERROR(IF(Z444="",0,Z444),"0")+IFERROR(IF(Z445="",0,Z445),"0")+IFERROR(IF(Z446="",0,Z446),"0")</f>
        <v>1.0450599999999999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474</v>
      </c>
      <c r="Y448" s="543">
        <f>IFERROR(SUM(Y441:Y446),"0")</f>
        <v>486.72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689</v>
      </c>
      <c r="B450" s="54" t="s">
        <v>690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691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692</v>
      </c>
      <c r="B451" s="54" t="s">
        <v>693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694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697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698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698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699</v>
      </c>
      <c r="B458" s="54" t="s">
        <v>700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701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702</v>
      </c>
      <c r="B459" s="54" t="s">
        <v>703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704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705</v>
      </c>
      <c r="B460" s="54" t="s">
        <v>706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708</v>
      </c>
      <c r="B461" s="54" t="s">
        <v>709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701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710</v>
      </c>
      <c r="B465" s="54" t="s">
        <v>711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712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713</v>
      </c>
      <c r="B466" s="54" t="s">
        <v>714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716</v>
      </c>
      <c r="B467" s="54" t="s">
        <v>717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718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719</v>
      </c>
      <c r="B471" s="54" t="s">
        <v>720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722</v>
      </c>
      <c r="B472" s="54" t="s">
        <v>723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724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customHeight="1" x14ac:dyDescent="0.25">
      <c r="A476" s="54" t="s">
        <v>725</v>
      </c>
      <c r="B476" s="54" t="s">
        <v>726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900</v>
      </c>
      <c r="Y476" s="542">
        <f>IFERROR(IF(X476="",0,CEILING((X476/$H476),1)*$H476),"")</f>
        <v>900</v>
      </c>
      <c r="Z476" s="36">
        <f>IFERROR(IF(Y476=0,"",ROUNDUP(Y476/H476,0)*0.01898),"")</f>
        <v>1.8980000000000001</v>
      </c>
      <c r="AA476" s="56"/>
      <c r="AB476" s="57"/>
      <c r="AC476" s="525" t="s">
        <v>727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951.90000000000009</v>
      </c>
      <c r="BN476" s="64">
        <f>IFERROR(Y476*I476/H476,"0")</f>
        <v>951.90000000000009</v>
      </c>
      <c r="BO476" s="64">
        <f>IFERROR(1/J476*(X476/H476),"0")</f>
        <v>1.5625</v>
      </c>
      <c r="BP476" s="64">
        <f>IFERROR(1/J476*(Y476/H476),"0")</f>
        <v>1.5625</v>
      </c>
    </row>
    <row r="477" spans="1:68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100</v>
      </c>
      <c r="Y477" s="543">
        <f>IFERROR(Y476/H476,"0")</f>
        <v>100</v>
      </c>
      <c r="Z477" s="543">
        <f>IFERROR(IF(Z476="",0,Z476),"0")</f>
        <v>1.8980000000000001</v>
      </c>
      <c r="AA477" s="544"/>
      <c r="AB477" s="544"/>
      <c r="AC477" s="544"/>
    </row>
    <row r="478" spans="1:68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900</v>
      </c>
      <c r="Y478" s="543">
        <f>IFERROR(SUM(Y476:Y476),"0")</f>
        <v>900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165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728</v>
      </c>
      <c r="B480" s="54" t="s">
        <v>729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730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733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734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735</v>
      </c>
      <c r="B486" s="54" t="s">
        <v>736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737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738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17500.099999999999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17663.780000000002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739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18784.934454590752</v>
      </c>
      <c r="Y490" s="543">
        <f>IFERROR(SUM(BN22:BN486),"0")</f>
        <v>18962.638999999992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740</v>
      </c>
      <c r="Q491" s="620"/>
      <c r="R491" s="620"/>
      <c r="S491" s="620"/>
      <c r="T491" s="620"/>
      <c r="U491" s="620"/>
      <c r="V491" s="621"/>
      <c r="W491" s="37" t="s">
        <v>741</v>
      </c>
      <c r="X491" s="38">
        <f>ROUNDUP(SUM(BO22:BO486),0)</f>
        <v>32</v>
      </c>
      <c r="Y491" s="38">
        <f>ROUNDUP(SUM(BP22:BP486),0)</f>
        <v>33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742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19584.934454590752</v>
      </c>
      <c r="Y492" s="543">
        <f>GrossWeightTotalR+PalletQtyTotalR*25</f>
        <v>19787.638999999992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743</v>
      </c>
      <c r="Q493" s="620"/>
      <c r="R493" s="620"/>
      <c r="S493" s="620"/>
      <c r="T493" s="620"/>
      <c r="U493" s="620"/>
      <c r="V493" s="621"/>
      <c r="W493" s="37" t="s">
        <v>741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3965.4778409117484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3998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744</v>
      </c>
      <c r="Q494" s="620"/>
      <c r="R494" s="620"/>
      <c r="S494" s="620"/>
      <c r="T494" s="620"/>
      <c r="U494" s="620"/>
      <c r="V494" s="621"/>
      <c r="W494" s="39" t="s">
        <v>745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37.437490000000011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746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258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536</v>
      </c>
      <c r="T496" s="635"/>
      <c r="U496" s="590" t="s">
        <v>587</v>
      </c>
      <c r="V496" s="667"/>
      <c r="W496" s="635"/>
      <c r="X496" s="538" t="s">
        <v>638</v>
      </c>
      <c r="Y496" s="590" t="s">
        <v>698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747</v>
      </c>
      <c r="B497" s="590" t="s">
        <v>63</v>
      </c>
      <c r="C497" s="590" t="s">
        <v>98</v>
      </c>
      <c r="D497" s="590" t="s">
        <v>116</v>
      </c>
      <c r="E497" s="590" t="s">
        <v>172</v>
      </c>
      <c r="F497" s="590" t="s">
        <v>191</v>
      </c>
      <c r="G497" s="590" t="s">
        <v>223</v>
      </c>
      <c r="H497" s="590" t="s">
        <v>97</v>
      </c>
      <c r="I497" s="590" t="s">
        <v>259</v>
      </c>
      <c r="J497" s="590" t="s">
        <v>300</v>
      </c>
      <c r="K497" s="590" t="s">
        <v>360</v>
      </c>
      <c r="L497" s="590" t="s">
        <v>402</v>
      </c>
      <c r="M497" s="590" t="s">
        <v>418</v>
      </c>
      <c r="N497" s="539"/>
      <c r="O497" s="590" t="s">
        <v>429</v>
      </c>
      <c r="P497" s="590" t="s">
        <v>438</v>
      </c>
      <c r="Q497" s="590" t="s">
        <v>448</v>
      </c>
      <c r="R497" s="590" t="s">
        <v>526</v>
      </c>
      <c r="S497" s="590" t="s">
        <v>537</v>
      </c>
      <c r="T497" s="590" t="s">
        <v>571</v>
      </c>
      <c r="U497" s="590" t="s">
        <v>588</v>
      </c>
      <c r="V497" s="590" t="s">
        <v>619</v>
      </c>
      <c r="W497" s="590" t="s">
        <v>634</v>
      </c>
      <c r="X497" s="590" t="s">
        <v>638</v>
      </c>
      <c r="Y497" s="590" t="s">
        <v>698</v>
      </c>
      <c r="Z497" s="590" t="s">
        <v>734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748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311.20000000000005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828.9</v>
      </c>
      <c r="E499" s="46">
        <f>IFERROR(Y86*1,"0")+IFERROR(Y87*1,"0")+IFERROR(Y88*1,"0")+IFERROR(Y92*1,"0")+IFERROR(Y93*1,"0")+IFERROR(Y94*1,"0")+IFERROR(Y95*1,"0")</f>
        <v>1371.6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1450.6200000000001</v>
      </c>
      <c r="G499" s="46">
        <f>IFERROR(Y125*1,"0")+IFERROR(Y126*1,"0")+IFERROR(Y130*1,"0")+IFERROR(Y131*1,"0")+IFERROR(Y135*1,"0")+IFERROR(Y136*1,"0")</f>
        <v>190.32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757.26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2235.0000000000005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316.89999999999998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235.2</v>
      </c>
      <c r="P499" s="46">
        <f>IFERROR(Y279*1,"0")+IFERROR(Y280*1,"0")+IFERROR(Y284*1,"0")</f>
        <v>21.599999999999998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758.40000000000009</v>
      </c>
      <c r="R499" s="46">
        <f>IFERROR(Y335*1,"0")+IFERROR(Y336*1,"0")+IFERROR(Y337*1,"0")</f>
        <v>1575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5007</v>
      </c>
      <c r="T499" s="46">
        <f>IFERROR(Y368*1,"0")+IFERROR(Y369*1,"0")+IFERROR(Y373*1,"0")+IFERROR(Y374*1,"0")+IFERROR(Y378*1,"0")+IFERROR(Y379*1,"0")</f>
        <v>51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142.80000000000001</v>
      </c>
      <c r="V499" s="46">
        <f>IFERROR(Y403*1,"0")+IFERROR(Y407*1,"0")+IFERROR(Y408*1,"0")+IFERROR(Y409*1,"0")+IFERROR(Y410*1,"0")</f>
        <v>10.5</v>
      </c>
      <c r="W499" s="46">
        <f>IFERROR(Y415*1,"0")</f>
        <v>60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1440.48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900</v>
      </c>
      <c r="Z499" s="46">
        <f>IFERROR(Y486*1,"0")</f>
        <v>0</v>
      </c>
      <c r="AB499" s="52"/>
      <c r="AC499" s="52"/>
      <c r="AF499" s="539"/>
    </row>
  </sheetData>
  <sheetProtection algorithmName="SHA-512" hashValue="jxcKGzMwVxciPEatQOeQRsssMx474UBCYIG5sYfjIDtnxdmcup2P5agk3IiLxblen5Jt+8ISGJl4FAbWsB//Ag==" saltValue="fc50rVAIzIeJH209v19RR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254,00"/>
        <filter val="1 300,00"/>
        <filter val="1 500,00"/>
        <filter val="1 575,00"/>
        <filter val="1,67"/>
        <filter val="10,00"/>
        <filter val="10,50"/>
        <filter val="100,00"/>
        <filter val="104,00"/>
        <filter val="105,00"/>
        <filter val="108,52"/>
        <filter val="110,00"/>
        <filter val="112,00"/>
        <filter val="12,00"/>
        <filter val="12,50"/>
        <filter val="120,00"/>
        <filter val="126,00"/>
        <filter val="14,00"/>
        <filter val="140,00"/>
        <filter val="15,00"/>
        <filter val="150,00"/>
        <filter val="160,00"/>
        <filter val="165,34"/>
        <filter val="17 500,10"/>
        <filter val="170,00"/>
        <filter val="179,88"/>
        <filter val="18 784,93"/>
        <filter val="18,00"/>
        <filter val="18,94"/>
        <filter val="180,00"/>
        <filter val="19 584,93"/>
        <filter val="193,21"/>
        <filter val="2,22"/>
        <filter val="2,56"/>
        <filter val="20,00"/>
        <filter val="200,00"/>
        <filter val="202,50"/>
        <filter val="21,00"/>
        <filter val="210,00"/>
        <filter val="225,00"/>
        <filter val="232,00"/>
        <filter val="25,00"/>
        <filter val="266,33"/>
        <filter val="27,50"/>
        <filter val="27,78"/>
        <filter val="277,14"/>
        <filter val="28,00"/>
        <filter val="28,33"/>
        <filter val="280,00"/>
        <filter val="3 965,00"/>
        <filter val="3 965,48"/>
        <filter val="30,00"/>
        <filter val="300,00"/>
        <filter val="309,26"/>
        <filter val="310,00"/>
        <filter val="315,00"/>
        <filter val="32"/>
        <filter val="320,00"/>
        <filter val="33,33"/>
        <filter val="35,00"/>
        <filter val="350,00"/>
        <filter val="36,00"/>
        <filter val="372,50"/>
        <filter val="40,00"/>
        <filter val="400,00"/>
        <filter val="405,00"/>
        <filter val="42,00"/>
        <filter val="425,00"/>
        <filter val="47,07"/>
        <filter val="474,00"/>
        <filter val="477,24"/>
        <filter val="5,00"/>
        <filter val="5,50"/>
        <filter val="5,56"/>
        <filter val="50,00"/>
        <filter val="525,00"/>
        <filter val="53,89"/>
        <filter val="6,67"/>
        <filter val="60,00"/>
        <filter val="605,00"/>
        <filter val="61,67"/>
        <filter val="620,00"/>
        <filter val="66,00"/>
        <filter val="66,67"/>
        <filter val="675,00"/>
        <filter val="68,00"/>
        <filter val="68,52"/>
        <filter val="7,00"/>
        <filter val="70,00"/>
        <filter val="701,00"/>
        <filter val="702,00"/>
        <filter val="72,60"/>
        <filter val="75,00"/>
        <filter val="750,00"/>
        <filter val="755,00"/>
        <filter val="76,56"/>
        <filter val="8,33"/>
        <filter val="80,00"/>
        <filter val="840,00"/>
        <filter val="890,00"/>
        <filter val="90,74"/>
        <filter val="900,00"/>
        <filter val="92,00"/>
        <filter val="92,50"/>
        <filter val="96,00"/>
        <filter val="96,67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80 X86 X88 X92 X100 X102 X107 X113 X115:X116 X120 X125 X131 X136 X163:X167 X169 X196:X203 X209:X210 X212 X214:X215 X219:X220 X225 X227:X228 X233 X273:X274 X300:X301 X303 X315:X317 X323:X324 X328 X330 X336:X337 X343:X346 X353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52"/>
    </row>
    <row r="3" spans="2:8" x14ac:dyDescent="0.2">
      <c r="B3" s="47" t="s">
        <v>750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751</v>
      </c>
      <c r="D6" s="47" t="s">
        <v>752</v>
      </c>
      <c r="E6" s="47"/>
    </row>
    <row r="8" spans="2:8" x14ac:dyDescent="0.2">
      <c r="B8" s="47" t="s">
        <v>19</v>
      </c>
      <c r="C8" s="47" t="s">
        <v>751</v>
      </c>
      <c r="D8" s="47"/>
      <c r="E8" s="47"/>
    </row>
    <row r="10" spans="2:8" x14ac:dyDescent="0.2">
      <c r="B10" s="47" t="s">
        <v>753</v>
      </c>
      <c r="C10" s="47"/>
      <c r="D10" s="47"/>
      <c r="E10" s="47"/>
    </row>
    <row r="11" spans="2:8" x14ac:dyDescent="0.2">
      <c r="B11" s="47" t="s">
        <v>754</v>
      </c>
      <c r="C11" s="47"/>
      <c r="D11" s="47"/>
      <c r="E11" s="47"/>
    </row>
    <row r="12" spans="2:8" x14ac:dyDescent="0.2">
      <c r="B12" s="47" t="s">
        <v>755</v>
      </c>
      <c r="C12" s="47"/>
      <c r="D12" s="47"/>
      <c r="E12" s="47"/>
    </row>
    <row r="13" spans="2:8" x14ac:dyDescent="0.2">
      <c r="B13" s="47" t="s">
        <v>756</v>
      </c>
      <c r="C13" s="47"/>
      <c r="D13" s="47"/>
      <c r="E13" s="47"/>
    </row>
    <row r="14" spans="2:8" x14ac:dyDescent="0.2">
      <c r="B14" s="47" t="s">
        <v>757</v>
      </c>
      <c r="C14" s="47"/>
      <c r="D14" s="47"/>
      <c r="E14" s="47"/>
    </row>
    <row r="15" spans="2:8" x14ac:dyDescent="0.2">
      <c r="B15" s="47" t="s">
        <v>758</v>
      </c>
      <c r="C15" s="47"/>
      <c r="D15" s="47"/>
      <c r="E15" s="47"/>
    </row>
    <row r="16" spans="2:8" x14ac:dyDescent="0.2">
      <c r="B16" s="47" t="s">
        <v>759</v>
      </c>
      <c r="C16" s="47"/>
      <c r="D16" s="47"/>
      <c r="E16" s="47"/>
    </row>
    <row r="17" spans="2:5" x14ac:dyDescent="0.2">
      <c r="B17" s="47" t="s">
        <v>760</v>
      </c>
      <c r="C17" s="47"/>
      <c r="D17" s="47"/>
      <c r="E17" s="47"/>
    </row>
    <row r="18" spans="2:5" x14ac:dyDescent="0.2">
      <c r="B18" s="47" t="s">
        <v>761</v>
      </c>
      <c r="C18" s="47"/>
      <c r="D18" s="47"/>
      <c r="E18" s="47"/>
    </row>
    <row r="19" spans="2:5" x14ac:dyDescent="0.2">
      <c r="B19" s="47" t="s">
        <v>762</v>
      </c>
      <c r="C19" s="47"/>
      <c r="D19" s="47"/>
      <c r="E19" s="47"/>
    </row>
    <row r="20" spans="2:5" x14ac:dyDescent="0.2">
      <c r="B20" s="47" t="s">
        <v>763</v>
      </c>
      <c r="C20" s="47"/>
      <c r="D20" s="47"/>
      <c r="E20" s="47"/>
    </row>
  </sheetData>
  <sheetProtection algorithmName="SHA-512" hashValue="OyvJncyvqPShECLlzSagBgM8D8fisHUyfxLBG2W+Q7REZnTxWjtCj0uAsWiaALqfBk/F6mszjELCQXnx4sIvTA==" saltValue="KbNkS0wKR7DAX73FWdlmF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2025-11-05T09:42:45Z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