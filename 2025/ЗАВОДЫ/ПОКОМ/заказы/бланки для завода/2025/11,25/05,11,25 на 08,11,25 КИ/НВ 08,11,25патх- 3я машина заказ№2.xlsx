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BDF4BB5-631F-4E72-BCD9-5C76E78F86D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Y482" i="1" s="1"/>
  <c r="P480" i="1"/>
  <c r="X478" i="1"/>
  <c r="X477" i="1"/>
  <c r="BO476" i="1"/>
  <c r="BM476" i="1"/>
  <c r="Y476" i="1"/>
  <c r="Y478" i="1" s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BP466" i="1" s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BP458" i="1" s="1"/>
  <c r="P458" i="1"/>
  <c r="X454" i="1"/>
  <c r="X453" i="1"/>
  <c r="BO452" i="1"/>
  <c r="BM452" i="1"/>
  <c r="Y452" i="1"/>
  <c r="BP452" i="1" s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BP323" i="1" s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BP279" i="1" s="1"/>
  <c r="P279" i="1"/>
  <c r="X276" i="1"/>
  <c r="X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N249" i="1"/>
  <c r="BM249" i="1"/>
  <c r="Z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N233" i="1"/>
  <c r="BM233" i="1"/>
  <c r="Z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O230" i="1"/>
  <c r="BM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9" i="1"/>
  <c r="X188" i="1"/>
  <c r="BO187" i="1"/>
  <c r="BM187" i="1"/>
  <c r="Y187" i="1"/>
  <c r="P187" i="1"/>
  <c r="BO186" i="1"/>
  <c r="BM186" i="1"/>
  <c r="Y186" i="1"/>
  <c r="BP186" i="1" s="1"/>
  <c r="P186" i="1"/>
  <c r="X183" i="1"/>
  <c r="X182" i="1"/>
  <c r="BO181" i="1"/>
  <c r="BM181" i="1"/>
  <c r="Y181" i="1"/>
  <c r="Y183" i="1" s="1"/>
  <c r="P181" i="1"/>
  <c r="X179" i="1"/>
  <c r="X178" i="1"/>
  <c r="BO177" i="1"/>
  <c r="BM177" i="1"/>
  <c r="Y177" i="1"/>
  <c r="BP177" i="1" s="1"/>
  <c r="P177" i="1"/>
  <c r="BO176" i="1"/>
  <c r="BM176" i="1"/>
  <c r="Y176" i="1"/>
  <c r="P176" i="1"/>
  <c r="BO175" i="1"/>
  <c r="BM175" i="1"/>
  <c r="Y175" i="1"/>
  <c r="BP175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X161" i="1"/>
  <c r="X160" i="1"/>
  <c r="BO159" i="1"/>
  <c r="BM159" i="1"/>
  <c r="Y159" i="1"/>
  <c r="Y160" i="1" s="1"/>
  <c r="P159" i="1"/>
  <c r="X155" i="1"/>
  <c r="X154" i="1"/>
  <c r="BO153" i="1"/>
  <c r="BM153" i="1"/>
  <c r="Y153" i="1"/>
  <c r="Y155" i="1" s="1"/>
  <c r="X151" i="1"/>
  <c r="X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BP142" i="1" s="1"/>
  <c r="P142" i="1"/>
  <c r="BO141" i="1"/>
  <c r="BM141" i="1"/>
  <c r="Y141" i="1"/>
  <c r="P141" i="1"/>
  <c r="X138" i="1"/>
  <c r="X137" i="1"/>
  <c r="BO136" i="1"/>
  <c r="BM136" i="1"/>
  <c r="Y136" i="1"/>
  <c r="P136" i="1"/>
  <c r="BO135" i="1"/>
  <c r="BM135" i="1"/>
  <c r="Y135" i="1"/>
  <c r="BP135" i="1" s="1"/>
  <c r="P135" i="1"/>
  <c r="X133" i="1"/>
  <c r="X132" i="1"/>
  <c r="BO131" i="1"/>
  <c r="BM131" i="1"/>
  <c r="Y131" i="1"/>
  <c r="BP131" i="1" s="1"/>
  <c r="P131" i="1"/>
  <c r="BO130" i="1"/>
  <c r="BM130" i="1"/>
  <c r="Y130" i="1"/>
  <c r="Y132" i="1" s="1"/>
  <c r="P130" i="1"/>
  <c r="X128" i="1"/>
  <c r="X127" i="1"/>
  <c r="BO126" i="1"/>
  <c r="BM126" i="1"/>
  <c r="Y126" i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O116" i="1"/>
  <c r="BM116" i="1"/>
  <c r="Y116" i="1"/>
  <c r="BP116" i="1" s="1"/>
  <c r="P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X111" i="1"/>
  <c r="X110" i="1"/>
  <c r="BO109" i="1"/>
  <c r="BM109" i="1"/>
  <c r="Y109" i="1"/>
  <c r="P109" i="1"/>
  <c r="BO108" i="1"/>
  <c r="BM108" i="1"/>
  <c r="Y108" i="1"/>
  <c r="BP108" i="1" s="1"/>
  <c r="P108" i="1"/>
  <c r="BO107" i="1"/>
  <c r="BM107" i="1"/>
  <c r="Y107" i="1"/>
  <c r="P107" i="1"/>
  <c r="X105" i="1"/>
  <c r="X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X83" i="1"/>
  <c r="X82" i="1"/>
  <c r="BO81" i="1"/>
  <c r="BM81" i="1"/>
  <c r="Y81" i="1"/>
  <c r="P81" i="1"/>
  <c r="BO80" i="1"/>
  <c r="BM80" i="1"/>
  <c r="Y80" i="1"/>
  <c r="BP80" i="1" s="1"/>
  <c r="P80" i="1"/>
  <c r="X78" i="1"/>
  <c r="X77" i="1"/>
  <c r="BO76" i="1"/>
  <c r="BM76" i="1"/>
  <c r="Y76" i="1"/>
  <c r="BP76" i="1" s="1"/>
  <c r="P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8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Y23" i="1" s="1"/>
  <c r="P22" i="1"/>
  <c r="H10" i="1"/>
  <c r="A9" i="1"/>
  <c r="A10" i="1" s="1"/>
  <c r="D7" i="1"/>
  <c r="Q6" i="1"/>
  <c r="P2" i="1"/>
  <c r="X489" i="1" l="1"/>
  <c r="Y32" i="1"/>
  <c r="Z34" i="1"/>
  <c r="Z35" i="1" s="1"/>
  <c r="BN34" i="1"/>
  <c r="BP34" i="1"/>
  <c r="Y35" i="1"/>
  <c r="Z40" i="1"/>
  <c r="BN40" i="1"/>
  <c r="Z55" i="1"/>
  <c r="BN55" i="1"/>
  <c r="Z75" i="1"/>
  <c r="BN75" i="1"/>
  <c r="Z76" i="1"/>
  <c r="BN76" i="1"/>
  <c r="Z95" i="1"/>
  <c r="BN95" i="1"/>
  <c r="Z114" i="1"/>
  <c r="BN114" i="1"/>
  <c r="Z142" i="1"/>
  <c r="BN142" i="1"/>
  <c r="Z167" i="1"/>
  <c r="BN167" i="1"/>
  <c r="Z177" i="1"/>
  <c r="BN177" i="1"/>
  <c r="Z200" i="1"/>
  <c r="BN200" i="1"/>
  <c r="Z212" i="1"/>
  <c r="BN212" i="1"/>
  <c r="Z229" i="1"/>
  <c r="BN229" i="1"/>
  <c r="Z265" i="1"/>
  <c r="BN265" i="1"/>
  <c r="Z279" i="1"/>
  <c r="BN279" i="1"/>
  <c r="Z300" i="1"/>
  <c r="BN300" i="1"/>
  <c r="Z316" i="1"/>
  <c r="BN316" i="1"/>
  <c r="Z323" i="1"/>
  <c r="BN323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F9" i="1"/>
  <c r="F10" i="1"/>
  <c r="Z22" i="1"/>
  <c r="Z23" i="1" s="1"/>
  <c r="BN22" i="1"/>
  <c r="BP22" i="1"/>
  <c r="Z26" i="1"/>
  <c r="BN26" i="1"/>
  <c r="BP26" i="1"/>
  <c r="Z30" i="1"/>
  <c r="BN30" i="1"/>
  <c r="Z42" i="1"/>
  <c r="BN42" i="1"/>
  <c r="Y57" i="1"/>
  <c r="Z53" i="1"/>
  <c r="BN53" i="1"/>
  <c r="Z61" i="1"/>
  <c r="BN61" i="1"/>
  <c r="Y69" i="1"/>
  <c r="Z73" i="1"/>
  <c r="BN73" i="1"/>
  <c r="Z80" i="1"/>
  <c r="BN80" i="1"/>
  <c r="Z93" i="1"/>
  <c r="BN93" i="1"/>
  <c r="Z100" i="1"/>
  <c r="BN100" i="1"/>
  <c r="Z108" i="1"/>
  <c r="BN108" i="1"/>
  <c r="Z116" i="1"/>
  <c r="BN116" i="1"/>
  <c r="Z131" i="1"/>
  <c r="BN131" i="1"/>
  <c r="Z135" i="1"/>
  <c r="BN135" i="1"/>
  <c r="Z148" i="1"/>
  <c r="BN148" i="1"/>
  <c r="Z153" i="1"/>
  <c r="Z154" i="1" s="1"/>
  <c r="BN153" i="1"/>
  <c r="BP153" i="1"/>
  <c r="Y154" i="1"/>
  <c r="Z159" i="1"/>
  <c r="Z160" i="1" s="1"/>
  <c r="BN159" i="1"/>
  <c r="BP159" i="1"/>
  <c r="Z163" i="1"/>
  <c r="BN163" i="1"/>
  <c r="BP258" i="1"/>
  <c r="BN258" i="1"/>
  <c r="Z258" i="1"/>
  <c r="BP274" i="1"/>
  <c r="BN274" i="1"/>
  <c r="Z274" i="1"/>
  <c r="BP298" i="1"/>
  <c r="BN298" i="1"/>
  <c r="Z298" i="1"/>
  <c r="BP310" i="1"/>
  <c r="BN310" i="1"/>
  <c r="Z310" i="1"/>
  <c r="BP344" i="1"/>
  <c r="BN344" i="1"/>
  <c r="Z344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J9" i="1"/>
  <c r="Z165" i="1"/>
  <c r="BN165" i="1"/>
  <c r="Z169" i="1"/>
  <c r="BN169" i="1"/>
  <c r="Z175" i="1"/>
  <c r="BN175" i="1"/>
  <c r="Z181" i="1"/>
  <c r="Z182" i="1" s="1"/>
  <c r="BN181" i="1"/>
  <c r="BP181" i="1"/>
  <c r="Y182" i="1"/>
  <c r="Z186" i="1"/>
  <c r="BN186" i="1"/>
  <c r="Z198" i="1"/>
  <c r="BN198" i="1"/>
  <c r="Z202" i="1"/>
  <c r="BN202" i="1"/>
  <c r="Z210" i="1"/>
  <c r="BN210" i="1"/>
  <c r="Z214" i="1"/>
  <c r="BN214" i="1"/>
  <c r="Z227" i="1"/>
  <c r="BN227" i="1"/>
  <c r="Z231" i="1"/>
  <c r="BN231" i="1"/>
  <c r="Z247" i="1"/>
  <c r="BN247" i="1"/>
  <c r="BP267" i="1"/>
  <c r="BN267" i="1"/>
  <c r="Z267" i="1"/>
  <c r="BP290" i="1"/>
  <c r="BN290" i="1"/>
  <c r="Z290" i="1"/>
  <c r="BP302" i="1"/>
  <c r="BN302" i="1"/>
  <c r="Z302" i="1"/>
  <c r="BP329" i="1"/>
  <c r="BN329" i="1"/>
  <c r="Z329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Y380" i="1"/>
  <c r="Z446" i="1"/>
  <c r="BN446" i="1"/>
  <c r="Y454" i="1"/>
  <c r="Z452" i="1"/>
  <c r="BN452" i="1"/>
  <c r="Y453" i="1"/>
  <c r="Z458" i="1"/>
  <c r="BN458" i="1"/>
  <c r="Z466" i="1"/>
  <c r="BN466" i="1"/>
  <c r="Z476" i="1"/>
  <c r="Z477" i="1" s="1"/>
  <c r="BN476" i="1"/>
  <c r="BP476" i="1"/>
  <c r="Y477" i="1"/>
  <c r="Z480" i="1"/>
  <c r="BN480" i="1"/>
  <c r="BP480" i="1"/>
  <c r="Y31" i="1"/>
  <c r="Y43" i="1"/>
  <c r="Y58" i="1"/>
  <c r="Y64" i="1"/>
  <c r="Y70" i="1"/>
  <c r="Y77" i="1"/>
  <c r="BP81" i="1"/>
  <c r="BN81" i="1"/>
  <c r="Z81" i="1"/>
  <c r="Z82" i="1" s="1"/>
  <c r="Y83" i="1"/>
  <c r="E499" i="1"/>
  <c r="Y89" i="1"/>
  <c r="BP86" i="1"/>
  <c r="BN86" i="1"/>
  <c r="Z86" i="1"/>
  <c r="BP94" i="1"/>
  <c r="BN94" i="1"/>
  <c r="Z94" i="1"/>
  <c r="BP103" i="1"/>
  <c r="BN103" i="1"/>
  <c r="Z103" i="1"/>
  <c r="Y105" i="1"/>
  <c r="Y110" i="1"/>
  <c r="BP107" i="1"/>
  <c r="BN107" i="1"/>
  <c r="Z107" i="1"/>
  <c r="BP115" i="1"/>
  <c r="BN115" i="1"/>
  <c r="Z115" i="1"/>
  <c r="BP136" i="1"/>
  <c r="BN136" i="1"/>
  <c r="Z136" i="1"/>
  <c r="Z137" i="1" s="1"/>
  <c r="Y138" i="1"/>
  <c r="H499" i="1"/>
  <c r="Y144" i="1"/>
  <c r="BP141" i="1"/>
  <c r="BN141" i="1"/>
  <c r="Z141" i="1"/>
  <c r="BP149" i="1"/>
  <c r="BN149" i="1"/>
  <c r="Z149" i="1"/>
  <c r="Y151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26" i="1"/>
  <c r="BN226" i="1"/>
  <c r="Z226" i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Y82" i="1"/>
  <c r="BP88" i="1"/>
  <c r="BN88" i="1"/>
  <c r="Z88" i="1"/>
  <c r="Y90" i="1"/>
  <c r="Y97" i="1"/>
  <c r="BP92" i="1"/>
  <c r="BN92" i="1"/>
  <c r="Z92" i="1"/>
  <c r="Z96" i="1" s="1"/>
  <c r="Y96" i="1"/>
  <c r="BP101" i="1"/>
  <c r="BN101" i="1"/>
  <c r="Z101" i="1"/>
  <c r="BP109" i="1"/>
  <c r="BN109" i="1"/>
  <c r="Z109" i="1"/>
  <c r="Y111" i="1"/>
  <c r="Y118" i="1"/>
  <c r="BP113" i="1"/>
  <c r="BN113" i="1"/>
  <c r="Z113" i="1"/>
  <c r="Y117" i="1"/>
  <c r="BP126" i="1"/>
  <c r="BN126" i="1"/>
  <c r="Z126" i="1"/>
  <c r="Z127" i="1" s="1"/>
  <c r="Y128" i="1"/>
  <c r="Y133" i="1"/>
  <c r="BP130" i="1"/>
  <c r="BN130" i="1"/>
  <c r="Z130" i="1"/>
  <c r="Z132" i="1" s="1"/>
  <c r="Y137" i="1"/>
  <c r="BP143" i="1"/>
  <c r="BN143" i="1"/>
  <c r="Z143" i="1"/>
  <c r="Y145" i="1"/>
  <c r="Y150" i="1"/>
  <c r="BP147" i="1"/>
  <c r="BN147" i="1"/>
  <c r="Z147" i="1"/>
  <c r="Y173" i="1"/>
  <c r="BP166" i="1"/>
  <c r="BN166" i="1"/>
  <c r="Z166" i="1"/>
  <c r="BP170" i="1"/>
  <c r="BN170" i="1"/>
  <c r="Z170" i="1"/>
  <c r="Y179" i="1"/>
  <c r="Y178" i="1"/>
  <c r="BP187" i="1"/>
  <c r="BN187" i="1"/>
  <c r="Z187" i="1"/>
  <c r="Y189" i="1"/>
  <c r="Y194" i="1"/>
  <c r="BP191" i="1"/>
  <c r="BN191" i="1"/>
  <c r="Z191" i="1"/>
  <c r="Z193" i="1" s="1"/>
  <c r="Y204" i="1"/>
  <c r="BP199" i="1"/>
  <c r="BN199" i="1"/>
  <c r="Z199" i="1"/>
  <c r="BP203" i="1"/>
  <c r="BN203" i="1"/>
  <c r="Z203" i="1"/>
  <c r="Y205" i="1"/>
  <c r="Y216" i="1"/>
  <c r="BP207" i="1"/>
  <c r="BN207" i="1"/>
  <c r="Z207" i="1"/>
  <c r="BP211" i="1"/>
  <c r="BN211" i="1"/>
  <c r="Z211" i="1"/>
  <c r="BP215" i="1"/>
  <c r="BN215" i="1"/>
  <c r="Z215" i="1"/>
  <c r="Y217" i="1"/>
  <c r="Y222" i="1"/>
  <c r="BP219" i="1"/>
  <c r="BN219" i="1"/>
  <c r="Z219" i="1"/>
  <c r="Z221" i="1" s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BP311" i="1"/>
  <c r="BN311" i="1"/>
  <c r="Z311" i="1"/>
  <c r="Y313" i="1"/>
  <c r="Y318" i="1"/>
  <c r="BP315" i="1"/>
  <c r="BN315" i="1"/>
  <c r="Z315" i="1"/>
  <c r="Y319" i="1"/>
  <c r="BP322" i="1"/>
  <c r="BN322" i="1"/>
  <c r="Z322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4" i="1"/>
  <c r="G499" i="1"/>
  <c r="Y127" i="1"/>
  <c r="I499" i="1"/>
  <c r="Y161" i="1"/>
  <c r="J499" i="1"/>
  <c r="Y188" i="1"/>
  <c r="K499" i="1"/>
  <c r="Y235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Y285" i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17" i="1"/>
  <c r="BN317" i="1"/>
  <c r="Z317" i="1"/>
  <c r="Y325" i="1"/>
  <c r="BP321" i="1"/>
  <c r="BN321" i="1"/>
  <c r="Z321" i="1"/>
  <c r="BP324" i="1"/>
  <c r="BN324" i="1"/>
  <c r="Z324" i="1"/>
  <c r="Y326" i="1"/>
  <c r="Y331" i="1"/>
  <c r="BP328" i="1"/>
  <c r="BN328" i="1"/>
  <c r="Z328" i="1"/>
  <c r="BP337" i="1"/>
  <c r="BN337" i="1"/>
  <c r="Z337" i="1"/>
  <c r="S499" i="1"/>
  <c r="Y350" i="1"/>
  <c r="BP343" i="1"/>
  <c r="BN343" i="1"/>
  <c r="Z343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O499" i="1"/>
  <c r="Y276" i="1"/>
  <c r="P499" i="1"/>
  <c r="Y281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68" i="1" l="1"/>
  <c r="Z453" i="1"/>
  <c r="Z399" i="1"/>
  <c r="Z331" i="1"/>
  <c r="Z188" i="1"/>
  <c r="Z150" i="1"/>
  <c r="Z117" i="1"/>
  <c r="Z104" i="1"/>
  <c r="Z178" i="1"/>
  <c r="Z411" i="1"/>
  <c r="Y491" i="1"/>
  <c r="Z57" i="1"/>
  <c r="Z31" i="1"/>
  <c r="Z235" i="1"/>
  <c r="Z204" i="1"/>
  <c r="Z462" i="1"/>
  <c r="Z318" i="1"/>
  <c r="Z172" i="1"/>
  <c r="Z69" i="1"/>
  <c r="Y490" i="1"/>
  <c r="Y493" i="1"/>
  <c r="Y492" i="1"/>
  <c r="Z394" i="1"/>
  <c r="Z312" i="1"/>
  <c r="Y489" i="1"/>
  <c r="Z89" i="1"/>
  <c r="Z438" i="1"/>
  <c r="Z447" i="1"/>
  <c r="Z432" i="1"/>
  <c r="Z350" i="1"/>
  <c r="Z325" i="1"/>
  <c r="Z338" i="1"/>
  <c r="Z216" i="1"/>
  <c r="Z77" i="1"/>
  <c r="Z63" i="1"/>
  <c r="X492" i="1"/>
  <c r="Z268" i="1"/>
  <c r="Z260" i="1"/>
  <c r="Z251" i="1"/>
  <c r="Z144" i="1"/>
  <c r="Z110" i="1"/>
  <c r="Z494" i="1" l="1"/>
</calcChain>
</file>

<file path=xl/sharedStrings.xml><?xml version="1.0" encoding="utf-8"?>
<sst xmlns="http://schemas.openxmlformats.org/spreadsheetml/2006/main" count="2321" uniqueCount="764">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</sst>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SheetLayoutView="100" workbookViewId="0">
      <selection activeCell="AA52" sqref="AA52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1" t="s">
        <v>0</v>
      </c>
      <c r="E1" s="566"/>
      <c r="F1" s="566"/>
      <c r="G1" s="12" t="s">
        <v>1</v>
      </c>
      <c r="H1" s="611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6" t="s">
        <v>8</v>
      </c>
      <c r="B5" s="620"/>
      <c r="C5" s="621"/>
      <c r="D5" s="615"/>
      <c r="E5" s="616"/>
      <c r="F5" s="829" t="s">
        <v>9</v>
      </c>
      <c r="G5" s="621"/>
      <c r="H5" s="615" t="s">
        <v>763</v>
      </c>
      <c r="I5" s="843"/>
      <c r="J5" s="843"/>
      <c r="K5" s="843"/>
      <c r="L5" s="843"/>
      <c r="M5" s="616"/>
      <c r="N5" s="58"/>
      <c r="P5" s="24" t="s">
        <v>10</v>
      </c>
      <c r="Q5" s="835">
        <v>45969</v>
      </c>
      <c r="R5" s="665"/>
      <c r="T5" s="708" t="s">
        <v>11</v>
      </c>
      <c r="U5" s="709"/>
      <c r="V5" s="711" t="s">
        <v>12</v>
      </c>
      <c r="W5" s="665"/>
      <c r="AB5" s="51"/>
      <c r="AC5" s="51"/>
      <c r="AD5" s="51"/>
      <c r="AE5" s="51"/>
    </row>
    <row r="6" spans="1:32" s="535" customFormat="1" ht="24" customHeight="1" x14ac:dyDescent="0.2">
      <c r="A6" s="666" t="s">
        <v>13</v>
      </c>
      <c r="B6" s="620"/>
      <c r="C6" s="621"/>
      <c r="D6" s="772" t="s">
        <v>14</v>
      </c>
      <c r="E6" s="773"/>
      <c r="F6" s="773"/>
      <c r="G6" s="773"/>
      <c r="H6" s="773"/>
      <c r="I6" s="773"/>
      <c r="J6" s="773"/>
      <c r="K6" s="773"/>
      <c r="L6" s="773"/>
      <c r="M6" s="665"/>
      <c r="N6" s="59"/>
      <c r="P6" s="24" t="s">
        <v>15</v>
      </c>
      <c r="Q6" s="818" t="str">
        <f>IF(Q5=0," ",CHOOSE(WEEKDAY(Q5,2),"Понедельник","Вторник","Среда","Четверг","Пятница","Суббота","Воскресенье"))</f>
        <v>Суббота</v>
      </c>
      <c r="R6" s="548"/>
      <c r="T6" s="716" t="s">
        <v>16</v>
      </c>
      <c r="U6" s="709"/>
      <c r="V6" s="781" t="s">
        <v>17</v>
      </c>
      <c r="W6" s="581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46"/>
      <c r="U7" s="709"/>
      <c r="V7" s="782"/>
      <c r="W7" s="783"/>
      <c r="AB7" s="51"/>
      <c r="AC7" s="51"/>
      <c r="AD7" s="51"/>
      <c r="AE7" s="51"/>
    </row>
    <row r="8" spans="1:32" s="535" customFormat="1" ht="25.5" customHeight="1" x14ac:dyDescent="0.2">
      <c r="A8" s="866" t="s">
        <v>18</v>
      </c>
      <c r="B8" s="550"/>
      <c r="C8" s="551"/>
      <c r="D8" s="605" t="s">
        <v>19</v>
      </c>
      <c r="E8" s="606"/>
      <c r="F8" s="606"/>
      <c r="G8" s="606"/>
      <c r="H8" s="606"/>
      <c r="I8" s="606"/>
      <c r="J8" s="606"/>
      <c r="K8" s="606"/>
      <c r="L8" s="606"/>
      <c r="M8" s="607"/>
      <c r="N8" s="61"/>
      <c r="P8" s="24" t="s">
        <v>20</v>
      </c>
      <c r="Q8" s="673">
        <v>0.45833333333333331</v>
      </c>
      <c r="R8" s="599"/>
      <c r="T8" s="546"/>
      <c r="U8" s="709"/>
      <c r="V8" s="782"/>
      <c r="W8" s="783"/>
      <c r="AB8" s="51"/>
      <c r="AC8" s="51"/>
      <c r="AD8" s="51"/>
      <c r="AE8" s="51"/>
    </row>
    <row r="9" spans="1:32" s="535" customFormat="1" ht="39.950000000000003" customHeight="1" x14ac:dyDescent="0.2">
      <c r="A9" s="68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85"/>
      <c r="E9" s="576"/>
      <c r="F9" s="68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575" t="str">
        <f>IF(AND($A$9="Тип доверенности/получателя при получении в адресе перегруза:",$D$9="Разовая доверенность"),"Введите ФИО","")</f>
        <v/>
      </c>
      <c r="I9" s="576"/>
      <c r="J9" s="57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6"/>
      <c r="L9" s="576"/>
      <c r="M9" s="576"/>
      <c r="N9" s="533"/>
      <c r="P9" s="26" t="s">
        <v>21</v>
      </c>
      <c r="Q9" s="662"/>
      <c r="R9" s="663"/>
      <c r="T9" s="546"/>
      <c r="U9" s="709"/>
      <c r="V9" s="784"/>
      <c r="W9" s="78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85"/>
      <c r="E10" s="576"/>
      <c r="F10" s="68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758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17"/>
      <c r="R10" s="718"/>
      <c r="U10" s="24" t="s">
        <v>23</v>
      </c>
      <c r="V10" s="580" t="s">
        <v>24</v>
      </c>
      <c r="W10" s="581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4"/>
      <c r="R11" s="665"/>
      <c r="U11" s="24" t="s">
        <v>27</v>
      </c>
      <c r="V11" s="791" t="s">
        <v>28</v>
      </c>
      <c r="W11" s="66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79" t="s">
        <v>29</v>
      </c>
      <c r="B12" s="620"/>
      <c r="C12" s="620"/>
      <c r="D12" s="620"/>
      <c r="E12" s="620"/>
      <c r="F12" s="620"/>
      <c r="G12" s="620"/>
      <c r="H12" s="620"/>
      <c r="I12" s="620"/>
      <c r="J12" s="620"/>
      <c r="K12" s="620"/>
      <c r="L12" s="620"/>
      <c r="M12" s="621"/>
      <c r="N12" s="62"/>
      <c r="P12" s="24" t="s">
        <v>30</v>
      </c>
      <c r="Q12" s="673"/>
      <c r="R12" s="599"/>
      <c r="S12" s="23"/>
      <c r="U12" s="24"/>
      <c r="V12" s="566"/>
      <c r="W12" s="546"/>
      <c r="AB12" s="51"/>
      <c r="AC12" s="51"/>
      <c r="AD12" s="51"/>
      <c r="AE12" s="51"/>
    </row>
    <row r="13" spans="1:32" s="535" customFormat="1" ht="23.25" customHeight="1" x14ac:dyDescent="0.2">
      <c r="A13" s="679" t="s">
        <v>31</v>
      </c>
      <c r="B13" s="620"/>
      <c r="C13" s="620"/>
      <c r="D13" s="620"/>
      <c r="E13" s="620"/>
      <c r="F13" s="620"/>
      <c r="G13" s="620"/>
      <c r="H13" s="620"/>
      <c r="I13" s="620"/>
      <c r="J13" s="620"/>
      <c r="K13" s="620"/>
      <c r="L13" s="620"/>
      <c r="M13" s="621"/>
      <c r="N13" s="62"/>
      <c r="O13" s="26"/>
      <c r="P13" s="26" t="s">
        <v>32</v>
      </c>
      <c r="Q13" s="791"/>
      <c r="R13" s="66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79" t="s">
        <v>33</v>
      </c>
      <c r="B14" s="620"/>
      <c r="C14" s="620"/>
      <c r="D14" s="620"/>
      <c r="E14" s="620"/>
      <c r="F14" s="620"/>
      <c r="G14" s="620"/>
      <c r="H14" s="620"/>
      <c r="I14" s="620"/>
      <c r="J14" s="620"/>
      <c r="K14" s="620"/>
      <c r="L14" s="620"/>
      <c r="M14" s="62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30" t="s">
        <v>34</v>
      </c>
      <c r="B15" s="620"/>
      <c r="C15" s="620"/>
      <c r="D15" s="620"/>
      <c r="E15" s="620"/>
      <c r="F15" s="620"/>
      <c r="G15" s="620"/>
      <c r="H15" s="620"/>
      <c r="I15" s="620"/>
      <c r="J15" s="620"/>
      <c r="K15" s="620"/>
      <c r="L15" s="620"/>
      <c r="M15" s="621"/>
      <c r="N15" s="63"/>
      <c r="P15" s="691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54" t="s">
        <v>36</v>
      </c>
      <c r="B17" s="554" t="s">
        <v>37</v>
      </c>
      <c r="C17" s="681" t="s">
        <v>38</v>
      </c>
      <c r="D17" s="554" t="s">
        <v>39</v>
      </c>
      <c r="E17" s="650"/>
      <c r="F17" s="554" t="s">
        <v>40</v>
      </c>
      <c r="G17" s="554" t="s">
        <v>41</v>
      </c>
      <c r="H17" s="554" t="s">
        <v>42</v>
      </c>
      <c r="I17" s="554" t="s">
        <v>43</v>
      </c>
      <c r="J17" s="554" t="s">
        <v>44</v>
      </c>
      <c r="K17" s="554" t="s">
        <v>45</v>
      </c>
      <c r="L17" s="554" t="s">
        <v>46</v>
      </c>
      <c r="M17" s="554" t="s">
        <v>47</v>
      </c>
      <c r="N17" s="554" t="s">
        <v>48</v>
      </c>
      <c r="O17" s="554" t="s">
        <v>49</v>
      </c>
      <c r="P17" s="554" t="s">
        <v>50</v>
      </c>
      <c r="Q17" s="649"/>
      <c r="R17" s="649"/>
      <c r="S17" s="649"/>
      <c r="T17" s="650"/>
      <c r="U17" s="858" t="s">
        <v>51</v>
      </c>
      <c r="V17" s="621"/>
      <c r="W17" s="554" t="s">
        <v>52</v>
      </c>
      <c r="X17" s="554" t="s">
        <v>53</v>
      </c>
      <c r="Y17" s="859" t="s">
        <v>54</v>
      </c>
      <c r="Z17" s="86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4"/>
      <c r="AF17" s="825"/>
      <c r="AG17" s="66"/>
      <c r="BD17" s="65" t="s">
        <v>60</v>
      </c>
    </row>
    <row r="18" spans="1:68" ht="14.25" customHeight="1" x14ac:dyDescent="0.2">
      <c r="A18" s="555"/>
      <c r="B18" s="555"/>
      <c r="C18" s="555"/>
      <c r="D18" s="651"/>
      <c r="E18" s="653"/>
      <c r="F18" s="555"/>
      <c r="G18" s="555"/>
      <c r="H18" s="555"/>
      <c r="I18" s="555"/>
      <c r="J18" s="555"/>
      <c r="K18" s="555"/>
      <c r="L18" s="555"/>
      <c r="M18" s="555"/>
      <c r="N18" s="555"/>
      <c r="O18" s="555"/>
      <c r="P18" s="651"/>
      <c r="Q18" s="652"/>
      <c r="R18" s="652"/>
      <c r="S18" s="652"/>
      <c r="T18" s="653"/>
      <c r="U18" s="67" t="s">
        <v>61</v>
      </c>
      <c r="V18" s="67" t="s">
        <v>62</v>
      </c>
      <c r="W18" s="555"/>
      <c r="X18" s="555"/>
      <c r="Y18" s="860"/>
      <c r="Z18" s="863"/>
      <c r="AA18" s="757"/>
      <c r="AB18" s="757"/>
      <c r="AC18" s="757"/>
      <c r="AD18" s="826"/>
      <c r="AE18" s="827"/>
      <c r="AF18" s="828"/>
      <c r="AG18" s="66"/>
      <c r="BD18" s="65"/>
    </row>
    <row r="19" spans="1:68" ht="27.75" hidden="1" customHeight="1" x14ac:dyDescent="0.2">
      <c r="A19" s="644" t="s">
        <v>63</v>
      </c>
      <c r="B19" s="645"/>
      <c r="C19" s="645"/>
      <c r="D19" s="645"/>
      <c r="E19" s="645"/>
      <c r="F19" s="645"/>
      <c r="G19" s="645"/>
      <c r="H19" s="645"/>
      <c r="I19" s="645"/>
      <c r="J19" s="645"/>
      <c r="K19" s="645"/>
      <c r="L19" s="645"/>
      <c r="M19" s="645"/>
      <c r="N19" s="645"/>
      <c r="O19" s="645"/>
      <c r="P19" s="645"/>
      <c r="Q19" s="645"/>
      <c r="R19" s="645"/>
      <c r="S19" s="645"/>
      <c r="T19" s="645"/>
      <c r="U19" s="645"/>
      <c r="V19" s="645"/>
      <c r="W19" s="645"/>
      <c r="X19" s="645"/>
      <c r="Y19" s="645"/>
      <c r="Z19" s="645"/>
      <c r="AA19" s="48"/>
      <c r="AB19" s="48"/>
      <c r="AC19" s="48"/>
    </row>
    <row r="20" spans="1:68" ht="16.5" hidden="1" customHeight="1" x14ac:dyDescent="0.25">
      <c r="A20" s="574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45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86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7"/>
      <c r="R22" s="557"/>
      <c r="S22" s="557"/>
      <c r="T22" s="558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2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3"/>
      <c r="P23" s="549" t="s">
        <v>71</v>
      </c>
      <c r="Q23" s="550"/>
      <c r="R23" s="550"/>
      <c r="S23" s="550"/>
      <c r="T23" s="550"/>
      <c r="U23" s="550"/>
      <c r="V23" s="551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3"/>
      <c r="P24" s="549" t="s">
        <v>71</v>
      </c>
      <c r="Q24" s="550"/>
      <c r="R24" s="550"/>
      <c r="S24" s="550"/>
      <c r="T24" s="550"/>
      <c r="U24" s="550"/>
      <c r="V24" s="551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45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7"/>
      <c r="R26" s="557"/>
      <c r="S26" s="557"/>
      <c r="T26" s="558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7"/>
      <c r="R27" s="557"/>
      <c r="S27" s="557"/>
      <c r="T27" s="558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7"/>
      <c r="R28" s="557"/>
      <c r="S28" s="557"/>
      <c r="T28" s="558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7"/>
      <c r="R29" s="557"/>
      <c r="S29" s="557"/>
      <c r="T29" s="558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7">
        <v>4607091388244</v>
      </c>
      <c r="E30" s="548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7"/>
      <c r="R30" s="557"/>
      <c r="S30" s="557"/>
      <c r="T30" s="558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2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3"/>
      <c r="P31" s="549" t="s">
        <v>71</v>
      </c>
      <c r="Q31" s="550"/>
      <c r="R31" s="550"/>
      <c r="S31" s="550"/>
      <c r="T31" s="550"/>
      <c r="U31" s="550"/>
      <c r="V31" s="551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3"/>
      <c r="P32" s="549" t="s">
        <v>71</v>
      </c>
      <c r="Q32" s="550"/>
      <c r="R32" s="550"/>
      <c r="S32" s="550"/>
      <c r="T32" s="550"/>
      <c r="U32" s="550"/>
      <c r="V32" s="551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45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7">
        <v>4607091388503</v>
      </c>
      <c r="E34" s="548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7"/>
      <c r="R34" s="557"/>
      <c r="S34" s="557"/>
      <c r="T34" s="558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2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3"/>
      <c r="P35" s="549" t="s">
        <v>71</v>
      </c>
      <c r="Q35" s="550"/>
      <c r="R35" s="550"/>
      <c r="S35" s="550"/>
      <c r="T35" s="550"/>
      <c r="U35" s="550"/>
      <c r="V35" s="551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3"/>
      <c r="P36" s="549" t="s">
        <v>71</v>
      </c>
      <c r="Q36" s="550"/>
      <c r="R36" s="550"/>
      <c r="S36" s="550"/>
      <c r="T36" s="550"/>
      <c r="U36" s="550"/>
      <c r="V36" s="551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4" t="s">
        <v>97</v>
      </c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5"/>
      <c r="P37" s="645"/>
      <c r="Q37" s="645"/>
      <c r="R37" s="645"/>
      <c r="S37" s="645"/>
      <c r="T37" s="645"/>
      <c r="U37" s="645"/>
      <c r="V37" s="645"/>
      <c r="W37" s="645"/>
      <c r="X37" s="645"/>
      <c r="Y37" s="645"/>
      <c r="Z37" s="645"/>
      <c r="AA37" s="48"/>
      <c r="AB37" s="48"/>
      <c r="AC37" s="48"/>
    </row>
    <row r="38" spans="1:68" ht="16.5" hidden="1" customHeight="1" x14ac:dyDescent="0.25">
      <c r="A38" s="574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45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7">
        <v>4607091385670</v>
      </c>
      <c r="E40" s="548"/>
      <c r="F40" s="540">
        <v>1.35</v>
      </c>
      <c r="G40" s="32">
        <v>8</v>
      </c>
      <c r="H40" s="540">
        <v>10.8</v>
      </c>
      <c r="I40" s="540">
        <v>11.234999999999999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7"/>
      <c r="R40" s="557"/>
      <c r="S40" s="557"/>
      <c r="T40" s="558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7">
        <v>4607091385687</v>
      </c>
      <c r="E41" s="548"/>
      <c r="F41" s="540">
        <v>0.4</v>
      </c>
      <c r="G41" s="32">
        <v>10</v>
      </c>
      <c r="H41" s="540">
        <v>4</v>
      </c>
      <c r="I41" s="540">
        <v>4.21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7"/>
      <c r="R41" s="557"/>
      <c r="S41" s="557"/>
      <c r="T41" s="558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7">
        <v>4680115882539</v>
      </c>
      <c r="E42" s="548"/>
      <c r="F42" s="540">
        <v>0.37</v>
      </c>
      <c r="G42" s="32">
        <v>10</v>
      </c>
      <c r="H42" s="540">
        <v>3.7</v>
      </c>
      <c r="I42" s="540">
        <v>3.91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7"/>
      <c r="R42" s="557"/>
      <c r="S42" s="557"/>
      <c r="T42" s="558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2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3"/>
      <c r="P43" s="549" t="s">
        <v>71</v>
      </c>
      <c r="Q43" s="550"/>
      <c r="R43" s="550"/>
      <c r="S43" s="550"/>
      <c r="T43" s="550"/>
      <c r="U43" s="550"/>
      <c r="V43" s="551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hidden="1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3"/>
      <c r="P44" s="549" t="s">
        <v>71</v>
      </c>
      <c r="Q44" s="550"/>
      <c r="R44" s="550"/>
      <c r="S44" s="550"/>
      <c r="T44" s="550"/>
      <c r="U44" s="550"/>
      <c r="V44" s="551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hidden="1" customHeight="1" x14ac:dyDescent="0.25">
      <c r="A45" s="545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7">
        <v>4680115884915</v>
      </c>
      <c r="E46" s="548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8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7"/>
      <c r="R46" s="557"/>
      <c r="S46" s="557"/>
      <c r="T46" s="558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2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3"/>
      <c r="P47" s="549" t="s">
        <v>71</v>
      </c>
      <c r="Q47" s="550"/>
      <c r="R47" s="550"/>
      <c r="S47" s="550"/>
      <c r="T47" s="550"/>
      <c r="U47" s="550"/>
      <c r="V47" s="551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3"/>
      <c r="P48" s="549" t="s">
        <v>71</v>
      </c>
      <c r="Q48" s="550"/>
      <c r="R48" s="550"/>
      <c r="S48" s="550"/>
      <c r="T48" s="550"/>
      <c r="U48" s="550"/>
      <c r="V48" s="551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74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45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7">
        <v>4680115885882</v>
      </c>
      <c r="E51" s="548"/>
      <c r="F51" s="540">
        <v>1.4</v>
      </c>
      <c r="G51" s="32">
        <v>8</v>
      </c>
      <c r="H51" s="540">
        <v>11.2</v>
      </c>
      <c r="I51" s="540">
        <v>11.635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6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7"/>
      <c r="R51" s="557"/>
      <c r="S51" s="557"/>
      <c r="T51" s="558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7">
        <v>4680115881426</v>
      </c>
      <c r="E52" s="548"/>
      <c r="F52" s="540">
        <v>1.35</v>
      </c>
      <c r="G52" s="32">
        <v>8</v>
      </c>
      <c r="H52" s="540">
        <v>10.8</v>
      </c>
      <c r="I52" s="540">
        <v>11.234999999999999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4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7"/>
      <c r="R52" s="557"/>
      <c r="S52" s="557"/>
      <c r="T52" s="558"/>
      <c r="U52" s="34"/>
      <c r="V52" s="34"/>
      <c r="W52" s="35" t="s">
        <v>69</v>
      </c>
      <c r="X52" s="541">
        <v>20</v>
      </c>
      <c r="Y52" s="542">
        <f t="shared" si="0"/>
        <v>21.6</v>
      </c>
      <c r="Z52" s="36">
        <f>IFERROR(IF(Y52=0,"",ROUNDUP(Y52/H52,0)*0.01898),"")</f>
        <v>3.7960000000000001E-2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20.805555555555554</v>
      </c>
      <c r="BN52" s="64">
        <f t="shared" si="2"/>
        <v>22.47</v>
      </c>
      <c r="BO52" s="64">
        <f t="shared" si="3"/>
        <v>2.8935185185185182E-2</v>
      </c>
      <c r="BP52" s="64">
        <f t="shared" si="4"/>
        <v>3.125E-2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7">
        <v>4680115880283</v>
      </c>
      <c r="E53" s="548"/>
      <c r="F53" s="540">
        <v>0.6</v>
      </c>
      <c r="G53" s="32">
        <v>8</v>
      </c>
      <c r="H53" s="540">
        <v>4.8</v>
      </c>
      <c r="I53" s="540">
        <v>5.01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7"/>
      <c r="R53" s="557"/>
      <c r="S53" s="557"/>
      <c r="T53" s="558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7">
        <v>4680115881525</v>
      </c>
      <c r="E54" s="548"/>
      <c r="F54" s="540">
        <v>0.4</v>
      </c>
      <c r="G54" s="32">
        <v>10</v>
      </c>
      <c r="H54" s="540">
        <v>4</v>
      </c>
      <c r="I54" s="540">
        <v>4.21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7"/>
      <c r="R54" s="557"/>
      <c r="S54" s="557"/>
      <c r="T54" s="558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7">
        <v>4680115885899</v>
      </c>
      <c r="E55" s="548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7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7"/>
      <c r="R55" s="557"/>
      <c r="S55" s="557"/>
      <c r="T55" s="558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7">
        <v>4680115881419</v>
      </c>
      <c r="E56" s="548"/>
      <c r="F56" s="540">
        <v>0.45</v>
      </c>
      <c r="G56" s="32">
        <v>10</v>
      </c>
      <c r="H56" s="540">
        <v>4.5</v>
      </c>
      <c r="I56" s="540">
        <v>4.71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7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7"/>
      <c r="R56" s="557"/>
      <c r="S56" s="557"/>
      <c r="T56" s="558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2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3"/>
      <c r="P57" s="549" t="s">
        <v>71</v>
      </c>
      <c r="Q57" s="550"/>
      <c r="R57" s="550"/>
      <c r="S57" s="550"/>
      <c r="T57" s="550"/>
      <c r="U57" s="550"/>
      <c r="V57" s="551"/>
      <c r="W57" s="37" t="s">
        <v>72</v>
      </c>
      <c r="X57" s="543">
        <f>IFERROR(X51/H51,"0")+IFERROR(X52/H52,"0")+IFERROR(X53/H53,"0")+IFERROR(X54/H54,"0")+IFERROR(X55/H55,"0")+IFERROR(X56/H56,"0")</f>
        <v>1.8518518518518516</v>
      </c>
      <c r="Y57" s="543">
        <f>IFERROR(Y51/H51,"0")+IFERROR(Y52/H52,"0")+IFERROR(Y53/H53,"0")+IFERROR(Y54/H54,"0")+IFERROR(Y55/H55,"0")+IFERROR(Y56/H56,"0")</f>
        <v>2</v>
      </c>
      <c r="Z57" s="543">
        <f>IFERROR(IF(Z51="",0,Z51),"0")+IFERROR(IF(Z52="",0,Z52),"0")+IFERROR(IF(Z53="",0,Z53),"0")+IFERROR(IF(Z54="",0,Z54),"0")+IFERROR(IF(Z55="",0,Z55),"0")+IFERROR(IF(Z56="",0,Z56),"0")</f>
        <v>3.7960000000000001E-2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3"/>
      <c r="P58" s="549" t="s">
        <v>71</v>
      </c>
      <c r="Q58" s="550"/>
      <c r="R58" s="550"/>
      <c r="S58" s="550"/>
      <c r="T58" s="550"/>
      <c r="U58" s="550"/>
      <c r="V58" s="551"/>
      <c r="W58" s="37" t="s">
        <v>69</v>
      </c>
      <c r="X58" s="543">
        <f>IFERROR(SUM(X51:X56),"0")</f>
        <v>20</v>
      </c>
      <c r="Y58" s="543">
        <f>IFERROR(SUM(Y51:Y56),"0")</f>
        <v>21.6</v>
      </c>
      <c r="Z58" s="37"/>
      <c r="AA58" s="544"/>
      <c r="AB58" s="544"/>
      <c r="AC58" s="544"/>
    </row>
    <row r="59" spans="1:68" ht="14.25" hidden="1" customHeight="1" x14ac:dyDescent="0.25">
      <c r="A59" s="545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47">
        <v>4680115881440</v>
      </c>
      <c r="E60" s="548"/>
      <c r="F60" s="540">
        <v>1.35</v>
      </c>
      <c r="G60" s="32">
        <v>8</v>
      </c>
      <c r="H60" s="540">
        <v>10.8</v>
      </c>
      <c r="I60" s="540">
        <v>11.234999999999999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7"/>
      <c r="R60" s="557"/>
      <c r="S60" s="557"/>
      <c r="T60" s="558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7">
        <v>4680115885950</v>
      </c>
      <c r="E61" s="548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7"/>
      <c r="R61" s="557"/>
      <c r="S61" s="557"/>
      <c r="T61" s="558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7">
        <v>4680115881433</v>
      </c>
      <c r="E62" s="548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7"/>
      <c r="R62" s="557"/>
      <c r="S62" s="557"/>
      <c r="T62" s="558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2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3"/>
      <c r="P63" s="549" t="s">
        <v>71</v>
      </c>
      <c r="Q63" s="550"/>
      <c r="R63" s="550"/>
      <c r="S63" s="550"/>
      <c r="T63" s="550"/>
      <c r="U63" s="550"/>
      <c r="V63" s="551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hidden="1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3"/>
      <c r="P64" s="549" t="s">
        <v>71</v>
      </c>
      <c r="Q64" s="550"/>
      <c r="R64" s="550"/>
      <c r="S64" s="550"/>
      <c r="T64" s="550"/>
      <c r="U64" s="550"/>
      <c r="V64" s="551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hidden="1" customHeight="1" x14ac:dyDescent="0.25">
      <c r="A65" s="545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7">
        <v>4680115885073</v>
      </c>
      <c r="E66" s="548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7"/>
      <c r="R66" s="557"/>
      <c r="S66" s="557"/>
      <c r="T66" s="558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7">
        <v>4680115885059</v>
      </c>
      <c r="E67" s="548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7"/>
      <c r="R67" s="557"/>
      <c r="S67" s="557"/>
      <c r="T67" s="558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7">
        <v>4680115885097</v>
      </c>
      <c r="E68" s="548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7"/>
      <c r="R68" s="557"/>
      <c r="S68" s="557"/>
      <c r="T68" s="558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2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3"/>
      <c r="P69" s="549" t="s">
        <v>71</v>
      </c>
      <c r="Q69" s="550"/>
      <c r="R69" s="550"/>
      <c r="S69" s="550"/>
      <c r="T69" s="550"/>
      <c r="U69" s="550"/>
      <c r="V69" s="551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3"/>
      <c r="P70" s="549" t="s">
        <v>71</v>
      </c>
      <c r="Q70" s="550"/>
      <c r="R70" s="550"/>
      <c r="S70" s="550"/>
      <c r="T70" s="550"/>
      <c r="U70" s="550"/>
      <c r="V70" s="551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45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16.5" hidden="1" customHeight="1" x14ac:dyDescent="0.25">
      <c r="A72" s="54" t="s">
        <v>152</v>
      </c>
      <c r="B72" s="54" t="s">
        <v>153</v>
      </c>
      <c r="C72" s="31">
        <v>4301051838</v>
      </c>
      <c r="D72" s="547">
        <v>4680115881891</v>
      </c>
      <c r="E72" s="548"/>
      <c r="F72" s="540">
        <v>1.4</v>
      </c>
      <c r="G72" s="32">
        <v>6</v>
      </c>
      <c r="H72" s="540">
        <v>8.4</v>
      </c>
      <c r="I72" s="540">
        <v>8.9190000000000005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40</v>
      </c>
      <c r="P72" s="8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7"/>
      <c r="R72" s="557"/>
      <c r="S72" s="557"/>
      <c r="T72" s="558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4301051846</v>
      </c>
      <c r="D73" s="547">
        <v>4680115885769</v>
      </c>
      <c r="E73" s="548"/>
      <c r="F73" s="540">
        <v>1.4</v>
      </c>
      <c r="G73" s="32">
        <v>6</v>
      </c>
      <c r="H73" s="540">
        <v>8.4</v>
      </c>
      <c r="I73" s="540">
        <v>8.8350000000000009</v>
      </c>
      <c r="J73" s="32">
        <v>64</v>
      </c>
      <c r="K73" s="32" t="s">
        <v>102</v>
      </c>
      <c r="L73" s="32" t="s">
        <v>103</v>
      </c>
      <c r="M73" s="33" t="s">
        <v>77</v>
      </c>
      <c r="N73" s="33"/>
      <c r="O73" s="32">
        <v>45</v>
      </c>
      <c r="P73" s="556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157</v>
      </c>
      <c r="AG73" s="64"/>
      <c r="AJ73" s="68" t="s">
        <v>106</v>
      </c>
      <c r="AK73" s="68">
        <v>67.2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158</v>
      </c>
      <c r="B74" s="54" t="s">
        <v>159</v>
      </c>
      <c r="C74" s="31">
        <v>4301051837</v>
      </c>
      <c r="D74" s="547">
        <v>4680115884311</v>
      </c>
      <c r="E74" s="548"/>
      <c r="F74" s="540">
        <v>0.3</v>
      </c>
      <c r="G74" s="32">
        <v>6</v>
      </c>
      <c r="H74" s="540">
        <v>1.8</v>
      </c>
      <c r="I74" s="540">
        <v>2.0459999999999998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65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4301051844</v>
      </c>
      <c r="D75" s="547">
        <v>4680115885929</v>
      </c>
      <c r="E75" s="548"/>
      <c r="F75" s="540">
        <v>0.42</v>
      </c>
      <c r="G75" s="32">
        <v>6</v>
      </c>
      <c r="H75" s="540">
        <v>2.52</v>
      </c>
      <c r="I75" s="540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3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157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162</v>
      </c>
      <c r="B76" s="54" t="s">
        <v>163</v>
      </c>
      <c r="C76" s="31">
        <v>4301051929</v>
      </c>
      <c r="D76" s="547">
        <v>4680115884403</v>
      </c>
      <c r="E76" s="548"/>
      <c r="F76" s="540">
        <v>0.3</v>
      </c>
      <c r="G76" s="32">
        <v>6</v>
      </c>
      <c r="H76" s="540">
        <v>1.8</v>
      </c>
      <c r="I76" s="5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4"/>
      <c r="V76" s="34"/>
      <c r="W76" s="35" t="s">
        <v>69</v>
      </c>
      <c r="X76" s="541">
        <v>0</v>
      </c>
      <c r="Y76" s="5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164</v>
      </c>
      <c r="AG76" s="64"/>
      <c r="AJ76" s="68"/>
      <c r="AK76" s="68">
        <v>0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52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3"/>
      <c r="P77" s="549" t="s">
        <v>71</v>
      </c>
      <c r="Q77" s="550"/>
      <c r="R77" s="550"/>
      <c r="S77" s="550"/>
      <c r="T77" s="550"/>
      <c r="U77" s="550"/>
      <c r="V77" s="551"/>
      <c r="W77" s="37" t="s">
        <v>72</v>
      </c>
      <c r="X77" s="543">
        <f>IFERROR(X72/H72,"0")+IFERROR(X73/H73,"0")+IFERROR(X74/H74,"0")+IFERROR(X75/H75,"0")+IFERROR(X76/H76,"0")</f>
        <v>0</v>
      </c>
      <c r="Y77" s="543">
        <f>IFERROR(Y72/H72,"0")+IFERROR(Y73/H73,"0")+IFERROR(Y74/H74,"0")+IFERROR(Y75/H75,"0")+IFERROR(Y76/H76,"0")</f>
        <v>0</v>
      </c>
      <c r="Z77" s="543">
        <f>IFERROR(IF(Z72="",0,Z72),"0")+IFERROR(IF(Z73="",0,Z73),"0")+IFERROR(IF(Z74="",0,Z74),"0")+IFERROR(IF(Z75="",0,Z75),"0")+IFERROR(IF(Z76="",0,Z76),"0")</f>
        <v>0</v>
      </c>
      <c r="AA77" s="544"/>
      <c r="AB77" s="544"/>
      <c r="AC77" s="544"/>
    </row>
    <row r="78" spans="1:68" hidden="1" x14ac:dyDescent="0.2">
      <c r="A78" s="546"/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53"/>
      <c r="P78" s="549" t="s">
        <v>71</v>
      </c>
      <c r="Q78" s="550"/>
      <c r="R78" s="550"/>
      <c r="S78" s="550"/>
      <c r="T78" s="550"/>
      <c r="U78" s="550"/>
      <c r="V78" s="551"/>
      <c r="W78" s="37" t="s">
        <v>69</v>
      </c>
      <c r="X78" s="543">
        <f>IFERROR(SUM(X72:X76),"0")</f>
        <v>0</v>
      </c>
      <c r="Y78" s="543">
        <f>IFERROR(SUM(Y72:Y76),"0")</f>
        <v>0</v>
      </c>
      <c r="Z78" s="37"/>
      <c r="AA78" s="544"/>
      <c r="AB78" s="544"/>
      <c r="AC78" s="544"/>
    </row>
    <row r="79" spans="1:68" ht="14.25" hidden="1" customHeight="1" x14ac:dyDescent="0.25">
      <c r="A79" s="545" t="s">
        <v>165</v>
      </c>
      <c r="B79" s="546"/>
      <c r="C79" s="546"/>
      <c r="D79" s="546"/>
      <c r="E79" s="546"/>
      <c r="F79" s="546"/>
      <c r="G79" s="546"/>
      <c r="H79" s="546"/>
      <c r="I79" s="546"/>
      <c r="J79" s="546"/>
      <c r="K79" s="546"/>
      <c r="L79" s="546"/>
      <c r="M79" s="546"/>
      <c r="N79" s="546"/>
      <c r="O79" s="546"/>
      <c r="P79" s="546"/>
      <c r="Q79" s="546"/>
      <c r="R79" s="546"/>
      <c r="S79" s="546"/>
      <c r="T79" s="546"/>
      <c r="U79" s="546"/>
      <c r="V79" s="546"/>
      <c r="W79" s="546"/>
      <c r="X79" s="546"/>
      <c r="Y79" s="546"/>
      <c r="Z79" s="546"/>
      <c r="AA79" s="537"/>
      <c r="AB79" s="537"/>
      <c r="AC79" s="537"/>
    </row>
    <row r="80" spans="1:68" ht="27" hidden="1" customHeight="1" x14ac:dyDescent="0.25">
      <c r="A80" s="54" t="s">
        <v>166</v>
      </c>
      <c r="B80" s="54" t="s">
        <v>167</v>
      </c>
      <c r="C80" s="31">
        <v>4301060455</v>
      </c>
      <c r="D80" s="547">
        <v>4680115881532</v>
      </c>
      <c r="E80" s="548"/>
      <c r="F80" s="540">
        <v>1.3</v>
      </c>
      <c r="G80" s="32">
        <v>6</v>
      </c>
      <c r="H80" s="540">
        <v>7.8</v>
      </c>
      <c r="I80" s="540">
        <v>8.2349999999999994</v>
      </c>
      <c r="J80" s="32">
        <v>64</v>
      </c>
      <c r="K80" s="32" t="s">
        <v>102</v>
      </c>
      <c r="L80" s="32" t="s">
        <v>103</v>
      </c>
      <c r="M80" s="33" t="s">
        <v>84</v>
      </c>
      <c r="N80" s="33"/>
      <c r="O80" s="32">
        <v>30</v>
      </c>
      <c r="P80" s="7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168</v>
      </c>
      <c r="AG80" s="64"/>
      <c r="AJ80" s="68" t="s">
        <v>106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169</v>
      </c>
      <c r="B81" s="54" t="s">
        <v>170</v>
      </c>
      <c r="C81" s="31">
        <v>4301060351</v>
      </c>
      <c r="D81" s="547">
        <v>4680115881464</v>
      </c>
      <c r="E81" s="548"/>
      <c r="F81" s="540">
        <v>0.4</v>
      </c>
      <c r="G81" s="32">
        <v>6</v>
      </c>
      <c r="H81" s="540">
        <v>2.4</v>
      </c>
      <c r="I81" s="540">
        <v>2.61</v>
      </c>
      <c r="J81" s="32">
        <v>132</v>
      </c>
      <c r="K81" s="32" t="s">
        <v>109</v>
      </c>
      <c r="L81" s="32"/>
      <c r="M81" s="33" t="s">
        <v>77</v>
      </c>
      <c r="N81" s="33"/>
      <c r="O81" s="32">
        <v>30</v>
      </c>
      <c r="P81" s="57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4"/>
      <c r="V81" s="34"/>
      <c r="W81" s="35" t="s">
        <v>69</v>
      </c>
      <c r="X81" s="541">
        <v>0</v>
      </c>
      <c r="Y81" s="542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171</v>
      </c>
      <c r="AG81" s="64"/>
      <c r="AJ81" s="68"/>
      <c r="AK81" s="68">
        <v>0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52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3"/>
      <c r="P82" s="549" t="s">
        <v>71</v>
      </c>
      <c r="Q82" s="550"/>
      <c r="R82" s="550"/>
      <c r="S82" s="550"/>
      <c r="T82" s="550"/>
      <c r="U82" s="550"/>
      <c r="V82" s="551"/>
      <c r="W82" s="37" t="s">
        <v>72</v>
      </c>
      <c r="X82" s="543">
        <f>IFERROR(X80/H80,"0")+IFERROR(X81/H81,"0")</f>
        <v>0</v>
      </c>
      <c r="Y82" s="543">
        <f>IFERROR(Y80/H80,"0")+IFERROR(Y81/H81,"0")</f>
        <v>0</v>
      </c>
      <c r="Z82" s="543">
        <f>IFERROR(IF(Z80="",0,Z80),"0")+IFERROR(IF(Z81="",0,Z81),"0")</f>
        <v>0</v>
      </c>
      <c r="AA82" s="544"/>
      <c r="AB82" s="544"/>
      <c r="AC82" s="544"/>
    </row>
    <row r="83" spans="1:68" hidden="1" x14ac:dyDescent="0.2">
      <c r="A83" s="546"/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53"/>
      <c r="P83" s="549" t="s">
        <v>71</v>
      </c>
      <c r="Q83" s="550"/>
      <c r="R83" s="550"/>
      <c r="S83" s="550"/>
      <c r="T83" s="550"/>
      <c r="U83" s="550"/>
      <c r="V83" s="551"/>
      <c r="W83" s="37" t="s">
        <v>69</v>
      </c>
      <c r="X83" s="543">
        <f>IFERROR(SUM(X80:X81),"0")</f>
        <v>0</v>
      </c>
      <c r="Y83" s="543">
        <f>IFERROR(SUM(Y80:Y81),"0")</f>
        <v>0</v>
      </c>
      <c r="Z83" s="37"/>
      <c r="AA83" s="544"/>
      <c r="AB83" s="544"/>
      <c r="AC83" s="544"/>
    </row>
    <row r="84" spans="1:68" ht="16.5" hidden="1" customHeight="1" x14ac:dyDescent="0.25">
      <c r="A84" s="574" t="s">
        <v>172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6"/>
      <c r="AB84" s="536"/>
      <c r="AC84" s="536"/>
    </row>
    <row r="85" spans="1:68" ht="14.25" hidden="1" customHeight="1" x14ac:dyDescent="0.25">
      <c r="A85" s="545" t="s">
        <v>99</v>
      </c>
      <c r="B85" s="546"/>
      <c r="C85" s="546"/>
      <c r="D85" s="546"/>
      <c r="E85" s="546"/>
      <c r="F85" s="546"/>
      <c r="G85" s="546"/>
      <c r="H85" s="546"/>
      <c r="I85" s="546"/>
      <c r="J85" s="546"/>
      <c r="K85" s="546"/>
      <c r="L85" s="546"/>
      <c r="M85" s="546"/>
      <c r="N85" s="546"/>
      <c r="O85" s="546"/>
      <c r="P85" s="546"/>
      <c r="Q85" s="546"/>
      <c r="R85" s="546"/>
      <c r="S85" s="546"/>
      <c r="T85" s="546"/>
      <c r="U85" s="546"/>
      <c r="V85" s="546"/>
      <c r="W85" s="546"/>
      <c r="X85" s="546"/>
      <c r="Y85" s="546"/>
      <c r="Z85" s="546"/>
      <c r="AA85" s="537"/>
      <c r="AB85" s="537"/>
      <c r="AC85" s="537"/>
    </row>
    <row r="86" spans="1:68" ht="27" customHeight="1" x14ac:dyDescent="0.25">
      <c r="A86" s="54" t="s">
        <v>173</v>
      </c>
      <c r="B86" s="54" t="s">
        <v>174</v>
      </c>
      <c r="C86" s="31">
        <v>4301011468</v>
      </c>
      <c r="D86" s="547">
        <v>4680115881327</v>
      </c>
      <c r="E86" s="548"/>
      <c r="F86" s="540">
        <v>1.35</v>
      </c>
      <c r="G86" s="32">
        <v>8</v>
      </c>
      <c r="H86" s="540">
        <v>10.8</v>
      </c>
      <c r="I86" s="540">
        <v>11.234999999999999</v>
      </c>
      <c r="J86" s="32">
        <v>64</v>
      </c>
      <c r="K86" s="32" t="s">
        <v>102</v>
      </c>
      <c r="L86" s="32" t="s">
        <v>103</v>
      </c>
      <c r="M86" s="33" t="s">
        <v>84</v>
      </c>
      <c r="N86" s="33"/>
      <c r="O86" s="32">
        <v>50</v>
      </c>
      <c r="P86" s="58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4"/>
      <c r="V86" s="34"/>
      <c r="W86" s="35" t="s">
        <v>69</v>
      </c>
      <c r="X86" s="541">
        <v>50</v>
      </c>
      <c r="Y86" s="542">
        <f>IFERROR(IF(X86="",0,CEILING((X86/$H86),1)*$H86),"")</f>
        <v>54</v>
      </c>
      <c r="Z86" s="36">
        <f>IFERROR(IF(Y86=0,"",ROUNDUP(Y86/H86,0)*0.01898),"")</f>
        <v>9.4899999999999998E-2</v>
      </c>
      <c r="AA86" s="56"/>
      <c r="AB86" s="57"/>
      <c r="AC86" s="129" t="s">
        <v>175</v>
      </c>
      <c r="AG86" s="64"/>
      <c r="AJ86" s="68" t="s">
        <v>106</v>
      </c>
      <c r="AK86" s="68">
        <v>86.4</v>
      </c>
      <c r="BB86" s="130" t="s">
        <v>1</v>
      </c>
      <c r="BM86" s="64">
        <f>IFERROR(X86*I86/H86,"0")</f>
        <v>52.013888888888886</v>
      </c>
      <c r="BN86" s="64">
        <f>IFERROR(Y86*I86/H86,"0")</f>
        <v>56.17499999999999</v>
      </c>
      <c r="BO86" s="64">
        <f>IFERROR(1/J86*(X86/H86),"0")</f>
        <v>7.2337962962962965E-2</v>
      </c>
      <c r="BP86" s="64">
        <f>IFERROR(1/J86*(Y86/H86),"0")</f>
        <v>7.8125E-2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4301011476</v>
      </c>
      <c r="D87" s="547">
        <v>4680115881518</v>
      </c>
      <c r="E87" s="548"/>
      <c r="F87" s="540">
        <v>0.4</v>
      </c>
      <c r="G87" s="32">
        <v>10</v>
      </c>
      <c r="H87" s="540">
        <v>4</v>
      </c>
      <c r="I87" s="540">
        <v>4.21</v>
      </c>
      <c r="J87" s="32">
        <v>132</v>
      </c>
      <c r="K87" s="32" t="s">
        <v>109</v>
      </c>
      <c r="L87" s="32"/>
      <c r="M87" s="33" t="s">
        <v>77</v>
      </c>
      <c r="N87" s="33"/>
      <c r="O87" s="32">
        <v>50</v>
      </c>
      <c r="P87" s="72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7"/>
      <c r="R87" s="557"/>
      <c r="S87" s="557"/>
      <c r="T87" s="558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175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178</v>
      </c>
      <c r="B88" s="54" t="s">
        <v>179</v>
      </c>
      <c r="C88" s="31">
        <v>4301011443</v>
      </c>
      <c r="D88" s="547">
        <v>4680115881303</v>
      </c>
      <c r="E88" s="548"/>
      <c r="F88" s="540">
        <v>0.45</v>
      </c>
      <c r="G88" s="32">
        <v>10</v>
      </c>
      <c r="H88" s="540">
        <v>4.5</v>
      </c>
      <c r="I88" s="540">
        <v>4.71</v>
      </c>
      <c r="J88" s="32">
        <v>132</v>
      </c>
      <c r="K88" s="32" t="s">
        <v>109</v>
      </c>
      <c r="L88" s="32" t="s">
        <v>110</v>
      </c>
      <c r="M88" s="33" t="s">
        <v>84</v>
      </c>
      <c r="N88" s="33"/>
      <c r="O88" s="32">
        <v>50</v>
      </c>
      <c r="P88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7"/>
      <c r="R88" s="557"/>
      <c r="S88" s="557"/>
      <c r="T88" s="558"/>
      <c r="U88" s="34"/>
      <c r="V88" s="34"/>
      <c r="W88" s="35" t="s">
        <v>69</v>
      </c>
      <c r="X88" s="541">
        <v>0</v>
      </c>
      <c r="Y88" s="542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175</v>
      </c>
      <c r="AG88" s="64"/>
      <c r="AJ88" s="68" t="s">
        <v>106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52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3"/>
      <c r="P89" s="549" t="s">
        <v>71</v>
      </c>
      <c r="Q89" s="550"/>
      <c r="R89" s="550"/>
      <c r="S89" s="550"/>
      <c r="T89" s="550"/>
      <c r="U89" s="550"/>
      <c r="V89" s="551"/>
      <c r="W89" s="37" t="s">
        <v>72</v>
      </c>
      <c r="X89" s="543">
        <f>IFERROR(X86/H86,"0")+IFERROR(X87/H87,"0")+IFERROR(X88/H88,"0")</f>
        <v>4.6296296296296298</v>
      </c>
      <c r="Y89" s="543">
        <f>IFERROR(Y86/H86,"0")+IFERROR(Y87/H87,"0")+IFERROR(Y88/H88,"0")</f>
        <v>5</v>
      </c>
      <c r="Z89" s="543">
        <f>IFERROR(IF(Z86="",0,Z86),"0")+IFERROR(IF(Z87="",0,Z87),"0")+IFERROR(IF(Z88="",0,Z88),"0")</f>
        <v>9.4899999999999998E-2</v>
      </c>
      <c r="AA89" s="544"/>
      <c r="AB89" s="544"/>
      <c r="AC89" s="544"/>
    </row>
    <row r="90" spans="1:68" x14ac:dyDescent="0.2">
      <c r="A90" s="546"/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53"/>
      <c r="P90" s="549" t="s">
        <v>71</v>
      </c>
      <c r="Q90" s="550"/>
      <c r="R90" s="550"/>
      <c r="S90" s="550"/>
      <c r="T90" s="550"/>
      <c r="U90" s="550"/>
      <c r="V90" s="551"/>
      <c r="W90" s="37" t="s">
        <v>69</v>
      </c>
      <c r="X90" s="543">
        <f>IFERROR(SUM(X86:X88),"0")</f>
        <v>50</v>
      </c>
      <c r="Y90" s="543">
        <f>IFERROR(SUM(Y86:Y88),"0")</f>
        <v>54</v>
      </c>
      <c r="Z90" s="37"/>
      <c r="AA90" s="544"/>
      <c r="AB90" s="544"/>
      <c r="AC90" s="544"/>
    </row>
    <row r="91" spans="1:68" ht="14.25" hidden="1" customHeight="1" x14ac:dyDescent="0.25">
      <c r="A91" s="545" t="s">
        <v>73</v>
      </c>
      <c r="B91" s="546"/>
      <c r="C91" s="546"/>
      <c r="D91" s="546"/>
      <c r="E91" s="546"/>
      <c r="F91" s="546"/>
      <c r="G91" s="546"/>
      <c r="H91" s="546"/>
      <c r="I91" s="546"/>
      <c r="J91" s="546"/>
      <c r="K91" s="546"/>
      <c r="L91" s="546"/>
      <c r="M91" s="546"/>
      <c r="N91" s="546"/>
      <c r="O91" s="546"/>
      <c r="P91" s="546"/>
      <c r="Q91" s="546"/>
      <c r="R91" s="546"/>
      <c r="S91" s="546"/>
      <c r="T91" s="546"/>
      <c r="U91" s="546"/>
      <c r="V91" s="546"/>
      <c r="W91" s="546"/>
      <c r="X91" s="546"/>
      <c r="Y91" s="546"/>
      <c r="Z91" s="546"/>
      <c r="AA91" s="537"/>
      <c r="AB91" s="537"/>
      <c r="AC91" s="537"/>
    </row>
    <row r="92" spans="1:68" ht="16.5" customHeight="1" x14ac:dyDescent="0.25">
      <c r="A92" s="54" t="s">
        <v>180</v>
      </c>
      <c r="B92" s="54" t="s">
        <v>181</v>
      </c>
      <c r="C92" s="31">
        <v>4301051712</v>
      </c>
      <c r="D92" s="547">
        <v>4607091386967</v>
      </c>
      <c r="E92" s="548"/>
      <c r="F92" s="540">
        <v>1.35</v>
      </c>
      <c r="G92" s="32">
        <v>6</v>
      </c>
      <c r="H92" s="540">
        <v>8.1</v>
      </c>
      <c r="I92" s="540">
        <v>8.6189999999999998</v>
      </c>
      <c r="J92" s="32">
        <v>64</v>
      </c>
      <c r="K92" s="32" t="s">
        <v>102</v>
      </c>
      <c r="L92" s="32" t="s">
        <v>103</v>
      </c>
      <c r="M92" s="33" t="s">
        <v>84</v>
      </c>
      <c r="N92" s="33"/>
      <c r="O92" s="32">
        <v>45</v>
      </c>
      <c r="P92" s="60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7"/>
      <c r="R92" s="557"/>
      <c r="S92" s="557"/>
      <c r="T92" s="558"/>
      <c r="U92" s="34"/>
      <c r="V92" s="34"/>
      <c r="W92" s="35" t="s">
        <v>69</v>
      </c>
      <c r="X92" s="541">
        <v>150</v>
      </c>
      <c r="Y92" s="542">
        <f>IFERROR(IF(X92="",0,CEILING((X92/$H92),1)*$H92),"")</f>
        <v>153.9</v>
      </c>
      <c r="Z92" s="36">
        <f>IFERROR(IF(Y92=0,"",ROUNDUP(Y92/H92,0)*0.01898),"")</f>
        <v>0.36062</v>
      </c>
      <c r="AA92" s="56"/>
      <c r="AB92" s="57"/>
      <c r="AC92" s="135" t="s">
        <v>182</v>
      </c>
      <c r="AG92" s="64"/>
      <c r="AJ92" s="68" t="s">
        <v>106</v>
      </c>
      <c r="AK92" s="68">
        <v>64.8</v>
      </c>
      <c r="BB92" s="136" t="s">
        <v>1</v>
      </c>
      <c r="BM92" s="64">
        <f>IFERROR(X92*I92/H92,"0")</f>
        <v>159.61111111111111</v>
      </c>
      <c r="BN92" s="64">
        <f>IFERROR(Y92*I92/H92,"0")</f>
        <v>163.761</v>
      </c>
      <c r="BO92" s="64">
        <f>IFERROR(1/J92*(X92/H92),"0")</f>
        <v>0.28935185185185186</v>
      </c>
      <c r="BP92" s="64">
        <f>IFERROR(1/J92*(Y92/H92),"0")</f>
        <v>0.296875</v>
      </c>
    </row>
    <row r="93" spans="1:68" ht="27" hidden="1" customHeight="1" x14ac:dyDescent="0.25">
      <c r="A93" s="54" t="s">
        <v>183</v>
      </c>
      <c r="B93" s="54" t="s">
        <v>184</v>
      </c>
      <c r="C93" s="31">
        <v>4301051788</v>
      </c>
      <c r="D93" s="547">
        <v>4680115884953</v>
      </c>
      <c r="E93" s="548"/>
      <c r="F93" s="540">
        <v>0.37</v>
      </c>
      <c r="G93" s="32">
        <v>6</v>
      </c>
      <c r="H93" s="540">
        <v>2.2200000000000002</v>
      </c>
      <c r="I93" s="540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7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7"/>
      <c r="R93" s="557"/>
      <c r="S93" s="557"/>
      <c r="T93" s="558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185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47">
        <v>4607091385731</v>
      </c>
      <c r="E94" s="548"/>
      <c r="F94" s="540">
        <v>0.45</v>
      </c>
      <c r="G94" s="32">
        <v>6</v>
      </c>
      <c r="H94" s="540">
        <v>2.7</v>
      </c>
      <c r="I94" s="540">
        <v>2.952</v>
      </c>
      <c r="J94" s="32">
        <v>182</v>
      </c>
      <c r="K94" s="32" t="s">
        <v>76</v>
      </c>
      <c r="L94" s="32" t="s">
        <v>188</v>
      </c>
      <c r="M94" s="33" t="s">
        <v>84</v>
      </c>
      <c r="N94" s="33"/>
      <c r="O94" s="32">
        <v>45</v>
      </c>
      <c r="P94" s="60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7"/>
      <c r="R94" s="557"/>
      <c r="S94" s="557"/>
      <c r="T94" s="558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182</v>
      </c>
      <c r="AG94" s="64"/>
      <c r="AJ94" s="68" t="s">
        <v>106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0">
        <v>0.33</v>
      </c>
      <c r="G95" s="32">
        <v>6</v>
      </c>
      <c r="H95" s="540">
        <v>1.98</v>
      </c>
      <c r="I95" s="540">
        <v>2.238</v>
      </c>
      <c r="J95" s="32">
        <v>182</v>
      </c>
      <c r="K95" s="32" t="s">
        <v>76</v>
      </c>
      <c r="L95" s="32" t="s">
        <v>188</v>
      </c>
      <c r="M95" s="33" t="s">
        <v>77</v>
      </c>
      <c r="N95" s="33"/>
      <c r="O95" s="32">
        <v>45</v>
      </c>
      <c r="P95" s="61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7"/>
      <c r="R95" s="557"/>
      <c r="S95" s="557"/>
      <c r="T95" s="558"/>
      <c r="U95" s="34"/>
      <c r="V95" s="34"/>
      <c r="W95" s="35" t="s">
        <v>69</v>
      </c>
      <c r="X95" s="541">
        <v>0</v>
      </c>
      <c r="Y95" s="5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106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52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3"/>
      <c r="P96" s="549" t="s">
        <v>71</v>
      </c>
      <c r="Q96" s="550"/>
      <c r="R96" s="550"/>
      <c r="S96" s="550"/>
      <c r="T96" s="550"/>
      <c r="U96" s="550"/>
      <c r="V96" s="551"/>
      <c r="W96" s="37" t="s">
        <v>72</v>
      </c>
      <c r="X96" s="543">
        <f>IFERROR(X92/H92,"0")+IFERROR(X93/H93,"0")+IFERROR(X94/H94,"0")+IFERROR(X95/H95,"0")</f>
        <v>18.518518518518519</v>
      </c>
      <c r="Y96" s="543">
        <f>IFERROR(Y92/H92,"0")+IFERROR(Y93/H93,"0")+IFERROR(Y94/H94,"0")+IFERROR(Y95/H95,"0")</f>
        <v>19</v>
      </c>
      <c r="Z96" s="543">
        <f>IFERROR(IF(Z92="",0,Z92),"0")+IFERROR(IF(Z93="",0,Z93),"0")+IFERROR(IF(Z94="",0,Z94),"0")+IFERROR(IF(Z95="",0,Z95),"0")</f>
        <v>0.36062</v>
      </c>
      <c r="AA96" s="544"/>
      <c r="AB96" s="544"/>
      <c r="AC96" s="544"/>
    </row>
    <row r="97" spans="1:68" x14ac:dyDescent="0.2">
      <c r="A97" s="546"/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53"/>
      <c r="P97" s="549" t="s">
        <v>71</v>
      </c>
      <c r="Q97" s="550"/>
      <c r="R97" s="550"/>
      <c r="S97" s="550"/>
      <c r="T97" s="550"/>
      <c r="U97" s="550"/>
      <c r="V97" s="551"/>
      <c r="W97" s="37" t="s">
        <v>69</v>
      </c>
      <c r="X97" s="543">
        <f>IFERROR(SUM(X92:X95),"0")</f>
        <v>150</v>
      </c>
      <c r="Y97" s="543">
        <f>IFERROR(SUM(Y92:Y95),"0")</f>
        <v>153.9</v>
      </c>
      <c r="Z97" s="37"/>
      <c r="AA97" s="544"/>
      <c r="AB97" s="544"/>
      <c r="AC97" s="544"/>
    </row>
    <row r="98" spans="1:68" ht="16.5" hidden="1" customHeight="1" x14ac:dyDescent="0.25">
      <c r="A98" s="574" t="s">
        <v>192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6"/>
      <c r="AB98" s="536"/>
      <c r="AC98" s="536"/>
    </row>
    <row r="99" spans="1:68" ht="14.25" hidden="1" customHeight="1" x14ac:dyDescent="0.25">
      <c r="A99" s="545" t="s">
        <v>99</v>
      </c>
      <c r="B99" s="546"/>
      <c r="C99" s="546"/>
      <c r="D99" s="546"/>
      <c r="E99" s="546"/>
      <c r="F99" s="546"/>
      <c r="G99" s="546"/>
      <c r="H99" s="546"/>
      <c r="I99" s="546"/>
      <c r="J99" s="546"/>
      <c r="K99" s="546"/>
      <c r="L99" s="546"/>
      <c r="M99" s="546"/>
      <c r="N99" s="546"/>
      <c r="O99" s="546"/>
      <c r="P99" s="546"/>
      <c r="Q99" s="546"/>
      <c r="R99" s="546"/>
      <c r="S99" s="546"/>
      <c r="T99" s="546"/>
      <c r="U99" s="546"/>
      <c r="V99" s="546"/>
      <c r="W99" s="546"/>
      <c r="X99" s="546"/>
      <c r="Y99" s="546"/>
      <c r="Z99" s="546"/>
      <c r="AA99" s="537"/>
      <c r="AB99" s="537"/>
      <c r="AC99" s="537"/>
    </row>
    <row r="100" spans="1:68" ht="37.5" hidden="1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0">
        <v>1.35</v>
      </c>
      <c r="G100" s="32">
        <v>8</v>
      </c>
      <c r="H100" s="540">
        <v>10.8</v>
      </c>
      <c r="I100" s="540">
        <v>11.234999999999999</v>
      </c>
      <c r="J100" s="32">
        <v>64</v>
      </c>
      <c r="K100" s="32" t="s">
        <v>102</v>
      </c>
      <c r="L100" s="32" t="s">
        <v>103</v>
      </c>
      <c r="M100" s="33" t="s">
        <v>104</v>
      </c>
      <c r="N100" s="33"/>
      <c r="O100" s="32">
        <v>50</v>
      </c>
      <c r="P100" s="60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7"/>
      <c r="R100" s="557"/>
      <c r="S100" s="557"/>
      <c r="T100" s="558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106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0">
        <v>0.375</v>
      </c>
      <c r="G101" s="32">
        <v>10</v>
      </c>
      <c r="H101" s="540">
        <v>3.75</v>
      </c>
      <c r="I101" s="540">
        <v>3.96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7"/>
      <c r="R101" s="557"/>
      <c r="S101" s="557"/>
      <c r="T101" s="558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106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0">
        <v>0.45</v>
      </c>
      <c r="G102" s="32">
        <v>10</v>
      </c>
      <c r="H102" s="540">
        <v>4.5</v>
      </c>
      <c r="I102" s="540">
        <v>4.71</v>
      </c>
      <c r="J102" s="32">
        <v>132</v>
      </c>
      <c r="K102" s="32" t="s">
        <v>109</v>
      </c>
      <c r="L102" s="32" t="s">
        <v>110</v>
      </c>
      <c r="M102" s="33" t="s">
        <v>77</v>
      </c>
      <c r="N102" s="33"/>
      <c r="O102" s="32">
        <v>50</v>
      </c>
      <c r="P102" s="80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7"/>
      <c r="R102" s="557"/>
      <c r="S102" s="557"/>
      <c r="T102" s="558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0">
        <v>0.75</v>
      </c>
      <c r="G103" s="32">
        <v>6</v>
      </c>
      <c r="H103" s="540">
        <v>4.5</v>
      </c>
      <c r="I103" s="540">
        <v>4.71</v>
      </c>
      <c r="J103" s="32">
        <v>132</v>
      </c>
      <c r="K103" s="32" t="s">
        <v>109</v>
      </c>
      <c r="L103" s="32"/>
      <c r="M103" s="33" t="s">
        <v>77</v>
      </c>
      <c r="N103" s="33"/>
      <c r="O103" s="32">
        <v>50</v>
      </c>
      <c r="P103" s="62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7"/>
      <c r="R103" s="557"/>
      <c r="S103" s="557"/>
      <c r="T103" s="558"/>
      <c r="U103" s="34"/>
      <c r="V103" s="34"/>
      <c r="W103" s="35" t="s">
        <v>69</v>
      </c>
      <c r="X103" s="541">
        <v>0</v>
      </c>
      <c r="Y103" s="542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idden="1" x14ac:dyDescent="0.2">
      <c r="A104" s="552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3"/>
      <c r="P104" s="549" t="s">
        <v>71</v>
      </c>
      <c r="Q104" s="550"/>
      <c r="R104" s="550"/>
      <c r="S104" s="550"/>
      <c r="T104" s="550"/>
      <c r="U104" s="550"/>
      <c r="V104" s="551"/>
      <c r="W104" s="37" t="s">
        <v>72</v>
      </c>
      <c r="X104" s="543">
        <f>IFERROR(X100/H100,"0")+IFERROR(X101/H101,"0")+IFERROR(X102/H102,"0")+IFERROR(X103/H103,"0")</f>
        <v>0</v>
      </c>
      <c r="Y104" s="543">
        <f>IFERROR(Y100/H100,"0")+IFERROR(Y101/H101,"0")+IFERROR(Y102/H102,"0")+IFERROR(Y103/H103,"0")</f>
        <v>0</v>
      </c>
      <c r="Z104" s="543">
        <f>IFERROR(IF(Z100="",0,Z100),"0")+IFERROR(IF(Z101="",0,Z101),"0")+IFERROR(IF(Z102="",0,Z102),"0")+IFERROR(IF(Z103="",0,Z103),"0")</f>
        <v>0</v>
      </c>
      <c r="AA104" s="544"/>
      <c r="AB104" s="544"/>
      <c r="AC104" s="544"/>
    </row>
    <row r="105" spans="1:68" hidden="1" x14ac:dyDescent="0.2">
      <c r="A105" s="546"/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53"/>
      <c r="P105" s="549" t="s">
        <v>71</v>
      </c>
      <c r="Q105" s="550"/>
      <c r="R105" s="550"/>
      <c r="S105" s="550"/>
      <c r="T105" s="550"/>
      <c r="U105" s="550"/>
      <c r="V105" s="551"/>
      <c r="W105" s="37" t="s">
        <v>69</v>
      </c>
      <c r="X105" s="543">
        <f>IFERROR(SUM(X100:X103),"0")</f>
        <v>0</v>
      </c>
      <c r="Y105" s="543">
        <f>IFERROR(SUM(Y100:Y103),"0")</f>
        <v>0</v>
      </c>
      <c r="Z105" s="37"/>
      <c r="AA105" s="544"/>
      <c r="AB105" s="544"/>
      <c r="AC105" s="544"/>
    </row>
    <row r="106" spans="1:68" ht="14.25" hidden="1" customHeight="1" x14ac:dyDescent="0.25">
      <c r="A106" s="545" t="s">
        <v>135</v>
      </c>
      <c r="B106" s="546"/>
      <c r="C106" s="546"/>
      <c r="D106" s="546"/>
      <c r="E106" s="546"/>
      <c r="F106" s="546"/>
      <c r="G106" s="546"/>
      <c r="H106" s="546"/>
      <c r="I106" s="546"/>
      <c r="J106" s="546"/>
      <c r="K106" s="546"/>
      <c r="L106" s="546"/>
      <c r="M106" s="546"/>
      <c r="N106" s="546"/>
      <c r="O106" s="546"/>
      <c r="P106" s="546"/>
      <c r="Q106" s="546"/>
      <c r="R106" s="546"/>
      <c r="S106" s="546"/>
      <c r="T106" s="546"/>
      <c r="U106" s="546"/>
      <c r="V106" s="546"/>
      <c r="W106" s="546"/>
      <c r="X106" s="546"/>
      <c r="Y106" s="546"/>
      <c r="Z106" s="546"/>
      <c r="AA106" s="537"/>
      <c r="AB106" s="537"/>
      <c r="AC106" s="537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0">
        <v>1.35</v>
      </c>
      <c r="G107" s="32">
        <v>8</v>
      </c>
      <c r="H107" s="540">
        <v>10.8</v>
      </c>
      <c r="I107" s="540">
        <v>11.234999999999999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7"/>
      <c r="R107" s="557"/>
      <c r="S107" s="557"/>
      <c r="T107" s="558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0">
        <v>0.3</v>
      </c>
      <c r="G108" s="32">
        <v>8</v>
      </c>
      <c r="H108" s="540">
        <v>2.4</v>
      </c>
      <c r="I108" s="540">
        <v>2.5</v>
      </c>
      <c r="J108" s="32">
        <v>234</v>
      </c>
      <c r="K108" s="32" t="s">
        <v>67</v>
      </c>
      <c r="L108" s="32"/>
      <c r="M108" s="33" t="s">
        <v>104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7"/>
      <c r="R108" s="557"/>
      <c r="S108" s="557"/>
      <c r="T108" s="558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IFERROR(IF(Y108=0,"",ROUNDUP(Y108/H108,0)*0.00502),"")</f>
        <v/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0">
        <v>0.4</v>
      </c>
      <c r="G109" s="32">
        <v>6</v>
      </c>
      <c r="H109" s="540">
        <v>2.4</v>
      </c>
      <c r="I109" s="540">
        <v>2.58</v>
      </c>
      <c r="J109" s="32">
        <v>182</v>
      </c>
      <c r="K109" s="32" t="s">
        <v>76</v>
      </c>
      <c r="L109" s="32" t="s">
        <v>188</v>
      </c>
      <c r="M109" s="33" t="s">
        <v>104</v>
      </c>
      <c r="N109" s="33"/>
      <c r="O109" s="32">
        <v>55</v>
      </c>
      <c r="P109" s="78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7"/>
      <c r="R109" s="557"/>
      <c r="S109" s="557"/>
      <c r="T109" s="558"/>
      <c r="U109" s="34"/>
      <c r="V109" s="34"/>
      <c r="W109" s="35" t="s">
        <v>69</v>
      </c>
      <c r="X109" s="541">
        <v>0</v>
      </c>
      <c r="Y109" s="542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 t="s">
        <v>106</v>
      </c>
      <c r="AK109" s="68">
        <v>33.6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idden="1" x14ac:dyDescent="0.2">
      <c r="A110" s="552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3"/>
      <c r="P110" s="549" t="s">
        <v>71</v>
      </c>
      <c r="Q110" s="550"/>
      <c r="R110" s="550"/>
      <c r="S110" s="550"/>
      <c r="T110" s="550"/>
      <c r="U110" s="550"/>
      <c r="V110" s="551"/>
      <c r="W110" s="37" t="s">
        <v>72</v>
      </c>
      <c r="X110" s="543">
        <f>IFERROR(X107/H107,"0")+IFERROR(X108/H108,"0")+IFERROR(X109/H109,"0")</f>
        <v>0</v>
      </c>
      <c r="Y110" s="543">
        <f>IFERROR(Y107/H107,"0")+IFERROR(Y108/H108,"0")+IFERROR(Y109/H109,"0")</f>
        <v>0</v>
      </c>
      <c r="Z110" s="543">
        <f>IFERROR(IF(Z107="",0,Z107),"0")+IFERROR(IF(Z108="",0,Z108),"0")+IFERROR(IF(Z109="",0,Z109),"0")</f>
        <v>0</v>
      </c>
      <c r="AA110" s="544"/>
      <c r="AB110" s="544"/>
      <c r="AC110" s="544"/>
    </row>
    <row r="111" spans="1:68" hidden="1" x14ac:dyDescent="0.2">
      <c r="A111" s="546"/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53"/>
      <c r="P111" s="549" t="s">
        <v>71</v>
      </c>
      <c r="Q111" s="550"/>
      <c r="R111" s="550"/>
      <c r="S111" s="550"/>
      <c r="T111" s="550"/>
      <c r="U111" s="550"/>
      <c r="V111" s="551"/>
      <c r="W111" s="37" t="s">
        <v>69</v>
      </c>
      <c r="X111" s="543">
        <f>IFERROR(SUM(X107:X109),"0")</f>
        <v>0</v>
      </c>
      <c r="Y111" s="543">
        <f>IFERROR(SUM(Y107:Y109),"0")</f>
        <v>0</v>
      </c>
      <c r="Z111" s="37"/>
      <c r="AA111" s="544"/>
      <c r="AB111" s="544"/>
      <c r="AC111" s="544"/>
    </row>
    <row r="112" spans="1:68" ht="14.25" hidden="1" customHeight="1" x14ac:dyDescent="0.25">
      <c r="A112" s="545" t="s">
        <v>73</v>
      </c>
      <c r="B112" s="546"/>
      <c r="C112" s="546"/>
      <c r="D112" s="546"/>
      <c r="E112" s="546"/>
      <c r="F112" s="546"/>
      <c r="G112" s="546"/>
      <c r="H112" s="546"/>
      <c r="I112" s="546"/>
      <c r="J112" s="546"/>
      <c r="K112" s="546"/>
      <c r="L112" s="546"/>
      <c r="M112" s="546"/>
      <c r="N112" s="546"/>
      <c r="O112" s="546"/>
      <c r="P112" s="546"/>
      <c r="Q112" s="546"/>
      <c r="R112" s="546"/>
      <c r="S112" s="546"/>
      <c r="T112" s="546"/>
      <c r="U112" s="546"/>
      <c r="V112" s="546"/>
      <c r="W112" s="546"/>
      <c r="X112" s="546"/>
      <c r="Y112" s="546"/>
      <c r="Z112" s="546"/>
      <c r="AA112" s="537"/>
      <c r="AB112" s="537"/>
      <c r="AC112" s="537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0">
        <v>1.35</v>
      </c>
      <c r="G113" s="32">
        <v>6</v>
      </c>
      <c r="H113" s="540">
        <v>8.1</v>
      </c>
      <c r="I113" s="540">
        <v>8.6129999999999995</v>
      </c>
      <c r="J113" s="32">
        <v>64</v>
      </c>
      <c r="K113" s="32" t="s">
        <v>102</v>
      </c>
      <c r="L113" s="32" t="s">
        <v>103</v>
      </c>
      <c r="M113" s="33" t="s">
        <v>84</v>
      </c>
      <c r="N113" s="33"/>
      <c r="O113" s="32">
        <v>45</v>
      </c>
      <c r="P113" s="64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7"/>
      <c r="R113" s="557"/>
      <c r="S113" s="557"/>
      <c r="T113" s="558"/>
      <c r="U113" s="34"/>
      <c r="V113" s="34"/>
      <c r="W113" s="35" t="s">
        <v>69</v>
      </c>
      <c r="X113" s="541">
        <v>250</v>
      </c>
      <c r="Y113" s="542">
        <f>IFERROR(IF(X113="",0,CEILING((X113/$H113),1)*$H113),"")</f>
        <v>251.1</v>
      </c>
      <c r="Z113" s="36">
        <f>IFERROR(IF(Y113=0,"",ROUNDUP(Y113/H113,0)*0.01898),"")</f>
        <v>0.58838000000000001</v>
      </c>
      <c r="AA113" s="56"/>
      <c r="AB113" s="57"/>
      <c r="AC113" s="157" t="s">
        <v>211</v>
      </c>
      <c r="AG113" s="64"/>
      <c r="AJ113" s="68" t="s">
        <v>106</v>
      </c>
      <c r="AK113" s="68">
        <v>64.8</v>
      </c>
      <c r="BB113" s="158" t="s">
        <v>1</v>
      </c>
      <c r="BM113" s="64">
        <f>IFERROR(X113*I113/H113,"0")</f>
        <v>265.83333333333337</v>
      </c>
      <c r="BN113" s="64">
        <f>IFERROR(Y113*I113/H113,"0")</f>
        <v>267.00299999999999</v>
      </c>
      <c r="BO113" s="64">
        <f>IFERROR(1/J113*(X113/H113),"0")</f>
        <v>0.48225308641975312</v>
      </c>
      <c r="BP113" s="64">
        <f>IFERROR(1/J113*(Y113/H113),"0")</f>
        <v>0.484375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0">
        <v>0.33</v>
      </c>
      <c r="G114" s="32">
        <v>6</v>
      </c>
      <c r="H114" s="540">
        <v>1.98</v>
      </c>
      <c r="I114" s="540">
        <v>2.226</v>
      </c>
      <c r="J114" s="32">
        <v>182</v>
      </c>
      <c r="K114" s="32" t="s">
        <v>76</v>
      </c>
      <c r="L114" s="32"/>
      <c r="M114" s="33" t="s">
        <v>84</v>
      </c>
      <c r="N114" s="33"/>
      <c r="O114" s="32">
        <v>45</v>
      </c>
      <c r="P114" s="79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7"/>
      <c r="R114" s="557"/>
      <c r="S114" s="557"/>
      <c r="T114" s="558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211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0">
        <v>0.45</v>
      </c>
      <c r="G115" s="32">
        <v>6</v>
      </c>
      <c r="H115" s="540">
        <v>2.7</v>
      </c>
      <c r="I115" s="540">
        <v>2.952</v>
      </c>
      <c r="J115" s="32">
        <v>182</v>
      </c>
      <c r="K115" s="32" t="s">
        <v>76</v>
      </c>
      <c r="L115" s="32" t="s">
        <v>188</v>
      </c>
      <c r="M115" s="33" t="s">
        <v>84</v>
      </c>
      <c r="N115" s="33"/>
      <c r="O115" s="32">
        <v>45</v>
      </c>
      <c r="P115" s="72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7"/>
      <c r="R115" s="557"/>
      <c r="S115" s="557"/>
      <c r="T115" s="558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211</v>
      </c>
      <c r="AG115" s="64"/>
      <c r="AJ115" s="68" t="s">
        <v>106</v>
      </c>
      <c r="AK115" s="68">
        <v>37.799999999999997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16.5" hidden="1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0">
        <v>0.3</v>
      </c>
      <c r="G116" s="32">
        <v>6</v>
      </c>
      <c r="H116" s="540">
        <v>1.8</v>
      </c>
      <c r="I116" s="540">
        <v>1.98</v>
      </c>
      <c r="J116" s="32">
        <v>182</v>
      </c>
      <c r="K116" s="32" t="s">
        <v>76</v>
      </c>
      <c r="L116" s="32"/>
      <c r="M116" s="33" t="s">
        <v>77</v>
      </c>
      <c r="N116" s="33"/>
      <c r="O116" s="32">
        <v>45</v>
      </c>
      <c r="P116" s="62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7"/>
      <c r="R116" s="557"/>
      <c r="S116" s="557"/>
      <c r="T116" s="558"/>
      <c r="U116" s="34"/>
      <c r="V116" s="34"/>
      <c r="W116" s="35" t="s">
        <v>69</v>
      </c>
      <c r="X116" s="541">
        <v>0</v>
      </c>
      <c r="Y116" s="542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2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3"/>
      <c r="P117" s="549" t="s">
        <v>71</v>
      </c>
      <c r="Q117" s="550"/>
      <c r="R117" s="550"/>
      <c r="S117" s="550"/>
      <c r="T117" s="550"/>
      <c r="U117" s="550"/>
      <c r="V117" s="551"/>
      <c r="W117" s="37" t="s">
        <v>72</v>
      </c>
      <c r="X117" s="543">
        <f>IFERROR(X113/H113,"0")+IFERROR(X114/H114,"0")+IFERROR(X115/H115,"0")+IFERROR(X116/H116,"0")</f>
        <v>30.8641975308642</v>
      </c>
      <c r="Y117" s="543">
        <f>IFERROR(Y113/H113,"0")+IFERROR(Y114/H114,"0")+IFERROR(Y115/H115,"0")+IFERROR(Y116/H116,"0")</f>
        <v>31</v>
      </c>
      <c r="Z117" s="543">
        <f>IFERROR(IF(Z113="",0,Z113),"0")+IFERROR(IF(Z114="",0,Z114),"0")+IFERROR(IF(Z115="",0,Z115),"0")+IFERROR(IF(Z116="",0,Z116),"0")</f>
        <v>0.58838000000000001</v>
      </c>
      <c r="AA117" s="544"/>
      <c r="AB117" s="544"/>
      <c r="AC117" s="544"/>
    </row>
    <row r="118" spans="1:68" x14ac:dyDescent="0.2">
      <c r="A118" s="546"/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53"/>
      <c r="P118" s="549" t="s">
        <v>71</v>
      </c>
      <c r="Q118" s="550"/>
      <c r="R118" s="550"/>
      <c r="S118" s="550"/>
      <c r="T118" s="550"/>
      <c r="U118" s="550"/>
      <c r="V118" s="551"/>
      <c r="W118" s="37" t="s">
        <v>69</v>
      </c>
      <c r="X118" s="543">
        <f>IFERROR(SUM(X113:X116),"0")</f>
        <v>250</v>
      </c>
      <c r="Y118" s="543">
        <f>IFERROR(SUM(Y113:Y116),"0")</f>
        <v>251.1</v>
      </c>
      <c r="Z118" s="37"/>
      <c r="AA118" s="544"/>
      <c r="AB118" s="544"/>
      <c r="AC118" s="544"/>
    </row>
    <row r="119" spans="1:68" ht="14.25" hidden="1" customHeight="1" x14ac:dyDescent="0.25">
      <c r="A119" s="545" t="s">
        <v>165</v>
      </c>
      <c r="B119" s="546"/>
      <c r="C119" s="546"/>
      <c r="D119" s="546"/>
      <c r="E119" s="546"/>
      <c r="F119" s="546"/>
      <c r="G119" s="546"/>
      <c r="H119" s="546"/>
      <c r="I119" s="546"/>
      <c r="J119" s="546"/>
      <c r="K119" s="546"/>
      <c r="L119" s="546"/>
      <c r="M119" s="546"/>
      <c r="N119" s="546"/>
      <c r="O119" s="546"/>
      <c r="P119" s="546"/>
      <c r="Q119" s="546"/>
      <c r="R119" s="546"/>
      <c r="S119" s="546"/>
      <c r="T119" s="546"/>
      <c r="U119" s="546"/>
      <c r="V119" s="546"/>
      <c r="W119" s="546"/>
      <c r="X119" s="546"/>
      <c r="Y119" s="546"/>
      <c r="Z119" s="546"/>
      <c r="AA119" s="537"/>
      <c r="AB119" s="537"/>
      <c r="AC119" s="537"/>
    </row>
    <row r="120" spans="1:68" ht="16.5" hidden="1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0">
        <v>0.33</v>
      </c>
      <c r="G120" s="32">
        <v>6</v>
      </c>
      <c r="H120" s="540">
        <v>1.98</v>
      </c>
      <c r="I120" s="540">
        <v>2.238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40</v>
      </c>
      <c r="P120" s="61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7"/>
      <c r="R120" s="557"/>
      <c r="S120" s="557"/>
      <c r="T120" s="558"/>
      <c r="U120" s="34"/>
      <c r="V120" s="34"/>
      <c r="W120" s="35" t="s">
        <v>69</v>
      </c>
      <c r="X120" s="541">
        <v>0</v>
      </c>
      <c r="Y120" s="5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/>
      <c r="AK120" s="68">
        <v>0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52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3"/>
      <c r="P121" s="549" t="s">
        <v>71</v>
      </c>
      <c r="Q121" s="550"/>
      <c r="R121" s="550"/>
      <c r="S121" s="550"/>
      <c r="T121" s="550"/>
      <c r="U121" s="550"/>
      <c r="V121" s="551"/>
      <c r="W121" s="37" t="s">
        <v>72</v>
      </c>
      <c r="X121" s="543">
        <f>IFERROR(X120/H120,"0")</f>
        <v>0</v>
      </c>
      <c r="Y121" s="543">
        <f>IFERROR(Y120/H120,"0")</f>
        <v>0</v>
      </c>
      <c r="Z121" s="543">
        <f>IFERROR(IF(Z120="",0,Z120),"0")</f>
        <v>0</v>
      </c>
      <c r="AA121" s="544"/>
      <c r="AB121" s="544"/>
      <c r="AC121" s="544"/>
    </row>
    <row r="122" spans="1:68" hidden="1" x14ac:dyDescent="0.2">
      <c r="A122" s="546"/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53"/>
      <c r="P122" s="549" t="s">
        <v>71</v>
      </c>
      <c r="Q122" s="550"/>
      <c r="R122" s="550"/>
      <c r="S122" s="550"/>
      <c r="T122" s="550"/>
      <c r="U122" s="550"/>
      <c r="V122" s="551"/>
      <c r="W122" s="37" t="s">
        <v>69</v>
      </c>
      <c r="X122" s="543">
        <f>IFERROR(SUM(X120:X120),"0")</f>
        <v>0</v>
      </c>
      <c r="Y122" s="543">
        <f>IFERROR(SUM(Y120:Y120),"0")</f>
        <v>0</v>
      </c>
      <c r="Z122" s="37"/>
      <c r="AA122" s="544"/>
      <c r="AB122" s="544"/>
      <c r="AC122" s="544"/>
    </row>
    <row r="123" spans="1:68" ht="16.5" hidden="1" customHeight="1" x14ac:dyDescent="0.25">
      <c r="A123" s="574" t="s">
        <v>222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6"/>
      <c r="AB123" s="536"/>
      <c r="AC123" s="536"/>
    </row>
    <row r="124" spans="1:68" ht="14.25" hidden="1" customHeight="1" x14ac:dyDescent="0.25">
      <c r="A124" s="545" t="s">
        <v>99</v>
      </c>
      <c r="B124" s="546"/>
      <c r="C124" s="546"/>
      <c r="D124" s="546"/>
      <c r="E124" s="546"/>
      <c r="F124" s="546"/>
      <c r="G124" s="546"/>
      <c r="H124" s="546"/>
      <c r="I124" s="546"/>
      <c r="J124" s="546"/>
      <c r="K124" s="546"/>
      <c r="L124" s="546"/>
      <c r="M124" s="546"/>
      <c r="N124" s="546"/>
      <c r="O124" s="546"/>
      <c r="P124" s="546"/>
      <c r="Q124" s="546"/>
      <c r="R124" s="546"/>
      <c r="S124" s="546"/>
      <c r="T124" s="546"/>
      <c r="U124" s="546"/>
      <c r="V124" s="546"/>
      <c r="W124" s="546"/>
      <c r="X124" s="546"/>
      <c r="Y124" s="546"/>
      <c r="Z124" s="546"/>
      <c r="AA124" s="537"/>
      <c r="AB124" s="537"/>
      <c r="AC124" s="537"/>
    </row>
    <row r="125" spans="1:68" ht="27" hidden="1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188</v>
      </c>
      <c r="M125" s="33" t="s">
        <v>94</v>
      </c>
      <c r="N125" s="33"/>
      <c r="O125" s="32">
        <v>90</v>
      </c>
      <c r="P125" s="75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7"/>
      <c r="R125" s="557"/>
      <c r="S125" s="557"/>
      <c r="T125" s="558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225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hidden="1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0">
        <v>0.4</v>
      </c>
      <c r="G126" s="32">
        <v>8</v>
      </c>
      <c r="H126" s="540">
        <v>3.2</v>
      </c>
      <c r="I126" s="540">
        <v>3.38</v>
      </c>
      <c r="J126" s="32">
        <v>182</v>
      </c>
      <c r="K126" s="32" t="s">
        <v>76</v>
      </c>
      <c r="L126" s="32" t="s">
        <v>188</v>
      </c>
      <c r="M126" s="33" t="s">
        <v>94</v>
      </c>
      <c r="N126" s="33"/>
      <c r="O126" s="32">
        <v>90</v>
      </c>
      <c r="P126" s="86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7"/>
      <c r="R126" s="557"/>
      <c r="S126" s="557"/>
      <c r="T126" s="558"/>
      <c r="U126" s="34"/>
      <c r="V126" s="34"/>
      <c r="W126" s="35" t="s">
        <v>69</v>
      </c>
      <c r="X126" s="541">
        <v>0</v>
      </c>
      <c r="Y126" s="542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106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idden="1" x14ac:dyDescent="0.2">
      <c r="A127" s="552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3"/>
      <c r="P127" s="549" t="s">
        <v>71</v>
      </c>
      <c r="Q127" s="550"/>
      <c r="R127" s="550"/>
      <c r="S127" s="550"/>
      <c r="T127" s="550"/>
      <c r="U127" s="550"/>
      <c r="V127" s="551"/>
      <c r="W127" s="37" t="s">
        <v>72</v>
      </c>
      <c r="X127" s="543">
        <f>IFERROR(X125/H125,"0")+IFERROR(X126/H126,"0")</f>
        <v>0</v>
      </c>
      <c r="Y127" s="543">
        <f>IFERROR(Y125/H125,"0")+IFERROR(Y126/H126,"0")</f>
        <v>0</v>
      </c>
      <c r="Z127" s="543">
        <f>IFERROR(IF(Z125="",0,Z125),"0")+IFERROR(IF(Z126="",0,Z126),"0")</f>
        <v>0</v>
      </c>
      <c r="AA127" s="544"/>
      <c r="AB127" s="544"/>
      <c r="AC127" s="544"/>
    </row>
    <row r="128" spans="1:68" hidden="1" x14ac:dyDescent="0.2">
      <c r="A128" s="546"/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53"/>
      <c r="P128" s="549" t="s">
        <v>71</v>
      </c>
      <c r="Q128" s="550"/>
      <c r="R128" s="550"/>
      <c r="S128" s="550"/>
      <c r="T128" s="550"/>
      <c r="U128" s="550"/>
      <c r="V128" s="551"/>
      <c r="W128" s="37" t="s">
        <v>69</v>
      </c>
      <c r="X128" s="543">
        <f>IFERROR(SUM(X125:X126),"0")</f>
        <v>0</v>
      </c>
      <c r="Y128" s="543">
        <f>IFERROR(SUM(Y125:Y126),"0")</f>
        <v>0</v>
      </c>
      <c r="Z128" s="37"/>
      <c r="AA128" s="544"/>
      <c r="AB128" s="544"/>
      <c r="AC128" s="544"/>
    </row>
    <row r="129" spans="1:68" ht="14.25" hidden="1" customHeight="1" x14ac:dyDescent="0.25">
      <c r="A129" s="545" t="s">
        <v>64</v>
      </c>
      <c r="B129" s="546"/>
      <c r="C129" s="546"/>
      <c r="D129" s="546"/>
      <c r="E129" s="546"/>
      <c r="F129" s="546"/>
      <c r="G129" s="546"/>
      <c r="H129" s="546"/>
      <c r="I129" s="546"/>
      <c r="J129" s="546"/>
      <c r="K129" s="546"/>
      <c r="L129" s="546"/>
      <c r="M129" s="546"/>
      <c r="N129" s="546"/>
      <c r="O129" s="546"/>
      <c r="P129" s="546"/>
      <c r="Q129" s="546"/>
      <c r="R129" s="546"/>
      <c r="S129" s="546"/>
      <c r="T129" s="546"/>
      <c r="U129" s="546"/>
      <c r="V129" s="546"/>
      <c r="W129" s="546"/>
      <c r="X129" s="546"/>
      <c r="Y129" s="546"/>
      <c r="Z129" s="546"/>
      <c r="AA129" s="537"/>
      <c r="AB129" s="537"/>
      <c r="AC129" s="537"/>
    </row>
    <row r="130" spans="1:68" ht="27" hidden="1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8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7"/>
      <c r="R130" s="557"/>
      <c r="S130" s="557"/>
      <c r="T130" s="558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0">
        <v>0.35</v>
      </c>
      <c r="G131" s="32">
        <v>8</v>
      </c>
      <c r="H131" s="540">
        <v>2.8</v>
      </c>
      <c r="I131" s="540">
        <v>3.0680000000000001</v>
      </c>
      <c r="J131" s="32">
        <v>182</v>
      </c>
      <c r="K131" s="32" t="s">
        <v>76</v>
      </c>
      <c r="L131" s="32" t="s">
        <v>188</v>
      </c>
      <c r="M131" s="33" t="s">
        <v>94</v>
      </c>
      <c r="N131" s="33"/>
      <c r="O131" s="32">
        <v>90</v>
      </c>
      <c r="P131" s="62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7"/>
      <c r="R131" s="557"/>
      <c r="S131" s="557"/>
      <c r="T131" s="558"/>
      <c r="U131" s="34"/>
      <c r="V131" s="34"/>
      <c r="W131" s="35" t="s">
        <v>69</v>
      </c>
      <c r="X131" s="541">
        <v>0</v>
      </c>
      <c r="Y131" s="5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229</v>
      </c>
      <c r="AG131" s="64"/>
      <c r="AJ131" s="68" t="s">
        <v>106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552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3"/>
      <c r="P132" s="549" t="s">
        <v>71</v>
      </c>
      <c r="Q132" s="550"/>
      <c r="R132" s="550"/>
      <c r="S132" s="550"/>
      <c r="T132" s="550"/>
      <c r="U132" s="550"/>
      <c r="V132" s="551"/>
      <c r="W132" s="37" t="s">
        <v>72</v>
      </c>
      <c r="X132" s="543">
        <f>IFERROR(X130/H130,"0")+IFERROR(X131/H131,"0")</f>
        <v>0</v>
      </c>
      <c r="Y132" s="543">
        <f>IFERROR(Y130/H130,"0")+IFERROR(Y131/H131,"0")</f>
        <v>0</v>
      </c>
      <c r="Z132" s="543">
        <f>IFERROR(IF(Z130="",0,Z130),"0")+IFERROR(IF(Z131="",0,Z131),"0")</f>
        <v>0</v>
      </c>
      <c r="AA132" s="544"/>
      <c r="AB132" s="544"/>
      <c r="AC132" s="544"/>
    </row>
    <row r="133" spans="1:68" hidden="1" x14ac:dyDescent="0.2">
      <c r="A133" s="546"/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53"/>
      <c r="P133" s="549" t="s">
        <v>71</v>
      </c>
      <c r="Q133" s="550"/>
      <c r="R133" s="550"/>
      <c r="S133" s="550"/>
      <c r="T133" s="550"/>
      <c r="U133" s="550"/>
      <c r="V133" s="551"/>
      <c r="W133" s="37" t="s">
        <v>69</v>
      </c>
      <c r="X133" s="543">
        <f>IFERROR(SUM(X130:X131),"0")</f>
        <v>0</v>
      </c>
      <c r="Y133" s="543">
        <f>IFERROR(SUM(Y130:Y131),"0")</f>
        <v>0</v>
      </c>
      <c r="Z133" s="37"/>
      <c r="AA133" s="544"/>
      <c r="AB133" s="544"/>
      <c r="AC133" s="544"/>
    </row>
    <row r="134" spans="1:68" ht="14.25" hidden="1" customHeight="1" x14ac:dyDescent="0.25">
      <c r="A134" s="545" t="s">
        <v>73</v>
      </c>
      <c r="B134" s="546"/>
      <c r="C134" s="546"/>
      <c r="D134" s="546"/>
      <c r="E134" s="546"/>
      <c r="F134" s="546"/>
      <c r="G134" s="546"/>
      <c r="H134" s="546"/>
      <c r="I134" s="546"/>
      <c r="J134" s="546"/>
      <c r="K134" s="546"/>
      <c r="L134" s="546"/>
      <c r="M134" s="546"/>
      <c r="N134" s="546"/>
      <c r="O134" s="546"/>
      <c r="P134" s="546"/>
      <c r="Q134" s="546"/>
      <c r="R134" s="546"/>
      <c r="S134" s="546"/>
      <c r="T134" s="546"/>
      <c r="U134" s="546"/>
      <c r="V134" s="546"/>
      <c r="W134" s="546"/>
      <c r="X134" s="546"/>
      <c r="Y134" s="546"/>
      <c r="Z134" s="546"/>
      <c r="AA134" s="537"/>
      <c r="AB134" s="537"/>
      <c r="AC134" s="537"/>
    </row>
    <row r="135" spans="1:68" ht="16.5" hidden="1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7"/>
      <c r="R135" s="557"/>
      <c r="S135" s="557"/>
      <c r="T135" s="558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hidden="1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0">
        <v>0.33</v>
      </c>
      <c r="G136" s="32">
        <v>8</v>
      </c>
      <c r="H136" s="540">
        <v>2.64</v>
      </c>
      <c r="I136" s="540">
        <v>2.9079999999999999</v>
      </c>
      <c r="J136" s="32">
        <v>182</v>
      </c>
      <c r="K136" s="32" t="s">
        <v>76</v>
      </c>
      <c r="L136" s="32"/>
      <c r="M136" s="33" t="s">
        <v>94</v>
      </c>
      <c r="N136" s="33"/>
      <c r="O136" s="32">
        <v>60</v>
      </c>
      <c r="P136" s="8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7"/>
      <c r="R136" s="557"/>
      <c r="S136" s="557"/>
      <c r="T136" s="558"/>
      <c r="U136" s="34"/>
      <c r="V136" s="34"/>
      <c r="W136" s="35" t="s">
        <v>69</v>
      </c>
      <c r="X136" s="541">
        <v>0</v>
      </c>
      <c r="Y136" s="542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225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idden="1" x14ac:dyDescent="0.2">
      <c r="A137" s="552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3"/>
      <c r="P137" s="549" t="s">
        <v>71</v>
      </c>
      <c r="Q137" s="550"/>
      <c r="R137" s="550"/>
      <c r="S137" s="550"/>
      <c r="T137" s="550"/>
      <c r="U137" s="550"/>
      <c r="V137" s="551"/>
      <c r="W137" s="37" t="s">
        <v>72</v>
      </c>
      <c r="X137" s="543">
        <f>IFERROR(X135/H135,"0")+IFERROR(X136/H136,"0")</f>
        <v>0</v>
      </c>
      <c r="Y137" s="543">
        <f>IFERROR(Y135/H135,"0")+IFERROR(Y136/H136,"0")</f>
        <v>0</v>
      </c>
      <c r="Z137" s="543">
        <f>IFERROR(IF(Z135="",0,Z135),"0")+IFERROR(IF(Z136="",0,Z136),"0")</f>
        <v>0</v>
      </c>
      <c r="AA137" s="544"/>
      <c r="AB137" s="544"/>
      <c r="AC137" s="544"/>
    </row>
    <row r="138" spans="1:68" hidden="1" x14ac:dyDescent="0.2">
      <c r="A138" s="546"/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53"/>
      <c r="P138" s="549" t="s">
        <v>71</v>
      </c>
      <c r="Q138" s="550"/>
      <c r="R138" s="550"/>
      <c r="S138" s="550"/>
      <c r="T138" s="550"/>
      <c r="U138" s="550"/>
      <c r="V138" s="551"/>
      <c r="W138" s="37" t="s">
        <v>69</v>
      </c>
      <c r="X138" s="543">
        <f>IFERROR(SUM(X135:X136),"0")</f>
        <v>0</v>
      </c>
      <c r="Y138" s="543">
        <f>IFERROR(SUM(Y135:Y136),"0")</f>
        <v>0</v>
      </c>
      <c r="Z138" s="37"/>
      <c r="AA138" s="544"/>
      <c r="AB138" s="544"/>
      <c r="AC138" s="544"/>
    </row>
    <row r="139" spans="1:68" ht="16.5" hidden="1" customHeight="1" x14ac:dyDescent="0.25">
      <c r="A139" s="574" t="s">
        <v>97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6"/>
      <c r="AB139" s="536"/>
      <c r="AC139" s="536"/>
    </row>
    <row r="140" spans="1:68" ht="14.25" hidden="1" customHeight="1" x14ac:dyDescent="0.25">
      <c r="A140" s="545" t="s">
        <v>99</v>
      </c>
      <c r="B140" s="546"/>
      <c r="C140" s="546"/>
      <c r="D140" s="546"/>
      <c r="E140" s="546"/>
      <c r="F140" s="546"/>
      <c r="G140" s="546"/>
      <c r="H140" s="546"/>
      <c r="I140" s="546"/>
      <c r="J140" s="546"/>
      <c r="K140" s="546"/>
      <c r="L140" s="546"/>
      <c r="M140" s="546"/>
      <c r="N140" s="546"/>
      <c r="O140" s="546"/>
      <c r="P140" s="546"/>
      <c r="Q140" s="546"/>
      <c r="R140" s="546"/>
      <c r="S140" s="546"/>
      <c r="T140" s="546"/>
      <c r="U140" s="546"/>
      <c r="V140" s="546"/>
      <c r="W140" s="546"/>
      <c r="X140" s="546"/>
      <c r="Y140" s="546"/>
      <c r="Z140" s="546"/>
      <c r="AA140" s="537"/>
      <c r="AB140" s="537"/>
      <c r="AC140" s="537"/>
    </row>
    <row r="141" spans="1:68" ht="27" hidden="1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0">
        <v>1.6</v>
      </c>
      <c r="G141" s="32">
        <v>8</v>
      </c>
      <c r="H141" s="540">
        <v>12.8</v>
      </c>
      <c r="I141" s="540">
        <v>13.234999999999999</v>
      </c>
      <c r="J141" s="32">
        <v>64</v>
      </c>
      <c r="K141" s="32" t="s">
        <v>102</v>
      </c>
      <c r="L141" s="32"/>
      <c r="M141" s="33" t="s">
        <v>104</v>
      </c>
      <c r="N141" s="33"/>
      <c r="O141" s="32">
        <v>55</v>
      </c>
      <c r="P141" s="73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7"/>
      <c r="R141" s="557"/>
      <c r="S141" s="557"/>
      <c r="T141" s="558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0">
        <v>0.4</v>
      </c>
      <c r="G142" s="32">
        <v>10</v>
      </c>
      <c r="H142" s="540">
        <v>4</v>
      </c>
      <c r="I142" s="540">
        <v>4.21</v>
      </c>
      <c r="J142" s="32">
        <v>132</v>
      </c>
      <c r="K142" s="32" t="s">
        <v>109</v>
      </c>
      <c r="L142" s="32"/>
      <c r="M142" s="33" t="s">
        <v>104</v>
      </c>
      <c r="N142" s="33"/>
      <c r="O142" s="32">
        <v>50</v>
      </c>
      <c r="P142" s="6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7"/>
      <c r="R142" s="557"/>
      <c r="S142" s="557"/>
      <c r="T142" s="558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IFERROR(IF(Y142=0,"",ROUNDUP(Y142/H142,0)*0.00902),"")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0">
        <v>0.3</v>
      </c>
      <c r="G143" s="32">
        <v>10</v>
      </c>
      <c r="H143" s="540">
        <v>3</v>
      </c>
      <c r="I143" s="540">
        <v>3.18</v>
      </c>
      <c r="J143" s="32">
        <v>182</v>
      </c>
      <c r="K143" s="32" t="s">
        <v>76</v>
      </c>
      <c r="L143" s="32"/>
      <c r="M143" s="33" t="s">
        <v>104</v>
      </c>
      <c r="N143" s="33"/>
      <c r="O143" s="32">
        <v>55</v>
      </c>
      <c r="P143" s="738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7"/>
      <c r="R143" s="557"/>
      <c r="S143" s="557"/>
      <c r="T143" s="558"/>
      <c r="U143" s="34"/>
      <c r="V143" s="34"/>
      <c r="W143" s="35" t="s">
        <v>69</v>
      </c>
      <c r="X143" s="541">
        <v>0</v>
      </c>
      <c r="Y143" s="542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52"/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53"/>
      <c r="P144" s="549" t="s">
        <v>71</v>
      </c>
      <c r="Q144" s="550"/>
      <c r="R144" s="550"/>
      <c r="S144" s="550"/>
      <c r="T144" s="550"/>
      <c r="U144" s="550"/>
      <c r="V144" s="551"/>
      <c r="W144" s="37" t="s">
        <v>72</v>
      </c>
      <c r="X144" s="543">
        <f>IFERROR(X141/H141,"0")+IFERROR(X142/H142,"0")+IFERROR(X143/H143,"0")</f>
        <v>0</v>
      </c>
      <c r="Y144" s="543">
        <f>IFERROR(Y141/H141,"0")+IFERROR(Y142/H142,"0")+IFERROR(Y143/H143,"0")</f>
        <v>0</v>
      </c>
      <c r="Z144" s="543">
        <f>IFERROR(IF(Z141="",0,Z141),"0")+IFERROR(IF(Z142="",0,Z142),"0")+IFERROR(IF(Z143="",0,Z143),"0")</f>
        <v>0</v>
      </c>
      <c r="AA144" s="544"/>
      <c r="AB144" s="544"/>
      <c r="AC144" s="544"/>
    </row>
    <row r="145" spans="1:68" hidden="1" x14ac:dyDescent="0.2">
      <c r="A145" s="546"/>
      <c r="B145" s="546"/>
      <c r="C145" s="546"/>
      <c r="D145" s="546"/>
      <c r="E145" s="546"/>
      <c r="F145" s="546"/>
      <c r="G145" s="546"/>
      <c r="H145" s="546"/>
      <c r="I145" s="546"/>
      <c r="J145" s="546"/>
      <c r="K145" s="546"/>
      <c r="L145" s="546"/>
      <c r="M145" s="546"/>
      <c r="N145" s="546"/>
      <c r="O145" s="553"/>
      <c r="P145" s="549" t="s">
        <v>71</v>
      </c>
      <c r="Q145" s="550"/>
      <c r="R145" s="550"/>
      <c r="S145" s="550"/>
      <c r="T145" s="550"/>
      <c r="U145" s="550"/>
      <c r="V145" s="551"/>
      <c r="W145" s="37" t="s">
        <v>69</v>
      </c>
      <c r="X145" s="543">
        <f>IFERROR(SUM(X141:X143),"0")</f>
        <v>0</v>
      </c>
      <c r="Y145" s="543">
        <f>IFERROR(SUM(Y141:Y143),"0")</f>
        <v>0</v>
      </c>
      <c r="Z145" s="37"/>
      <c r="AA145" s="544"/>
      <c r="AB145" s="544"/>
      <c r="AC145" s="544"/>
    </row>
    <row r="146" spans="1:68" ht="14.25" hidden="1" customHeight="1" x14ac:dyDescent="0.25">
      <c r="A146" s="545" t="s">
        <v>64</v>
      </c>
      <c r="B146" s="546"/>
      <c r="C146" s="546"/>
      <c r="D146" s="546"/>
      <c r="E146" s="546"/>
      <c r="F146" s="546"/>
      <c r="G146" s="546"/>
      <c r="H146" s="546"/>
      <c r="I146" s="546"/>
      <c r="J146" s="546"/>
      <c r="K146" s="546"/>
      <c r="L146" s="546"/>
      <c r="M146" s="546"/>
      <c r="N146" s="546"/>
      <c r="O146" s="546"/>
      <c r="P146" s="546"/>
      <c r="Q146" s="546"/>
      <c r="R146" s="546"/>
      <c r="S146" s="546"/>
      <c r="T146" s="546"/>
      <c r="U146" s="546"/>
      <c r="V146" s="546"/>
      <c r="W146" s="546"/>
      <c r="X146" s="546"/>
      <c r="Y146" s="546"/>
      <c r="Z146" s="546"/>
      <c r="AA146" s="537"/>
      <c r="AB146" s="537"/>
      <c r="AC146" s="537"/>
    </row>
    <row r="147" spans="1:68" ht="16.5" hidden="1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0">
        <v>0.9</v>
      </c>
      <c r="G147" s="32">
        <v>10</v>
      </c>
      <c r="H147" s="540">
        <v>9</v>
      </c>
      <c r="I147" s="540">
        <v>9.5850000000000009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5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7"/>
      <c r="R147" s="557"/>
      <c r="S147" s="557"/>
      <c r="T147" s="558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0">
        <v>0.7</v>
      </c>
      <c r="G148" s="32">
        <v>6</v>
      </c>
      <c r="H148" s="540">
        <v>4.2</v>
      </c>
      <c r="I148" s="540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563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7"/>
      <c r="R148" s="557"/>
      <c r="S148" s="557"/>
      <c r="T148" s="558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0">
        <v>0.9</v>
      </c>
      <c r="G149" s="32">
        <v>10</v>
      </c>
      <c r="H149" s="540">
        <v>9</v>
      </c>
      <c r="I149" s="540">
        <v>9.5850000000000009</v>
      </c>
      <c r="J149" s="32">
        <v>64</v>
      </c>
      <c r="K149" s="32" t="s">
        <v>102</v>
      </c>
      <c r="L149" s="32"/>
      <c r="M149" s="33" t="s">
        <v>68</v>
      </c>
      <c r="N149" s="33"/>
      <c r="O149" s="32">
        <v>40</v>
      </c>
      <c r="P149" s="85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7"/>
      <c r="R149" s="557"/>
      <c r="S149" s="557"/>
      <c r="T149" s="558"/>
      <c r="U149" s="34"/>
      <c r="V149" s="34"/>
      <c r="W149" s="35" t="s">
        <v>69</v>
      </c>
      <c r="X149" s="541">
        <v>0</v>
      </c>
      <c r="Y149" s="542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idden="1" x14ac:dyDescent="0.2">
      <c r="A150" s="552"/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53"/>
      <c r="P150" s="549" t="s">
        <v>71</v>
      </c>
      <c r="Q150" s="550"/>
      <c r="R150" s="550"/>
      <c r="S150" s="550"/>
      <c r="T150" s="550"/>
      <c r="U150" s="550"/>
      <c r="V150" s="551"/>
      <c r="W150" s="37" t="s">
        <v>72</v>
      </c>
      <c r="X150" s="543">
        <f>IFERROR(X147/H147,"0")+IFERROR(X148/H148,"0")+IFERROR(X149/H149,"0")</f>
        <v>0</v>
      </c>
      <c r="Y150" s="543">
        <f>IFERROR(Y147/H147,"0")+IFERROR(Y148/H148,"0")+IFERROR(Y149/H149,"0")</f>
        <v>0</v>
      </c>
      <c r="Z150" s="543">
        <f>IFERROR(IF(Z147="",0,Z147),"0")+IFERROR(IF(Z148="",0,Z148),"0")+IFERROR(IF(Z149="",0,Z149),"0")</f>
        <v>0</v>
      </c>
      <c r="AA150" s="544"/>
      <c r="AB150" s="544"/>
      <c r="AC150" s="544"/>
    </row>
    <row r="151" spans="1:68" hidden="1" x14ac:dyDescent="0.2">
      <c r="A151" s="546"/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53"/>
      <c r="P151" s="549" t="s">
        <v>71</v>
      </c>
      <c r="Q151" s="550"/>
      <c r="R151" s="550"/>
      <c r="S151" s="550"/>
      <c r="T151" s="550"/>
      <c r="U151" s="550"/>
      <c r="V151" s="551"/>
      <c r="W151" s="37" t="s">
        <v>69</v>
      </c>
      <c r="X151" s="543">
        <f>IFERROR(SUM(X147:X149),"0")</f>
        <v>0</v>
      </c>
      <c r="Y151" s="543">
        <f>IFERROR(SUM(Y147:Y149),"0")</f>
        <v>0</v>
      </c>
      <c r="Z151" s="37"/>
      <c r="AA151" s="544"/>
      <c r="AB151" s="544"/>
      <c r="AC151" s="544"/>
    </row>
    <row r="152" spans="1:68" ht="14.25" hidden="1" customHeight="1" x14ac:dyDescent="0.25">
      <c r="A152" s="545" t="s">
        <v>73</v>
      </c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46"/>
      <c r="P152" s="546"/>
      <c r="Q152" s="546"/>
      <c r="R152" s="546"/>
      <c r="S152" s="546"/>
      <c r="T152" s="546"/>
      <c r="U152" s="546"/>
      <c r="V152" s="546"/>
      <c r="W152" s="546"/>
      <c r="X152" s="546"/>
      <c r="Y152" s="546"/>
      <c r="Z152" s="546"/>
      <c r="AA152" s="537"/>
      <c r="AB152" s="537"/>
      <c r="AC152" s="537"/>
    </row>
    <row r="153" spans="1:68" ht="27" hidden="1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0">
        <v>0.3</v>
      </c>
      <c r="G153" s="32">
        <v>6</v>
      </c>
      <c r="H153" s="540">
        <v>1.8</v>
      </c>
      <c r="I153" s="540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28" t="s">
        <v>255</v>
      </c>
      <c r="Q153" s="557"/>
      <c r="R153" s="557"/>
      <c r="S153" s="557"/>
      <c r="T153" s="558"/>
      <c r="U153" s="34"/>
      <c r="V153" s="34"/>
      <c r="W153" s="35" t="s">
        <v>69</v>
      </c>
      <c r="X153" s="541">
        <v>0</v>
      </c>
      <c r="Y153" s="542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idden="1" x14ac:dyDescent="0.2">
      <c r="A154" s="552"/>
      <c r="B154" s="546"/>
      <c r="C154" s="546"/>
      <c r="D154" s="546"/>
      <c r="E154" s="546"/>
      <c r="F154" s="546"/>
      <c r="G154" s="546"/>
      <c r="H154" s="546"/>
      <c r="I154" s="546"/>
      <c r="J154" s="546"/>
      <c r="K154" s="546"/>
      <c r="L154" s="546"/>
      <c r="M154" s="546"/>
      <c r="N154" s="546"/>
      <c r="O154" s="553"/>
      <c r="P154" s="549" t="s">
        <v>71</v>
      </c>
      <c r="Q154" s="550"/>
      <c r="R154" s="550"/>
      <c r="S154" s="550"/>
      <c r="T154" s="550"/>
      <c r="U154" s="550"/>
      <c r="V154" s="551"/>
      <c r="W154" s="37" t="s">
        <v>72</v>
      </c>
      <c r="X154" s="543">
        <f>IFERROR(X153/H153,"0")</f>
        <v>0</v>
      </c>
      <c r="Y154" s="543">
        <f>IFERROR(Y153/H153,"0")</f>
        <v>0</v>
      </c>
      <c r="Z154" s="543">
        <f>IFERROR(IF(Z153="",0,Z153),"0")</f>
        <v>0</v>
      </c>
      <c r="AA154" s="544"/>
      <c r="AB154" s="544"/>
      <c r="AC154" s="544"/>
    </row>
    <row r="155" spans="1:68" hidden="1" x14ac:dyDescent="0.2">
      <c r="A155" s="546"/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53"/>
      <c r="P155" s="549" t="s">
        <v>71</v>
      </c>
      <c r="Q155" s="550"/>
      <c r="R155" s="550"/>
      <c r="S155" s="550"/>
      <c r="T155" s="550"/>
      <c r="U155" s="550"/>
      <c r="V155" s="551"/>
      <c r="W155" s="37" t="s">
        <v>69</v>
      </c>
      <c r="X155" s="543">
        <f>IFERROR(SUM(X153:X153),"0")</f>
        <v>0</v>
      </c>
      <c r="Y155" s="543">
        <f>IFERROR(SUM(Y153:Y153),"0")</f>
        <v>0</v>
      </c>
      <c r="Z155" s="37"/>
      <c r="AA155" s="544"/>
      <c r="AB155" s="544"/>
      <c r="AC155" s="544"/>
    </row>
    <row r="156" spans="1:68" ht="27.75" hidden="1" customHeight="1" x14ac:dyDescent="0.2">
      <c r="A156" s="644" t="s">
        <v>257</v>
      </c>
      <c r="B156" s="645"/>
      <c r="C156" s="645"/>
      <c r="D156" s="645"/>
      <c r="E156" s="645"/>
      <c r="F156" s="645"/>
      <c r="G156" s="645"/>
      <c r="H156" s="645"/>
      <c r="I156" s="645"/>
      <c r="J156" s="645"/>
      <c r="K156" s="645"/>
      <c r="L156" s="645"/>
      <c r="M156" s="645"/>
      <c r="N156" s="645"/>
      <c r="O156" s="645"/>
      <c r="P156" s="645"/>
      <c r="Q156" s="645"/>
      <c r="R156" s="645"/>
      <c r="S156" s="645"/>
      <c r="T156" s="645"/>
      <c r="U156" s="645"/>
      <c r="V156" s="645"/>
      <c r="W156" s="645"/>
      <c r="X156" s="645"/>
      <c r="Y156" s="645"/>
      <c r="Z156" s="645"/>
      <c r="AA156" s="48"/>
      <c r="AB156" s="48"/>
      <c r="AC156" s="48"/>
    </row>
    <row r="157" spans="1:68" ht="16.5" hidden="1" customHeight="1" x14ac:dyDescent="0.25">
      <c r="A157" s="574" t="s">
        <v>258</v>
      </c>
      <c r="B157" s="546"/>
      <c r="C157" s="546"/>
      <c r="D157" s="546"/>
      <c r="E157" s="546"/>
      <c r="F157" s="546"/>
      <c r="G157" s="546"/>
      <c r="H157" s="546"/>
      <c r="I157" s="546"/>
      <c r="J157" s="546"/>
      <c r="K157" s="546"/>
      <c r="L157" s="546"/>
      <c r="M157" s="546"/>
      <c r="N157" s="546"/>
      <c r="O157" s="546"/>
      <c r="P157" s="546"/>
      <c r="Q157" s="546"/>
      <c r="R157" s="546"/>
      <c r="S157" s="546"/>
      <c r="T157" s="546"/>
      <c r="U157" s="546"/>
      <c r="V157" s="546"/>
      <c r="W157" s="546"/>
      <c r="X157" s="546"/>
      <c r="Y157" s="546"/>
      <c r="Z157" s="546"/>
      <c r="AA157" s="536"/>
      <c r="AB157" s="536"/>
      <c r="AC157" s="536"/>
    </row>
    <row r="158" spans="1:68" ht="14.25" hidden="1" customHeight="1" x14ac:dyDescent="0.25">
      <c r="A158" s="545" t="s">
        <v>135</v>
      </c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46"/>
      <c r="P158" s="546"/>
      <c r="Q158" s="546"/>
      <c r="R158" s="546"/>
      <c r="S158" s="546"/>
      <c r="T158" s="546"/>
      <c r="U158" s="546"/>
      <c r="V158" s="546"/>
      <c r="W158" s="546"/>
      <c r="X158" s="546"/>
      <c r="Y158" s="546"/>
      <c r="Z158" s="546"/>
      <c r="AA158" s="537"/>
      <c r="AB158" s="537"/>
      <c r="AC158" s="537"/>
    </row>
    <row r="159" spans="1:68" ht="27" hidden="1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0">
        <v>0.33</v>
      </c>
      <c r="G159" s="32">
        <v>6</v>
      </c>
      <c r="H159" s="540">
        <v>1.98</v>
      </c>
      <c r="I159" s="540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7"/>
      <c r="R159" s="557"/>
      <c r="S159" s="557"/>
      <c r="T159" s="558"/>
      <c r="U159" s="34"/>
      <c r="V159" s="34"/>
      <c r="W159" s="35" t="s">
        <v>69</v>
      </c>
      <c r="X159" s="541">
        <v>0</v>
      </c>
      <c r="Y159" s="542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552"/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53"/>
      <c r="P160" s="549" t="s">
        <v>71</v>
      </c>
      <c r="Q160" s="550"/>
      <c r="R160" s="550"/>
      <c r="S160" s="550"/>
      <c r="T160" s="550"/>
      <c r="U160" s="550"/>
      <c r="V160" s="551"/>
      <c r="W160" s="37" t="s">
        <v>72</v>
      </c>
      <c r="X160" s="543">
        <f>IFERROR(X159/H159,"0")</f>
        <v>0</v>
      </c>
      <c r="Y160" s="543">
        <f>IFERROR(Y159/H159,"0")</f>
        <v>0</v>
      </c>
      <c r="Z160" s="543">
        <f>IFERROR(IF(Z159="",0,Z159),"0")</f>
        <v>0</v>
      </c>
      <c r="AA160" s="544"/>
      <c r="AB160" s="544"/>
      <c r="AC160" s="544"/>
    </row>
    <row r="161" spans="1:68" hidden="1" x14ac:dyDescent="0.2">
      <c r="A161" s="546"/>
      <c r="B161" s="546"/>
      <c r="C161" s="546"/>
      <c r="D161" s="546"/>
      <c r="E161" s="546"/>
      <c r="F161" s="546"/>
      <c r="G161" s="546"/>
      <c r="H161" s="546"/>
      <c r="I161" s="546"/>
      <c r="J161" s="546"/>
      <c r="K161" s="546"/>
      <c r="L161" s="546"/>
      <c r="M161" s="546"/>
      <c r="N161" s="546"/>
      <c r="O161" s="553"/>
      <c r="P161" s="549" t="s">
        <v>71</v>
      </c>
      <c r="Q161" s="550"/>
      <c r="R161" s="550"/>
      <c r="S161" s="550"/>
      <c r="T161" s="550"/>
      <c r="U161" s="550"/>
      <c r="V161" s="551"/>
      <c r="W161" s="37" t="s">
        <v>69</v>
      </c>
      <c r="X161" s="543">
        <f>IFERROR(SUM(X159:X159),"0")</f>
        <v>0</v>
      </c>
      <c r="Y161" s="543">
        <f>IFERROR(SUM(Y159:Y159),"0")</f>
        <v>0</v>
      </c>
      <c r="Z161" s="37"/>
      <c r="AA161" s="544"/>
      <c r="AB161" s="544"/>
      <c r="AC161" s="544"/>
    </row>
    <row r="162" spans="1:68" ht="14.25" hidden="1" customHeight="1" x14ac:dyDescent="0.25">
      <c r="A162" s="545" t="s">
        <v>64</v>
      </c>
      <c r="B162" s="546"/>
      <c r="C162" s="546"/>
      <c r="D162" s="546"/>
      <c r="E162" s="546"/>
      <c r="F162" s="546"/>
      <c r="G162" s="546"/>
      <c r="H162" s="546"/>
      <c r="I162" s="546"/>
      <c r="J162" s="546"/>
      <c r="K162" s="546"/>
      <c r="L162" s="546"/>
      <c r="M162" s="546"/>
      <c r="N162" s="546"/>
      <c r="O162" s="546"/>
      <c r="P162" s="546"/>
      <c r="Q162" s="546"/>
      <c r="R162" s="546"/>
      <c r="S162" s="546"/>
      <c r="T162" s="546"/>
      <c r="U162" s="546"/>
      <c r="V162" s="546"/>
      <c r="W162" s="546"/>
      <c r="X162" s="546"/>
      <c r="Y162" s="546"/>
      <c r="Z162" s="546"/>
      <c r="AA162" s="537"/>
      <c r="AB162" s="537"/>
      <c r="AC162" s="537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0">
        <v>0.7</v>
      </c>
      <c r="G163" s="32">
        <v>6</v>
      </c>
      <c r="H163" s="540">
        <v>4.2</v>
      </c>
      <c r="I163" s="540">
        <v>4.47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7"/>
      <c r="R163" s="557"/>
      <c r="S163" s="557"/>
      <c r="T163" s="558"/>
      <c r="U163" s="34"/>
      <c r="V163" s="34"/>
      <c r="W163" s="35" t="s">
        <v>69</v>
      </c>
      <c r="X163" s="541">
        <v>100</v>
      </c>
      <c r="Y163" s="542">
        <f t="shared" ref="Y163:Y171" si="5">IFERROR(IF(X163="",0,CEILING((X163/$H163),1)*$H163),"")</f>
        <v>100.80000000000001</v>
      </c>
      <c r="Z163" s="36">
        <f>IFERROR(IF(Y163=0,"",ROUNDUP(Y163/H163,0)*0.00902),"")</f>
        <v>0.21648000000000001</v>
      </c>
      <c r="AA163" s="56"/>
      <c r="AB163" s="57"/>
      <c r="AC163" s="195" t="s">
        <v>264</v>
      </c>
      <c r="AG163" s="64"/>
      <c r="AJ163" s="68" t="s">
        <v>106</v>
      </c>
      <c r="AK163" s="68">
        <v>50.4</v>
      </c>
      <c r="BB163" s="196" t="s">
        <v>1</v>
      </c>
      <c r="BM163" s="64">
        <f t="shared" ref="BM163:BM171" si="6">IFERROR(X163*I163/H163,"0")</f>
        <v>106.42857142857143</v>
      </c>
      <c r="BN163" s="64">
        <f t="shared" ref="BN163:BN171" si="7">IFERROR(Y163*I163/H163,"0")</f>
        <v>107.28</v>
      </c>
      <c r="BO163" s="64">
        <f t="shared" ref="BO163:BO171" si="8">IFERROR(1/J163*(X163/H163),"0")</f>
        <v>0.18037518037518038</v>
      </c>
      <c r="BP163" s="64">
        <f t="shared" ref="BP163:BP171" si="9">IFERROR(1/J163*(Y163/H163),"0")</f>
        <v>0.18181818181818182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0">
        <v>0.7</v>
      </c>
      <c r="G164" s="32">
        <v>6</v>
      </c>
      <c r="H164" s="540">
        <v>4.2</v>
      </c>
      <c r="I164" s="540">
        <v>4.47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7"/>
      <c r="R164" s="557"/>
      <c r="S164" s="557"/>
      <c r="T164" s="558"/>
      <c r="U164" s="34"/>
      <c r="V164" s="34"/>
      <c r="W164" s="35" t="s">
        <v>69</v>
      </c>
      <c r="X164" s="541">
        <v>20</v>
      </c>
      <c r="Y164" s="542">
        <f t="shared" si="5"/>
        <v>21</v>
      </c>
      <c r="Z164" s="36">
        <f>IFERROR(IF(Y164=0,"",ROUNDUP(Y164/H164,0)*0.00902),"")</f>
        <v>4.5100000000000001E-2</v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21.285714285714281</v>
      </c>
      <c r="BN164" s="64">
        <f t="shared" si="7"/>
        <v>22.349999999999998</v>
      </c>
      <c r="BO164" s="64">
        <f t="shared" si="8"/>
        <v>3.6075036075036072E-2</v>
      </c>
      <c r="BP164" s="64">
        <f t="shared" si="9"/>
        <v>3.787878787878788E-2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0">
        <v>0.7</v>
      </c>
      <c r="G165" s="32">
        <v>6</v>
      </c>
      <c r="H165" s="540">
        <v>4.2</v>
      </c>
      <c r="I165" s="540">
        <v>4.41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7"/>
      <c r="R165" s="557"/>
      <c r="S165" s="557"/>
      <c r="T165" s="558"/>
      <c r="U165" s="34"/>
      <c r="V165" s="34"/>
      <c r="W165" s="35" t="s">
        <v>69</v>
      </c>
      <c r="X165" s="541">
        <v>50</v>
      </c>
      <c r="Y165" s="542">
        <f t="shared" si="5"/>
        <v>50.400000000000006</v>
      </c>
      <c r="Z165" s="36">
        <f>IFERROR(IF(Y165=0,"",ROUNDUP(Y165/H165,0)*0.00902),"")</f>
        <v>0.10824</v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52.5</v>
      </c>
      <c r="BN165" s="64">
        <f t="shared" si="7"/>
        <v>52.920000000000009</v>
      </c>
      <c r="BO165" s="64">
        <f t="shared" si="8"/>
        <v>9.0187590187590191E-2</v>
      </c>
      <c r="BP165" s="64">
        <f t="shared" si="9"/>
        <v>9.0909090909090912E-2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7"/>
      <c r="R166" s="557"/>
      <c r="S166" s="557"/>
      <c r="T166" s="558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264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7"/>
      <c r="R167" s="557"/>
      <c r="S167" s="557"/>
      <c r="T167" s="558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 t="s">
        <v>273</v>
      </c>
      <c r="M168" s="33" t="s">
        <v>68</v>
      </c>
      <c r="N168" s="33"/>
      <c r="O168" s="32">
        <v>40</v>
      </c>
      <c r="P168" s="6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7"/>
      <c r="R168" s="557"/>
      <c r="S168" s="557"/>
      <c r="T168" s="558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 t="s">
        <v>106</v>
      </c>
      <c r="AK168" s="68">
        <v>32.4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7"/>
      <c r="R169" s="557"/>
      <c r="S169" s="557"/>
      <c r="T169" s="558"/>
      <c r="U169" s="34"/>
      <c r="V169" s="34"/>
      <c r="W169" s="35" t="s">
        <v>69</v>
      </c>
      <c r="X169" s="541">
        <v>8.3999999999999986</v>
      </c>
      <c r="Y169" s="542">
        <f t="shared" si="5"/>
        <v>8.4</v>
      </c>
      <c r="Z169" s="36">
        <f>IFERROR(IF(Y169=0,"",ROUNDUP(Y169/H169,0)*0.00502),"")</f>
        <v>2.0080000000000001E-2</v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8.7999999999999989</v>
      </c>
      <c r="BN169" s="64">
        <f t="shared" si="7"/>
        <v>8.8000000000000007</v>
      </c>
      <c r="BO169" s="64">
        <f t="shared" si="8"/>
        <v>1.7094017094017092E-2</v>
      </c>
      <c r="BP169" s="64">
        <f t="shared" si="9"/>
        <v>1.7094017094017096E-2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7"/>
      <c r="R170" s="557"/>
      <c r="S170" s="557"/>
      <c r="T170" s="558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7"/>
      <c r="R171" s="557"/>
      <c r="S171" s="557"/>
      <c r="T171" s="558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2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3"/>
      <c r="P172" s="549" t="s">
        <v>71</v>
      </c>
      <c r="Q172" s="550"/>
      <c r="R172" s="550"/>
      <c r="S172" s="550"/>
      <c r="T172" s="550"/>
      <c r="U172" s="550"/>
      <c r="V172" s="551"/>
      <c r="W172" s="37" t="s">
        <v>72</v>
      </c>
      <c r="X172" s="543">
        <f>IFERROR(X163/H163,"0")+IFERROR(X164/H164,"0")+IFERROR(X165/H165,"0")+IFERROR(X166/H166,"0")+IFERROR(X167/H167,"0")+IFERROR(X168/H168,"0")+IFERROR(X169/H169,"0")+IFERROR(X170/H170,"0")+IFERROR(X171/H171,"0")</f>
        <v>44.476190476190482</v>
      </c>
      <c r="Y172" s="543">
        <f>IFERROR(Y163/H163,"0")+IFERROR(Y164/H164,"0")+IFERROR(Y165/H165,"0")+IFERROR(Y166/H166,"0")+IFERROR(Y167/H167,"0")+IFERROR(Y168/H168,"0")+IFERROR(Y169/H169,"0")+IFERROR(Y170/H170,"0")+IFERROR(Y171/H171,"0")</f>
        <v>45</v>
      </c>
      <c r="Z172" s="543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0.38990000000000002</v>
      </c>
      <c r="AA172" s="544"/>
      <c r="AB172" s="544"/>
      <c r="AC172" s="544"/>
    </row>
    <row r="173" spans="1:68" x14ac:dyDescent="0.2">
      <c r="A173" s="546"/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53"/>
      <c r="P173" s="549" t="s">
        <v>71</v>
      </c>
      <c r="Q173" s="550"/>
      <c r="R173" s="550"/>
      <c r="S173" s="550"/>
      <c r="T173" s="550"/>
      <c r="U173" s="550"/>
      <c r="V173" s="551"/>
      <c r="W173" s="37" t="s">
        <v>69</v>
      </c>
      <c r="X173" s="543">
        <f>IFERROR(SUM(X163:X171),"0")</f>
        <v>178.4</v>
      </c>
      <c r="Y173" s="543">
        <f>IFERROR(SUM(Y163:Y171),"0")</f>
        <v>180.60000000000002</v>
      </c>
      <c r="Z173" s="37"/>
      <c r="AA173" s="544"/>
      <c r="AB173" s="544"/>
      <c r="AC173" s="544"/>
    </row>
    <row r="174" spans="1:68" ht="14.25" hidden="1" customHeight="1" x14ac:dyDescent="0.25">
      <c r="A174" s="545" t="s">
        <v>91</v>
      </c>
      <c r="B174" s="546"/>
      <c r="C174" s="546"/>
      <c r="D174" s="546"/>
      <c r="E174" s="546"/>
      <c r="F174" s="546"/>
      <c r="G174" s="546"/>
      <c r="H174" s="546"/>
      <c r="I174" s="546"/>
      <c r="J174" s="546"/>
      <c r="K174" s="546"/>
      <c r="L174" s="546"/>
      <c r="M174" s="546"/>
      <c r="N174" s="546"/>
      <c r="O174" s="546"/>
      <c r="P174" s="546"/>
      <c r="Q174" s="546"/>
      <c r="R174" s="546"/>
      <c r="S174" s="546"/>
      <c r="T174" s="546"/>
      <c r="U174" s="546"/>
      <c r="V174" s="546"/>
      <c r="W174" s="546"/>
      <c r="X174" s="546"/>
      <c r="Y174" s="546"/>
      <c r="Z174" s="546"/>
      <c r="AA174" s="537"/>
      <c r="AB174" s="537"/>
      <c r="AC174" s="537"/>
    </row>
    <row r="175" spans="1:68" ht="27" hidden="1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7"/>
      <c r="R175" s="557"/>
      <c r="S175" s="557"/>
      <c r="T175" s="558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79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7"/>
      <c r="R176" s="557"/>
      <c r="S176" s="557"/>
      <c r="T176" s="558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7"/>
      <c r="R177" s="557"/>
      <c r="S177" s="557"/>
      <c r="T177" s="558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2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3"/>
      <c r="P178" s="549" t="s">
        <v>71</v>
      </c>
      <c r="Q178" s="550"/>
      <c r="R178" s="550"/>
      <c r="S178" s="550"/>
      <c r="T178" s="550"/>
      <c r="U178" s="550"/>
      <c r="V178" s="551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hidden="1" x14ac:dyDescent="0.2">
      <c r="A179" s="546"/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53"/>
      <c r="P179" s="549" t="s">
        <v>71</v>
      </c>
      <c r="Q179" s="550"/>
      <c r="R179" s="550"/>
      <c r="S179" s="550"/>
      <c r="T179" s="550"/>
      <c r="U179" s="550"/>
      <c r="V179" s="551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hidden="1" customHeight="1" x14ac:dyDescent="0.25">
      <c r="A180" s="545" t="s">
        <v>296</v>
      </c>
      <c r="B180" s="546"/>
      <c r="C180" s="546"/>
      <c r="D180" s="546"/>
      <c r="E180" s="546"/>
      <c r="F180" s="546"/>
      <c r="G180" s="546"/>
      <c r="H180" s="546"/>
      <c r="I180" s="546"/>
      <c r="J180" s="546"/>
      <c r="K180" s="546"/>
      <c r="L180" s="546"/>
      <c r="M180" s="546"/>
      <c r="N180" s="546"/>
      <c r="O180" s="546"/>
      <c r="P180" s="546"/>
      <c r="Q180" s="546"/>
      <c r="R180" s="546"/>
      <c r="S180" s="546"/>
      <c r="T180" s="546"/>
      <c r="U180" s="546"/>
      <c r="V180" s="546"/>
      <c r="W180" s="546"/>
      <c r="X180" s="546"/>
      <c r="Y180" s="546"/>
      <c r="Z180" s="546"/>
      <c r="AA180" s="537"/>
      <c r="AB180" s="537"/>
      <c r="AC180" s="537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3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7"/>
      <c r="R181" s="557"/>
      <c r="S181" s="557"/>
      <c r="T181" s="558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2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3"/>
      <c r="P182" s="549" t="s">
        <v>71</v>
      </c>
      <c r="Q182" s="550"/>
      <c r="R182" s="550"/>
      <c r="S182" s="550"/>
      <c r="T182" s="550"/>
      <c r="U182" s="550"/>
      <c r="V182" s="551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hidden="1" x14ac:dyDescent="0.2">
      <c r="A183" s="546"/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53"/>
      <c r="P183" s="549" t="s">
        <v>71</v>
      </c>
      <c r="Q183" s="550"/>
      <c r="R183" s="550"/>
      <c r="S183" s="550"/>
      <c r="T183" s="550"/>
      <c r="U183" s="550"/>
      <c r="V183" s="551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hidden="1" customHeight="1" x14ac:dyDescent="0.25">
      <c r="A184" s="574" t="s">
        <v>299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6"/>
      <c r="AB184" s="536"/>
      <c r="AC184" s="536"/>
    </row>
    <row r="185" spans="1:68" ht="14.25" hidden="1" customHeight="1" x14ac:dyDescent="0.25">
      <c r="A185" s="545" t="s">
        <v>99</v>
      </c>
      <c r="B185" s="546"/>
      <c r="C185" s="546"/>
      <c r="D185" s="546"/>
      <c r="E185" s="546"/>
      <c r="F185" s="546"/>
      <c r="G185" s="546"/>
      <c r="H185" s="546"/>
      <c r="I185" s="546"/>
      <c r="J185" s="546"/>
      <c r="K185" s="546"/>
      <c r="L185" s="546"/>
      <c r="M185" s="546"/>
      <c r="N185" s="546"/>
      <c r="O185" s="546"/>
      <c r="P185" s="546"/>
      <c r="Q185" s="546"/>
      <c r="R185" s="546"/>
      <c r="S185" s="546"/>
      <c r="T185" s="546"/>
      <c r="U185" s="546"/>
      <c r="V185" s="546"/>
      <c r="W185" s="546"/>
      <c r="X185" s="546"/>
      <c r="Y185" s="546"/>
      <c r="Z185" s="546"/>
      <c r="AA185" s="537"/>
      <c r="AB185" s="537"/>
      <c r="AC185" s="537"/>
    </row>
    <row r="186" spans="1:68" ht="16.5" hidden="1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0">
        <v>1.35</v>
      </c>
      <c r="G186" s="32">
        <v>8</v>
      </c>
      <c r="H186" s="540">
        <v>10.8</v>
      </c>
      <c r="I186" s="540">
        <v>11.234999999999999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7"/>
      <c r="R186" s="557"/>
      <c r="S186" s="557"/>
      <c r="T186" s="558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7"/>
      <c r="R187" s="557"/>
      <c r="S187" s="557"/>
      <c r="T187" s="558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2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3"/>
      <c r="P188" s="549" t="s">
        <v>71</v>
      </c>
      <c r="Q188" s="550"/>
      <c r="R188" s="550"/>
      <c r="S188" s="550"/>
      <c r="T188" s="550"/>
      <c r="U188" s="550"/>
      <c r="V188" s="551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hidden="1" x14ac:dyDescent="0.2">
      <c r="A189" s="546"/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53"/>
      <c r="P189" s="549" t="s">
        <v>71</v>
      </c>
      <c r="Q189" s="550"/>
      <c r="R189" s="550"/>
      <c r="S189" s="550"/>
      <c r="T189" s="550"/>
      <c r="U189" s="550"/>
      <c r="V189" s="551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hidden="1" customHeight="1" x14ac:dyDescent="0.25">
      <c r="A190" s="545" t="s">
        <v>135</v>
      </c>
      <c r="B190" s="546"/>
      <c r="C190" s="546"/>
      <c r="D190" s="546"/>
      <c r="E190" s="546"/>
      <c r="F190" s="546"/>
      <c r="G190" s="546"/>
      <c r="H190" s="546"/>
      <c r="I190" s="546"/>
      <c r="J190" s="546"/>
      <c r="K190" s="546"/>
      <c r="L190" s="546"/>
      <c r="M190" s="546"/>
      <c r="N190" s="546"/>
      <c r="O190" s="546"/>
      <c r="P190" s="546"/>
      <c r="Q190" s="546"/>
      <c r="R190" s="546"/>
      <c r="S190" s="546"/>
      <c r="T190" s="546"/>
      <c r="U190" s="546"/>
      <c r="V190" s="546"/>
      <c r="W190" s="546"/>
      <c r="X190" s="546"/>
      <c r="Y190" s="546"/>
      <c r="Z190" s="546"/>
      <c r="AA190" s="537"/>
      <c r="AB190" s="537"/>
      <c r="AC190" s="537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0">
        <v>1.35</v>
      </c>
      <c r="G191" s="32">
        <v>8</v>
      </c>
      <c r="H191" s="540">
        <v>10.8</v>
      </c>
      <c r="I191" s="540">
        <v>11.234999999999999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7"/>
      <c r="R191" s="557"/>
      <c r="S191" s="557"/>
      <c r="T191" s="558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 t="s">
        <v>188</v>
      </c>
      <c r="M192" s="33" t="s">
        <v>104</v>
      </c>
      <c r="N192" s="33"/>
      <c r="O192" s="32">
        <v>50</v>
      </c>
      <c r="P192" s="64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7"/>
      <c r="R192" s="557"/>
      <c r="S192" s="557"/>
      <c r="T192" s="558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 t="s">
        <v>106</v>
      </c>
      <c r="AK192" s="68">
        <v>29.4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2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3"/>
      <c r="P193" s="549" t="s">
        <v>71</v>
      </c>
      <c r="Q193" s="550"/>
      <c r="R193" s="550"/>
      <c r="S193" s="550"/>
      <c r="T193" s="550"/>
      <c r="U193" s="550"/>
      <c r="V193" s="551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hidden="1" x14ac:dyDescent="0.2">
      <c r="A194" s="546"/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53"/>
      <c r="P194" s="549" t="s">
        <v>71</v>
      </c>
      <c r="Q194" s="550"/>
      <c r="R194" s="550"/>
      <c r="S194" s="550"/>
      <c r="T194" s="550"/>
      <c r="U194" s="550"/>
      <c r="V194" s="551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hidden="1" customHeight="1" x14ac:dyDescent="0.25">
      <c r="A195" s="545" t="s">
        <v>64</v>
      </c>
      <c r="B195" s="546"/>
      <c r="C195" s="546"/>
      <c r="D195" s="546"/>
      <c r="E195" s="546"/>
      <c r="F195" s="546"/>
      <c r="G195" s="546"/>
      <c r="H195" s="546"/>
      <c r="I195" s="546"/>
      <c r="J195" s="546"/>
      <c r="K195" s="546"/>
      <c r="L195" s="546"/>
      <c r="M195" s="546"/>
      <c r="N195" s="546"/>
      <c r="O195" s="546"/>
      <c r="P195" s="546"/>
      <c r="Q195" s="546"/>
      <c r="R195" s="546"/>
      <c r="S195" s="546"/>
      <c r="T195" s="546"/>
      <c r="U195" s="546"/>
      <c r="V195" s="546"/>
      <c r="W195" s="546"/>
      <c r="X195" s="546"/>
      <c r="Y195" s="546"/>
      <c r="Z195" s="546"/>
      <c r="AA195" s="537"/>
      <c r="AB195" s="537"/>
      <c r="AC195" s="537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0">
        <v>0.9</v>
      </c>
      <c r="G196" s="32">
        <v>6</v>
      </c>
      <c r="H196" s="540">
        <v>5.4</v>
      </c>
      <c r="I196" s="540">
        <v>5.61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0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7"/>
      <c r="R196" s="557"/>
      <c r="S196" s="557"/>
      <c r="T196" s="558"/>
      <c r="U196" s="34"/>
      <c r="V196" s="34"/>
      <c r="W196" s="35" t="s">
        <v>69</v>
      </c>
      <c r="X196" s="541">
        <v>300</v>
      </c>
      <c r="Y196" s="542">
        <f t="shared" ref="Y196:Y203" si="10">IFERROR(IF(X196="",0,CEILING((X196/$H196),1)*$H196),"")</f>
        <v>302.40000000000003</v>
      </c>
      <c r="Z196" s="36">
        <f>IFERROR(IF(Y196=0,"",ROUNDUP(Y196/H196,0)*0.00902),"")</f>
        <v>0.50512000000000001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311.66666666666663</v>
      </c>
      <c r="BN196" s="64">
        <f t="shared" ref="BN196:BN203" si="12">IFERROR(Y196*I196/H196,"0")</f>
        <v>314.16000000000003</v>
      </c>
      <c r="BO196" s="64">
        <f t="shared" ref="BO196:BO203" si="13">IFERROR(1/J196*(X196/H196),"0")</f>
        <v>0.42087542087542085</v>
      </c>
      <c r="BP196" s="64">
        <f t="shared" ref="BP196:BP203" si="14">IFERROR(1/J196*(Y196/H196),"0")</f>
        <v>0.42424242424242425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0">
        <v>0.9</v>
      </c>
      <c r="G197" s="32">
        <v>6</v>
      </c>
      <c r="H197" s="540">
        <v>5.4</v>
      </c>
      <c r="I197" s="540">
        <v>5.61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7"/>
      <c r="R197" s="557"/>
      <c r="S197" s="557"/>
      <c r="T197" s="558"/>
      <c r="U197" s="34"/>
      <c r="V197" s="34"/>
      <c r="W197" s="35" t="s">
        <v>69</v>
      </c>
      <c r="X197" s="541">
        <v>100</v>
      </c>
      <c r="Y197" s="542">
        <f t="shared" si="10"/>
        <v>102.60000000000001</v>
      </c>
      <c r="Z197" s="36">
        <f>IFERROR(IF(Y197=0,"",ROUNDUP(Y197/H197,0)*0.00902),"")</f>
        <v>0.17138</v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103.88888888888889</v>
      </c>
      <c r="BN197" s="64">
        <f t="shared" si="12"/>
        <v>106.59000000000002</v>
      </c>
      <c r="BO197" s="64">
        <f t="shared" si="13"/>
        <v>0.14029180695847362</v>
      </c>
      <c r="BP197" s="64">
        <f t="shared" si="14"/>
        <v>0.14393939393939395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0">
        <v>0.9</v>
      </c>
      <c r="G198" s="32">
        <v>6</v>
      </c>
      <c r="H198" s="540">
        <v>5.4</v>
      </c>
      <c r="I198" s="540">
        <v>5.61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7"/>
      <c r="R198" s="557"/>
      <c r="S198" s="557"/>
      <c r="T198" s="558"/>
      <c r="U198" s="34"/>
      <c r="V198" s="34"/>
      <c r="W198" s="35" t="s">
        <v>69</v>
      </c>
      <c r="X198" s="541">
        <v>200</v>
      </c>
      <c r="Y198" s="542">
        <f t="shared" si="10"/>
        <v>205.20000000000002</v>
      </c>
      <c r="Z198" s="36">
        <f>IFERROR(IF(Y198=0,"",ROUNDUP(Y198/H198,0)*0.00902),"")</f>
        <v>0.34276000000000001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207.77777777777777</v>
      </c>
      <c r="BN198" s="64">
        <f t="shared" si="12"/>
        <v>213.18000000000004</v>
      </c>
      <c r="BO198" s="64">
        <f t="shared" si="13"/>
        <v>0.28058361391694725</v>
      </c>
      <c r="BP198" s="64">
        <f t="shared" si="14"/>
        <v>0.2878787878787879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0">
        <v>0.9</v>
      </c>
      <c r="G199" s="32">
        <v>6</v>
      </c>
      <c r="H199" s="540">
        <v>5.4</v>
      </c>
      <c r="I199" s="540">
        <v>5.61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7"/>
      <c r="R199" s="557"/>
      <c r="S199" s="557"/>
      <c r="T199" s="558"/>
      <c r="U199" s="34"/>
      <c r="V199" s="34"/>
      <c r="W199" s="35" t="s">
        <v>69</v>
      </c>
      <c r="X199" s="541">
        <v>120</v>
      </c>
      <c r="Y199" s="542">
        <f t="shared" si="10"/>
        <v>124.2</v>
      </c>
      <c r="Z199" s="36">
        <f>IFERROR(IF(Y199=0,"",ROUNDUP(Y199/H199,0)*0.00902),"")</f>
        <v>0.20746000000000001</v>
      </c>
      <c r="AA199" s="56"/>
      <c r="AB199" s="57"/>
      <c r="AC199" s="235" t="s">
        <v>321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124.66666666666667</v>
      </c>
      <c r="BN199" s="64">
        <f t="shared" si="12"/>
        <v>129.03</v>
      </c>
      <c r="BO199" s="64">
        <f t="shared" si="13"/>
        <v>0.16835016835016836</v>
      </c>
      <c r="BP199" s="64">
        <f t="shared" si="14"/>
        <v>0.17424242424242425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74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7"/>
      <c r="R200" s="557"/>
      <c r="S200" s="557"/>
      <c r="T200" s="558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7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7"/>
      <c r="R201" s="557"/>
      <c r="S201" s="557"/>
      <c r="T201" s="558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4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7"/>
      <c r="R202" s="557"/>
      <c r="S202" s="557"/>
      <c r="T202" s="558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7"/>
      <c r="R203" s="557"/>
      <c r="S203" s="557"/>
      <c r="T203" s="558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2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3"/>
      <c r="P204" s="549" t="s">
        <v>71</v>
      </c>
      <c r="Q204" s="550"/>
      <c r="R204" s="550"/>
      <c r="S204" s="550"/>
      <c r="T204" s="550"/>
      <c r="U204" s="550"/>
      <c r="V204" s="551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133.33333333333334</v>
      </c>
      <c r="Y204" s="543">
        <f>IFERROR(Y196/H196,"0")+IFERROR(Y197/H197,"0")+IFERROR(Y198/H198,"0")+IFERROR(Y199/H199,"0")+IFERROR(Y200/H200,"0")+IFERROR(Y201/H201,"0")+IFERROR(Y202/H202,"0")+IFERROR(Y203/H203,"0")</f>
        <v>136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1.22672</v>
      </c>
      <c r="AA204" s="544"/>
      <c r="AB204" s="544"/>
      <c r="AC204" s="544"/>
    </row>
    <row r="205" spans="1:68" x14ac:dyDescent="0.2">
      <c r="A205" s="546"/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53"/>
      <c r="P205" s="549" t="s">
        <v>71</v>
      </c>
      <c r="Q205" s="550"/>
      <c r="R205" s="550"/>
      <c r="S205" s="550"/>
      <c r="T205" s="550"/>
      <c r="U205" s="550"/>
      <c r="V205" s="551"/>
      <c r="W205" s="37" t="s">
        <v>69</v>
      </c>
      <c r="X205" s="543">
        <f>IFERROR(SUM(X196:X203),"0")</f>
        <v>720</v>
      </c>
      <c r="Y205" s="543">
        <f>IFERROR(SUM(Y196:Y203),"0")</f>
        <v>734.40000000000009</v>
      </c>
      <c r="Z205" s="37"/>
      <c r="AA205" s="544"/>
      <c r="AB205" s="544"/>
      <c r="AC205" s="544"/>
    </row>
    <row r="206" spans="1:68" ht="14.25" hidden="1" customHeight="1" x14ac:dyDescent="0.25">
      <c r="A206" s="545" t="s">
        <v>73</v>
      </c>
      <c r="B206" s="546"/>
      <c r="C206" s="546"/>
      <c r="D206" s="546"/>
      <c r="E206" s="546"/>
      <c r="F206" s="546"/>
      <c r="G206" s="546"/>
      <c r="H206" s="546"/>
      <c r="I206" s="546"/>
      <c r="J206" s="546"/>
      <c r="K206" s="546"/>
      <c r="L206" s="546"/>
      <c r="M206" s="546"/>
      <c r="N206" s="546"/>
      <c r="O206" s="546"/>
      <c r="P206" s="546"/>
      <c r="Q206" s="546"/>
      <c r="R206" s="546"/>
      <c r="S206" s="546"/>
      <c r="T206" s="546"/>
      <c r="U206" s="546"/>
      <c r="V206" s="546"/>
      <c r="W206" s="546"/>
      <c r="X206" s="546"/>
      <c r="Y206" s="546"/>
      <c r="Z206" s="546"/>
      <c r="AA206" s="537"/>
      <c r="AB206" s="537"/>
      <c r="AC206" s="537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0">
        <v>1.35</v>
      </c>
      <c r="G207" s="32">
        <v>6</v>
      </c>
      <c r="H207" s="540">
        <v>8.1</v>
      </c>
      <c r="I207" s="540">
        <v>8.6189999999999998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4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7"/>
      <c r="R207" s="557"/>
      <c r="S207" s="557"/>
      <c r="T207" s="558"/>
      <c r="U207" s="34"/>
      <c r="V207" s="34"/>
      <c r="W207" s="35" t="s">
        <v>69</v>
      </c>
      <c r="X207" s="541">
        <v>50</v>
      </c>
      <c r="Y207" s="542">
        <f t="shared" ref="Y207:Y215" si="15">IFERROR(IF(X207="",0,CEILING((X207/$H207),1)*$H207),"")</f>
        <v>56.699999999999996</v>
      </c>
      <c r="Z207" s="36">
        <f>IFERROR(IF(Y207=0,"",ROUNDUP(Y207/H207,0)*0.01898),"")</f>
        <v>0.13286000000000001</v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53.203703703703702</v>
      </c>
      <c r="BN207" s="64">
        <f t="shared" ref="BN207:BN215" si="17">IFERROR(Y207*I207/H207,"0")</f>
        <v>60.332999999999991</v>
      </c>
      <c r="BO207" s="64">
        <f t="shared" ref="BO207:BO215" si="18">IFERROR(1/J207*(X207/H207),"0")</f>
        <v>9.6450617283950615E-2</v>
      </c>
      <c r="BP207" s="64">
        <f t="shared" ref="BP207:BP215" si="19">IFERROR(1/J207*(Y207/H207),"0")</f>
        <v>0.109375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0">
        <v>1.35</v>
      </c>
      <c r="G208" s="32">
        <v>6</v>
      </c>
      <c r="H208" s="540">
        <v>8.1</v>
      </c>
      <c r="I208" s="540">
        <v>8.6010000000000009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70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7"/>
      <c r="R208" s="557"/>
      <c r="S208" s="557"/>
      <c r="T208" s="558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0">
        <v>1.45</v>
      </c>
      <c r="G209" s="32">
        <v>6</v>
      </c>
      <c r="H209" s="540">
        <v>8.6999999999999993</v>
      </c>
      <c r="I209" s="540">
        <v>9.2189999999999994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7"/>
      <c r="R209" s="557"/>
      <c r="S209" s="557"/>
      <c r="T209" s="558"/>
      <c r="U209" s="34"/>
      <c r="V209" s="34"/>
      <c r="W209" s="35" t="s">
        <v>69</v>
      </c>
      <c r="X209" s="541">
        <v>30</v>
      </c>
      <c r="Y209" s="542">
        <f t="shared" si="15"/>
        <v>34.799999999999997</v>
      </c>
      <c r="Z209" s="36">
        <f>IFERROR(IF(Y209=0,"",ROUNDUP(Y209/H209,0)*0.01898),"")</f>
        <v>7.5920000000000001E-2</v>
      </c>
      <c r="AA209" s="56"/>
      <c r="AB209" s="57"/>
      <c r="AC209" s="249" t="s">
        <v>338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31.789655172413795</v>
      </c>
      <c r="BN209" s="64">
        <f t="shared" si="17"/>
        <v>36.875999999999998</v>
      </c>
      <c r="BO209" s="64">
        <f t="shared" si="18"/>
        <v>5.387931034482759E-2</v>
      </c>
      <c r="BP209" s="64">
        <f t="shared" si="19"/>
        <v>6.25E-2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188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7"/>
      <c r="R210" s="557"/>
      <c r="S210" s="557"/>
      <c r="T210" s="558"/>
      <c r="U210" s="34"/>
      <c r="V210" s="34"/>
      <c r="W210" s="35" t="s">
        <v>69</v>
      </c>
      <c r="X210" s="541">
        <v>288</v>
      </c>
      <c r="Y210" s="542">
        <f t="shared" si="15"/>
        <v>288</v>
      </c>
      <c r="Z210" s="36">
        <f t="shared" ref="Z210:Z215" si="20">IFERROR(IF(Y210=0,"",ROUNDUP(Y210/H210,0)*0.00651),"")</f>
        <v>0.78120000000000001</v>
      </c>
      <c r="AA210" s="56"/>
      <c r="AB210" s="57"/>
      <c r="AC210" s="251" t="s">
        <v>332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320.40000000000003</v>
      </c>
      <c r="BN210" s="64">
        <f t="shared" si="17"/>
        <v>320.40000000000003</v>
      </c>
      <c r="BO210" s="64">
        <f t="shared" si="18"/>
        <v>0.65934065934065944</v>
      </c>
      <c r="BP210" s="64">
        <f t="shared" si="19"/>
        <v>0.65934065934065944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7"/>
      <c r="R211" s="557"/>
      <c r="S211" s="557"/>
      <c r="T211" s="558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188</v>
      </c>
      <c r="M212" s="33" t="s">
        <v>77</v>
      </c>
      <c r="N212" s="33"/>
      <c r="O212" s="32">
        <v>45</v>
      </c>
      <c r="P212" s="75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7"/>
      <c r="R212" s="557"/>
      <c r="S212" s="557"/>
      <c r="T212" s="558"/>
      <c r="U212" s="34"/>
      <c r="V212" s="34"/>
      <c r="W212" s="35" t="s">
        <v>69</v>
      </c>
      <c r="X212" s="541">
        <v>192</v>
      </c>
      <c r="Y212" s="542">
        <f t="shared" si="15"/>
        <v>192</v>
      </c>
      <c r="Z212" s="36">
        <f t="shared" si="20"/>
        <v>0.52080000000000004</v>
      </c>
      <c r="AA212" s="56"/>
      <c r="AB212" s="57"/>
      <c r="AC212" s="255" t="s">
        <v>338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212.16000000000003</v>
      </c>
      <c r="BN212" s="64">
        <f t="shared" si="17"/>
        <v>212.16000000000003</v>
      </c>
      <c r="BO212" s="64">
        <f t="shared" si="18"/>
        <v>0.43956043956043961</v>
      </c>
      <c r="BP212" s="64">
        <f t="shared" si="19"/>
        <v>0.43956043956043961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188</v>
      </c>
      <c r="M213" s="33" t="s">
        <v>77</v>
      </c>
      <c r="N213" s="33"/>
      <c r="O213" s="32">
        <v>45</v>
      </c>
      <c r="P213" s="5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7"/>
      <c r="R213" s="557"/>
      <c r="S213" s="557"/>
      <c r="T213" s="558"/>
      <c r="U213" s="34"/>
      <c r="V213" s="34"/>
      <c r="W213" s="35" t="s">
        <v>69</v>
      </c>
      <c r="X213" s="541">
        <v>168</v>
      </c>
      <c r="Y213" s="542">
        <f t="shared" si="15"/>
        <v>168</v>
      </c>
      <c r="Z213" s="36">
        <f t="shared" si="20"/>
        <v>0.45569999999999999</v>
      </c>
      <c r="AA213" s="56"/>
      <c r="AB213" s="57"/>
      <c r="AC213" s="257" t="s">
        <v>338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185.64000000000001</v>
      </c>
      <c r="BN213" s="64">
        <f t="shared" si="17"/>
        <v>185.64000000000001</v>
      </c>
      <c r="BO213" s="64">
        <f t="shared" si="18"/>
        <v>0.38461538461538464</v>
      </c>
      <c r="BP213" s="64">
        <f t="shared" si="19"/>
        <v>0.38461538461538464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188</v>
      </c>
      <c r="M214" s="33" t="s">
        <v>84</v>
      </c>
      <c r="N214" s="33"/>
      <c r="O214" s="32">
        <v>40</v>
      </c>
      <c r="P214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7"/>
      <c r="R214" s="557"/>
      <c r="S214" s="557"/>
      <c r="T214" s="558"/>
      <c r="U214" s="34"/>
      <c r="V214" s="34"/>
      <c r="W214" s="35" t="s">
        <v>69</v>
      </c>
      <c r="X214" s="541">
        <v>240</v>
      </c>
      <c r="Y214" s="542">
        <f t="shared" si="15"/>
        <v>240</v>
      </c>
      <c r="Z214" s="36">
        <f t="shared" si="20"/>
        <v>0.65100000000000002</v>
      </c>
      <c r="AA214" s="56"/>
      <c r="AB214" s="57"/>
      <c r="AC214" s="259" t="s">
        <v>350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265.20000000000005</v>
      </c>
      <c r="BN214" s="64">
        <f t="shared" si="17"/>
        <v>265.20000000000005</v>
      </c>
      <c r="BO214" s="64">
        <f t="shared" si="18"/>
        <v>0.5494505494505495</v>
      </c>
      <c r="BP214" s="64">
        <f t="shared" si="19"/>
        <v>0.5494505494505495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188</v>
      </c>
      <c r="M215" s="33" t="s">
        <v>77</v>
      </c>
      <c r="N215" s="33"/>
      <c r="O215" s="32">
        <v>40</v>
      </c>
      <c r="P215" s="5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7"/>
      <c r="R215" s="557"/>
      <c r="S215" s="557"/>
      <c r="T215" s="558"/>
      <c r="U215" s="34"/>
      <c r="V215" s="34"/>
      <c r="W215" s="35" t="s">
        <v>69</v>
      </c>
      <c r="X215" s="541">
        <v>288</v>
      </c>
      <c r="Y215" s="542">
        <f t="shared" si="15"/>
        <v>288</v>
      </c>
      <c r="Z215" s="36">
        <f t="shared" si="20"/>
        <v>0.78120000000000001</v>
      </c>
      <c r="AA215" s="56"/>
      <c r="AB215" s="57"/>
      <c r="AC215" s="261" t="s">
        <v>335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318.96000000000004</v>
      </c>
      <c r="BN215" s="64">
        <f t="shared" si="17"/>
        <v>318.96000000000004</v>
      </c>
      <c r="BO215" s="64">
        <f t="shared" si="18"/>
        <v>0.65934065934065944</v>
      </c>
      <c r="BP215" s="64">
        <f t="shared" si="19"/>
        <v>0.65934065934065944</v>
      </c>
    </row>
    <row r="216" spans="1:68" x14ac:dyDescent="0.2">
      <c r="A216" s="552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3"/>
      <c r="P216" s="549" t="s">
        <v>71</v>
      </c>
      <c r="Q216" s="550"/>
      <c r="R216" s="550"/>
      <c r="S216" s="550"/>
      <c r="T216" s="550"/>
      <c r="U216" s="550"/>
      <c r="V216" s="551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499.62111536824182</v>
      </c>
      <c r="Y216" s="543">
        <f>IFERROR(Y207/H207,"0")+IFERROR(Y208/H208,"0")+IFERROR(Y209/H209,"0")+IFERROR(Y210/H210,"0")+IFERROR(Y211/H211,"0")+IFERROR(Y212/H212,"0")+IFERROR(Y213/H213,"0")+IFERROR(Y214/H214,"0")+IFERROR(Y215/H215,"0")</f>
        <v>501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3.3986800000000001</v>
      </c>
      <c r="AA216" s="544"/>
      <c r="AB216" s="544"/>
      <c r="AC216" s="544"/>
    </row>
    <row r="217" spans="1:68" x14ac:dyDescent="0.2">
      <c r="A217" s="546"/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53"/>
      <c r="P217" s="549" t="s">
        <v>71</v>
      </c>
      <c r="Q217" s="550"/>
      <c r="R217" s="550"/>
      <c r="S217" s="550"/>
      <c r="T217" s="550"/>
      <c r="U217" s="550"/>
      <c r="V217" s="551"/>
      <c r="W217" s="37" t="s">
        <v>69</v>
      </c>
      <c r="X217" s="543">
        <f>IFERROR(SUM(X207:X215),"0")</f>
        <v>1256</v>
      </c>
      <c r="Y217" s="543">
        <f>IFERROR(SUM(Y207:Y215),"0")</f>
        <v>1267.5</v>
      </c>
      <c r="Z217" s="37"/>
      <c r="AA217" s="544"/>
      <c r="AB217" s="544"/>
      <c r="AC217" s="544"/>
    </row>
    <row r="218" spans="1:68" ht="14.25" hidden="1" customHeight="1" x14ac:dyDescent="0.25">
      <c r="A218" s="545" t="s">
        <v>165</v>
      </c>
      <c r="B218" s="546"/>
      <c r="C218" s="546"/>
      <c r="D218" s="546"/>
      <c r="E218" s="546"/>
      <c r="F218" s="546"/>
      <c r="G218" s="546"/>
      <c r="H218" s="546"/>
      <c r="I218" s="546"/>
      <c r="J218" s="546"/>
      <c r="K218" s="546"/>
      <c r="L218" s="546"/>
      <c r="M218" s="546"/>
      <c r="N218" s="546"/>
      <c r="O218" s="546"/>
      <c r="P218" s="546"/>
      <c r="Q218" s="546"/>
      <c r="R218" s="546"/>
      <c r="S218" s="546"/>
      <c r="T218" s="546"/>
      <c r="U218" s="546"/>
      <c r="V218" s="546"/>
      <c r="W218" s="546"/>
      <c r="X218" s="546"/>
      <c r="Y218" s="546"/>
      <c r="Z218" s="546"/>
      <c r="AA218" s="537"/>
      <c r="AB218" s="537"/>
      <c r="AC218" s="537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188</v>
      </c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7"/>
      <c r="R219" s="557"/>
      <c r="S219" s="557"/>
      <c r="T219" s="558"/>
      <c r="U219" s="34"/>
      <c r="V219" s="34"/>
      <c r="W219" s="35" t="s">
        <v>69</v>
      </c>
      <c r="X219" s="541">
        <v>24</v>
      </c>
      <c r="Y219" s="542">
        <f>IFERROR(IF(X219="",0,CEILING((X219/$H219),1)*$H219),"")</f>
        <v>24</v>
      </c>
      <c r="Z219" s="36">
        <f>IFERROR(IF(Y219=0,"",ROUNDUP(Y219/H219,0)*0.00651),"")</f>
        <v>6.5100000000000005E-2</v>
      </c>
      <c r="AA219" s="56"/>
      <c r="AB219" s="57"/>
      <c r="AC219" s="263" t="s">
        <v>355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26.520000000000003</v>
      </c>
      <c r="BN219" s="64">
        <f>IFERROR(Y219*I219/H219,"0")</f>
        <v>26.520000000000003</v>
      </c>
      <c r="BO219" s="64">
        <f>IFERROR(1/J219*(X219/H219),"0")</f>
        <v>5.4945054945054951E-2</v>
      </c>
      <c r="BP219" s="64">
        <f>IFERROR(1/J219*(Y219/H219),"0")</f>
        <v>5.4945054945054951E-2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 t="s">
        <v>188</v>
      </c>
      <c r="M220" s="33" t="s">
        <v>77</v>
      </c>
      <c r="N220" s="33"/>
      <c r="O220" s="32">
        <v>40</v>
      </c>
      <c r="P220" s="6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7"/>
      <c r="R220" s="557"/>
      <c r="S220" s="557"/>
      <c r="T220" s="558"/>
      <c r="U220" s="34"/>
      <c r="V220" s="34"/>
      <c r="W220" s="35" t="s">
        <v>69</v>
      </c>
      <c r="X220" s="541">
        <v>24</v>
      </c>
      <c r="Y220" s="542">
        <f>IFERROR(IF(X220="",0,CEILING((X220/$H220),1)*$H220),"")</f>
        <v>24</v>
      </c>
      <c r="Z220" s="36">
        <f>IFERROR(IF(Y220=0,"",ROUNDUP(Y220/H220,0)*0.00651),"")</f>
        <v>6.5100000000000005E-2</v>
      </c>
      <c r="AA220" s="56"/>
      <c r="AB220" s="57"/>
      <c r="AC220" s="265" t="s">
        <v>358</v>
      </c>
      <c r="AG220" s="64"/>
      <c r="AJ220" s="68" t="s">
        <v>106</v>
      </c>
      <c r="AK220" s="68">
        <v>33.6</v>
      </c>
      <c r="BB220" s="266" t="s">
        <v>1</v>
      </c>
      <c r="BM220" s="64">
        <f>IFERROR(X220*I220/H220,"0")</f>
        <v>26.520000000000003</v>
      </c>
      <c r="BN220" s="64">
        <f>IFERROR(Y220*I220/H220,"0")</f>
        <v>26.520000000000003</v>
      </c>
      <c r="BO220" s="64">
        <f>IFERROR(1/J220*(X220/H220),"0")</f>
        <v>5.4945054945054951E-2</v>
      </c>
      <c r="BP220" s="64">
        <f>IFERROR(1/J220*(Y220/H220),"0")</f>
        <v>5.4945054945054951E-2</v>
      </c>
    </row>
    <row r="221" spans="1:68" x14ac:dyDescent="0.2">
      <c r="A221" s="552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3"/>
      <c r="P221" s="549" t="s">
        <v>71</v>
      </c>
      <c r="Q221" s="550"/>
      <c r="R221" s="550"/>
      <c r="S221" s="550"/>
      <c r="T221" s="550"/>
      <c r="U221" s="550"/>
      <c r="V221" s="551"/>
      <c r="W221" s="37" t="s">
        <v>72</v>
      </c>
      <c r="X221" s="543">
        <f>IFERROR(X219/H219,"0")+IFERROR(X220/H220,"0")</f>
        <v>20</v>
      </c>
      <c r="Y221" s="543">
        <f>IFERROR(Y219/H219,"0")+IFERROR(Y220/H220,"0")</f>
        <v>20</v>
      </c>
      <c r="Z221" s="543">
        <f>IFERROR(IF(Z219="",0,Z219),"0")+IFERROR(IF(Z220="",0,Z220),"0")</f>
        <v>0.13020000000000001</v>
      </c>
      <c r="AA221" s="544"/>
      <c r="AB221" s="544"/>
      <c r="AC221" s="544"/>
    </row>
    <row r="222" spans="1:68" x14ac:dyDescent="0.2">
      <c r="A222" s="546"/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53"/>
      <c r="P222" s="549" t="s">
        <v>71</v>
      </c>
      <c r="Q222" s="550"/>
      <c r="R222" s="550"/>
      <c r="S222" s="550"/>
      <c r="T222" s="550"/>
      <c r="U222" s="550"/>
      <c r="V222" s="551"/>
      <c r="W222" s="37" t="s">
        <v>69</v>
      </c>
      <c r="X222" s="543">
        <f>IFERROR(SUM(X219:X220),"0")</f>
        <v>48</v>
      </c>
      <c r="Y222" s="543">
        <f>IFERROR(SUM(Y219:Y220),"0")</f>
        <v>48</v>
      </c>
      <c r="Z222" s="37"/>
      <c r="AA222" s="544"/>
      <c r="AB222" s="544"/>
      <c r="AC222" s="544"/>
    </row>
    <row r="223" spans="1:68" ht="16.5" hidden="1" customHeight="1" x14ac:dyDescent="0.25">
      <c r="A223" s="574" t="s">
        <v>359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6"/>
      <c r="AB223" s="536"/>
      <c r="AC223" s="536"/>
    </row>
    <row r="224" spans="1:68" ht="14.25" hidden="1" customHeight="1" x14ac:dyDescent="0.25">
      <c r="A224" s="545" t="s">
        <v>99</v>
      </c>
      <c r="B224" s="546"/>
      <c r="C224" s="546"/>
      <c r="D224" s="546"/>
      <c r="E224" s="546"/>
      <c r="F224" s="546"/>
      <c r="G224" s="546"/>
      <c r="H224" s="546"/>
      <c r="I224" s="546"/>
      <c r="J224" s="546"/>
      <c r="K224" s="546"/>
      <c r="L224" s="546"/>
      <c r="M224" s="546"/>
      <c r="N224" s="546"/>
      <c r="O224" s="546"/>
      <c r="P224" s="546"/>
      <c r="Q224" s="546"/>
      <c r="R224" s="546"/>
      <c r="S224" s="546"/>
      <c r="T224" s="546"/>
      <c r="U224" s="546"/>
      <c r="V224" s="546"/>
      <c r="W224" s="546"/>
      <c r="X224" s="546"/>
      <c r="Y224" s="546"/>
      <c r="Z224" s="546"/>
      <c r="AA224" s="537"/>
      <c r="AB224" s="537"/>
      <c r="AC224" s="537"/>
    </row>
    <row r="225" spans="1:68" ht="27" hidden="1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0">
        <v>1.45</v>
      </c>
      <c r="G225" s="32">
        <v>8</v>
      </c>
      <c r="H225" s="540">
        <v>11.6</v>
      </c>
      <c r="I225" s="540">
        <v>12.035</v>
      </c>
      <c r="J225" s="32">
        <v>64</v>
      </c>
      <c r="K225" s="32" t="s">
        <v>102</v>
      </c>
      <c r="L225" s="32" t="s">
        <v>103</v>
      </c>
      <c r="M225" s="33" t="s">
        <v>104</v>
      </c>
      <c r="N225" s="33"/>
      <c r="O225" s="32">
        <v>55</v>
      </c>
      <c r="P225" s="85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7"/>
      <c r="R225" s="557"/>
      <c r="S225" s="557"/>
      <c r="T225" s="558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 t="s">
        <v>106</v>
      </c>
      <c r="AK225" s="68">
        <v>92.8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0">
        <v>1.45</v>
      </c>
      <c r="G226" s="32">
        <v>8</v>
      </c>
      <c r="H226" s="540">
        <v>11.6</v>
      </c>
      <c r="I226" s="540">
        <v>12.035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7"/>
      <c r="R226" s="557"/>
      <c r="S226" s="557"/>
      <c r="T226" s="558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0">
        <v>1.45</v>
      </c>
      <c r="G227" s="32">
        <v>8</v>
      </c>
      <c r="H227" s="540">
        <v>11.6</v>
      </c>
      <c r="I227" s="540">
        <v>12.035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7"/>
      <c r="R227" s="557"/>
      <c r="S227" s="557"/>
      <c r="T227" s="558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0">
        <v>0.4</v>
      </c>
      <c r="G228" s="32">
        <v>10</v>
      </c>
      <c r="H228" s="540">
        <v>4</v>
      </c>
      <c r="I228" s="540">
        <v>4.21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7"/>
      <c r="R228" s="557"/>
      <c r="S228" s="557"/>
      <c r="T228" s="558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0">
        <v>0.4</v>
      </c>
      <c r="G229" s="32">
        <v>10</v>
      </c>
      <c r="H229" s="540">
        <v>4</v>
      </c>
      <c r="I229" s="540">
        <v>4.21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3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7"/>
      <c r="R229" s="557"/>
      <c r="S229" s="557"/>
      <c r="T229" s="558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0">
        <v>0.4</v>
      </c>
      <c r="G230" s="32">
        <v>10</v>
      </c>
      <c r="H230" s="540">
        <v>4</v>
      </c>
      <c r="I230" s="540">
        <v>4.21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7"/>
      <c r="R230" s="557"/>
      <c r="S230" s="557"/>
      <c r="T230" s="558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0">
        <v>0.37</v>
      </c>
      <c r="G231" s="32">
        <v>10</v>
      </c>
      <c r="H231" s="540">
        <v>3.7</v>
      </c>
      <c r="I231" s="540">
        <v>3.91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7"/>
      <c r="R231" s="557"/>
      <c r="S231" s="557"/>
      <c r="T231" s="558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7"/>
      <c r="R232" s="557"/>
      <c r="S232" s="557"/>
      <c r="T232" s="558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0">
        <v>0.4</v>
      </c>
      <c r="G233" s="32">
        <v>10</v>
      </c>
      <c r="H233" s="540">
        <v>4</v>
      </c>
      <c r="I233" s="540">
        <v>4.21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7"/>
      <c r="R233" s="557"/>
      <c r="S233" s="557"/>
      <c r="T233" s="558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0">
        <v>0.4</v>
      </c>
      <c r="G234" s="32">
        <v>10</v>
      </c>
      <c r="H234" s="540">
        <v>4</v>
      </c>
      <c r="I234" s="540">
        <v>4.21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7"/>
      <c r="R234" s="557"/>
      <c r="S234" s="557"/>
      <c r="T234" s="558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2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3"/>
      <c r="P235" s="549" t="s">
        <v>71</v>
      </c>
      <c r="Q235" s="550"/>
      <c r="R235" s="550"/>
      <c r="S235" s="550"/>
      <c r="T235" s="550"/>
      <c r="U235" s="550"/>
      <c r="V235" s="551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hidden="1" x14ac:dyDescent="0.2">
      <c r="A236" s="546"/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53"/>
      <c r="P236" s="549" t="s">
        <v>71</v>
      </c>
      <c r="Q236" s="550"/>
      <c r="R236" s="550"/>
      <c r="S236" s="550"/>
      <c r="T236" s="550"/>
      <c r="U236" s="550"/>
      <c r="V236" s="551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hidden="1" customHeight="1" x14ac:dyDescent="0.25">
      <c r="A237" s="545" t="s">
        <v>135</v>
      </c>
      <c r="B237" s="546"/>
      <c r="C237" s="546"/>
      <c r="D237" s="546"/>
      <c r="E237" s="546"/>
      <c r="F237" s="546"/>
      <c r="G237" s="546"/>
      <c r="H237" s="546"/>
      <c r="I237" s="546"/>
      <c r="J237" s="546"/>
      <c r="K237" s="546"/>
      <c r="L237" s="546"/>
      <c r="M237" s="546"/>
      <c r="N237" s="546"/>
      <c r="O237" s="546"/>
      <c r="P237" s="546"/>
      <c r="Q237" s="546"/>
      <c r="R237" s="546"/>
      <c r="S237" s="546"/>
      <c r="T237" s="546"/>
      <c r="U237" s="546"/>
      <c r="V237" s="546"/>
      <c r="W237" s="546"/>
      <c r="X237" s="546"/>
      <c r="Y237" s="546"/>
      <c r="Z237" s="546"/>
      <c r="AA237" s="537"/>
      <c r="AB237" s="537"/>
      <c r="AC237" s="537"/>
    </row>
    <row r="238" spans="1:68" ht="27" hidden="1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7"/>
      <c r="R238" s="557"/>
      <c r="S238" s="557"/>
      <c r="T238" s="558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2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3"/>
      <c r="P239" s="549" t="s">
        <v>71</v>
      </c>
      <c r="Q239" s="550"/>
      <c r="R239" s="550"/>
      <c r="S239" s="550"/>
      <c r="T239" s="550"/>
      <c r="U239" s="550"/>
      <c r="V239" s="551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hidden="1" x14ac:dyDescent="0.2">
      <c r="A240" s="546"/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53"/>
      <c r="P240" s="549" t="s">
        <v>71</v>
      </c>
      <c r="Q240" s="550"/>
      <c r="R240" s="550"/>
      <c r="S240" s="550"/>
      <c r="T240" s="550"/>
      <c r="U240" s="550"/>
      <c r="V240" s="551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hidden="1" customHeight="1" x14ac:dyDescent="0.25">
      <c r="A241" s="545" t="s">
        <v>385</v>
      </c>
      <c r="B241" s="546"/>
      <c r="C241" s="546"/>
      <c r="D241" s="546"/>
      <c r="E241" s="546"/>
      <c r="F241" s="546"/>
      <c r="G241" s="546"/>
      <c r="H241" s="546"/>
      <c r="I241" s="546"/>
      <c r="J241" s="546"/>
      <c r="K241" s="546"/>
      <c r="L241" s="546"/>
      <c r="M241" s="546"/>
      <c r="N241" s="546"/>
      <c r="O241" s="546"/>
      <c r="P241" s="546"/>
      <c r="Q241" s="546"/>
      <c r="R241" s="546"/>
      <c r="S241" s="546"/>
      <c r="T241" s="546"/>
      <c r="U241" s="546"/>
      <c r="V241" s="546"/>
      <c r="W241" s="546"/>
      <c r="X241" s="546"/>
      <c r="Y241" s="546"/>
      <c r="Z241" s="546"/>
      <c r="AA241" s="537"/>
      <c r="AB241" s="537"/>
      <c r="AC241" s="537"/>
    </row>
    <row r="242" spans="1:68" ht="27" hidden="1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1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7"/>
      <c r="R242" s="557"/>
      <c r="S242" s="557"/>
      <c r="T242" s="558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2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3"/>
      <c r="P243" s="549" t="s">
        <v>71</v>
      </c>
      <c r="Q243" s="550"/>
      <c r="R243" s="550"/>
      <c r="S243" s="550"/>
      <c r="T243" s="550"/>
      <c r="U243" s="550"/>
      <c r="V243" s="551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hidden="1" x14ac:dyDescent="0.2">
      <c r="A244" s="546"/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53"/>
      <c r="P244" s="549" t="s">
        <v>71</v>
      </c>
      <c r="Q244" s="550"/>
      <c r="R244" s="550"/>
      <c r="S244" s="550"/>
      <c r="T244" s="550"/>
      <c r="U244" s="550"/>
      <c r="V244" s="551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hidden="1" customHeight="1" x14ac:dyDescent="0.25">
      <c r="A245" s="545" t="s">
        <v>389</v>
      </c>
      <c r="B245" s="546"/>
      <c r="C245" s="546"/>
      <c r="D245" s="546"/>
      <c r="E245" s="546"/>
      <c r="F245" s="546"/>
      <c r="G245" s="546"/>
      <c r="H245" s="546"/>
      <c r="I245" s="546"/>
      <c r="J245" s="546"/>
      <c r="K245" s="546"/>
      <c r="L245" s="546"/>
      <c r="M245" s="546"/>
      <c r="N245" s="546"/>
      <c r="O245" s="546"/>
      <c r="P245" s="546"/>
      <c r="Q245" s="546"/>
      <c r="R245" s="546"/>
      <c r="S245" s="546"/>
      <c r="T245" s="546"/>
      <c r="U245" s="546"/>
      <c r="V245" s="546"/>
      <c r="W245" s="546"/>
      <c r="X245" s="546"/>
      <c r="Y245" s="546"/>
      <c r="Z245" s="546"/>
      <c r="AA245" s="537"/>
      <c r="AB245" s="537"/>
      <c r="AC245" s="537"/>
    </row>
    <row r="246" spans="1:68" ht="27" hidden="1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7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7"/>
      <c r="R246" s="557"/>
      <c r="S246" s="557"/>
      <c r="T246" s="558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79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7"/>
      <c r="R247" s="557"/>
      <c r="S247" s="557"/>
      <c r="T247" s="558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3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7"/>
      <c r="R248" s="557"/>
      <c r="S248" s="557"/>
      <c r="T248" s="558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63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7"/>
      <c r="R249" s="557"/>
      <c r="S249" s="557"/>
      <c r="T249" s="558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7"/>
      <c r="R250" s="557"/>
      <c r="S250" s="557"/>
      <c r="T250" s="558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2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3"/>
      <c r="P251" s="549" t="s">
        <v>71</v>
      </c>
      <c r="Q251" s="550"/>
      <c r="R251" s="550"/>
      <c r="S251" s="550"/>
      <c r="T251" s="550"/>
      <c r="U251" s="550"/>
      <c r="V251" s="551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hidden="1" x14ac:dyDescent="0.2">
      <c r="A252" s="546"/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53"/>
      <c r="P252" s="549" t="s">
        <v>71</v>
      </c>
      <c r="Q252" s="550"/>
      <c r="R252" s="550"/>
      <c r="S252" s="550"/>
      <c r="T252" s="550"/>
      <c r="U252" s="550"/>
      <c r="V252" s="551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hidden="1" customHeight="1" x14ac:dyDescent="0.25">
      <c r="A253" s="574" t="s">
        <v>401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6"/>
      <c r="AB253" s="536"/>
      <c r="AC253" s="536"/>
    </row>
    <row r="254" spans="1:68" ht="14.25" hidden="1" customHeight="1" x14ac:dyDescent="0.25">
      <c r="A254" s="545" t="s">
        <v>99</v>
      </c>
      <c r="B254" s="546"/>
      <c r="C254" s="546"/>
      <c r="D254" s="546"/>
      <c r="E254" s="546"/>
      <c r="F254" s="546"/>
      <c r="G254" s="546"/>
      <c r="H254" s="546"/>
      <c r="I254" s="546"/>
      <c r="J254" s="546"/>
      <c r="K254" s="546"/>
      <c r="L254" s="546"/>
      <c r="M254" s="546"/>
      <c r="N254" s="546"/>
      <c r="O254" s="546"/>
      <c r="P254" s="546"/>
      <c r="Q254" s="546"/>
      <c r="R254" s="546"/>
      <c r="S254" s="546"/>
      <c r="T254" s="546"/>
      <c r="U254" s="546"/>
      <c r="V254" s="546"/>
      <c r="W254" s="546"/>
      <c r="X254" s="546"/>
      <c r="Y254" s="546"/>
      <c r="Z254" s="546"/>
      <c r="AA254" s="537"/>
      <c r="AB254" s="537"/>
      <c r="AC254" s="537"/>
    </row>
    <row r="255" spans="1:68" ht="27" hidden="1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0">
        <v>1.35</v>
      </c>
      <c r="G255" s="32">
        <v>8</v>
      </c>
      <c r="H255" s="540">
        <v>10.8</v>
      </c>
      <c r="I255" s="540">
        <v>11.234999999999999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7"/>
      <c r="R255" s="557"/>
      <c r="S255" s="557"/>
      <c r="T255" s="558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0">
        <v>1.35</v>
      </c>
      <c r="G256" s="32">
        <v>8</v>
      </c>
      <c r="H256" s="540">
        <v>10.8</v>
      </c>
      <c r="I256" s="540">
        <v>11.234999999999999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7"/>
      <c r="R256" s="557"/>
      <c r="S256" s="557"/>
      <c r="T256" s="558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0">
        <v>1.35</v>
      </c>
      <c r="G257" s="32">
        <v>8</v>
      </c>
      <c r="H257" s="540">
        <v>10.8</v>
      </c>
      <c r="I257" s="540">
        <v>11.234999999999999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7"/>
      <c r="R257" s="557"/>
      <c r="S257" s="557"/>
      <c r="T257" s="558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0">
        <v>0.4</v>
      </c>
      <c r="G258" s="32">
        <v>10</v>
      </c>
      <c r="H258" s="540">
        <v>4</v>
      </c>
      <c r="I258" s="540">
        <v>4.21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7"/>
      <c r="R258" s="557"/>
      <c r="S258" s="557"/>
      <c r="T258" s="558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0">
        <v>0.4</v>
      </c>
      <c r="G259" s="32">
        <v>10</v>
      </c>
      <c r="H259" s="540">
        <v>4</v>
      </c>
      <c r="I259" s="540">
        <v>4.21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5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7"/>
      <c r="R259" s="557"/>
      <c r="S259" s="557"/>
      <c r="T259" s="558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2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3"/>
      <c r="P260" s="549" t="s">
        <v>71</v>
      </c>
      <c r="Q260" s="550"/>
      <c r="R260" s="550"/>
      <c r="S260" s="550"/>
      <c r="T260" s="550"/>
      <c r="U260" s="550"/>
      <c r="V260" s="551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hidden="1" x14ac:dyDescent="0.2">
      <c r="A261" s="546"/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53"/>
      <c r="P261" s="549" t="s">
        <v>71</v>
      </c>
      <c r="Q261" s="550"/>
      <c r="R261" s="550"/>
      <c r="S261" s="550"/>
      <c r="T261" s="550"/>
      <c r="U261" s="550"/>
      <c r="V261" s="551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hidden="1" customHeight="1" x14ac:dyDescent="0.25">
      <c r="A262" s="574" t="s">
        <v>417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6"/>
      <c r="AB262" s="536"/>
      <c r="AC262" s="536"/>
    </row>
    <row r="263" spans="1:68" ht="14.25" hidden="1" customHeight="1" x14ac:dyDescent="0.25">
      <c r="A263" s="545" t="s">
        <v>99</v>
      </c>
      <c r="B263" s="546"/>
      <c r="C263" s="546"/>
      <c r="D263" s="546"/>
      <c r="E263" s="546"/>
      <c r="F263" s="546"/>
      <c r="G263" s="546"/>
      <c r="H263" s="546"/>
      <c r="I263" s="546"/>
      <c r="J263" s="546"/>
      <c r="K263" s="546"/>
      <c r="L263" s="546"/>
      <c r="M263" s="546"/>
      <c r="N263" s="546"/>
      <c r="O263" s="546"/>
      <c r="P263" s="546"/>
      <c r="Q263" s="546"/>
      <c r="R263" s="546"/>
      <c r="S263" s="546"/>
      <c r="T263" s="546"/>
      <c r="U263" s="546"/>
      <c r="V263" s="546"/>
      <c r="W263" s="546"/>
      <c r="X263" s="546"/>
      <c r="Y263" s="546"/>
      <c r="Z263" s="546"/>
      <c r="AA263" s="537"/>
      <c r="AB263" s="537"/>
      <c r="AC263" s="537"/>
    </row>
    <row r="264" spans="1:68" ht="27" hidden="1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0">
        <v>1.35</v>
      </c>
      <c r="G264" s="32">
        <v>8</v>
      </c>
      <c r="H264" s="540">
        <v>10.8</v>
      </c>
      <c r="I264" s="540">
        <v>11.331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9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7"/>
      <c r="R264" s="557"/>
      <c r="S264" s="557"/>
      <c r="T264" s="558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0">
        <v>1.35</v>
      </c>
      <c r="G265" s="32">
        <v>8</v>
      </c>
      <c r="H265" s="540">
        <v>10.8</v>
      </c>
      <c r="I265" s="540">
        <v>11.234999999999999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7"/>
      <c r="R265" s="557"/>
      <c r="S265" s="557"/>
      <c r="T265" s="558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0">
        <v>1.35</v>
      </c>
      <c r="G266" s="32">
        <v>8</v>
      </c>
      <c r="H266" s="540">
        <v>10.8</v>
      </c>
      <c r="I266" s="540">
        <v>11.234999999999999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09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7"/>
      <c r="R266" s="557"/>
      <c r="S266" s="557"/>
      <c r="T266" s="558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0">
        <v>0.9</v>
      </c>
      <c r="G267" s="32">
        <v>10</v>
      </c>
      <c r="H267" s="540">
        <v>9</v>
      </c>
      <c r="I267" s="540">
        <v>9.4350000000000005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5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7"/>
      <c r="R267" s="557"/>
      <c r="S267" s="557"/>
      <c r="T267" s="558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2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3"/>
      <c r="P268" s="549" t="s">
        <v>71</v>
      </c>
      <c r="Q268" s="550"/>
      <c r="R268" s="550"/>
      <c r="S268" s="550"/>
      <c r="T268" s="550"/>
      <c r="U268" s="550"/>
      <c r="V268" s="551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hidden="1" x14ac:dyDescent="0.2">
      <c r="A269" s="546"/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53"/>
      <c r="P269" s="549" t="s">
        <v>71</v>
      </c>
      <c r="Q269" s="550"/>
      <c r="R269" s="550"/>
      <c r="S269" s="550"/>
      <c r="T269" s="550"/>
      <c r="U269" s="550"/>
      <c r="V269" s="551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hidden="1" customHeight="1" x14ac:dyDescent="0.25">
      <c r="A270" s="574" t="s">
        <v>428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6"/>
      <c r="AB270" s="536"/>
      <c r="AC270" s="536"/>
    </row>
    <row r="271" spans="1:68" ht="14.25" hidden="1" customHeight="1" x14ac:dyDescent="0.25">
      <c r="A271" s="545" t="s">
        <v>73</v>
      </c>
      <c r="B271" s="546"/>
      <c r="C271" s="546"/>
      <c r="D271" s="546"/>
      <c r="E271" s="546"/>
      <c r="F271" s="546"/>
      <c r="G271" s="546"/>
      <c r="H271" s="546"/>
      <c r="I271" s="546"/>
      <c r="J271" s="546"/>
      <c r="K271" s="546"/>
      <c r="L271" s="546"/>
      <c r="M271" s="546"/>
      <c r="N271" s="546"/>
      <c r="O271" s="546"/>
      <c r="P271" s="546"/>
      <c r="Q271" s="546"/>
      <c r="R271" s="546"/>
      <c r="S271" s="546"/>
      <c r="T271" s="546"/>
      <c r="U271" s="546"/>
      <c r="V271" s="546"/>
      <c r="W271" s="546"/>
      <c r="X271" s="546"/>
      <c r="Y271" s="546"/>
      <c r="Z271" s="546"/>
      <c r="AA271" s="537"/>
      <c r="AB271" s="537"/>
      <c r="AC271" s="537"/>
    </row>
    <row r="272" spans="1:68" ht="27" hidden="1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7"/>
      <c r="R272" s="557"/>
      <c r="S272" s="557"/>
      <c r="T272" s="558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188</v>
      </c>
      <c r="M273" s="33" t="s">
        <v>84</v>
      </c>
      <c r="N273" s="33"/>
      <c r="O273" s="32">
        <v>40</v>
      </c>
      <c r="P273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7"/>
      <c r="R273" s="557"/>
      <c r="S273" s="557"/>
      <c r="T273" s="558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188</v>
      </c>
      <c r="M274" s="33" t="s">
        <v>77</v>
      </c>
      <c r="N274" s="33"/>
      <c r="O274" s="32">
        <v>45</v>
      </c>
      <c r="P27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7"/>
      <c r="R274" s="557"/>
      <c r="S274" s="557"/>
      <c r="T274" s="558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431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2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3"/>
      <c r="P275" s="549" t="s">
        <v>71</v>
      </c>
      <c r="Q275" s="550"/>
      <c r="R275" s="550"/>
      <c r="S275" s="550"/>
      <c r="T275" s="550"/>
      <c r="U275" s="550"/>
      <c r="V275" s="551"/>
      <c r="W275" s="37" t="s">
        <v>72</v>
      </c>
      <c r="X275" s="543">
        <f>IFERROR(X272/H272,"0")+IFERROR(X273/H273,"0")+IFERROR(X274/H274,"0")</f>
        <v>0</v>
      </c>
      <c r="Y275" s="543">
        <f>IFERROR(Y272/H272,"0")+IFERROR(Y273/H273,"0")+IFERROR(Y274/H274,"0")</f>
        <v>0</v>
      </c>
      <c r="Z275" s="543">
        <f>IFERROR(IF(Z272="",0,Z272),"0")+IFERROR(IF(Z273="",0,Z273),"0")+IFERROR(IF(Z274="",0,Z274),"0")</f>
        <v>0</v>
      </c>
      <c r="AA275" s="544"/>
      <c r="AB275" s="544"/>
      <c r="AC275" s="544"/>
    </row>
    <row r="276" spans="1:68" hidden="1" x14ac:dyDescent="0.2">
      <c r="A276" s="546"/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53"/>
      <c r="P276" s="549" t="s">
        <v>71</v>
      </c>
      <c r="Q276" s="550"/>
      <c r="R276" s="550"/>
      <c r="S276" s="550"/>
      <c r="T276" s="550"/>
      <c r="U276" s="550"/>
      <c r="V276" s="551"/>
      <c r="W276" s="37" t="s">
        <v>69</v>
      </c>
      <c r="X276" s="543">
        <f>IFERROR(SUM(X272:X274),"0")</f>
        <v>0</v>
      </c>
      <c r="Y276" s="543">
        <f>IFERROR(SUM(Y272:Y274),"0")</f>
        <v>0</v>
      </c>
      <c r="Z276" s="37"/>
      <c r="AA276" s="544"/>
      <c r="AB276" s="544"/>
      <c r="AC276" s="544"/>
    </row>
    <row r="277" spans="1:68" ht="16.5" hidden="1" customHeight="1" x14ac:dyDescent="0.25">
      <c r="A277" s="574" t="s">
        <v>437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6"/>
      <c r="AB277" s="536"/>
      <c r="AC277" s="536"/>
    </row>
    <row r="278" spans="1:68" ht="14.25" hidden="1" customHeight="1" x14ac:dyDescent="0.25">
      <c r="A278" s="545" t="s">
        <v>64</v>
      </c>
      <c r="B278" s="546"/>
      <c r="C278" s="546"/>
      <c r="D278" s="546"/>
      <c r="E278" s="546"/>
      <c r="F278" s="546"/>
      <c r="G278" s="546"/>
      <c r="H278" s="546"/>
      <c r="I278" s="546"/>
      <c r="J278" s="546"/>
      <c r="K278" s="546"/>
      <c r="L278" s="546"/>
      <c r="M278" s="546"/>
      <c r="N278" s="546"/>
      <c r="O278" s="546"/>
      <c r="P278" s="546"/>
      <c r="Q278" s="546"/>
      <c r="R278" s="546"/>
      <c r="S278" s="546"/>
      <c r="T278" s="546"/>
      <c r="U278" s="546"/>
      <c r="V278" s="546"/>
      <c r="W278" s="546"/>
      <c r="X278" s="546"/>
      <c r="Y278" s="546"/>
      <c r="Z278" s="546"/>
      <c r="AA278" s="537"/>
      <c r="AB278" s="537"/>
      <c r="AC278" s="537"/>
    </row>
    <row r="279" spans="1:68" ht="27" hidden="1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7"/>
      <c r="R279" s="557"/>
      <c r="S279" s="557"/>
      <c r="T279" s="558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7"/>
      <c r="R280" s="557"/>
      <c r="S280" s="557"/>
      <c r="T280" s="558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2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3"/>
      <c r="P281" s="549" t="s">
        <v>71</v>
      </c>
      <c r="Q281" s="550"/>
      <c r="R281" s="550"/>
      <c r="S281" s="550"/>
      <c r="T281" s="550"/>
      <c r="U281" s="550"/>
      <c r="V281" s="551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hidden="1" x14ac:dyDescent="0.2">
      <c r="A282" s="546"/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53"/>
      <c r="P282" s="549" t="s">
        <v>71</v>
      </c>
      <c r="Q282" s="550"/>
      <c r="R282" s="550"/>
      <c r="S282" s="550"/>
      <c r="T282" s="550"/>
      <c r="U282" s="550"/>
      <c r="V282" s="551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hidden="1" customHeight="1" x14ac:dyDescent="0.25">
      <c r="A283" s="545" t="s">
        <v>73</v>
      </c>
      <c r="B283" s="546"/>
      <c r="C283" s="546"/>
      <c r="D283" s="546"/>
      <c r="E283" s="546"/>
      <c r="F283" s="546"/>
      <c r="G283" s="546"/>
      <c r="H283" s="546"/>
      <c r="I283" s="546"/>
      <c r="J283" s="546"/>
      <c r="K283" s="546"/>
      <c r="L283" s="546"/>
      <c r="M283" s="546"/>
      <c r="N283" s="546"/>
      <c r="O283" s="546"/>
      <c r="P283" s="546"/>
      <c r="Q283" s="546"/>
      <c r="R283" s="546"/>
      <c r="S283" s="546"/>
      <c r="T283" s="546"/>
      <c r="U283" s="546"/>
      <c r="V283" s="546"/>
      <c r="W283" s="546"/>
      <c r="X283" s="546"/>
      <c r="Y283" s="546"/>
      <c r="Z283" s="546"/>
      <c r="AA283" s="537"/>
      <c r="AB283" s="537"/>
      <c r="AC283" s="537"/>
    </row>
    <row r="284" spans="1:68" ht="37.5" hidden="1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0">
        <v>0.6</v>
      </c>
      <c r="G284" s="32">
        <v>6</v>
      </c>
      <c r="H284" s="540">
        <v>3.6</v>
      </c>
      <c r="I284" s="540">
        <v>3.81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7"/>
      <c r="R284" s="557"/>
      <c r="S284" s="557"/>
      <c r="T284" s="558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2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3"/>
      <c r="P285" s="549" t="s">
        <v>71</v>
      </c>
      <c r="Q285" s="550"/>
      <c r="R285" s="550"/>
      <c r="S285" s="550"/>
      <c r="T285" s="550"/>
      <c r="U285" s="550"/>
      <c r="V285" s="551"/>
      <c r="W285" s="37" t="s">
        <v>72</v>
      </c>
      <c r="X285" s="543">
        <f>IFERROR(X284/H284,"0")</f>
        <v>0</v>
      </c>
      <c r="Y285" s="543">
        <f>IFERROR(Y284/H284,"0")</f>
        <v>0</v>
      </c>
      <c r="Z285" s="543">
        <f>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3"/>
      <c r="P286" s="549" t="s">
        <v>71</v>
      </c>
      <c r="Q286" s="550"/>
      <c r="R286" s="550"/>
      <c r="S286" s="550"/>
      <c r="T286" s="550"/>
      <c r="U286" s="550"/>
      <c r="V286" s="551"/>
      <c r="W286" s="37" t="s">
        <v>69</v>
      </c>
      <c r="X286" s="543">
        <f>IFERROR(SUM(X284:X284),"0")</f>
        <v>0</v>
      </c>
      <c r="Y286" s="543">
        <f>IFERROR(SUM(Y284:Y284),"0")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74" t="s">
        <v>447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45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448</v>
      </c>
      <c r="B289" s="54" t="s">
        <v>449</v>
      </c>
      <c r="C289" s="31">
        <v>4301012024</v>
      </c>
      <c r="D289" s="547">
        <v>4680115885615</v>
      </c>
      <c r="E289" s="548"/>
      <c r="F289" s="540">
        <v>1.35</v>
      </c>
      <c r="G289" s="32">
        <v>8</v>
      </c>
      <c r="H289" s="540">
        <v>10.8</v>
      </c>
      <c r="I289" s="540">
        <v>11.234999999999999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9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57"/>
      <c r="R289" s="557"/>
      <c r="S289" s="557"/>
      <c r="T289" s="558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451</v>
      </c>
      <c r="B290" s="54" t="s">
        <v>452</v>
      </c>
      <c r="C290" s="31">
        <v>4301011858</v>
      </c>
      <c r="D290" s="547">
        <v>4680115885646</v>
      </c>
      <c r="E290" s="548"/>
      <c r="F290" s="540">
        <v>1.35</v>
      </c>
      <c r="G290" s="32">
        <v>8</v>
      </c>
      <c r="H290" s="540">
        <v>10.8</v>
      </c>
      <c r="I290" s="540">
        <v>11.234999999999999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57"/>
      <c r="R290" s="557"/>
      <c r="S290" s="557"/>
      <c r="T290" s="558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454</v>
      </c>
      <c r="B291" s="54" t="s">
        <v>455</v>
      </c>
      <c r="C291" s="31">
        <v>4301012016</v>
      </c>
      <c r="D291" s="547">
        <v>4680115885554</v>
      </c>
      <c r="E291" s="548"/>
      <c r="F291" s="540">
        <v>1.35</v>
      </c>
      <c r="G291" s="32">
        <v>8</v>
      </c>
      <c r="H291" s="540">
        <v>10.8</v>
      </c>
      <c r="I291" s="540">
        <v>11.234999999999999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57"/>
      <c r="R291" s="557"/>
      <c r="S291" s="557"/>
      <c r="T291" s="558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4301011857</v>
      </c>
      <c r="D292" s="547">
        <v>4680115885622</v>
      </c>
      <c r="E292" s="548"/>
      <c r="F292" s="540">
        <v>0.4</v>
      </c>
      <c r="G292" s="32">
        <v>10</v>
      </c>
      <c r="H292" s="540">
        <v>4</v>
      </c>
      <c r="I292" s="540">
        <v>4.21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57"/>
      <c r="R292" s="557"/>
      <c r="S292" s="557"/>
      <c r="T292" s="558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459</v>
      </c>
      <c r="B293" s="54" t="s">
        <v>460</v>
      </c>
      <c r="C293" s="31">
        <v>4301011859</v>
      </c>
      <c r="D293" s="547">
        <v>4680115885608</v>
      </c>
      <c r="E293" s="548"/>
      <c r="F293" s="540">
        <v>0.4</v>
      </c>
      <c r="G293" s="32">
        <v>10</v>
      </c>
      <c r="H293" s="540">
        <v>4</v>
      </c>
      <c r="I293" s="540">
        <v>4.21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57"/>
      <c r="R293" s="557"/>
      <c r="S293" s="557"/>
      <c r="T293" s="558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2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3"/>
      <c r="P294" s="549" t="s">
        <v>71</v>
      </c>
      <c r="Q294" s="550"/>
      <c r="R294" s="550"/>
      <c r="S294" s="550"/>
      <c r="T294" s="550"/>
      <c r="U294" s="550"/>
      <c r="V294" s="551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3"/>
      <c r="P295" s="549" t="s">
        <v>71</v>
      </c>
      <c r="Q295" s="550"/>
      <c r="R295" s="550"/>
      <c r="S295" s="550"/>
      <c r="T295" s="550"/>
      <c r="U295" s="550"/>
      <c r="V295" s="551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45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7">
        <v>4607091387193</v>
      </c>
      <c r="E297" s="548"/>
      <c r="F297" s="540">
        <v>0.7</v>
      </c>
      <c r="G297" s="32">
        <v>6</v>
      </c>
      <c r="H297" s="540">
        <v>4.2</v>
      </c>
      <c r="I297" s="540">
        <v>4.47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57"/>
      <c r="R297" s="557"/>
      <c r="S297" s="557"/>
      <c r="T297" s="558"/>
      <c r="U297" s="34"/>
      <c r="V297" s="34"/>
      <c r="W297" s="35" t="s">
        <v>69</v>
      </c>
      <c r="X297" s="541">
        <v>30</v>
      </c>
      <c r="Y297" s="542">
        <f t="shared" ref="Y297:Y303" si="26">IFERROR(IF(X297="",0,CEILING((X297/$H297),1)*$H297),"")</f>
        <v>33.6</v>
      </c>
      <c r="Z297" s="36">
        <f>IFERROR(IF(Y297=0,"",ROUNDUP(Y297/H297,0)*0.00902),"")</f>
        <v>7.2160000000000002E-2</v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31.928571428571427</v>
      </c>
      <c r="BN297" s="64">
        <f t="shared" ref="BN297:BN303" si="28">IFERROR(Y297*I297/H297,"0")</f>
        <v>35.76</v>
      </c>
      <c r="BO297" s="64">
        <f t="shared" ref="BO297:BO303" si="29">IFERROR(1/J297*(X297/H297),"0")</f>
        <v>5.4112554112554112E-2</v>
      </c>
      <c r="BP297" s="64">
        <f t="shared" ref="BP297:BP303" si="30">IFERROR(1/J297*(Y297/H297),"0")</f>
        <v>6.0606060606060608E-2</v>
      </c>
    </row>
    <row r="298" spans="1:68" ht="27" hidden="1" customHeight="1" x14ac:dyDescent="0.25">
      <c r="A298" s="54" t="s">
        <v>465</v>
      </c>
      <c r="B298" s="54" t="s">
        <v>466</v>
      </c>
      <c r="C298" s="31">
        <v>4301031153</v>
      </c>
      <c r="D298" s="547">
        <v>4607091387230</v>
      </c>
      <c r="E298" s="548"/>
      <c r="F298" s="540">
        <v>0.7</v>
      </c>
      <c r="G298" s="32">
        <v>6</v>
      </c>
      <c r="H298" s="540">
        <v>4.2</v>
      </c>
      <c r="I298" s="540">
        <v>4.47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57"/>
      <c r="R298" s="557"/>
      <c r="S298" s="557"/>
      <c r="T298" s="558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468</v>
      </c>
      <c r="B299" s="54" t="s">
        <v>469</v>
      </c>
      <c r="C299" s="31">
        <v>4301031154</v>
      </c>
      <c r="D299" s="547">
        <v>4607091387292</v>
      </c>
      <c r="E299" s="548"/>
      <c r="F299" s="540">
        <v>0.73</v>
      </c>
      <c r="G299" s="32">
        <v>6</v>
      </c>
      <c r="H299" s="540">
        <v>4.38</v>
      </c>
      <c r="I299" s="540">
        <v>4.6500000000000004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57"/>
      <c r="R299" s="557"/>
      <c r="S299" s="557"/>
      <c r="T299" s="558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4301031152</v>
      </c>
      <c r="D300" s="547">
        <v>4607091387285</v>
      </c>
      <c r="E300" s="548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8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57"/>
      <c r="R300" s="557"/>
      <c r="S300" s="557"/>
      <c r="T300" s="558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4301031305</v>
      </c>
      <c r="D301" s="547">
        <v>4607091389845</v>
      </c>
      <c r="E301" s="548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79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57"/>
      <c r="R301" s="557"/>
      <c r="S301" s="557"/>
      <c r="T301" s="558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4301031306</v>
      </c>
      <c r="D302" s="547">
        <v>4680115882881</v>
      </c>
      <c r="E302" s="548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62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57"/>
      <c r="R302" s="557"/>
      <c r="S302" s="557"/>
      <c r="T302" s="558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4301031066</v>
      </c>
      <c r="D303" s="547">
        <v>4607091383836</v>
      </c>
      <c r="E303" s="548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70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57"/>
      <c r="R303" s="557"/>
      <c r="S303" s="557"/>
      <c r="T303" s="558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2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3"/>
      <c r="P304" s="549" t="s">
        <v>71</v>
      </c>
      <c r="Q304" s="550"/>
      <c r="R304" s="550"/>
      <c r="S304" s="550"/>
      <c r="T304" s="550"/>
      <c r="U304" s="550"/>
      <c r="V304" s="551"/>
      <c r="W304" s="37" t="s">
        <v>72</v>
      </c>
      <c r="X304" s="543">
        <f>IFERROR(X297/H297,"0")+IFERROR(X298/H298,"0")+IFERROR(X299/H299,"0")+IFERROR(X300/H300,"0")+IFERROR(X301/H301,"0")+IFERROR(X302/H302,"0")+IFERROR(X303/H303,"0")</f>
        <v>7.1428571428571423</v>
      </c>
      <c r="Y304" s="543">
        <f>IFERROR(Y297/H297,"0")+IFERROR(Y298/H298,"0")+IFERROR(Y299/H299,"0")+IFERROR(Y300/H300,"0")+IFERROR(Y301/H301,"0")+IFERROR(Y302/H302,"0")+IFERROR(Y303/H303,"0")</f>
        <v>8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7.2160000000000002E-2</v>
      </c>
      <c r="AA304" s="544"/>
      <c r="AB304" s="544"/>
      <c r="AC304" s="544"/>
    </row>
    <row r="305" spans="1:68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3"/>
      <c r="P305" s="549" t="s">
        <v>71</v>
      </c>
      <c r="Q305" s="550"/>
      <c r="R305" s="550"/>
      <c r="S305" s="550"/>
      <c r="T305" s="550"/>
      <c r="U305" s="550"/>
      <c r="V305" s="551"/>
      <c r="W305" s="37" t="s">
        <v>69</v>
      </c>
      <c r="X305" s="543">
        <f>IFERROR(SUM(X297:X303),"0")</f>
        <v>30</v>
      </c>
      <c r="Y305" s="543">
        <f>IFERROR(SUM(Y297:Y303),"0")</f>
        <v>33.6</v>
      </c>
      <c r="Z305" s="37"/>
      <c r="AA305" s="544"/>
      <c r="AB305" s="544"/>
      <c r="AC305" s="544"/>
    </row>
    <row r="306" spans="1:68" ht="14.25" hidden="1" customHeight="1" x14ac:dyDescent="0.25">
      <c r="A306" s="545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481</v>
      </c>
      <c r="B307" s="54" t="s">
        <v>482</v>
      </c>
      <c r="C307" s="31">
        <v>4301051100</v>
      </c>
      <c r="D307" s="547">
        <v>4607091387766</v>
      </c>
      <c r="E307" s="548"/>
      <c r="F307" s="540">
        <v>1.3</v>
      </c>
      <c r="G307" s="32">
        <v>6</v>
      </c>
      <c r="H307" s="540">
        <v>7.8</v>
      </c>
      <c r="I307" s="540">
        <v>8.3130000000000006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8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57"/>
      <c r="R307" s="557"/>
      <c r="S307" s="557"/>
      <c r="T307" s="558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484</v>
      </c>
      <c r="B308" s="54" t="s">
        <v>485</v>
      </c>
      <c r="C308" s="31">
        <v>4301051818</v>
      </c>
      <c r="D308" s="547">
        <v>4607091387957</v>
      </c>
      <c r="E308" s="548"/>
      <c r="F308" s="540">
        <v>1.3</v>
      </c>
      <c r="G308" s="32">
        <v>6</v>
      </c>
      <c r="H308" s="540">
        <v>7.8</v>
      </c>
      <c r="I308" s="540">
        <v>8.3190000000000008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57"/>
      <c r="R308" s="557"/>
      <c r="S308" s="557"/>
      <c r="T308" s="558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4301051819</v>
      </c>
      <c r="D309" s="547">
        <v>4607091387964</v>
      </c>
      <c r="E309" s="548"/>
      <c r="F309" s="540">
        <v>1.35</v>
      </c>
      <c r="G309" s="32">
        <v>6</v>
      </c>
      <c r="H309" s="540">
        <v>8.1</v>
      </c>
      <c r="I309" s="540">
        <v>8.6010000000000009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57"/>
      <c r="R309" s="557"/>
      <c r="S309" s="557"/>
      <c r="T309" s="558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4301051734</v>
      </c>
      <c r="D310" s="547">
        <v>4680115884588</v>
      </c>
      <c r="E310" s="548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6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57"/>
      <c r="R310" s="557"/>
      <c r="S310" s="557"/>
      <c r="T310" s="558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493</v>
      </c>
      <c r="B311" s="54" t="s">
        <v>494</v>
      </c>
      <c r="C311" s="31">
        <v>4301051578</v>
      </c>
      <c r="D311" s="547">
        <v>4607091387513</v>
      </c>
      <c r="E311" s="548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 t="s">
        <v>188</v>
      </c>
      <c r="M311" s="33" t="s">
        <v>84</v>
      </c>
      <c r="N311" s="33"/>
      <c r="O311" s="32">
        <v>40</v>
      </c>
      <c r="P311" s="714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57"/>
      <c r="R311" s="557"/>
      <c r="S311" s="557"/>
      <c r="T311" s="558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495</v>
      </c>
      <c r="AG311" s="64"/>
      <c r="AJ311" s="68" t="s">
        <v>106</v>
      </c>
      <c r="AK311" s="68">
        <v>37.799999999999997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2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3"/>
      <c r="P312" s="549" t="s">
        <v>71</v>
      </c>
      <c r="Q312" s="550"/>
      <c r="R312" s="550"/>
      <c r="S312" s="550"/>
      <c r="T312" s="550"/>
      <c r="U312" s="550"/>
      <c r="V312" s="551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46"/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53"/>
      <c r="P313" s="549" t="s">
        <v>71</v>
      </c>
      <c r="Q313" s="550"/>
      <c r="R313" s="550"/>
      <c r="S313" s="550"/>
      <c r="T313" s="550"/>
      <c r="U313" s="550"/>
      <c r="V313" s="551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45" t="s">
        <v>165</v>
      </c>
      <c r="B314" s="546"/>
      <c r="C314" s="546"/>
      <c r="D314" s="546"/>
      <c r="E314" s="546"/>
      <c r="F314" s="546"/>
      <c r="G314" s="546"/>
      <c r="H314" s="546"/>
      <c r="I314" s="546"/>
      <c r="J314" s="546"/>
      <c r="K314" s="546"/>
      <c r="L314" s="546"/>
      <c r="M314" s="546"/>
      <c r="N314" s="546"/>
      <c r="O314" s="546"/>
      <c r="P314" s="546"/>
      <c r="Q314" s="546"/>
      <c r="R314" s="546"/>
      <c r="S314" s="546"/>
      <c r="T314" s="546"/>
      <c r="U314" s="546"/>
      <c r="V314" s="546"/>
      <c r="W314" s="546"/>
      <c r="X314" s="546"/>
      <c r="Y314" s="546"/>
      <c r="Z314" s="546"/>
      <c r="AA314" s="537"/>
      <c r="AB314" s="537"/>
      <c r="AC314" s="537"/>
    </row>
    <row r="315" spans="1:68" ht="27" customHeight="1" x14ac:dyDescent="0.25">
      <c r="A315" s="54" t="s">
        <v>496</v>
      </c>
      <c r="B315" s="54" t="s">
        <v>497</v>
      </c>
      <c r="C315" s="31">
        <v>4301060387</v>
      </c>
      <c r="D315" s="547">
        <v>4607091380880</v>
      </c>
      <c r="E315" s="548"/>
      <c r="F315" s="540">
        <v>1.4</v>
      </c>
      <c r="G315" s="32">
        <v>6</v>
      </c>
      <c r="H315" s="540">
        <v>8.4</v>
      </c>
      <c r="I315" s="540">
        <v>8.9190000000000005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7"/>
      <c r="R315" s="557"/>
      <c r="S315" s="557"/>
      <c r="T315" s="558"/>
      <c r="U315" s="34"/>
      <c r="V315" s="34"/>
      <c r="W315" s="35" t="s">
        <v>69</v>
      </c>
      <c r="X315" s="541">
        <v>40</v>
      </c>
      <c r="Y315" s="542">
        <f>IFERROR(IF(X315="",0,CEILING((X315/$H315),1)*$H315),"")</f>
        <v>42</v>
      </c>
      <c r="Z315" s="36">
        <f>IFERROR(IF(Y315=0,"",ROUNDUP(Y315/H315,0)*0.01898),"")</f>
        <v>9.4899999999999998E-2</v>
      </c>
      <c r="AA315" s="56"/>
      <c r="AB315" s="57"/>
      <c r="AC315" s="365" t="s">
        <v>498</v>
      </c>
      <c r="AG315" s="64"/>
      <c r="AJ315" s="68" t="s">
        <v>106</v>
      </c>
      <c r="AK315" s="68">
        <v>67.2</v>
      </c>
      <c r="BB315" s="366" t="s">
        <v>1</v>
      </c>
      <c r="BM315" s="64">
        <f>IFERROR(X315*I315/H315,"0")</f>
        <v>42.471428571428568</v>
      </c>
      <c r="BN315" s="64">
        <f>IFERROR(Y315*I315/H315,"0")</f>
        <v>44.594999999999999</v>
      </c>
      <c r="BO315" s="64">
        <f>IFERROR(1/J315*(X315/H315),"0")</f>
        <v>7.4404761904761904E-2</v>
      </c>
      <c r="BP315" s="64">
        <f>IFERROR(1/J315*(Y315/H315),"0")</f>
        <v>7.8125E-2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7">
        <v>4607091384482</v>
      </c>
      <c r="E316" s="548"/>
      <c r="F316" s="540">
        <v>1.3</v>
      </c>
      <c r="G316" s="32">
        <v>6</v>
      </c>
      <c r="H316" s="540">
        <v>7.8</v>
      </c>
      <c r="I316" s="540">
        <v>8.3190000000000008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8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7"/>
      <c r="R316" s="557"/>
      <c r="S316" s="557"/>
      <c r="T316" s="558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7">
        <v>4607091380897</v>
      </c>
      <c r="E317" s="548"/>
      <c r="F317" s="540">
        <v>1.4</v>
      </c>
      <c r="G317" s="32">
        <v>6</v>
      </c>
      <c r="H317" s="540">
        <v>8.4</v>
      </c>
      <c r="I317" s="540">
        <v>8.9190000000000005</v>
      </c>
      <c r="J317" s="32">
        <v>64</v>
      </c>
      <c r="K317" s="32" t="s">
        <v>102</v>
      </c>
      <c r="L317" s="32" t="s">
        <v>103</v>
      </c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7"/>
      <c r="R317" s="557"/>
      <c r="S317" s="557"/>
      <c r="T317" s="558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106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2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3"/>
      <c r="P318" s="549" t="s">
        <v>71</v>
      </c>
      <c r="Q318" s="550"/>
      <c r="R318" s="550"/>
      <c r="S318" s="550"/>
      <c r="T318" s="550"/>
      <c r="U318" s="550"/>
      <c r="V318" s="551"/>
      <c r="W318" s="37" t="s">
        <v>72</v>
      </c>
      <c r="X318" s="543">
        <f>IFERROR(X315/H315,"0")+IFERROR(X316/H316,"0")+IFERROR(X317/H317,"0")</f>
        <v>4.7619047619047619</v>
      </c>
      <c r="Y318" s="543">
        <f>IFERROR(Y315/H315,"0")+IFERROR(Y316/H316,"0")+IFERROR(Y317/H317,"0")</f>
        <v>5</v>
      </c>
      <c r="Z318" s="543">
        <f>IFERROR(IF(Z315="",0,Z315),"0")+IFERROR(IF(Z316="",0,Z316),"0")+IFERROR(IF(Z317="",0,Z317),"0")</f>
        <v>9.4899999999999998E-2</v>
      </c>
      <c r="AA318" s="544"/>
      <c r="AB318" s="544"/>
      <c r="AC318" s="544"/>
    </row>
    <row r="319" spans="1:68" x14ac:dyDescent="0.2">
      <c r="A319" s="546"/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53"/>
      <c r="P319" s="549" t="s">
        <v>71</v>
      </c>
      <c r="Q319" s="550"/>
      <c r="R319" s="550"/>
      <c r="S319" s="550"/>
      <c r="T319" s="550"/>
      <c r="U319" s="550"/>
      <c r="V319" s="551"/>
      <c r="W319" s="37" t="s">
        <v>69</v>
      </c>
      <c r="X319" s="543">
        <f>IFERROR(SUM(X315:X317),"0")</f>
        <v>40</v>
      </c>
      <c r="Y319" s="543">
        <f>IFERROR(SUM(Y315:Y317),"0")</f>
        <v>42</v>
      </c>
      <c r="Z319" s="37"/>
      <c r="AA319" s="544"/>
      <c r="AB319" s="544"/>
      <c r="AC319" s="544"/>
    </row>
    <row r="320" spans="1:68" ht="14.25" hidden="1" customHeight="1" x14ac:dyDescent="0.25">
      <c r="A320" s="545" t="s">
        <v>91</v>
      </c>
      <c r="B320" s="546"/>
      <c r="C320" s="546"/>
      <c r="D320" s="546"/>
      <c r="E320" s="546"/>
      <c r="F320" s="546"/>
      <c r="G320" s="546"/>
      <c r="H320" s="546"/>
      <c r="I320" s="546"/>
      <c r="J320" s="546"/>
      <c r="K320" s="546"/>
      <c r="L320" s="546"/>
      <c r="M320" s="546"/>
      <c r="N320" s="546"/>
      <c r="O320" s="546"/>
      <c r="P320" s="546"/>
      <c r="Q320" s="546"/>
      <c r="R320" s="546"/>
      <c r="S320" s="546"/>
      <c r="T320" s="546"/>
      <c r="U320" s="546"/>
      <c r="V320" s="546"/>
      <c r="W320" s="546"/>
      <c r="X320" s="546"/>
      <c r="Y320" s="546"/>
      <c r="Z320" s="546"/>
      <c r="AA320" s="537"/>
      <c r="AB320" s="537"/>
      <c r="AC320" s="537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7">
        <v>4607091388381</v>
      </c>
      <c r="E321" s="548"/>
      <c r="F321" s="540">
        <v>0.38</v>
      </c>
      <c r="G321" s="32">
        <v>8</v>
      </c>
      <c r="H321" s="540">
        <v>3.04</v>
      </c>
      <c r="I321" s="540">
        <v>3.33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7"/>
      <c r="R321" s="557"/>
      <c r="S321" s="557"/>
      <c r="T321" s="558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7">
        <v>4607091388374</v>
      </c>
      <c r="E322" s="548"/>
      <c r="F322" s="540">
        <v>0.38</v>
      </c>
      <c r="G322" s="32">
        <v>8</v>
      </c>
      <c r="H322" s="540">
        <v>3.04</v>
      </c>
      <c r="I322" s="540">
        <v>3.29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2" t="s">
        <v>510</v>
      </c>
      <c r="Q322" s="557"/>
      <c r="R322" s="557"/>
      <c r="S322" s="557"/>
      <c r="T322" s="558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511</v>
      </c>
      <c r="B323" s="54" t="s">
        <v>512</v>
      </c>
      <c r="C323" s="31">
        <v>4301032015</v>
      </c>
      <c r="D323" s="547">
        <v>4607091383102</v>
      </c>
      <c r="E323" s="548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188</v>
      </c>
      <c r="M323" s="33" t="s">
        <v>94</v>
      </c>
      <c r="N323" s="33"/>
      <c r="O323" s="32">
        <v>180</v>
      </c>
      <c r="P323" s="79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7"/>
      <c r="R323" s="557"/>
      <c r="S323" s="557"/>
      <c r="T323" s="558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514</v>
      </c>
      <c r="B324" s="54" t="s">
        <v>515</v>
      </c>
      <c r="C324" s="31">
        <v>4301030233</v>
      </c>
      <c r="D324" s="547">
        <v>4607091388404</v>
      </c>
      <c r="E324" s="548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188</v>
      </c>
      <c r="M324" s="33" t="s">
        <v>94</v>
      </c>
      <c r="N324" s="33"/>
      <c r="O324" s="32">
        <v>180</v>
      </c>
      <c r="P324" s="72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7"/>
      <c r="R324" s="557"/>
      <c r="S324" s="557"/>
      <c r="T324" s="558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507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2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3"/>
      <c r="P325" s="549" t="s">
        <v>71</v>
      </c>
      <c r="Q325" s="550"/>
      <c r="R325" s="550"/>
      <c r="S325" s="550"/>
      <c r="T325" s="550"/>
      <c r="U325" s="550"/>
      <c r="V325" s="551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46"/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53"/>
      <c r="P326" s="549" t="s">
        <v>71</v>
      </c>
      <c r="Q326" s="550"/>
      <c r="R326" s="550"/>
      <c r="S326" s="550"/>
      <c r="T326" s="550"/>
      <c r="U326" s="550"/>
      <c r="V326" s="551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45" t="s">
        <v>516</v>
      </c>
      <c r="B327" s="546"/>
      <c r="C327" s="546"/>
      <c r="D327" s="546"/>
      <c r="E327" s="546"/>
      <c r="F327" s="546"/>
      <c r="G327" s="546"/>
      <c r="H327" s="546"/>
      <c r="I327" s="546"/>
      <c r="J327" s="546"/>
      <c r="K327" s="546"/>
      <c r="L327" s="546"/>
      <c r="M327" s="546"/>
      <c r="N327" s="546"/>
      <c r="O327" s="546"/>
      <c r="P327" s="546"/>
      <c r="Q327" s="546"/>
      <c r="R327" s="546"/>
      <c r="S327" s="546"/>
      <c r="T327" s="546"/>
      <c r="U327" s="546"/>
      <c r="V327" s="546"/>
      <c r="W327" s="546"/>
      <c r="X327" s="546"/>
      <c r="Y327" s="546"/>
      <c r="Z327" s="546"/>
      <c r="AA327" s="537"/>
      <c r="AB327" s="537"/>
      <c r="AC327" s="537"/>
    </row>
    <row r="328" spans="1:68" ht="16.5" hidden="1" customHeight="1" x14ac:dyDescent="0.25">
      <c r="A328" s="54" t="s">
        <v>517</v>
      </c>
      <c r="B328" s="54" t="s">
        <v>518</v>
      </c>
      <c r="C328" s="31">
        <v>4301180007</v>
      </c>
      <c r="D328" s="547">
        <v>4680115881808</v>
      </c>
      <c r="E328" s="548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188</v>
      </c>
      <c r="M328" s="33" t="s">
        <v>519</v>
      </c>
      <c r="N328" s="33"/>
      <c r="O328" s="32">
        <v>730</v>
      </c>
      <c r="P328" s="58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7"/>
      <c r="R328" s="557"/>
      <c r="S328" s="557"/>
      <c r="T328" s="558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521</v>
      </c>
      <c r="B329" s="54" t="s">
        <v>522</v>
      </c>
      <c r="C329" s="31">
        <v>4301180006</v>
      </c>
      <c r="D329" s="547">
        <v>4680115881822</v>
      </c>
      <c r="E329" s="548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0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7"/>
      <c r="R329" s="557"/>
      <c r="S329" s="557"/>
      <c r="T329" s="558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523</v>
      </c>
      <c r="B330" s="54" t="s">
        <v>524</v>
      </c>
      <c r="C330" s="31">
        <v>4301180001</v>
      </c>
      <c r="D330" s="547">
        <v>4680115880016</v>
      </c>
      <c r="E330" s="548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 t="s">
        <v>188</v>
      </c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7"/>
      <c r="R330" s="557"/>
      <c r="S330" s="557"/>
      <c r="T330" s="558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 t="s">
        <v>106</v>
      </c>
      <c r="AK330" s="68">
        <v>28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2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3"/>
      <c r="P331" s="549" t="s">
        <v>71</v>
      </c>
      <c r="Q331" s="550"/>
      <c r="R331" s="550"/>
      <c r="S331" s="550"/>
      <c r="T331" s="550"/>
      <c r="U331" s="550"/>
      <c r="V331" s="551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46"/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53"/>
      <c r="P332" s="549" t="s">
        <v>71</v>
      </c>
      <c r="Q332" s="550"/>
      <c r="R332" s="550"/>
      <c r="S332" s="550"/>
      <c r="T332" s="550"/>
      <c r="U332" s="550"/>
      <c r="V332" s="551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74" t="s">
        <v>525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6"/>
      <c r="AB333" s="536"/>
      <c r="AC333" s="536"/>
    </row>
    <row r="334" spans="1:68" ht="14.25" hidden="1" customHeight="1" x14ac:dyDescent="0.25">
      <c r="A334" s="545" t="s">
        <v>73</v>
      </c>
      <c r="B334" s="546"/>
      <c r="C334" s="546"/>
      <c r="D334" s="546"/>
      <c r="E334" s="546"/>
      <c r="F334" s="546"/>
      <c r="G334" s="546"/>
      <c r="H334" s="546"/>
      <c r="I334" s="546"/>
      <c r="J334" s="546"/>
      <c r="K334" s="546"/>
      <c r="L334" s="546"/>
      <c r="M334" s="546"/>
      <c r="N334" s="546"/>
      <c r="O334" s="546"/>
      <c r="P334" s="546"/>
      <c r="Q334" s="546"/>
      <c r="R334" s="546"/>
      <c r="S334" s="546"/>
      <c r="T334" s="546"/>
      <c r="U334" s="546"/>
      <c r="V334" s="546"/>
      <c r="W334" s="546"/>
      <c r="X334" s="546"/>
      <c r="Y334" s="546"/>
      <c r="Z334" s="546"/>
      <c r="AA334" s="537"/>
      <c r="AB334" s="537"/>
      <c r="AC334" s="537"/>
    </row>
    <row r="335" spans="1:68" ht="27" hidden="1" customHeight="1" x14ac:dyDescent="0.25">
      <c r="A335" s="54" t="s">
        <v>526</v>
      </c>
      <c r="B335" s="54" t="s">
        <v>527</v>
      </c>
      <c r="C335" s="31">
        <v>4301051489</v>
      </c>
      <c r="D335" s="547">
        <v>4607091387919</v>
      </c>
      <c r="E335" s="548"/>
      <c r="F335" s="540">
        <v>1.35</v>
      </c>
      <c r="G335" s="32">
        <v>6</v>
      </c>
      <c r="H335" s="540">
        <v>8.1</v>
      </c>
      <c r="I335" s="540">
        <v>8.6189999999999998</v>
      </c>
      <c r="J335" s="32">
        <v>64</v>
      </c>
      <c r="K335" s="32" t="s">
        <v>102</v>
      </c>
      <c r="L335" s="32" t="s">
        <v>103</v>
      </c>
      <c r="M335" s="33" t="s">
        <v>84</v>
      </c>
      <c r="N335" s="33"/>
      <c r="O335" s="32">
        <v>45</v>
      </c>
      <c r="P335" s="78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7"/>
      <c r="R335" s="557"/>
      <c r="S335" s="557"/>
      <c r="T335" s="558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106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529</v>
      </c>
      <c r="B336" s="54" t="s">
        <v>530</v>
      </c>
      <c r="C336" s="31">
        <v>4301051461</v>
      </c>
      <c r="D336" s="547">
        <v>4680115883604</v>
      </c>
      <c r="E336" s="548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188</v>
      </c>
      <c r="M336" s="33" t="s">
        <v>77</v>
      </c>
      <c r="N336" s="33"/>
      <c r="O336" s="32">
        <v>45</v>
      </c>
      <c r="P336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7"/>
      <c r="R336" s="557"/>
      <c r="S336" s="557"/>
      <c r="T336" s="558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532</v>
      </c>
      <c r="B337" s="54" t="s">
        <v>533</v>
      </c>
      <c r="C337" s="31">
        <v>4301051864</v>
      </c>
      <c r="D337" s="547">
        <v>4680115883567</v>
      </c>
      <c r="E337" s="548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188</v>
      </c>
      <c r="M337" s="33" t="s">
        <v>84</v>
      </c>
      <c r="N337" s="33"/>
      <c r="O337" s="32">
        <v>40</v>
      </c>
      <c r="P337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7"/>
      <c r="R337" s="557"/>
      <c r="S337" s="557"/>
      <c r="T337" s="558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52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3"/>
      <c r="P338" s="549" t="s">
        <v>71</v>
      </c>
      <c r="Q338" s="550"/>
      <c r="R338" s="550"/>
      <c r="S338" s="550"/>
      <c r="T338" s="550"/>
      <c r="U338" s="550"/>
      <c r="V338" s="551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hidden="1" x14ac:dyDescent="0.2">
      <c r="A339" s="546"/>
      <c r="B339" s="546"/>
      <c r="C339" s="546"/>
      <c r="D339" s="546"/>
      <c r="E339" s="546"/>
      <c r="F339" s="546"/>
      <c r="G339" s="546"/>
      <c r="H339" s="546"/>
      <c r="I339" s="546"/>
      <c r="J339" s="546"/>
      <c r="K339" s="546"/>
      <c r="L339" s="546"/>
      <c r="M339" s="546"/>
      <c r="N339" s="546"/>
      <c r="O339" s="553"/>
      <c r="P339" s="549" t="s">
        <v>71</v>
      </c>
      <c r="Q339" s="550"/>
      <c r="R339" s="550"/>
      <c r="S339" s="550"/>
      <c r="T339" s="550"/>
      <c r="U339" s="550"/>
      <c r="V339" s="551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hidden="1" customHeight="1" x14ac:dyDescent="0.2">
      <c r="A340" s="644" t="s">
        <v>535</v>
      </c>
      <c r="B340" s="645"/>
      <c r="C340" s="645"/>
      <c r="D340" s="645"/>
      <c r="E340" s="645"/>
      <c r="F340" s="645"/>
      <c r="G340" s="645"/>
      <c r="H340" s="645"/>
      <c r="I340" s="645"/>
      <c r="J340" s="645"/>
      <c r="K340" s="645"/>
      <c r="L340" s="645"/>
      <c r="M340" s="645"/>
      <c r="N340" s="645"/>
      <c r="O340" s="645"/>
      <c r="P340" s="645"/>
      <c r="Q340" s="645"/>
      <c r="R340" s="645"/>
      <c r="S340" s="645"/>
      <c r="T340" s="645"/>
      <c r="U340" s="645"/>
      <c r="V340" s="645"/>
      <c r="W340" s="645"/>
      <c r="X340" s="645"/>
      <c r="Y340" s="645"/>
      <c r="Z340" s="645"/>
      <c r="AA340" s="48"/>
      <c r="AB340" s="48"/>
      <c r="AC340" s="48"/>
    </row>
    <row r="341" spans="1:68" ht="16.5" hidden="1" customHeight="1" x14ac:dyDescent="0.25">
      <c r="A341" s="574" t="s">
        <v>536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6"/>
      <c r="AB341" s="536"/>
      <c r="AC341" s="536"/>
    </row>
    <row r="342" spans="1:68" ht="14.25" hidden="1" customHeight="1" x14ac:dyDescent="0.25">
      <c r="A342" s="545" t="s">
        <v>99</v>
      </c>
      <c r="B342" s="546"/>
      <c r="C342" s="546"/>
      <c r="D342" s="546"/>
      <c r="E342" s="546"/>
      <c r="F342" s="546"/>
      <c r="G342" s="546"/>
      <c r="H342" s="546"/>
      <c r="I342" s="546"/>
      <c r="J342" s="546"/>
      <c r="K342" s="546"/>
      <c r="L342" s="546"/>
      <c r="M342" s="546"/>
      <c r="N342" s="546"/>
      <c r="O342" s="546"/>
      <c r="P342" s="546"/>
      <c r="Q342" s="546"/>
      <c r="R342" s="546"/>
      <c r="S342" s="546"/>
      <c r="T342" s="546"/>
      <c r="U342" s="546"/>
      <c r="V342" s="546"/>
      <c r="W342" s="546"/>
      <c r="X342" s="546"/>
      <c r="Y342" s="546"/>
      <c r="Z342" s="546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7">
        <v>4680115884847</v>
      </c>
      <c r="E343" s="548"/>
      <c r="F343" s="540">
        <v>2.5</v>
      </c>
      <c r="G343" s="32">
        <v>6</v>
      </c>
      <c r="H343" s="540">
        <v>15</v>
      </c>
      <c r="I343" s="540">
        <v>15.48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7"/>
      <c r="R343" s="557"/>
      <c r="S343" s="557"/>
      <c r="T343" s="558"/>
      <c r="U343" s="34"/>
      <c r="V343" s="34"/>
      <c r="W343" s="35" t="s">
        <v>69</v>
      </c>
      <c r="X343" s="541">
        <v>3000</v>
      </c>
      <c r="Y343" s="542">
        <f t="shared" ref="Y343:Y349" si="31">IFERROR(IF(X343="",0,CEILING((X343/$H343),1)*$H343),"")</f>
        <v>3000</v>
      </c>
      <c r="Z343" s="36">
        <f>IFERROR(IF(Y343=0,"",ROUNDUP(Y343/H343,0)*0.02175),"")</f>
        <v>4.3499999999999996</v>
      </c>
      <c r="AA343" s="56"/>
      <c r="AB343" s="57"/>
      <c r="AC343" s="391" t="s">
        <v>539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3096</v>
      </c>
      <c r="BN343" s="64">
        <f t="shared" ref="BN343:BN349" si="33">IFERROR(Y343*I343/H343,"0")</f>
        <v>3096</v>
      </c>
      <c r="BO343" s="64">
        <f t="shared" ref="BO343:BO349" si="34">IFERROR(1/J343*(X343/H343),"0")</f>
        <v>4.1666666666666661</v>
      </c>
      <c r="BP343" s="64">
        <f t="shared" ref="BP343:BP349" si="35">IFERROR(1/J343*(Y343/H343),"0")</f>
        <v>4.1666666666666661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7">
        <v>4680115884854</v>
      </c>
      <c r="E344" s="548"/>
      <c r="F344" s="540">
        <v>2.5</v>
      </c>
      <c r="G344" s="32">
        <v>6</v>
      </c>
      <c r="H344" s="540">
        <v>15</v>
      </c>
      <c r="I344" s="540">
        <v>15.48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7"/>
      <c r="R344" s="557"/>
      <c r="S344" s="557"/>
      <c r="T344" s="558"/>
      <c r="U344" s="34"/>
      <c r="V344" s="34"/>
      <c r="W344" s="35" t="s">
        <v>69</v>
      </c>
      <c r="X344" s="541">
        <v>500</v>
      </c>
      <c r="Y344" s="542">
        <f t="shared" si="31"/>
        <v>510</v>
      </c>
      <c r="Z344" s="36">
        <f>IFERROR(IF(Y344=0,"",ROUNDUP(Y344/H344,0)*0.02175),"")</f>
        <v>0.73949999999999994</v>
      </c>
      <c r="AA344" s="56"/>
      <c r="AB344" s="57"/>
      <c r="AC344" s="393" t="s">
        <v>542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516</v>
      </c>
      <c r="BN344" s="64">
        <f t="shared" si="33"/>
        <v>526.32000000000005</v>
      </c>
      <c r="BO344" s="64">
        <f t="shared" si="34"/>
        <v>0.69444444444444442</v>
      </c>
      <c r="BP344" s="64">
        <f t="shared" si="35"/>
        <v>0.70833333333333326</v>
      </c>
    </row>
    <row r="345" spans="1:68" ht="27" hidden="1" customHeight="1" x14ac:dyDescent="0.25">
      <c r="A345" s="54" t="s">
        <v>543</v>
      </c>
      <c r="B345" s="54" t="s">
        <v>544</v>
      </c>
      <c r="C345" s="31">
        <v>4301011832</v>
      </c>
      <c r="D345" s="547">
        <v>4607091383997</v>
      </c>
      <c r="E345" s="548"/>
      <c r="F345" s="540">
        <v>2.5</v>
      </c>
      <c r="G345" s="32">
        <v>6</v>
      </c>
      <c r="H345" s="540">
        <v>15</v>
      </c>
      <c r="I345" s="540">
        <v>15.48</v>
      </c>
      <c r="J345" s="32">
        <v>48</v>
      </c>
      <c r="K345" s="32" t="s">
        <v>102</v>
      </c>
      <c r="L345" s="32" t="s">
        <v>103</v>
      </c>
      <c r="M345" s="33" t="s">
        <v>84</v>
      </c>
      <c r="N345" s="33"/>
      <c r="O345" s="32">
        <v>60</v>
      </c>
      <c r="P345" s="788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5" s="557"/>
      <c r="R345" s="557"/>
      <c r="S345" s="557"/>
      <c r="T345" s="558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37.5" customHeight="1" x14ac:dyDescent="0.25">
      <c r="A346" s="54" t="s">
        <v>546</v>
      </c>
      <c r="B346" s="54" t="s">
        <v>547</v>
      </c>
      <c r="C346" s="31">
        <v>4301011867</v>
      </c>
      <c r="D346" s="547">
        <v>4680115884830</v>
      </c>
      <c r="E346" s="548"/>
      <c r="F346" s="540">
        <v>2.5</v>
      </c>
      <c r="G346" s="32">
        <v>6</v>
      </c>
      <c r="H346" s="540">
        <v>15</v>
      </c>
      <c r="I346" s="540">
        <v>15.48</v>
      </c>
      <c r="J346" s="32">
        <v>48</v>
      </c>
      <c r="K346" s="32" t="s">
        <v>102</v>
      </c>
      <c r="L346" s="32" t="s">
        <v>103</v>
      </c>
      <c r="M346" s="33" t="s">
        <v>68</v>
      </c>
      <c r="N346" s="33"/>
      <c r="O346" s="32">
        <v>60</v>
      </c>
      <c r="P346" s="75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7"/>
      <c r="R346" s="557"/>
      <c r="S346" s="557"/>
      <c r="T346" s="558"/>
      <c r="U346" s="34"/>
      <c r="V346" s="34"/>
      <c r="W346" s="35" t="s">
        <v>69</v>
      </c>
      <c r="X346" s="541">
        <v>2000</v>
      </c>
      <c r="Y346" s="542">
        <f t="shared" si="31"/>
        <v>2010</v>
      </c>
      <c r="Z346" s="36">
        <f>IFERROR(IF(Y346=0,"",ROUNDUP(Y346/H346,0)*0.02175),"")</f>
        <v>2.9144999999999999</v>
      </c>
      <c r="AA346" s="56"/>
      <c r="AB346" s="57"/>
      <c r="AC346" s="397" t="s">
        <v>548</v>
      </c>
      <c r="AG346" s="64"/>
      <c r="AJ346" s="68" t="s">
        <v>106</v>
      </c>
      <c r="AK346" s="68">
        <v>120</v>
      </c>
      <c r="BB346" s="398" t="s">
        <v>1</v>
      </c>
      <c r="BM346" s="64">
        <f t="shared" si="32"/>
        <v>2064</v>
      </c>
      <c r="BN346" s="64">
        <f t="shared" si="33"/>
        <v>2074.3200000000002</v>
      </c>
      <c r="BO346" s="64">
        <f t="shared" si="34"/>
        <v>2.7777777777777777</v>
      </c>
      <c r="BP346" s="64">
        <f t="shared" si="35"/>
        <v>2.7916666666666665</v>
      </c>
    </row>
    <row r="347" spans="1:68" ht="27" hidden="1" customHeight="1" x14ac:dyDescent="0.25">
      <c r="A347" s="54" t="s">
        <v>549</v>
      </c>
      <c r="B347" s="54" t="s">
        <v>550</v>
      </c>
      <c r="C347" s="31">
        <v>4301011433</v>
      </c>
      <c r="D347" s="547">
        <v>4680115882638</v>
      </c>
      <c r="E347" s="548"/>
      <c r="F347" s="540">
        <v>0.4</v>
      </c>
      <c r="G347" s="32">
        <v>10</v>
      </c>
      <c r="H347" s="540">
        <v>4</v>
      </c>
      <c r="I347" s="540">
        <v>4.21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7"/>
      <c r="R347" s="557"/>
      <c r="S347" s="557"/>
      <c r="T347" s="558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hidden="1" customHeight="1" x14ac:dyDescent="0.25">
      <c r="A348" s="54" t="s">
        <v>552</v>
      </c>
      <c r="B348" s="54" t="s">
        <v>553</v>
      </c>
      <c r="C348" s="31">
        <v>4301011952</v>
      </c>
      <c r="D348" s="547">
        <v>4680115884922</v>
      </c>
      <c r="E348" s="548"/>
      <c r="F348" s="540">
        <v>0.5</v>
      </c>
      <c r="G348" s="32">
        <v>10</v>
      </c>
      <c r="H348" s="540">
        <v>5</v>
      </c>
      <c r="I348" s="540">
        <v>5.21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7"/>
      <c r="R348" s="557"/>
      <c r="S348" s="557"/>
      <c r="T348" s="558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hidden="1" customHeight="1" x14ac:dyDescent="0.25">
      <c r="A349" s="54" t="s">
        <v>554</v>
      </c>
      <c r="B349" s="54" t="s">
        <v>555</v>
      </c>
      <c r="C349" s="31">
        <v>4301011868</v>
      </c>
      <c r="D349" s="547">
        <v>4680115884861</v>
      </c>
      <c r="E349" s="548"/>
      <c r="F349" s="540">
        <v>0.5</v>
      </c>
      <c r="G349" s="32">
        <v>10</v>
      </c>
      <c r="H349" s="540">
        <v>5</v>
      </c>
      <c r="I349" s="540">
        <v>5.21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7"/>
      <c r="R349" s="557"/>
      <c r="S349" s="557"/>
      <c r="T349" s="558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2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3"/>
      <c r="P350" s="549" t="s">
        <v>71</v>
      </c>
      <c r="Q350" s="550"/>
      <c r="R350" s="550"/>
      <c r="S350" s="550"/>
      <c r="T350" s="550"/>
      <c r="U350" s="550"/>
      <c r="V350" s="551"/>
      <c r="W350" s="37" t="s">
        <v>72</v>
      </c>
      <c r="X350" s="543">
        <f>IFERROR(X343/H343,"0")+IFERROR(X344/H344,"0")+IFERROR(X345/H345,"0")+IFERROR(X346/H346,"0")+IFERROR(X347/H347,"0")+IFERROR(X348/H348,"0")+IFERROR(X349/H349,"0")</f>
        <v>366.66666666666669</v>
      </c>
      <c r="Y350" s="543">
        <f>IFERROR(Y343/H343,"0")+IFERROR(Y344/H344,"0")+IFERROR(Y345/H345,"0")+IFERROR(Y346/H346,"0")+IFERROR(Y347/H347,"0")+IFERROR(Y348/H348,"0")+IFERROR(Y349/H349,"0")</f>
        <v>368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8.0039999999999996</v>
      </c>
      <c r="AA350" s="544"/>
      <c r="AB350" s="544"/>
      <c r="AC350" s="544"/>
    </row>
    <row r="351" spans="1:68" x14ac:dyDescent="0.2">
      <c r="A351" s="546"/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53"/>
      <c r="P351" s="549" t="s">
        <v>71</v>
      </c>
      <c r="Q351" s="550"/>
      <c r="R351" s="550"/>
      <c r="S351" s="550"/>
      <c r="T351" s="550"/>
      <c r="U351" s="550"/>
      <c r="V351" s="551"/>
      <c r="W351" s="37" t="s">
        <v>69</v>
      </c>
      <c r="X351" s="543">
        <f>IFERROR(SUM(X343:X349),"0")</f>
        <v>5500</v>
      </c>
      <c r="Y351" s="543">
        <f>IFERROR(SUM(Y343:Y349),"0")</f>
        <v>5520</v>
      </c>
      <c r="Z351" s="37"/>
      <c r="AA351" s="544"/>
      <c r="AB351" s="544"/>
      <c r="AC351" s="544"/>
    </row>
    <row r="352" spans="1:68" ht="14.25" hidden="1" customHeight="1" x14ac:dyDescent="0.25">
      <c r="A352" s="545" t="s">
        <v>135</v>
      </c>
      <c r="B352" s="546"/>
      <c r="C352" s="546"/>
      <c r="D352" s="546"/>
      <c r="E352" s="546"/>
      <c r="F352" s="546"/>
      <c r="G352" s="546"/>
      <c r="H352" s="546"/>
      <c r="I352" s="546"/>
      <c r="J352" s="546"/>
      <c r="K352" s="546"/>
      <c r="L352" s="546"/>
      <c r="M352" s="546"/>
      <c r="N352" s="546"/>
      <c r="O352" s="546"/>
      <c r="P352" s="546"/>
      <c r="Q352" s="546"/>
      <c r="R352" s="546"/>
      <c r="S352" s="546"/>
      <c r="T352" s="546"/>
      <c r="U352" s="546"/>
      <c r="V352" s="546"/>
      <c r="W352" s="546"/>
      <c r="X352" s="546"/>
      <c r="Y352" s="546"/>
      <c r="Z352" s="546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7">
        <v>4607091383980</v>
      </c>
      <c r="E353" s="548"/>
      <c r="F353" s="540">
        <v>2.5</v>
      </c>
      <c r="G353" s="32">
        <v>6</v>
      </c>
      <c r="H353" s="540">
        <v>15</v>
      </c>
      <c r="I353" s="540">
        <v>15.48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7"/>
      <c r="R353" s="557"/>
      <c r="S353" s="557"/>
      <c r="T353" s="558"/>
      <c r="U353" s="34"/>
      <c r="V353" s="34"/>
      <c r="W353" s="35" t="s">
        <v>69</v>
      </c>
      <c r="X353" s="541">
        <v>3500</v>
      </c>
      <c r="Y353" s="542">
        <f>IFERROR(IF(X353="",0,CEILING((X353/$H353),1)*$H353),"")</f>
        <v>3510</v>
      </c>
      <c r="Z353" s="36">
        <f>IFERROR(IF(Y353=0,"",ROUNDUP(Y353/H353,0)*0.02175),"")</f>
        <v>5.0894999999999992</v>
      </c>
      <c r="AA353" s="56"/>
      <c r="AB353" s="57"/>
      <c r="AC353" s="405" t="s">
        <v>558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3612</v>
      </c>
      <c r="BN353" s="64">
        <f>IFERROR(Y353*I353/H353,"0")</f>
        <v>3622.32</v>
      </c>
      <c r="BO353" s="64">
        <f>IFERROR(1/J353*(X353/H353),"0")</f>
        <v>4.8611111111111107</v>
      </c>
      <c r="BP353" s="64">
        <f>IFERROR(1/J353*(Y353/H353),"0")</f>
        <v>4.875</v>
      </c>
    </row>
    <row r="354" spans="1:68" ht="16.5" hidden="1" customHeight="1" x14ac:dyDescent="0.25">
      <c r="A354" s="54" t="s">
        <v>559</v>
      </c>
      <c r="B354" s="54" t="s">
        <v>560</v>
      </c>
      <c r="C354" s="31">
        <v>4301020179</v>
      </c>
      <c r="D354" s="547">
        <v>4607091384178</v>
      </c>
      <c r="E354" s="548"/>
      <c r="F354" s="540">
        <v>0.4</v>
      </c>
      <c r="G354" s="32">
        <v>10</v>
      </c>
      <c r="H354" s="540">
        <v>4</v>
      </c>
      <c r="I354" s="540">
        <v>4.21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7"/>
      <c r="R354" s="557"/>
      <c r="S354" s="557"/>
      <c r="T354" s="558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2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3"/>
      <c r="P355" s="549" t="s">
        <v>71</v>
      </c>
      <c r="Q355" s="550"/>
      <c r="R355" s="550"/>
      <c r="S355" s="550"/>
      <c r="T355" s="550"/>
      <c r="U355" s="550"/>
      <c r="V355" s="551"/>
      <c r="W355" s="37" t="s">
        <v>72</v>
      </c>
      <c r="X355" s="543">
        <f>IFERROR(X353/H353,"0")+IFERROR(X354/H354,"0")</f>
        <v>233.33333333333334</v>
      </c>
      <c r="Y355" s="543">
        <f>IFERROR(Y353/H353,"0")+IFERROR(Y354/H354,"0")</f>
        <v>234</v>
      </c>
      <c r="Z355" s="543">
        <f>IFERROR(IF(Z353="",0,Z353),"0")+IFERROR(IF(Z354="",0,Z354),"0")</f>
        <v>5.0894999999999992</v>
      </c>
      <c r="AA355" s="544"/>
      <c r="AB355" s="544"/>
      <c r="AC355" s="544"/>
    </row>
    <row r="356" spans="1:68" x14ac:dyDescent="0.2">
      <c r="A356" s="546"/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53"/>
      <c r="P356" s="549" t="s">
        <v>71</v>
      </c>
      <c r="Q356" s="550"/>
      <c r="R356" s="550"/>
      <c r="S356" s="550"/>
      <c r="T356" s="550"/>
      <c r="U356" s="550"/>
      <c r="V356" s="551"/>
      <c r="W356" s="37" t="s">
        <v>69</v>
      </c>
      <c r="X356" s="543">
        <f>IFERROR(SUM(X353:X354),"0")</f>
        <v>3500</v>
      </c>
      <c r="Y356" s="543">
        <f>IFERROR(SUM(Y353:Y354),"0")</f>
        <v>3510</v>
      </c>
      <c r="Z356" s="37"/>
      <c r="AA356" s="544"/>
      <c r="AB356" s="544"/>
      <c r="AC356" s="544"/>
    </row>
    <row r="357" spans="1:68" ht="14.25" hidden="1" customHeight="1" x14ac:dyDescent="0.25">
      <c r="A357" s="545" t="s">
        <v>73</v>
      </c>
      <c r="B357" s="546"/>
      <c r="C357" s="546"/>
      <c r="D357" s="546"/>
      <c r="E357" s="546"/>
      <c r="F357" s="546"/>
      <c r="G357" s="546"/>
      <c r="H357" s="546"/>
      <c r="I357" s="546"/>
      <c r="J357" s="546"/>
      <c r="K357" s="546"/>
      <c r="L357" s="546"/>
      <c r="M357" s="546"/>
      <c r="N357" s="546"/>
      <c r="O357" s="546"/>
      <c r="P357" s="546"/>
      <c r="Q357" s="546"/>
      <c r="R357" s="546"/>
      <c r="S357" s="546"/>
      <c r="T357" s="546"/>
      <c r="U357" s="546"/>
      <c r="V357" s="546"/>
      <c r="W357" s="546"/>
      <c r="X357" s="546"/>
      <c r="Y357" s="546"/>
      <c r="Z357" s="546"/>
      <c r="AA357" s="537"/>
      <c r="AB357" s="537"/>
      <c r="AC357" s="537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7">
        <v>4607091383928</v>
      </c>
      <c r="E358" s="548"/>
      <c r="F358" s="540">
        <v>1.5</v>
      </c>
      <c r="G358" s="32">
        <v>6</v>
      </c>
      <c r="H358" s="540">
        <v>9</v>
      </c>
      <c r="I358" s="540">
        <v>9.5250000000000004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7"/>
      <c r="R358" s="557"/>
      <c r="S358" s="557"/>
      <c r="T358" s="558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7">
        <v>4607091384260</v>
      </c>
      <c r="E359" s="548"/>
      <c r="F359" s="540">
        <v>1.5</v>
      </c>
      <c r="G359" s="32">
        <v>6</v>
      </c>
      <c r="H359" s="540">
        <v>9</v>
      </c>
      <c r="I359" s="540">
        <v>9.5190000000000001</v>
      </c>
      <c r="J359" s="32">
        <v>64</v>
      </c>
      <c r="K359" s="32" t="s">
        <v>102</v>
      </c>
      <c r="L359" s="32" t="s">
        <v>103</v>
      </c>
      <c r="M359" s="33" t="s">
        <v>77</v>
      </c>
      <c r="N359" s="33"/>
      <c r="O359" s="32">
        <v>40</v>
      </c>
      <c r="P359" s="75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7"/>
      <c r="R359" s="557"/>
      <c r="S359" s="557"/>
      <c r="T359" s="558"/>
      <c r="U359" s="34"/>
      <c r="V359" s="34"/>
      <c r="W359" s="35" t="s">
        <v>69</v>
      </c>
      <c r="X359" s="541">
        <v>150</v>
      </c>
      <c r="Y359" s="542">
        <f>IFERROR(IF(X359="",0,CEILING((X359/$H359),1)*$H359),"")</f>
        <v>153</v>
      </c>
      <c r="Z359" s="36">
        <f>IFERROR(IF(Y359=0,"",ROUNDUP(Y359/H359,0)*0.01898),"")</f>
        <v>0.32266</v>
      </c>
      <c r="AA359" s="56"/>
      <c r="AB359" s="57"/>
      <c r="AC359" s="411" t="s">
        <v>566</v>
      </c>
      <c r="AG359" s="64"/>
      <c r="AJ359" s="68" t="s">
        <v>106</v>
      </c>
      <c r="AK359" s="68">
        <v>72</v>
      </c>
      <c r="BB359" s="412" t="s">
        <v>1</v>
      </c>
      <c r="BM359" s="64">
        <f>IFERROR(X359*I359/H359,"0")</f>
        <v>158.64999999999998</v>
      </c>
      <c r="BN359" s="64">
        <f>IFERROR(Y359*I359/H359,"0")</f>
        <v>161.82299999999998</v>
      </c>
      <c r="BO359" s="64">
        <f>IFERROR(1/J359*(X359/H359),"0")</f>
        <v>0.26041666666666669</v>
      </c>
      <c r="BP359" s="64">
        <f>IFERROR(1/J359*(Y359/H359),"0")</f>
        <v>0.265625</v>
      </c>
    </row>
    <row r="360" spans="1:68" x14ac:dyDescent="0.2">
      <c r="A360" s="552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3"/>
      <c r="P360" s="549" t="s">
        <v>71</v>
      </c>
      <c r="Q360" s="550"/>
      <c r="R360" s="550"/>
      <c r="S360" s="550"/>
      <c r="T360" s="550"/>
      <c r="U360" s="550"/>
      <c r="V360" s="551"/>
      <c r="W360" s="37" t="s">
        <v>72</v>
      </c>
      <c r="X360" s="543">
        <f>IFERROR(X358/H358,"0")+IFERROR(X359/H359,"0")</f>
        <v>16.666666666666668</v>
      </c>
      <c r="Y360" s="543">
        <f>IFERROR(Y358/H358,"0")+IFERROR(Y359/H359,"0")</f>
        <v>17</v>
      </c>
      <c r="Z360" s="543">
        <f>IFERROR(IF(Z358="",0,Z358),"0")+IFERROR(IF(Z359="",0,Z359),"0")</f>
        <v>0.32266</v>
      </c>
      <c r="AA360" s="544"/>
      <c r="AB360" s="544"/>
      <c r="AC360" s="544"/>
    </row>
    <row r="361" spans="1:68" x14ac:dyDescent="0.2">
      <c r="A361" s="546"/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53"/>
      <c r="P361" s="549" t="s">
        <v>71</v>
      </c>
      <c r="Q361" s="550"/>
      <c r="R361" s="550"/>
      <c r="S361" s="550"/>
      <c r="T361" s="550"/>
      <c r="U361" s="550"/>
      <c r="V361" s="551"/>
      <c r="W361" s="37" t="s">
        <v>69</v>
      </c>
      <c r="X361" s="543">
        <f>IFERROR(SUM(X358:X359),"0")</f>
        <v>150</v>
      </c>
      <c r="Y361" s="543">
        <f>IFERROR(SUM(Y358:Y359),"0")</f>
        <v>153</v>
      </c>
      <c r="Z361" s="37"/>
      <c r="AA361" s="544"/>
      <c r="AB361" s="544"/>
      <c r="AC361" s="544"/>
    </row>
    <row r="362" spans="1:68" ht="14.25" hidden="1" customHeight="1" x14ac:dyDescent="0.25">
      <c r="A362" s="545" t="s">
        <v>165</v>
      </c>
      <c r="B362" s="546"/>
      <c r="C362" s="546"/>
      <c r="D362" s="546"/>
      <c r="E362" s="546"/>
      <c r="F362" s="546"/>
      <c r="G362" s="546"/>
      <c r="H362" s="546"/>
      <c r="I362" s="546"/>
      <c r="J362" s="546"/>
      <c r="K362" s="546"/>
      <c r="L362" s="546"/>
      <c r="M362" s="546"/>
      <c r="N362" s="546"/>
      <c r="O362" s="546"/>
      <c r="P362" s="546"/>
      <c r="Q362" s="546"/>
      <c r="R362" s="546"/>
      <c r="S362" s="546"/>
      <c r="T362" s="546"/>
      <c r="U362" s="546"/>
      <c r="V362" s="546"/>
      <c r="W362" s="546"/>
      <c r="X362" s="546"/>
      <c r="Y362" s="546"/>
      <c r="Z362" s="546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7">
        <v>4607091384673</v>
      </c>
      <c r="E363" s="548"/>
      <c r="F363" s="540">
        <v>1.5</v>
      </c>
      <c r="G363" s="32">
        <v>6</v>
      </c>
      <c r="H363" s="540">
        <v>9</v>
      </c>
      <c r="I363" s="540">
        <v>9.5190000000000001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7"/>
      <c r="R363" s="557"/>
      <c r="S363" s="557"/>
      <c r="T363" s="558"/>
      <c r="U363" s="34"/>
      <c r="V363" s="34"/>
      <c r="W363" s="35" t="s">
        <v>69</v>
      </c>
      <c r="X363" s="541">
        <v>250</v>
      </c>
      <c r="Y363" s="542">
        <f>IFERROR(IF(X363="",0,CEILING((X363/$H363),1)*$H363),"")</f>
        <v>252</v>
      </c>
      <c r="Z363" s="36">
        <f>IFERROR(IF(Y363=0,"",ROUNDUP(Y363/H363,0)*0.01898),"")</f>
        <v>0.53144000000000002</v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264.41666666666669</v>
      </c>
      <c r="BN363" s="64">
        <f>IFERROR(Y363*I363/H363,"0")</f>
        <v>266.53199999999998</v>
      </c>
      <c r="BO363" s="64">
        <f>IFERROR(1/J363*(X363/H363),"0")</f>
        <v>0.43402777777777779</v>
      </c>
      <c r="BP363" s="64">
        <f>IFERROR(1/J363*(Y363/H363),"0")</f>
        <v>0.4375</v>
      </c>
    </row>
    <row r="364" spans="1:68" x14ac:dyDescent="0.2">
      <c r="A364" s="552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3"/>
      <c r="P364" s="549" t="s">
        <v>71</v>
      </c>
      <c r="Q364" s="550"/>
      <c r="R364" s="550"/>
      <c r="S364" s="550"/>
      <c r="T364" s="550"/>
      <c r="U364" s="550"/>
      <c r="V364" s="551"/>
      <c r="W364" s="37" t="s">
        <v>72</v>
      </c>
      <c r="X364" s="543">
        <f>IFERROR(X363/H363,"0")</f>
        <v>27.777777777777779</v>
      </c>
      <c r="Y364" s="543">
        <f>IFERROR(Y363/H363,"0")</f>
        <v>28</v>
      </c>
      <c r="Z364" s="543">
        <f>IFERROR(IF(Z363="",0,Z363),"0")</f>
        <v>0.53144000000000002</v>
      </c>
      <c r="AA364" s="544"/>
      <c r="AB364" s="544"/>
      <c r="AC364" s="544"/>
    </row>
    <row r="365" spans="1:68" x14ac:dyDescent="0.2">
      <c r="A365" s="546"/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53"/>
      <c r="P365" s="549" t="s">
        <v>71</v>
      </c>
      <c r="Q365" s="550"/>
      <c r="R365" s="550"/>
      <c r="S365" s="550"/>
      <c r="T365" s="550"/>
      <c r="U365" s="550"/>
      <c r="V365" s="551"/>
      <c r="W365" s="37" t="s">
        <v>69</v>
      </c>
      <c r="X365" s="543">
        <f>IFERROR(SUM(X363:X363),"0")</f>
        <v>250</v>
      </c>
      <c r="Y365" s="543">
        <f>IFERROR(SUM(Y363:Y363),"0")</f>
        <v>252</v>
      </c>
      <c r="Z365" s="37"/>
      <c r="AA365" s="544"/>
      <c r="AB365" s="544"/>
      <c r="AC365" s="544"/>
    </row>
    <row r="366" spans="1:68" ht="16.5" hidden="1" customHeight="1" x14ac:dyDescent="0.25">
      <c r="A366" s="574" t="s">
        <v>570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6"/>
      <c r="AB366" s="536"/>
      <c r="AC366" s="536"/>
    </row>
    <row r="367" spans="1:68" ht="14.25" hidden="1" customHeight="1" x14ac:dyDescent="0.25">
      <c r="A367" s="545" t="s">
        <v>99</v>
      </c>
      <c r="B367" s="546"/>
      <c r="C367" s="546"/>
      <c r="D367" s="546"/>
      <c r="E367" s="546"/>
      <c r="F367" s="546"/>
      <c r="G367" s="546"/>
      <c r="H367" s="546"/>
      <c r="I367" s="546"/>
      <c r="J367" s="546"/>
      <c r="K367" s="546"/>
      <c r="L367" s="546"/>
      <c r="M367" s="546"/>
      <c r="N367" s="546"/>
      <c r="O367" s="546"/>
      <c r="P367" s="546"/>
      <c r="Q367" s="546"/>
      <c r="R367" s="546"/>
      <c r="S367" s="546"/>
      <c r="T367" s="546"/>
      <c r="U367" s="546"/>
      <c r="V367" s="546"/>
      <c r="W367" s="546"/>
      <c r="X367" s="546"/>
      <c r="Y367" s="546"/>
      <c r="Z367" s="546"/>
      <c r="AA367" s="537"/>
      <c r="AB367" s="537"/>
      <c r="AC367" s="537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7">
        <v>4680115884885</v>
      </c>
      <c r="E368" s="548"/>
      <c r="F368" s="540">
        <v>0.8</v>
      </c>
      <c r="G368" s="32">
        <v>15</v>
      </c>
      <c r="H368" s="540">
        <v>12</v>
      </c>
      <c r="I368" s="540">
        <v>12.435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7"/>
      <c r="R368" s="557"/>
      <c r="S368" s="557"/>
      <c r="T368" s="558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7">
        <v>4680115884908</v>
      </c>
      <c r="E369" s="548"/>
      <c r="F369" s="540">
        <v>0.4</v>
      </c>
      <c r="G369" s="32">
        <v>10</v>
      </c>
      <c r="H369" s="540">
        <v>4</v>
      </c>
      <c r="I369" s="540">
        <v>4.21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7"/>
      <c r="R369" s="557"/>
      <c r="S369" s="557"/>
      <c r="T369" s="558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2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3"/>
      <c r="P370" s="549" t="s">
        <v>71</v>
      </c>
      <c r="Q370" s="550"/>
      <c r="R370" s="550"/>
      <c r="S370" s="550"/>
      <c r="T370" s="550"/>
      <c r="U370" s="550"/>
      <c r="V370" s="551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46"/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53"/>
      <c r="P371" s="549" t="s">
        <v>71</v>
      </c>
      <c r="Q371" s="550"/>
      <c r="R371" s="550"/>
      <c r="S371" s="550"/>
      <c r="T371" s="550"/>
      <c r="U371" s="550"/>
      <c r="V371" s="551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45" t="s">
        <v>64</v>
      </c>
      <c r="B372" s="546"/>
      <c r="C372" s="546"/>
      <c r="D372" s="546"/>
      <c r="E372" s="546"/>
      <c r="F372" s="546"/>
      <c r="G372" s="546"/>
      <c r="H372" s="546"/>
      <c r="I372" s="546"/>
      <c r="J372" s="546"/>
      <c r="K372" s="546"/>
      <c r="L372" s="546"/>
      <c r="M372" s="546"/>
      <c r="N372" s="546"/>
      <c r="O372" s="546"/>
      <c r="P372" s="546"/>
      <c r="Q372" s="546"/>
      <c r="R372" s="546"/>
      <c r="S372" s="546"/>
      <c r="T372" s="546"/>
      <c r="U372" s="546"/>
      <c r="V372" s="546"/>
      <c r="W372" s="546"/>
      <c r="X372" s="546"/>
      <c r="Y372" s="546"/>
      <c r="Z372" s="546"/>
      <c r="AA372" s="537"/>
      <c r="AB372" s="537"/>
      <c r="AC372" s="537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7">
        <v>4607091384802</v>
      </c>
      <c r="E373" s="548"/>
      <c r="F373" s="540">
        <v>0.73</v>
      </c>
      <c r="G373" s="32">
        <v>6</v>
      </c>
      <c r="H373" s="540">
        <v>4.38</v>
      </c>
      <c r="I373" s="540">
        <v>4.6500000000000004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7"/>
      <c r="R373" s="557"/>
      <c r="S373" s="557"/>
      <c r="T373" s="558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7">
        <v>4607091384802</v>
      </c>
      <c r="E374" s="548"/>
      <c r="F374" s="540">
        <v>0.7</v>
      </c>
      <c r="G374" s="32">
        <v>6</v>
      </c>
      <c r="H374" s="540">
        <v>4.2</v>
      </c>
      <c r="I374" s="540">
        <v>4.47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1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7"/>
      <c r="R374" s="557"/>
      <c r="S374" s="557"/>
      <c r="T374" s="558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2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3"/>
      <c r="P375" s="549" t="s">
        <v>71</v>
      </c>
      <c r="Q375" s="550"/>
      <c r="R375" s="550"/>
      <c r="S375" s="550"/>
      <c r="T375" s="550"/>
      <c r="U375" s="550"/>
      <c r="V375" s="551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46"/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53"/>
      <c r="P376" s="549" t="s">
        <v>71</v>
      </c>
      <c r="Q376" s="550"/>
      <c r="R376" s="550"/>
      <c r="S376" s="550"/>
      <c r="T376" s="550"/>
      <c r="U376" s="550"/>
      <c r="V376" s="551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45" t="s">
        <v>73</v>
      </c>
      <c r="B377" s="546"/>
      <c r="C377" s="546"/>
      <c r="D377" s="546"/>
      <c r="E377" s="546"/>
      <c r="F377" s="546"/>
      <c r="G377" s="546"/>
      <c r="H377" s="546"/>
      <c r="I377" s="546"/>
      <c r="J377" s="546"/>
      <c r="K377" s="546"/>
      <c r="L377" s="546"/>
      <c r="M377" s="546"/>
      <c r="N377" s="546"/>
      <c r="O377" s="546"/>
      <c r="P377" s="546"/>
      <c r="Q377" s="546"/>
      <c r="R377" s="546"/>
      <c r="S377" s="546"/>
      <c r="T377" s="546"/>
      <c r="U377" s="546"/>
      <c r="V377" s="546"/>
      <c r="W377" s="546"/>
      <c r="X377" s="546"/>
      <c r="Y377" s="546"/>
      <c r="Z377" s="546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7">
        <v>4607091384246</v>
      </c>
      <c r="E378" s="548"/>
      <c r="F378" s="540">
        <v>1.5</v>
      </c>
      <c r="G378" s="32">
        <v>6</v>
      </c>
      <c r="H378" s="540">
        <v>9</v>
      </c>
      <c r="I378" s="540">
        <v>9.5190000000000001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7"/>
      <c r="R378" s="557"/>
      <c r="S378" s="557"/>
      <c r="T378" s="558"/>
      <c r="U378" s="34"/>
      <c r="V378" s="34"/>
      <c r="W378" s="35" t="s">
        <v>69</v>
      </c>
      <c r="X378" s="541">
        <v>200</v>
      </c>
      <c r="Y378" s="542">
        <f>IFERROR(IF(X378="",0,CEILING((X378/$H378),1)*$H378),"")</f>
        <v>207</v>
      </c>
      <c r="Z378" s="36">
        <f>IFERROR(IF(Y378=0,"",ROUNDUP(Y378/H378,0)*0.01898),"")</f>
        <v>0.43653999999999998</v>
      </c>
      <c r="AA378" s="56"/>
      <c r="AB378" s="57"/>
      <c r="AC378" s="423" t="s">
        <v>583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211.53333333333333</v>
      </c>
      <c r="BN378" s="64">
        <f>IFERROR(Y378*I378/H378,"0")</f>
        <v>218.93700000000001</v>
      </c>
      <c r="BO378" s="64">
        <f>IFERROR(1/J378*(X378/H378),"0")</f>
        <v>0.34722222222222221</v>
      </c>
      <c r="BP378" s="64">
        <f>IFERROR(1/J378*(Y378/H378),"0")</f>
        <v>0.359375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7">
        <v>4607091384253</v>
      </c>
      <c r="E379" s="548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188</v>
      </c>
      <c r="M379" s="33" t="s">
        <v>77</v>
      </c>
      <c r="N379" s="33"/>
      <c r="O379" s="32">
        <v>40</v>
      </c>
      <c r="P379" s="582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7"/>
      <c r="R379" s="557"/>
      <c r="S379" s="557"/>
      <c r="T379" s="558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2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3"/>
      <c r="P380" s="549" t="s">
        <v>71</v>
      </c>
      <c r="Q380" s="550"/>
      <c r="R380" s="550"/>
      <c r="S380" s="550"/>
      <c r="T380" s="550"/>
      <c r="U380" s="550"/>
      <c r="V380" s="551"/>
      <c r="W380" s="37" t="s">
        <v>72</v>
      </c>
      <c r="X380" s="543">
        <f>IFERROR(X378/H378,"0")+IFERROR(X379/H379,"0")</f>
        <v>22.222222222222221</v>
      </c>
      <c r="Y380" s="543">
        <f>IFERROR(Y378/H378,"0")+IFERROR(Y379/H379,"0")</f>
        <v>23</v>
      </c>
      <c r="Z380" s="543">
        <f>IFERROR(IF(Z378="",0,Z378),"0")+IFERROR(IF(Z379="",0,Z379),"0")</f>
        <v>0.43653999999999998</v>
      </c>
      <c r="AA380" s="544"/>
      <c r="AB380" s="544"/>
      <c r="AC380" s="544"/>
    </row>
    <row r="381" spans="1:68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3"/>
      <c r="P381" s="549" t="s">
        <v>71</v>
      </c>
      <c r="Q381" s="550"/>
      <c r="R381" s="550"/>
      <c r="S381" s="550"/>
      <c r="T381" s="550"/>
      <c r="U381" s="550"/>
      <c r="V381" s="551"/>
      <c r="W381" s="37" t="s">
        <v>69</v>
      </c>
      <c r="X381" s="543">
        <f>IFERROR(SUM(X378:X379),"0")</f>
        <v>200</v>
      </c>
      <c r="Y381" s="543">
        <f>IFERROR(SUM(Y378:Y379),"0")</f>
        <v>207</v>
      </c>
      <c r="Z381" s="37"/>
      <c r="AA381" s="544"/>
      <c r="AB381" s="544"/>
      <c r="AC381" s="544"/>
    </row>
    <row r="382" spans="1:68" ht="27.75" hidden="1" customHeight="1" x14ac:dyDescent="0.2">
      <c r="A382" s="644" t="s">
        <v>586</v>
      </c>
      <c r="B382" s="645"/>
      <c r="C382" s="645"/>
      <c r="D382" s="645"/>
      <c r="E382" s="645"/>
      <c r="F382" s="645"/>
      <c r="G382" s="645"/>
      <c r="H382" s="645"/>
      <c r="I382" s="645"/>
      <c r="J382" s="645"/>
      <c r="K382" s="645"/>
      <c r="L382" s="645"/>
      <c r="M382" s="645"/>
      <c r="N382" s="645"/>
      <c r="O382" s="645"/>
      <c r="P382" s="645"/>
      <c r="Q382" s="645"/>
      <c r="R382" s="645"/>
      <c r="S382" s="645"/>
      <c r="T382" s="645"/>
      <c r="U382" s="645"/>
      <c r="V382" s="645"/>
      <c r="W382" s="645"/>
      <c r="X382" s="645"/>
      <c r="Y382" s="645"/>
      <c r="Z382" s="645"/>
      <c r="AA382" s="48"/>
      <c r="AB382" s="48"/>
      <c r="AC382" s="48"/>
    </row>
    <row r="383" spans="1:68" ht="16.5" hidden="1" customHeight="1" x14ac:dyDescent="0.25">
      <c r="A383" s="574" t="s">
        <v>587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45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hidden="1" customHeight="1" x14ac:dyDescent="0.25">
      <c r="A385" s="54" t="s">
        <v>588</v>
      </c>
      <c r="B385" s="54" t="s">
        <v>589</v>
      </c>
      <c r="C385" s="31">
        <v>4301031405</v>
      </c>
      <c r="D385" s="547">
        <v>4680115886100</v>
      </c>
      <c r="E385" s="548"/>
      <c r="F385" s="540">
        <v>0.9</v>
      </c>
      <c r="G385" s="32">
        <v>6</v>
      </c>
      <c r="H385" s="540">
        <v>5.4</v>
      </c>
      <c r="I385" s="540">
        <v>5.61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57"/>
      <c r="R385" s="557"/>
      <c r="S385" s="557"/>
      <c r="T385" s="558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hidden="1" customHeight="1" x14ac:dyDescent="0.25">
      <c r="A386" s="54" t="s">
        <v>591</v>
      </c>
      <c r="B386" s="54" t="s">
        <v>592</v>
      </c>
      <c r="C386" s="31">
        <v>4301031406</v>
      </c>
      <c r="D386" s="547">
        <v>4680115886117</v>
      </c>
      <c r="E386" s="548"/>
      <c r="F386" s="540">
        <v>0.9</v>
      </c>
      <c r="G386" s="32">
        <v>6</v>
      </c>
      <c r="H386" s="540">
        <v>5.4</v>
      </c>
      <c r="I386" s="540">
        <v>5.61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57"/>
      <c r="R386" s="557"/>
      <c r="S386" s="557"/>
      <c r="T386" s="558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594</v>
      </c>
      <c r="B387" s="54" t="s">
        <v>595</v>
      </c>
      <c r="C387" s="31">
        <v>4301031402</v>
      </c>
      <c r="D387" s="547">
        <v>4680115886124</v>
      </c>
      <c r="E387" s="548"/>
      <c r="F387" s="540">
        <v>0.9</v>
      </c>
      <c r="G387" s="32">
        <v>6</v>
      </c>
      <c r="H387" s="540">
        <v>5.4</v>
      </c>
      <c r="I387" s="540">
        <v>5.61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57"/>
      <c r="R387" s="557"/>
      <c r="S387" s="557"/>
      <c r="T387" s="558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597</v>
      </c>
      <c r="B388" s="54" t="s">
        <v>598</v>
      </c>
      <c r="C388" s="31">
        <v>4301031366</v>
      </c>
      <c r="D388" s="547">
        <v>4680115883147</v>
      </c>
      <c r="E388" s="548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56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57"/>
      <c r="R388" s="557"/>
      <c r="S388" s="557"/>
      <c r="T388" s="558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4301031362</v>
      </c>
      <c r="D389" s="547">
        <v>4607091384338</v>
      </c>
      <c r="E389" s="548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7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57"/>
      <c r="R389" s="557"/>
      <c r="S389" s="557"/>
      <c r="T389" s="558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7">
        <v>4607091389524</v>
      </c>
      <c r="E390" s="548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57"/>
      <c r="R390" s="557"/>
      <c r="S390" s="557"/>
      <c r="T390" s="558"/>
      <c r="U390" s="34"/>
      <c r="V390" s="34"/>
      <c r="W390" s="35" t="s">
        <v>69</v>
      </c>
      <c r="X390" s="541">
        <v>8.3999999999999986</v>
      </c>
      <c r="Y390" s="542">
        <f t="shared" si="36"/>
        <v>8.4</v>
      </c>
      <c r="Z390" s="36">
        <f t="shared" si="41"/>
        <v>2.0080000000000001E-2</v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37"/>
        <v>8.9199999999999982</v>
      </c>
      <c r="BN390" s="64">
        <f t="shared" si="38"/>
        <v>8.92</v>
      </c>
      <c r="BO390" s="64">
        <f t="shared" si="39"/>
        <v>1.7094017094017092E-2</v>
      </c>
      <c r="BP390" s="64">
        <f t="shared" si="40"/>
        <v>1.7094017094017096E-2</v>
      </c>
    </row>
    <row r="391" spans="1:68" ht="27" hidden="1" customHeight="1" x14ac:dyDescent="0.25">
      <c r="A391" s="54" t="s">
        <v>604</v>
      </c>
      <c r="B391" s="54" t="s">
        <v>605</v>
      </c>
      <c r="C391" s="31">
        <v>4301031364</v>
      </c>
      <c r="D391" s="547">
        <v>4680115883161</v>
      </c>
      <c r="E391" s="548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63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57"/>
      <c r="R391" s="557"/>
      <c r="S391" s="557"/>
      <c r="T391" s="558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607</v>
      </c>
      <c r="B392" s="54" t="s">
        <v>608</v>
      </c>
      <c r="C392" s="31">
        <v>4301031358</v>
      </c>
      <c r="D392" s="547">
        <v>4607091389531</v>
      </c>
      <c r="E392" s="548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273</v>
      </c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57"/>
      <c r="R392" s="557"/>
      <c r="S392" s="557"/>
      <c r="T392" s="558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609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7">
        <v>4607091384345</v>
      </c>
      <c r="E393" s="548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57"/>
      <c r="R393" s="557"/>
      <c r="S393" s="557"/>
      <c r="T393" s="558"/>
      <c r="U393" s="34"/>
      <c r="V393" s="34"/>
      <c r="W393" s="35" t="s">
        <v>69</v>
      </c>
      <c r="X393" s="541">
        <v>8.3999999999999986</v>
      </c>
      <c r="Y393" s="542">
        <f t="shared" si="36"/>
        <v>8.4</v>
      </c>
      <c r="Z393" s="36">
        <f t="shared" si="41"/>
        <v>2.0080000000000001E-2</v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37"/>
        <v>8.9199999999999982</v>
      </c>
      <c r="BN393" s="64">
        <f t="shared" si="38"/>
        <v>8.92</v>
      </c>
      <c r="BO393" s="64">
        <f t="shared" si="39"/>
        <v>1.7094017094017092E-2</v>
      </c>
      <c r="BP393" s="64">
        <f t="shared" si="40"/>
        <v>1.7094017094017096E-2</v>
      </c>
    </row>
    <row r="394" spans="1:68" x14ac:dyDescent="0.2">
      <c r="A394" s="552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3"/>
      <c r="P394" s="549" t="s">
        <v>71</v>
      </c>
      <c r="Q394" s="550"/>
      <c r="R394" s="550"/>
      <c r="S394" s="550"/>
      <c r="T394" s="550"/>
      <c r="U394" s="550"/>
      <c r="V394" s="551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7.9999999999999982</v>
      </c>
      <c r="Y394" s="543">
        <f>IFERROR(Y385/H385,"0")+IFERROR(Y386/H386,"0")+IFERROR(Y387/H387,"0")+IFERROR(Y388/H388,"0")+IFERROR(Y389/H389,"0")+IFERROR(Y390/H390,"0")+IFERROR(Y391/H391,"0")+IFERROR(Y392/H392,"0")+IFERROR(Y393/H393,"0")</f>
        <v>8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4.0160000000000001E-2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3"/>
      <c r="P395" s="549" t="s">
        <v>71</v>
      </c>
      <c r="Q395" s="550"/>
      <c r="R395" s="550"/>
      <c r="S395" s="550"/>
      <c r="T395" s="550"/>
      <c r="U395" s="550"/>
      <c r="V395" s="551"/>
      <c r="W395" s="37" t="s">
        <v>69</v>
      </c>
      <c r="X395" s="543">
        <f>IFERROR(SUM(X385:X393),"0")</f>
        <v>16.799999999999997</v>
      </c>
      <c r="Y395" s="543">
        <f>IFERROR(SUM(Y385:Y393),"0")</f>
        <v>16.8</v>
      </c>
      <c r="Z395" s="37"/>
      <c r="AA395" s="544"/>
      <c r="AB395" s="544"/>
      <c r="AC395" s="544"/>
    </row>
    <row r="396" spans="1:68" ht="14.25" hidden="1" customHeight="1" x14ac:dyDescent="0.25">
      <c r="A396" s="545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612</v>
      </c>
      <c r="B397" s="54" t="s">
        <v>613</v>
      </c>
      <c r="C397" s="31">
        <v>4301051284</v>
      </c>
      <c r="D397" s="547">
        <v>4607091384352</v>
      </c>
      <c r="E397" s="548"/>
      <c r="F397" s="540">
        <v>0.6</v>
      </c>
      <c r="G397" s="32">
        <v>4</v>
      </c>
      <c r="H397" s="540">
        <v>2.4</v>
      </c>
      <c r="I397" s="540">
        <v>2.6459999999999999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5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57"/>
      <c r="R397" s="557"/>
      <c r="S397" s="557"/>
      <c r="T397" s="558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615</v>
      </c>
      <c r="B398" s="54" t="s">
        <v>616</v>
      </c>
      <c r="C398" s="31">
        <v>4301051431</v>
      </c>
      <c r="D398" s="547">
        <v>4607091389654</v>
      </c>
      <c r="E398" s="548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57"/>
      <c r="R398" s="557"/>
      <c r="S398" s="557"/>
      <c r="T398" s="558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2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3"/>
      <c r="P399" s="549" t="s">
        <v>71</v>
      </c>
      <c r="Q399" s="550"/>
      <c r="R399" s="550"/>
      <c r="S399" s="550"/>
      <c r="T399" s="550"/>
      <c r="U399" s="550"/>
      <c r="V399" s="551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3"/>
      <c r="P400" s="549" t="s">
        <v>71</v>
      </c>
      <c r="Q400" s="550"/>
      <c r="R400" s="550"/>
      <c r="S400" s="550"/>
      <c r="T400" s="550"/>
      <c r="U400" s="550"/>
      <c r="V400" s="551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74" t="s">
        <v>618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45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619</v>
      </c>
      <c r="B403" s="54" t="s">
        <v>620</v>
      </c>
      <c r="C403" s="31">
        <v>4301020319</v>
      </c>
      <c r="D403" s="547">
        <v>4680115885240</v>
      </c>
      <c r="E403" s="548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7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57"/>
      <c r="R403" s="557"/>
      <c r="S403" s="557"/>
      <c r="T403" s="558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2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3"/>
      <c r="P404" s="549" t="s">
        <v>71</v>
      </c>
      <c r="Q404" s="550"/>
      <c r="R404" s="550"/>
      <c r="S404" s="550"/>
      <c r="T404" s="550"/>
      <c r="U404" s="550"/>
      <c r="V404" s="551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3"/>
      <c r="P405" s="549" t="s">
        <v>71</v>
      </c>
      <c r="Q405" s="550"/>
      <c r="R405" s="550"/>
      <c r="S405" s="550"/>
      <c r="T405" s="550"/>
      <c r="U405" s="550"/>
      <c r="V405" s="551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45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7">
        <v>4680115886094</v>
      </c>
      <c r="E407" s="548"/>
      <c r="F407" s="540">
        <v>0.9</v>
      </c>
      <c r="G407" s="32">
        <v>6</v>
      </c>
      <c r="H407" s="540">
        <v>5.4</v>
      </c>
      <c r="I407" s="540">
        <v>5.61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5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57"/>
      <c r="R407" s="557"/>
      <c r="S407" s="557"/>
      <c r="T407" s="558"/>
      <c r="U407" s="34"/>
      <c r="V407" s="34"/>
      <c r="W407" s="35" t="s">
        <v>69</v>
      </c>
      <c r="X407" s="541">
        <v>130</v>
      </c>
      <c r="Y407" s="542">
        <f>IFERROR(IF(X407="",0,CEILING((X407/$H407),1)*$H407),"")</f>
        <v>135</v>
      </c>
      <c r="Z407" s="36">
        <f>IFERROR(IF(Y407=0,"",ROUNDUP(Y407/H407,0)*0.00902),"")</f>
        <v>0.22550000000000001</v>
      </c>
      <c r="AA407" s="56"/>
      <c r="AB407" s="57"/>
      <c r="AC407" s="451" t="s">
        <v>624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135.05555555555557</v>
      </c>
      <c r="BN407" s="64">
        <f>IFERROR(Y407*I407/H407,"0")</f>
        <v>140.25</v>
      </c>
      <c r="BO407" s="64">
        <f>IFERROR(1/J407*(X407/H407),"0")</f>
        <v>0.18237934904601572</v>
      </c>
      <c r="BP407" s="64">
        <f>IFERROR(1/J407*(Y407/H407),"0")</f>
        <v>0.18939393939393939</v>
      </c>
    </row>
    <row r="408" spans="1:68" ht="27" hidden="1" customHeight="1" x14ac:dyDescent="0.25">
      <c r="A408" s="54" t="s">
        <v>625</v>
      </c>
      <c r="B408" s="54" t="s">
        <v>626</v>
      </c>
      <c r="C408" s="31">
        <v>4301031363</v>
      </c>
      <c r="D408" s="547">
        <v>4607091389425</v>
      </c>
      <c r="E408" s="548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17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57"/>
      <c r="R408" s="557"/>
      <c r="S408" s="557"/>
      <c r="T408" s="558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628</v>
      </c>
      <c r="B409" s="54" t="s">
        <v>629</v>
      </c>
      <c r="C409" s="31">
        <v>4301031373</v>
      </c>
      <c r="D409" s="547">
        <v>4680115880771</v>
      </c>
      <c r="E409" s="548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57"/>
      <c r="R409" s="557"/>
      <c r="S409" s="557"/>
      <c r="T409" s="558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631</v>
      </c>
      <c r="B410" s="54" t="s">
        <v>632</v>
      </c>
      <c r="C410" s="31">
        <v>4301031359</v>
      </c>
      <c r="D410" s="547">
        <v>4607091389500</v>
      </c>
      <c r="E410" s="548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57"/>
      <c r="R410" s="557"/>
      <c r="S410" s="557"/>
      <c r="T410" s="558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2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3"/>
      <c r="P411" s="549" t="s">
        <v>71</v>
      </c>
      <c r="Q411" s="550"/>
      <c r="R411" s="550"/>
      <c r="S411" s="550"/>
      <c r="T411" s="550"/>
      <c r="U411" s="550"/>
      <c r="V411" s="551"/>
      <c r="W411" s="37" t="s">
        <v>72</v>
      </c>
      <c r="X411" s="543">
        <f>IFERROR(X407/H407,"0")+IFERROR(X408/H408,"0")+IFERROR(X409/H409,"0")+IFERROR(X410/H410,"0")</f>
        <v>24.074074074074073</v>
      </c>
      <c r="Y411" s="543">
        <f>IFERROR(Y407/H407,"0")+IFERROR(Y408/H408,"0")+IFERROR(Y409/H409,"0")+IFERROR(Y410/H410,"0")</f>
        <v>25</v>
      </c>
      <c r="Z411" s="543">
        <f>IFERROR(IF(Z407="",0,Z407),"0")+IFERROR(IF(Z408="",0,Z408),"0")+IFERROR(IF(Z409="",0,Z409),"0")+IFERROR(IF(Z410="",0,Z410),"0")</f>
        <v>0.22550000000000001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3"/>
      <c r="P412" s="549" t="s">
        <v>71</v>
      </c>
      <c r="Q412" s="550"/>
      <c r="R412" s="550"/>
      <c r="S412" s="550"/>
      <c r="T412" s="550"/>
      <c r="U412" s="550"/>
      <c r="V412" s="551"/>
      <c r="W412" s="37" t="s">
        <v>69</v>
      </c>
      <c r="X412" s="543">
        <f>IFERROR(SUM(X407:X410),"0")</f>
        <v>130</v>
      </c>
      <c r="Y412" s="543">
        <f>IFERROR(SUM(Y407:Y410),"0")</f>
        <v>135</v>
      </c>
      <c r="Z412" s="37"/>
      <c r="AA412" s="544"/>
      <c r="AB412" s="544"/>
      <c r="AC412" s="544"/>
    </row>
    <row r="413" spans="1:68" ht="16.5" hidden="1" customHeight="1" x14ac:dyDescent="0.25">
      <c r="A413" s="574" t="s">
        <v>633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45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634</v>
      </c>
      <c r="B415" s="54" t="s">
        <v>635</v>
      </c>
      <c r="C415" s="31">
        <v>4301031347</v>
      </c>
      <c r="D415" s="547">
        <v>4680115885110</v>
      </c>
      <c r="E415" s="548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57"/>
      <c r="R415" s="557"/>
      <c r="S415" s="557"/>
      <c r="T415" s="558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2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3"/>
      <c r="P416" s="549" t="s">
        <v>71</v>
      </c>
      <c r="Q416" s="550"/>
      <c r="R416" s="550"/>
      <c r="S416" s="550"/>
      <c r="T416" s="550"/>
      <c r="U416" s="550"/>
      <c r="V416" s="551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3"/>
      <c r="P417" s="549" t="s">
        <v>71</v>
      </c>
      <c r="Q417" s="550"/>
      <c r="R417" s="550"/>
      <c r="S417" s="550"/>
      <c r="T417" s="550"/>
      <c r="U417" s="550"/>
      <c r="V417" s="551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4" t="s">
        <v>637</v>
      </c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5"/>
      <c r="P418" s="645"/>
      <c r="Q418" s="645"/>
      <c r="R418" s="645"/>
      <c r="S418" s="645"/>
      <c r="T418" s="645"/>
      <c r="U418" s="645"/>
      <c r="V418" s="645"/>
      <c r="W418" s="645"/>
      <c r="X418" s="645"/>
      <c r="Y418" s="645"/>
      <c r="Z418" s="645"/>
      <c r="AA418" s="48"/>
      <c r="AB418" s="48"/>
      <c r="AC418" s="48"/>
    </row>
    <row r="419" spans="1:68" ht="16.5" hidden="1" customHeight="1" x14ac:dyDescent="0.25">
      <c r="A419" s="574" t="s">
        <v>637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45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638</v>
      </c>
      <c r="B421" s="54" t="s">
        <v>639</v>
      </c>
      <c r="C421" s="31">
        <v>4301011795</v>
      </c>
      <c r="D421" s="547">
        <v>4607091389067</v>
      </c>
      <c r="E421" s="548"/>
      <c r="F421" s="540">
        <v>0.88</v>
      </c>
      <c r="G421" s="32">
        <v>6</v>
      </c>
      <c r="H421" s="540">
        <v>5.28</v>
      </c>
      <c r="I421" s="540">
        <v>5.64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57"/>
      <c r="R421" s="557"/>
      <c r="S421" s="557"/>
      <c r="T421" s="558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640</v>
      </c>
      <c r="B422" s="54" t="s">
        <v>641</v>
      </c>
      <c r="C422" s="31">
        <v>4301011961</v>
      </c>
      <c r="D422" s="547">
        <v>4680115885271</v>
      </c>
      <c r="E422" s="548"/>
      <c r="F422" s="540">
        <v>0.88</v>
      </c>
      <c r="G422" s="32">
        <v>6</v>
      </c>
      <c r="H422" s="540">
        <v>5.28</v>
      </c>
      <c r="I422" s="540">
        <v>5.64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57"/>
      <c r="R422" s="557"/>
      <c r="S422" s="557"/>
      <c r="T422" s="558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642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4301011376</v>
      </c>
      <c r="D423" s="547">
        <v>4680115885226</v>
      </c>
      <c r="E423" s="548"/>
      <c r="F423" s="540">
        <v>0.88</v>
      </c>
      <c r="G423" s="32">
        <v>6</v>
      </c>
      <c r="H423" s="540">
        <v>5.28</v>
      </c>
      <c r="I423" s="540">
        <v>5.64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57"/>
      <c r="R423" s="557"/>
      <c r="S423" s="557"/>
      <c r="T423" s="558"/>
      <c r="U423" s="34"/>
      <c r="V423" s="34"/>
      <c r="W423" s="35" t="s">
        <v>69</v>
      </c>
      <c r="X423" s="541">
        <v>50</v>
      </c>
      <c r="Y423" s="542">
        <f t="shared" si="42"/>
        <v>52.800000000000004</v>
      </c>
      <c r="Z423" s="36">
        <f t="shared" si="43"/>
        <v>0.1196</v>
      </c>
      <c r="AA423" s="56"/>
      <c r="AB423" s="57"/>
      <c r="AC423" s="465" t="s">
        <v>645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53.409090909090907</v>
      </c>
      <c r="BN423" s="64">
        <f t="shared" si="45"/>
        <v>56.400000000000006</v>
      </c>
      <c r="BO423" s="64">
        <f t="shared" si="46"/>
        <v>9.1054778554778545E-2</v>
      </c>
      <c r="BP423" s="64">
        <f t="shared" si="47"/>
        <v>9.6153846153846159E-2</v>
      </c>
    </row>
    <row r="424" spans="1:68" ht="27" hidden="1" customHeight="1" x14ac:dyDescent="0.25">
      <c r="A424" s="54" t="s">
        <v>646</v>
      </c>
      <c r="B424" s="54" t="s">
        <v>647</v>
      </c>
      <c r="C424" s="31">
        <v>4301012145</v>
      </c>
      <c r="D424" s="547">
        <v>4607091383522</v>
      </c>
      <c r="E424" s="548"/>
      <c r="F424" s="540">
        <v>0.88</v>
      </c>
      <c r="G424" s="32">
        <v>6</v>
      </c>
      <c r="H424" s="540">
        <v>5.28</v>
      </c>
      <c r="I424" s="540">
        <v>5.64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7"/>
      <c r="R424" s="557"/>
      <c r="S424" s="557"/>
      <c r="T424" s="558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648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649</v>
      </c>
      <c r="B425" s="54" t="s">
        <v>650</v>
      </c>
      <c r="C425" s="31">
        <v>4301011774</v>
      </c>
      <c r="D425" s="547">
        <v>4680115884502</v>
      </c>
      <c r="E425" s="548"/>
      <c r="F425" s="540">
        <v>0.88</v>
      </c>
      <c r="G425" s="32">
        <v>6</v>
      </c>
      <c r="H425" s="540">
        <v>5.28</v>
      </c>
      <c r="I425" s="540">
        <v>5.64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57"/>
      <c r="R425" s="557"/>
      <c r="S425" s="557"/>
      <c r="T425" s="558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7">
        <v>4607091389104</v>
      </c>
      <c r="E426" s="548"/>
      <c r="F426" s="540">
        <v>0.88</v>
      </c>
      <c r="G426" s="32">
        <v>6</v>
      </c>
      <c r="H426" s="540">
        <v>5.28</v>
      </c>
      <c r="I426" s="540">
        <v>5.64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4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57"/>
      <c r="R426" s="557"/>
      <c r="S426" s="557"/>
      <c r="T426" s="558"/>
      <c r="U426" s="34"/>
      <c r="V426" s="34"/>
      <c r="W426" s="35" t="s">
        <v>69</v>
      </c>
      <c r="X426" s="541">
        <v>100</v>
      </c>
      <c r="Y426" s="542">
        <f t="shared" si="42"/>
        <v>100.32000000000001</v>
      </c>
      <c r="Z426" s="36">
        <f t="shared" si="43"/>
        <v>0.22724</v>
      </c>
      <c r="AA426" s="56"/>
      <c r="AB426" s="57"/>
      <c r="AC426" s="471" t="s">
        <v>654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106.81818181818181</v>
      </c>
      <c r="BN426" s="64">
        <f t="shared" si="45"/>
        <v>107.16</v>
      </c>
      <c r="BO426" s="64">
        <f t="shared" si="46"/>
        <v>0.18210955710955709</v>
      </c>
      <c r="BP426" s="64">
        <f t="shared" si="47"/>
        <v>0.18269230769230771</v>
      </c>
    </row>
    <row r="427" spans="1:68" ht="27" hidden="1" customHeight="1" x14ac:dyDescent="0.25">
      <c r="A427" s="54" t="s">
        <v>655</v>
      </c>
      <c r="B427" s="54" t="s">
        <v>656</v>
      </c>
      <c r="C427" s="31">
        <v>4301012125</v>
      </c>
      <c r="D427" s="547">
        <v>4680115886391</v>
      </c>
      <c r="E427" s="548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7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57"/>
      <c r="R427" s="557"/>
      <c r="S427" s="557"/>
      <c r="T427" s="558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657</v>
      </c>
      <c r="B428" s="54" t="s">
        <v>658</v>
      </c>
      <c r="C428" s="31">
        <v>4301012035</v>
      </c>
      <c r="D428" s="547">
        <v>4680115880603</v>
      </c>
      <c r="E428" s="548"/>
      <c r="F428" s="540">
        <v>0.6</v>
      </c>
      <c r="G428" s="32">
        <v>8</v>
      </c>
      <c r="H428" s="540">
        <v>4.8</v>
      </c>
      <c r="I428" s="540">
        <v>6.93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57"/>
      <c r="R428" s="557"/>
      <c r="S428" s="557"/>
      <c r="T428" s="558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4301012036</v>
      </c>
      <c r="D429" s="547">
        <v>4680115882782</v>
      </c>
      <c r="E429" s="548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2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57"/>
      <c r="R429" s="557"/>
      <c r="S429" s="557"/>
      <c r="T429" s="558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4301012050</v>
      </c>
      <c r="D430" s="547">
        <v>4680115885479</v>
      </c>
      <c r="E430" s="548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57"/>
      <c r="R430" s="557"/>
      <c r="S430" s="557"/>
      <c r="T430" s="558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664</v>
      </c>
      <c r="B431" s="54" t="s">
        <v>665</v>
      </c>
      <c r="C431" s="31">
        <v>4301012034</v>
      </c>
      <c r="D431" s="547">
        <v>4607091389982</v>
      </c>
      <c r="E431" s="548"/>
      <c r="F431" s="540">
        <v>0.6</v>
      </c>
      <c r="G431" s="32">
        <v>8</v>
      </c>
      <c r="H431" s="540">
        <v>4.8</v>
      </c>
      <c r="I431" s="540">
        <v>6.93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68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57"/>
      <c r="R431" s="557"/>
      <c r="S431" s="557"/>
      <c r="T431" s="558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2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3"/>
      <c r="P432" s="549" t="s">
        <v>71</v>
      </c>
      <c r="Q432" s="550"/>
      <c r="R432" s="550"/>
      <c r="S432" s="550"/>
      <c r="T432" s="550"/>
      <c r="U432" s="550"/>
      <c r="V432" s="551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28.409090909090907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29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0.34683999999999998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3"/>
      <c r="P433" s="549" t="s">
        <v>71</v>
      </c>
      <c r="Q433" s="550"/>
      <c r="R433" s="550"/>
      <c r="S433" s="550"/>
      <c r="T433" s="550"/>
      <c r="U433" s="550"/>
      <c r="V433" s="551"/>
      <c r="W433" s="37" t="s">
        <v>69</v>
      </c>
      <c r="X433" s="543">
        <f>IFERROR(SUM(X421:X431),"0")</f>
        <v>150</v>
      </c>
      <c r="Y433" s="543">
        <f>IFERROR(SUM(Y421:Y431),"0")</f>
        <v>153.12</v>
      </c>
      <c r="Z433" s="37"/>
      <c r="AA433" s="544"/>
      <c r="AB433" s="544"/>
      <c r="AC433" s="544"/>
    </row>
    <row r="434" spans="1:68" ht="14.25" hidden="1" customHeight="1" x14ac:dyDescent="0.25">
      <c r="A434" s="545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7">
        <v>4607091388930</v>
      </c>
      <c r="E435" s="548"/>
      <c r="F435" s="540">
        <v>0.88</v>
      </c>
      <c r="G435" s="32">
        <v>6</v>
      </c>
      <c r="H435" s="540">
        <v>5.28</v>
      </c>
      <c r="I435" s="540">
        <v>5.64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3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57"/>
      <c r="R435" s="557"/>
      <c r="S435" s="557"/>
      <c r="T435" s="558"/>
      <c r="U435" s="34"/>
      <c r="V435" s="34"/>
      <c r="W435" s="35" t="s">
        <v>69</v>
      </c>
      <c r="X435" s="541">
        <v>200</v>
      </c>
      <c r="Y435" s="542">
        <f>IFERROR(IF(X435="",0,CEILING((X435/$H435),1)*$H435),"")</f>
        <v>200.64000000000001</v>
      </c>
      <c r="Z435" s="36">
        <f>IFERROR(IF(Y435=0,"",ROUNDUP(Y435/H435,0)*0.01196),"")</f>
        <v>0.45448</v>
      </c>
      <c r="AA435" s="56"/>
      <c r="AB435" s="57"/>
      <c r="AC435" s="483" t="s">
        <v>668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213.63636363636363</v>
      </c>
      <c r="BN435" s="64">
        <f>IFERROR(Y435*I435/H435,"0")</f>
        <v>214.32</v>
      </c>
      <c r="BO435" s="64">
        <f>IFERROR(1/J435*(X435/H435),"0")</f>
        <v>0.36421911421911418</v>
      </c>
      <c r="BP435" s="64">
        <f>IFERROR(1/J435*(Y435/H435),"0")</f>
        <v>0.36538461538461542</v>
      </c>
    </row>
    <row r="436" spans="1:68" ht="16.5" hidden="1" customHeight="1" x14ac:dyDescent="0.25">
      <c r="A436" s="54" t="s">
        <v>669</v>
      </c>
      <c r="B436" s="54" t="s">
        <v>670</v>
      </c>
      <c r="C436" s="31">
        <v>4301020384</v>
      </c>
      <c r="D436" s="547">
        <v>4680115886407</v>
      </c>
      <c r="E436" s="548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74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57"/>
      <c r="R436" s="557"/>
      <c r="S436" s="557"/>
      <c r="T436" s="558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671</v>
      </c>
      <c r="B437" s="54" t="s">
        <v>672</v>
      </c>
      <c r="C437" s="31">
        <v>4301020385</v>
      </c>
      <c r="D437" s="547">
        <v>4680115880054</v>
      </c>
      <c r="E437" s="548"/>
      <c r="F437" s="540">
        <v>0.6</v>
      </c>
      <c r="G437" s="32">
        <v>8</v>
      </c>
      <c r="H437" s="540">
        <v>4.8</v>
      </c>
      <c r="I437" s="540">
        <v>6.93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57"/>
      <c r="R437" s="557"/>
      <c r="S437" s="557"/>
      <c r="T437" s="558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2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3"/>
      <c r="P438" s="549" t="s">
        <v>71</v>
      </c>
      <c r="Q438" s="550"/>
      <c r="R438" s="550"/>
      <c r="S438" s="550"/>
      <c r="T438" s="550"/>
      <c r="U438" s="550"/>
      <c r="V438" s="551"/>
      <c r="W438" s="37" t="s">
        <v>72</v>
      </c>
      <c r="X438" s="543">
        <f>IFERROR(X435/H435,"0")+IFERROR(X436/H436,"0")+IFERROR(X437/H437,"0")</f>
        <v>37.878787878787875</v>
      </c>
      <c r="Y438" s="543">
        <f>IFERROR(Y435/H435,"0")+IFERROR(Y436/H436,"0")+IFERROR(Y437/H437,"0")</f>
        <v>38</v>
      </c>
      <c r="Z438" s="543">
        <f>IFERROR(IF(Z435="",0,Z435),"0")+IFERROR(IF(Z436="",0,Z436),"0")+IFERROR(IF(Z437="",0,Z437),"0")</f>
        <v>0.45448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3"/>
      <c r="P439" s="549" t="s">
        <v>71</v>
      </c>
      <c r="Q439" s="550"/>
      <c r="R439" s="550"/>
      <c r="S439" s="550"/>
      <c r="T439" s="550"/>
      <c r="U439" s="550"/>
      <c r="V439" s="551"/>
      <c r="W439" s="37" t="s">
        <v>69</v>
      </c>
      <c r="X439" s="543">
        <f>IFERROR(SUM(X435:X437),"0")</f>
        <v>200</v>
      </c>
      <c r="Y439" s="543">
        <f>IFERROR(SUM(Y435:Y437),"0")</f>
        <v>200.64000000000001</v>
      </c>
      <c r="Z439" s="37"/>
      <c r="AA439" s="544"/>
      <c r="AB439" s="544"/>
      <c r="AC439" s="544"/>
    </row>
    <row r="440" spans="1:68" ht="14.25" hidden="1" customHeight="1" x14ac:dyDescent="0.25">
      <c r="A440" s="545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hidden="1" customHeight="1" x14ac:dyDescent="0.25">
      <c r="A441" s="54" t="s">
        <v>673</v>
      </c>
      <c r="B441" s="54" t="s">
        <v>674</v>
      </c>
      <c r="C441" s="31">
        <v>4301031349</v>
      </c>
      <c r="D441" s="547">
        <v>4680115883116</v>
      </c>
      <c r="E441" s="548"/>
      <c r="F441" s="540">
        <v>0.88</v>
      </c>
      <c r="G441" s="32">
        <v>6</v>
      </c>
      <c r="H441" s="540">
        <v>5.28</v>
      </c>
      <c r="I441" s="540">
        <v>5.64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4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57"/>
      <c r="R441" s="557"/>
      <c r="S441" s="557"/>
      <c r="T441" s="558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7">
        <v>4680115883093</v>
      </c>
      <c r="E442" s="548"/>
      <c r="F442" s="540">
        <v>0.88</v>
      </c>
      <c r="G442" s="32">
        <v>6</v>
      </c>
      <c r="H442" s="540">
        <v>5.28</v>
      </c>
      <c r="I442" s="540">
        <v>5.64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57"/>
      <c r="R442" s="557"/>
      <c r="S442" s="557"/>
      <c r="T442" s="558"/>
      <c r="U442" s="34"/>
      <c r="V442" s="34"/>
      <c r="W442" s="35" t="s">
        <v>69</v>
      </c>
      <c r="X442" s="541">
        <v>50</v>
      </c>
      <c r="Y442" s="542">
        <f t="shared" si="48"/>
        <v>52.800000000000004</v>
      </c>
      <c r="Z442" s="36">
        <f>IFERROR(IF(Y442=0,"",ROUNDUP(Y442/H442,0)*0.01196),"")</f>
        <v>0.1196</v>
      </c>
      <c r="AA442" s="56"/>
      <c r="AB442" s="57"/>
      <c r="AC442" s="491" t="s">
        <v>678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53.409090909090907</v>
      </c>
      <c r="BN442" s="64">
        <f t="shared" si="50"/>
        <v>56.400000000000006</v>
      </c>
      <c r="BO442" s="64">
        <f t="shared" si="51"/>
        <v>9.1054778554778545E-2</v>
      </c>
      <c r="BP442" s="64">
        <f t="shared" si="52"/>
        <v>9.6153846153846159E-2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7">
        <v>4680115883109</v>
      </c>
      <c r="E443" s="548"/>
      <c r="F443" s="540">
        <v>0.88</v>
      </c>
      <c r="G443" s="32">
        <v>6</v>
      </c>
      <c r="H443" s="540">
        <v>5.28</v>
      </c>
      <c r="I443" s="540">
        <v>5.64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63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57"/>
      <c r="R443" s="557"/>
      <c r="S443" s="557"/>
      <c r="T443" s="558"/>
      <c r="U443" s="34"/>
      <c r="V443" s="34"/>
      <c r="W443" s="35" t="s">
        <v>69</v>
      </c>
      <c r="X443" s="541">
        <v>50</v>
      </c>
      <c r="Y443" s="542">
        <f t="shared" si="48"/>
        <v>52.800000000000004</v>
      </c>
      <c r="Z443" s="36">
        <f>IFERROR(IF(Y443=0,"",ROUNDUP(Y443/H443,0)*0.01196),"")</f>
        <v>0.1196</v>
      </c>
      <c r="AA443" s="56"/>
      <c r="AB443" s="57"/>
      <c r="AC443" s="493" t="s">
        <v>681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53.409090909090907</v>
      </c>
      <c r="BN443" s="64">
        <f t="shared" si="50"/>
        <v>56.400000000000006</v>
      </c>
      <c r="BO443" s="64">
        <f t="shared" si="51"/>
        <v>9.1054778554778545E-2</v>
      </c>
      <c r="BP443" s="64">
        <f t="shared" si="52"/>
        <v>9.6153846153846159E-2</v>
      </c>
    </row>
    <row r="444" spans="1:68" ht="27" hidden="1" customHeight="1" x14ac:dyDescent="0.25">
      <c r="A444" s="54" t="s">
        <v>682</v>
      </c>
      <c r="B444" s="54" t="s">
        <v>683</v>
      </c>
      <c r="C444" s="31">
        <v>4301031419</v>
      </c>
      <c r="D444" s="547">
        <v>4680115882072</v>
      </c>
      <c r="E444" s="548"/>
      <c r="F444" s="540">
        <v>0.6</v>
      </c>
      <c r="G444" s="32">
        <v>8</v>
      </c>
      <c r="H444" s="540">
        <v>4.8</v>
      </c>
      <c r="I444" s="540">
        <v>6.93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4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57"/>
      <c r="R444" s="557"/>
      <c r="S444" s="557"/>
      <c r="T444" s="558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684</v>
      </c>
      <c r="B445" s="54" t="s">
        <v>685</v>
      </c>
      <c r="C445" s="31">
        <v>4301031418</v>
      </c>
      <c r="D445" s="547">
        <v>4680115882102</v>
      </c>
      <c r="E445" s="548"/>
      <c r="F445" s="540">
        <v>0.6</v>
      </c>
      <c r="G445" s="32">
        <v>8</v>
      </c>
      <c r="H445" s="540">
        <v>4.8</v>
      </c>
      <c r="I445" s="540">
        <v>6.69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57"/>
      <c r="R445" s="557"/>
      <c r="S445" s="557"/>
      <c r="T445" s="558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4301031417</v>
      </c>
      <c r="D446" s="547">
        <v>4680115882096</v>
      </c>
      <c r="E446" s="548"/>
      <c r="F446" s="540">
        <v>0.6</v>
      </c>
      <c r="G446" s="32">
        <v>8</v>
      </c>
      <c r="H446" s="540">
        <v>4.8</v>
      </c>
      <c r="I446" s="540">
        <v>6.69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57"/>
      <c r="R446" s="557"/>
      <c r="S446" s="557"/>
      <c r="T446" s="558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2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3"/>
      <c r="P447" s="549" t="s">
        <v>71</v>
      </c>
      <c r="Q447" s="550"/>
      <c r="R447" s="550"/>
      <c r="S447" s="550"/>
      <c r="T447" s="550"/>
      <c r="U447" s="550"/>
      <c r="V447" s="551"/>
      <c r="W447" s="37" t="s">
        <v>72</v>
      </c>
      <c r="X447" s="543">
        <f>IFERROR(X441/H441,"0")+IFERROR(X442/H442,"0")+IFERROR(X443/H443,"0")+IFERROR(X444/H444,"0")+IFERROR(X445/H445,"0")+IFERROR(X446/H446,"0")</f>
        <v>18.939393939393938</v>
      </c>
      <c r="Y447" s="543">
        <f>IFERROR(Y441/H441,"0")+IFERROR(Y442/H442,"0")+IFERROR(Y443/H443,"0")+IFERROR(Y444/H444,"0")+IFERROR(Y445/H445,"0")+IFERROR(Y446/H446,"0")</f>
        <v>20</v>
      </c>
      <c r="Z447" s="543">
        <f>IFERROR(IF(Z441="",0,Z441),"0")+IFERROR(IF(Z442="",0,Z442),"0")+IFERROR(IF(Z443="",0,Z443),"0")+IFERROR(IF(Z444="",0,Z444),"0")+IFERROR(IF(Z445="",0,Z445),"0")+IFERROR(IF(Z446="",0,Z446),"0")</f>
        <v>0.2392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3"/>
      <c r="P448" s="549" t="s">
        <v>71</v>
      </c>
      <c r="Q448" s="550"/>
      <c r="R448" s="550"/>
      <c r="S448" s="550"/>
      <c r="T448" s="550"/>
      <c r="U448" s="550"/>
      <c r="V448" s="551"/>
      <c r="W448" s="37" t="s">
        <v>69</v>
      </c>
      <c r="X448" s="543">
        <f>IFERROR(SUM(X441:X446),"0")</f>
        <v>100</v>
      </c>
      <c r="Y448" s="543">
        <f>IFERROR(SUM(Y441:Y446),"0")</f>
        <v>105.60000000000001</v>
      </c>
      <c r="Z448" s="37"/>
      <c r="AA448" s="544"/>
      <c r="AB448" s="544"/>
      <c r="AC448" s="544"/>
    </row>
    <row r="449" spans="1:68" ht="14.25" hidden="1" customHeight="1" x14ac:dyDescent="0.25">
      <c r="A449" s="545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688</v>
      </c>
      <c r="B450" s="54" t="s">
        <v>689</v>
      </c>
      <c r="C450" s="31">
        <v>4301051232</v>
      </c>
      <c r="D450" s="547">
        <v>4607091383409</v>
      </c>
      <c r="E450" s="548"/>
      <c r="F450" s="540">
        <v>1.3</v>
      </c>
      <c r="G450" s="32">
        <v>6</v>
      </c>
      <c r="H450" s="540">
        <v>7.8</v>
      </c>
      <c r="I450" s="540">
        <v>8.3010000000000002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57"/>
      <c r="R450" s="557"/>
      <c r="S450" s="557"/>
      <c r="T450" s="558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691</v>
      </c>
      <c r="B451" s="54" t="s">
        <v>692</v>
      </c>
      <c r="C451" s="31">
        <v>4301051233</v>
      </c>
      <c r="D451" s="547">
        <v>4607091383416</v>
      </c>
      <c r="E451" s="548"/>
      <c r="F451" s="540">
        <v>1.3</v>
      </c>
      <c r="G451" s="32">
        <v>6</v>
      </c>
      <c r="H451" s="540">
        <v>7.8</v>
      </c>
      <c r="I451" s="540">
        <v>8.3010000000000002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2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57"/>
      <c r="R451" s="557"/>
      <c r="S451" s="557"/>
      <c r="T451" s="558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694</v>
      </c>
      <c r="B452" s="54" t="s">
        <v>695</v>
      </c>
      <c r="C452" s="31">
        <v>4301051064</v>
      </c>
      <c r="D452" s="547">
        <v>4680115883536</v>
      </c>
      <c r="E452" s="548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63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57"/>
      <c r="R452" s="557"/>
      <c r="S452" s="557"/>
      <c r="T452" s="558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2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3"/>
      <c r="P453" s="549" t="s">
        <v>71</v>
      </c>
      <c r="Q453" s="550"/>
      <c r="R453" s="550"/>
      <c r="S453" s="550"/>
      <c r="T453" s="550"/>
      <c r="U453" s="550"/>
      <c r="V453" s="551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3"/>
      <c r="P454" s="549" t="s">
        <v>71</v>
      </c>
      <c r="Q454" s="550"/>
      <c r="R454" s="550"/>
      <c r="S454" s="550"/>
      <c r="T454" s="550"/>
      <c r="U454" s="550"/>
      <c r="V454" s="551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4" t="s">
        <v>697</v>
      </c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5"/>
      <c r="P455" s="645"/>
      <c r="Q455" s="645"/>
      <c r="R455" s="645"/>
      <c r="S455" s="645"/>
      <c r="T455" s="645"/>
      <c r="U455" s="645"/>
      <c r="V455" s="645"/>
      <c r="W455" s="645"/>
      <c r="X455" s="645"/>
      <c r="Y455" s="645"/>
      <c r="Z455" s="645"/>
      <c r="AA455" s="48"/>
      <c r="AB455" s="48"/>
      <c r="AC455" s="48"/>
    </row>
    <row r="456" spans="1:68" ht="16.5" hidden="1" customHeight="1" x14ac:dyDescent="0.25">
      <c r="A456" s="574" t="s">
        <v>697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45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698</v>
      </c>
      <c r="B458" s="54" t="s">
        <v>699</v>
      </c>
      <c r="C458" s="31">
        <v>4301011763</v>
      </c>
      <c r="D458" s="547">
        <v>4640242181011</v>
      </c>
      <c r="E458" s="548"/>
      <c r="F458" s="540">
        <v>1.35</v>
      </c>
      <c r="G458" s="32">
        <v>8</v>
      </c>
      <c r="H458" s="540">
        <v>10.8</v>
      </c>
      <c r="I458" s="540">
        <v>11.234999999999999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59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57"/>
      <c r="R458" s="557"/>
      <c r="S458" s="557"/>
      <c r="T458" s="558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701</v>
      </c>
      <c r="B459" s="54" t="s">
        <v>702</v>
      </c>
      <c r="C459" s="31">
        <v>4301011585</v>
      </c>
      <c r="D459" s="547">
        <v>4640242180441</v>
      </c>
      <c r="E459" s="548"/>
      <c r="F459" s="540">
        <v>1.5</v>
      </c>
      <c r="G459" s="32">
        <v>8</v>
      </c>
      <c r="H459" s="540">
        <v>12</v>
      </c>
      <c r="I459" s="540">
        <v>12.435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3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57"/>
      <c r="R459" s="557"/>
      <c r="S459" s="557"/>
      <c r="T459" s="558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704</v>
      </c>
      <c r="B460" s="54" t="s">
        <v>705</v>
      </c>
      <c r="C460" s="31">
        <v>4301011584</v>
      </c>
      <c r="D460" s="547">
        <v>4640242180564</v>
      </c>
      <c r="E460" s="548"/>
      <c r="F460" s="540">
        <v>1.5</v>
      </c>
      <c r="G460" s="32">
        <v>8</v>
      </c>
      <c r="H460" s="540">
        <v>12</v>
      </c>
      <c r="I460" s="540">
        <v>12.435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57"/>
      <c r="R460" s="557"/>
      <c r="S460" s="557"/>
      <c r="T460" s="558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707</v>
      </c>
      <c r="B461" s="54" t="s">
        <v>708</v>
      </c>
      <c r="C461" s="31">
        <v>4301011764</v>
      </c>
      <c r="D461" s="547">
        <v>4640242181189</v>
      </c>
      <c r="E461" s="548"/>
      <c r="F461" s="540">
        <v>0.4</v>
      </c>
      <c r="G461" s="32">
        <v>10</v>
      </c>
      <c r="H461" s="540">
        <v>4</v>
      </c>
      <c r="I461" s="540">
        <v>4.21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4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57"/>
      <c r="R461" s="557"/>
      <c r="S461" s="557"/>
      <c r="T461" s="558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2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3"/>
      <c r="P462" s="549" t="s">
        <v>71</v>
      </c>
      <c r="Q462" s="550"/>
      <c r="R462" s="550"/>
      <c r="S462" s="550"/>
      <c r="T462" s="550"/>
      <c r="U462" s="550"/>
      <c r="V462" s="551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3"/>
      <c r="P463" s="549" t="s">
        <v>71</v>
      </c>
      <c r="Q463" s="550"/>
      <c r="R463" s="550"/>
      <c r="S463" s="550"/>
      <c r="T463" s="550"/>
      <c r="U463" s="550"/>
      <c r="V463" s="551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45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709</v>
      </c>
      <c r="B465" s="54" t="s">
        <v>710</v>
      </c>
      <c r="C465" s="31">
        <v>4301020400</v>
      </c>
      <c r="D465" s="547">
        <v>4640242180519</v>
      </c>
      <c r="E465" s="548"/>
      <c r="F465" s="540">
        <v>1.5</v>
      </c>
      <c r="G465" s="32">
        <v>8</v>
      </c>
      <c r="H465" s="540">
        <v>12</v>
      </c>
      <c r="I465" s="540">
        <v>12.435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9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57"/>
      <c r="R465" s="557"/>
      <c r="S465" s="557"/>
      <c r="T465" s="558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712</v>
      </c>
      <c r="B466" s="54" t="s">
        <v>713</v>
      </c>
      <c r="C466" s="31">
        <v>4301020260</v>
      </c>
      <c r="D466" s="547">
        <v>4640242180526</v>
      </c>
      <c r="E466" s="548"/>
      <c r="F466" s="540">
        <v>1.8</v>
      </c>
      <c r="G466" s="32">
        <v>6</v>
      </c>
      <c r="H466" s="540">
        <v>10.8</v>
      </c>
      <c r="I466" s="540">
        <v>11.234999999999999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4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57"/>
      <c r="R466" s="557"/>
      <c r="S466" s="557"/>
      <c r="T466" s="558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715</v>
      </c>
      <c r="B467" s="54" t="s">
        <v>716</v>
      </c>
      <c r="C467" s="31">
        <v>4301020295</v>
      </c>
      <c r="D467" s="547">
        <v>4640242181363</v>
      </c>
      <c r="E467" s="548"/>
      <c r="F467" s="540">
        <v>0.4</v>
      </c>
      <c r="G467" s="32">
        <v>10</v>
      </c>
      <c r="H467" s="540">
        <v>4</v>
      </c>
      <c r="I467" s="540">
        <v>4.21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5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57"/>
      <c r="R467" s="557"/>
      <c r="S467" s="557"/>
      <c r="T467" s="558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2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3"/>
      <c r="P468" s="549" t="s">
        <v>71</v>
      </c>
      <c r="Q468" s="550"/>
      <c r="R468" s="550"/>
      <c r="S468" s="550"/>
      <c r="T468" s="550"/>
      <c r="U468" s="550"/>
      <c r="V468" s="551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3"/>
      <c r="P469" s="549" t="s">
        <v>71</v>
      </c>
      <c r="Q469" s="550"/>
      <c r="R469" s="550"/>
      <c r="S469" s="550"/>
      <c r="T469" s="550"/>
      <c r="U469" s="550"/>
      <c r="V469" s="551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45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7">
        <v>4640242180816</v>
      </c>
      <c r="E471" s="548"/>
      <c r="F471" s="540">
        <v>0.7</v>
      </c>
      <c r="G471" s="32">
        <v>6</v>
      </c>
      <c r="H471" s="540">
        <v>4.2</v>
      </c>
      <c r="I471" s="540">
        <v>4.47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57"/>
      <c r="R471" s="557"/>
      <c r="S471" s="557"/>
      <c r="T471" s="558"/>
      <c r="U471" s="34"/>
      <c r="V471" s="34"/>
      <c r="W471" s="35" t="s">
        <v>69</v>
      </c>
      <c r="X471" s="541">
        <v>50</v>
      </c>
      <c r="Y471" s="542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720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53.214285714285715</v>
      </c>
      <c r="BN471" s="64">
        <f>IFERROR(Y471*I471/H471,"0")</f>
        <v>53.64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7">
        <v>4640242180595</v>
      </c>
      <c r="E472" s="548"/>
      <c r="F472" s="540">
        <v>0.7</v>
      </c>
      <c r="G472" s="32">
        <v>6</v>
      </c>
      <c r="H472" s="540">
        <v>4.2</v>
      </c>
      <c r="I472" s="540">
        <v>4.47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57"/>
      <c r="R472" s="557"/>
      <c r="S472" s="557"/>
      <c r="T472" s="558"/>
      <c r="U472" s="34"/>
      <c r="V472" s="34"/>
      <c r="W472" s="35" t="s">
        <v>69</v>
      </c>
      <c r="X472" s="541">
        <v>50</v>
      </c>
      <c r="Y472" s="542">
        <f>IFERROR(IF(X472="",0,CEILING((X472/$H472),1)*$H472),"")</f>
        <v>50.400000000000006</v>
      </c>
      <c r="Z472" s="36">
        <f>IFERROR(IF(Y472=0,"",ROUNDUP(Y472/H472,0)*0.00902),"")</f>
        <v>0.10824</v>
      </c>
      <c r="AA472" s="56"/>
      <c r="AB472" s="57"/>
      <c r="AC472" s="523" t="s">
        <v>723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53.214285714285715</v>
      </c>
      <c r="BN472" s="64">
        <f>IFERROR(Y472*I472/H472,"0")</f>
        <v>53.64</v>
      </c>
      <c r="BO472" s="64">
        <f>IFERROR(1/J472*(X472/H472),"0")</f>
        <v>9.0187590187590191E-2</v>
      </c>
      <c r="BP472" s="64">
        <f>IFERROR(1/J472*(Y472/H472),"0")</f>
        <v>9.0909090909090912E-2</v>
      </c>
    </row>
    <row r="473" spans="1:68" x14ac:dyDescent="0.2">
      <c r="A473" s="552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3"/>
      <c r="P473" s="549" t="s">
        <v>71</v>
      </c>
      <c r="Q473" s="550"/>
      <c r="R473" s="550"/>
      <c r="S473" s="550"/>
      <c r="T473" s="550"/>
      <c r="U473" s="550"/>
      <c r="V473" s="551"/>
      <c r="W473" s="37" t="s">
        <v>72</v>
      </c>
      <c r="X473" s="543">
        <f>IFERROR(X471/H471,"0")+IFERROR(X472/H472,"0")</f>
        <v>23.80952380952381</v>
      </c>
      <c r="Y473" s="543">
        <f>IFERROR(Y471/H471,"0")+IFERROR(Y472/H472,"0")</f>
        <v>24</v>
      </c>
      <c r="Z473" s="543">
        <f>IFERROR(IF(Z471="",0,Z471),"0")+IFERROR(IF(Z472="",0,Z472),"0")</f>
        <v>0.21648000000000001</v>
      </c>
      <c r="AA473" s="544"/>
      <c r="AB473" s="544"/>
      <c r="AC473" s="544"/>
    </row>
    <row r="474" spans="1:68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3"/>
      <c r="P474" s="549" t="s">
        <v>71</v>
      </c>
      <c r="Q474" s="550"/>
      <c r="R474" s="550"/>
      <c r="S474" s="550"/>
      <c r="T474" s="550"/>
      <c r="U474" s="550"/>
      <c r="V474" s="551"/>
      <c r="W474" s="37" t="s">
        <v>69</v>
      </c>
      <c r="X474" s="543">
        <f>IFERROR(SUM(X471:X472),"0")</f>
        <v>100</v>
      </c>
      <c r="Y474" s="543">
        <f>IFERROR(SUM(Y471:Y472),"0")</f>
        <v>100.80000000000001</v>
      </c>
      <c r="Z474" s="37"/>
      <c r="AA474" s="544"/>
      <c r="AB474" s="544"/>
      <c r="AC474" s="544"/>
    </row>
    <row r="475" spans="1:68" ht="14.25" hidden="1" customHeight="1" x14ac:dyDescent="0.25">
      <c r="A475" s="545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7">
        <v>4640242180533</v>
      </c>
      <c r="E476" s="548"/>
      <c r="F476" s="540">
        <v>1.5</v>
      </c>
      <c r="G476" s="32">
        <v>6</v>
      </c>
      <c r="H476" s="540">
        <v>9</v>
      </c>
      <c r="I476" s="540">
        <v>9.5190000000000001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3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7"/>
      <c r="R476" s="557"/>
      <c r="S476" s="557"/>
      <c r="T476" s="558"/>
      <c r="U476" s="34"/>
      <c r="V476" s="34"/>
      <c r="W476" s="35" t="s">
        <v>69</v>
      </c>
      <c r="X476" s="541">
        <v>700</v>
      </c>
      <c r="Y476" s="542">
        <f>IFERROR(IF(X476="",0,CEILING((X476/$H476),1)*$H476),"")</f>
        <v>702</v>
      </c>
      <c r="Z476" s="36">
        <f>IFERROR(IF(Y476=0,"",ROUNDUP(Y476/H476,0)*0.01898),"")</f>
        <v>1.48044</v>
      </c>
      <c r="AA476" s="56"/>
      <c r="AB476" s="57"/>
      <c r="AC476" s="525" t="s">
        <v>726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740.36666666666667</v>
      </c>
      <c r="BN476" s="64">
        <f>IFERROR(Y476*I476/H476,"0")</f>
        <v>742.48199999999997</v>
      </c>
      <c r="BO476" s="64">
        <f>IFERROR(1/J476*(X476/H476),"0")</f>
        <v>1.2152777777777777</v>
      </c>
      <c r="BP476" s="64">
        <f>IFERROR(1/J476*(Y476/H476),"0")</f>
        <v>1.21875</v>
      </c>
    </row>
    <row r="477" spans="1:68" x14ac:dyDescent="0.2">
      <c r="A477" s="552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3"/>
      <c r="P477" s="549" t="s">
        <v>71</v>
      </c>
      <c r="Q477" s="550"/>
      <c r="R477" s="550"/>
      <c r="S477" s="550"/>
      <c r="T477" s="550"/>
      <c r="U477" s="550"/>
      <c r="V477" s="551"/>
      <c r="W477" s="37" t="s">
        <v>72</v>
      </c>
      <c r="X477" s="543">
        <f>IFERROR(X476/H476,"0")</f>
        <v>77.777777777777771</v>
      </c>
      <c r="Y477" s="543">
        <f>IFERROR(Y476/H476,"0")</f>
        <v>78</v>
      </c>
      <c r="Z477" s="543">
        <f>IFERROR(IF(Z476="",0,Z476),"0")</f>
        <v>1.48044</v>
      </c>
      <c r="AA477" s="544"/>
      <c r="AB477" s="544"/>
      <c r="AC477" s="544"/>
    </row>
    <row r="478" spans="1:68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3"/>
      <c r="P478" s="549" t="s">
        <v>71</v>
      </c>
      <c r="Q478" s="550"/>
      <c r="R478" s="550"/>
      <c r="S478" s="550"/>
      <c r="T478" s="550"/>
      <c r="U478" s="550"/>
      <c r="V478" s="551"/>
      <c r="W478" s="37" t="s">
        <v>69</v>
      </c>
      <c r="X478" s="543">
        <f>IFERROR(SUM(X476:X476),"0")</f>
        <v>700</v>
      </c>
      <c r="Y478" s="543">
        <f>IFERROR(SUM(Y476:Y476),"0")</f>
        <v>702</v>
      </c>
      <c r="Z478" s="37"/>
      <c r="AA478" s="544"/>
      <c r="AB478" s="544"/>
      <c r="AC478" s="544"/>
    </row>
    <row r="479" spans="1:68" ht="14.25" hidden="1" customHeight="1" x14ac:dyDescent="0.25">
      <c r="A479" s="545" t="s">
        <v>165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727</v>
      </c>
      <c r="B480" s="54" t="s">
        <v>728</v>
      </c>
      <c r="C480" s="31">
        <v>4301060491</v>
      </c>
      <c r="D480" s="547">
        <v>4640242180120</v>
      </c>
      <c r="E480" s="548"/>
      <c r="F480" s="540">
        <v>1.5</v>
      </c>
      <c r="G480" s="32">
        <v>6</v>
      </c>
      <c r="H480" s="540">
        <v>9</v>
      </c>
      <c r="I480" s="540">
        <v>9.4350000000000005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6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7"/>
      <c r="R480" s="557"/>
      <c r="S480" s="557"/>
      <c r="T480" s="558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730</v>
      </c>
      <c r="B481" s="54" t="s">
        <v>731</v>
      </c>
      <c r="C481" s="31">
        <v>4301060493</v>
      </c>
      <c r="D481" s="547">
        <v>4640242180137</v>
      </c>
      <c r="E481" s="548"/>
      <c r="F481" s="540">
        <v>1.5</v>
      </c>
      <c r="G481" s="32">
        <v>6</v>
      </c>
      <c r="H481" s="540">
        <v>9</v>
      </c>
      <c r="I481" s="540">
        <v>9.4350000000000005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7"/>
      <c r="R481" s="557"/>
      <c r="S481" s="557"/>
      <c r="T481" s="558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2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3"/>
      <c r="P482" s="549" t="s">
        <v>71</v>
      </c>
      <c r="Q482" s="550"/>
      <c r="R482" s="550"/>
      <c r="S482" s="550"/>
      <c r="T482" s="550"/>
      <c r="U482" s="550"/>
      <c r="V482" s="551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3"/>
      <c r="P483" s="549" t="s">
        <v>71</v>
      </c>
      <c r="Q483" s="550"/>
      <c r="R483" s="550"/>
      <c r="S483" s="550"/>
      <c r="T483" s="550"/>
      <c r="U483" s="550"/>
      <c r="V483" s="551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74" t="s">
        <v>733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45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734</v>
      </c>
      <c r="B486" s="54" t="s">
        <v>735</v>
      </c>
      <c r="C486" s="31">
        <v>4301020314</v>
      </c>
      <c r="D486" s="547">
        <v>4640242180090</v>
      </c>
      <c r="E486" s="548"/>
      <c r="F486" s="540">
        <v>1.5</v>
      </c>
      <c r="G486" s="32">
        <v>8</v>
      </c>
      <c r="H486" s="540">
        <v>12</v>
      </c>
      <c r="I486" s="540">
        <v>12.435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7"/>
      <c r="R486" s="557"/>
      <c r="S486" s="557"/>
      <c r="T486" s="558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2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3"/>
      <c r="P487" s="549" t="s">
        <v>71</v>
      </c>
      <c r="Q487" s="550"/>
      <c r="R487" s="550"/>
      <c r="S487" s="550"/>
      <c r="T487" s="550"/>
      <c r="U487" s="550"/>
      <c r="V487" s="551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3"/>
      <c r="P488" s="549" t="s">
        <v>71</v>
      </c>
      <c r="Q488" s="550"/>
      <c r="R488" s="550"/>
      <c r="S488" s="550"/>
      <c r="T488" s="550"/>
      <c r="U488" s="550"/>
      <c r="V488" s="551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49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709"/>
      <c r="P489" s="619" t="s">
        <v>737</v>
      </c>
      <c r="Q489" s="620"/>
      <c r="R489" s="620"/>
      <c r="S489" s="620"/>
      <c r="T489" s="620"/>
      <c r="U489" s="620"/>
      <c r="V489" s="621"/>
      <c r="W489" s="37" t="s">
        <v>69</v>
      </c>
      <c r="X489" s="543">
        <f>IFERROR(X24+X32+X36+X44+X48+X58+X64+X70+X78+X83+X90+X97+X105+X111+X118+X122+X128+X133+X138+X145+X151+X155+X161+X173+X179+X183+X189+X194+X205+X217+X222+X236+X240+X244+X252+X261+X269+X276+X282+X286+X295+X305+X313+X319+X326+X332+X339+X351+X356+X361+X365+X371+X376+X381+X395+X400+X405+X412+X417+X433+X439+X448+X454+X463+X469+X474+X478+X483+X488,"0")</f>
        <v>13739.199999999999</v>
      </c>
      <c r="Y489" s="543">
        <f>IFERROR(Y24+Y32+Y36+Y44+Y48+Y58+Y64+Y70+Y78+Y83+Y90+Y97+Y105+Y111+Y118+Y122+Y128+Y133+Y138+Y145+Y151+Y155+Y161+Y173+Y179+Y183+Y189+Y194+Y205+Y217+Y222+Y236+Y240+Y244+Y252+Y261+Y269+Y276+Y282+Y286+Y295+Y305+Y313+Y319+Y326+Y332+Y339+Y351+Y356+Y361+Y365+Y371+Y376+Y381+Y395+Y400+Y405+Y412+Y417+Y433+Y439+Y448+Y454+Y463+Y469+Y474+Y478+Y483+Y488,"0")</f>
        <v>13842.66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709"/>
      <c r="P490" s="619" t="s">
        <v>738</v>
      </c>
      <c r="Q490" s="620"/>
      <c r="R490" s="620"/>
      <c r="S490" s="620"/>
      <c r="T490" s="620"/>
      <c r="U490" s="620"/>
      <c r="V490" s="621"/>
      <c r="W490" s="37" t="s">
        <v>69</v>
      </c>
      <c r="X490" s="543">
        <f>IFERROR(SUM(BM22:BM486),"0")</f>
        <v>14353.044145311902</v>
      </c>
      <c r="Y490" s="543">
        <f>IFERROR(SUM(BN22:BN486),"0")</f>
        <v>14461.466999999995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709"/>
      <c r="P491" s="619" t="s">
        <v>739</v>
      </c>
      <c r="Q491" s="620"/>
      <c r="R491" s="620"/>
      <c r="S491" s="620"/>
      <c r="T491" s="620"/>
      <c r="U491" s="620"/>
      <c r="V491" s="621"/>
      <c r="W491" s="37" t="s">
        <v>740</v>
      </c>
      <c r="X491" s="38">
        <f>ROUNDUP(SUM(BO22:BO486),0)</f>
        <v>22</v>
      </c>
      <c r="Y491" s="38">
        <f>ROUNDUP(SUM(BP22:BP486),0)</f>
        <v>22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709"/>
      <c r="P492" s="619" t="s">
        <v>741</v>
      </c>
      <c r="Q492" s="620"/>
      <c r="R492" s="620"/>
      <c r="S492" s="620"/>
      <c r="T492" s="620"/>
      <c r="U492" s="620"/>
      <c r="V492" s="621"/>
      <c r="W492" s="37" t="s">
        <v>69</v>
      </c>
      <c r="X492" s="543">
        <f>GrossWeightTotal+PalletQtyTotal*25</f>
        <v>14903.044145311902</v>
      </c>
      <c r="Y492" s="543">
        <f>GrossWeightTotalR+PalletQtyTotalR*25</f>
        <v>15011.466999999995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709"/>
      <c r="P493" s="619" t="s">
        <v>742</v>
      </c>
      <c r="Q493" s="620"/>
      <c r="R493" s="620"/>
      <c r="S493" s="620"/>
      <c r="T493" s="620"/>
      <c r="U493" s="620"/>
      <c r="V493" s="621"/>
      <c r="W493" s="37" t="s">
        <v>740</v>
      </c>
      <c r="X493" s="543">
        <f>IFERROR(X23+X31+X35+X43+X47+X57+X63+X69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1650.7549136687071</v>
      </c>
      <c r="Y493" s="543">
        <f>IFERROR(Y23+Y31+Y35+Y43+Y47+Y57+Y63+Y69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1664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709"/>
      <c r="P494" s="619" t="s">
        <v>743</v>
      </c>
      <c r="Q494" s="620"/>
      <c r="R494" s="620"/>
      <c r="S494" s="620"/>
      <c r="T494" s="620"/>
      <c r="U494" s="620"/>
      <c r="V494" s="621"/>
      <c r="W494" s="39" t="s">
        <v>744</v>
      </c>
      <c r="X494" s="37"/>
      <c r="Y494" s="37"/>
      <c r="Z494" s="37">
        <f>IFERROR(Z23+Z31+Z35+Z43+Z47+Z57+Z63+Z69+Z77+Z82+Z89+Z96+Z104+Z110+Z117+Z121+Z127+Z132+Z137+Z144+Z150+Z154+Z160+Z172+Z178+Z182+Z188+Z193+Z204+Z216+Z221+Z235+Z239+Z243+Z251+Z260+Z268+Z275+Z281+Z285+Z294+Z304+Z312+Z318+Z325+Z331+Z338+Z350+Z355+Z360+Z364+Z370+Z375+Z380+Z394+Z399+Z404+Z411+Z416+Z432+Z438+Z447+Z453+Z462+Z468+Z473+Z477+Z482+Z487,"0")</f>
        <v>23.781660000000006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0" t="s">
        <v>97</v>
      </c>
      <c r="D496" s="667"/>
      <c r="E496" s="667"/>
      <c r="F496" s="667"/>
      <c r="G496" s="667"/>
      <c r="H496" s="635"/>
      <c r="I496" s="590" t="s">
        <v>257</v>
      </c>
      <c r="J496" s="667"/>
      <c r="K496" s="667"/>
      <c r="L496" s="667"/>
      <c r="M496" s="667"/>
      <c r="N496" s="667"/>
      <c r="O496" s="667"/>
      <c r="P496" s="667"/>
      <c r="Q496" s="667"/>
      <c r="R496" s="635"/>
      <c r="S496" s="590" t="s">
        <v>535</v>
      </c>
      <c r="T496" s="635"/>
      <c r="U496" s="590" t="s">
        <v>586</v>
      </c>
      <c r="V496" s="667"/>
      <c r="W496" s="635"/>
      <c r="X496" s="538" t="s">
        <v>637</v>
      </c>
      <c r="Y496" s="590" t="s">
        <v>697</v>
      </c>
      <c r="Z496" s="635"/>
      <c r="AB496" s="52"/>
      <c r="AC496" s="52"/>
      <c r="AF496" s="539"/>
    </row>
    <row r="497" spans="1:32" ht="14.25" customHeight="1" thickTop="1" x14ac:dyDescent="0.2">
      <c r="A497" s="846" t="s">
        <v>746</v>
      </c>
      <c r="B497" s="590" t="s">
        <v>63</v>
      </c>
      <c r="C497" s="590" t="s">
        <v>98</v>
      </c>
      <c r="D497" s="590" t="s">
        <v>116</v>
      </c>
      <c r="E497" s="590" t="s">
        <v>172</v>
      </c>
      <c r="F497" s="590" t="s">
        <v>192</v>
      </c>
      <c r="G497" s="590" t="s">
        <v>222</v>
      </c>
      <c r="H497" s="590" t="s">
        <v>97</v>
      </c>
      <c r="I497" s="590" t="s">
        <v>258</v>
      </c>
      <c r="J497" s="590" t="s">
        <v>299</v>
      </c>
      <c r="K497" s="590" t="s">
        <v>359</v>
      </c>
      <c r="L497" s="590" t="s">
        <v>401</v>
      </c>
      <c r="M497" s="590" t="s">
        <v>417</v>
      </c>
      <c r="N497" s="539"/>
      <c r="O497" s="590" t="s">
        <v>428</v>
      </c>
      <c r="P497" s="590" t="s">
        <v>437</v>
      </c>
      <c r="Q497" s="590" t="s">
        <v>447</v>
      </c>
      <c r="R497" s="590" t="s">
        <v>525</v>
      </c>
      <c r="S497" s="590" t="s">
        <v>536</v>
      </c>
      <c r="T497" s="590" t="s">
        <v>570</v>
      </c>
      <c r="U497" s="590" t="s">
        <v>587</v>
      </c>
      <c r="V497" s="590" t="s">
        <v>618</v>
      </c>
      <c r="W497" s="590" t="s">
        <v>633</v>
      </c>
      <c r="X497" s="590" t="s">
        <v>637</v>
      </c>
      <c r="Y497" s="590" t="s">
        <v>697</v>
      </c>
      <c r="Z497" s="590" t="s">
        <v>733</v>
      </c>
      <c r="AB497" s="52"/>
      <c r="AC497" s="52"/>
      <c r="AF497" s="539"/>
    </row>
    <row r="498" spans="1:32" ht="13.5" customHeight="1" thickBot="1" x14ac:dyDescent="0.25">
      <c r="A498" s="847"/>
      <c r="B498" s="591"/>
      <c r="C498" s="591"/>
      <c r="D498" s="591"/>
      <c r="E498" s="591"/>
      <c r="F498" s="591"/>
      <c r="G498" s="591"/>
      <c r="H498" s="591"/>
      <c r="I498" s="591"/>
      <c r="J498" s="591"/>
      <c r="K498" s="591"/>
      <c r="L498" s="591"/>
      <c r="M498" s="591"/>
      <c r="N498" s="539"/>
      <c r="O498" s="591"/>
      <c r="P498" s="591"/>
      <c r="Q498" s="591"/>
      <c r="R498" s="591"/>
      <c r="S498" s="591"/>
      <c r="T498" s="591"/>
      <c r="U498" s="591"/>
      <c r="V498" s="591"/>
      <c r="W498" s="591"/>
      <c r="X498" s="591"/>
      <c r="Y498" s="591"/>
      <c r="Z498" s="591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21.6</v>
      </c>
      <c r="E499" s="46">
        <f>IFERROR(Y86*1,"0")+IFERROR(Y87*1,"0")+IFERROR(Y88*1,"0")+IFERROR(Y92*1,"0")+IFERROR(Y93*1,"0")+IFERROR(Y94*1,"0")+IFERROR(Y95*1,"0")</f>
        <v>207.9</v>
      </c>
      <c r="F499" s="46">
        <f>IFERROR(Y100*1,"0")+IFERROR(Y101*1,"0")+IFERROR(Y102*1,"0")+IFERROR(Y103*1,"0")+IFERROR(Y107*1,"0")+IFERROR(Y108*1,"0")+IFERROR(Y109*1,"0")+IFERROR(Y113*1,"0")+IFERROR(Y114*1,"0")+IFERROR(Y115*1,"0")+IFERROR(Y116*1,"0")+IFERROR(Y120*1,"0")</f>
        <v>251.1</v>
      </c>
      <c r="G499" s="46">
        <f>IFERROR(Y125*1,"0")+IFERROR(Y126*1,"0")+IFERROR(Y130*1,"0")+IFERROR(Y131*1,"0")+IFERROR(Y135*1,"0")+IFERROR(Y136*1,"0")</f>
        <v>0</v>
      </c>
      <c r="H499" s="46">
        <f>IFERROR(Y141*1,"0")+IFERROR(Y142*1,"0")+IFERROR(Y143*1,"0")+IFERROR(Y147*1,"0")+IFERROR(Y148*1,"0")+IFERROR(Y149*1,"0")+IFERROR(Y153*1,"0")</f>
        <v>0</v>
      </c>
      <c r="I499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180.60000000000002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2049.9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0</v>
      </c>
      <c r="P499" s="46">
        <f>IFERROR(Y279*1,"0")+IFERROR(Y280*1,"0")+IFERROR(Y284*1,"0")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75.599999999999994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9435</v>
      </c>
      <c r="T499" s="46">
        <f>IFERROR(Y368*1,"0")+IFERROR(Y369*1,"0")+IFERROR(Y373*1,"0")+IFERROR(Y374*1,"0")+IFERROR(Y378*1,"0")+IFERROR(Y379*1,"0")</f>
        <v>207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16.8</v>
      </c>
      <c r="V499" s="46">
        <f>IFERROR(Y403*1,"0")+IFERROR(Y407*1,"0")+IFERROR(Y408*1,"0")+IFERROR(Y409*1,"0")+IFERROR(Y410*1,"0")</f>
        <v>135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459.36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802.8</v>
      </c>
      <c r="Z499" s="46">
        <f>IFERROR(Y486*1,"0")</f>
        <v>0</v>
      </c>
      <c r="AB499" s="52"/>
      <c r="AC499" s="52"/>
      <c r="AF499" s="539"/>
    </row>
  </sheetData>
  <sheetProtection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6,00"/>
        <filter val="1 650,75"/>
        <filter val="1,85"/>
        <filter val="100,00"/>
        <filter val="120,00"/>
        <filter val="13 739,20"/>
        <filter val="130,00"/>
        <filter val="133,33"/>
        <filter val="14 353,04"/>
        <filter val="14 903,04"/>
        <filter val="150,00"/>
        <filter val="16,67"/>
        <filter val="16,80"/>
        <filter val="168,00"/>
        <filter val="178,40"/>
        <filter val="18,52"/>
        <filter val="18,94"/>
        <filter val="192,00"/>
        <filter val="2 000,00"/>
        <filter val="20,00"/>
        <filter val="200,00"/>
        <filter val="22"/>
        <filter val="22,22"/>
        <filter val="23,81"/>
        <filter val="233,33"/>
        <filter val="24,00"/>
        <filter val="24,07"/>
        <filter val="240,00"/>
        <filter val="250,00"/>
        <filter val="27,78"/>
        <filter val="28,41"/>
        <filter val="288,00"/>
        <filter val="3 000,00"/>
        <filter val="3 500,00"/>
        <filter val="30,00"/>
        <filter val="30,86"/>
        <filter val="300,00"/>
        <filter val="366,67"/>
        <filter val="37,88"/>
        <filter val="4,63"/>
        <filter val="4,76"/>
        <filter val="40,00"/>
        <filter val="44,48"/>
        <filter val="48,00"/>
        <filter val="499,62"/>
        <filter val="5 500,00"/>
        <filter val="50,00"/>
        <filter val="500,00"/>
        <filter val="7,14"/>
        <filter val="700,00"/>
        <filter val="720,00"/>
        <filter val="77,78"/>
        <filter val="8,00"/>
        <filter val="8,40"/>
      </filters>
    </filterColumn>
    <filterColumn colId="29" showButton="0"/>
    <filterColumn colId="30" showButton="0"/>
  </autoFilter>
  <mergeCells count="874"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P69:V69"/>
    <mergeCell ref="A21:Z21"/>
    <mergeCell ref="P438:V438"/>
    <mergeCell ref="A355:O356"/>
    <mergeCell ref="A129:Z129"/>
    <mergeCell ref="D192:E192"/>
    <mergeCell ref="P356:V356"/>
    <mergeCell ref="A468:O469"/>
    <mergeCell ref="P363:T363"/>
    <mergeCell ref="D344:E344"/>
    <mergeCell ref="D471:E471"/>
    <mergeCell ref="D17:E18"/>
    <mergeCell ref="V12:W12"/>
    <mergeCell ref="D191:E191"/>
    <mergeCell ref="D458:E458"/>
    <mergeCell ref="P122:V122"/>
    <mergeCell ref="P368:T368"/>
    <mergeCell ref="A362:Z362"/>
    <mergeCell ref="A245:Z245"/>
    <mergeCell ref="U17:V17"/>
    <mergeCell ref="Y17:Y18"/>
    <mergeCell ref="A33:Z33"/>
    <mergeCell ref="P22:T22"/>
    <mergeCell ref="Z17:Z18"/>
    <mergeCell ref="G17:G18"/>
    <mergeCell ref="P121:V121"/>
    <mergeCell ref="D80:E80"/>
    <mergeCell ref="A296:Z296"/>
    <mergeCell ref="P130:T130"/>
    <mergeCell ref="A271:Z271"/>
    <mergeCell ref="D136:E136"/>
    <mergeCell ref="P240:V240"/>
    <mergeCell ref="P46:T46"/>
    <mergeCell ref="X17:X18"/>
    <mergeCell ref="A489:O494"/>
    <mergeCell ref="P43:V43"/>
    <mergeCell ref="P285:V285"/>
    <mergeCell ref="A39:Z39"/>
    <mergeCell ref="P60:T60"/>
    <mergeCell ref="D291:E291"/>
    <mergeCell ref="D266:E266"/>
    <mergeCell ref="P149:T149"/>
    <mergeCell ref="D95:E95"/>
    <mergeCell ref="P410:T410"/>
    <mergeCell ref="P385:T385"/>
    <mergeCell ref="A484:Z484"/>
    <mergeCell ref="A479:Z479"/>
    <mergeCell ref="P373:T373"/>
    <mergeCell ref="P307:T307"/>
    <mergeCell ref="A487:O488"/>
    <mergeCell ref="P473:V473"/>
    <mergeCell ref="A456:Z456"/>
    <mergeCell ref="P225:T225"/>
    <mergeCell ref="D186:E186"/>
    <mergeCell ref="P405:V405"/>
    <mergeCell ref="A401:Z401"/>
    <mergeCell ref="P57:V57"/>
    <mergeCell ref="D159:E159"/>
    <mergeCell ref="T497:T498"/>
    <mergeCell ref="D196:E196"/>
    <mergeCell ref="V497:V498"/>
    <mergeCell ref="A440:Z440"/>
    <mergeCell ref="P145:V145"/>
    <mergeCell ref="P23:V23"/>
    <mergeCell ref="P381:V381"/>
    <mergeCell ref="A206:Z206"/>
    <mergeCell ref="A262:Z262"/>
    <mergeCell ref="A333:Z333"/>
    <mergeCell ref="D54:E54"/>
    <mergeCell ref="P160:V160"/>
    <mergeCell ref="Q497:Q498"/>
    <mergeCell ref="G497:G498"/>
    <mergeCell ref="I497:I498"/>
    <mergeCell ref="P444:T444"/>
    <mergeCell ref="D250:E250"/>
    <mergeCell ref="P202:T202"/>
    <mergeCell ref="A188:O189"/>
    <mergeCell ref="A497:A498"/>
    <mergeCell ref="D170:E170"/>
    <mergeCell ref="P132:V132"/>
    <mergeCell ref="P72:T72"/>
    <mergeCell ref="A31:O32"/>
    <mergeCell ref="Q5:R5"/>
    <mergeCell ref="N17:N18"/>
    <mergeCell ref="D242:E242"/>
    <mergeCell ref="P199:T199"/>
    <mergeCell ref="D120:E120"/>
    <mergeCell ref="F17:F18"/>
    <mergeCell ref="P297:T297"/>
    <mergeCell ref="P435:T435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D336:E336"/>
    <mergeCell ref="P293:T293"/>
    <mergeCell ref="D407:E407"/>
    <mergeCell ref="H5:M5"/>
    <mergeCell ref="P31:V31"/>
    <mergeCell ref="D212:E212"/>
    <mergeCell ref="D317:E317"/>
    <mergeCell ref="A341:Z341"/>
    <mergeCell ref="AD17:AF18"/>
    <mergeCell ref="D101:E101"/>
    <mergeCell ref="P117:V117"/>
    <mergeCell ref="D76:E76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279:E279"/>
    <mergeCell ref="A254:Z254"/>
    <mergeCell ref="P181:T181"/>
    <mergeCell ref="D29:E29"/>
    <mergeCell ref="I496:R496"/>
    <mergeCell ref="W497:W498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P312:V312"/>
    <mergeCell ref="P371:V371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Q6:R6"/>
    <mergeCell ref="B497:B498"/>
    <mergeCell ref="P492:V492"/>
    <mergeCell ref="S496:T496"/>
    <mergeCell ref="P415:T415"/>
    <mergeCell ref="P286:V286"/>
    <mergeCell ref="M17:M18"/>
    <mergeCell ref="O17:O18"/>
    <mergeCell ref="P336:T336"/>
    <mergeCell ref="A453:O454"/>
    <mergeCell ref="P494:V494"/>
    <mergeCell ref="P430:T430"/>
    <mergeCell ref="P350:V350"/>
    <mergeCell ref="P102:T102"/>
    <mergeCell ref="P189:V189"/>
    <mergeCell ref="A185:Z185"/>
    <mergeCell ref="P196:T196"/>
    <mergeCell ref="D177:E177"/>
    <mergeCell ref="P281:V281"/>
    <mergeCell ref="P354:T354"/>
    <mergeCell ref="D226:E226"/>
    <mergeCell ref="D164:E164"/>
    <mergeCell ref="A106:Z106"/>
    <mergeCell ref="P62:T62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149:E149"/>
    <mergeCell ref="A127:O128"/>
    <mergeCell ref="D385:E385"/>
    <mergeCell ref="P301:T301"/>
    <mergeCell ref="D257:E257"/>
    <mergeCell ref="P214:T214"/>
    <mergeCell ref="D86:E86"/>
    <mergeCell ref="D213:E213"/>
    <mergeCell ref="A457:Z457"/>
    <mergeCell ref="A110:O111"/>
    <mergeCell ref="D321:E321"/>
    <mergeCell ref="P107:T107"/>
    <mergeCell ref="P101:T101"/>
    <mergeCell ref="P63:V63"/>
    <mergeCell ref="A9:C9"/>
    <mergeCell ref="D373:E373"/>
    <mergeCell ref="D202:E202"/>
    <mergeCell ref="C496:H496"/>
    <mergeCell ref="P348:T34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P474:V474"/>
    <mergeCell ref="Q13:R13"/>
    <mergeCell ref="P268:V268"/>
    <mergeCell ref="P97:V97"/>
    <mergeCell ref="P339:V339"/>
    <mergeCell ref="P201:T201"/>
    <mergeCell ref="A35:O36"/>
    <mergeCell ref="D22:E22"/>
    <mergeCell ref="P34:T34"/>
    <mergeCell ref="P465:T465"/>
    <mergeCell ref="D6:M6"/>
    <mergeCell ref="P461:T461"/>
    <mergeCell ref="A306:Z306"/>
    <mergeCell ref="P175:T175"/>
    <mergeCell ref="A85:Z85"/>
    <mergeCell ref="P331:V331"/>
    <mergeCell ref="A278:Z278"/>
    <mergeCell ref="P460:T460"/>
    <mergeCell ref="D143:E143"/>
    <mergeCell ref="D441:E441"/>
    <mergeCell ref="P398:T398"/>
    <mergeCell ref="P227:T227"/>
    <mergeCell ref="D368:E368"/>
    <mergeCell ref="P177:T177"/>
    <mergeCell ref="A294:O295"/>
    <mergeCell ref="P335:T335"/>
    <mergeCell ref="V6:W9"/>
    <mergeCell ref="D199:E199"/>
    <mergeCell ref="P109:T109"/>
    <mergeCell ref="A59:Z59"/>
    <mergeCell ref="D435:E435"/>
    <mergeCell ref="A404:O405"/>
    <mergeCell ref="P274:T274"/>
    <mergeCell ref="P345:T345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A283:Z283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A150:O151"/>
    <mergeCell ref="P93:T93"/>
    <mergeCell ref="D299:E299"/>
    <mergeCell ref="AA17:AA18"/>
    <mergeCell ref="A377:Z377"/>
    <mergeCell ref="AC17:AC18"/>
    <mergeCell ref="H10:M10"/>
    <mergeCell ref="P279:T279"/>
    <mergeCell ref="A420:Z420"/>
    <mergeCell ref="P472:T472"/>
    <mergeCell ref="D393:E393"/>
    <mergeCell ref="A224:Z224"/>
    <mergeCell ref="P108:T108"/>
    <mergeCell ref="A104:O105"/>
    <mergeCell ref="A235:O236"/>
    <mergeCell ref="P343:T343"/>
    <mergeCell ref="A288:Z288"/>
    <mergeCell ref="D153:E153"/>
    <mergeCell ref="P256:T256"/>
    <mergeCell ref="A462:O463"/>
    <mergeCell ref="AB17:AB18"/>
    <mergeCell ref="D459:E459"/>
    <mergeCell ref="D225:E225"/>
    <mergeCell ref="P409:T409"/>
    <mergeCell ref="A399:O400"/>
    <mergeCell ref="D461:E461"/>
    <mergeCell ref="P61:T61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P212:T212"/>
    <mergeCell ref="P482:V482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P321:T321"/>
    <mergeCell ref="P125:T1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386:E386"/>
    <mergeCell ref="D215:E215"/>
    <mergeCell ref="P194:V194"/>
    <mergeCell ref="A364:O365"/>
    <mergeCell ref="A447:O448"/>
    <mergeCell ref="P200:T200"/>
    <mergeCell ref="P436:T436"/>
    <mergeCell ref="A251:O252"/>
    <mergeCell ref="P292:T292"/>
    <mergeCell ref="A360:O361"/>
    <mergeCell ref="D102:E102"/>
    <mergeCell ref="P52:T52"/>
    <mergeCell ref="D108:E108"/>
    <mergeCell ref="D316:E316"/>
    <mergeCell ref="P273:T273"/>
    <mergeCell ref="J9:M9"/>
    <mergeCell ref="A418:Z418"/>
    <mergeCell ref="D348:E348"/>
    <mergeCell ref="P141:T141"/>
    <mergeCell ref="P454:V454"/>
    <mergeCell ref="D62:E62"/>
    <mergeCell ref="D56:E56"/>
    <mergeCell ref="P233:T233"/>
    <mergeCell ref="D347:E347"/>
    <mergeCell ref="D176:E176"/>
    <mergeCell ref="P155:V155"/>
    <mergeCell ref="A154:O155"/>
    <mergeCell ref="D114:E114"/>
    <mergeCell ref="P143:T143"/>
    <mergeCell ref="P248:T248"/>
    <mergeCell ref="P441:T441"/>
    <mergeCell ref="D51:E51"/>
    <mergeCell ref="D349:E349"/>
    <mergeCell ref="A38:Z38"/>
    <mergeCell ref="P207:T207"/>
    <mergeCell ref="A372:Z372"/>
    <mergeCell ref="P299:T299"/>
    <mergeCell ref="P172:V172"/>
    <mergeCell ref="P150:V150"/>
    <mergeCell ref="P58:V58"/>
    <mergeCell ref="A13:M13"/>
    <mergeCell ref="A119:Z119"/>
    <mergeCell ref="P244:V244"/>
    <mergeCell ref="P115:T115"/>
    <mergeCell ref="D61:E61"/>
    <mergeCell ref="A15:M15"/>
    <mergeCell ref="P238:T238"/>
    <mergeCell ref="P229:T229"/>
    <mergeCell ref="D125:E125"/>
    <mergeCell ref="P221:V221"/>
    <mergeCell ref="D203:E203"/>
    <mergeCell ref="P232:T232"/>
    <mergeCell ref="P159:T159"/>
    <mergeCell ref="H17:H18"/>
    <mergeCell ref="A146:Z146"/>
    <mergeCell ref="D42:E42"/>
    <mergeCell ref="P216:V216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P151:V151"/>
    <mergeCell ref="D130:E130"/>
    <mergeCell ref="P451:T451"/>
    <mergeCell ref="D335:E335"/>
    <mergeCell ref="A470:Z470"/>
    <mergeCell ref="A375:O376"/>
    <mergeCell ref="D201:E201"/>
    <mergeCell ref="A204:O205"/>
    <mergeCell ref="P87:T87"/>
    <mergeCell ref="D424:E424"/>
    <mergeCell ref="P322:T322"/>
    <mergeCell ref="A285:O286"/>
    <mergeCell ref="P211:T211"/>
    <mergeCell ref="P309:T309"/>
    <mergeCell ref="P88:T88"/>
    <mergeCell ref="A367:Z367"/>
    <mergeCell ref="T5:U5"/>
    <mergeCell ref="P76:T76"/>
    <mergeCell ref="V5:W5"/>
    <mergeCell ref="P374:T374"/>
    <mergeCell ref="D246:E246"/>
    <mergeCell ref="P294:V294"/>
    <mergeCell ref="P203:T203"/>
    <mergeCell ref="D46:E46"/>
    <mergeCell ref="D40:E40"/>
    <mergeCell ref="D233:E233"/>
    <mergeCell ref="Q8:R8"/>
    <mergeCell ref="P311:T311"/>
    <mergeCell ref="P267:T267"/>
    <mergeCell ref="D248:E248"/>
    <mergeCell ref="D219:E219"/>
    <mergeCell ref="P83:V83"/>
    <mergeCell ref="A82:O83"/>
    <mergeCell ref="A79:Z79"/>
    <mergeCell ref="T6:U9"/>
    <mergeCell ref="P319:V319"/>
    <mergeCell ref="Q10:R10"/>
    <mergeCell ref="D41:E41"/>
    <mergeCell ref="P318:V318"/>
    <mergeCell ref="P26:T26"/>
    <mergeCell ref="D497:D498"/>
    <mergeCell ref="D480:E480"/>
    <mergeCell ref="D280:E280"/>
    <mergeCell ref="F497:F498"/>
    <mergeCell ref="A160:O161"/>
    <mergeCell ref="P163:T163"/>
    <mergeCell ref="D109:E109"/>
    <mergeCell ref="D467:E467"/>
    <mergeCell ref="P424:T424"/>
    <mergeCell ref="D345:E345"/>
    <mergeCell ref="D409:E409"/>
    <mergeCell ref="D444:E444"/>
    <mergeCell ref="P425:T425"/>
    <mergeCell ref="D346:E346"/>
    <mergeCell ref="A419:Z419"/>
    <mergeCell ref="P446:T446"/>
    <mergeCell ref="C497:C498"/>
    <mergeCell ref="E497:E498"/>
    <mergeCell ref="D476:E476"/>
    <mergeCell ref="P393:T393"/>
    <mergeCell ref="D374:E374"/>
    <mergeCell ref="A340:Z340"/>
    <mergeCell ref="D425:E425"/>
    <mergeCell ref="D359:E359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A134:Z134"/>
    <mergeCell ref="P303:T303"/>
    <mergeCell ref="A357:Z357"/>
    <mergeCell ref="D330:E330"/>
    <mergeCell ref="P304:V304"/>
    <mergeCell ref="A98:Z98"/>
    <mergeCell ref="A396:Z396"/>
    <mergeCell ref="P110:V110"/>
    <mergeCell ref="A162:Z162"/>
    <mergeCell ref="A338:O339"/>
    <mergeCell ref="P208:T208"/>
    <mergeCell ref="P450:T450"/>
    <mergeCell ref="A132:O133"/>
    <mergeCell ref="A325:O326"/>
    <mergeCell ref="D116:E116"/>
    <mergeCell ref="F9:G9"/>
    <mergeCell ref="P53:T53"/>
    <mergeCell ref="D167:E167"/>
    <mergeCell ref="P422:T422"/>
    <mergeCell ref="P289:T289"/>
    <mergeCell ref="D403:E403"/>
    <mergeCell ref="D232:E232"/>
    <mergeCell ref="D52:E52"/>
    <mergeCell ref="D27:E27"/>
    <mergeCell ref="P15:T16"/>
    <mergeCell ref="A275:O276"/>
    <mergeCell ref="P219:T219"/>
    <mergeCell ref="P272:T272"/>
    <mergeCell ref="P210:T210"/>
    <mergeCell ref="D398:E398"/>
    <mergeCell ref="P308:T308"/>
    <mergeCell ref="A69:O70"/>
    <mergeCell ref="D264:E264"/>
    <mergeCell ref="D93:E93"/>
    <mergeCell ref="D391:E391"/>
    <mergeCell ref="D220:E220"/>
    <mergeCell ref="P370:V370"/>
    <mergeCell ref="A14:M14"/>
    <mergeCell ref="P324:T324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Q12:R12"/>
    <mergeCell ref="P169:T169"/>
    <mergeCell ref="P467:T467"/>
    <mergeCell ref="P442:T442"/>
    <mergeCell ref="P489:V489"/>
    <mergeCell ref="D388:E388"/>
    <mergeCell ref="P183:V183"/>
    <mergeCell ref="P246:T246"/>
    <mergeCell ref="A43:O44"/>
    <mergeCell ref="P133:V133"/>
    <mergeCell ref="D390:E390"/>
    <mergeCell ref="A123:Z123"/>
    <mergeCell ref="D460:E460"/>
    <mergeCell ref="P439:V439"/>
    <mergeCell ref="A438:O439"/>
    <mergeCell ref="P433:V433"/>
    <mergeCell ref="P427:T427"/>
    <mergeCell ref="A394:O395"/>
    <mergeCell ref="A195:Z195"/>
    <mergeCell ref="D328:E328"/>
    <mergeCell ref="A253:Z253"/>
    <mergeCell ref="A12:M12"/>
    <mergeCell ref="P355:V355"/>
    <mergeCell ref="A180:Z180"/>
    <mergeCell ref="Q9:R9"/>
    <mergeCell ref="D451:E451"/>
    <mergeCell ref="D255:E255"/>
    <mergeCell ref="P36:V36"/>
    <mergeCell ref="P478:V478"/>
    <mergeCell ref="O497:O498"/>
    <mergeCell ref="D322:E322"/>
    <mergeCell ref="Q11:R11"/>
    <mergeCell ref="A6:C6"/>
    <mergeCell ref="D309:E309"/>
    <mergeCell ref="U496:W496"/>
    <mergeCell ref="D113:E113"/>
    <mergeCell ref="P167:T167"/>
    <mergeCell ref="P142:T142"/>
    <mergeCell ref="D148:E148"/>
    <mergeCell ref="D88:E8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I17:I18"/>
    <mergeCell ref="D141:E141"/>
    <mergeCell ref="D135:E135"/>
    <mergeCell ref="D72:E72"/>
    <mergeCell ref="P295:V295"/>
    <mergeCell ref="P178:V178"/>
    <mergeCell ref="P276:V276"/>
    <mergeCell ref="D421:E421"/>
    <mergeCell ref="P463:V463"/>
    <mergeCell ref="P280:T280"/>
    <mergeCell ref="D343:E343"/>
    <mergeCell ref="P397:T397"/>
    <mergeCell ref="P74:T74"/>
    <mergeCell ref="P243:V243"/>
    <mergeCell ref="A190:Z190"/>
    <mergeCell ref="A19:Z19"/>
    <mergeCell ref="P310:T310"/>
    <mergeCell ref="A37:Z37"/>
    <mergeCell ref="D68:E68"/>
    <mergeCell ref="P51:T51"/>
    <mergeCell ref="P35:V35"/>
    <mergeCell ref="P399:V399"/>
    <mergeCell ref="P127:V127"/>
    <mergeCell ref="P153:T153"/>
    <mergeCell ref="D1:F1"/>
    <mergeCell ref="P466:T466"/>
    <mergeCell ref="A71:Z71"/>
    <mergeCell ref="P488:V488"/>
    <mergeCell ref="P282:V282"/>
    <mergeCell ref="P111:V111"/>
    <mergeCell ref="J17:J18"/>
    <mergeCell ref="L17:L18"/>
    <mergeCell ref="A184:Z184"/>
    <mergeCell ref="P48:V48"/>
    <mergeCell ref="P426:T426"/>
    <mergeCell ref="P255:T255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477:V477"/>
    <mergeCell ref="P476:T476"/>
    <mergeCell ref="P471:T471"/>
    <mergeCell ref="D486:E486"/>
    <mergeCell ref="P452:T452"/>
    <mergeCell ref="D472:E472"/>
    <mergeCell ref="P453:V453"/>
    <mergeCell ref="P481:T481"/>
    <mergeCell ref="P480:T480"/>
    <mergeCell ref="P491:V491"/>
    <mergeCell ref="P338:V338"/>
    <mergeCell ref="P313:V313"/>
    <mergeCell ref="P326:V326"/>
    <mergeCell ref="P330:T330"/>
    <mergeCell ref="D267:E267"/>
    <mergeCell ref="D445:E445"/>
    <mergeCell ref="D274:E274"/>
    <mergeCell ref="D301:E301"/>
    <mergeCell ref="D87:E87"/>
    <mergeCell ref="P116:T116"/>
    <mergeCell ref="P103:T103"/>
    <mergeCell ref="P230:T230"/>
    <mergeCell ref="D211:E211"/>
    <mergeCell ref="P443:T443"/>
    <mergeCell ref="A281:O282"/>
    <mergeCell ref="P249:T249"/>
    <mergeCell ref="D363:E363"/>
    <mergeCell ref="D410:E410"/>
    <mergeCell ref="A334:Z334"/>
    <mergeCell ref="D297:E297"/>
    <mergeCell ref="A350:O351"/>
    <mergeCell ref="P391:T391"/>
    <mergeCell ref="P220:T220"/>
    <mergeCell ref="D408:E408"/>
    <mergeCell ref="X497:X498"/>
    <mergeCell ref="D354:E354"/>
    <mergeCell ref="A475:Z475"/>
    <mergeCell ref="A96:O97"/>
    <mergeCell ref="P269:V269"/>
    <mergeCell ref="A45:Z45"/>
    <mergeCell ref="P462:V462"/>
    <mergeCell ref="A287:Z287"/>
    <mergeCell ref="P168:T168"/>
    <mergeCell ref="P490:V490"/>
    <mergeCell ref="P497:P498"/>
    <mergeCell ref="A402:Z402"/>
    <mergeCell ref="D229:E229"/>
    <mergeCell ref="R497:R498"/>
    <mergeCell ref="P131:T131"/>
    <mergeCell ref="P187:T187"/>
    <mergeCell ref="A117:O118"/>
    <mergeCell ref="P429:T429"/>
    <mergeCell ref="P258:T258"/>
    <mergeCell ref="D369:E369"/>
    <mergeCell ref="P423:T423"/>
    <mergeCell ref="A304:O305"/>
    <mergeCell ref="A182:O183"/>
    <mergeCell ref="P188:V188"/>
    <mergeCell ref="H1:Q1"/>
    <mergeCell ref="A99:Z99"/>
    <mergeCell ref="A366:Z366"/>
    <mergeCell ref="D214:E214"/>
    <mergeCell ref="D284:E284"/>
    <mergeCell ref="P222:V222"/>
    <mergeCell ref="P193:V193"/>
    <mergeCell ref="P120:T120"/>
    <mergeCell ref="D259:E259"/>
    <mergeCell ref="D28:E28"/>
    <mergeCell ref="P171:T171"/>
    <mergeCell ref="A239:O240"/>
    <mergeCell ref="P242:T242"/>
    <mergeCell ref="D92:E92"/>
    <mergeCell ref="D353:E353"/>
    <mergeCell ref="D55:E55"/>
    <mergeCell ref="D30:E30"/>
    <mergeCell ref="D67:E67"/>
    <mergeCell ref="A140:Z140"/>
    <mergeCell ref="D5:E5"/>
    <mergeCell ref="D303:E303"/>
    <mergeCell ref="P42:T42"/>
    <mergeCell ref="D290:E290"/>
    <mergeCell ref="D94:E94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265:T265"/>
    <mergeCell ref="P94:T94"/>
    <mergeCell ref="D379:E379"/>
    <mergeCell ref="D208:E208"/>
    <mergeCell ref="D8:M8"/>
    <mergeCell ref="D300:E300"/>
    <mergeCell ref="P329:T329"/>
    <mergeCell ref="P251:V251"/>
    <mergeCell ref="P118:V118"/>
    <mergeCell ref="P416:V416"/>
    <mergeCell ref="A241:Z241"/>
    <mergeCell ref="P266:T266"/>
    <mergeCell ref="P95:T95"/>
    <mergeCell ref="H497:H498"/>
    <mergeCell ref="A473:O474"/>
    <mergeCell ref="D289:E28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P161:V161"/>
    <mergeCell ref="A449:Z449"/>
    <mergeCell ref="P234:T234"/>
    <mergeCell ref="P325:V325"/>
    <mergeCell ref="P154:V154"/>
    <mergeCell ref="D378:E378"/>
    <mergeCell ref="P458:T458"/>
    <mergeCell ref="P487:V487"/>
    <mergeCell ref="P182:V182"/>
    <mergeCell ref="V10:W10"/>
    <mergeCell ref="P379:T379"/>
    <mergeCell ref="A124:Z124"/>
    <mergeCell ref="D431:E431"/>
    <mergeCell ref="P170:T170"/>
    <mergeCell ref="P316:T316"/>
    <mergeCell ref="D66:E66"/>
    <mergeCell ref="D126:E126"/>
    <mergeCell ref="D197:E197"/>
    <mergeCell ref="D53:E53"/>
    <mergeCell ref="A84:Z84"/>
    <mergeCell ref="P96:V96"/>
    <mergeCell ref="A50:Z50"/>
    <mergeCell ref="W17:W18"/>
    <mergeCell ref="P90:V90"/>
    <mergeCell ref="D142:E142"/>
    <mergeCell ref="P407:T407"/>
    <mergeCell ref="P259:T259"/>
    <mergeCell ref="A216:O217"/>
    <mergeCell ref="P86:T86"/>
    <mergeCell ref="P328:T328"/>
    <mergeCell ref="P213:T213"/>
    <mergeCell ref="A47:O48"/>
    <mergeCell ref="P166:T166"/>
    <mergeCell ref="R1:T1"/>
    <mergeCell ref="P28:T28"/>
    <mergeCell ref="P392:T392"/>
    <mergeCell ref="P386:T386"/>
    <mergeCell ref="D307:E307"/>
    <mergeCell ref="P215:T215"/>
    <mergeCell ref="P165:T165"/>
    <mergeCell ref="P400:V400"/>
    <mergeCell ref="A89:O90"/>
    <mergeCell ref="D73:E73"/>
    <mergeCell ref="P77:V77"/>
    <mergeCell ref="P30:T30"/>
    <mergeCell ref="P375:V375"/>
    <mergeCell ref="P179:V179"/>
    <mergeCell ref="P290:T290"/>
    <mergeCell ref="A352:Z352"/>
    <mergeCell ref="A270:Z270"/>
    <mergeCell ref="H9:I9"/>
    <mergeCell ref="P24:V24"/>
    <mergeCell ref="A49:Z49"/>
    <mergeCell ref="P260:V260"/>
    <mergeCell ref="P89:V89"/>
    <mergeCell ref="P389:T389"/>
    <mergeCell ref="A383:Z383"/>
    <mergeCell ref="A65:Z65"/>
    <mergeCell ref="D238:E238"/>
    <mergeCell ref="D426:E426"/>
    <mergeCell ref="P448:V448"/>
    <mergeCell ref="A63:O64"/>
    <mergeCell ref="B17:B18"/>
    <mergeCell ref="A77:O78"/>
    <mergeCell ref="D60:E60"/>
    <mergeCell ref="P73:T73"/>
    <mergeCell ref="D187:E187"/>
    <mergeCell ref="P437:T437"/>
    <mergeCell ref="P315:T315"/>
    <mergeCell ref="P231:T231"/>
    <mergeCell ref="A432:O433"/>
    <mergeCell ref="D423:E423"/>
    <mergeCell ref="P302:T302"/>
    <mergeCell ref="D131:E131"/>
    <mergeCell ref="D258:E258"/>
    <mergeCell ref="P235:V235"/>
    <mergeCell ref="P148:T148"/>
    <mergeCell ref="P388:T388"/>
    <mergeCell ref="P81:T81"/>
    <mergeCell ref="P56:T56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3 X80 X86 X88 X92 X94:X95 X100:X102 X107 X109 X113 X115 X125:X126 X131 X163 X165:X166 X168:X169 X192 X196:X201 X203 X207:X210 X212:X215 X219:X220 X225 X255 X273:X274 X298 X301 X307 X311 X315:X317 X323:X324 X328 X330 X335:X337 X343:X346 X353 X359 X368 X373 X378:X379 X385 X387 X392 X407 X421:X423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2025-11-05T11:14:42Z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