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9129D87-E624-4CF7-A8CB-A7AB8CF44D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Z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N53" i="1"/>
  <c r="BM53" i="1"/>
  <c r="Z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7" i="1"/>
  <c r="BN107" i="1"/>
  <c r="Z107" i="1"/>
  <c r="BP168" i="1"/>
  <c r="BN168" i="1"/>
  <c r="Z168" i="1"/>
  <c r="BP202" i="1"/>
  <c r="BN202" i="1"/>
  <c r="Z202" i="1"/>
  <c r="BP227" i="1"/>
  <c r="BN227" i="1"/>
  <c r="Z227" i="1"/>
  <c r="BP256" i="1"/>
  <c r="BN256" i="1"/>
  <c r="Z256" i="1"/>
  <c r="BP292" i="1"/>
  <c r="BN292" i="1"/>
  <c r="Z292" i="1"/>
  <c r="BP310" i="1"/>
  <c r="BN310" i="1"/>
  <c r="Z310" i="1"/>
  <c r="BP344" i="1"/>
  <c r="BN344" i="1"/>
  <c r="Z344" i="1"/>
  <c r="BP377" i="1"/>
  <c r="BN377" i="1"/>
  <c r="Z377" i="1"/>
  <c r="BP423" i="1"/>
  <c r="BN423" i="1"/>
  <c r="Z423" i="1"/>
  <c r="BP449" i="1"/>
  <c r="BN449" i="1"/>
  <c r="Z449" i="1"/>
  <c r="Z22" i="1"/>
  <c r="Z23" i="1" s="1"/>
  <c r="BN22" i="1"/>
  <c r="BP22" i="1"/>
  <c r="Z26" i="1"/>
  <c r="BN26" i="1"/>
  <c r="Z42" i="1"/>
  <c r="BN42" i="1"/>
  <c r="BP92" i="1"/>
  <c r="BN92" i="1"/>
  <c r="Z92" i="1"/>
  <c r="Y182" i="1"/>
  <c r="Y181" i="1"/>
  <c r="BP180" i="1"/>
  <c r="BN180" i="1"/>
  <c r="Z180" i="1"/>
  <c r="Z181" i="1" s="1"/>
  <c r="BP185" i="1"/>
  <c r="BN185" i="1"/>
  <c r="Z185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00" i="1"/>
  <c r="BN300" i="1"/>
  <c r="Z300" i="1"/>
  <c r="BP327" i="1"/>
  <c r="BN327" i="1"/>
  <c r="Z327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330" i="1"/>
  <c r="Y337" i="1"/>
  <c r="BP134" i="1"/>
  <c r="BN134" i="1"/>
  <c r="Z134" i="1"/>
  <c r="Y154" i="1"/>
  <c r="Y153" i="1"/>
  <c r="BP152" i="1"/>
  <c r="BN152" i="1"/>
  <c r="Z152" i="1"/>
  <c r="Z153" i="1" s="1"/>
  <c r="Y159" i="1"/>
  <c r="BP158" i="1"/>
  <c r="BN158" i="1"/>
  <c r="Z158" i="1"/>
  <c r="Z159" i="1" s="1"/>
  <c r="BP162" i="1"/>
  <c r="BN162" i="1"/>
  <c r="Z162" i="1"/>
  <c r="BP170" i="1"/>
  <c r="BN170" i="1"/>
  <c r="Z170" i="1"/>
  <c r="BP191" i="1"/>
  <c r="BN191" i="1"/>
  <c r="Z191" i="1"/>
  <c r="BP195" i="1"/>
  <c r="BN195" i="1"/>
  <c r="Z195" i="1"/>
  <c r="Y216" i="1"/>
  <c r="BP206" i="1"/>
  <c r="BN206" i="1"/>
  <c r="Z206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79" i="1"/>
  <c r="BN279" i="1"/>
  <c r="Z279" i="1"/>
  <c r="Y304" i="1"/>
  <c r="BP296" i="1"/>
  <c r="BN296" i="1"/>
  <c r="Z296" i="1"/>
  <c r="J9" i="1"/>
  <c r="X488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5" i="1"/>
  <c r="BN75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BP130" i="1"/>
  <c r="BN130" i="1"/>
  <c r="BP147" i="1"/>
  <c r="BN147" i="1"/>
  <c r="Z147" i="1"/>
  <c r="BP166" i="1"/>
  <c r="BN166" i="1"/>
  <c r="Z166" i="1"/>
  <c r="BP176" i="1"/>
  <c r="BN176" i="1"/>
  <c r="Z176" i="1"/>
  <c r="BP200" i="1"/>
  <c r="BN200" i="1"/>
  <c r="Z200" i="1"/>
  <c r="BP210" i="1"/>
  <c r="BN210" i="1"/>
  <c r="Z210" i="1"/>
  <c r="BP225" i="1"/>
  <c r="BN225" i="1"/>
  <c r="Z225" i="1"/>
  <c r="BP233" i="1"/>
  <c r="BN233" i="1"/>
  <c r="Z233" i="1"/>
  <c r="BP254" i="1"/>
  <c r="BN254" i="1"/>
  <c r="Z254" i="1"/>
  <c r="BP265" i="1"/>
  <c r="BN265" i="1"/>
  <c r="Z265" i="1"/>
  <c r="BP290" i="1"/>
  <c r="BN290" i="1"/>
  <c r="Z290" i="1"/>
  <c r="BP308" i="1"/>
  <c r="BN308" i="1"/>
  <c r="Z308" i="1"/>
  <c r="Y325" i="1"/>
  <c r="BP320" i="1"/>
  <c r="BN320" i="1"/>
  <c r="Z320" i="1"/>
  <c r="Y324" i="1"/>
  <c r="BP329" i="1"/>
  <c r="BN329" i="1"/>
  <c r="Z329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220" i="1"/>
  <c r="L498" i="1"/>
  <c r="Q498" i="1"/>
  <c r="BP298" i="1"/>
  <c r="BN298" i="1"/>
  <c r="BP302" i="1"/>
  <c r="BN302" i="1"/>
  <c r="Z302" i="1"/>
  <c r="BP314" i="1"/>
  <c r="BN314" i="1"/>
  <c r="Z314" i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17" i="1"/>
  <c r="Y379" i="1"/>
  <c r="Y453" i="1"/>
  <c r="Y452" i="1"/>
  <c r="Y31" i="1"/>
  <c r="Y43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Y171" i="1"/>
  <c r="BP175" i="1"/>
  <c r="BN175" i="1"/>
  <c r="Z175" i="1"/>
  <c r="BP196" i="1"/>
  <c r="BN196" i="1"/>
  <c r="Z196" i="1"/>
  <c r="BP201" i="1"/>
  <c r="BN201" i="1"/>
  <c r="Z201" i="1"/>
  <c r="BP226" i="1"/>
  <c r="BN226" i="1"/>
  <c r="Z226" i="1"/>
  <c r="Y234" i="1"/>
  <c r="H9" i="1"/>
  <c r="B498" i="1"/>
  <c r="X489" i="1"/>
  <c r="X490" i="1"/>
  <c r="X492" i="1"/>
  <c r="Y24" i="1"/>
  <c r="Z27" i="1"/>
  <c r="BN27" i="1"/>
  <c r="Z29" i="1"/>
  <c r="BN29" i="1"/>
  <c r="C498" i="1"/>
  <c r="Z41" i="1"/>
  <c r="BN41" i="1"/>
  <c r="Y44" i="1"/>
  <c r="D498" i="1"/>
  <c r="Y57" i="1"/>
  <c r="Z52" i="1"/>
  <c r="BN52" i="1"/>
  <c r="Z54" i="1"/>
  <c r="BN54" i="1"/>
  <c r="Z56" i="1"/>
  <c r="BN56" i="1"/>
  <c r="BP62" i="1"/>
  <c r="BN62" i="1"/>
  <c r="Z62" i="1"/>
  <c r="Y64" i="1"/>
  <c r="Y69" i="1"/>
  <c r="BP66" i="1"/>
  <c r="BN66" i="1"/>
  <c r="Z66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BP142" i="1"/>
  <c r="BN142" i="1"/>
  <c r="Z142" i="1"/>
  <c r="Y144" i="1"/>
  <c r="Y149" i="1"/>
  <c r="BP146" i="1"/>
  <c r="BN146" i="1"/>
  <c r="Z146" i="1"/>
  <c r="Y172" i="1"/>
  <c r="BP165" i="1"/>
  <c r="BN165" i="1"/>
  <c r="Z165" i="1"/>
  <c r="BP169" i="1"/>
  <c r="BN169" i="1"/>
  <c r="Z169" i="1"/>
  <c r="Y178" i="1"/>
  <c r="Y177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BP289" i="1"/>
  <c r="BN289" i="1"/>
  <c r="Z289" i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BP291" i="1"/>
  <c r="BN291" i="1"/>
  <c r="Z291" i="1"/>
  <c r="BP299" i="1"/>
  <c r="BN299" i="1"/>
  <c r="Z299" i="1"/>
  <c r="Y303" i="1"/>
  <c r="BP307" i="1"/>
  <c r="BN307" i="1"/>
  <c r="Z307" i="1"/>
  <c r="Y311" i="1"/>
  <c r="BP315" i="1"/>
  <c r="BN315" i="1"/>
  <c r="Z315" i="1"/>
  <c r="BP328" i="1"/>
  <c r="BN328" i="1"/>
  <c r="Z328" i="1"/>
  <c r="Z330" i="1" s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317" i="1" l="1"/>
  <c r="Z311" i="1"/>
  <c r="Z280" i="1"/>
  <c r="Z374" i="1"/>
  <c r="Z303" i="1"/>
  <c r="Z215" i="1"/>
  <c r="Z187" i="1"/>
  <c r="Z149" i="1"/>
  <c r="Z126" i="1"/>
  <c r="Z116" i="1"/>
  <c r="Z103" i="1"/>
  <c r="Z95" i="1"/>
  <c r="Z69" i="1"/>
  <c r="Z43" i="1"/>
  <c r="Z177" i="1"/>
  <c r="Z136" i="1"/>
  <c r="Z461" i="1"/>
  <c r="Z293" i="1"/>
  <c r="Y489" i="1"/>
  <c r="Z481" i="1"/>
  <c r="Z410" i="1"/>
  <c r="Z349" i="1"/>
  <c r="Z324" i="1"/>
  <c r="Z57" i="1"/>
  <c r="Z31" i="1"/>
  <c r="Z203" i="1"/>
  <c r="Z171" i="1"/>
  <c r="Y490" i="1"/>
  <c r="Y492" i="1"/>
  <c r="Y491" i="1"/>
  <c r="Z393" i="1"/>
  <c r="Z274" i="1"/>
  <c r="Z234" i="1"/>
  <c r="X491" i="1"/>
  <c r="Z88" i="1"/>
  <c r="Z76" i="1"/>
  <c r="Z63" i="1"/>
  <c r="Z446" i="1"/>
  <c r="Z431" i="1"/>
  <c r="Y488" i="1"/>
  <c r="Z143" i="1"/>
  <c r="Z109" i="1"/>
  <c r="Z493" i="1" l="1"/>
</calcChain>
</file>

<file path=xl/sharedStrings.xml><?xml version="1.0" encoding="utf-8"?>
<sst xmlns="http://schemas.openxmlformats.org/spreadsheetml/2006/main" count="2312" uniqueCount="763">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</sst>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99" sqref="AA99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45976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hidden="1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hidden="1" customHeight="1" x14ac:dyDescent="0.25">
      <c r="A97" s="548" t="s">
        <v>190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100</v>
      </c>
      <c r="Y99" s="54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9.2592592592592595</v>
      </c>
      <c r="Y103" s="541">
        <f>IFERROR(Y99/H99,"0")+IFERROR(Y100/H100,"0")+IFERROR(Y101/H101,"0")+IFERROR(Y102/H102,"0")</f>
        <v>10</v>
      </c>
      <c r="Z103" s="541">
        <f>IFERROR(IF(Z99="",0,Z99),"0")+IFERROR(IF(Z100="",0,Z100),"0")+IFERROR(IF(Z101="",0,Z101),"0")+IFERROR(IF(Z102="",0,Z102),"0")</f>
        <v>0.1898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100</v>
      </c>
      <c r="Y104" s="541">
        <f>IFERROR(SUM(Y99:Y102),"0")</f>
        <v>108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hidden="1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100</v>
      </c>
      <c r="Y162" s="540">
        <f t="shared" ref="Y162:Y170" si="5">IFERROR(IF(X162="",0,CEILING((X162/$H162),1)*$H162),"")</f>
        <v>100.80000000000001</v>
      </c>
      <c r="Z162" s="36">
        <f>IFERROR(IF(Y162=0,"",ROUNDUP(Y162/H162,0)*0.00902),"")</f>
        <v>0.21648000000000001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105.95238095238095</v>
      </c>
      <c r="BN162" s="64">
        <f t="shared" ref="BN162:BN170" si="7">IFERROR(Y162*I162/H162,"0")</f>
        <v>106.80000000000001</v>
      </c>
      <c r="BO162" s="64">
        <f t="shared" ref="BO162:BO170" si="8">IFERROR(1/J162*(X162/H162),"0")</f>
        <v>0.18037518037518038</v>
      </c>
      <c r="BP162" s="64">
        <f t="shared" ref="BP162:BP170" si="9">IFERROR(1/J162*(Y162/H162),"0")</f>
        <v>0.18181818181818182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40</v>
      </c>
      <c r="Y163" s="540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42.38095238095238</v>
      </c>
      <c r="BN163" s="64">
        <f t="shared" si="7"/>
        <v>44.5</v>
      </c>
      <c r="BO163" s="64">
        <f t="shared" si="8"/>
        <v>7.2150072150072145E-2</v>
      </c>
      <c r="BP163" s="64">
        <f t="shared" si="9"/>
        <v>7.575757575757576E-2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30</v>
      </c>
      <c r="Y164" s="540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31.357142857142854</v>
      </c>
      <c r="BN164" s="64">
        <f t="shared" si="7"/>
        <v>35.119999999999997</v>
      </c>
      <c r="BO164" s="64">
        <f t="shared" si="8"/>
        <v>5.4112554112554112E-2</v>
      </c>
      <c r="BP164" s="64">
        <f t="shared" si="9"/>
        <v>6.0606060606060608E-2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12.6</v>
      </c>
      <c r="Y168" s="540">
        <f t="shared" si="5"/>
        <v>12.600000000000001</v>
      </c>
      <c r="Z168" s="36">
        <f>IFERROR(IF(Y168=0,"",ROUNDUP(Y168/H168,0)*0.00502),"")</f>
        <v>3.0120000000000001E-2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13.200000000000001</v>
      </c>
      <c r="BN168" s="64">
        <f t="shared" si="7"/>
        <v>13.200000000000003</v>
      </c>
      <c r="BO168" s="64">
        <f t="shared" si="8"/>
        <v>2.5641025641025644E-2</v>
      </c>
      <c r="BP168" s="64">
        <f t="shared" si="9"/>
        <v>2.5641025641025644E-2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46.476190476190482</v>
      </c>
      <c r="Y171" s="541">
        <f>IFERROR(Y162/H162,"0")+IFERROR(Y163/H163,"0")+IFERROR(Y164/H164,"0")+IFERROR(Y165/H165,"0")+IFERROR(Y166/H166,"0")+IFERROR(Y167/H167,"0")+IFERROR(Y168/H168,"0")+IFERROR(Y169/H169,"0")+IFERROR(Y170/H170,"0")</f>
        <v>48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0.40895999999999999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182.6</v>
      </c>
      <c r="Y172" s="541">
        <f>IFERROR(SUM(Y162:Y170),"0")</f>
        <v>189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350</v>
      </c>
      <c r="Y195" s="540">
        <f t="shared" ref="Y195:Y202" si="10">IFERROR(IF(X195="",0,CEILING((X195/$H195),1)*$H195),"")</f>
        <v>351</v>
      </c>
      <c r="Z195" s="36">
        <f>IFERROR(IF(Y195=0,"",ROUNDUP(Y195/H195,0)*0.00902),"")</f>
        <v>0.58630000000000004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362.31481481481478</v>
      </c>
      <c r="BN195" s="64">
        <f t="shared" ref="BN195:BN202" si="12">IFERROR(Y195*I195/H195,"0")</f>
        <v>363.34999999999997</v>
      </c>
      <c r="BO195" s="64">
        <f t="shared" ref="BO195:BO202" si="13">IFERROR(1/J195*(X195/H195),"0")</f>
        <v>0.49102132435465767</v>
      </c>
      <c r="BP195" s="64">
        <f t="shared" ref="BP195:BP202" si="14">IFERROR(1/J195*(Y195/H195),"0")</f>
        <v>0.49242424242424243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200</v>
      </c>
      <c r="Y196" s="540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120</v>
      </c>
      <c r="Y197" s="540">
        <f t="shared" si="10"/>
        <v>124.2</v>
      </c>
      <c r="Z197" s="36">
        <f>IFERROR(IF(Y197=0,"",ROUNDUP(Y197/H197,0)*0.00902),"")</f>
        <v>0.20746000000000001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124.2222222222222</v>
      </c>
      <c r="BN197" s="64">
        <f t="shared" si="12"/>
        <v>128.57</v>
      </c>
      <c r="BO197" s="64">
        <f t="shared" si="13"/>
        <v>0.16835016835016836</v>
      </c>
      <c r="BP197" s="64">
        <f t="shared" si="14"/>
        <v>0.17424242424242425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150</v>
      </c>
      <c r="Y198" s="540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151.85185185185185</v>
      </c>
      <c r="Y203" s="541">
        <f>IFERROR(Y195/H195,"0")+IFERROR(Y196/H196,"0")+IFERROR(Y197/H197,"0")+IFERROR(Y198/H198,"0")+IFERROR(Y199/H199,"0")+IFERROR(Y200/H200,"0")+IFERROR(Y201/H201,"0")+IFERROR(Y202/H202,"0")</f>
        <v>154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1.3890799999999999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820</v>
      </c>
      <c r="Y204" s="541">
        <f>IFERROR(SUM(Y195:Y202),"0")</f>
        <v>831.60000000000014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17.5</v>
      </c>
      <c r="Y206" s="540">
        <f t="shared" ref="Y206:Y214" si="15">IFERROR(IF(X206="",0,CEILING((X206/$H206),1)*$H206),"")</f>
        <v>24.299999999999997</v>
      </c>
      <c r="Z206" s="36">
        <f>IFERROR(IF(Y206=0,"",ROUNDUP(Y206/H206,0)*0.01898),"")</f>
        <v>5.6940000000000004E-2</v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18.567283950617284</v>
      </c>
      <c r="BN206" s="64">
        <f t="shared" ref="BN206:BN214" si="17">IFERROR(Y206*I206/H206,"0")</f>
        <v>25.781999999999996</v>
      </c>
      <c r="BO206" s="64">
        <f t="shared" ref="BO206:BO214" si="18">IFERROR(1/J206*(X206/H206),"0")</f>
        <v>3.375771604938272E-2</v>
      </c>
      <c r="BP206" s="64">
        <f t="shared" ref="BP206:BP214" si="19">IFERROR(1/J206*(Y206/H206),"0")</f>
        <v>4.6875E-2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50</v>
      </c>
      <c r="Y208" s="540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52.839080459770123</v>
      </c>
      <c r="BN208" s="64">
        <f t="shared" si="17"/>
        <v>55.164000000000009</v>
      </c>
      <c r="BO208" s="64">
        <f t="shared" si="18"/>
        <v>8.9798850574712652E-2</v>
      </c>
      <c r="BP208" s="64">
        <f t="shared" si="19"/>
        <v>9.375E-2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780</v>
      </c>
      <c r="Y209" s="540">
        <f t="shared" si="15"/>
        <v>780</v>
      </c>
      <c r="Z209" s="36">
        <f t="shared" ref="Z209:Z214" si="20">IFERROR(IF(Y209=0,"",ROUNDUP(Y209/H209,0)*0.00651),"")</f>
        <v>2.1157500000000002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867.75</v>
      </c>
      <c r="BN209" s="64">
        <f t="shared" si="17"/>
        <v>867.75</v>
      </c>
      <c r="BO209" s="64">
        <f t="shared" si="18"/>
        <v>1.7857142857142858</v>
      </c>
      <c r="BP209" s="64">
        <f t="shared" si="19"/>
        <v>1.7857142857142858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168</v>
      </c>
      <c r="Y211" s="540">
        <f t="shared" si="15"/>
        <v>168</v>
      </c>
      <c r="Z211" s="36">
        <f t="shared" si="20"/>
        <v>0.45569999999999999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185.64000000000001</v>
      </c>
      <c r="BN211" s="64">
        <f t="shared" si="17"/>
        <v>185.64000000000001</v>
      </c>
      <c r="BO211" s="64">
        <f t="shared" si="18"/>
        <v>0.38461538461538464</v>
      </c>
      <c r="BP211" s="64">
        <f t="shared" si="19"/>
        <v>0.38461538461538464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144</v>
      </c>
      <c r="Y212" s="540">
        <f t="shared" si="15"/>
        <v>144</v>
      </c>
      <c r="Z212" s="36">
        <f t="shared" si="20"/>
        <v>0.3906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159.12000000000003</v>
      </c>
      <c r="BN212" s="64">
        <f t="shared" si="17"/>
        <v>159.12000000000003</v>
      </c>
      <c r="BO212" s="64">
        <f t="shared" si="18"/>
        <v>0.32967032967032972</v>
      </c>
      <c r="BP212" s="64">
        <f t="shared" si="19"/>
        <v>0.32967032967032972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48</v>
      </c>
      <c r="Y213" s="540">
        <f t="shared" si="15"/>
        <v>48</v>
      </c>
      <c r="Z213" s="36">
        <f t="shared" si="20"/>
        <v>0.13020000000000001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53.040000000000006</v>
      </c>
      <c r="BN213" s="64">
        <f t="shared" si="17"/>
        <v>53.040000000000006</v>
      </c>
      <c r="BO213" s="64">
        <f t="shared" si="18"/>
        <v>0.1098901098901099</v>
      </c>
      <c r="BP213" s="64">
        <f t="shared" si="19"/>
        <v>0.1098901098901099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482.90762026394208</v>
      </c>
      <c r="Y215" s="541">
        <f>IFERROR(Y206/H206,"0")+IFERROR(Y207/H207,"0")+IFERROR(Y208/H208,"0")+IFERROR(Y209/H209,"0")+IFERROR(Y210/H210,"0")+IFERROR(Y211/H211,"0")+IFERROR(Y212/H212,"0")+IFERROR(Y213/H213,"0")+IFERROR(Y214/H214,"0")</f>
        <v>484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3.2630700000000004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1207.5</v>
      </c>
      <c r="Y216" s="541">
        <f>IFERROR(SUM(Y206:Y214),"0")</f>
        <v>1216.5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30</v>
      </c>
      <c r="Y296" s="540">
        <f t="shared" ref="Y296:Y302" si="26">IFERROR(IF(X296="",0,CEILING((X296/$H296),1)*$H296),"")</f>
        <v>33.6</v>
      </c>
      <c r="Z296" s="36">
        <f>IFERROR(IF(Y296=0,"",ROUNDUP(Y296/H296,0)*0.00902),"")</f>
        <v>7.2160000000000002E-2</v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31.785714285714285</v>
      </c>
      <c r="BN296" s="64">
        <f t="shared" ref="BN296:BN302" si="28">IFERROR(Y296*I296/H296,"0")</f>
        <v>35.6</v>
      </c>
      <c r="BO296" s="64">
        <f t="shared" ref="BO296:BO302" si="29">IFERROR(1/J296*(X296/H296),"0")</f>
        <v>5.4112554112554112E-2</v>
      </c>
      <c r="BP296" s="64">
        <f t="shared" ref="BP296:BP302" si="30">IFERROR(1/J296*(Y296/H296),"0")</f>
        <v>6.0606060606060608E-2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7.1428571428571423</v>
      </c>
      <c r="Y303" s="541">
        <f>IFERROR(Y296/H296,"0")+IFERROR(Y297/H297,"0")+IFERROR(Y298/H298,"0")+IFERROR(Y299/H299,"0")+IFERROR(Y300/H300,"0")+IFERROR(Y301/H301,"0")+IFERROR(Y302/H302,"0")</f>
        <v>8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7.2160000000000002E-2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30</v>
      </c>
      <c r="Y304" s="541">
        <f>IFERROR(SUM(Y296:Y302),"0")</f>
        <v>33.6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50</v>
      </c>
      <c r="Y315" s="540">
        <f>IFERROR(IF(X315="",0,CEILING((X315/$H315),1)*$H315),"")</f>
        <v>54.6</v>
      </c>
      <c r="Z315" s="36">
        <f>IFERROR(IF(Y315=0,"",ROUNDUP(Y315/H315,0)*0.01898),"")</f>
        <v>0.13286000000000001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53.166666666666671</v>
      </c>
      <c r="BN315" s="64">
        <f>IFERROR(Y315*I315/H315,"0")</f>
        <v>58.058000000000007</v>
      </c>
      <c r="BO315" s="64">
        <f>IFERROR(1/J315*(X315/H315),"0")</f>
        <v>0.10016025641025642</v>
      </c>
      <c r="BP315" s="64">
        <f>IFERROR(1/J315*(Y315/H315),"0")</f>
        <v>0.109375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6.4102564102564106</v>
      </c>
      <c r="Y317" s="541">
        <f>IFERROR(Y314/H314,"0")+IFERROR(Y315/H315,"0")+IFERROR(Y316/H316,"0")</f>
        <v>7</v>
      </c>
      <c r="Z317" s="541">
        <f>IFERROR(IF(Z314="",0,Z314),"0")+IFERROR(IF(Z315="",0,Z315),"0")+IFERROR(IF(Z316="",0,Z316),"0")</f>
        <v>0.13286000000000001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50</v>
      </c>
      <c r="Y318" s="541">
        <f>IFERROR(SUM(Y314:Y316),"0")</f>
        <v>54.6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hidden="1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hidden="1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idden="1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0</v>
      </c>
      <c r="Y349" s="541">
        <f>IFERROR(Y342/H342,"0")+IFERROR(Y343/H343,"0")+IFERROR(Y344/H344,"0")+IFERROR(Y345/H345,"0")+IFERROR(Y346/H346,"0")+IFERROR(Y347/H347,"0")+IFERROR(Y348/H348,"0")</f>
        <v>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2"/>
      <c r="AB349" s="542"/>
      <c r="AC349" s="542"/>
    </row>
    <row r="350" spans="1:68" hidden="1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0</v>
      </c>
      <c r="Y350" s="541">
        <f>IFERROR(SUM(Y342:Y348),"0")</f>
        <v>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2000</v>
      </c>
      <c r="Y352" s="540">
        <f>IFERROR(IF(X352="",0,CEILING((X352/$H352),1)*$H352),"")</f>
        <v>2010</v>
      </c>
      <c r="Z352" s="36">
        <f>IFERROR(IF(Y352=0,"",ROUNDUP(Y352/H352,0)*0.02175),"")</f>
        <v>2.9144999999999999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2062.6666666666665</v>
      </c>
      <c r="BN352" s="64">
        <f>IFERROR(Y352*I352/H352,"0")</f>
        <v>2072.98</v>
      </c>
      <c r="BO352" s="64">
        <f>IFERROR(1/J352*(X352/H352),"0")</f>
        <v>2.7777777777777777</v>
      </c>
      <c r="BP352" s="64">
        <f>IFERROR(1/J352*(Y352/H352),"0")</f>
        <v>2.7916666666666665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133.33333333333334</v>
      </c>
      <c r="Y354" s="541">
        <f>IFERROR(Y352/H352,"0")+IFERROR(Y353/H353,"0")</f>
        <v>134</v>
      </c>
      <c r="Z354" s="541">
        <f>IFERROR(IF(Z352="",0,Z352),"0")+IFERROR(IF(Z353="",0,Z353),"0")</f>
        <v>2.9144999999999999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2000</v>
      </c>
      <c r="Y355" s="541">
        <f>IFERROR(SUM(Y352:Y353),"0")</f>
        <v>2010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400</v>
      </c>
      <c r="Y362" s="540">
        <f>IFERROR(IF(X362="",0,CEILING((X362/$H362),1)*$H362),"")</f>
        <v>405</v>
      </c>
      <c r="Z362" s="36">
        <f>IFERROR(IF(Y362=0,"",ROUNDUP(Y362/H362,0)*0.01898),"")</f>
        <v>0.85409999999999997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421.95555555555552</v>
      </c>
      <c r="BN362" s="64">
        <f>IFERROR(Y362*I362/H362,"0")</f>
        <v>427.22999999999996</v>
      </c>
      <c r="BO362" s="64">
        <f>IFERROR(1/J362*(X362/H362),"0")</f>
        <v>0.69444444444444442</v>
      </c>
      <c r="BP362" s="64">
        <f>IFERROR(1/J362*(Y362/H362),"0")</f>
        <v>0.703125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44.444444444444443</v>
      </c>
      <c r="Y363" s="541">
        <f>IFERROR(Y362/H362,"0")</f>
        <v>45</v>
      </c>
      <c r="Z363" s="541">
        <f>IFERROR(IF(Z362="",0,Z362),"0")</f>
        <v>0.85409999999999997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400</v>
      </c>
      <c r="Y364" s="541">
        <f>IFERROR(SUM(Y362:Y362),"0")</f>
        <v>405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hidden="1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20</v>
      </c>
      <c r="Y384" s="540">
        <f t="shared" ref="Y384:Y392" si="36">IFERROR(IF(X384="",0,CEILING((X384/$H384),1)*$H384),"")</f>
        <v>21.6</v>
      </c>
      <c r="Z384" s="36">
        <f>IFERROR(IF(Y384=0,"",ROUNDUP(Y384/H384,0)*0.00902),"")</f>
        <v>3.6080000000000001E-2</v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20.703703703703702</v>
      </c>
      <c r="BN384" s="64">
        <f t="shared" ref="BN384:BN392" si="38">IFERROR(Y384*I384/H384,"0")</f>
        <v>22.36</v>
      </c>
      <c r="BO384" s="64">
        <f t="shared" ref="BO384:BO392" si="39">IFERROR(1/J384*(X384/H384),"0")</f>
        <v>2.8058361391694722E-2</v>
      </c>
      <c r="BP384" s="64">
        <f t="shared" ref="BP384:BP392" si="40">IFERROR(1/J384*(Y384/H384),"0")</f>
        <v>3.0303030303030304E-2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50</v>
      </c>
      <c r="Y386" s="540">
        <f t="shared" si="36"/>
        <v>54</v>
      </c>
      <c r="Z386" s="36">
        <f>IFERROR(IF(Y386=0,"",ROUNDUP(Y386/H386,0)*0.00902),"")</f>
        <v>9.0200000000000002E-2</v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51.759259259259252</v>
      </c>
      <c r="BN386" s="64">
        <f t="shared" si="38"/>
        <v>55.9</v>
      </c>
      <c r="BO386" s="64">
        <f t="shared" si="39"/>
        <v>7.0145903479236812E-2</v>
      </c>
      <c r="BP386" s="64">
        <f t="shared" si="40"/>
        <v>7.575757575757576E-2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12.6</v>
      </c>
      <c r="Y391" s="540">
        <f t="shared" si="36"/>
        <v>12.600000000000001</v>
      </c>
      <c r="Z391" s="36">
        <f t="shared" si="41"/>
        <v>3.0120000000000001E-2</v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13.379999999999999</v>
      </c>
      <c r="BN391" s="64">
        <f t="shared" si="38"/>
        <v>13.38</v>
      </c>
      <c r="BO391" s="64">
        <f t="shared" si="39"/>
        <v>2.5641025641025644E-2</v>
      </c>
      <c r="BP391" s="64">
        <f t="shared" si="40"/>
        <v>2.5641025641025644E-2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18.962962962962962</v>
      </c>
      <c r="Y393" s="541">
        <f>IFERROR(Y384/H384,"0")+IFERROR(Y385/H385,"0")+IFERROR(Y386/H386,"0")+IFERROR(Y387/H387,"0")+IFERROR(Y388/H388,"0")+IFERROR(Y389/H389,"0")+IFERROR(Y390/H390,"0")+IFERROR(Y391/H391,"0")+IFERROR(Y392/H392,"0")</f>
        <v>20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0.15640000000000001</v>
      </c>
      <c r="AA393" s="542"/>
      <c r="AB393" s="542"/>
      <c r="AC393" s="542"/>
    </row>
    <row r="394" spans="1:68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82.6</v>
      </c>
      <c r="Y394" s="541">
        <f>IFERROR(SUM(Y384:Y392),"0")</f>
        <v>88.199999999999989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21</v>
      </c>
      <c r="Y407" s="540">
        <f>IFERROR(IF(X407="",0,CEILING((X407/$H407),1)*$H407),"")</f>
        <v>21</v>
      </c>
      <c r="Z407" s="36">
        <f>IFERROR(IF(Y407=0,"",ROUNDUP(Y407/H407,0)*0.00502),"")</f>
        <v>5.0200000000000002E-2</v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22.299999999999997</v>
      </c>
      <c r="BN407" s="64">
        <f>IFERROR(Y407*I407/H407,"0")</f>
        <v>22.299999999999997</v>
      </c>
      <c r="BO407" s="64">
        <f>IFERROR(1/J407*(X407/H407),"0")</f>
        <v>4.2735042735042736E-2</v>
      </c>
      <c r="BP407" s="64">
        <f>IFERROR(1/J407*(Y407/H407),"0")</f>
        <v>4.2735042735042736E-2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10</v>
      </c>
      <c r="Y410" s="541">
        <f>IFERROR(Y406/H406,"0")+IFERROR(Y407/H407,"0")+IFERROR(Y408/H408,"0")+IFERROR(Y409/H409,"0")</f>
        <v>10</v>
      </c>
      <c r="Z410" s="541">
        <f>IFERROR(IF(Z406="",0,Z406),"0")+IFERROR(IF(Z407="",0,Z407),"0")+IFERROR(IF(Z408="",0,Z408),"0")+IFERROR(IF(Z409="",0,Z409),"0")</f>
        <v>5.0200000000000002E-2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21</v>
      </c>
      <c r="Y411" s="541">
        <f>IFERROR(SUM(Y406:Y409),"0")</f>
        <v>21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30</v>
      </c>
      <c r="Y421" s="540">
        <f t="shared" si="42"/>
        <v>31.68</v>
      </c>
      <c r="Z421" s="36">
        <f t="shared" si="43"/>
        <v>7.1760000000000004E-2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31.988636363636363</v>
      </c>
      <c r="BN421" s="64">
        <f t="shared" si="45"/>
        <v>33.779999999999994</v>
      </c>
      <c r="BO421" s="64">
        <f t="shared" si="46"/>
        <v>5.4632867132867136E-2</v>
      </c>
      <c r="BP421" s="64">
        <f t="shared" si="47"/>
        <v>5.7692307692307696E-2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50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53.314393939393938</v>
      </c>
      <c r="BN422" s="64">
        <f t="shared" si="45"/>
        <v>56.3</v>
      </c>
      <c r="BO422" s="64">
        <f t="shared" si="46"/>
        <v>9.1054778554778545E-2</v>
      </c>
      <c r="BP422" s="64">
        <f t="shared" si="47"/>
        <v>9.6153846153846159E-2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100</v>
      </c>
      <c r="Y425" s="540">
        <f t="shared" si="42"/>
        <v>100.32000000000001</v>
      </c>
      <c r="Z425" s="36">
        <f t="shared" si="43"/>
        <v>0.22724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34.090909090909086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35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0.41859999999999997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180</v>
      </c>
      <c r="Y432" s="541">
        <f>IFERROR(SUM(Y420:Y430),"0")</f>
        <v>184.8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50</v>
      </c>
      <c r="Y434" s="540">
        <f>IFERROR(IF(X434="",0,CEILING((X434/$H434),1)*$H434),"")</f>
        <v>52.800000000000004</v>
      </c>
      <c r="Z434" s="36">
        <f>IFERROR(IF(Y434=0,"",ROUNDUP(Y434/H434,0)*0.01196),"")</f>
        <v>0.1196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53.314393939393938</v>
      </c>
      <c r="BN434" s="64">
        <f>IFERROR(Y434*I434/H434,"0")</f>
        <v>56.3</v>
      </c>
      <c r="BO434" s="64">
        <f>IFERROR(1/J434*(X434/H434),"0")</f>
        <v>9.1054778554778545E-2</v>
      </c>
      <c r="BP434" s="64">
        <f>IFERROR(1/J434*(Y434/H434),"0")</f>
        <v>9.6153846153846159E-2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9.4696969696969688</v>
      </c>
      <c r="Y437" s="541">
        <f>IFERROR(Y434/H434,"0")+IFERROR(Y435/H435,"0")+IFERROR(Y436/H436,"0")</f>
        <v>10</v>
      </c>
      <c r="Z437" s="541">
        <f>IFERROR(IF(Z434="",0,Z434),"0")+IFERROR(IF(Z435="",0,Z435),"0")+IFERROR(IF(Z436="",0,Z436),"0")</f>
        <v>0.1196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50</v>
      </c>
      <c r="Y438" s="541">
        <f>IFERROR(SUM(Y434:Y436),"0")</f>
        <v>52.800000000000004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50</v>
      </c>
      <c r="Y440" s="540">
        <f t="shared" ref="Y440:Y445" si="48">IFERROR(IF(X440="",0,CEILING((X440/$H440),1)*$H440),"")</f>
        <v>52.800000000000004</v>
      </c>
      <c r="Z440" s="36">
        <f>IFERROR(IF(Y440=0,"",ROUNDUP(Y440/H440,0)*0.01196),"")</f>
        <v>0.1196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53.314393939393938</v>
      </c>
      <c r="BN440" s="64">
        <f t="shared" ref="BN440:BN445" si="50">IFERROR(Y440*I440/H440,"0")</f>
        <v>56.3</v>
      </c>
      <c r="BO440" s="64">
        <f t="shared" ref="BO440:BO445" si="51">IFERROR(1/J440*(X440/H440),"0")</f>
        <v>9.1054778554778545E-2</v>
      </c>
      <c r="BP440" s="64">
        <f t="shared" ref="BP440:BP445" si="52">IFERROR(1/J440*(Y440/H440),"0")</f>
        <v>9.6153846153846159E-2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50</v>
      </c>
      <c r="Y441" s="540">
        <f t="shared" si="48"/>
        <v>52.800000000000004</v>
      </c>
      <c r="Z441" s="36">
        <f>IFERROR(IF(Y441=0,"",ROUNDUP(Y441/H441,0)*0.01196),"")</f>
        <v>0.1196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53.314393939393938</v>
      </c>
      <c r="BN441" s="64">
        <f t="shared" si="50"/>
        <v>56.3</v>
      </c>
      <c r="BO441" s="64">
        <f t="shared" si="51"/>
        <v>9.1054778554778545E-2</v>
      </c>
      <c r="BP441" s="64">
        <f t="shared" si="52"/>
        <v>9.6153846153846159E-2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30</v>
      </c>
      <c r="Y442" s="540">
        <f t="shared" si="48"/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31.988636363636363</v>
      </c>
      <c r="BN442" s="64">
        <f t="shared" si="50"/>
        <v>33.779999999999994</v>
      </c>
      <c r="BO442" s="64">
        <f t="shared" si="51"/>
        <v>5.4632867132867136E-2</v>
      </c>
      <c r="BP442" s="64">
        <f t="shared" si="52"/>
        <v>5.7692307692307696E-2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24.621212121212118</v>
      </c>
      <c r="Y446" s="541">
        <f>IFERROR(Y440/H440,"0")+IFERROR(Y441/H441,"0")+IFERROR(Y442/H442,"0")+IFERROR(Y443/H443,"0")+IFERROR(Y444/H444,"0")+IFERROR(Y445/H445,"0")</f>
        <v>26</v>
      </c>
      <c r="Z446" s="541">
        <f>IFERROR(IF(Z440="",0,Z440),"0")+IFERROR(IF(Z441="",0,Z441),"0")+IFERROR(IF(Z442="",0,Z442),"0")+IFERROR(IF(Z443="",0,Z443),"0")+IFERROR(IF(Z444="",0,Z444),"0")+IFERROR(IF(Z445="",0,Z445),"0")</f>
        <v>0.31096000000000001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130</v>
      </c>
      <c r="Y447" s="541">
        <f>IFERROR(SUM(Y440:Y445),"0")</f>
        <v>137.28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50</v>
      </c>
      <c r="Y470" s="540">
        <f>IFERROR(IF(X470="",0,CEILING((X470/$H470),1)*$H470),"")</f>
        <v>50.400000000000006</v>
      </c>
      <c r="Z470" s="36">
        <f>IFERROR(IF(Y470=0,"",ROUNDUP(Y470/H470,0)*0.00902),"")</f>
        <v>0.10824</v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52.976190476190474</v>
      </c>
      <c r="BN470" s="64">
        <f>IFERROR(Y470*I470/H470,"0")</f>
        <v>53.400000000000006</v>
      </c>
      <c r="BO470" s="64">
        <f>IFERROR(1/J470*(X470/H470),"0")</f>
        <v>9.0187590187590191E-2</v>
      </c>
      <c r="BP470" s="64">
        <f>IFERROR(1/J470*(Y470/H470),"0")</f>
        <v>9.0909090909090912E-2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11.904761904761905</v>
      </c>
      <c r="Y472" s="541">
        <f>IFERROR(Y470/H470,"0")+IFERROR(Y471/H471,"0")</f>
        <v>12</v>
      </c>
      <c r="Z472" s="541">
        <f>IFERROR(IF(Z470="",0,Z470),"0")+IFERROR(IF(Z471="",0,Z471),"0")</f>
        <v>0.10824</v>
      </c>
      <c r="AA472" s="542"/>
      <c r="AB472" s="542"/>
      <c r="AC472" s="542"/>
    </row>
    <row r="473" spans="1:68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50</v>
      </c>
      <c r="Y473" s="541">
        <f>IFERROR(SUM(Y470:Y471),"0")</f>
        <v>50.400000000000006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800</v>
      </c>
      <c r="Y475" s="540">
        <f>IFERROR(IF(X475="",0,CEILING((X475/$H475),1)*$H475),"")</f>
        <v>801</v>
      </c>
      <c r="Z475" s="36">
        <f>IFERROR(IF(Y475=0,"",ROUNDUP(Y475/H475,0)*0.01898),"")</f>
        <v>1.6892199999999999</v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843.91111111111104</v>
      </c>
      <c r="BN475" s="64">
        <f>IFERROR(Y475*I475/H475,"0")</f>
        <v>844.96599999999989</v>
      </c>
      <c r="BO475" s="64">
        <f>IFERROR(1/J475*(X475/H475),"0")</f>
        <v>1.3888888888888888</v>
      </c>
      <c r="BP475" s="64">
        <f>IFERROR(1/J475*(Y475/H475),"0")</f>
        <v>1.390625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88.888888888888886</v>
      </c>
      <c r="Y476" s="541">
        <f>IFERROR(Y475/H475,"0")</f>
        <v>89</v>
      </c>
      <c r="Z476" s="541">
        <f>IFERROR(IF(Z475="",0,Z475),"0")</f>
        <v>1.6892199999999999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800</v>
      </c>
      <c r="Y477" s="541">
        <f>IFERROR(SUM(Y475:Y475),"0")</f>
        <v>801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6103.7000000000007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6183.78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6440.9634928375144</v>
      </c>
      <c r="Y489" s="541">
        <f>IFERROR(SUM(BN22:BN485),"0")</f>
        <v>6524.98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11</v>
      </c>
      <c r="Y490" s="38">
        <f>ROUNDUP(SUM(BP22:BP485),0)</f>
        <v>11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6715.9634928375144</v>
      </c>
      <c r="Y491" s="541">
        <f>GrossWeightTotalR+PalletQtyTotalR*25</f>
        <v>6799.98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1079.764245120567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1092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12.077750000000002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190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108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189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2048.1000000000004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88.2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2415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88.199999999999989</v>
      </c>
      <c r="V498" s="46">
        <f>IFERROR(Y402*1,"0")+IFERROR(Y406*1,"0")+IFERROR(Y407*1,"0")+IFERROR(Y408*1,"0")+IFERROR(Y409*1,"0")</f>
        <v>21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374.88000000000005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851.4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9,76"/>
        <filter val="1 207,50"/>
        <filter val="10,00"/>
        <filter val="100,00"/>
        <filter val="11"/>
        <filter val="11,90"/>
        <filter val="12,60"/>
        <filter val="120,00"/>
        <filter val="130,00"/>
        <filter val="133,33"/>
        <filter val="144,00"/>
        <filter val="150,00"/>
        <filter val="151,85"/>
        <filter val="168,00"/>
        <filter val="17,50"/>
        <filter val="18,96"/>
        <filter val="180,00"/>
        <filter val="182,60"/>
        <filter val="2 000,00"/>
        <filter val="20,00"/>
        <filter val="200,00"/>
        <filter val="21,00"/>
        <filter val="24,62"/>
        <filter val="30,00"/>
        <filter val="34,09"/>
        <filter val="350,00"/>
        <filter val="40,00"/>
        <filter val="400,00"/>
        <filter val="44,44"/>
        <filter val="46,48"/>
        <filter val="48,00"/>
        <filter val="482,91"/>
        <filter val="50,00"/>
        <filter val="6 103,70"/>
        <filter val="6 440,96"/>
        <filter val="6 715,96"/>
        <filter val="6,41"/>
        <filter val="7,14"/>
        <filter val="780,00"/>
        <filter val="800,00"/>
        <filter val="82,60"/>
        <filter val="820,00"/>
        <filter val="88,89"/>
        <filter val="9,26"/>
        <filter val="9,47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