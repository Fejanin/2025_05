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1959CDE-0343-47D3-8FC3-0CFC111374E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BP479" i="1" s="1"/>
  <c r="P479" i="1"/>
  <c r="X477" i="1"/>
  <c r="X476" i="1"/>
  <c r="BO475" i="1"/>
  <c r="BM475" i="1"/>
  <c r="Y475" i="1"/>
  <c r="Y477" i="1" s="1"/>
  <c r="P475" i="1"/>
  <c r="X473" i="1"/>
  <c r="X472" i="1"/>
  <c r="BO471" i="1"/>
  <c r="BM471" i="1"/>
  <c r="Y471" i="1"/>
  <c r="BP471" i="1" s="1"/>
  <c r="P471" i="1"/>
  <c r="BO470" i="1"/>
  <c r="BM470" i="1"/>
  <c r="Y470" i="1"/>
  <c r="Y472" i="1" s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BP451" i="1" s="1"/>
  <c r="P451" i="1"/>
  <c r="BO450" i="1"/>
  <c r="BM450" i="1"/>
  <c r="Y450" i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BP441" i="1" s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BP425" i="1" s="1"/>
  <c r="P425" i="1"/>
  <c r="BO424" i="1"/>
  <c r="BM424" i="1"/>
  <c r="Y424" i="1"/>
  <c r="P424" i="1"/>
  <c r="BO423" i="1"/>
  <c r="BM423" i="1"/>
  <c r="Y423" i="1"/>
  <c r="P423" i="1"/>
  <c r="BO422" i="1"/>
  <c r="BM422" i="1"/>
  <c r="Z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BP409" i="1" s="1"/>
  <c r="P409" i="1"/>
  <c r="BO408" i="1"/>
  <c r="BM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BP390" i="1" s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Y379" i="1" s="1"/>
  <c r="P377" i="1"/>
  <c r="X375" i="1"/>
  <c r="X374" i="1"/>
  <c r="BO373" i="1"/>
  <c r="BM373" i="1"/>
  <c r="Y373" i="1"/>
  <c r="P373" i="1"/>
  <c r="BO372" i="1"/>
  <c r="BM372" i="1"/>
  <c r="Y372" i="1"/>
  <c r="BP372" i="1" s="1"/>
  <c r="P372" i="1"/>
  <c r="X370" i="1"/>
  <c r="X369" i="1"/>
  <c r="BO368" i="1"/>
  <c r="BM368" i="1"/>
  <c r="Y368" i="1"/>
  <c r="P368" i="1"/>
  <c r="BO367" i="1"/>
  <c r="BM367" i="1"/>
  <c r="Y367" i="1"/>
  <c r="Y369" i="1" s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Y354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P345" i="1" s="1"/>
  <c r="BO344" i="1"/>
  <c r="BM344" i="1"/>
  <c r="Y344" i="1"/>
  <c r="BP344" i="1" s="1"/>
  <c r="P344" i="1"/>
  <c r="BO343" i="1"/>
  <c r="BM343" i="1"/>
  <c r="Y343" i="1"/>
  <c r="P343" i="1"/>
  <c r="BO342" i="1"/>
  <c r="BM342" i="1"/>
  <c r="Y342" i="1"/>
  <c r="P342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BP327" i="1" s="1"/>
  <c r="P327" i="1"/>
  <c r="X325" i="1"/>
  <c r="X324" i="1"/>
  <c r="BO323" i="1"/>
  <c r="BM323" i="1"/>
  <c r="Y323" i="1"/>
  <c r="P323" i="1"/>
  <c r="BO322" i="1"/>
  <c r="BM322" i="1"/>
  <c r="Y322" i="1"/>
  <c r="Y324" i="1" s="1"/>
  <c r="P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BP310" i="1" s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BP300" i="1" s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Y303" i="1" s="1"/>
  <c r="P297" i="1"/>
  <c r="BP296" i="1"/>
  <c r="BO296" i="1"/>
  <c r="BN296" i="1"/>
  <c r="BM296" i="1"/>
  <c r="Z296" i="1"/>
  <c r="Y296" i="1"/>
  <c r="P296" i="1"/>
  <c r="X294" i="1"/>
  <c r="X293" i="1"/>
  <c r="BO292" i="1"/>
  <c r="BM292" i="1"/>
  <c r="Y292" i="1"/>
  <c r="P292" i="1"/>
  <c r="BO291" i="1"/>
  <c r="BM291" i="1"/>
  <c r="Y291" i="1"/>
  <c r="P291" i="1"/>
  <c r="BO290" i="1"/>
  <c r="BM290" i="1"/>
  <c r="Y290" i="1"/>
  <c r="BP290" i="1" s="1"/>
  <c r="P290" i="1"/>
  <c r="BO289" i="1"/>
  <c r="BM289" i="1"/>
  <c r="Y289" i="1"/>
  <c r="P289" i="1"/>
  <c r="BO288" i="1"/>
  <c r="BM288" i="1"/>
  <c r="Y288" i="1"/>
  <c r="BP288" i="1" s="1"/>
  <c r="P288" i="1"/>
  <c r="X285" i="1"/>
  <c r="X284" i="1"/>
  <c r="BO283" i="1"/>
  <c r="BM283" i="1"/>
  <c r="Y283" i="1"/>
  <c r="Y285" i="1" s="1"/>
  <c r="P283" i="1"/>
  <c r="X281" i="1"/>
  <c r="X280" i="1"/>
  <c r="BO279" i="1"/>
  <c r="BM279" i="1"/>
  <c r="Y279" i="1"/>
  <c r="BP279" i="1" s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BP263" i="1" s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BP254" i="1" s="1"/>
  <c r="P254" i="1"/>
  <c r="X251" i="1"/>
  <c r="X250" i="1"/>
  <c r="BO249" i="1"/>
  <c r="BM249" i="1"/>
  <c r="Y249" i="1"/>
  <c r="BP249" i="1" s="1"/>
  <c r="P249" i="1"/>
  <c r="BO248" i="1"/>
  <c r="BM248" i="1"/>
  <c r="Y248" i="1"/>
  <c r="BP248" i="1" s="1"/>
  <c r="P248" i="1"/>
  <c r="BO247" i="1"/>
  <c r="BM247" i="1"/>
  <c r="Y247" i="1"/>
  <c r="BP247" i="1" s="1"/>
  <c r="P247" i="1"/>
  <c r="BO246" i="1"/>
  <c r="BM246" i="1"/>
  <c r="Y246" i="1"/>
  <c r="BP246" i="1" s="1"/>
  <c r="P246" i="1"/>
  <c r="BO245" i="1"/>
  <c r="BM245" i="1"/>
  <c r="Y245" i="1"/>
  <c r="Y251" i="1" s="1"/>
  <c r="P245" i="1"/>
  <c r="X243" i="1"/>
  <c r="X242" i="1"/>
  <c r="BO241" i="1"/>
  <c r="BM241" i="1"/>
  <c r="Y241" i="1"/>
  <c r="Y242" i="1" s="1"/>
  <c r="P241" i="1"/>
  <c r="X239" i="1"/>
  <c r="X238" i="1"/>
  <c r="BO237" i="1"/>
  <c r="BM237" i="1"/>
  <c r="Y237" i="1"/>
  <c r="Y238" i="1" s="1"/>
  <c r="P237" i="1"/>
  <c r="X235" i="1"/>
  <c r="X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O224" i="1"/>
  <c r="BM224" i="1"/>
  <c r="Y224" i="1"/>
  <c r="BP224" i="1" s="1"/>
  <c r="P224" i="1"/>
  <c r="X221" i="1"/>
  <c r="X220" i="1"/>
  <c r="BO219" i="1"/>
  <c r="BM219" i="1"/>
  <c r="Y219" i="1"/>
  <c r="BP219" i="1" s="1"/>
  <c r="P219" i="1"/>
  <c r="BO218" i="1"/>
  <c r="BM218" i="1"/>
  <c r="Y218" i="1"/>
  <c r="Y221" i="1" s="1"/>
  <c r="P218" i="1"/>
  <c r="X216" i="1"/>
  <c r="X215" i="1"/>
  <c r="BO214" i="1"/>
  <c r="BM214" i="1"/>
  <c r="Y214" i="1"/>
  <c r="BP214" i="1" s="1"/>
  <c r="P214" i="1"/>
  <c r="BO213" i="1"/>
  <c r="BM213" i="1"/>
  <c r="Y213" i="1"/>
  <c r="BP213" i="1" s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Y215" i="1" s="1"/>
  <c r="P206" i="1"/>
  <c r="X204" i="1"/>
  <c r="X203" i="1"/>
  <c r="BO202" i="1"/>
  <c r="BM202" i="1"/>
  <c r="Y202" i="1"/>
  <c r="BP202" i="1" s="1"/>
  <c r="P202" i="1"/>
  <c r="BO201" i="1"/>
  <c r="BM201" i="1"/>
  <c r="Y201" i="1"/>
  <c r="BP201" i="1" s="1"/>
  <c r="P201" i="1"/>
  <c r="BO200" i="1"/>
  <c r="BM200" i="1"/>
  <c r="Y200" i="1"/>
  <c r="BP200" i="1" s="1"/>
  <c r="P200" i="1"/>
  <c r="BO199" i="1"/>
  <c r="BM199" i="1"/>
  <c r="Y199" i="1"/>
  <c r="BP199" i="1" s="1"/>
  <c r="P199" i="1"/>
  <c r="BO198" i="1"/>
  <c r="BM198" i="1"/>
  <c r="Y198" i="1"/>
  <c r="BP198" i="1" s="1"/>
  <c r="P198" i="1"/>
  <c r="BO197" i="1"/>
  <c r="BM197" i="1"/>
  <c r="Y197" i="1"/>
  <c r="BP197" i="1" s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P195" i="1"/>
  <c r="X193" i="1"/>
  <c r="X192" i="1"/>
  <c r="BO191" i="1"/>
  <c r="BM191" i="1"/>
  <c r="Y191" i="1"/>
  <c r="BP191" i="1" s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O185" i="1"/>
  <c r="BM185" i="1"/>
  <c r="Y185" i="1"/>
  <c r="Y187" i="1" s="1"/>
  <c r="P185" i="1"/>
  <c r="X182" i="1"/>
  <c r="X181" i="1"/>
  <c r="BO180" i="1"/>
  <c r="BM180" i="1"/>
  <c r="Y180" i="1"/>
  <c r="Y182" i="1" s="1"/>
  <c r="P180" i="1"/>
  <c r="X178" i="1"/>
  <c r="X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Y178" i="1" s="1"/>
  <c r="P174" i="1"/>
  <c r="X172" i="1"/>
  <c r="X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BP165" i="1" s="1"/>
  <c r="P165" i="1"/>
  <c r="BO164" i="1"/>
  <c r="BM164" i="1"/>
  <c r="Y164" i="1"/>
  <c r="BP164" i="1" s="1"/>
  <c r="P164" i="1"/>
  <c r="BO163" i="1"/>
  <c r="BM163" i="1"/>
  <c r="Y163" i="1"/>
  <c r="BP163" i="1" s="1"/>
  <c r="P163" i="1"/>
  <c r="BO162" i="1"/>
  <c r="BM162" i="1"/>
  <c r="Y162" i="1"/>
  <c r="Y172" i="1" s="1"/>
  <c r="P162" i="1"/>
  <c r="X160" i="1"/>
  <c r="X159" i="1"/>
  <c r="BO158" i="1"/>
  <c r="BM158" i="1"/>
  <c r="Y158" i="1"/>
  <c r="Y159" i="1" s="1"/>
  <c r="P158" i="1"/>
  <c r="X154" i="1"/>
  <c r="X153" i="1"/>
  <c r="BO152" i="1"/>
  <c r="BM152" i="1"/>
  <c r="Y152" i="1"/>
  <c r="Y154" i="1" s="1"/>
  <c r="X150" i="1"/>
  <c r="X149" i="1"/>
  <c r="BO148" i="1"/>
  <c r="BM148" i="1"/>
  <c r="Y148" i="1"/>
  <c r="BP148" i="1" s="1"/>
  <c r="P148" i="1"/>
  <c r="BO147" i="1"/>
  <c r="BM147" i="1"/>
  <c r="Y147" i="1"/>
  <c r="BP147" i="1" s="1"/>
  <c r="P147" i="1"/>
  <c r="BO146" i="1"/>
  <c r="BM146" i="1"/>
  <c r="Y146" i="1"/>
  <c r="Y149" i="1" s="1"/>
  <c r="P146" i="1"/>
  <c r="X144" i="1"/>
  <c r="X143" i="1"/>
  <c r="BO142" i="1"/>
  <c r="BM142" i="1"/>
  <c r="Y142" i="1"/>
  <c r="BP142" i="1" s="1"/>
  <c r="P142" i="1"/>
  <c r="BO141" i="1"/>
  <c r="BM141" i="1"/>
  <c r="Y141" i="1"/>
  <c r="BP141" i="1" s="1"/>
  <c r="P141" i="1"/>
  <c r="BO140" i="1"/>
  <c r="BM140" i="1"/>
  <c r="Y140" i="1"/>
  <c r="H498" i="1" s="1"/>
  <c r="P140" i="1"/>
  <c r="X137" i="1"/>
  <c r="X136" i="1"/>
  <c r="BO135" i="1"/>
  <c r="BM135" i="1"/>
  <c r="Y135" i="1"/>
  <c r="BP135" i="1" s="1"/>
  <c r="P135" i="1"/>
  <c r="BO134" i="1"/>
  <c r="BM134" i="1"/>
  <c r="Y134" i="1"/>
  <c r="Y136" i="1" s="1"/>
  <c r="P134" i="1"/>
  <c r="X132" i="1"/>
  <c r="X131" i="1"/>
  <c r="BO130" i="1"/>
  <c r="BM130" i="1"/>
  <c r="Y130" i="1"/>
  <c r="BP130" i="1" s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Y109" i="1" s="1"/>
  <c r="P106" i="1"/>
  <c r="X104" i="1"/>
  <c r="X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N51" i="1"/>
  <c r="BM51" i="1"/>
  <c r="Z51" i="1"/>
  <c r="Y51" i="1"/>
  <c r="BP51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4" i="1" s="1"/>
  <c r="P22" i="1"/>
  <c r="H10" i="1"/>
  <c r="A9" i="1"/>
  <c r="A10" i="1" s="1"/>
  <c r="D7" i="1"/>
  <c r="Q6" i="1"/>
  <c r="P2" i="1"/>
  <c r="X488" i="1" l="1"/>
  <c r="Y32" i="1"/>
  <c r="Z34" i="1"/>
  <c r="Z35" i="1" s="1"/>
  <c r="BN34" i="1"/>
  <c r="BP34" i="1"/>
  <c r="Y35" i="1"/>
  <c r="Z40" i="1"/>
  <c r="BN40" i="1"/>
  <c r="Y69" i="1"/>
  <c r="Z75" i="1"/>
  <c r="BN75" i="1"/>
  <c r="E498" i="1"/>
  <c r="Z94" i="1"/>
  <c r="BN94" i="1"/>
  <c r="F498" i="1"/>
  <c r="Y117" i="1"/>
  <c r="Y203" i="1"/>
  <c r="Z199" i="1"/>
  <c r="BN199" i="1"/>
  <c r="Z207" i="1"/>
  <c r="BN207" i="1"/>
  <c r="Z219" i="1"/>
  <c r="BN219" i="1"/>
  <c r="Z290" i="1"/>
  <c r="BN290" i="1"/>
  <c r="Z300" i="1"/>
  <c r="BN300" i="1"/>
  <c r="Z310" i="1"/>
  <c r="BN310" i="1"/>
  <c r="Z327" i="1"/>
  <c r="BN327" i="1"/>
  <c r="Z344" i="1"/>
  <c r="BN344" i="1"/>
  <c r="Z345" i="1"/>
  <c r="BN345" i="1"/>
  <c r="Z372" i="1"/>
  <c r="BN372" i="1"/>
  <c r="Z390" i="1"/>
  <c r="BN390" i="1"/>
  <c r="Z409" i="1"/>
  <c r="BN409" i="1"/>
  <c r="Z425" i="1"/>
  <c r="BN425" i="1"/>
  <c r="Z441" i="1"/>
  <c r="BN441" i="1"/>
  <c r="Z451" i="1"/>
  <c r="BN451" i="1"/>
  <c r="Z471" i="1"/>
  <c r="BN471" i="1"/>
  <c r="Z475" i="1"/>
  <c r="Z476" i="1" s="1"/>
  <c r="BN475" i="1"/>
  <c r="BP475" i="1"/>
  <c r="Y476" i="1"/>
  <c r="Z479" i="1"/>
  <c r="BN479" i="1"/>
  <c r="J9" i="1"/>
  <c r="Z22" i="1"/>
  <c r="Z23" i="1" s="1"/>
  <c r="BN22" i="1"/>
  <c r="BP22" i="1"/>
  <c r="Y23" i="1"/>
  <c r="Z26" i="1"/>
  <c r="BN26" i="1"/>
  <c r="BP26" i="1"/>
  <c r="Z30" i="1"/>
  <c r="BN30" i="1"/>
  <c r="Z42" i="1"/>
  <c r="BN42" i="1"/>
  <c r="Z53" i="1"/>
  <c r="BN53" i="1"/>
  <c r="Z61" i="1"/>
  <c r="BN61" i="1"/>
  <c r="Z73" i="1"/>
  <c r="BN73" i="1"/>
  <c r="Z79" i="1"/>
  <c r="BN79" i="1"/>
  <c r="BP79" i="1"/>
  <c r="Z92" i="1"/>
  <c r="BN92" i="1"/>
  <c r="Z99" i="1"/>
  <c r="BN99" i="1"/>
  <c r="BP99" i="1"/>
  <c r="Z107" i="1"/>
  <c r="BN107" i="1"/>
  <c r="Z115" i="1"/>
  <c r="BN115" i="1"/>
  <c r="Z130" i="1"/>
  <c r="BN130" i="1"/>
  <c r="Z141" i="1"/>
  <c r="BN141" i="1"/>
  <c r="Z164" i="1"/>
  <c r="BN164" i="1"/>
  <c r="Z168" i="1"/>
  <c r="BN168" i="1"/>
  <c r="Z174" i="1"/>
  <c r="BN174" i="1"/>
  <c r="BP174" i="1"/>
  <c r="Z180" i="1"/>
  <c r="Z181" i="1" s="1"/>
  <c r="BN180" i="1"/>
  <c r="BP180" i="1"/>
  <c r="Y181" i="1"/>
  <c r="Z185" i="1"/>
  <c r="BN185" i="1"/>
  <c r="BP185" i="1"/>
  <c r="Z230" i="1"/>
  <c r="BN230" i="1"/>
  <c r="Z246" i="1"/>
  <c r="BN246" i="1"/>
  <c r="Z254" i="1"/>
  <c r="BN254" i="1"/>
  <c r="Z258" i="1"/>
  <c r="BN258" i="1"/>
  <c r="Z265" i="1"/>
  <c r="BN265" i="1"/>
  <c r="Z279" i="1"/>
  <c r="BN279" i="1"/>
  <c r="BP298" i="1"/>
  <c r="BN298" i="1"/>
  <c r="Z298" i="1"/>
  <c r="BP308" i="1"/>
  <c r="BN308" i="1"/>
  <c r="Z308" i="1"/>
  <c r="BP323" i="1"/>
  <c r="BN323" i="1"/>
  <c r="Z323" i="1"/>
  <c r="Y349" i="1"/>
  <c r="BP342" i="1"/>
  <c r="BN342" i="1"/>
  <c r="Z342" i="1"/>
  <c r="BP368" i="1"/>
  <c r="BN368" i="1"/>
  <c r="Z368" i="1"/>
  <c r="BP388" i="1"/>
  <c r="BN388" i="1"/>
  <c r="Z388" i="1"/>
  <c r="BP407" i="1"/>
  <c r="BN407" i="1"/>
  <c r="Z407" i="1"/>
  <c r="BP423" i="1"/>
  <c r="BN423" i="1"/>
  <c r="Z423" i="1"/>
  <c r="BP435" i="1"/>
  <c r="BN435" i="1"/>
  <c r="Z435" i="1"/>
  <c r="BP449" i="1"/>
  <c r="BN449" i="1"/>
  <c r="Z449" i="1"/>
  <c r="BP465" i="1"/>
  <c r="BN465" i="1"/>
  <c r="Z465" i="1"/>
  <c r="F9" i="1"/>
  <c r="Z55" i="1"/>
  <c r="BN55" i="1"/>
  <c r="Z101" i="1"/>
  <c r="BN101" i="1"/>
  <c r="Z119" i="1"/>
  <c r="Z120" i="1" s="1"/>
  <c r="BN119" i="1"/>
  <c r="BP119" i="1"/>
  <c r="Y120" i="1"/>
  <c r="Z124" i="1"/>
  <c r="BN124" i="1"/>
  <c r="Z134" i="1"/>
  <c r="BN134" i="1"/>
  <c r="BP134" i="1"/>
  <c r="Z147" i="1"/>
  <c r="BN147" i="1"/>
  <c r="Z152" i="1"/>
  <c r="Z153" i="1" s="1"/>
  <c r="BN152" i="1"/>
  <c r="BP152" i="1"/>
  <c r="Y153" i="1"/>
  <c r="Z158" i="1"/>
  <c r="Z159" i="1" s="1"/>
  <c r="BN158" i="1"/>
  <c r="BP158" i="1"/>
  <c r="Z162" i="1"/>
  <c r="BN162" i="1"/>
  <c r="BP162" i="1"/>
  <c r="Z166" i="1"/>
  <c r="BN166" i="1"/>
  <c r="Z170" i="1"/>
  <c r="BN170" i="1"/>
  <c r="Z176" i="1"/>
  <c r="BN176" i="1"/>
  <c r="Z191" i="1"/>
  <c r="BN191" i="1"/>
  <c r="Z197" i="1"/>
  <c r="BN197" i="1"/>
  <c r="Z201" i="1"/>
  <c r="BN201" i="1"/>
  <c r="Z209" i="1"/>
  <c r="BN209" i="1"/>
  <c r="Z213" i="1"/>
  <c r="BN213" i="1"/>
  <c r="Z224" i="1"/>
  <c r="BN224" i="1"/>
  <c r="Z228" i="1"/>
  <c r="BN228" i="1"/>
  <c r="Z232" i="1"/>
  <c r="BN232" i="1"/>
  <c r="Z248" i="1"/>
  <c r="BN248" i="1"/>
  <c r="Z256" i="1"/>
  <c r="BN256" i="1"/>
  <c r="Z263" i="1"/>
  <c r="BN263" i="1"/>
  <c r="Z272" i="1"/>
  <c r="BN272" i="1"/>
  <c r="Z283" i="1"/>
  <c r="Z284" i="1" s="1"/>
  <c r="BN283" i="1"/>
  <c r="BP283" i="1"/>
  <c r="Y284" i="1"/>
  <c r="Z288" i="1"/>
  <c r="BN288" i="1"/>
  <c r="BP292" i="1"/>
  <c r="BN292" i="1"/>
  <c r="Z292" i="1"/>
  <c r="BP302" i="1"/>
  <c r="BN302" i="1"/>
  <c r="Z302" i="1"/>
  <c r="Y318" i="1"/>
  <c r="BP314" i="1"/>
  <c r="BN314" i="1"/>
  <c r="Z314" i="1"/>
  <c r="BP329" i="1"/>
  <c r="BN329" i="1"/>
  <c r="Z329" i="1"/>
  <c r="BP334" i="1"/>
  <c r="BN334" i="1"/>
  <c r="Z334" i="1"/>
  <c r="BP347" i="1"/>
  <c r="BN347" i="1"/>
  <c r="Z347" i="1"/>
  <c r="BP378" i="1"/>
  <c r="BN378" i="1"/>
  <c r="Z378" i="1"/>
  <c r="BP384" i="1"/>
  <c r="BN384" i="1"/>
  <c r="Z384" i="1"/>
  <c r="BP392" i="1"/>
  <c r="BN392" i="1"/>
  <c r="Z392" i="1"/>
  <c r="Y416" i="1"/>
  <c r="W498" i="1"/>
  <c r="Y415" i="1"/>
  <c r="BP414" i="1"/>
  <c r="BN414" i="1"/>
  <c r="Z414" i="1"/>
  <c r="Z415" i="1" s="1"/>
  <c r="BP420" i="1"/>
  <c r="BN420" i="1"/>
  <c r="Z420" i="1"/>
  <c r="BP427" i="1"/>
  <c r="BN427" i="1"/>
  <c r="Z427" i="1"/>
  <c r="BP443" i="1"/>
  <c r="BN443" i="1"/>
  <c r="Z443" i="1"/>
  <c r="Y461" i="1"/>
  <c r="BP457" i="1"/>
  <c r="BN457" i="1"/>
  <c r="Z457" i="1"/>
  <c r="Y312" i="1"/>
  <c r="Y331" i="1"/>
  <c r="Y330" i="1"/>
  <c r="Y337" i="1"/>
  <c r="Y374" i="1"/>
  <c r="Y432" i="1"/>
  <c r="F10" i="1"/>
  <c r="Y31" i="1"/>
  <c r="Y43" i="1"/>
  <c r="Y58" i="1"/>
  <c r="Y64" i="1"/>
  <c r="Y70" i="1"/>
  <c r="Y76" i="1"/>
  <c r="Y82" i="1"/>
  <c r="Y89" i="1"/>
  <c r="Y95" i="1"/>
  <c r="Y104" i="1"/>
  <c r="Y110" i="1"/>
  <c r="Y116" i="1"/>
  <c r="Y127" i="1"/>
  <c r="Y131" i="1"/>
  <c r="Y137" i="1"/>
  <c r="Y144" i="1"/>
  <c r="Y150" i="1"/>
  <c r="Y171" i="1"/>
  <c r="Y177" i="1"/>
  <c r="Y188" i="1"/>
  <c r="Y192" i="1"/>
  <c r="Y204" i="1"/>
  <c r="Y216" i="1"/>
  <c r="Y220" i="1"/>
  <c r="Y235" i="1"/>
  <c r="Y239" i="1"/>
  <c r="Y243" i="1"/>
  <c r="BP255" i="1"/>
  <c r="BN255" i="1"/>
  <c r="Z255" i="1"/>
  <c r="Y259" i="1"/>
  <c r="BP264" i="1"/>
  <c r="BN264" i="1"/>
  <c r="Z264" i="1"/>
  <c r="BP273" i="1"/>
  <c r="BN273" i="1"/>
  <c r="Z273" i="1"/>
  <c r="Y275" i="1"/>
  <c r="P498" i="1"/>
  <c r="Y281" i="1"/>
  <c r="BP278" i="1"/>
  <c r="BN278" i="1"/>
  <c r="Z278" i="1"/>
  <c r="Z280" i="1" s="1"/>
  <c r="Q498" i="1"/>
  <c r="BP291" i="1"/>
  <c r="BN291" i="1"/>
  <c r="Z291" i="1"/>
  <c r="Y304" i="1"/>
  <c r="BP299" i="1"/>
  <c r="BN299" i="1"/>
  <c r="Z299" i="1"/>
  <c r="BP307" i="1"/>
  <c r="BN307" i="1"/>
  <c r="Z307" i="1"/>
  <c r="Y311" i="1"/>
  <c r="BP315" i="1"/>
  <c r="BN315" i="1"/>
  <c r="Z315" i="1"/>
  <c r="Z317" i="1" s="1"/>
  <c r="Y325" i="1"/>
  <c r="BP328" i="1"/>
  <c r="BN328" i="1"/>
  <c r="Z328" i="1"/>
  <c r="BP343" i="1"/>
  <c r="BN343" i="1"/>
  <c r="Z343" i="1"/>
  <c r="BP348" i="1"/>
  <c r="BN348" i="1"/>
  <c r="Z348" i="1"/>
  <c r="Y350" i="1"/>
  <c r="Y355" i="1"/>
  <c r="BP352" i="1"/>
  <c r="BN352" i="1"/>
  <c r="Z352" i="1"/>
  <c r="Z354" i="1" s="1"/>
  <c r="Y359" i="1"/>
  <c r="BP373" i="1"/>
  <c r="BN373" i="1"/>
  <c r="Z373" i="1"/>
  <c r="Z374" i="1" s="1"/>
  <c r="Y375" i="1"/>
  <c r="Y380" i="1"/>
  <c r="BP377" i="1"/>
  <c r="BN377" i="1"/>
  <c r="Z377" i="1"/>
  <c r="Z379" i="1" s="1"/>
  <c r="U498" i="1"/>
  <c r="BP387" i="1"/>
  <c r="BN387" i="1"/>
  <c r="Z387" i="1"/>
  <c r="BP391" i="1"/>
  <c r="BN391" i="1"/>
  <c r="Z391" i="1"/>
  <c r="Y398" i="1"/>
  <c r="BP408" i="1"/>
  <c r="BN408" i="1"/>
  <c r="Z408" i="1"/>
  <c r="BP426" i="1"/>
  <c r="BN426" i="1"/>
  <c r="Z426" i="1"/>
  <c r="BP430" i="1"/>
  <c r="BN430" i="1"/>
  <c r="Z430" i="1"/>
  <c r="Y437" i="1"/>
  <c r="BP434" i="1"/>
  <c r="BN434" i="1"/>
  <c r="Z434" i="1"/>
  <c r="Y438" i="1"/>
  <c r="BP442" i="1"/>
  <c r="BN442" i="1"/>
  <c r="Z442" i="1"/>
  <c r="Y446" i="1"/>
  <c r="BP450" i="1"/>
  <c r="BN450" i="1"/>
  <c r="Z450" i="1"/>
  <c r="Z452" i="1" s="1"/>
  <c r="Y452" i="1"/>
  <c r="B498" i="1"/>
  <c r="J498" i="1"/>
  <c r="S498" i="1"/>
  <c r="H9" i="1"/>
  <c r="X489" i="1"/>
  <c r="X490" i="1"/>
  <c r="X492" i="1"/>
  <c r="Z27" i="1"/>
  <c r="BN27" i="1"/>
  <c r="Z29" i="1"/>
  <c r="BN29" i="1"/>
  <c r="C498" i="1"/>
  <c r="Z41" i="1"/>
  <c r="Z43" i="1" s="1"/>
  <c r="BN41" i="1"/>
  <c r="Y44" i="1"/>
  <c r="D498" i="1"/>
  <c r="Z52" i="1"/>
  <c r="BN52" i="1"/>
  <c r="Z54" i="1"/>
  <c r="BN54" i="1"/>
  <c r="Z56" i="1"/>
  <c r="BN56" i="1"/>
  <c r="Y57" i="1"/>
  <c r="Z60" i="1"/>
  <c r="BN60" i="1"/>
  <c r="BP60" i="1"/>
  <c r="Z62" i="1"/>
  <c r="BN62" i="1"/>
  <c r="Z66" i="1"/>
  <c r="BN66" i="1"/>
  <c r="BP66" i="1"/>
  <c r="Z68" i="1"/>
  <c r="BN68" i="1"/>
  <c r="Z72" i="1"/>
  <c r="BN72" i="1"/>
  <c r="BP72" i="1"/>
  <c r="Z74" i="1"/>
  <c r="BN74" i="1"/>
  <c r="Z80" i="1"/>
  <c r="Z81" i="1" s="1"/>
  <c r="BN80" i="1"/>
  <c r="Z85" i="1"/>
  <c r="BN85" i="1"/>
  <c r="BP85" i="1"/>
  <c r="Z87" i="1"/>
  <c r="BN87" i="1"/>
  <c r="Y88" i="1"/>
  <c r="Z91" i="1"/>
  <c r="BN91" i="1"/>
  <c r="BP91" i="1"/>
  <c r="Z93" i="1"/>
  <c r="BN93" i="1"/>
  <c r="Z100" i="1"/>
  <c r="BN100" i="1"/>
  <c r="Z102" i="1"/>
  <c r="BN102" i="1"/>
  <c r="Y103" i="1"/>
  <c r="Z106" i="1"/>
  <c r="BN106" i="1"/>
  <c r="BP106" i="1"/>
  <c r="Z108" i="1"/>
  <c r="BN108" i="1"/>
  <c r="Z112" i="1"/>
  <c r="BN112" i="1"/>
  <c r="BP112" i="1"/>
  <c r="Z114" i="1"/>
  <c r="BN114" i="1"/>
  <c r="G498" i="1"/>
  <c r="Z125" i="1"/>
  <c r="Z126" i="1" s="1"/>
  <c r="BN125" i="1"/>
  <c r="Y126" i="1"/>
  <c r="Z129" i="1"/>
  <c r="Z131" i="1" s="1"/>
  <c r="BN129" i="1"/>
  <c r="BP129" i="1"/>
  <c r="Z135" i="1"/>
  <c r="Z136" i="1" s="1"/>
  <c r="BN135" i="1"/>
  <c r="Z140" i="1"/>
  <c r="BN140" i="1"/>
  <c r="BP140" i="1"/>
  <c r="Z142" i="1"/>
  <c r="BN142" i="1"/>
  <c r="Y143" i="1"/>
  <c r="Z146" i="1"/>
  <c r="BN146" i="1"/>
  <c r="BP146" i="1"/>
  <c r="Z148" i="1"/>
  <c r="BN148" i="1"/>
  <c r="I498" i="1"/>
  <c r="Y160" i="1"/>
  <c r="Z163" i="1"/>
  <c r="BN163" i="1"/>
  <c r="Z165" i="1"/>
  <c r="BN165" i="1"/>
  <c r="Z167" i="1"/>
  <c r="BN167" i="1"/>
  <c r="Z169" i="1"/>
  <c r="BN169" i="1"/>
  <c r="Z175" i="1"/>
  <c r="Z177" i="1" s="1"/>
  <c r="BN175" i="1"/>
  <c r="Z186" i="1"/>
  <c r="Z187" i="1" s="1"/>
  <c r="BN186" i="1"/>
  <c r="Z190" i="1"/>
  <c r="Z192" i="1" s="1"/>
  <c r="BN190" i="1"/>
  <c r="BP190" i="1"/>
  <c r="Z196" i="1"/>
  <c r="BN196" i="1"/>
  <c r="Z198" i="1"/>
  <c r="BN198" i="1"/>
  <c r="Z200" i="1"/>
  <c r="BN200" i="1"/>
  <c r="Z202" i="1"/>
  <c r="BN202" i="1"/>
  <c r="Z206" i="1"/>
  <c r="BN206" i="1"/>
  <c r="BP206" i="1"/>
  <c r="Z208" i="1"/>
  <c r="BN208" i="1"/>
  <c r="Z210" i="1"/>
  <c r="BN210" i="1"/>
  <c r="Z212" i="1"/>
  <c r="BN212" i="1"/>
  <c r="Z214" i="1"/>
  <c r="BN214" i="1"/>
  <c r="Z218" i="1"/>
  <c r="Z220" i="1" s="1"/>
  <c r="BN218" i="1"/>
  <c r="BP218" i="1"/>
  <c r="K498" i="1"/>
  <c r="Z225" i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Z241" i="1"/>
  <c r="Z242" i="1" s="1"/>
  <c r="BN241" i="1"/>
  <c r="BP241" i="1"/>
  <c r="Z245" i="1"/>
  <c r="BN245" i="1"/>
  <c r="BP245" i="1"/>
  <c r="Z247" i="1"/>
  <c r="BN247" i="1"/>
  <c r="Z249" i="1"/>
  <c r="BN249" i="1"/>
  <c r="Y250" i="1"/>
  <c r="L498" i="1"/>
  <c r="BP257" i="1"/>
  <c r="BN257" i="1"/>
  <c r="Z257" i="1"/>
  <c r="Z259" i="1" s="1"/>
  <c r="BP266" i="1"/>
  <c r="BN266" i="1"/>
  <c r="Z266" i="1"/>
  <c r="Y268" i="1"/>
  <c r="Y274" i="1"/>
  <c r="BP271" i="1"/>
  <c r="BN271" i="1"/>
  <c r="Z271" i="1"/>
  <c r="Z274" i="1" s="1"/>
  <c r="Y280" i="1"/>
  <c r="Z293" i="1"/>
  <c r="BP289" i="1"/>
  <c r="BN289" i="1"/>
  <c r="Z289" i="1"/>
  <c r="Y293" i="1"/>
  <c r="BP297" i="1"/>
  <c r="BN297" i="1"/>
  <c r="Z297" i="1"/>
  <c r="BP301" i="1"/>
  <c r="BN301" i="1"/>
  <c r="Z301" i="1"/>
  <c r="BP309" i="1"/>
  <c r="BN309" i="1"/>
  <c r="Z309" i="1"/>
  <c r="BP322" i="1"/>
  <c r="BN322" i="1"/>
  <c r="Z322" i="1"/>
  <c r="Z324" i="1" s="1"/>
  <c r="BP335" i="1"/>
  <c r="BN335" i="1"/>
  <c r="Z335" i="1"/>
  <c r="Z337" i="1" s="1"/>
  <c r="BP346" i="1"/>
  <c r="BN346" i="1"/>
  <c r="Z346" i="1"/>
  <c r="BP358" i="1"/>
  <c r="BN358" i="1"/>
  <c r="Z358" i="1"/>
  <c r="Z359" i="1" s="1"/>
  <c r="Y360" i="1"/>
  <c r="Y363" i="1"/>
  <c r="BP362" i="1"/>
  <c r="BN362" i="1"/>
  <c r="Z362" i="1"/>
  <c r="Z363" i="1" s="1"/>
  <c r="Y364" i="1"/>
  <c r="T498" i="1"/>
  <c r="Y370" i="1"/>
  <c r="BP367" i="1"/>
  <c r="BN367" i="1"/>
  <c r="Z367" i="1"/>
  <c r="Z369" i="1" s="1"/>
  <c r="BP385" i="1"/>
  <c r="BN385" i="1"/>
  <c r="Z385" i="1"/>
  <c r="BP389" i="1"/>
  <c r="BN389" i="1"/>
  <c r="Z389" i="1"/>
  <c r="Z393" i="1" s="1"/>
  <c r="Y393" i="1"/>
  <c r="BP397" i="1"/>
  <c r="BN397" i="1"/>
  <c r="Z397" i="1"/>
  <c r="Z398" i="1" s="1"/>
  <c r="Y399" i="1"/>
  <c r="V498" i="1"/>
  <c r="Y403" i="1"/>
  <c r="BP402" i="1"/>
  <c r="BN402" i="1"/>
  <c r="Z402" i="1"/>
  <c r="Z403" i="1" s="1"/>
  <c r="Y404" i="1"/>
  <c r="Y411" i="1"/>
  <c r="BP406" i="1"/>
  <c r="BN406" i="1"/>
  <c r="Z406" i="1"/>
  <c r="Y410" i="1"/>
  <c r="BP421" i="1"/>
  <c r="BN421" i="1"/>
  <c r="Z421" i="1"/>
  <c r="BP460" i="1"/>
  <c r="BN460" i="1"/>
  <c r="Z460" i="1"/>
  <c r="Y462" i="1"/>
  <c r="Y467" i="1"/>
  <c r="BP464" i="1"/>
  <c r="BN464" i="1"/>
  <c r="Z464" i="1"/>
  <c r="Y468" i="1"/>
  <c r="BP480" i="1"/>
  <c r="BN480" i="1"/>
  <c r="Z480" i="1"/>
  <c r="Y482" i="1"/>
  <c r="Z498" i="1"/>
  <c r="Y486" i="1"/>
  <c r="BP485" i="1"/>
  <c r="BN485" i="1"/>
  <c r="Z485" i="1"/>
  <c r="Z486" i="1" s="1"/>
  <c r="Y487" i="1"/>
  <c r="O498" i="1"/>
  <c r="Y260" i="1"/>
  <c r="M498" i="1"/>
  <c r="Y267" i="1"/>
  <c r="Y294" i="1"/>
  <c r="R498" i="1"/>
  <c r="Y338" i="1"/>
  <c r="Y394" i="1"/>
  <c r="X498" i="1"/>
  <c r="Y431" i="1"/>
  <c r="BP422" i="1"/>
  <c r="BN422" i="1"/>
  <c r="BP424" i="1"/>
  <c r="BN424" i="1"/>
  <c r="Z424" i="1"/>
  <c r="BP428" i="1"/>
  <c r="BN428" i="1"/>
  <c r="Z428" i="1"/>
  <c r="BP436" i="1"/>
  <c r="BN436" i="1"/>
  <c r="Z436" i="1"/>
  <c r="Y447" i="1"/>
  <c r="BP440" i="1"/>
  <c r="BN440" i="1"/>
  <c r="Z440" i="1"/>
  <c r="BP444" i="1"/>
  <c r="BN444" i="1"/>
  <c r="Z444" i="1"/>
  <c r="Y453" i="1"/>
  <c r="BP458" i="1"/>
  <c r="BN458" i="1"/>
  <c r="Z458" i="1"/>
  <c r="Z461" i="1" s="1"/>
  <c r="BP466" i="1"/>
  <c r="BN466" i="1"/>
  <c r="Z466" i="1"/>
  <c r="Y473" i="1"/>
  <c r="BP470" i="1"/>
  <c r="BN470" i="1"/>
  <c r="Z470" i="1"/>
  <c r="Y481" i="1"/>
  <c r="Y498" i="1"/>
  <c r="Z472" i="1" l="1"/>
  <c r="Z481" i="1"/>
  <c r="Z410" i="1"/>
  <c r="Z330" i="1"/>
  <c r="Z234" i="1"/>
  <c r="Z171" i="1"/>
  <c r="Z109" i="1"/>
  <c r="Z95" i="1"/>
  <c r="Z88" i="1"/>
  <c r="Z69" i="1"/>
  <c r="Z57" i="1"/>
  <c r="Y488" i="1"/>
  <c r="Y489" i="1"/>
  <c r="Z349" i="1"/>
  <c r="Z311" i="1"/>
  <c r="Z267" i="1"/>
  <c r="Z431" i="1"/>
  <c r="Z303" i="1"/>
  <c r="Z203" i="1"/>
  <c r="Z103" i="1"/>
  <c r="Y490" i="1"/>
  <c r="Y491" i="1" s="1"/>
  <c r="Z31" i="1"/>
  <c r="Y492" i="1"/>
  <c r="Z446" i="1"/>
  <c r="Z467" i="1"/>
  <c r="Z250" i="1"/>
  <c r="Z215" i="1"/>
  <c r="Z149" i="1"/>
  <c r="Z143" i="1"/>
  <c r="Z116" i="1"/>
  <c r="Z76" i="1"/>
  <c r="Z63" i="1"/>
  <c r="Z493" i="1" s="1"/>
  <c r="Z437" i="1"/>
  <c r="X491" i="1"/>
</calcChain>
</file>

<file path=xl/sharedStrings.xml><?xml version="1.0" encoding="utf-8"?>
<sst xmlns="http://schemas.openxmlformats.org/spreadsheetml/2006/main" count="2279" uniqueCount="764">
  <si>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</si>
  <si>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</si>
  <si>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</si>
  <si>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</si>
  <si>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</si>
  <si>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</si>
  <si>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</si>
  <si>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</si>
  <si>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</si>
  <si>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</si>
  <si>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</si>
  <si>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</si>
  <si>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</si>
  <si>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</si>
  <si>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</si>
  <si>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</si>
  <si>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</si>
  <si>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</si>
  <si>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</si>
  <si>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</si>
  <si>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</si>
  <si>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</si>
  <si>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</si>
  <si>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</si>
  <si>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</si>
  <si>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</si>
  <si>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</si>
  <si>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</si>
  <si>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</si>
  <si>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</si>
  <si>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</si>
  <si>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</si>
  <si>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</si>
  <si>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</si>
  <si>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</si>
  <si>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</si>
  <si>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</si>
  <si>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</si>
  <si>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</si>
  <si>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</si>
  <si>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</si>
  <si>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</si>
  <si>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</si>
  <si>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</si>
  <si>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</si>
  <si>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</si>
  <si>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</si>
  <si>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</si>
  <si>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</si>
  <si>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</si>
  <si>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</si>
  <si>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</si>
  <si>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</si>
  <si>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</si>
  <si>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</si>
  <si>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</si>
  <si>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</si>
  <si>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</si>
  <si>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</si>
  <si>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</si>
  <si>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</si>
  <si>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</si>
  <si>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</si>
  <si>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</si>
  <si>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</si>
  <si>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</si>
  <si>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</si>
  <si>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</si>
  <si>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</si>
  <si>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</si>
  <si>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</si>
  <si>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</si>
  <si>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</si>
  <si>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</si>
  <si>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</si>
  <si>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</si>
  <si>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</si>
  <si>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</si>
  <si>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</si>
  <si>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</si>
  <si>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</si>
  <si>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</si>
  <si>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</si>
  <si>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</si>
  <si>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</si>
  <si>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</si>
  <si>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</si>
  <si>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</si>
  <si>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</si>
  <si>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</si>
  <si>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</si>
  <si>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</si>
  <si>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</si>
  <si>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</si>
  <si>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</si>
  <si>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</si>
  <si>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</si>
  <si>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</si>
  <si>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</si>
  <si>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</si>
  <si>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</si>
  <si>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</si>
  <si>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</si>
  <si>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</si>
  <si>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</si>
  <si>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</si>
  <si>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</si>
  <si>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</si>
  <si>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</si>
  <si>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</si>
  <si>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830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</si>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</sst>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9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66"/>
      <c r="F1" s="566"/>
      <c r="G1" s="12" t="s">
        <v>1</v>
      </c>
      <c r="H1" s="615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65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9"/>
      <c r="R2" s="549"/>
      <c r="S2" s="549"/>
      <c r="T2" s="549"/>
      <c r="U2" s="549"/>
      <c r="V2" s="549"/>
      <c r="W2" s="549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9"/>
      <c r="Q3" s="549"/>
      <c r="R3" s="549"/>
      <c r="S3" s="549"/>
      <c r="T3" s="549"/>
      <c r="U3" s="549"/>
      <c r="V3" s="549"/>
      <c r="W3" s="549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6" t="s">
        <v>8</v>
      </c>
      <c r="B5" s="624"/>
      <c r="C5" s="625"/>
      <c r="D5" s="616"/>
      <c r="E5" s="617"/>
      <c r="F5" s="825" t="s">
        <v>9</v>
      </c>
      <c r="G5" s="625"/>
      <c r="H5" s="616" t="s">
        <v>763</v>
      </c>
      <c r="I5" s="759"/>
      <c r="J5" s="759"/>
      <c r="K5" s="759"/>
      <c r="L5" s="759"/>
      <c r="M5" s="617"/>
      <c r="N5" s="58"/>
      <c r="P5" s="24" t="s">
        <v>10</v>
      </c>
      <c r="Q5" s="834">
        <v>45976</v>
      </c>
      <c r="R5" s="644"/>
      <c r="T5" s="701" t="s">
        <v>11</v>
      </c>
      <c r="U5" s="702"/>
      <c r="V5" s="703" t="s">
        <v>12</v>
      </c>
      <c r="W5" s="644"/>
      <c r="AB5" s="51"/>
      <c r="AC5" s="51"/>
      <c r="AD5" s="51"/>
      <c r="AE5" s="51"/>
    </row>
    <row r="6" spans="1:32" s="533" customFormat="1" ht="24" customHeight="1" x14ac:dyDescent="0.2">
      <c r="A6" s="656" t="s">
        <v>13</v>
      </c>
      <c r="B6" s="624"/>
      <c r="C6" s="625"/>
      <c r="D6" s="762" t="s">
        <v>14</v>
      </c>
      <c r="E6" s="763"/>
      <c r="F6" s="763"/>
      <c r="G6" s="763"/>
      <c r="H6" s="763"/>
      <c r="I6" s="763"/>
      <c r="J6" s="763"/>
      <c r="K6" s="763"/>
      <c r="L6" s="763"/>
      <c r="M6" s="644"/>
      <c r="N6" s="59"/>
      <c r="P6" s="24" t="s">
        <v>15</v>
      </c>
      <c r="Q6" s="842" t="str">
        <f>IF(Q5=0," ",CHOOSE(WEEKDAY(Q5,2),"Понедельник","Вторник","Среда","Четверг","Пятница","Суббота","Воскресенье"))</f>
        <v>Суббота</v>
      </c>
      <c r="R6" s="544"/>
      <c r="T6" s="705" t="s">
        <v>16</v>
      </c>
      <c r="U6" s="702"/>
      <c r="V6" s="745" t="s">
        <v>17</v>
      </c>
      <c r="W6" s="580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49"/>
      <c r="U7" s="702"/>
      <c r="V7" s="746"/>
      <c r="W7" s="747"/>
      <c r="AB7" s="51"/>
      <c r="AC7" s="51"/>
      <c r="AD7" s="51"/>
      <c r="AE7" s="51"/>
    </row>
    <row r="8" spans="1:32" s="533" customFormat="1" ht="25.5" customHeight="1" x14ac:dyDescent="0.2">
      <c r="A8" s="852" t="s">
        <v>18</v>
      </c>
      <c r="B8" s="555"/>
      <c r="C8" s="556"/>
      <c r="D8" s="600" t="s">
        <v>19</v>
      </c>
      <c r="E8" s="601"/>
      <c r="F8" s="601"/>
      <c r="G8" s="601"/>
      <c r="H8" s="601"/>
      <c r="I8" s="601"/>
      <c r="J8" s="601"/>
      <c r="K8" s="601"/>
      <c r="L8" s="601"/>
      <c r="M8" s="602"/>
      <c r="N8" s="61"/>
      <c r="P8" s="24" t="s">
        <v>20</v>
      </c>
      <c r="Q8" s="662">
        <v>0.375</v>
      </c>
      <c r="R8" s="595"/>
      <c r="T8" s="549"/>
      <c r="U8" s="702"/>
      <c r="V8" s="746"/>
      <c r="W8" s="747"/>
      <c r="AB8" s="51"/>
      <c r="AC8" s="51"/>
      <c r="AD8" s="51"/>
      <c r="AE8" s="51"/>
    </row>
    <row r="9" spans="1:32" s="533" customFormat="1" ht="39.950000000000003" customHeight="1" x14ac:dyDescent="0.2">
      <c r="A9" s="6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9"/>
      <c r="C9" s="549"/>
      <c r="D9" s="674"/>
      <c r="E9" s="558"/>
      <c r="F9" s="6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9"/>
      <c r="H9" s="557" t="str">
        <f>IF(AND($A$9="Тип доверенности/получателя при получении в адресе перегруза:",$D$9="Разовая доверенность"),"Введите ФИО","")</f>
        <v/>
      </c>
      <c r="I9" s="558"/>
      <c r="J9" s="5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8"/>
      <c r="L9" s="558"/>
      <c r="M9" s="558"/>
      <c r="N9" s="531"/>
      <c r="P9" s="26" t="s">
        <v>21</v>
      </c>
      <c r="Q9" s="728"/>
      <c r="R9" s="729"/>
      <c r="T9" s="549"/>
      <c r="U9" s="702"/>
      <c r="V9" s="748"/>
      <c r="W9" s="749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9"/>
      <c r="C10" s="549"/>
      <c r="D10" s="674"/>
      <c r="E10" s="558"/>
      <c r="F10" s="6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9"/>
      <c r="H10" s="739" t="str">
        <f>IFERROR(VLOOKUP($D$10,Proxy,2,FALSE),"")</f>
        <v/>
      </c>
      <c r="I10" s="549"/>
      <c r="J10" s="549"/>
      <c r="K10" s="549"/>
      <c r="L10" s="549"/>
      <c r="M10" s="549"/>
      <c r="N10" s="532"/>
      <c r="P10" s="26" t="s">
        <v>22</v>
      </c>
      <c r="Q10" s="706"/>
      <c r="R10" s="707"/>
      <c r="U10" s="24" t="s">
        <v>23</v>
      </c>
      <c r="V10" s="579" t="s">
        <v>24</v>
      </c>
      <c r="W10" s="580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43"/>
      <c r="R11" s="644"/>
      <c r="U11" s="24" t="s">
        <v>27</v>
      </c>
      <c r="V11" s="801" t="s">
        <v>28</v>
      </c>
      <c r="W11" s="72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2" t="s">
        <v>29</v>
      </c>
      <c r="B12" s="624"/>
      <c r="C12" s="624"/>
      <c r="D12" s="624"/>
      <c r="E12" s="624"/>
      <c r="F12" s="624"/>
      <c r="G12" s="624"/>
      <c r="H12" s="624"/>
      <c r="I12" s="624"/>
      <c r="J12" s="624"/>
      <c r="K12" s="624"/>
      <c r="L12" s="624"/>
      <c r="M12" s="625"/>
      <c r="N12" s="62"/>
      <c r="P12" s="24" t="s">
        <v>30</v>
      </c>
      <c r="Q12" s="662"/>
      <c r="R12" s="595"/>
      <c r="S12" s="23"/>
      <c r="U12" s="24"/>
      <c r="V12" s="566"/>
      <c r="W12" s="549"/>
      <c r="AB12" s="51"/>
      <c r="AC12" s="51"/>
      <c r="AD12" s="51"/>
      <c r="AE12" s="51"/>
    </row>
    <row r="13" spans="1:32" s="533" customFormat="1" ht="23.25" customHeight="1" x14ac:dyDescent="0.2">
      <c r="A13" s="692" t="s">
        <v>31</v>
      </c>
      <c r="B13" s="624"/>
      <c r="C13" s="624"/>
      <c r="D13" s="624"/>
      <c r="E13" s="624"/>
      <c r="F13" s="624"/>
      <c r="G13" s="624"/>
      <c r="H13" s="624"/>
      <c r="I13" s="624"/>
      <c r="J13" s="624"/>
      <c r="K13" s="624"/>
      <c r="L13" s="624"/>
      <c r="M13" s="625"/>
      <c r="N13" s="62"/>
      <c r="O13" s="26"/>
      <c r="P13" s="26" t="s">
        <v>32</v>
      </c>
      <c r="Q13" s="801"/>
      <c r="R13" s="7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2" t="s">
        <v>33</v>
      </c>
      <c r="B14" s="624"/>
      <c r="C14" s="624"/>
      <c r="D14" s="624"/>
      <c r="E14" s="624"/>
      <c r="F14" s="624"/>
      <c r="G14" s="624"/>
      <c r="H14" s="624"/>
      <c r="I14" s="624"/>
      <c r="J14" s="624"/>
      <c r="K14" s="624"/>
      <c r="L14" s="624"/>
      <c r="M14" s="62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1" t="s">
        <v>34</v>
      </c>
      <c r="B15" s="624"/>
      <c r="C15" s="624"/>
      <c r="D15" s="624"/>
      <c r="E15" s="624"/>
      <c r="F15" s="624"/>
      <c r="G15" s="624"/>
      <c r="H15" s="624"/>
      <c r="I15" s="624"/>
      <c r="J15" s="624"/>
      <c r="K15" s="624"/>
      <c r="L15" s="624"/>
      <c r="M15" s="625"/>
      <c r="N15" s="63"/>
      <c r="P15" s="683" t="s">
        <v>35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7" t="s">
        <v>36</v>
      </c>
      <c r="B17" s="577" t="s">
        <v>37</v>
      </c>
      <c r="C17" s="669" t="s">
        <v>38</v>
      </c>
      <c r="D17" s="577" t="s">
        <v>39</v>
      </c>
      <c r="E17" s="651"/>
      <c r="F17" s="577" t="s">
        <v>40</v>
      </c>
      <c r="G17" s="577" t="s">
        <v>41</v>
      </c>
      <c r="H17" s="577" t="s">
        <v>42</v>
      </c>
      <c r="I17" s="577" t="s">
        <v>43</v>
      </c>
      <c r="J17" s="577" t="s">
        <v>44</v>
      </c>
      <c r="K17" s="577" t="s">
        <v>45</v>
      </c>
      <c r="L17" s="577" t="s">
        <v>46</v>
      </c>
      <c r="M17" s="577" t="s">
        <v>47</v>
      </c>
      <c r="N17" s="577" t="s">
        <v>48</v>
      </c>
      <c r="O17" s="577" t="s">
        <v>49</v>
      </c>
      <c r="P17" s="577" t="s">
        <v>50</v>
      </c>
      <c r="Q17" s="650"/>
      <c r="R17" s="650"/>
      <c r="S17" s="650"/>
      <c r="T17" s="651"/>
      <c r="U17" s="846" t="s">
        <v>51</v>
      </c>
      <c r="V17" s="625"/>
      <c r="W17" s="577" t="s">
        <v>52</v>
      </c>
      <c r="X17" s="577" t="s">
        <v>53</v>
      </c>
      <c r="Y17" s="847" t="s">
        <v>54</v>
      </c>
      <c r="Z17" s="757" t="s">
        <v>55</v>
      </c>
      <c r="AA17" s="734" t="s">
        <v>56</v>
      </c>
      <c r="AB17" s="734" t="s">
        <v>57</v>
      </c>
      <c r="AC17" s="734" t="s">
        <v>58</v>
      </c>
      <c r="AD17" s="734" t="s">
        <v>59</v>
      </c>
      <c r="AE17" s="819"/>
      <c r="AF17" s="820"/>
      <c r="AG17" s="66"/>
      <c r="BD17" s="65" t="s">
        <v>60</v>
      </c>
    </row>
    <row r="18" spans="1:68" ht="14.25" customHeight="1" x14ac:dyDescent="0.2">
      <c r="A18" s="578"/>
      <c r="B18" s="578"/>
      <c r="C18" s="578"/>
      <c r="D18" s="652"/>
      <c r="E18" s="654"/>
      <c r="F18" s="578"/>
      <c r="G18" s="578"/>
      <c r="H18" s="578"/>
      <c r="I18" s="578"/>
      <c r="J18" s="578"/>
      <c r="K18" s="578"/>
      <c r="L18" s="578"/>
      <c r="M18" s="578"/>
      <c r="N18" s="578"/>
      <c r="O18" s="57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78"/>
      <c r="X18" s="578"/>
      <c r="Y18" s="848"/>
      <c r="Z18" s="758"/>
      <c r="AA18" s="735"/>
      <c r="AB18" s="735"/>
      <c r="AC18" s="735"/>
      <c r="AD18" s="821"/>
      <c r="AE18" s="822"/>
      <c r="AF18" s="823"/>
      <c r="AG18" s="66"/>
      <c r="BD18" s="65"/>
    </row>
    <row r="19" spans="1:68" ht="27.75" hidden="1" customHeight="1" x14ac:dyDescent="0.2">
      <c r="A19" s="695" t="s">
        <v>63</v>
      </c>
      <c r="B19" s="696"/>
      <c r="C19" s="696"/>
      <c r="D19" s="696"/>
      <c r="E19" s="696"/>
      <c r="F19" s="696"/>
      <c r="G19" s="696"/>
      <c r="H19" s="696"/>
      <c r="I19" s="696"/>
      <c r="J19" s="696"/>
      <c r="K19" s="696"/>
      <c r="L19" s="696"/>
      <c r="M19" s="696"/>
      <c r="N19" s="696"/>
      <c r="O19" s="696"/>
      <c r="P19" s="696"/>
      <c r="Q19" s="696"/>
      <c r="R19" s="696"/>
      <c r="S19" s="696"/>
      <c r="T19" s="696"/>
      <c r="U19" s="696"/>
      <c r="V19" s="696"/>
      <c r="W19" s="696"/>
      <c r="X19" s="696"/>
      <c r="Y19" s="696"/>
      <c r="Z19" s="696"/>
      <c r="AA19" s="48"/>
      <c r="AB19" s="48"/>
      <c r="AC19" s="48"/>
    </row>
    <row r="20" spans="1:68" ht="16.5" hidden="1" customHeight="1" x14ac:dyDescent="0.25">
      <c r="A20" s="548" t="s">
        <v>63</v>
      </c>
      <c r="B20" s="549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549"/>
      <c r="R20" s="549"/>
      <c r="S20" s="549"/>
      <c r="T20" s="549"/>
      <c r="U20" s="549"/>
      <c r="V20" s="549"/>
      <c r="W20" s="549"/>
      <c r="X20" s="549"/>
      <c r="Y20" s="549"/>
      <c r="Z20" s="549"/>
      <c r="AA20" s="534"/>
      <c r="AB20" s="534"/>
      <c r="AC20" s="534"/>
    </row>
    <row r="21" spans="1:68" ht="14.25" hidden="1" customHeight="1" x14ac:dyDescent="0.25">
      <c r="A21" s="550" t="s">
        <v>64</v>
      </c>
      <c r="B21" s="549"/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  <c r="O21" s="549"/>
      <c r="P21" s="549"/>
      <c r="Q21" s="549"/>
      <c r="R21" s="549"/>
      <c r="S21" s="549"/>
      <c r="T21" s="549"/>
      <c r="U21" s="549"/>
      <c r="V21" s="549"/>
      <c r="W21" s="549"/>
      <c r="X21" s="549"/>
      <c r="Y21" s="549"/>
      <c r="Z21" s="549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1"/>
      <c r="B23" s="549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49"/>
      <c r="N23" s="549"/>
      <c r="O23" s="552"/>
      <c r="P23" s="554" t="s">
        <v>71</v>
      </c>
      <c r="Q23" s="555"/>
      <c r="R23" s="555"/>
      <c r="S23" s="555"/>
      <c r="T23" s="555"/>
      <c r="U23" s="555"/>
      <c r="V23" s="556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49"/>
      <c r="B24" s="549"/>
      <c r="C24" s="549"/>
      <c r="D24" s="549"/>
      <c r="E24" s="549"/>
      <c r="F24" s="549"/>
      <c r="G24" s="549"/>
      <c r="H24" s="549"/>
      <c r="I24" s="549"/>
      <c r="J24" s="549"/>
      <c r="K24" s="549"/>
      <c r="L24" s="549"/>
      <c r="M24" s="549"/>
      <c r="N24" s="549"/>
      <c r="O24" s="552"/>
      <c r="P24" s="554" t="s">
        <v>71</v>
      </c>
      <c r="Q24" s="555"/>
      <c r="R24" s="555"/>
      <c r="S24" s="555"/>
      <c r="T24" s="555"/>
      <c r="U24" s="555"/>
      <c r="V24" s="556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0" t="s">
        <v>73</v>
      </c>
      <c r="B25" s="549"/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49"/>
      <c r="N25" s="549"/>
      <c r="O25" s="549"/>
      <c r="P25" s="549"/>
      <c r="Q25" s="549"/>
      <c r="R25" s="549"/>
      <c r="S25" s="549"/>
      <c r="T25" s="549"/>
      <c r="U25" s="549"/>
      <c r="V25" s="549"/>
      <c r="W25" s="549"/>
      <c r="X25" s="549"/>
      <c r="Y25" s="549"/>
      <c r="Z25" s="549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1"/>
      <c r="B31" s="549"/>
      <c r="C31" s="549"/>
      <c r="D31" s="549"/>
      <c r="E31" s="549"/>
      <c r="F31" s="549"/>
      <c r="G31" s="549"/>
      <c r="H31" s="549"/>
      <c r="I31" s="549"/>
      <c r="J31" s="549"/>
      <c r="K31" s="549"/>
      <c r="L31" s="549"/>
      <c r="M31" s="549"/>
      <c r="N31" s="549"/>
      <c r="O31" s="552"/>
      <c r="P31" s="554" t="s">
        <v>71</v>
      </c>
      <c r="Q31" s="555"/>
      <c r="R31" s="555"/>
      <c r="S31" s="555"/>
      <c r="T31" s="555"/>
      <c r="U31" s="555"/>
      <c r="V31" s="556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49"/>
      <c r="B32" s="549"/>
      <c r="C32" s="549"/>
      <c r="D32" s="549"/>
      <c r="E32" s="549"/>
      <c r="F32" s="549"/>
      <c r="G32" s="549"/>
      <c r="H32" s="549"/>
      <c r="I32" s="549"/>
      <c r="J32" s="549"/>
      <c r="K32" s="549"/>
      <c r="L32" s="549"/>
      <c r="M32" s="549"/>
      <c r="N32" s="549"/>
      <c r="O32" s="552"/>
      <c r="P32" s="554" t="s">
        <v>71</v>
      </c>
      <c r="Q32" s="555"/>
      <c r="R32" s="555"/>
      <c r="S32" s="555"/>
      <c r="T32" s="555"/>
      <c r="U32" s="555"/>
      <c r="V32" s="556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0" t="s">
        <v>91</v>
      </c>
      <c r="B33" s="549"/>
      <c r="C33" s="549"/>
      <c r="D33" s="549"/>
      <c r="E33" s="549"/>
      <c r="F33" s="549"/>
      <c r="G33" s="549"/>
      <c r="H33" s="549"/>
      <c r="I33" s="549"/>
      <c r="J33" s="549"/>
      <c r="K33" s="549"/>
      <c r="L33" s="549"/>
      <c r="M33" s="549"/>
      <c r="N33" s="549"/>
      <c r="O33" s="549"/>
      <c r="P33" s="549"/>
      <c r="Q33" s="549"/>
      <c r="R33" s="549"/>
      <c r="S33" s="549"/>
      <c r="T33" s="549"/>
      <c r="U33" s="549"/>
      <c r="V33" s="549"/>
      <c r="W33" s="549"/>
      <c r="X33" s="549"/>
      <c r="Y33" s="549"/>
      <c r="Z33" s="549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1"/>
      <c r="B35" s="549"/>
      <c r="C35" s="549"/>
      <c r="D35" s="549"/>
      <c r="E35" s="549"/>
      <c r="F35" s="549"/>
      <c r="G35" s="549"/>
      <c r="H35" s="549"/>
      <c r="I35" s="549"/>
      <c r="J35" s="549"/>
      <c r="K35" s="549"/>
      <c r="L35" s="549"/>
      <c r="M35" s="549"/>
      <c r="N35" s="549"/>
      <c r="O35" s="552"/>
      <c r="P35" s="554" t="s">
        <v>71</v>
      </c>
      <c r="Q35" s="555"/>
      <c r="R35" s="555"/>
      <c r="S35" s="555"/>
      <c r="T35" s="555"/>
      <c r="U35" s="555"/>
      <c r="V35" s="556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49"/>
      <c r="B36" s="549"/>
      <c r="C36" s="549"/>
      <c r="D36" s="549"/>
      <c r="E36" s="549"/>
      <c r="F36" s="549"/>
      <c r="G36" s="549"/>
      <c r="H36" s="549"/>
      <c r="I36" s="549"/>
      <c r="J36" s="549"/>
      <c r="K36" s="549"/>
      <c r="L36" s="549"/>
      <c r="M36" s="549"/>
      <c r="N36" s="549"/>
      <c r="O36" s="552"/>
      <c r="P36" s="554" t="s">
        <v>71</v>
      </c>
      <c r="Q36" s="555"/>
      <c r="R36" s="555"/>
      <c r="S36" s="555"/>
      <c r="T36" s="555"/>
      <c r="U36" s="555"/>
      <c r="V36" s="556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5" t="s">
        <v>97</v>
      </c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6"/>
      <c r="P37" s="696"/>
      <c r="Q37" s="696"/>
      <c r="R37" s="696"/>
      <c r="S37" s="696"/>
      <c r="T37" s="696"/>
      <c r="U37" s="696"/>
      <c r="V37" s="696"/>
      <c r="W37" s="696"/>
      <c r="X37" s="696"/>
      <c r="Y37" s="696"/>
      <c r="Z37" s="696"/>
      <c r="AA37" s="48"/>
      <c r="AB37" s="48"/>
      <c r="AC37" s="48"/>
    </row>
    <row r="38" spans="1:68" ht="16.5" hidden="1" customHeight="1" x14ac:dyDescent="0.25">
      <c r="A38" s="548" t="s">
        <v>98</v>
      </c>
      <c r="B38" s="549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549"/>
      <c r="R38" s="549"/>
      <c r="S38" s="549"/>
      <c r="T38" s="549"/>
      <c r="U38" s="549"/>
      <c r="V38" s="549"/>
      <c r="W38" s="549"/>
      <c r="X38" s="549"/>
      <c r="Y38" s="549"/>
      <c r="Z38" s="549"/>
      <c r="AA38" s="534"/>
      <c r="AB38" s="534"/>
      <c r="AC38" s="534"/>
    </row>
    <row r="39" spans="1:68" ht="14.25" hidden="1" customHeight="1" x14ac:dyDescent="0.25">
      <c r="A39" s="550" t="s">
        <v>99</v>
      </c>
      <c r="B39" s="549"/>
      <c r="C39" s="549"/>
      <c r="D39" s="549"/>
      <c r="E39" s="549"/>
      <c r="F39" s="549"/>
      <c r="G39" s="549"/>
      <c r="H39" s="54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Y39" s="549"/>
      <c r="Z39" s="549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39">
        <v>100</v>
      </c>
      <c r="Y40" s="540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39">
        <v>200</v>
      </c>
      <c r="Y41" s="540">
        <f>IFERROR(IF(X41="",0,CEILING((X41/$H41),1)*$H41),"")</f>
        <v>200</v>
      </c>
      <c r="Z41" s="36">
        <f>IFERROR(IF(Y41=0,"",ROUNDUP(Y41/H41,0)*0.00902),"")</f>
        <v>0.45100000000000001</v>
      </c>
      <c r="AA41" s="56"/>
      <c r="AB41" s="57"/>
      <c r="AC41" s="85" t="s">
        <v>105</v>
      </c>
      <c r="AG41" s="64"/>
      <c r="AJ41" s="68" t="s">
        <v>106</v>
      </c>
      <c r="AK41" s="68">
        <v>3320</v>
      </c>
      <c r="BB41" s="86" t="s">
        <v>1</v>
      </c>
      <c r="BM41" s="64">
        <f>IFERROR(X41*I41/H41,"0")</f>
        <v>209.50000000000003</v>
      </c>
      <c r="BN41" s="64">
        <f>IFERROR(Y41*I41/H41,"0")</f>
        <v>209.50000000000003</v>
      </c>
      <c r="BO41" s="64">
        <f>IFERROR(1/J41*(X41/H41),"0")</f>
        <v>0.37878787878787878</v>
      </c>
      <c r="BP41" s="64">
        <f>IFERROR(1/J41*(Y41/H41),"0")</f>
        <v>0.37878787878787878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1"/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49"/>
      <c r="N43" s="549"/>
      <c r="O43" s="552"/>
      <c r="P43" s="554" t="s">
        <v>71</v>
      </c>
      <c r="Q43" s="555"/>
      <c r="R43" s="555"/>
      <c r="S43" s="555"/>
      <c r="T43" s="555"/>
      <c r="U43" s="555"/>
      <c r="V43" s="556"/>
      <c r="W43" s="37" t="s">
        <v>72</v>
      </c>
      <c r="X43" s="541">
        <f>IFERROR(X40/H40,"0")+IFERROR(X41/H41,"0")+IFERROR(X42/H42,"0")</f>
        <v>59.25925925925926</v>
      </c>
      <c r="Y43" s="541">
        <f>IFERROR(Y40/H40,"0")+IFERROR(Y41/H41,"0")+IFERROR(Y42/H42,"0")</f>
        <v>60</v>
      </c>
      <c r="Z43" s="541">
        <f>IFERROR(IF(Z40="",0,Z40),"0")+IFERROR(IF(Z41="",0,Z41),"0")+IFERROR(IF(Z42="",0,Z42),"0")</f>
        <v>0.64080000000000004</v>
      </c>
      <c r="AA43" s="542"/>
      <c r="AB43" s="542"/>
      <c r="AC43" s="542"/>
    </row>
    <row r="44" spans="1:68" x14ac:dyDescent="0.2">
      <c r="A44" s="549"/>
      <c r="B44" s="549"/>
      <c r="C44" s="549"/>
      <c r="D44" s="549"/>
      <c r="E44" s="549"/>
      <c r="F44" s="549"/>
      <c r="G44" s="549"/>
      <c r="H44" s="549"/>
      <c r="I44" s="549"/>
      <c r="J44" s="549"/>
      <c r="K44" s="549"/>
      <c r="L44" s="549"/>
      <c r="M44" s="549"/>
      <c r="N44" s="549"/>
      <c r="O44" s="552"/>
      <c r="P44" s="554" t="s">
        <v>71</v>
      </c>
      <c r="Q44" s="555"/>
      <c r="R44" s="555"/>
      <c r="S44" s="555"/>
      <c r="T44" s="555"/>
      <c r="U44" s="555"/>
      <c r="V44" s="556"/>
      <c r="W44" s="37" t="s">
        <v>69</v>
      </c>
      <c r="X44" s="541">
        <f>IFERROR(SUM(X40:X42),"0")</f>
        <v>300</v>
      </c>
      <c r="Y44" s="541">
        <f>IFERROR(SUM(Y40:Y42),"0")</f>
        <v>308</v>
      </c>
      <c r="Z44" s="37"/>
      <c r="AA44" s="542"/>
      <c r="AB44" s="542"/>
      <c r="AC44" s="542"/>
    </row>
    <row r="45" spans="1:68" ht="14.25" hidden="1" customHeight="1" x14ac:dyDescent="0.25">
      <c r="A45" s="550" t="s">
        <v>73</v>
      </c>
      <c r="B45" s="549"/>
      <c r="C45" s="549"/>
      <c r="D45" s="549"/>
      <c r="E45" s="549"/>
      <c r="F45" s="549"/>
      <c r="G45" s="549"/>
      <c r="H45" s="549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Y45" s="549"/>
      <c r="Z45" s="549"/>
      <c r="AA45" s="535"/>
      <c r="AB45" s="535"/>
      <c r="AC45" s="53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9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1"/>
      <c r="B47" s="549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52"/>
      <c r="P47" s="554" t="s">
        <v>71</v>
      </c>
      <c r="Q47" s="555"/>
      <c r="R47" s="555"/>
      <c r="S47" s="555"/>
      <c r="T47" s="555"/>
      <c r="U47" s="555"/>
      <c r="V47" s="556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49"/>
      <c r="B48" s="549"/>
      <c r="C48" s="549"/>
      <c r="D48" s="549"/>
      <c r="E48" s="549"/>
      <c r="F48" s="549"/>
      <c r="G48" s="549"/>
      <c r="H48" s="549"/>
      <c r="I48" s="549"/>
      <c r="J48" s="549"/>
      <c r="K48" s="549"/>
      <c r="L48" s="549"/>
      <c r="M48" s="549"/>
      <c r="N48" s="549"/>
      <c r="O48" s="552"/>
      <c r="P48" s="554" t="s">
        <v>71</v>
      </c>
      <c r="Q48" s="555"/>
      <c r="R48" s="555"/>
      <c r="S48" s="555"/>
      <c r="T48" s="555"/>
      <c r="U48" s="555"/>
      <c r="V48" s="556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48" t="s">
        <v>116</v>
      </c>
      <c r="B49" s="549"/>
      <c r="C49" s="549"/>
      <c r="D49" s="549"/>
      <c r="E49" s="549"/>
      <c r="F49" s="549"/>
      <c r="G49" s="549"/>
      <c r="H49" s="549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Y49" s="549"/>
      <c r="Z49" s="549"/>
      <c r="AA49" s="534"/>
      <c r="AB49" s="534"/>
      <c r="AC49" s="534"/>
    </row>
    <row r="50" spans="1:68" ht="14.25" hidden="1" customHeight="1" x14ac:dyDescent="0.25">
      <c r="A50" s="550" t="s">
        <v>99</v>
      </c>
      <c r="B50" s="549"/>
      <c r="C50" s="549"/>
      <c r="D50" s="549"/>
      <c r="E50" s="549"/>
      <c r="F50" s="549"/>
      <c r="G50" s="549"/>
      <c r="H50" s="549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Y50" s="549"/>
      <c r="Z50" s="549"/>
      <c r="AA50" s="535"/>
      <c r="AB50" s="535"/>
      <c r="AC50" s="53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39">
        <v>200</v>
      </c>
      <c r="Y52" s="540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 t="s">
        <v>106</v>
      </c>
      <c r="AK52" s="68">
        <v>10.8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39">
        <v>270</v>
      </c>
      <c r="Y56" s="540">
        <f t="shared" si="0"/>
        <v>270</v>
      </c>
      <c r="Z56" s="36">
        <f>IFERROR(IF(Y56=0,"",ROUNDUP(Y56/H56,0)*0.00902),"")</f>
        <v>0.54120000000000001</v>
      </c>
      <c r="AA56" s="56"/>
      <c r="AB56" s="57"/>
      <c r="AC56" s="101" t="s">
        <v>134</v>
      </c>
      <c r="AG56" s="64"/>
      <c r="AJ56" s="68" t="s">
        <v>106</v>
      </c>
      <c r="AK56" s="68">
        <v>4.5</v>
      </c>
      <c r="BB56" s="102" t="s">
        <v>1</v>
      </c>
      <c r="BM56" s="64">
        <f t="shared" si="1"/>
        <v>281.40000000000003</v>
      </c>
      <c r="BN56" s="64">
        <f t="shared" si="2"/>
        <v>281.40000000000003</v>
      </c>
      <c r="BO56" s="64">
        <f t="shared" si="3"/>
        <v>0.45454545454545459</v>
      </c>
      <c r="BP56" s="64">
        <f t="shared" si="4"/>
        <v>0.45454545454545459</v>
      </c>
    </row>
    <row r="57" spans="1:68" x14ac:dyDescent="0.2">
      <c r="A57" s="551"/>
      <c r="B57" s="549"/>
      <c r="C57" s="549"/>
      <c r="D57" s="549"/>
      <c r="E57" s="549"/>
      <c r="F57" s="549"/>
      <c r="G57" s="549"/>
      <c r="H57" s="549"/>
      <c r="I57" s="549"/>
      <c r="J57" s="549"/>
      <c r="K57" s="549"/>
      <c r="L57" s="549"/>
      <c r="M57" s="549"/>
      <c r="N57" s="549"/>
      <c r="O57" s="552"/>
      <c r="P57" s="554" t="s">
        <v>71</v>
      </c>
      <c r="Q57" s="555"/>
      <c r="R57" s="555"/>
      <c r="S57" s="555"/>
      <c r="T57" s="555"/>
      <c r="U57" s="555"/>
      <c r="V57" s="556"/>
      <c r="W57" s="37" t="s">
        <v>72</v>
      </c>
      <c r="X57" s="541">
        <f>IFERROR(X51/H51,"0")+IFERROR(X52/H52,"0")+IFERROR(X53/H53,"0")+IFERROR(X54/H54,"0")+IFERROR(X55/H55,"0")+IFERROR(X56/H56,"0")</f>
        <v>78.518518518518519</v>
      </c>
      <c r="Y57" s="541">
        <f>IFERROR(Y51/H51,"0")+IFERROR(Y52/H52,"0")+IFERROR(Y53/H53,"0")+IFERROR(Y54/H54,"0")+IFERROR(Y55/H55,"0")+IFERROR(Y56/H56,"0")</f>
        <v>79</v>
      </c>
      <c r="Z57" s="541">
        <f>IFERROR(IF(Z51="",0,Z51),"0")+IFERROR(IF(Z52="",0,Z52),"0")+IFERROR(IF(Z53="",0,Z53),"0")+IFERROR(IF(Z54="",0,Z54),"0")+IFERROR(IF(Z55="",0,Z55),"0")+IFERROR(IF(Z56="",0,Z56),"0")</f>
        <v>0.90182000000000007</v>
      </c>
      <c r="AA57" s="542"/>
      <c r="AB57" s="542"/>
      <c r="AC57" s="542"/>
    </row>
    <row r="58" spans="1:68" x14ac:dyDescent="0.2">
      <c r="A58" s="549"/>
      <c r="B58" s="549"/>
      <c r="C58" s="549"/>
      <c r="D58" s="549"/>
      <c r="E58" s="549"/>
      <c r="F58" s="549"/>
      <c r="G58" s="549"/>
      <c r="H58" s="549"/>
      <c r="I58" s="549"/>
      <c r="J58" s="549"/>
      <c r="K58" s="549"/>
      <c r="L58" s="549"/>
      <c r="M58" s="549"/>
      <c r="N58" s="549"/>
      <c r="O58" s="552"/>
      <c r="P58" s="554" t="s">
        <v>71</v>
      </c>
      <c r="Q58" s="555"/>
      <c r="R58" s="555"/>
      <c r="S58" s="555"/>
      <c r="T58" s="555"/>
      <c r="U58" s="555"/>
      <c r="V58" s="556"/>
      <c r="W58" s="37" t="s">
        <v>69</v>
      </c>
      <c r="X58" s="541">
        <f>IFERROR(SUM(X51:X56),"0")</f>
        <v>470</v>
      </c>
      <c r="Y58" s="541">
        <f>IFERROR(SUM(Y51:Y56),"0")</f>
        <v>475.20000000000005</v>
      </c>
      <c r="Z58" s="37"/>
      <c r="AA58" s="542"/>
      <c r="AB58" s="542"/>
      <c r="AC58" s="542"/>
    </row>
    <row r="59" spans="1:68" ht="14.25" hidden="1" customHeight="1" x14ac:dyDescent="0.25">
      <c r="A59" s="550" t="s">
        <v>135</v>
      </c>
      <c r="B59" s="549"/>
      <c r="C59" s="549"/>
      <c r="D59" s="549"/>
      <c r="E59" s="549"/>
      <c r="F59" s="549"/>
      <c r="G59" s="549"/>
      <c r="H59" s="549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Y59" s="549"/>
      <c r="Z59" s="549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39">
        <v>200</v>
      </c>
      <c r="Y60" s="540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207.59259259259258</v>
      </c>
      <c r="BN60" s="64">
        <f>IFERROR(Y60*I60/H60,"0")</f>
        <v>212.99</v>
      </c>
      <c r="BO60" s="64">
        <f>IFERROR(1/J60*(X60/H60),"0")</f>
        <v>0.28935185185185186</v>
      </c>
      <c r="BP60" s="64">
        <f>IFERROR(1/J60*(Y60/H60),"0")</f>
        <v>0.296875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7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39">
        <v>157.5</v>
      </c>
      <c r="Y62" s="540">
        <f>IFERROR(IF(X62="",0,CEILING((X62/$H62),1)*$H62),"")</f>
        <v>159.30000000000001</v>
      </c>
      <c r="Z62" s="36">
        <f>IFERROR(IF(Y62=0,"",ROUNDUP(Y62/H62,0)*0.00651),"")</f>
        <v>0.38408999999999999</v>
      </c>
      <c r="AA62" s="56"/>
      <c r="AB62" s="57"/>
      <c r="AC62" s="107" t="s">
        <v>138</v>
      </c>
      <c r="AG62" s="64"/>
      <c r="AJ62" s="68" t="s">
        <v>106</v>
      </c>
      <c r="AK62" s="68">
        <v>2.7</v>
      </c>
      <c r="BB62" s="108" t="s">
        <v>1</v>
      </c>
      <c r="BM62" s="64">
        <f>IFERROR(X62*I62/H62,"0")</f>
        <v>167.99999999999997</v>
      </c>
      <c r="BN62" s="64">
        <f>IFERROR(Y62*I62/H62,"0")</f>
        <v>169.92</v>
      </c>
      <c r="BO62" s="64">
        <f>IFERROR(1/J62*(X62/H62),"0")</f>
        <v>0.32051282051282048</v>
      </c>
      <c r="BP62" s="64">
        <f>IFERROR(1/J62*(Y62/H62),"0")</f>
        <v>0.32417582417582419</v>
      </c>
    </row>
    <row r="63" spans="1:68" x14ac:dyDescent="0.2">
      <c r="A63" s="551"/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49"/>
      <c r="N63" s="549"/>
      <c r="O63" s="552"/>
      <c r="P63" s="554" t="s">
        <v>71</v>
      </c>
      <c r="Q63" s="555"/>
      <c r="R63" s="555"/>
      <c r="S63" s="555"/>
      <c r="T63" s="555"/>
      <c r="U63" s="555"/>
      <c r="V63" s="556"/>
      <c r="W63" s="37" t="s">
        <v>72</v>
      </c>
      <c r="X63" s="541">
        <f>IFERROR(X60/H60,"0")+IFERROR(X61/H61,"0")+IFERROR(X62/H62,"0")</f>
        <v>76.851851851851848</v>
      </c>
      <c r="Y63" s="541">
        <f>IFERROR(Y60/H60,"0")+IFERROR(Y61/H61,"0")+IFERROR(Y62/H62,"0")</f>
        <v>78</v>
      </c>
      <c r="Z63" s="541">
        <f>IFERROR(IF(Z60="",0,Z60),"0")+IFERROR(IF(Z61="",0,Z61),"0")+IFERROR(IF(Z62="",0,Z62),"0")</f>
        <v>0.74470999999999998</v>
      </c>
      <c r="AA63" s="542"/>
      <c r="AB63" s="542"/>
      <c r="AC63" s="542"/>
    </row>
    <row r="64" spans="1:68" x14ac:dyDescent="0.2">
      <c r="A64" s="549"/>
      <c r="B64" s="549"/>
      <c r="C64" s="549"/>
      <c r="D64" s="549"/>
      <c r="E64" s="549"/>
      <c r="F64" s="549"/>
      <c r="G64" s="549"/>
      <c r="H64" s="549"/>
      <c r="I64" s="549"/>
      <c r="J64" s="549"/>
      <c r="K64" s="549"/>
      <c r="L64" s="549"/>
      <c r="M64" s="549"/>
      <c r="N64" s="549"/>
      <c r="O64" s="552"/>
      <c r="P64" s="554" t="s">
        <v>71</v>
      </c>
      <c r="Q64" s="555"/>
      <c r="R64" s="555"/>
      <c r="S64" s="555"/>
      <c r="T64" s="555"/>
      <c r="U64" s="555"/>
      <c r="V64" s="556"/>
      <c r="W64" s="37" t="s">
        <v>69</v>
      </c>
      <c r="X64" s="541">
        <f>IFERROR(SUM(X60:X62),"0")</f>
        <v>357.5</v>
      </c>
      <c r="Y64" s="541">
        <f>IFERROR(SUM(Y60:Y62),"0")</f>
        <v>364.5</v>
      </c>
      <c r="Z64" s="37"/>
      <c r="AA64" s="542"/>
      <c r="AB64" s="542"/>
      <c r="AC64" s="542"/>
    </row>
    <row r="65" spans="1:68" ht="14.25" hidden="1" customHeight="1" x14ac:dyDescent="0.25">
      <c r="A65" s="550" t="s">
        <v>64</v>
      </c>
      <c r="B65" s="549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549"/>
      <c r="R65" s="549"/>
      <c r="S65" s="549"/>
      <c r="T65" s="549"/>
      <c r="U65" s="549"/>
      <c r="V65" s="549"/>
      <c r="W65" s="549"/>
      <c r="X65" s="549"/>
      <c r="Y65" s="549"/>
      <c r="Z65" s="549"/>
      <c r="AA65" s="535"/>
      <c r="AB65" s="535"/>
      <c r="AC65" s="53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1"/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52"/>
      <c r="P69" s="554" t="s">
        <v>71</v>
      </c>
      <c r="Q69" s="555"/>
      <c r="R69" s="555"/>
      <c r="S69" s="555"/>
      <c r="T69" s="555"/>
      <c r="U69" s="555"/>
      <c r="V69" s="556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49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52"/>
      <c r="P70" s="554" t="s">
        <v>71</v>
      </c>
      <c r="Q70" s="555"/>
      <c r="R70" s="555"/>
      <c r="S70" s="555"/>
      <c r="T70" s="555"/>
      <c r="U70" s="555"/>
      <c r="V70" s="556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0" t="s">
        <v>73</v>
      </c>
      <c r="B71" s="549"/>
      <c r="C71" s="549"/>
      <c r="D71" s="549"/>
      <c r="E71" s="549"/>
      <c r="F71" s="549"/>
      <c r="G71" s="549"/>
      <c r="H71" s="549"/>
      <c r="I71" s="549"/>
      <c r="J71" s="549"/>
      <c r="K71" s="549"/>
      <c r="L71" s="549"/>
      <c r="M71" s="549"/>
      <c r="N71" s="549"/>
      <c r="O71" s="549"/>
      <c r="P71" s="549"/>
      <c r="Q71" s="549"/>
      <c r="R71" s="549"/>
      <c r="S71" s="549"/>
      <c r="T71" s="549"/>
      <c r="U71" s="549"/>
      <c r="V71" s="549"/>
      <c r="W71" s="549"/>
      <c r="X71" s="549"/>
      <c r="Y71" s="549"/>
      <c r="Z71" s="549"/>
      <c r="AA71" s="535"/>
      <c r="AB71" s="535"/>
      <c r="AC71" s="53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1"/>
      <c r="B76" s="549"/>
      <c r="C76" s="549"/>
      <c r="D76" s="549"/>
      <c r="E76" s="549"/>
      <c r="F76" s="549"/>
      <c r="G76" s="549"/>
      <c r="H76" s="549"/>
      <c r="I76" s="549"/>
      <c r="J76" s="549"/>
      <c r="K76" s="549"/>
      <c r="L76" s="549"/>
      <c r="M76" s="549"/>
      <c r="N76" s="549"/>
      <c r="O76" s="552"/>
      <c r="P76" s="554" t="s">
        <v>71</v>
      </c>
      <c r="Q76" s="555"/>
      <c r="R76" s="555"/>
      <c r="S76" s="555"/>
      <c r="T76" s="555"/>
      <c r="U76" s="555"/>
      <c r="V76" s="556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49"/>
      <c r="B77" s="549"/>
      <c r="C77" s="549"/>
      <c r="D77" s="549"/>
      <c r="E77" s="549"/>
      <c r="F77" s="549"/>
      <c r="G77" s="549"/>
      <c r="H77" s="549"/>
      <c r="I77" s="549"/>
      <c r="J77" s="549"/>
      <c r="K77" s="549"/>
      <c r="L77" s="549"/>
      <c r="M77" s="549"/>
      <c r="N77" s="549"/>
      <c r="O77" s="552"/>
      <c r="P77" s="554" t="s">
        <v>71</v>
      </c>
      <c r="Q77" s="555"/>
      <c r="R77" s="555"/>
      <c r="S77" s="555"/>
      <c r="T77" s="555"/>
      <c r="U77" s="555"/>
      <c r="V77" s="556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0" t="s">
        <v>163</v>
      </c>
      <c r="B78" s="549"/>
      <c r="C78" s="549"/>
      <c r="D78" s="549"/>
      <c r="E78" s="549"/>
      <c r="F78" s="549"/>
      <c r="G78" s="549"/>
      <c r="H78" s="549"/>
      <c r="I78" s="549"/>
      <c r="J78" s="549"/>
      <c r="K78" s="549"/>
      <c r="L78" s="549"/>
      <c r="M78" s="549"/>
      <c r="N78" s="549"/>
      <c r="O78" s="549"/>
      <c r="P78" s="549"/>
      <c r="Q78" s="549"/>
      <c r="R78" s="549"/>
      <c r="S78" s="549"/>
      <c r="T78" s="549"/>
      <c r="U78" s="549"/>
      <c r="V78" s="549"/>
      <c r="W78" s="549"/>
      <c r="X78" s="549"/>
      <c r="Y78" s="549"/>
      <c r="Z78" s="549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39">
        <v>30</v>
      </c>
      <c r="Y79" s="540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31.57692307692308</v>
      </c>
      <c r="BN79" s="64">
        <f>IFERROR(Y79*I79/H79,"0")</f>
        <v>32.840000000000003</v>
      </c>
      <c r="BO79" s="64">
        <f>IFERROR(1/J79*(X79/H79),"0")</f>
        <v>6.0096153846153848E-2</v>
      </c>
      <c r="BP79" s="64">
        <f>IFERROR(1/J79*(Y79/H79),"0")</f>
        <v>6.25E-2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1"/>
      <c r="B81" s="549"/>
      <c r="C81" s="549"/>
      <c r="D81" s="549"/>
      <c r="E81" s="549"/>
      <c r="F81" s="549"/>
      <c r="G81" s="549"/>
      <c r="H81" s="549"/>
      <c r="I81" s="549"/>
      <c r="J81" s="549"/>
      <c r="K81" s="549"/>
      <c r="L81" s="549"/>
      <c r="M81" s="549"/>
      <c r="N81" s="549"/>
      <c r="O81" s="552"/>
      <c r="P81" s="554" t="s">
        <v>71</v>
      </c>
      <c r="Q81" s="555"/>
      <c r="R81" s="555"/>
      <c r="S81" s="555"/>
      <c r="T81" s="555"/>
      <c r="U81" s="555"/>
      <c r="V81" s="556"/>
      <c r="W81" s="37" t="s">
        <v>72</v>
      </c>
      <c r="X81" s="541">
        <f>IFERROR(X79/H79,"0")+IFERROR(X80/H80,"0")</f>
        <v>3.8461538461538463</v>
      </c>
      <c r="Y81" s="541">
        <f>IFERROR(Y79/H79,"0")+IFERROR(Y80/H80,"0")</f>
        <v>4</v>
      </c>
      <c r="Z81" s="541">
        <f>IFERROR(IF(Z79="",0,Z79),"0")+IFERROR(IF(Z80="",0,Z80),"0")</f>
        <v>7.5920000000000001E-2</v>
      </c>
      <c r="AA81" s="542"/>
      <c r="AB81" s="542"/>
      <c r="AC81" s="542"/>
    </row>
    <row r="82" spans="1:68" x14ac:dyDescent="0.2">
      <c r="A82" s="549"/>
      <c r="B82" s="549"/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49"/>
      <c r="N82" s="549"/>
      <c r="O82" s="552"/>
      <c r="P82" s="554" t="s">
        <v>71</v>
      </c>
      <c r="Q82" s="555"/>
      <c r="R82" s="555"/>
      <c r="S82" s="555"/>
      <c r="T82" s="555"/>
      <c r="U82" s="555"/>
      <c r="V82" s="556"/>
      <c r="W82" s="37" t="s">
        <v>69</v>
      </c>
      <c r="X82" s="541">
        <f>IFERROR(SUM(X79:X80),"0")</f>
        <v>30</v>
      </c>
      <c r="Y82" s="541">
        <f>IFERROR(SUM(Y79:Y80),"0")</f>
        <v>31.2</v>
      </c>
      <c r="Z82" s="37"/>
      <c r="AA82" s="542"/>
      <c r="AB82" s="542"/>
      <c r="AC82" s="542"/>
    </row>
    <row r="83" spans="1:68" ht="16.5" hidden="1" customHeight="1" x14ac:dyDescent="0.25">
      <c r="A83" s="548" t="s">
        <v>170</v>
      </c>
      <c r="B83" s="549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549"/>
      <c r="R83" s="549"/>
      <c r="S83" s="549"/>
      <c r="T83" s="549"/>
      <c r="U83" s="549"/>
      <c r="V83" s="549"/>
      <c r="W83" s="549"/>
      <c r="X83" s="549"/>
      <c r="Y83" s="549"/>
      <c r="Z83" s="549"/>
      <c r="AA83" s="534"/>
      <c r="AB83" s="534"/>
      <c r="AC83" s="534"/>
    </row>
    <row r="84" spans="1:68" ht="14.25" hidden="1" customHeight="1" x14ac:dyDescent="0.25">
      <c r="A84" s="550" t="s">
        <v>99</v>
      </c>
      <c r="B84" s="549"/>
      <c r="C84" s="549"/>
      <c r="D84" s="549"/>
      <c r="E84" s="549"/>
      <c r="F84" s="549"/>
      <c r="G84" s="549"/>
      <c r="H84" s="549"/>
      <c r="I84" s="549"/>
      <c r="J84" s="549"/>
      <c r="K84" s="549"/>
      <c r="L84" s="549"/>
      <c r="M84" s="549"/>
      <c r="N84" s="549"/>
      <c r="O84" s="549"/>
      <c r="P84" s="549"/>
      <c r="Q84" s="549"/>
      <c r="R84" s="549"/>
      <c r="S84" s="549"/>
      <c r="T84" s="549"/>
      <c r="U84" s="549"/>
      <c r="V84" s="549"/>
      <c r="W84" s="549"/>
      <c r="X84" s="549"/>
      <c r="Y84" s="549"/>
      <c r="Z84" s="549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39">
        <v>100</v>
      </c>
      <c r="Y85" s="540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1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39">
        <v>360</v>
      </c>
      <c r="Y87" s="540">
        <f>IFERROR(IF(X87="",0,CEILING((X87/$H87),1)*$H87),"")</f>
        <v>360</v>
      </c>
      <c r="Z87" s="36">
        <f>IFERROR(IF(Y87=0,"",ROUNDUP(Y87/H87,0)*0.00902),"")</f>
        <v>0.72160000000000002</v>
      </c>
      <c r="AA87" s="56"/>
      <c r="AB87" s="57"/>
      <c r="AC87" s="131" t="s">
        <v>173</v>
      </c>
      <c r="AG87" s="64"/>
      <c r="AJ87" s="68" t="s">
        <v>106</v>
      </c>
      <c r="AK87" s="68">
        <v>4.5</v>
      </c>
      <c r="BB87" s="132" t="s">
        <v>1</v>
      </c>
      <c r="BM87" s="64">
        <f>IFERROR(X87*I87/H87,"0")</f>
        <v>375.20000000000005</v>
      </c>
      <c r="BN87" s="64">
        <f>IFERROR(Y87*I87/H87,"0")</f>
        <v>375.20000000000005</v>
      </c>
      <c r="BO87" s="64">
        <f>IFERROR(1/J87*(X87/H87),"0")</f>
        <v>0.60606060606060608</v>
      </c>
      <c r="BP87" s="64">
        <f>IFERROR(1/J87*(Y87/H87),"0")</f>
        <v>0.60606060606060608</v>
      </c>
    </row>
    <row r="88" spans="1:68" x14ac:dyDescent="0.2">
      <c r="A88" s="551"/>
      <c r="B88" s="549"/>
      <c r="C88" s="549"/>
      <c r="D88" s="549"/>
      <c r="E88" s="549"/>
      <c r="F88" s="549"/>
      <c r="G88" s="549"/>
      <c r="H88" s="549"/>
      <c r="I88" s="549"/>
      <c r="J88" s="549"/>
      <c r="K88" s="549"/>
      <c r="L88" s="549"/>
      <c r="M88" s="549"/>
      <c r="N88" s="549"/>
      <c r="O88" s="552"/>
      <c r="P88" s="554" t="s">
        <v>71</v>
      </c>
      <c r="Q88" s="555"/>
      <c r="R88" s="555"/>
      <c r="S88" s="555"/>
      <c r="T88" s="555"/>
      <c r="U88" s="555"/>
      <c r="V88" s="556"/>
      <c r="W88" s="37" t="s">
        <v>72</v>
      </c>
      <c r="X88" s="541">
        <f>IFERROR(X85/H85,"0")+IFERROR(X86/H86,"0")+IFERROR(X87/H87,"0")</f>
        <v>89.259259259259267</v>
      </c>
      <c r="Y88" s="541">
        <f>IFERROR(Y85/H85,"0")+IFERROR(Y86/H86,"0")+IFERROR(Y87/H87,"0")</f>
        <v>90</v>
      </c>
      <c r="Z88" s="541">
        <f>IFERROR(IF(Z85="",0,Z85),"0")+IFERROR(IF(Z86="",0,Z86),"0")+IFERROR(IF(Z87="",0,Z87),"0")</f>
        <v>0.91139999999999999</v>
      </c>
      <c r="AA88" s="542"/>
      <c r="AB88" s="542"/>
      <c r="AC88" s="542"/>
    </row>
    <row r="89" spans="1:68" x14ac:dyDescent="0.2">
      <c r="A89" s="549"/>
      <c r="B89" s="549"/>
      <c r="C89" s="549"/>
      <c r="D89" s="549"/>
      <c r="E89" s="549"/>
      <c r="F89" s="549"/>
      <c r="G89" s="549"/>
      <c r="H89" s="549"/>
      <c r="I89" s="549"/>
      <c r="J89" s="549"/>
      <c r="K89" s="549"/>
      <c r="L89" s="549"/>
      <c r="M89" s="549"/>
      <c r="N89" s="549"/>
      <c r="O89" s="552"/>
      <c r="P89" s="554" t="s">
        <v>71</v>
      </c>
      <c r="Q89" s="555"/>
      <c r="R89" s="555"/>
      <c r="S89" s="555"/>
      <c r="T89" s="555"/>
      <c r="U89" s="555"/>
      <c r="V89" s="556"/>
      <c r="W89" s="37" t="s">
        <v>69</v>
      </c>
      <c r="X89" s="541">
        <f>IFERROR(SUM(X85:X87),"0")</f>
        <v>460</v>
      </c>
      <c r="Y89" s="541">
        <f>IFERROR(SUM(Y85:Y87),"0")</f>
        <v>468</v>
      </c>
      <c r="Z89" s="37"/>
      <c r="AA89" s="542"/>
      <c r="AB89" s="542"/>
      <c r="AC89" s="542"/>
    </row>
    <row r="90" spans="1:68" ht="14.25" hidden="1" customHeight="1" x14ac:dyDescent="0.25">
      <c r="A90" s="550" t="s">
        <v>73</v>
      </c>
      <c r="B90" s="549"/>
      <c r="C90" s="549"/>
      <c r="D90" s="549"/>
      <c r="E90" s="549"/>
      <c r="F90" s="549"/>
      <c r="G90" s="549"/>
      <c r="H90" s="549"/>
      <c r="I90" s="549"/>
      <c r="J90" s="549"/>
      <c r="K90" s="549"/>
      <c r="L90" s="549"/>
      <c r="M90" s="549"/>
      <c r="N90" s="549"/>
      <c r="O90" s="549"/>
      <c r="P90" s="549"/>
      <c r="Q90" s="549"/>
      <c r="R90" s="549"/>
      <c r="S90" s="549"/>
      <c r="T90" s="549"/>
      <c r="U90" s="549"/>
      <c r="V90" s="549"/>
      <c r="W90" s="549"/>
      <c r="X90" s="549"/>
      <c r="Y90" s="549"/>
      <c r="Z90" s="549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39">
        <v>220</v>
      </c>
      <c r="Y91" s="540">
        <f>IFERROR(IF(X91="",0,CEILING((X91/$H91),1)*$H91),"")</f>
        <v>226.79999999999998</v>
      </c>
      <c r="Z91" s="36">
        <f>IFERROR(IF(Y91=0,"",ROUNDUP(Y91/H91,0)*0.01898),"")</f>
        <v>0.53144000000000002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233.41728395061727</v>
      </c>
      <c r="BN91" s="64">
        <f>IFERROR(Y91*I91/H91,"0")</f>
        <v>240.63199999999998</v>
      </c>
      <c r="BO91" s="64">
        <f>IFERROR(1/J91*(X91/H91),"0")</f>
        <v>0.42438271604938271</v>
      </c>
      <c r="BP91" s="64">
        <f>IFERROR(1/J91*(Y91/H91),"0")</f>
        <v>0.4375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5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39">
        <v>405</v>
      </c>
      <c r="Y93" s="540">
        <f>IFERROR(IF(X93="",0,CEILING((X93/$H93),1)*$H93),"")</f>
        <v>405</v>
      </c>
      <c r="Z93" s="36">
        <f>IFERROR(IF(Y93=0,"",ROUNDUP(Y93/H93,0)*0.00651),"")</f>
        <v>0.97650000000000003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442.79999999999995</v>
      </c>
      <c r="BN93" s="64">
        <f>IFERROR(Y93*I93/H93,"0")</f>
        <v>442.79999999999995</v>
      </c>
      <c r="BO93" s="64">
        <f>IFERROR(1/J93*(X93/H93),"0")</f>
        <v>0.82417582417582425</v>
      </c>
      <c r="BP93" s="64">
        <f>IFERROR(1/J93*(Y93/H93),"0")</f>
        <v>0.82417582417582425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1"/>
      <c r="B95" s="549"/>
      <c r="C95" s="549"/>
      <c r="D95" s="549"/>
      <c r="E95" s="549"/>
      <c r="F95" s="549"/>
      <c r="G95" s="549"/>
      <c r="H95" s="549"/>
      <c r="I95" s="549"/>
      <c r="J95" s="549"/>
      <c r="K95" s="549"/>
      <c r="L95" s="549"/>
      <c r="M95" s="549"/>
      <c r="N95" s="549"/>
      <c r="O95" s="552"/>
      <c r="P95" s="554" t="s">
        <v>71</v>
      </c>
      <c r="Q95" s="555"/>
      <c r="R95" s="555"/>
      <c r="S95" s="555"/>
      <c r="T95" s="555"/>
      <c r="U95" s="555"/>
      <c r="V95" s="556"/>
      <c r="W95" s="37" t="s">
        <v>72</v>
      </c>
      <c r="X95" s="541">
        <f>IFERROR(X91/H91,"0")+IFERROR(X92/H92,"0")+IFERROR(X93/H93,"0")+IFERROR(X94/H94,"0")</f>
        <v>177.16049382716051</v>
      </c>
      <c r="Y95" s="541">
        <f>IFERROR(Y91/H91,"0")+IFERROR(Y92/H92,"0")+IFERROR(Y93/H93,"0")+IFERROR(Y94/H94,"0")</f>
        <v>178</v>
      </c>
      <c r="Z95" s="541">
        <f>IFERROR(IF(Z91="",0,Z91),"0")+IFERROR(IF(Z92="",0,Z92),"0")+IFERROR(IF(Z93="",0,Z93),"0")+IFERROR(IF(Z94="",0,Z94),"0")</f>
        <v>1.5079400000000001</v>
      </c>
      <c r="AA95" s="542"/>
      <c r="AB95" s="542"/>
      <c r="AC95" s="542"/>
    </row>
    <row r="96" spans="1:68" x14ac:dyDescent="0.2">
      <c r="A96" s="549"/>
      <c r="B96" s="549"/>
      <c r="C96" s="549"/>
      <c r="D96" s="549"/>
      <c r="E96" s="549"/>
      <c r="F96" s="549"/>
      <c r="G96" s="549"/>
      <c r="H96" s="549"/>
      <c r="I96" s="549"/>
      <c r="J96" s="549"/>
      <c r="K96" s="549"/>
      <c r="L96" s="549"/>
      <c r="M96" s="549"/>
      <c r="N96" s="549"/>
      <c r="O96" s="552"/>
      <c r="P96" s="554" t="s">
        <v>71</v>
      </c>
      <c r="Q96" s="555"/>
      <c r="R96" s="555"/>
      <c r="S96" s="555"/>
      <c r="T96" s="555"/>
      <c r="U96" s="555"/>
      <c r="V96" s="556"/>
      <c r="W96" s="37" t="s">
        <v>69</v>
      </c>
      <c r="X96" s="541">
        <f>IFERROR(SUM(X91:X94),"0")</f>
        <v>625</v>
      </c>
      <c r="Y96" s="541">
        <f>IFERROR(SUM(Y91:Y94),"0")</f>
        <v>631.79999999999995</v>
      </c>
      <c r="Z96" s="37"/>
      <c r="AA96" s="542"/>
      <c r="AB96" s="542"/>
      <c r="AC96" s="542"/>
    </row>
    <row r="97" spans="1:68" ht="16.5" hidden="1" customHeight="1" x14ac:dyDescent="0.25">
      <c r="A97" s="548" t="s">
        <v>189</v>
      </c>
      <c r="B97" s="549"/>
      <c r="C97" s="549"/>
      <c r="D97" s="549"/>
      <c r="E97" s="549"/>
      <c r="F97" s="549"/>
      <c r="G97" s="549"/>
      <c r="H97" s="549"/>
      <c r="I97" s="549"/>
      <c r="J97" s="549"/>
      <c r="K97" s="549"/>
      <c r="L97" s="549"/>
      <c r="M97" s="549"/>
      <c r="N97" s="549"/>
      <c r="O97" s="549"/>
      <c r="P97" s="549"/>
      <c r="Q97" s="549"/>
      <c r="R97" s="549"/>
      <c r="S97" s="549"/>
      <c r="T97" s="549"/>
      <c r="U97" s="549"/>
      <c r="V97" s="549"/>
      <c r="W97" s="549"/>
      <c r="X97" s="549"/>
      <c r="Y97" s="549"/>
      <c r="Z97" s="549"/>
      <c r="AA97" s="534"/>
      <c r="AB97" s="534"/>
      <c r="AC97" s="534"/>
    </row>
    <row r="98" spans="1:68" ht="14.25" hidden="1" customHeight="1" x14ac:dyDescent="0.25">
      <c r="A98" s="550" t="s">
        <v>99</v>
      </c>
      <c r="B98" s="549"/>
      <c r="C98" s="549"/>
      <c r="D98" s="549"/>
      <c r="E98" s="549"/>
      <c r="F98" s="549"/>
      <c r="G98" s="549"/>
      <c r="H98" s="549"/>
      <c r="I98" s="549"/>
      <c r="J98" s="549"/>
      <c r="K98" s="549"/>
      <c r="L98" s="549"/>
      <c r="M98" s="549"/>
      <c r="N98" s="549"/>
      <c r="O98" s="549"/>
      <c r="P98" s="549"/>
      <c r="Q98" s="549"/>
      <c r="R98" s="549"/>
      <c r="S98" s="549"/>
      <c r="T98" s="549"/>
      <c r="U98" s="549"/>
      <c r="V98" s="549"/>
      <c r="W98" s="549"/>
      <c r="X98" s="549"/>
      <c r="Y98" s="549"/>
      <c r="Z98" s="549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39">
        <v>50</v>
      </c>
      <c r="Y99" s="540">
        <f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51.898148148148145</v>
      </c>
      <c r="BN99" s="64">
        <f>IFERROR(Y99*I99/H99,"0")</f>
        <v>56.05</v>
      </c>
      <c r="BO99" s="64">
        <f>IFERROR(1/J99*(X99/H99),"0")</f>
        <v>7.2337962962962965E-2</v>
      </c>
      <c r="BP99" s="64">
        <f>IFERROR(1/J99*(Y99/H99),"0")</f>
        <v>7.8125E-2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197</v>
      </c>
      <c r="M101" s="33" t="s">
        <v>77</v>
      </c>
      <c r="N101" s="33"/>
      <c r="O101" s="32">
        <v>50</v>
      </c>
      <c r="P101" s="7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39">
        <v>540</v>
      </c>
      <c r="Y101" s="540">
        <f>IFERROR(IF(X101="",0,CEILING((X101/$H101),1)*$H101),"")</f>
        <v>540</v>
      </c>
      <c r="Z101" s="36">
        <f>IFERROR(IF(Y101=0,"",ROUNDUP(Y101/H101,0)*0.00902),"")</f>
        <v>1.0824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562.80000000000007</v>
      </c>
      <c r="BN101" s="64">
        <f>IFERROR(Y101*I101/H101,"0")</f>
        <v>562.80000000000007</v>
      </c>
      <c r="BO101" s="64">
        <f>IFERROR(1/J101*(X101/H101),"0")</f>
        <v>0.90909090909090917</v>
      </c>
      <c r="BP101" s="64">
        <f>IFERROR(1/J101*(Y101/H101),"0")</f>
        <v>0.90909090909090917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1"/>
      <c r="B103" s="549"/>
      <c r="C103" s="549"/>
      <c r="D103" s="549"/>
      <c r="E103" s="549"/>
      <c r="F103" s="549"/>
      <c r="G103" s="549"/>
      <c r="H103" s="549"/>
      <c r="I103" s="549"/>
      <c r="J103" s="549"/>
      <c r="K103" s="549"/>
      <c r="L103" s="549"/>
      <c r="M103" s="549"/>
      <c r="N103" s="549"/>
      <c r="O103" s="552"/>
      <c r="P103" s="554" t="s">
        <v>71</v>
      </c>
      <c r="Q103" s="555"/>
      <c r="R103" s="555"/>
      <c r="S103" s="555"/>
      <c r="T103" s="555"/>
      <c r="U103" s="555"/>
      <c r="V103" s="556"/>
      <c r="W103" s="37" t="s">
        <v>72</v>
      </c>
      <c r="X103" s="541">
        <f>IFERROR(X99/H99,"0")+IFERROR(X100/H100,"0")+IFERROR(X101/H101,"0")+IFERROR(X102/H102,"0")</f>
        <v>124.62962962962963</v>
      </c>
      <c r="Y103" s="541">
        <f>IFERROR(Y99/H99,"0")+IFERROR(Y100/H100,"0")+IFERROR(Y101/H101,"0")+IFERROR(Y102/H102,"0")</f>
        <v>125</v>
      </c>
      <c r="Z103" s="541">
        <f>IFERROR(IF(Z99="",0,Z99),"0")+IFERROR(IF(Z100="",0,Z100),"0")+IFERROR(IF(Z101="",0,Z101),"0")+IFERROR(IF(Z102="",0,Z102),"0")</f>
        <v>1.1773</v>
      </c>
      <c r="AA103" s="542"/>
      <c r="AB103" s="542"/>
      <c r="AC103" s="542"/>
    </row>
    <row r="104" spans="1:68" x14ac:dyDescent="0.2">
      <c r="A104" s="549"/>
      <c r="B104" s="549"/>
      <c r="C104" s="549"/>
      <c r="D104" s="549"/>
      <c r="E104" s="549"/>
      <c r="F104" s="549"/>
      <c r="G104" s="549"/>
      <c r="H104" s="549"/>
      <c r="I104" s="549"/>
      <c r="J104" s="549"/>
      <c r="K104" s="549"/>
      <c r="L104" s="549"/>
      <c r="M104" s="549"/>
      <c r="N104" s="549"/>
      <c r="O104" s="552"/>
      <c r="P104" s="554" t="s">
        <v>71</v>
      </c>
      <c r="Q104" s="555"/>
      <c r="R104" s="555"/>
      <c r="S104" s="555"/>
      <c r="T104" s="555"/>
      <c r="U104" s="555"/>
      <c r="V104" s="556"/>
      <c r="W104" s="37" t="s">
        <v>69</v>
      </c>
      <c r="X104" s="541">
        <f>IFERROR(SUM(X99:X102),"0")</f>
        <v>590</v>
      </c>
      <c r="Y104" s="541">
        <f>IFERROR(SUM(Y99:Y102),"0")</f>
        <v>594</v>
      </c>
      <c r="Z104" s="37"/>
      <c r="AA104" s="542"/>
      <c r="AB104" s="542"/>
      <c r="AC104" s="542"/>
    </row>
    <row r="105" spans="1:68" ht="14.25" hidden="1" customHeight="1" x14ac:dyDescent="0.25">
      <c r="A105" s="550" t="s">
        <v>135</v>
      </c>
      <c r="B105" s="549"/>
      <c r="C105" s="549"/>
      <c r="D105" s="549"/>
      <c r="E105" s="549"/>
      <c r="F105" s="549"/>
      <c r="G105" s="549"/>
      <c r="H105" s="549"/>
      <c r="I105" s="549"/>
      <c r="J105" s="549"/>
      <c r="K105" s="549"/>
      <c r="L105" s="549"/>
      <c r="M105" s="549"/>
      <c r="N105" s="549"/>
      <c r="O105" s="549"/>
      <c r="P105" s="549"/>
      <c r="Q105" s="549"/>
      <c r="R105" s="549"/>
      <c r="S105" s="549"/>
      <c r="T105" s="549"/>
      <c r="U105" s="549"/>
      <c r="V105" s="549"/>
      <c r="W105" s="549"/>
      <c r="X105" s="549"/>
      <c r="Y105" s="549"/>
      <c r="Z105" s="549"/>
      <c r="AA105" s="535"/>
      <c r="AB105" s="535"/>
      <c r="AC105" s="535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1"/>
      <c r="B109" s="549"/>
      <c r="C109" s="549"/>
      <c r="D109" s="549"/>
      <c r="E109" s="549"/>
      <c r="F109" s="549"/>
      <c r="G109" s="549"/>
      <c r="H109" s="549"/>
      <c r="I109" s="549"/>
      <c r="J109" s="549"/>
      <c r="K109" s="549"/>
      <c r="L109" s="549"/>
      <c r="M109" s="549"/>
      <c r="N109" s="549"/>
      <c r="O109" s="552"/>
      <c r="P109" s="554" t="s">
        <v>71</v>
      </c>
      <c r="Q109" s="555"/>
      <c r="R109" s="555"/>
      <c r="S109" s="555"/>
      <c r="T109" s="555"/>
      <c r="U109" s="555"/>
      <c r="V109" s="556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49"/>
      <c r="B110" s="549"/>
      <c r="C110" s="549"/>
      <c r="D110" s="549"/>
      <c r="E110" s="549"/>
      <c r="F110" s="549"/>
      <c r="G110" s="549"/>
      <c r="H110" s="549"/>
      <c r="I110" s="549"/>
      <c r="J110" s="549"/>
      <c r="K110" s="549"/>
      <c r="L110" s="549"/>
      <c r="M110" s="549"/>
      <c r="N110" s="549"/>
      <c r="O110" s="552"/>
      <c r="P110" s="554" t="s">
        <v>71</v>
      </c>
      <c r="Q110" s="555"/>
      <c r="R110" s="555"/>
      <c r="S110" s="555"/>
      <c r="T110" s="555"/>
      <c r="U110" s="555"/>
      <c r="V110" s="556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0" t="s">
        <v>73</v>
      </c>
      <c r="B111" s="549"/>
      <c r="C111" s="549"/>
      <c r="D111" s="549"/>
      <c r="E111" s="549"/>
      <c r="F111" s="549"/>
      <c r="G111" s="549"/>
      <c r="H111" s="549"/>
      <c r="I111" s="549"/>
      <c r="J111" s="549"/>
      <c r="K111" s="549"/>
      <c r="L111" s="549"/>
      <c r="M111" s="549"/>
      <c r="N111" s="549"/>
      <c r="O111" s="549"/>
      <c r="P111" s="549"/>
      <c r="Q111" s="549"/>
      <c r="R111" s="549"/>
      <c r="S111" s="549"/>
      <c r="T111" s="549"/>
      <c r="U111" s="549"/>
      <c r="V111" s="549"/>
      <c r="W111" s="549"/>
      <c r="X111" s="549"/>
      <c r="Y111" s="549"/>
      <c r="Z111" s="549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39">
        <v>400</v>
      </c>
      <c r="Y112" s="540">
        <f>IFERROR(IF(X112="",0,CEILING((X112/$H112),1)*$H112),"")</f>
        <v>405</v>
      </c>
      <c r="Z112" s="36">
        <f>IFERROR(IF(Y112=0,"",ROUNDUP(Y112/H112,0)*0.01898),"")</f>
        <v>0.94900000000000007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424.09876543209879</v>
      </c>
      <c r="BN112" s="64">
        <f>IFERROR(Y112*I112/H112,"0")</f>
        <v>429.4</v>
      </c>
      <c r="BO112" s="64">
        <f>IFERROR(1/J112*(X112/H112),"0")</f>
        <v>0.77160493827160492</v>
      </c>
      <c r="BP112" s="64">
        <f>IFERROR(1/J112*(Y112/H112),"0")</f>
        <v>0.78125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214</v>
      </c>
      <c r="M114" s="33" t="s">
        <v>84</v>
      </c>
      <c r="N114" s="33"/>
      <c r="O114" s="32">
        <v>45</v>
      </c>
      <c r="P114" s="8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39">
        <v>360</v>
      </c>
      <c r="Y114" s="540">
        <f>IFERROR(IF(X114="",0,CEILING((X114/$H114),1)*$H114),"")</f>
        <v>361.8</v>
      </c>
      <c r="Z114" s="36">
        <f>IFERROR(IF(Y114=0,"",ROUNDUP(Y114/H114,0)*0.00651),"")</f>
        <v>0.87234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393.59999999999997</v>
      </c>
      <c r="BN114" s="64">
        <f>IFERROR(Y114*I114/H114,"0")</f>
        <v>395.56799999999998</v>
      </c>
      <c r="BO114" s="64">
        <f>IFERROR(1/J114*(X114/H114),"0")</f>
        <v>0.73260073260073255</v>
      </c>
      <c r="BP114" s="64">
        <f>IFERROR(1/J114*(Y114/H114),"0")</f>
        <v>0.73626373626373631</v>
      </c>
    </row>
    <row r="115" spans="1:68" ht="16.5" customHeight="1" x14ac:dyDescent="0.25">
      <c r="A115" s="54" t="s">
        <v>215</v>
      </c>
      <c r="B115" s="54" t="s">
        <v>216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 t="s">
        <v>214</v>
      </c>
      <c r="M115" s="33" t="s">
        <v>77</v>
      </c>
      <c r="N115" s="33"/>
      <c r="O115" s="32">
        <v>45</v>
      </c>
      <c r="P115" s="72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39">
        <v>18</v>
      </c>
      <c r="Y115" s="540">
        <f>IFERROR(IF(X115="",0,CEILING((X115/$H115),1)*$H115),"")</f>
        <v>18</v>
      </c>
      <c r="Z115" s="36">
        <f>IFERROR(IF(Y115=0,"",ROUNDUP(Y115/H115,0)*0.00651),"")</f>
        <v>6.5100000000000005E-2</v>
      </c>
      <c r="AA115" s="56"/>
      <c r="AB115" s="57"/>
      <c r="AC115" s="161" t="s">
        <v>217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19.8</v>
      </c>
      <c r="BN115" s="64">
        <f>IFERROR(Y115*I115/H115,"0")</f>
        <v>19.8</v>
      </c>
      <c r="BO115" s="64">
        <f>IFERROR(1/J115*(X115/H115),"0")</f>
        <v>5.4945054945054951E-2</v>
      </c>
      <c r="BP115" s="64">
        <f>IFERROR(1/J115*(Y115/H115),"0")</f>
        <v>5.4945054945054951E-2</v>
      </c>
    </row>
    <row r="116" spans="1:68" x14ac:dyDescent="0.2">
      <c r="A116" s="551"/>
      <c r="B116" s="549"/>
      <c r="C116" s="549"/>
      <c r="D116" s="549"/>
      <c r="E116" s="549"/>
      <c r="F116" s="549"/>
      <c r="G116" s="549"/>
      <c r="H116" s="549"/>
      <c r="I116" s="549"/>
      <c r="J116" s="549"/>
      <c r="K116" s="549"/>
      <c r="L116" s="549"/>
      <c r="M116" s="549"/>
      <c r="N116" s="549"/>
      <c r="O116" s="552"/>
      <c r="P116" s="554" t="s">
        <v>71</v>
      </c>
      <c r="Q116" s="555"/>
      <c r="R116" s="555"/>
      <c r="S116" s="555"/>
      <c r="T116" s="555"/>
      <c r="U116" s="555"/>
      <c r="V116" s="556"/>
      <c r="W116" s="37" t="s">
        <v>72</v>
      </c>
      <c r="X116" s="541">
        <f>IFERROR(X112/H112,"0")+IFERROR(X113/H113,"0")+IFERROR(X114/H114,"0")+IFERROR(X115/H115,"0")</f>
        <v>192.71604938271602</v>
      </c>
      <c r="Y116" s="541">
        <f>IFERROR(Y112/H112,"0")+IFERROR(Y113/H113,"0")+IFERROR(Y114/H114,"0")+IFERROR(Y115/H115,"0")</f>
        <v>194</v>
      </c>
      <c r="Z116" s="541">
        <f>IFERROR(IF(Z112="",0,Z112),"0")+IFERROR(IF(Z113="",0,Z113),"0")+IFERROR(IF(Z114="",0,Z114),"0")+IFERROR(IF(Z115="",0,Z115),"0")</f>
        <v>1.8864400000000001</v>
      </c>
      <c r="AA116" s="542"/>
      <c r="AB116" s="542"/>
      <c r="AC116" s="542"/>
    </row>
    <row r="117" spans="1:68" x14ac:dyDescent="0.2">
      <c r="A117" s="549"/>
      <c r="B117" s="549"/>
      <c r="C117" s="549"/>
      <c r="D117" s="549"/>
      <c r="E117" s="549"/>
      <c r="F117" s="549"/>
      <c r="G117" s="549"/>
      <c r="H117" s="549"/>
      <c r="I117" s="549"/>
      <c r="J117" s="549"/>
      <c r="K117" s="549"/>
      <c r="L117" s="549"/>
      <c r="M117" s="549"/>
      <c r="N117" s="549"/>
      <c r="O117" s="552"/>
      <c r="P117" s="554" t="s">
        <v>71</v>
      </c>
      <c r="Q117" s="555"/>
      <c r="R117" s="555"/>
      <c r="S117" s="555"/>
      <c r="T117" s="555"/>
      <c r="U117" s="555"/>
      <c r="V117" s="556"/>
      <c r="W117" s="37" t="s">
        <v>69</v>
      </c>
      <c r="X117" s="541">
        <f>IFERROR(SUM(X112:X115),"0")</f>
        <v>778</v>
      </c>
      <c r="Y117" s="541">
        <f>IFERROR(SUM(Y112:Y115),"0")</f>
        <v>784.8</v>
      </c>
      <c r="Z117" s="37"/>
      <c r="AA117" s="542"/>
      <c r="AB117" s="542"/>
      <c r="AC117" s="542"/>
    </row>
    <row r="118" spans="1:68" ht="14.25" hidden="1" customHeight="1" x14ac:dyDescent="0.25">
      <c r="A118" s="550" t="s">
        <v>163</v>
      </c>
      <c r="B118" s="549"/>
      <c r="C118" s="549"/>
      <c r="D118" s="549"/>
      <c r="E118" s="549"/>
      <c r="F118" s="549"/>
      <c r="G118" s="549"/>
      <c r="H118" s="549"/>
      <c r="I118" s="549"/>
      <c r="J118" s="549"/>
      <c r="K118" s="549"/>
      <c r="L118" s="549"/>
      <c r="M118" s="549"/>
      <c r="N118" s="549"/>
      <c r="O118" s="549"/>
      <c r="P118" s="549"/>
      <c r="Q118" s="549"/>
      <c r="R118" s="549"/>
      <c r="S118" s="549"/>
      <c r="T118" s="549"/>
      <c r="U118" s="549"/>
      <c r="V118" s="549"/>
      <c r="W118" s="549"/>
      <c r="X118" s="549"/>
      <c r="Y118" s="549"/>
      <c r="Z118" s="549"/>
      <c r="AA118" s="535"/>
      <c r="AB118" s="535"/>
      <c r="AC118" s="535"/>
    </row>
    <row r="119" spans="1:68" ht="16.5" hidden="1" customHeight="1" x14ac:dyDescent="0.25">
      <c r="A119" s="54" t="s">
        <v>218</v>
      </c>
      <c r="B119" s="54" t="s">
        <v>219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 t="s">
        <v>214</v>
      </c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220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1"/>
      <c r="B120" s="549"/>
      <c r="C120" s="549"/>
      <c r="D120" s="549"/>
      <c r="E120" s="549"/>
      <c r="F120" s="549"/>
      <c r="G120" s="549"/>
      <c r="H120" s="549"/>
      <c r="I120" s="549"/>
      <c r="J120" s="549"/>
      <c r="K120" s="549"/>
      <c r="L120" s="549"/>
      <c r="M120" s="549"/>
      <c r="N120" s="549"/>
      <c r="O120" s="552"/>
      <c r="P120" s="554" t="s">
        <v>71</v>
      </c>
      <c r="Q120" s="555"/>
      <c r="R120" s="555"/>
      <c r="S120" s="555"/>
      <c r="T120" s="555"/>
      <c r="U120" s="555"/>
      <c r="V120" s="556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49"/>
      <c r="B121" s="549"/>
      <c r="C121" s="549"/>
      <c r="D121" s="549"/>
      <c r="E121" s="549"/>
      <c r="F121" s="549"/>
      <c r="G121" s="549"/>
      <c r="H121" s="549"/>
      <c r="I121" s="549"/>
      <c r="J121" s="549"/>
      <c r="K121" s="549"/>
      <c r="L121" s="549"/>
      <c r="M121" s="549"/>
      <c r="N121" s="549"/>
      <c r="O121" s="552"/>
      <c r="P121" s="554" t="s">
        <v>71</v>
      </c>
      <c r="Q121" s="555"/>
      <c r="R121" s="555"/>
      <c r="S121" s="555"/>
      <c r="T121" s="555"/>
      <c r="U121" s="555"/>
      <c r="V121" s="556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48" t="s">
        <v>221</v>
      </c>
      <c r="B122" s="549"/>
      <c r="C122" s="549"/>
      <c r="D122" s="549"/>
      <c r="E122" s="549"/>
      <c r="F122" s="549"/>
      <c r="G122" s="549"/>
      <c r="H122" s="549"/>
      <c r="I122" s="549"/>
      <c r="J122" s="549"/>
      <c r="K122" s="549"/>
      <c r="L122" s="549"/>
      <c r="M122" s="549"/>
      <c r="N122" s="549"/>
      <c r="O122" s="549"/>
      <c r="P122" s="549"/>
      <c r="Q122" s="549"/>
      <c r="R122" s="549"/>
      <c r="S122" s="549"/>
      <c r="T122" s="549"/>
      <c r="U122" s="549"/>
      <c r="V122" s="549"/>
      <c r="W122" s="549"/>
      <c r="X122" s="549"/>
      <c r="Y122" s="549"/>
      <c r="Z122" s="549"/>
      <c r="AA122" s="534"/>
      <c r="AB122" s="534"/>
      <c r="AC122" s="534"/>
    </row>
    <row r="123" spans="1:68" ht="14.25" hidden="1" customHeight="1" x14ac:dyDescent="0.25">
      <c r="A123" s="550" t="s">
        <v>99</v>
      </c>
      <c r="B123" s="549"/>
      <c r="C123" s="549"/>
      <c r="D123" s="549"/>
      <c r="E123" s="549"/>
      <c r="F123" s="549"/>
      <c r="G123" s="549"/>
      <c r="H123" s="549"/>
      <c r="I123" s="549"/>
      <c r="J123" s="549"/>
      <c r="K123" s="549"/>
      <c r="L123" s="549"/>
      <c r="M123" s="549"/>
      <c r="N123" s="549"/>
      <c r="O123" s="549"/>
      <c r="P123" s="549"/>
      <c r="Q123" s="549"/>
      <c r="R123" s="549"/>
      <c r="S123" s="549"/>
      <c r="T123" s="549"/>
      <c r="U123" s="549"/>
      <c r="V123" s="549"/>
      <c r="W123" s="549"/>
      <c r="X123" s="549"/>
      <c r="Y123" s="549"/>
      <c r="Z123" s="549"/>
      <c r="AA123" s="535"/>
      <c r="AB123" s="535"/>
      <c r="AC123" s="535"/>
    </row>
    <row r="124" spans="1:68" ht="27" customHeight="1" x14ac:dyDescent="0.25">
      <c r="A124" s="54" t="s">
        <v>222</v>
      </c>
      <c r="B124" s="54" t="s">
        <v>223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214</v>
      </c>
      <c r="M124" s="33" t="s">
        <v>94</v>
      </c>
      <c r="N124" s="33"/>
      <c r="O124" s="32">
        <v>90</v>
      </c>
      <c r="P124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39">
        <v>80</v>
      </c>
      <c r="Y124" s="540">
        <f>IFERROR(IF(X124="",0,CEILING((X124/$H124),1)*$H124),"")</f>
        <v>80</v>
      </c>
      <c r="Z124" s="36">
        <f>IFERROR(IF(Y124=0,"",ROUNDUP(Y124/H124,0)*0.00651),"")</f>
        <v>0.16275000000000001</v>
      </c>
      <c r="AA124" s="56"/>
      <c r="AB124" s="57"/>
      <c r="AC124" s="165" t="s">
        <v>224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84.499999999999986</v>
      </c>
      <c r="BN124" s="64">
        <f>IFERROR(Y124*I124/H124,"0")</f>
        <v>84.499999999999986</v>
      </c>
      <c r="BO124" s="64">
        <f>IFERROR(1/J124*(X124/H124),"0")</f>
        <v>0.13736263736263737</v>
      </c>
      <c r="BP124" s="64">
        <f>IFERROR(1/J124*(Y124/H124),"0")</f>
        <v>0.13736263736263737</v>
      </c>
    </row>
    <row r="125" spans="1:68" ht="27" hidden="1" customHeight="1" x14ac:dyDescent="0.25">
      <c r="A125" s="54" t="s">
        <v>222</v>
      </c>
      <c r="B125" s="54" t="s">
        <v>225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224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1"/>
      <c r="B126" s="549"/>
      <c r="C126" s="549"/>
      <c r="D126" s="549"/>
      <c r="E126" s="549"/>
      <c r="F126" s="549"/>
      <c r="G126" s="549"/>
      <c r="H126" s="549"/>
      <c r="I126" s="549"/>
      <c r="J126" s="549"/>
      <c r="K126" s="549"/>
      <c r="L126" s="549"/>
      <c r="M126" s="549"/>
      <c r="N126" s="549"/>
      <c r="O126" s="552"/>
      <c r="P126" s="554" t="s">
        <v>71</v>
      </c>
      <c r="Q126" s="555"/>
      <c r="R126" s="555"/>
      <c r="S126" s="555"/>
      <c r="T126" s="555"/>
      <c r="U126" s="555"/>
      <c r="V126" s="556"/>
      <c r="W126" s="37" t="s">
        <v>72</v>
      </c>
      <c r="X126" s="541">
        <f>IFERROR(X124/H124,"0")+IFERROR(X125/H125,"0")</f>
        <v>25</v>
      </c>
      <c r="Y126" s="541">
        <f>IFERROR(Y124/H124,"0")+IFERROR(Y125/H125,"0")</f>
        <v>25</v>
      </c>
      <c r="Z126" s="541">
        <f>IFERROR(IF(Z124="",0,Z124),"0")+IFERROR(IF(Z125="",0,Z125),"0")</f>
        <v>0.16275000000000001</v>
      </c>
      <c r="AA126" s="542"/>
      <c r="AB126" s="542"/>
      <c r="AC126" s="542"/>
    </row>
    <row r="127" spans="1:68" x14ac:dyDescent="0.2">
      <c r="A127" s="549"/>
      <c r="B127" s="549"/>
      <c r="C127" s="549"/>
      <c r="D127" s="549"/>
      <c r="E127" s="549"/>
      <c r="F127" s="549"/>
      <c r="G127" s="549"/>
      <c r="H127" s="549"/>
      <c r="I127" s="549"/>
      <c r="J127" s="549"/>
      <c r="K127" s="549"/>
      <c r="L127" s="549"/>
      <c r="M127" s="549"/>
      <c r="N127" s="549"/>
      <c r="O127" s="552"/>
      <c r="P127" s="554" t="s">
        <v>71</v>
      </c>
      <c r="Q127" s="555"/>
      <c r="R127" s="555"/>
      <c r="S127" s="555"/>
      <c r="T127" s="555"/>
      <c r="U127" s="555"/>
      <c r="V127" s="556"/>
      <c r="W127" s="37" t="s">
        <v>69</v>
      </c>
      <c r="X127" s="541">
        <f>IFERROR(SUM(X124:X125),"0")</f>
        <v>80</v>
      </c>
      <c r="Y127" s="541">
        <f>IFERROR(SUM(Y124:Y125),"0")</f>
        <v>80</v>
      </c>
      <c r="Z127" s="37"/>
      <c r="AA127" s="542"/>
      <c r="AB127" s="542"/>
      <c r="AC127" s="542"/>
    </row>
    <row r="128" spans="1:68" ht="14.25" hidden="1" customHeight="1" x14ac:dyDescent="0.25">
      <c r="A128" s="550" t="s">
        <v>64</v>
      </c>
      <c r="B128" s="549"/>
      <c r="C128" s="549"/>
      <c r="D128" s="549"/>
      <c r="E128" s="549"/>
      <c r="F128" s="549"/>
      <c r="G128" s="549"/>
      <c r="H128" s="549"/>
      <c r="I128" s="549"/>
      <c r="J128" s="549"/>
      <c r="K128" s="549"/>
      <c r="L128" s="549"/>
      <c r="M128" s="549"/>
      <c r="N128" s="549"/>
      <c r="O128" s="549"/>
      <c r="P128" s="549"/>
      <c r="Q128" s="549"/>
      <c r="R128" s="549"/>
      <c r="S128" s="549"/>
      <c r="T128" s="549"/>
      <c r="U128" s="549"/>
      <c r="V128" s="549"/>
      <c r="W128" s="549"/>
      <c r="X128" s="549"/>
      <c r="Y128" s="549"/>
      <c r="Z128" s="549"/>
      <c r="AA128" s="535"/>
      <c r="AB128" s="535"/>
      <c r="AC128" s="535"/>
    </row>
    <row r="129" spans="1:68" ht="27" hidden="1" customHeight="1" x14ac:dyDescent="0.25">
      <c r="A129" s="54" t="s">
        <v>226</v>
      </c>
      <c r="B129" s="54" t="s">
        <v>227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228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226</v>
      </c>
      <c r="B130" s="54" t="s">
        <v>229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214</v>
      </c>
      <c r="M130" s="33" t="s">
        <v>94</v>
      </c>
      <c r="N130" s="33"/>
      <c r="O130" s="32">
        <v>90</v>
      </c>
      <c r="P130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228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1"/>
      <c r="B131" s="549"/>
      <c r="C131" s="549"/>
      <c r="D131" s="549"/>
      <c r="E131" s="549"/>
      <c r="F131" s="549"/>
      <c r="G131" s="549"/>
      <c r="H131" s="549"/>
      <c r="I131" s="549"/>
      <c r="J131" s="549"/>
      <c r="K131" s="549"/>
      <c r="L131" s="549"/>
      <c r="M131" s="549"/>
      <c r="N131" s="549"/>
      <c r="O131" s="552"/>
      <c r="P131" s="554" t="s">
        <v>71</v>
      </c>
      <c r="Q131" s="555"/>
      <c r="R131" s="555"/>
      <c r="S131" s="555"/>
      <c r="T131" s="555"/>
      <c r="U131" s="555"/>
      <c r="V131" s="556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49"/>
      <c r="B132" s="549"/>
      <c r="C132" s="549"/>
      <c r="D132" s="549"/>
      <c r="E132" s="549"/>
      <c r="F132" s="549"/>
      <c r="G132" s="549"/>
      <c r="H132" s="549"/>
      <c r="I132" s="549"/>
      <c r="J132" s="549"/>
      <c r="K132" s="549"/>
      <c r="L132" s="549"/>
      <c r="M132" s="549"/>
      <c r="N132" s="549"/>
      <c r="O132" s="552"/>
      <c r="P132" s="554" t="s">
        <v>71</v>
      </c>
      <c r="Q132" s="555"/>
      <c r="R132" s="555"/>
      <c r="S132" s="555"/>
      <c r="T132" s="555"/>
      <c r="U132" s="555"/>
      <c r="V132" s="556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0" t="s">
        <v>73</v>
      </c>
      <c r="B133" s="549"/>
      <c r="C133" s="549"/>
      <c r="D133" s="549"/>
      <c r="E133" s="549"/>
      <c r="F133" s="549"/>
      <c r="G133" s="549"/>
      <c r="H133" s="549"/>
      <c r="I133" s="549"/>
      <c r="J133" s="549"/>
      <c r="K133" s="549"/>
      <c r="L133" s="549"/>
      <c r="M133" s="549"/>
      <c r="N133" s="549"/>
      <c r="O133" s="549"/>
      <c r="P133" s="549"/>
      <c r="Q133" s="549"/>
      <c r="R133" s="549"/>
      <c r="S133" s="549"/>
      <c r="T133" s="549"/>
      <c r="U133" s="549"/>
      <c r="V133" s="549"/>
      <c r="W133" s="549"/>
      <c r="X133" s="549"/>
      <c r="Y133" s="549"/>
      <c r="Z133" s="549"/>
      <c r="AA133" s="535"/>
      <c r="AB133" s="535"/>
      <c r="AC133" s="535"/>
    </row>
    <row r="134" spans="1:68" ht="16.5" hidden="1" customHeight="1" x14ac:dyDescent="0.25">
      <c r="A134" s="54" t="s">
        <v>230</v>
      </c>
      <c r="B134" s="54" t="s">
        <v>231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224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230</v>
      </c>
      <c r="B135" s="54" t="s">
        <v>232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 t="s">
        <v>214</v>
      </c>
      <c r="M135" s="33" t="s">
        <v>94</v>
      </c>
      <c r="N135" s="33"/>
      <c r="O135" s="32">
        <v>60</v>
      </c>
      <c r="P135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39">
        <v>33</v>
      </c>
      <c r="Y135" s="540">
        <f>IFERROR(IF(X135="",0,CEILING((X135/$H135),1)*$H135),"")</f>
        <v>34.32</v>
      </c>
      <c r="Z135" s="36">
        <f>IFERROR(IF(Y135=0,"",ROUNDUP(Y135/H135,0)*0.00651),"")</f>
        <v>8.4629999999999997E-2</v>
      </c>
      <c r="AA135" s="56"/>
      <c r="AB135" s="57"/>
      <c r="AC135" s="175" t="s">
        <v>224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36.349999999999994</v>
      </c>
      <c r="BN135" s="64">
        <f>IFERROR(Y135*I135/H135,"0")</f>
        <v>37.803999999999995</v>
      </c>
      <c r="BO135" s="64">
        <f>IFERROR(1/J135*(X135/H135),"0")</f>
        <v>6.8681318681318687E-2</v>
      </c>
      <c r="BP135" s="64">
        <f>IFERROR(1/J135*(Y135/H135),"0")</f>
        <v>7.1428571428571438E-2</v>
      </c>
    </row>
    <row r="136" spans="1:68" x14ac:dyDescent="0.2">
      <c r="A136" s="551"/>
      <c r="B136" s="549"/>
      <c r="C136" s="549"/>
      <c r="D136" s="549"/>
      <c r="E136" s="549"/>
      <c r="F136" s="549"/>
      <c r="G136" s="549"/>
      <c r="H136" s="549"/>
      <c r="I136" s="549"/>
      <c r="J136" s="549"/>
      <c r="K136" s="549"/>
      <c r="L136" s="549"/>
      <c r="M136" s="549"/>
      <c r="N136" s="549"/>
      <c r="O136" s="552"/>
      <c r="P136" s="554" t="s">
        <v>71</v>
      </c>
      <c r="Q136" s="555"/>
      <c r="R136" s="555"/>
      <c r="S136" s="555"/>
      <c r="T136" s="555"/>
      <c r="U136" s="555"/>
      <c r="V136" s="556"/>
      <c r="W136" s="37" t="s">
        <v>72</v>
      </c>
      <c r="X136" s="541">
        <f>IFERROR(X134/H134,"0")+IFERROR(X135/H135,"0")</f>
        <v>12.5</v>
      </c>
      <c r="Y136" s="541">
        <f>IFERROR(Y134/H134,"0")+IFERROR(Y135/H135,"0")</f>
        <v>13</v>
      </c>
      <c r="Z136" s="541">
        <f>IFERROR(IF(Z134="",0,Z134),"0")+IFERROR(IF(Z135="",0,Z135),"0")</f>
        <v>8.4629999999999997E-2</v>
      </c>
      <c r="AA136" s="542"/>
      <c r="AB136" s="542"/>
      <c r="AC136" s="542"/>
    </row>
    <row r="137" spans="1:68" x14ac:dyDescent="0.2">
      <c r="A137" s="549"/>
      <c r="B137" s="549"/>
      <c r="C137" s="549"/>
      <c r="D137" s="549"/>
      <c r="E137" s="549"/>
      <c r="F137" s="549"/>
      <c r="G137" s="549"/>
      <c r="H137" s="549"/>
      <c r="I137" s="549"/>
      <c r="J137" s="549"/>
      <c r="K137" s="549"/>
      <c r="L137" s="549"/>
      <c r="M137" s="549"/>
      <c r="N137" s="549"/>
      <c r="O137" s="552"/>
      <c r="P137" s="554" t="s">
        <v>71</v>
      </c>
      <c r="Q137" s="555"/>
      <c r="R137" s="555"/>
      <c r="S137" s="555"/>
      <c r="T137" s="555"/>
      <c r="U137" s="555"/>
      <c r="V137" s="556"/>
      <c r="W137" s="37" t="s">
        <v>69</v>
      </c>
      <c r="X137" s="541">
        <f>IFERROR(SUM(X134:X135),"0")</f>
        <v>33</v>
      </c>
      <c r="Y137" s="541">
        <f>IFERROR(SUM(Y134:Y135),"0")</f>
        <v>34.32</v>
      </c>
      <c r="Z137" s="37"/>
      <c r="AA137" s="542"/>
      <c r="AB137" s="542"/>
      <c r="AC137" s="542"/>
    </row>
    <row r="138" spans="1:68" ht="16.5" hidden="1" customHeight="1" x14ac:dyDescent="0.25">
      <c r="A138" s="548" t="s">
        <v>97</v>
      </c>
      <c r="B138" s="549"/>
      <c r="C138" s="549"/>
      <c r="D138" s="549"/>
      <c r="E138" s="549"/>
      <c r="F138" s="549"/>
      <c r="G138" s="549"/>
      <c r="H138" s="549"/>
      <c r="I138" s="549"/>
      <c r="J138" s="549"/>
      <c r="K138" s="549"/>
      <c r="L138" s="549"/>
      <c r="M138" s="549"/>
      <c r="N138" s="549"/>
      <c r="O138" s="549"/>
      <c r="P138" s="549"/>
      <c r="Q138" s="549"/>
      <c r="R138" s="549"/>
      <c r="S138" s="549"/>
      <c r="T138" s="549"/>
      <c r="U138" s="549"/>
      <c r="V138" s="549"/>
      <c r="W138" s="549"/>
      <c r="X138" s="549"/>
      <c r="Y138" s="549"/>
      <c r="Z138" s="549"/>
      <c r="AA138" s="534"/>
      <c r="AB138" s="534"/>
      <c r="AC138" s="534"/>
    </row>
    <row r="139" spans="1:68" ht="14.25" hidden="1" customHeight="1" x14ac:dyDescent="0.25">
      <c r="A139" s="550" t="s">
        <v>99</v>
      </c>
      <c r="B139" s="549"/>
      <c r="C139" s="549"/>
      <c r="D139" s="549"/>
      <c r="E139" s="549"/>
      <c r="F139" s="549"/>
      <c r="G139" s="549"/>
      <c r="H139" s="549"/>
      <c r="I139" s="549"/>
      <c r="J139" s="549"/>
      <c r="K139" s="549"/>
      <c r="L139" s="549"/>
      <c r="M139" s="549"/>
      <c r="N139" s="549"/>
      <c r="O139" s="549"/>
      <c r="P139" s="549"/>
      <c r="Q139" s="549"/>
      <c r="R139" s="549"/>
      <c r="S139" s="549"/>
      <c r="T139" s="549"/>
      <c r="U139" s="549"/>
      <c r="V139" s="549"/>
      <c r="W139" s="549"/>
      <c r="X139" s="549"/>
      <c r="Y139" s="549"/>
      <c r="Z139" s="549"/>
      <c r="AA139" s="535"/>
      <c r="AB139" s="535"/>
      <c r="AC139" s="535"/>
    </row>
    <row r="140" spans="1:68" ht="27" hidden="1" customHeight="1" x14ac:dyDescent="0.25">
      <c r="A140" s="54" t="s">
        <v>233</v>
      </c>
      <c r="B140" s="54" t="s">
        <v>234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235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236</v>
      </c>
      <c r="B141" s="54" t="s">
        <v>237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239</v>
      </c>
      <c r="B142" s="54" t="s">
        <v>240</v>
      </c>
      <c r="C142" s="31">
        <v>4301012179</v>
      </c>
      <c r="D142" s="543">
        <v>4680115886810</v>
      </c>
      <c r="E142" s="544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9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1"/>
      <c r="B143" s="549"/>
      <c r="C143" s="549"/>
      <c r="D143" s="549"/>
      <c r="E143" s="549"/>
      <c r="F143" s="549"/>
      <c r="G143" s="549"/>
      <c r="H143" s="549"/>
      <c r="I143" s="549"/>
      <c r="J143" s="549"/>
      <c r="K143" s="549"/>
      <c r="L143" s="549"/>
      <c r="M143" s="549"/>
      <c r="N143" s="549"/>
      <c r="O143" s="552"/>
      <c r="P143" s="554" t="s">
        <v>71</v>
      </c>
      <c r="Q143" s="555"/>
      <c r="R143" s="555"/>
      <c r="S143" s="555"/>
      <c r="T143" s="555"/>
      <c r="U143" s="555"/>
      <c r="V143" s="556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hidden="1" x14ac:dyDescent="0.2">
      <c r="A144" s="549"/>
      <c r="B144" s="549"/>
      <c r="C144" s="549"/>
      <c r="D144" s="549"/>
      <c r="E144" s="549"/>
      <c r="F144" s="549"/>
      <c r="G144" s="549"/>
      <c r="H144" s="549"/>
      <c r="I144" s="549"/>
      <c r="J144" s="549"/>
      <c r="K144" s="549"/>
      <c r="L144" s="549"/>
      <c r="M144" s="549"/>
      <c r="N144" s="549"/>
      <c r="O144" s="552"/>
      <c r="P144" s="554" t="s">
        <v>71</v>
      </c>
      <c r="Q144" s="555"/>
      <c r="R144" s="555"/>
      <c r="S144" s="555"/>
      <c r="T144" s="555"/>
      <c r="U144" s="555"/>
      <c r="V144" s="556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hidden="1" customHeight="1" x14ac:dyDescent="0.25">
      <c r="A145" s="550" t="s">
        <v>64</v>
      </c>
      <c r="B145" s="549"/>
      <c r="C145" s="549"/>
      <c r="D145" s="549"/>
      <c r="E145" s="549"/>
      <c r="F145" s="549"/>
      <c r="G145" s="549"/>
      <c r="H145" s="549"/>
      <c r="I145" s="549"/>
      <c r="J145" s="549"/>
      <c r="K145" s="549"/>
      <c r="L145" s="549"/>
      <c r="M145" s="549"/>
      <c r="N145" s="549"/>
      <c r="O145" s="549"/>
      <c r="P145" s="549"/>
      <c r="Q145" s="549"/>
      <c r="R145" s="549"/>
      <c r="S145" s="549"/>
      <c r="T145" s="549"/>
      <c r="U145" s="549"/>
      <c r="V145" s="549"/>
      <c r="W145" s="549"/>
      <c r="X145" s="549"/>
      <c r="Y145" s="549"/>
      <c r="Z145" s="549"/>
      <c r="AA145" s="535"/>
      <c r="AB145" s="535"/>
      <c r="AC145" s="535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43">
        <v>4607091387667</v>
      </c>
      <c r="E146" s="544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43">
        <v>4607091387636</v>
      </c>
      <c r="E147" s="544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43">
        <v>4607091382426</v>
      </c>
      <c r="E148" s="544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1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1"/>
      <c r="B149" s="549"/>
      <c r="C149" s="549"/>
      <c r="D149" s="549"/>
      <c r="E149" s="549"/>
      <c r="F149" s="549"/>
      <c r="G149" s="549"/>
      <c r="H149" s="549"/>
      <c r="I149" s="549"/>
      <c r="J149" s="549"/>
      <c r="K149" s="549"/>
      <c r="L149" s="549"/>
      <c r="M149" s="549"/>
      <c r="N149" s="549"/>
      <c r="O149" s="552"/>
      <c r="P149" s="554" t="s">
        <v>71</v>
      </c>
      <c r="Q149" s="555"/>
      <c r="R149" s="555"/>
      <c r="S149" s="555"/>
      <c r="T149" s="555"/>
      <c r="U149" s="555"/>
      <c r="V149" s="556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hidden="1" x14ac:dyDescent="0.2">
      <c r="A150" s="549"/>
      <c r="B150" s="549"/>
      <c r="C150" s="549"/>
      <c r="D150" s="549"/>
      <c r="E150" s="549"/>
      <c r="F150" s="549"/>
      <c r="G150" s="549"/>
      <c r="H150" s="549"/>
      <c r="I150" s="549"/>
      <c r="J150" s="549"/>
      <c r="K150" s="549"/>
      <c r="L150" s="549"/>
      <c r="M150" s="549"/>
      <c r="N150" s="549"/>
      <c r="O150" s="552"/>
      <c r="P150" s="554" t="s">
        <v>71</v>
      </c>
      <c r="Q150" s="555"/>
      <c r="R150" s="555"/>
      <c r="S150" s="555"/>
      <c r="T150" s="555"/>
      <c r="U150" s="555"/>
      <c r="V150" s="556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hidden="1" customHeight="1" x14ac:dyDescent="0.25">
      <c r="A151" s="550" t="s">
        <v>73</v>
      </c>
      <c r="B151" s="549"/>
      <c r="C151" s="549"/>
      <c r="D151" s="549"/>
      <c r="E151" s="549"/>
      <c r="F151" s="549"/>
      <c r="G151" s="549"/>
      <c r="H151" s="549"/>
      <c r="I151" s="549"/>
      <c r="J151" s="549"/>
      <c r="K151" s="549"/>
      <c r="L151" s="549"/>
      <c r="M151" s="549"/>
      <c r="N151" s="549"/>
      <c r="O151" s="549"/>
      <c r="P151" s="549"/>
      <c r="Q151" s="549"/>
      <c r="R151" s="549"/>
      <c r="S151" s="549"/>
      <c r="T151" s="549"/>
      <c r="U151" s="549"/>
      <c r="V151" s="549"/>
      <c r="W151" s="549"/>
      <c r="X151" s="549"/>
      <c r="Y151" s="549"/>
      <c r="Z151" s="549"/>
      <c r="AA151" s="535"/>
      <c r="AB151" s="535"/>
      <c r="AC151" s="535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43">
        <v>4680115887459</v>
      </c>
      <c r="E152" s="544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4" t="s">
        <v>253</v>
      </c>
      <c r="Q152" s="546"/>
      <c r="R152" s="546"/>
      <c r="S152" s="546"/>
      <c r="T152" s="547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254</v>
      </c>
      <c r="AC152" s="189" t="s">
        <v>255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1"/>
      <c r="B153" s="549"/>
      <c r="C153" s="549"/>
      <c r="D153" s="549"/>
      <c r="E153" s="549"/>
      <c r="F153" s="549"/>
      <c r="G153" s="549"/>
      <c r="H153" s="549"/>
      <c r="I153" s="549"/>
      <c r="J153" s="549"/>
      <c r="K153" s="549"/>
      <c r="L153" s="549"/>
      <c r="M153" s="549"/>
      <c r="N153" s="549"/>
      <c r="O153" s="552"/>
      <c r="P153" s="554" t="s">
        <v>71</v>
      </c>
      <c r="Q153" s="555"/>
      <c r="R153" s="555"/>
      <c r="S153" s="555"/>
      <c r="T153" s="555"/>
      <c r="U153" s="555"/>
      <c r="V153" s="556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hidden="1" x14ac:dyDescent="0.2">
      <c r="A154" s="549"/>
      <c r="B154" s="549"/>
      <c r="C154" s="549"/>
      <c r="D154" s="549"/>
      <c r="E154" s="549"/>
      <c r="F154" s="549"/>
      <c r="G154" s="549"/>
      <c r="H154" s="549"/>
      <c r="I154" s="549"/>
      <c r="J154" s="549"/>
      <c r="K154" s="549"/>
      <c r="L154" s="549"/>
      <c r="M154" s="549"/>
      <c r="N154" s="549"/>
      <c r="O154" s="552"/>
      <c r="P154" s="554" t="s">
        <v>71</v>
      </c>
      <c r="Q154" s="555"/>
      <c r="R154" s="555"/>
      <c r="S154" s="555"/>
      <c r="T154" s="555"/>
      <c r="U154" s="555"/>
      <c r="V154" s="556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hidden="1" customHeight="1" x14ac:dyDescent="0.2">
      <c r="A155" s="695" t="s">
        <v>256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48"/>
      <c r="AB155" s="48"/>
      <c r="AC155" s="48"/>
    </row>
    <row r="156" spans="1:68" ht="16.5" hidden="1" customHeight="1" x14ac:dyDescent="0.25">
      <c r="A156" s="548" t="s">
        <v>257</v>
      </c>
      <c r="B156" s="549"/>
      <c r="C156" s="549"/>
      <c r="D156" s="549"/>
      <c r="E156" s="549"/>
      <c r="F156" s="549"/>
      <c r="G156" s="549"/>
      <c r="H156" s="549"/>
      <c r="I156" s="549"/>
      <c r="J156" s="549"/>
      <c r="K156" s="549"/>
      <c r="L156" s="549"/>
      <c r="M156" s="549"/>
      <c r="N156" s="549"/>
      <c r="O156" s="549"/>
      <c r="P156" s="549"/>
      <c r="Q156" s="549"/>
      <c r="R156" s="549"/>
      <c r="S156" s="549"/>
      <c r="T156" s="549"/>
      <c r="U156" s="549"/>
      <c r="V156" s="549"/>
      <c r="W156" s="549"/>
      <c r="X156" s="549"/>
      <c r="Y156" s="549"/>
      <c r="Z156" s="549"/>
      <c r="AA156" s="534"/>
      <c r="AB156" s="534"/>
      <c r="AC156" s="534"/>
    </row>
    <row r="157" spans="1:68" ht="14.25" hidden="1" customHeight="1" x14ac:dyDescent="0.25">
      <c r="A157" s="550" t="s">
        <v>135</v>
      </c>
      <c r="B157" s="549"/>
      <c r="C157" s="549"/>
      <c r="D157" s="549"/>
      <c r="E157" s="549"/>
      <c r="F157" s="549"/>
      <c r="G157" s="549"/>
      <c r="H157" s="549"/>
      <c r="I157" s="549"/>
      <c r="J157" s="549"/>
      <c r="K157" s="549"/>
      <c r="L157" s="549"/>
      <c r="M157" s="549"/>
      <c r="N157" s="549"/>
      <c r="O157" s="549"/>
      <c r="P157" s="549"/>
      <c r="Q157" s="549"/>
      <c r="R157" s="549"/>
      <c r="S157" s="549"/>
      <c r="T157" s="549"/>
      <c r="U157" s="549"/>
      <c r="V157" s="549"/>
      <c r="W157" s="549"/>
      <c r="X157" s="549"/>
      <c r="Y157" s="549"/>
      <c r="Z157" s="549"/>
      <c r="AA157" s="535"/>
      <c r="AB157" s="535"/>
      <c r="AC157" s="535"/>
    </row>
    <row r="158" spans="1:68" ht="27" hidden="1" customHeight="1" x14ac:dyDescent="0.25">
      <c r="A158" s="54" t="s">
        <v>258</v>
      </c>
      <c r="B158" s="54" t="s">
        <v>259</v>
      </c>
      <c r="C158" s="31">
        <v>4301020323</v>
      </c>
      <c r="D158" s="543">
        <v>4680115886223</v>
      </c>
      <c r="E158" s="544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260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1"/>
      <c r="B159" s="549"/>
      <c r="C159" s="549"/>
      <c r="D159" s="549"/>
      <c r="E159" s="549"/>
      <c r="F159" s="549"/>
      <c r="G159" s="549"/>
      <c r="H159" s="549"/>
      <c r="I159" s="549"/>
      <c r="J159" s="549"/>
      <c r="K159" s="549"/>
      <c r="L159" s="549"/>
      <c r="M159" s="549"/>
      <c r="N159" s="549"/>
      <c r="O159" s="552"/>
      <c r="P159" s="554" t="s">
        <v>71</v>
      </c>
      <c r="Q159" s="555"/>
      <c r="R159" s="555"/>
      <c r="S159" s="555"/>
      <c r="T159" s="555"/>
      <c r="U159" s="555"/>
      <c r="V159" s="556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hidden="1" x14ac:dyDescent="0.2">
      <c r="A160" s="549"/>
      <c r="B160" s="549"/>
      <c r="C160" s="549"/>
      <c r="D160" s="549"/>
      <c r="E160" s="549"/>
      <c r="F160" s="549"/>
      <c r="G160" s="549"/>
      <c r="H160" s="549"/>
      <c r="I160" s="549"/>
      <c r="J160" s="549"/>
      <c r="K160" s="549"/>
      <c r="L160" s="549"/>
      <c r="M160" s="549"/>
      <c r="N160" s="549"/>
      <c r="O160" s="552"/>
      <c r="P160" s="554" t="s">
        <v>71</v>
      </c>
      <c r="Q160" s="555"/>
      <c r="R160" s="555"/>
      <c r="S160" s="555"/>
      <c r="T160" s="555"/>
      <c r="U160" s="555"/>
      <c r="V160" s="556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hidden="1" customHeight="1" x14ac:dyDescent="0.25">
      <c r="A161" s="550" t="s">
        <v>64</v>
      </c>
      <c r="B161" s="549"/>
      <c r="C161" s="549"/>
      <c r="D161" s="549"/>
      <c r="E161" s="549"/>
      <c r="F161" s="549"/>
      <c r="G161" s="549"/>
      <c r="H161" s="549"/>
      <c r="I161" s="549"/>
      <c r="J161" s="549"/>
      <c r="K161" s="549"/>
      <c r="L161" s="549"/>
      <c r="M161" s="549"/>
      <c r="N161" s="549"/>
      <c r="O161" s="549"/>
      <c r="P161" s="549"/>
      <c r="Q161" s="549"/>
      <c r="R161" s="549"/>
      <c r="S161" s="549"/>
      <c r="T161" s="549"/>
      <c r="U161" s="549"/>
      <c r="V161" s="549"/>
      <c r="W161" s="549"/>
      <c r="X161" s="549"/>
      <c r="Y161" s="549"/>
      <c r="Z161" s="549"/>
      <c r="AA161" s="535"/>
      <c r="AB161" s="535"/>
      <c r="AC161" s="535"/>
    </row>
    <row r="162" spans="1:68" ht="27" hidden="1" customHeight="1" x14ac:dyDescent="0.25">
      <c r="A162" s="54" t="s">
        <v>261</v>
      </c>
      <c r="B162" s="54" t="s">
        <v>262</v>
      </c>
      <c r="C162" s="31">
        <v>4301031191</v>
      </c>
      <c r="D162" s="543">
        <v>4680115880993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197</v>
      </c>
      <c r="M162" s="33" t="s">
        <v>68</v>
      </c>
      <c r="N162" s="33"/>
      <c r="O162" s="32">
        <v>40</v>
      </c>
      <c r="P162" s="7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39">
        <v>0</v>
      </c>
      <c r="Y162" s="540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263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4301031204</v>
      </c>
      <c r="D163" s="543">
        <v>4680115881761</v>
      </c>
      <c r="E163" s="544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 t="s">
        <v>197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39">
        <v>30</v>
      </c>
      <c r="Y163" s="540">
        <f t="shared" si="5"/>
        <v>33.6</v>
      </c>
      <c r="Z163" s="36">
        <f>IFERROR(IF(Y163=0,"",ROUNDUP(Y163/H163,0)*0.00902),"")</f>
        <v>7.2160000000000002E-2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31.785714285714285</v>
      </c>
      <c r="BN163" s="64">
        <f t="shared" si="7"/>
        <v>35.6</v>
      </c>
      <c r="BO163" s="64">
        <f t="shared" si="8"/>
        <v>5.4112554112554112E-2</v>
      </c>
      <c r="BP163" s="64">
        <f t="shared" si="9"/>
        <v>6.0606060606060608E-2</v>
      </c>
    </row>
    <row r="164" spans="1:68" ht="27" customHeight="1" x14ac:dyDescent="0.25">
      <c r="A164" s="54" t="s">
        <v>267</v>
      </c>
      <c r="B164" s="54" t="s">
        <v>268</v>
      </c>
      <c r="C164" s="31">
        <v>4301031201</v>
      </c>
      <c r="D164" s="543">
        <v>4680115881563</v>
      </c>
      <c r="E164" s="544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197</v>
      </c>
      <c r="M164" s="33" t="s">
        <v>68</v>
      </c>
      <c r="N164" s="33"/>
      <c r="O164" s="32">
        <v>40</v>
      </c>
      <c r="P164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39">
        <v>100</v>
      </c>
      <c r="Y164" s="540">
        <f t="shared" si="5"/>
        <v>100.80000000000001</v>
      </c>
      <c r="Z164" s="36">
        <f>IFERROR(IF(Y164=0,"",ROUNDUP(Y164/H164,0)*0.00902),"")</f>
        <v>0.21648000000000001</v>
      </c>
      <c r="AA164" s="56"/>
      <c r="AB164" s="57"/>
      <c r="AC164" s="197" t="s">
        <v>269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104.5238095238095</v>
      </c>
      <c r="BN164" s="64">
        <f t="shared" si="7"/>
        <v>105.36</v>
      </c>
      <c r="BO164" s="64">
        <f t="shared" si="8"/>
        <v>0.18037518037518038</v>
      </c>
      <c r="BP164" s="64">
        <f t="shared" si="9"/>
        <v>0.18181818181818182</v>
      </c>
    </row>
    <row r="165" spans="1:68" ht="27" customHeight="1" x14ac:dyDescent="0.25">
      <c r="A165" s="54" t="s">
        <v>270</v>
      </c>
      <c r="B165" s="54" t="s">
        <v>271</v>
      </c>
      <c r="C165" s="31">
        <v>4301031199</v>
      </c>
      <c r="D165" s="543">
        <v>4680115880986</v>
      </c>
      <c r="E165" s="544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272</v>
      </c>
      <c r="M165" s="33" t="s">
        <v>68</v>
      </c>
      <c r="N165" s="33"/>
      <c r="O165" s="32">
        <v>40</v>
      </c>
      <c r="P165" s="57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39">
        <v>35</v>
      </c>
      <c r="Y165" s="540">
        <f t="shared" si="5"/>
        <v>35.700000000000003</v>
      </c>
      <c r="Z165" s="36">
        <f>IFERROR(IF(Y165=0,"",ROUNDUP(Y165/H165,0)*0.00502),"")</f>
        <v>8.5339999999999999E-2</v>
      </c>
      <c r="AA165" s="56"/>
      <c r="AB165" s="57"/>
      <c r="AC165" s="199" t="s">
        <v>263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37.166666666666664</v>
      </c>
      <c r="BN165" s="64">
        <f t="shared" si="7"/>
        <v>37.910000000000004</v>
      </c>
      <c r="BO165" s="64">
        <f t="shared" si="8"/>
        <v>7.1225071225071226E-2</v>
      </c>
      <c r="BP165" s="64">
        <f t="shared" si="9"/>
        <v>7.2649572649572655E-2</v>
      </c>
    </row>
    <row r="166" spans="1:68" ht="27" customHeight="1" x14ac:dyDescent="0.25">
      <c r="A166" s="54" t="s">
        <v>273</v>
      </c>
      <c r="B166" s="54" t="s">
        <v>274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 t="s">
        <v>272</v>
      </c>
      <c r="M166" s="33" t="s">
        <v>68</v>
      </c>
      <c r="N166" s="33"/>
      <c r="O166" s="32">
        <v>40</v>
      </c>
      <c r="P166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39">
        <v>70</v>
      </c>
      <c r="Y166" s="540">
        <f t="shared" si="5"/>
        <v>71.400000000000006</v>
      </c>
      <c r="Z166" s="36">
        <f>IFERROR(IF(Y166=0,"",ROUNDUP(Y166/H166,0)*0.00502),"")</f>
        <v>0.17068</v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74.333333333333329</v>
      </c>
      <c r="BN166" s="64">
        <f t="shared" si="7"/>
        <v>75.820000000000007</v>
      </c>
      <c r="BO166" s="64">
        <f t="shared" si="8"/>
        <v>0.14245014245014245</v>
      </c>
      <c r="BP166" s="64">
        <f t="shared" si="9"/>
        <v>0.14529914529914531</v>
      </c>
    </row>
    <row r="167" spans="1:68" ht="27" hidden="1" customHeight="1" x14ac:dyDescent="0.25">
      <c r="A167" s="54" t="s">
        <v>275</v>
      </c>
      <c r="B167" s="54" t="s">
        <v>276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277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278</v>
      </c>
      <c r="B168" s="54" t="s">
        <v>279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272</v>
      </c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39">
        <v>175</v>
      </c>
      <c r="Y168" s="540">
        <f t="shared" si="5"/>
        <v>176.4</v>
      </c>
      <c r="Z168" s="36">
        <f>IFERROR(IF(Y168=0,"",ROUNDUP(Y168/H168,0)*0.00502),"")</f>
        <v>0.42168</v>
      </c>
      <c r="AA168" s="56"/>
      <c r="AB168" s="57"/>
      <c r="AC168" s="205" t="s">
        <v>269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183.33333333333334</v>
      </c>
      <c r="BN168" s="64">
        <f t="shared" si="7"/>
        <v>184.8</v>
      </c>
      <c r="BO168" s="64">
        <f t="shared" si="8"/>
        <v>0.35612535612535612</v>
      </c>
      <c r="BP168" s="64">
        <f t="shared" si="9"/>
        <v>0.35897435897435903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269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282</v>
      </c>
      <c r="B170" s="54" t="s">
        <v>283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284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1"/>
      <c r="B171" s="549"/>
      <c r="C171" s="549"/>
      <c r="D171" s="549"/>
      <c r="E171" s="549"/>
      <c r="F171" s="549"/>
      <c r="G171" s="549"/>
      <c r="H171" s="549"/>
      <c r="I171" s="549"/>
      <c r="J171" s="549"/>
      <c r="K171" s="549"/>
      <c r="L171" s="549"/>
      <c r="M171" s="549"/>
      <c r="N171" s="549"/>
      <c r="O171" s="552"/>
      <c r="P171" s="554" t="s">
        <v>71</v>
      </c>
      <c r="Q171" s="555"/>
      <c r="R171" s="555"/>
      <c r="S171" s="555"/>
      <c r="T171" s="555"/>
      <c r="U171" s="555"/>
      <c r="V171" s="556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164.28571428571428</v>
      </c>
      <c r="Y171" s="541">
        <f>IFERROR(Y162/H162,"0")+IFERROR(Y163/H163,"0")+IFERROR(Y164/H164,"0")+IFERROR(Y165/H165,"0")+IFERROR(Y166/H166,"0")+IFERROR(Y167/H167,"0")+IFERROR(Y168/H168,"0")+IFERROR(Y169/H169,"0")+IFERROR(Y170/H170,"0")</f>
        <v>167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0.96633999999999998</v>
      </c>
      <c r="AA171" s="542"/>
      <c r="AB171" s="542"/>
      <c r="AC171" s="542"/>
    </row>
    <row r="172" spans="1:68" x14ac:dyDescent="0.2">
      <c r="A172" s="549"/>
      <c r="B172" s="549"/>
      <c r="C172" s="549"/>
      <c r="D172" s="549"/>
      <c r="E172" s="549"/>
      <c r="F172" s="549"/>
      <c r="G172" s="549"/>
      <c r="H172" s="549"/>
      <c r="I172" s="549"/>
      <c r="J172" s="549"/>
      <c r="K172" s="549"/>
      <c r="L172" s="549"/>
      <c r="M172" s="549"/>
      <c r="N172" s="549"/>
      <c r="O172" s="552"/>
      <c r="P172" s="554" t="s">
        <v>71</v>
      </c>
      <c r="Q172" s="555"/>
      <c r="R172" s="555"/>
      <c r="S172" s="555"/>
      <c r="T172" s="555"/>
      <c r="U172" s="555"/>
      <c r="V172" s="556"/>
      <c r="W172" s="37" t="s">
        <v>69</v>
      </c>
      <c r="X172" s="541">
        <f>IFERROR(SUM(X162:X170),"0")</f>
        <v>410</v>
      </c>
      <c r="Y172" s="541">
        <f>IFERROR(SUM(Y162:Y170),"0")</f>
        <v>417.90000000000003</v>
      </c>
      <c r="Z172" s="37"/>
      <c r="AA172" s="542"/>
      <c r="AB172" s="542"/>
      <c r="AC172" s="542"/>
    </row>
    <row r="173" spans="1:68" ht="14.25" hidden="1" customHeight="1" x14ac:dyDescent="0.25">
      <c r="A173" s="550" t="s">
        <v>91</v>
      </c>
      <c r="B173" s="549"/>
      <c r="C173" s="549"/>
      <c r="D173" s="549"/>
      <c r="E173" s="549"/>
      <c r="F173" s="549"/>
      <c r="G173" s="549"/>
      <c r="H173" s="549"/>
      <c r="I173" s="549"/>
      <c r="J173" s="549"/>
      <c r="K173" s="549"/>
      <c r="L173" s="549"/>
      <c r="M173" s="549"/>
      <c r="N173" s="549"/>
      <c r="O173" s="549"/>
      <c r="P173" s="549"/>
      <c r="Q173" s="549"/>
      <c r="R173" s="549"/>
      <c r="S173" s="549"/>
      <c r="T173" s="549"/>
      <c r="U173" s="549"/>
      <c r="V173" s="549"/>
      <c r="W173" s="549"/>
      <c r="X173" s="549"/>
      <c r="Y173" s="549"/>
      <c r="Z173" s="549"/>
      <c r="AA173" s="535"/>
      <c r="AB173" s="535"/>
      <c r="AC173" s="535"/>
    </row>
    <row r="174" spans="1:68" ht="27" customHeight="1" x14ac:dyDescent="0.25">
      <c r="A174" s="54" t="s">
        <v>285</v>
      </c>
      <c r="B174" s="54" t="s">
        <v>286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287</v>
      </c>
      <c r="L174" s="32"/>
      <c r="M174" s="33" t="s">
        <v>288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39">
        <v>7.0000000000000009</v>
      </c>
      <c r="Y174" s="540">
        <f>IFERROR(IF(X174="",0,CEILING((X174/$H174),1)*$H174),"")</f>
        <v>7.5600000000000005</v>
      </c>
      <c r="Z174" s="36">
        <f>IFERROR(IF(Y174=0,"",ROUNDUP(Y174/H174,0)*0.0059),"")</f>
        <v>3.5400000000000001E-2</v>
      </c>
      <c r="AA174" s="56"/>
      <c r="AB174" s="57"/>
      <c r="AC174" s="211" t="s">
        <v>289</v>
      </c>
      <c r="AG174" s="64"/>
      <c r="AJ174" s="68"/>
      <c r="AK174" s="68">
        <v>0</v>
      </c>
      <c r="BB174" s="212" t="s">
        <v>1</v>
      </c>
      <c r="BM174" s="64">
        <f>IFERROR(X174*I174/H174,"0")</f>
        <v>8.0555555555555554</v>
      </c>
      <c r="BN174" s="64">
        <f>IFERROR(Y174*I174/H174,"0")</f>
        <v>8.6999999999999993</v>
      </c>
      <c r="BO174" s="64">
        <f>IFERROR(1/J174*(X174/H174),"0")</f>
        <v>2.5720164609053499E-2</v>
      </c>
      <c r="BP174" s="64">
        <f>IFERROR(1/J174*(Y174/H174),"0")</f>
        <v>2.7777777777777776E-2</v>
      </c>
    </row>
    <row r="175" spans="1:68" ht="27" customHeight="1" x14ac:dyDescent="0.25">
      <c r="A175" s="54" t="s">
        <v>290</v>
      </c>
      <c r="B175" s="54" t="s">
        <v>291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287</v>
      </c>
      <c r="L175" s="32"/>
      <c r="M175" s="33" t="s">
        <v>288</v>
      </c>
      <c r="N175" s="33"/>
      <c r="O175" s="32">
        <v>90</v>
      </c>
      <c r="P175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39">
        <v>3.5</v>
      </c>
      <c r="Y175" s="540">
        <f>IFERROR(IF(X175="",0,CEILING((X175/$H175),1)*$H175),"")</f>
        <v>3.7800000000000002</v>
      </c>
      <c r="Z175" s="36">
        <f>IFERROR(IF(Y175=0,"",ROUNDUP(Y175/H175,0)*0.0059),"")</f>
        <v>1.77E-2</v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4.0277777777777777</v>
      </c>
      <c r="BN175" s="64">
        <f>IFERROR(Y175*I175/H175,"0")</f>
        <v>4.3499999999999996</v>
      </c>
      <c r="BO175" s="64">
        <f>IFERROR(1/J175*(X175/H175),"0")</f>
        <v>1.2860082304526748E-2</v>
      </c>
      <c r="BP175" s="64">
        <f>IFERROR(1/J175*(Y175/H175),"0")</f>
        <v>1.3888888888888888E-2</v>
      </c>
    </row>
    <row r="176" spans="1:68" ht="27" customHeight="1" x14ac:dyDescent="0.25">
      <c r="A176" s="54" t="s">
        <v>293</v>
      </c>
      <c r="B176" s="54" t="s">
        <v>294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287</v>
      </c>
      <c r="L176" s="32"/>
      <c r="M176" s="33" t="s">
        <v>288</v>
      </c>
      <c r="N176" s="33"/>
      <c r="O176" s="32">
        <v>90</v>
      </c>
      <c r="P176" s="8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39">
        <v>7.0000000000000009</v>
      </c>
      <c r="Y176" s="540">
        <f>IFERROR(IF(X176="",0,CEILING((X176/$H176),1)*$H176),"")</f>
        <v>7.5600000000000005</v>
      </c>
      <c r="Z176" s="36">
        <f>IFERROR(IF(Y176=0,"",ROUNDUP(Y176/H176,0)*0.0059),"")</f>
        <v>3.5400000000000001E-2</v>
      </c>
      <c r="AA176" s="56"/>
      <c r="AB176" s="57"/>
      <c r="AC176" s="215" t="s">
        <v>292</v>
      </c>
      <c r="AG176" s="64"/>
      <c r="AJ176" s="68"/>
      <c r="AK176" s="68">
        <v>0</v>
      </c>
      <c r="BB176" s="216" t="s">
        <v>1</v>
      </c>
      <c r="BM176" s="64">
        <f>IFERROR(X176*I176/H176,"0")</f>
        <v>8.0555555555555554</v>
      </c>
      <c r="BN176" s="64">
        <f>IFERROR(Y176*I176/H176,"0")</f>
        <v>8.6999999999999993</v>
      </c>
      <c r="BO176" s="64">
        <f>IFERROR(1/J176*(X176/H176),"0")</f>
        <v>2.5720164609053499E-2</v>
      </c>
      <c r="BP176" s="64">
        <f>IFERROR(1/J176*(Y176/H176),"0")</f>
        <v>2.7777777777777776E-2</v>
      </c>
    </row>
    <row r="177" spans="1:68" x14ac:dyDescent="0.2">
      <c r="A177" s="551"/>
      <c r="B177" s="549"/>
      <c r="C177" s="549"/>
      <c r="D177" s="549"/>
      <c r="E177" s="549"/>
      <c r="F177" s="549"/>
      <c r="G177" s="549"/>
      <c r="H177" s="549"/>
      <c r="I177" s="549"/>
      <c r="J177" s="549"/>
      <c r="K177" s="549"/>
      <c r="L177" s="549"/>
      <c r="M177" s="549"/>
      <c r="N177" s="549"/>
      <c r="O177" s="552"/>
      <c r="P177" s="554" t="s">
        <v>71</v>
      </c>
      <c r="Q177" s="555"/>
      <c r="R177" s="555"/>
      <c r="S177" s="555"/>
      <c r="T177" s="555"/>
      <c r="U177" s="555"/>
      <c r="V177" s="556"/>
      <c r="W177" s="37" t="s">
        <v>72</v>
      </c>
      <c r="X177" s="541">
        <f>IFERROR(X174/H174,"0")+IFERROR(X175/H175,"0")+IFERROR(X176/H176,"0")</f>
        <v>13.888888888888889</v>
      </c>
      <c r="Y177" s="541">
        <f>IFERROR(Y174/H174,"0")+IFERROR(Y175/H175,"0")+IFERROR(Y176/H176,"0")</f>
        <v>15</v>
      </c>
      <c r="Z177" s="541">
        <f>IFERROR(IF(Z174="",0,Z174),"0")+IFERROR(IF(Z175="",0,Z175),"0")+IFERROR(IF(Z176="",0,Z176),"0")</f>
        <v>8.8499999999999995E-2</v>
      </c>
      <c r="AA177" s="542"/>
      <c r="AB177" s="542"/>
      <c r="AC177" s="542"/>
    </row>
    <row r="178" spans="1:68" x14ac:dyDescent="0.2">
      <c r="A178" s="549"/>
      <c r="B178" s="549"/>
      <c r="C178" s="549"/>
      <c r="D178" s="549"/>
      <c r="E178" s="549"/>
      <c r="F178" s="549"/>
      <c r="G178" s="549"/>
      <c r="H178" s="549"/>
      <c r="I178" s="549"/>
      <c r="J178" s="549"/>
      <c r="K178" s="549"/>
      <c r="L178" s="549"/>
      <c r="M178" s="549"/>
      <c r="N178" s="549"/>
      <c r="O178" s="552"/>
      <c r="P178" s="554" t="s">
        <v>71</v>
      </c>
      <c r="Q178" s="555"/>
      <c r="R178" s="555"/>
      <c r="S178" s="555"/>
      <c r="T178" s="555"/>
      <c r="U178" s="555"/>
      <c r="V178" s="556"/>
      <c r="W178" s="37" t="s">
        <v>69</v>
      </c>
      <c r="X178" s="541">
        <f>IFERROR(SUM(X174:X176),"0")</f>
        <v>17.5</v>
      </c>
      <c r="Y178" s="541">
        <f>IFERROR(SUM(Y174:Y176),"0")</f>
        <v>18.899999999999999</v>
      </c>
      <c r="Z178" s="37"/>
      <c r="AA178" s="542"/>
      <c r="AB178" s="542"/>
      <c r="AC178" s="542"/>
    </row>
    <row r="179" spans="1:68" ht="14.25" hidden="1" customHeight="1" x14ac:dyDescent="0.25">
      <c r="A179" s="550" t="s">
        <v>295</v>
      </c>
      <c r="B179" s="549"/>
      <c r="C179" s="549"/>
      <c r="D179" s="549"/>
      <c r="E179" s="549"/>
      <c r="F179" s="549"/>
      <c r="G179" s="549"/>
      <c r="H179" s="549"/>
      <c r="I179" s="549"/>
      <c r="J179" s="549"/>
      <c r="K179" s="549"/>
      <c r="L179" s="549"/>
      <c r="M179" s="549"/>
      <c r="N179" s="549"/>
      <c r="O179" s="549"/>
      <c r="P179" s="549"/>
      <c r="Q179" s="549"/>
      <c r="R179" s="549"/>
      <c r="S179" s="549"/>
      <c r="T179" s="549"/>
      <c r="U179" s="549"/>
      <c r="V179" s="549"/>
      <c r="W179" s="549"/>
      <c r="X179" s="549"/>
      <c r="Y179" s="549"/>
      <c r="Z179" s="549"/>
      <c r="AA179" s="535"/>
      <c r="AB179" s="535"/>
      <c r="AC179" s="535"/>
    </row>
    <row r="180" spans="1:68" ht="27" customHeight="1" x14ac:dyDescent="0.25">
      <c r="A180" s="54" t="s">
        <v>296</v>
      </c>
      <c r="B180" s="54" t="s">
        <v>297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287</v>
      </c>
      <c r="L180" s="32"/>
      <c r="M180" s="33" t="s">
        <v>288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39">
        <v>3.5</v>
      </c>
      <c r="Y180" s="540">
        <f>IFERROR(IF(X180="",0,CEILING((X180/$H180),1)*$H180),"")</f>
        <v>3.7800000000000002</v>
      </c>
      <c r="Z180" s="36">
        <f>IFERROR(IF(Y180=0,"",ROUNDUP(Y180/H180,0)*0.0059),"")</f>
        <v>1.77E-2</v>
      </c>
      <c r="AA180" s="56"/>
      <c r="AB180" s="57"/>
      <c r="AC180" s="217" t="s">
        <v>292</v>
      </c>
      <c r="AG180" s="64"/>
      <c r="AJ180" s="68"/>
      <c r="AK180" s="68">
        <v>0</v>
      </c>
      <c r="BB180" s="218" t="s">
        <v>1</v>
      </c>
      <c r="BM180" s="64">
        <f>IFERROR(X180*I180/H180,"0")</f>
        <v>4.0277777777777777</v>
      </c>
      <c r="BN180" s="64">
        <f>IFERROR(Y180*I180/H180,"0")</f>
        <v>4.3499999999999996</v>
      </c>
      <c r="BO180" s="64">
        <f>IFERROR(1/J180*(X180/H180),"0")</f>
        <v>1.2860082304526748E-2</v>
      </c>
      <c r="BP180" s="64">
        <f>IFERROR(1/J180*(Y180/H180),"0")</f>
        <v>1.3888888888888888E-2</v>
      </c>
    </row>
    <row r="181" spans="1:68" x14ac:dyDescent="0.2">
      <c r="A181" s="551"/>
      <c r="B181" s="549"/>
      <c r="C181" s="549"/>
      <c r="D181" s="549"/>
      <c r="E181" s="549"/>
      <c r="F181" s="549"/>
      <c r="G181" s="549"/>
      <c r="H181" s="549"/>
      <c r="I181" s="549"/>
      <c r="J181" s="549"/>
      <c r="K181" s="549"/>
      <c r="L181" s="549"/>
      <c r="M181" s="549"/>
      <c r="N181" s="549"/>
      <c r="O181" s="552"/>
      <c r="P181" s="554" t="s">
        <v>71</v>
      </c>
      <c r="Q181" s="555"/>
      <c r="R181" s="555"/>
      <c r="S181" s="555"/>
      <c r="T181" s="555"/>
      <c r="U181" s="555"/>
      <c r="V181" s="556"/>
      <c r="W181" s="37" t="s">
        <v>72</v>
      </c>
      <c r="X181" s="541">
        <f>IFERROR(X180/H180,"0")</f>
        <v>2.7777777777777777</v>
      </c>
      <c r="Y181" s="541">
        <f>IFERROR(Y180/H180,"0")</f>
        <v>3</v>
      </c>
      <c r="Z181" s="541">
        <f>IFERROR(IF(Z180="",0,Z180),"0")</f>
        <v>1.77E-2</v>
      </c>
      <c r="AA181" s="542"/>
      <c r="AB181" s="542"/>
      <c r="AC181" s="542"/>
    </row>
    <row r="182" spans="1:68" x14ac:dyDescent="0.2">
      <c r="A182" s="549"/>
      <c r="B182" s="549"/>
      <c r="C182" s="549"/>
      <c r="D182" s="549"/>
      <c r="E182" s="549"/>
      <c r="F182" s="549"/>
      <c r="G182" s="549"/>
      <c r="H182" s="549"/>
      <c r="I182" s="549"/>
      <c r="J182" s="549"/>
      <c r="K182" s="549"/>
      <c r="L182" s="549"/>
      <c r="M182" s="549"/>
      <c r="N182" s="549"/>
      <c r="O182" s="552"/>
      <c r="P182" s="554" t="s">
        <v>71</v>
      </c>
      <c r="Q182" s="555"/>
      <c r="R182" s="555"/>
      <c r="S182" s="555"/>
      <c r="T182" s="555"/>
      <c r="U182" s="555"/>
      <c r="V182" s="556"/>
      <c r="W182" s="37" t="s">
        <v>69</v>
      </c>
      <c r="X182" s="541">
        <f>IFERROR(SUM(X180:X180),"0")</f>
        <v>3.5</v>
      </c>
      <c r="Y182" s="541">
        <f>IFERROR(SUM(Y180:Y180),"0")</f>
        <v>3.7800000000000002</v>
      </c>
      <c r="Z182" s="37"/>
      <c r="AA182" s="542"/>
      <c r="AB182" s="542"/>
      <c r="AC182" s="542"/>
    </row>
    <row r="183" spans="1:68" ht="16.5" hidden="1" customHeight="1" x14ac:dyDescent="0.25">
      <c r="A183" s="548" t="s">
        <v>298</v>
      </c>
      <c r="B183" s="549"/>
      <c r="C183" s="549"/>
      <c r="D183" s="549"/>
      <c r="E183" s="549"/>
      <c r="F183" s="549"/>
      <c r="G183" s="549"/>
      <c r="H183" s="549"/>
      <c r="I183" s="549"/>
      <c r="J183" s="549"/>
      <c r="K183" s="549"/>
      <c r="L183" s="549"/>
      <c r="M183" s="549"/>
      <c r="N183" s="549"/>
      <c r="O183" s="549"/>
      <c r="P183" s="549"/>
      <c r="Q183" s="549"/>
      <c r="R183" s="549"/>
      <c r="S183" s="549"/>
      <c r="T183" s="549"/>
      <c r="U183" s="549"/>
      <c r="V183" s="549"/>
      <c r="W183" s="549"/>
      <c r="X183" s="549"/>
      <c r="Y183" s="549"/>
      <c r="Z183" s="549"/>
      <c r="AA183" s="534"/>
      <c r="AB183" s="534"/>
      <c r="AC183" s="534"/>
    </row>
    <row r="184" spans="1:68" ht="14.25" hidden="1" customHeight="1" x14ac:dyDescent="0.25">
      <c r="A184" s="550" t="s">
        <v>99</v>
      </c>
      <c r="B184" s="549"/>
      <c r="C184" s="549"/>
      <c r="D184" s="549"/>
      <c r="E184" s="549"/>
      <c r="F184" s="549"/>
      <c r="G184" s="549"/>
      <c r="H184" s="549"/>
      <c r="I184" s="549"/>
      <c r="J184" s="549"/>
      <c r="K184" s="549"/>
      <c r="L184" s="549"/>
      <c r="M184" s="549"/>
      <c r="N184" s="549"/>
      <c r="O184" s="549"/>
      <c r="P184" s="549"/>
      <c r="Q184" s="549"/>
      <c r="R184" s="549"/>
      <c r="S184" s="549"/>
      <c r="T184" s="549"/>
      <c r="U184" s="549"/>
      <c r="V184" s="549"/>
      <c r="W184" s="549"/>
      <c r="X184" s="549"/>
      <c r="Y184" s="549"/>
      <c r="Z184" s="549"/>
      <c r="AA184" s="535"/>
      <c r="AB184" s="535"/>
      <c r="AC184" s="535"/>
    </row>
    <row r="185" spans="1:68" ht="16.5" hidden="1" customHeight="1" x14ac:dyDescent="0.25">
      <c r="A185" s="54" t="s">
        <v>299</v>
      </c>
      <c r="B185" s="54" t="s">
        <v>300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301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302</v>
      </c>
      <c r="B186" s="54" t="s">
        <v>303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301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1"/>
      <c r="B187" s="549"/>
      <c r="C187" s="549"/>
      <c r="D187" s="549"/>
      <c r="E187" s="549"/>
      <c r="F187" s="549"/>
      <c r="G187" s="549"/>
      <c r="H187" s="549"/>
      <c r="I187" s="549"/>
      <c r="J187" s="549"/>
      <c r="K187" s="549"/>
      <c r="L187" s="549"/>
      <c r="M187" s="549"/>
      <c r="N187" s="549"/>
      <c r="O187" s="552"/>
      <c r="P187" s="554" t="s">
        <v>71</v>
      </c>
      <c r="Q187" s="555"/>
      <c r="R187" s="555"/>
      <c r="S187" s="555"/>
      <c r="T187" s="555"/>
      <c r="U187" s="555"/>
      <c r="V187" s="556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49"/>
      <c r="B188" s="549"/>
      <c r="C188" s="549"/>
      <c r="D188" s="549"/>
      <c r="E188" s="549"/>
      <c r="F188" s="549"/>
      <c r="G188" s="549"/>
      <c r="H188" s="549"/>
      <c r="I188" s="549"/>
      <c r="J188" s="549"/>
      <c r="K188" s="549"/>
      <c r="L188" s="549"/>
      <c r="M188" s="549"/>
      <c r="N188" s="549"/>
      <c r="O188" s="552"/>
      <c r="P188" s="554" t="s">
        <v>71</v>
      </c>
      <c r="Q188" s="555"/>
      <c r="R188" s="555"/>
      <c r="S188" s="555"/>
      <c r="T188" s="555"/>
      <c r="U188" s="555"/>
      <c r="V188" s="556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0" t="s">
        <v>135</v>
      </c>
      <c r="B189" s="549"/>
      <c r="C189" s="549"/>
      <c r="D189" s="549"/>
      <c r="E189" s="549"/>
      <c r="F189" s="549"/>
      <c r="G189" s="549"/>
      <c r="H189" s="549"/>
      <c r="I189" s="549"/>
      <c r="J189" s="549"/>
      <c r="K189" s="549"/>
      <c r="L189" s="549"/>
      <c r="M189" s="549"/>
      <c r="N189" s="549"/>
      <c r="O189" s="549"/>
      <c r="P189" s="549"/>
      <c r="Q189" s="549"/>
      <c r="R189" s="549"/>
      <c r="S189" s="549"/>
      <c r="T189" s="549"/>
      <c r="U189" s="549"/>
      <c r="V189" s="549"/>
      <c r="W189" s="549"/>
      <c r="X189" s="549"/>
      <c r="Y189" s="549"/>
      <c r="Z189" s="549"/>
      <c r="AA189" s="535"/>
      <c r="AB189" s="535"/>
      <c r="AC189" s="535"/>
    </row>
    <row r="190" spans="1:68" ht="16.5" hidden="1" customHeight="1" x14ac:dyDescent="0.25">
      <c r="A190" s="54" t="s">
        <v>304</v>
      </c>
      <c r="B190" s="54" t="s">
        <v>305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306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307</v>
      </c>
      <c r="B191" s="54" t="s">
        <v>308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306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1"/>
      <c r="B192" s="549"/>
      <c r="C192" s="549"/>
      <c r="D192" s="549"/>
      <c r="E192" s="549"/>
      <c r="F192" s="549"/>
      <c r="G192" s="549"/>
      <c r="H192" s="549"/>
      <c r="I192" s="549"/>
      <c r="J192" s="549"/>
      <c r="K192" s="549"/>
      <c r="L192" s="549"/>
      <c r="M192" s="549"/>
      <c r="N192" s="549"/>
      <c r="O192" s="552"/>
      <c r="P192" s="554" t="s">
        <v>71</v>
      </c>
      <c r="Q192" s="555"/>
      <c r="R192" s="555"/>
      <c r="S192" s="555"/>
      <c r="T192" s="555"/>
      <c r="U192" s="555"/>
      <c r="V192" s="556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49"/>
      <c r="B193" s="549"/>
      <c r="C193" s="549"/>
      <c r="D193" s="549"/>
      <c r="E193" s="549"/>
      <c r="F193" s="549"/>
      <c r="G193" s="549"/>
      <c r="H193" s="549"/>
      <c r="I193" s="549"/>
      <c r="J193" s="549"/>
      <c r="K193" s="549"/>
      <c r="L193" s="549"/>
      <c r="M193" s="549"/>
      <c r="N193" s="549"/>
      <c r="O193" s="552"/>
      <c r="P193" s="554" t="s">
        <v>71</v>
      </c>
      <c r="Q193" s="555"/>
      <c r="R193" s="555"/>
      <c r="S193" s="555"/>
      <c r="T193" s="555"/>
      <c r="U193" s="555"/>
      <c r="V193" s="556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0" t="s">
        <v>64</v>
      </c>
      <c r="B194" s="549"/>
      <c r="C194" s="549"/>
      <c r="D194" s="549"/>
      <c r="E194" s="549"/>
      <c r="F194" s="549"/>
      <c r="G194" s="549"/>
      <c r="H194" s="549"/>
      <c r="I194" s="549"/>
      <c r="J194" s="549"/>
      <c r="K194" s="549"/>
      <c r="L194" s="549"/>
      <c r="M194" s="549"/>
      <c r="N194" s="549"/>
      <c r="O194" s="549"/>
      <c r="P194" s="549"/>
      <c r="Q194" s="549"/>
      <c r="R194" s="549"/>
      <c r="S194" s="549"/>
      <c r="T194" s="549"/>
      <c r="U194" s="549"/>
      <c r="V194" s="549"/>
      <c r="W194" s="549"/>
      <c r="X194" s="549"/>
      <c r="Y194" s="549"/>
      <c r="Z194" s="549"/>
      <c r="AA194" s="535"/>
      <c r="AB194" s="535"/>
      <c r="AC194" s="535"/>
    </row>
    <row r="195" spans="1:68" ht="27" customHeight="1" x14ac:dyDescent="0.25">
      <c r="A195" s="54" t="s">
        <v>309</v>
      </c>
      <c r="B195" s="54" t="s">
        <v>310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197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39">
        <v>120</v>
      </c>
      <c r="Y195" s="540">
        <f t="shared" ref="Y195:Y202" si="10">IFERROR(IF(X195="",0,CEILING((X195/$H195),1)*$H195),"")</f>
        <v>124.2</v>
      </c>
      <c r="Z195" s="36">
        <f>IFERROR(IF(Y195=0,"",ROUNDUP(Y195/H195,0)*0.00902),"")</f>
        <v>0.20746000000000001</v>
      </c>
      <c r="AA195" s="56"/>
      <c r="AB195" s="57"/>
      <c r="AC195" s="227" t="s">
        <v>311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124.2222222222222</v>
      </c>
      <c r="BN195" s="64">
        <f t="shared" ref="BN195:BN202" si="12">IFERROR(Y195*I195/H195,"0")</f>
        <v>128.57</v>
      </c>
      <c r="BO195" s="64">
        <f t="shared" ref="BO195:BO202" si="13">IFERROR(1/J195*(X195/H195),"0")</f>
        <v>0.16835016835016836</v>
      </c>
      <c r="BP195" s="64">
        <f t="shared" ref="BP195:BP202" si="14">IFERROR(1/J195*(Y195/H195),"0")</f>
        <v>0.17424242424242425</v>
      </c>
    </row>
    <row r="196" spans="1:68" ht="27" customHeight="1" x14ac:dyDescent="0.25">
      <c r="A196" s="54" t="s">
        <v>312</v>
      </c>
      <c r="B196" s="54" t="s">
        <v>313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197</v>
      </c>
      <c r="M196" s="33" t="s">
        <v>68</v>
      </c>
      <c r="N196" s="33"/>
      <c r="O196" s="32">
        <v>40</v>
      </c>
      <c r="P196" s="8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39">
        <v>50</v>
      </c>
      <c r="Y196" s="540">
        <f t="shared" si="10"/>
        <v>54</v>
      </c>
      <c r="Z196" s="36">
        <f>IFERROR(IF(Y196=0,"",ROUNDUP(Y196/H196,0)*0.00902),"")</f>
        <v>9.0200000000000002E-2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51.759259259259252</v>
      </c>
      <c r="BN196" s="64">
        <f t="shared" si="12"/>
        <v>55.9</v>
      </c>
      <c r="BO196" s="64">
        <f t="shared" si="13"/>
        <v>7.0145903479236812E-2</v>
      </c>
      <c r="BP196" s="64">
        <f t="shared" si="14"/>
        <v>7.575757575757576E-2</v>
      </c>
    </row>
    <row r="197" spans="1:68" ht="27" customHeight="1" x14ac:dyDescent="0.25">
      <c r="A197" s="54" t="s">
        <v>315</v>
      </c>
      <c r="B197" s="54" t="s">
        <v>316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197</v>
      </c>
      <c r="M197" s="33" t="s">
        <v>68</v>
      </c>
      <c r="N197" s="33"/>
      <c r="O197" s="32">
        <v>40</v>
      </c>
      <c r="P197" s="6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39">
        <v>500</v>
      </c>
      <c r="Y197" s="540">
        <f t="shared" si="10"/>
        <v>502.20000000000005</v>
      </c>
      <c r="Z197" s="36">
        <f>IFERROR(IF(Y197=0,"",ROUNDUP(Y197/H197,0)*0.00902),"")</f>
        <v>0.83886000000000005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517.59259259259261</v>
      </c>
      <c r="BN197" s="64">
        <f t="shared" si="12"/>
        <v>519.87</v>
      </c>
      <c r="BO197" s="64">
        <f t="shared" si="13"/>
        <v>0.70145903479236804</v>
      </c>
      <c r="BP197" s="64">
        <f t="shared" si="14"/>
        <v>0.70454545454545459</v>
      </c>
    </row>
    <row r="198" spans="1:68" ht="27" customHeight="1" x14ac:dyDescent="0.25">
      <c r="A198" s="54" t="s">
        <v>318</v>
      </c>
      <c r="B198" s="54" t="s">
        <v>319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197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39">
        <v>60</v>
      </c>
      <c r="Y198" s="540">
        <f t="shared" si="10"/>
        <v>64.800000000000011</v>
      </c>
      <c r="Z198" s="36">
        <f>IFERROR(IF(Y198=0,"",ROUNDUP(Y198/H198,0)*0.00902),"")</f>
        <v>0.10824</v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62.1111111111111</v>
      </c>
      <c r="BN198" s="64">
        <f t="shared" si="12"/>
        <v>67.08</v>
      </c>
      <c r="BO198" s="64">
        <f t="shared" si="13"/>
        <v>8.4175084175084181E-2</v>
      </c>
      <c r="BP198" s="64">
        <f t="shared" si="14"/>
        <v>9.0909090909090925E-2</v>
      </c>
    </row>
    <row r="199" spans="1:68" ht="27" customHeight="1" x14ac:dyDescent="0.25">
      <c r="A199" s="54" t="s">
        <v>321</v>
      </c>
      <c r="B199" s="54" t="s">
        <v>322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272</v>
      </c>
      <c r="M199" s="33" t="s">
        <v>68</v>
      </c>
      <c r="N199" s="33"/>
      <c r="O199" s="32">
        <v>40</v>
      </c>
      <c r="P199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39">
        <v>90</v>
      </c>
      <c r="Y199" s="540">
        <f t="shared" si="10"/>
        <v>90</v>
      </c>
      <c r="Z199" s="36">
        <f>IFERROR(IF(Y199=0,"",ROUNDUP(Y199/H199,0)*0.00502),"")</f>
        <v>0.251</v>
      </c>
      <c r="AA199" s="56"/>
      <c r="AB199" s="57"/>
      <c r="AC199" s="235" t="s">
        <v>311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96.499999999999986</v>
      </c>
      <c r="BN199" s="64">
        <f t="shared" si="12"/>
        <v>96.499999999999986</v>
      </c>
      <c r="BO199" s="64">
        <f t="shared" si="13"/>
        <v>0.21367521367521369</v>
      </c>
      <c r="BP199" s="64">
        <f t="shared" si="14"/>
        <v>0.21367521367521369</v>
      </c>
    </row>
    <row r="200" spans="1:68" ht="27" customHeight="1" x14ac:dyDescent="0.25">
      <c r="A200" s="54" t="s">
        <v>323</v>
      </c>
      <c r="B200" s="54" t="s">
        <v>324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272</v>
      </c>
      <c r="M200" s="33" t="s">
        <v>68</v>
      </c>
      <c r="N200" s="33"/>
      <c r="O200" s="32">
        <v>40</v>
      </c>
      <c r="P200" s="84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39">
        <v>36</v>
      </c>
      <c r="Y200" s="540">
        <f t="shared" si="10"/>
        <v>36</v>
      </c>
      <c r="Z200" s="36">
        <f>IFERROR(IF(Y200=0,"",ROUNDUP(Y200/H200,0)*0.00502),"")</f>
        <v>0.1004</v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37.999999999999993</v>
      </c>
      <c r="BN200" s="64">
        <f t="shared" si="12"/>
        <v>37.999999999999993</v>
      </c>
      <c r="BO200" s="64">
        <f t="shared" si="13"/>
        <v>8.5470085470085472E-2</v>
      </c>
      <c r="BP200" s="64">
        <f t="shared" si="14"/>
        <v>8.5470085470085472E-2</v>
      </c>
    </row>
    <row r="201" spans="1:68" ht="27" customHeight="1" x14ac:dyDescent="0.25">
      <c r="A201" s="54" t="s">
        <v>325</v>
      </c>
      <c r="B201" s="54" t="s">
        <v>326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 t="s">
        <v>272</v>
      </c>
      <c r="M201" s="33" t="s">
        <v>68</v>
      </c>
      <c r="N201" s="33"/>
      <c r="O201" s="32">
        <v>40</v>
      </c>
      <c r="P201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39">
        <v>90</v>
      </c>
      <c r="Y201" s="540">
        <f t="shared" si="10"/>
        <v>90</v>
      </c>
      <c r="Z201" s="36">
        <f>IFERROR(IF(Y201=0,"",ROUNDUP(Y201/H201,0)*0.00502),"")</f>
        <v>0.251</v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95</v>
      </c>
      <c r="BN201" s="64">
        <f t="shared" si="12"/>
        <v>95</v>
      </c>
      <c r="BO201" s="64">
        <f t="shared" si="13"/>
        <v>0.21367521367521369</v>
      </c>
      <c r="BP201" s="64">
        <f t="shared" si="14"/>
        <v>0.21367521367521369</v>
      </c>
    </row>
    <row r="202" spans="1:68" ht="27" customHeight="1" x14ac:dyDescent="0.25">
      <c r="A202" s="54" t="s">
        <v>327</v>
      </c>
      <c r="B202" s="54" t="s">
        <v>328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272</v>
      </c>
      <c r="M202" s="33" t="s">
        <v>68</v>
      </c>
      <c r="N202" s="33"/>
      <c r="O202" s="32">
        <v>40</v>
      </c>
      <c r="P202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39">
        <v>30</v>
      </c>
      <c r="Y202" s="540">
        <f t="shared" si="10"/>
        <v>30.6</v>
      </c>
      <c r="Z202" s="36">
        <f>IFERROR(IF(Y202=0,"",ROUNDUP(Y202/H202,0)*0.00502),"")</f>
        <v>8.5339999999999999E-2</v>
      </c>
      <c r="AA202" s="56"/>
      <c r="AB202" s="57"/>
      <c r="AC202" s="241" t="s">
        <v>320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31.666666666666664</v>
      </c>
      <c r="BN202" s="64">
        <f t="shared" si="12"/>
        <v>32.299999999999997</v>
      </c>
      <c r="BO202" s="64">
        <f t="shared" si="13"/>
        <v>7.122507122507124E-2</v>
      </c>
      <c r="BP202" s="64">
        <f t="shared" si="14"/>
        <v>7.2649572649572655E-2</v>
      </c>
    </row>
    <row r="203" spans="1:68" x14ac:dyDescent="0.2">
      <c r="A203" s="551"/>
      <c r="B203" s="549"/>
      <c r="C203" s="549"/>
      <c r="D203" s="549"/>
      <c r="E203" s="549"/>
      <c r="F203" s="549"/>
      <c r="G203" s="549"/>
      <c r="H203" s="549"/>
      <c r="I203" s="549"/>
      <c r="J203" s="549"/>
      <c r="K203" s="549"/>
      <c r="L203" s="549"/>
      <c r="M203" s="549"/>
      <c r="N203" s="549"/>
      <c r="O203" s="552"/>
      <c r="P203" s="554" t="s">
        <v>71</v>
      </c>
      <c r="Q203" s="555"/>
      <c r="R203" s="555"/>
      <c r="S203" s="555"/>
      <c r="T203" s="555"/>
      <c r="U203" s="555"/>
      <c r="V203" s="556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271.85185185185185</v>
      </c>
      <c r="Y203" s="541">
        <f>IFERROR(Y195/H195,"0")+IFERROR(Y196/H196,"0")+IFERROR(Y197/H197,"0")+IFERROR(Y198/H198,"0")+IFERROR(Y199/H199,"0")+IFERROR(Y200/H200,"0")+IFERROR(Y201/H201,"0")+IFERROR(Y202/H202,"0")</f>
        <v>275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1.9324999999999997</v>
      </c>
      <c r="AA203" s="542"/>
      <c r="AB203" s="542"/>
      <c r="AC203" s="542"/>
    </row>
    <row r="204" spans="1:68" x14ac:dyDescent="0.2">
      <c r="A204" s="549"/>
      <c r="B204" s="549"/>
      <c r="C204" s="549"/>
      <c r="D204" s="549"/>
      <c r="E204" s="549"/>
      <c r="F204" s="549"/>
      <c r="G204" s="549"/>
      <c r="H204" s="549"/>
      <c r="I204" s="549"/>
      <c r="J204" s="549"/>
      <c r="K204" s="549"/>
      <c r="L204" s="549"/>
      <c r="M204" s="549"/>
      <c r="N204" s="549"/>
      <c r="O204" s="552"/>
      <c r="P204" s="554" t="s">
        <v>71</v>
      </c>
      <c r="Q204" s="555"/>
      <c r="R204" s="555"/>
      <c r="S204" s="555"/>
      <c r="T204" s="555"/>
      <c r="U204" s="555"/>
      <c r="V204" s="556"/>
      <c r="W204" s="37" t="s">
        <v>69</v>
      </c>
      <c r="X204" s="541">
        <f>IFERROR(SUM(X195:X202),"0")</f>
        <v>976</v>
      </c>
      <c r="Y204" s="541">
        <f>IFERROR(SUM(Y195:Y202),"0")</f>
        <v>991.80000000000007</v>
      </c>
      <c r="Z204" s="37"/>
      <c r="AA204" s="542"/>
      <c r="AB204" s="542"/>
      <c r="AC204" s="542"/>
    </row>
    <row r="205" spans="1:68" ht="14.25" hidden="1" customHeight="1" x14ac:dyDescent="0.25">
      <c r="A205" s="550" t="s">
        <v>73</v>
      </c>
      <c r="B205" s="549"/>
      <c r="C205" s="549"/>
      <c r="D205" s="549"/>
      <c r="E205" s="549"/>
      <c r="F205" s="549"/>
      <c r="G205" s="549"/>
      <c r="H205" s="549"/>
      <c r="I205" s="549"/>
      <c r="J205" s="549"/>
      <c r="K205" s="549"/>
      <c r="L205" s="549"/>
      <c r="M205" s="549"/>
      <c r="N205" s="549"/>
      <c r="O205" s="549"/>
      <c r="P205" s="549"/>
      <c r="Q205" s="549"/>
      <c r="R205" s="549"/>
      <c r="S205" s="549"/>
      <c r="T205" s="549"/>
      <c r="U205" s="549"/>
      <c r="V205" s="549"/>
      <c r="W205" s="549"/>
      <c r="X205" s="549"/>
      <c r="Y205" s="549"/>
      <c r="Z205" s="549"/>
      <c r="AA205" s="535"/>
      <c r="AB205" s="535"/>
      <c r="AC205" s="535"/>
    </row>
    <row r="206" spans="1:68" ht="27" hidden="1" customHeight="1" x14ac:dyDescent="0.25">
      <c r="A206" s="54" t="s">
        <v>329</v>
      </c>
      <c r="B206" s="54" t="s">
        <v>330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331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332</v>
      </c>
      <c r="B207" s="54" t="s">
        <v>333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6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39">
        <v>100</v>
      </c>
      <c r="Y208" s="540">
        <f t="shared" si="15"/>
        <v>104.39999999999999</v>
      </c>
      <c r="Z208" s="36">
        <f>IFERROR(IF(Y208=0,"",ROUNDUP(Y208/H208,0)*0.01898),"")</f>
        <v>0.22776000000000002</v>
      </c>
      <c r="AA208" s="56"/>
      <c r="AB208" s="57"/>
      <c r="AC208" s="247" t="s">
        <v>337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105.67816091954025</v>
      </c>
      <c r="BN208" s="64">
        <f t="shared" si="17"/>
        <v>110.32800000000002</v>
      </c>
      <c r="BO208" s="64">
        <f t="shared" si="18"/>
        <v>0.1795977011494253</v>
      </c>
      <c r="BP208" s="64">
        <f t="shared" si="19"/>
        <v>0.1875</v>
      </c>
    </row>
    <row r="209" spans="1:68" ht="27" customHeight="1" x14ac:dyDescent="0.25">
      <c r="A209" s="54" t="s">
        <v>338</v>
      </c>
      <c r="B209" s="54" t="s">
        <v>339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214</v>
      </c>
      <c r="M209" s="33" t="s">
        <v>77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39">
        <v>280</v>
      </c>
      <c r="Y209" s="540">
        <f t="shared" si="15"/>
        <v>280.8</v>
      </c>
      <c r="Z209" s="36">
        <f t="shared" ref="Z209:Z214" si="20">IFERROR(IF(Y209=0,"",ROUNDUP(Y209/H209,0)*0.00651),"")</f>
        <v>0.76167000000000007</v>
      </c>
      <c r="AA209" s="56"/>
      <c r="AB209" s="57"/>
      <c r="AC209" s="249" t="s">
        <v>331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311.5</v>
      </c>
      <c r="BN209" s="64">
        <f t="shared" si="17"/>
        <v>312.39</v>
      </c>
      <c r="BO209" s="64">
        <f t="shared" si="18"/>
        <v>0.64102564102564108</v>
      </c>
      <c r="BP209" s="64">
        <f t="shared" si="19"/>
        <v>0.64285714285714302</v>
      </c>
    </row>
    <row r="210" spans="1:68" ht="27" hidden="1" customHeight="1" x14ac:dyDescent="0.25">
      <c r="A210" s="54" t="s">
        <v>340</v>
      </c>
      <c r="B210" s="54" t="s">
        <v>341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342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214</v>
      </c>
      <c r="M211" s="33" t="s">
        <v>77</v>
      </c>
      <c r="N211" s="33"/>
      <c r="O211" s="32">
        <v>45</v>
      </c>
      <c r="P211" s="7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39">
        <v>200</v>
      </c>
      <c r="Y211" s="540">
        <f t="shared" si="15"/>
        <v>201.6</v>
      </c>
      <c r="Z211" s="36">
        <f t="shared" si="20"/>
        <v>0.54683999999999999</v>
      </c>
      <c r="AA211" s="56"/>
      <c r="AB211" s="57"/>
      <c r="AC211" s="253" t="s">
        <v>337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221</v>
      </c>
      <c r="BN211" s="64">
        <f t="shared" si="17"/>
        <v>222.768</v>
      </c>
      <c r="BO211" s="64">
        <f t="shared" si="18"/>
        <v>0.45787545787545797</v>
      </c>
      <c r="BP211" s="64">
        <f t="shared" si="19"/>
        <v>0.46153846153846156</v>
      </c>
    </row>
    <row r="212" spans="1:68" ht="27" hidden="1" customHeight="1" x14ac:dyDescent="0.25">
      <c r="A212" s="54" t="s">
        <v>345</v>
      </c>
      <c r="B212" s="54" t="s">
        <v>346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337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347</v>
      </c>
      <c r="B213" s="54" t="s">
        <v>348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214</v>
      </c>
      <c r="M213" s="33" t="s">
        <v>84</v>
      </c>
      <c r="N213" s="33"/>
      <c r="O213" s="32">
        <v>40</v>
      </c>
      <c r="P213" s="5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39">
        <v>40</v>
      </c>
      <c r="Y213" s="540">
        <f t="shared" si="15"/>
        <v>40.799999999999997</v>
      </c>
      <c r="Z213" s="36">
        <f t="shared" si="20"/>
        <v>0.11067</v>
      </c>
      <c r="AA213" s="56"/>
      <c r="AB213" s="57"/>
      <c r="AC213" s="257" t="s">
        <v>349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44.20000000000001</v>
      </c>
      <c r="BN213" s="64">
        <f t="shared" si="17"/>
        <v>45.084000000000003</v>
      </c>
      <c r="BO213" s="64">
        <f t="shared" si="18"/>
        <v>9.1575091575091583E-2</v>
      </c>
      <c r="BP213" s="64">
        <f t="shared" si="19"/>
        <v>9.3406593406593408E-2</v>
      </c>
    </row>
    <row r="214" spans="1:68" ht="27" customHeight="1" x14ac:dyDescent="0.25">
      <c r="A214" s="54" t="s">
        <v>350</v>
      </c>
      <c r="B214" s="54" t="s">
        <v>351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214</v>
      </c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39">
        <v>240</v>
      </c>
      <c r="Y214" s="540">
        <f t="shared" si="15"/>
        <v>240</v>
      </c>
      <c r="Z214" s="36">
        <f t="shared" si="20"/>
        <v>0.65100000000000002</v>
      </c>
      <c r="AA214" s="56"/>
      <c r="AB214" s="57"/>
      <c r="AC214" s="259" t="s">
        <v>334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265.8</v>
      </c>
      <c r="BN214" s="64">
        <f t="shared" si="17"/>
        <v>265.8</v>
      </c>
      <c r="BO214" s="64">
        <f t="shared" si="18"/>
        <v>0.5494505494505495</v>
      </c>
      <c r="BP214" s="64">
        <f t="shared" si="19"/>
        <v>0.5494505494505495</v>
      </c>
    </row>
    <row r="215" spans="1:68" x14ac:dyDescent="0.2">
      <c r="A215" s="551"/>
      <c r="B215" s="549"/>
      <c r="C215" s="549"/>
      <c r="D215" s="549"/>
      <c r="E215" s="549"/>
      <c r="F215" s="549"/>
      <c r="G215" s="549"/>
      <c r="H215" s="549"/>
      <c r="I215" s="549"/>
      <c r="J215" s="549"/>
      <c r="K215" s="549"/>
      <c r="L215" s="549"/>
      <c r="M215" s="549"/>
      <c r="N215" s="549"/>
      <c r="O215" s="552"/>
      <c r="P215" s="554" t="s">
        <v>71</v>
      </c>
      <c r="Q215" s="555"/>
      <c r="R215" s="555"/>
      <c r="S215" s="555"/>
      <c r="T215" s="555"/>
      <c r="U215" s="555"/>
      <c r="V215" s="556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328.16091954022988</v>
      </c>
      <c r="Y215" s="541">
        <f>IFERROR(Y206/H206,"0")+IFERROR(Y207/H207,"0")+IFERROR(Y208/H208,"0")+IFERROR(Y209/H209,"0")+IFERROR(Y210/H210,"0")+IFERROR(Y211/H211,"0")+IFERROR(Y212/H212,"0")+IFERROR(Y213/H213,"0")+IFERROR(Y214/H214,"0")</f>
        <v>330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2.2979400000000001</v>
      </c>
      <c r="AA215" s="542"/>
      <c r="AB215" s="542"/>
      <c r="AC215" s="542"/>
    </row>
    <row r="216" spans="1:68" x14ac:dyDescent="0.2">
      <c r="A216" s="549"/>
      <c r="B216" s="549"/>
      <c r="C216" s="549"/>
      <c r="D216" s="549"/>
      <c r="E216" s="549"/>
      <c r="F216" s="549"/>
      <c r="G216" s="549"/>
      <c r="H216" s="549"/>
      <c r="I216" s="549"/>
      <c r="J216" s="549"/>
      <c r="K216" s="549"/>
      <c r="L216" s="549"/>
      <c r="M216" s="549"/>
      <c r="N216" s="549"/>
      <c r="O216" s="552"/>
      <c r="P216" s="554" t="s">
        <v>71</v>
      </c>
      <c r="Q216" s="555"/>
      <c r="R216" s="555"/>
      <c r="S216" s="555"/>
      <c r="T216" s="555"/>
      <c r="U216" s="555"/>
      <c r="V216" s="556"/>
      <c r="W216" s="37" t="s">
        <v>69</v>
      </c>
      <c r="X216" s="541">
        <f>IFERROR(SUM(X206:X214),"0")</f>
        <v>860</v>
      </c>
      <c r="Y216" s="541">
        <f>IFERROR(SUM(Y206:Y214),"0")</f>
        <v>867.59999999999991</v>
      </c>
      <c r="Z216" s="37"/>
      <c r="AA216" s="542"/>
      <c r="AB216" s="542"/>
      <c r="AC216" s="542"/>
    </row>
    <row r="217" spans="1:68" ht="14.25" hidden="1" customHeight="1" x14ac:dyDescent="0.25">
      <c r="A217" s="550" t="s">
        <v>163</v>
      </c>
      <c r="B217" s="549"/>
      <c r="C217" s="549"/>
      <c r="D217" s="549"/>
      <c r="E217" s="549"/>
      <c r="F217" s="549"/>
      <c r="G217" s="549"/>
      <c r="H217" s="549"/>
      <c r="I217" s="549"/>
      <c r="J217" s="549"/>
      <c r="K217" s="549"/>
      <c r="L217" s="549"/>
      <c r="M217" s="549"/>
      <c r="N217" s="549"/>
      <c r="O217" s="549"/>
      <c r="P217" s="549"/>
      <c r="Q217" s="549"/>
      <c r="R217" s="549"/>
      <c r="S217" s="549"/>
      <c r="T217" s="549"/>
      <c r="U217" s="549"/>
      <c r="V217" s="549"/>
      <c r="W217" s="549"/>
      <c r="X217" s="549"/>
      <c r="Y217" s="549"/>
      <c r="Z217" s="549"/>
      <c r="AA217" s="535"/>
      <c r="AB217" s="535"/>
      <c r="AC217" s="535"/>
    </row>
    <row r="218" spans="1:68" ht="27" customHeight="1" x14ac:dyDescent="0.25">
      <c r="A218" s="54" t="s">
        <v>352</v>
      </c>
      <c r="B218" s="54" t="s">
        <v>353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214</v>
      </c>
      <c r="M218" s="33" t="s">
        <v>84</v>
      </c>
      <c r="N218" s="33"/>
      <c r="O218" s="32">
        <v>40</v>
      </c>
      <c r="P218" s="85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39">
        <v>32</v>
      </c>
      <c r="Y218" s="540">
        <f>IFERROR(IF(X218="",0,CEILING((X218/$H218),1)*$H218),"")</f>
        <v>33.6</v>
      </c>
      <c r="Z218" s="36">
        <f>IFERROR(IF(Y218=0,"",ROUNDUP(Y218/H218,0)*0.00651),"")</f>
        <v>9.1139999999999999E-2</v>
      </c>
      <c r="AA218" s="56"/>
      <c r="AB218" s="57"/>
      <c r="AC218" s="261" t="s">
        <v>354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35.360000000000007</v>
      </c>
      <c r="BN218" s="64">
        <f>IFERROR(Y218*I218/H218,"0")</f>
        <v>37.128000000000007</v>
      </c>
      <c r="BO218" s="64">
        <f>IFERROR(1/J218*(X218/H218),"0")</f>
        <v>7.3260073260073263E-2</v>
      </c>
      <c r="BP218" s="64">
        <f>IFERROR(1/J218*(Y218/H218),"0")</f>
        <v>7.6923076923076941E-2</v>
      </c>
    </row>
    <row r="219" spans="1:68" ht="37.5" customHeight="1" x14ac:dyDescent="0.25">
      <c r="A219" s="54" t="s">
        <v>355</v>
      </c>
      <c r="B219" s="54" t="s">
        <v>356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214</v>
      </c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39">
        <v>28</v>
      </c>
      <c r="Y219" s="540">
        <f>IFERROR(IF(X219="",0,CEILING((X219/$H219),1)*$H219),"")</f>
        <v>28.799999999999997</v>
      </c>
      <c r="Z219" s="36">
        <f>IFERROR(IF(Y219=0,"",ROUNDUP(Y219/H219,0)*0.00651),"")</f>
        <v>7.8119999999999995E-2</v>
      </c>
      <c r="AA219" s="56"/>
      <c r="AB219" s="57"/>
      <c r="AC219" s="263" t="s">
        <v>357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30.94</v>
      </c>
      <c r="BN219" s="64">
        <f>IFERROR(Y219*I219/H219,"0")</f>
        <v>31.824000000000002</v>
      </c>
      <c r="BO219" s="64">
        <f>IFERROR(1/J219*(X219/H219),"0")</f>
        <v>6.4102564102564111E-2</v>
      </c>
      <c r="BP219" s="64">
        <f>IFERROR(1/J219*(Y219/H219),"0")</f>
        <v>6.5934065934065936E-2</v>
      </c>
    </row>
    <row r="220" spans="1:68" x14ac:dyDescent="0.2">
      <c r="A220" s="551"/>
      <c r="B220" s="549"/>
      <c r="C220" s="549"/>
      <c r="D220" s="549"/>
      <c r="E220" s="549"/>
      <c r="F220" s="549"/>
      <c r="G220" s="549"/>
      <c r="H220" s="549"/>
      <c r="I220" s="549"/>
      <c r="J220" s="549"/>
      <c r="K220" s="549"/>
      <c r="L220" s="549"/>
      <c r="M220" s="549"/>
      <c r="N220" s="549"/>
      <c r="O220" s="552"/>
      <c r="P220" s="554" t="s">
        <v>71</v>
      </c>
      <c r="Q220" s="555"/>
      <c r="R220" s="555"/>
      <c r="S220" s="555"/>
      <c r="T220" s="555"/>
      <c r="U220" s="555"/>
      <c r="V220" s="556"/>
      <c r="W220" s="37" t="s">
        <v>72</v>
      </c>
      <c r="X220" s="541">
        <f>IFERROR(X218/H218,"0")+IFERROR(X219/H219,"0")</f>
        <v>25</v>
      </c>
      <c r="Y220" s="541">
        <f>IFERROR(Y218/H218,"0")+IFERROR(Y219/H219,"0")</f>
        <v>26</v>
      </c>
      <c r="Z220" s="541">
        <f>IFERROR(IF(Z218="",0,Z218),"0")+IFERROR(IF(Z219="",0,Z219),"0")</f>
        <v>0.16925999999999999</v>
      </c>
      <c r="AA220" s="542"/>
      <c r="AB220" s="542"/>
      <c r="AC220" s="542"/>
    </row>
    <row r="221" spans="1:68" x14ac:dyDescent="0.2">
      <c r="A221" s="549"/>
      <c r="B221" s="549"/>
      <c r="C221" s="549"/>
      <c r="D221" s="549"/>
      <c r="E221" s="549"/>
      <c r="F221" s="549"/>
      <c r="G221" s="549"/>
      <c r="H221" s="549"/>
      <c r="I221" s="549"/>
      <c r="J221" s="549"/>
      <c r="K221" s="549"/>
      <c r="L221" s="549"/>
      <c r="M221" s="549"/>
      <c r="N221" s="549"/>
      <c r="O221" s="552"/>
      <c r="P221" s="554" t="s">
        <v>71</v>
      </c>
      <c r="Q221" s="555"/>
      <c r="R221" s="555"/>
      <c r="S221" s="555"/>
      <c r="T221" s="555"/>
      <c r="U221" s="555"/>
      <c r="V221" s="556"/>
      <c r="W221" s="37" t="s">
        <v>69</v>
      </c>
      <c r="X221" s="541">
        <f>IFERROR(SUM(X218:X219),"0")</f>
        <v>60</v>
      </c>
      <c r="Y221" s="541">
        <f>IFERROR(SUM(Y218:Y219),"0")</f>
        <v>62.4</v>
      </c>
      <c r="Z221" s="37"/>
      <c r="AA221" s="542"/>
      <c r="AB221" s="542"/>
      <c r="AC221" s="542"/>
    </row>
    <row r="222" spans="1:68" ht="16.5" hidden="1" customHeight="1" x14ac:dyDescent="0.25">
      <c r="A222" s="548" t="s">
        <v>358</v>
      </c>
      <c r="B222" s="549"/>
      <c r="C222" s="549"/>
      <c r="D222" s="549"/>
      <c r="E222" s="549"/>
      <c r="F222" s="549"/>
      <c r="G222" s="549"/>
      <c r="H222" s="549"/>
      <c r="I222" s="549"/>
      <c r="J222" s="549"/>
      <c r="K222" s="549"/>
      <c r="L222" s="549"/>
      <c r="M222" s="549"/>
      <c r="N222" s="549"/>
      <c r="O222" s="549"/>
      <c r="P222" s="549"/>
      <c r="Q222" s="549"/>
      <c r="R222" s="549"/>
      <c r="S222" s="549"/>
      <c r="T222" s="549"/>
      <c r="U222" s="549"/>
      <c r="V222" s="549"/>
      <c r="W222" s="549"/>
      <c r="X222" s="549"/>
      <c r="Y222" s="549"/>
      <c r="Z222" s="549"/>
      <c r="AA222" s="534"/>
      <c r="AB222" s="534"/>
      <c r="AC222" s="534"/>
    </row>
    <row r="223" spans="1:68" ht="14.25" hidden="1" customHeight="1" x14ac:dyDescent="0.25">
      <c r="A223" s="550" t="s">
        <v>99</v>
      </c>
      <c r="B223" s="549"/>
      <c r="C223" s="549"/>
      <c r="D223" s="549"/>
      <c r="E223" s="549"/>
      <c r="F223" s="549"/>
      <c r="G223" s="549"/>
      <c r="H223" s="549"/>
      <c r="I223" s="549"/>
      <c r="J223" s="549"/>
      <c r="K223" s="549"/>
      <c r="L223" s="549"/>
      <c r="M223" s="549"/>
      <c r="N223" s="549"/>
      <c r="O223" s="549"/>
      <c r="P223" s="549"/>
      <c r="Q223" s="549"/>
      <c r="R223" s="549"/>
      <c r="S223" s="549"/>
      <c r="T223" s="549"/>
      <c r="U223" s="549"/>
      <c r="V223" s="549"/>
      <c r="W223" s="549"/>
      <c r="X223" s="549"/>
      <c r="Y223" s="549"/>
      <c r="Z223" s="549"/>
      <c r="AA223" s="535"/>
      <c r="AB223" s="535"/>
      <c r="AC223" s="535"/>
    </row>
    <row r="224" spans="1:68" ht="27" hidden="1" customHeight="1" x14ac:dyDescent="0.25">
      <c r="A224" s="54" t="s">
        <v>359</v>
      </c>
      <c r="B224" s="54" t="s">
        <v>360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361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362</v>
      </c>
      <c r="B225" s="54" t="s">
        <v>363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39">
        <v>70</v>
      </c>
      <c r="Y226" s="540">
        <f t="shared" si="21"/>
        <v>81.2</v>
      </c>
      <c r="Z226" s="36">
        <f>IFERROR(IF(Y226=0,"",ROUNDUP(Y226/H226,0)*0.01898),"")</f>
        <v>0.13286000000000001</v>
      </c>
      <c r="AA226" s="56"/>
      <c r="AB226" s="57"/>
      <c r="AC226" s="269" t="s">
        <v>367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72.474137931034477</v>
      </c>
      <c r="BN226" s="64">
        <f t="shared" si="23"/>
        <v>84.070000000000007</v>
      </c>
      <c r="BO226" s="64">
        <f t="shared" si="24"/>
        <v>9.4288793103448273E-2</v>
      </c>
      <c r="BP226" s="64">
        <f t="shared" si="25"/>
        <v>0.10937500000000001</v>
      </c>
    </row>
    <row r="227" spans="1:68" ht="27" customHeight="1" x14ac:dyDescent="0.25">
      <c r="A227" s="54" t="s">
        <v>368</v>
      </c>
      <c r="B227" s="54" t="s">
        <v>369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 t="s">
        <v>197</v>
      </c>
      <c r="M227" s="33" t="s">
        <v>104</v>
      </c>
      <c r="N227" s="33"/>
      <c r="O227" s="32">
        <v>55</v>
      </c>
      <c r="P227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39">
        <v>24</v>
      </c>
      <c r="Y227" s="540">
        <f t="shared" si="21"/>
        <v>24</v>
      </c>
      <c r="Z227" s="36">
        <f>IFERROR(IF(Y227=0,"",ROUNDUP(Y227/H227,0)*0.00902),"")</f>
        <v>5.4120000000000001E-2</v>
      </c>
      <c r="AA227" s="56"/>
      <c r="AB227" s="57"/>
      <c r="AC227" s="271" t="s">
        <v>361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25.14</v>
      </c>
      <c r="BN227" s="64">
        <f t="shared" si="23"/>
        <v>25.14</v>
      </c>
      <c r="BO227" s="64">
        <f t="shared" si="24"/>
        <v>4.5454545454545456E-2</v>
      </c>
      <c r="BP227" s="64">
        <f t="shared" si="25"/>
        <v>4.5454545454545456E-2</v>
      </c>
    </row>
    <row r="228" spans="1:68" ht="27" hidden="1" customHeight="1" x14ac:dyDescent="0.25">
      <c r="A228" s="54" t="s">
        <v>368</v>
      </c>
      <c r="B228" s="54" t="s">
        <v>370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372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373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376</v>
      </c>
      <c r="B231" s="54" t="s">
        <v>377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378</v>
      </c>
      <c r="B232" s="54" t="s">
        <v>379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197</v>
      </c>
      <c r="M232" s="33" t="s">
        <v>104</v>
      </c>
      <c r="N232" s="33"/>
      <c r="O232" s="32">
        <v>55</v>
      </c>
      <c r="P232" s="6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39">
        <v>20</v>
      </c>
      <c r="Y232" s="540">
        <f t="shared" si="21"/>
        <v>20</v>
      </c>
      <c r="Z232" s="36">
        <f>IFERROR(IF(Y232=0,"",ROUNDUP(Y232/H232,0)*0.00902),"")</f>
        <v>4.5100000000000001E-2</v>
      </c>
      <c r="AA232" s="56"/>
      <c r="AB232" s="57"/>
      <c r="AC232" s="281" t="s">
        <v>367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20.950000000000003</v>
      </c>
      <c r="BN232" s="64">
        <f t="shared" si="23"/>
        <v>20.950000000000003</v>
      </c>
      <c r="BO232" s="64">
        <f t="shared" si="24"/>
        <v>3.787878787878788E-2</v>
      </c>
      <c r="BP232" s="64">
        <f t="shared" si="25"/>
        <v>3.787878787878788E-2</v>
      </c>
    </row>
    <row r="233" spans="1:68" ht="27" hidden="1" customHeight="1" x14ac:dyDescent="0.25">
      <c r="A233" s="54" t="s">
        <v>378</v>
      </c>
      <c r="B233" s="54" t="s">
        <v>380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1"/>
      <c r="B234" s="549"/>
      <c r="C234" s="549"/>
      <c r="D234" s="549"/>
      <c r="E234" s="549"/>
      <c r="F234" s="549"/>
      <c r="G234" s="549"/>
      <c r="H234" s="549"/>
      <c r="I234" s="549"/>
      <c r="J234" s="549"/>
      <c r="K234" s="549"/>
      <c r="L234" s="549"/>
      <c r="M234" s="549"/>
      <c r="N234" s="549"/>
      <c r="O234" s="552"/>
      <c r="P234" s="554" t="s">
        <v>71</v>
      </c>
      <c r="Q234" s="555"/>
      <c r="R234" s="555"/>
      <c r="S234" s="555"/>
      <c r="T234" s="555"/>
      <c r="U234" s="555"/>
      <c r="V234" s="556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17.03448275862069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18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0.23208000000000001</v>
      </c>
      <c r="AA234" s="542"/>
      <c r="AB234" s="542"/>
      <c r="AC234" s="542"/>
    </row>
    <row r="235" spans="1:68" x14ac:dyDescent="0.2">
      <c r="A235" s="549"/>
      <c r="B235" s="549"/>
      <c r="C235" s="549"/>
      <c r="D235" s="549"/>
      <c r="E235" s="549"/>
      <c r="F235" s="549"/>
      <c r="G235" s="549"/>
      <c r="H235" s="549"/>
      <c r="I235" s="549"/>
      <c r="J235" s="549"/>
      <c r="K235" s="549"/>
      <c r="L235" s="549"/>
      <c r="M235" s="549"/>
      <c r="N235" s="549"/>
      <c r="O235" s="552"/>
      <c r="P235" s="554" t="s">
        <v>71</v>
      </c>
      <c r="Q235" s="555"/>
      <c r="R235" s="555"/>
      <c r="S235" s="555"/>
      <c r="T235" s="555"/>
      <c r="U235" s="555"/>
      <c r="V235" s="556"/>
      <c r="W235" s="37" t="s">
        <v>69</v>
      </c>
      <c r="X235" s="541">
        <f>IFERROR(SUM(X224:X233),"0")</f>
        <v>114</v>
      </c>
      <c r="Y235" s="541">
        <f>IFERROR(SUM(Y224:Y233),"0")</f>
        <v>125.2</v>
      </c>
      <c r="Z235" s="37"/>
      <c r="AA235" s="542"/>
      <c r="AB235" s="542"/>
      <c r="AC235" s="542"/>
    </row>
    <row r="236" spans="1:68" ht="14.25" hidden="1" customHeight="1" x14ac:dyDescent="0.25">
      <c r="A236" s="550" t="s">
        <v>135</v>
      </c>
      <c r="B236" s="549"/>
      <c r="C236" s="549"/>
      <c r="D236" s="549"/>
      <c r="E236" s="549"/>
      <c r="F236" s="549"/>
      <c r="G236" s="549"/>
      <c r="H236" s="549"/>
      <c r="I236" s="549"/>
      <c r="J236" s="549"/>
      <c r="K236" s="549"/>
      <c r="L236" s="549"/>
      <c r="M236" s="549"/>
      <c r="N236" s="549"/>
      <c r="O236" s="549"/>
      <c r="P236" s="549"/>
      <c r="Q236" s="549"/>
      <c r="R236" s="549"/>
      <c r="S236" s="549"/>
      <c r="T236" s="549"/>
      <c r="U236" s="549"/>
      <c r="V236" s="549"/>
      <c r="W236" s="549"/>
      <c r="X236" s="549"/>
      <c r="Y236" s="549"/>
      <c r="Z236" s="549"/>
      <c r="AA236" s="535"/>
      <c r="AB236" s="535"/>
      <c r="AC236" s="535"/>
    </row>
    <row r="237" spans="1:68" ht="27" hidden="1" customHeight="1" x14ac:dyDescent="0.25">
      <c r="A237" s="54" t="s">
        <v>381</v>
      </c>
      <c r="B237" s="54" t="s">
        <v>382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383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1"/>
      <c r="B238" s="549"/>
      <c r="C238" s="549"/>
      <c r="D238" s="549"/>
      <c r="E238" s="549"/>
      <c r="F238" s="549"/>
      <c r="G238" s="549"/>
      <c r="H238" s="549"/>
      <c r="I238" s="549"/>
      <c r="J238" s="549"/>
      <c r="K238" s="549"/>
      <c r="L238" s="549"/>
      <c r="M238" s="549"/>
      <c r="N238" s="549"/>
      <c r="O238" s="552"/>
      <c r="P238" s="554" t="s">
        <v>71</v>
      </c>
      <c r="Q238" s="555"/>
      <c r="R238" s="555"/>
      <c r="S238" s="555"/>
      <c r="T238" s="555"/>
      <c r="U238" s="555"/>
      <c r="V238" s="556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49"/>
      <c r="B239" s="549"/>
      <c r="C239" s="549"/>
      <c r="D239" s="549"/>
      <c r="E239" s="549"/>
      <c r="F239" s="549"/>
      <c r="G239" s="549"/>
      <c r="H239" s="549"/>
      <c r="I239" s="549"/>
      <c r="J239" s="549"/>
      <c r="K239" s="549"/>
      <c r="L239" s="549"/>
      <c r="M239" s="549"/>
      <c r="N239" s="549"/>
      <c r="O239" s="552"/>
      <c r="P239" s="554" t="s">
        <v>71</v>
      </c>
      <c r="Q239" s="555"/>
      <c r="R239" s="555"/>
      <c r="S239" s="555"/>
      <c r="T239" s="555"/>
      <c r="U239" s="555"/>
      <c r="V239" s="556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0" t="s">
        <v>384</v>
      </c>
      <c r="B240" s="549"/>
      <c r="C240" s="549"/>
      <c r="D240" s="549"/>
      <c r="E240" s="549"/>
      <c r="F240" s="549"/>
      <c r="G240" s="549"/>
      <c r="H240" s="549"/>
      <c r="I240" s="549"/>
      <c r="J240" s="549"/>
      <c r="K240" s="549"/>
      <c r="L240" s="549"/>
      <c r="M240" s="549"/>
      <c r="N240" s="549"/>
      <c r="O240" s="549"/>
      <c r="P240" s="549"/>
      <c r="Q240" s="549"/>
      <c r="R240" s="549"/>
      <c r="S240" s="549"/>
      <c r="T240" s="549"/>
      <c r="U240" s="549"/>
      <c r="V240" s="549"/>
      <c r="W240" s="549"/>
      <c r="X240" s="549"/>
      <c r="Y240" s="549"/>
      <c r="Z240" s="549"/>
      <c r="AA240" s="535"/>
      <c r="AB240" s="535"/>
      <c r="AC240" s="535"/>
    </row>
    <row r="241" spans="1:68" ht="27" hidden="1" customHeight="1" x14ac:dyDescent="0.25">
      <c r="A241" s="54" t="s">
        <v>385</v>
      </c>
      <c r="B241" s="54" t="s">
        <v>386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287</v>
      </c>
      <c r="L241" s="32"/>
      <c r="M241" s="33" t="s">
        <v>288</v>
      </c>
      <c r="N241" s="33"/>
      <c r="O241" s="32">
        <v>45</v>
      </c>
      <c r="P241" s="80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387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1"/>
      <c r="B242" s="549"/>
      <c r="C242" s="549"/>
      <c r="D242" s="549"/>
      <c r="E242" s="549"/>
      <c r="F242" s="549"/>
      <c r="G242" s="549"/>
      <c r="H242" s="549"/>
      <c r="I242" s="549"/>
      <c r="J242" s="549"/>
      <c r="K242" s="549"/>
      <c r="L242" s="549"/>
      <c r="M242" s="549"/>
      <c r="N242" s="549"/>
      <c r="O242" s="552"/>
      <c r="P242" s="554" t="s">
        <v>71</v>
      </c>
      <c r="Q242" s="555"/>
      <c r="R242" s="555"/>
      <c r="S242" s="555"/>
      <c r="T242" s="555"/>
      <c r="U242" s="555"/>
      <c r="V242" s="556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49"/>
      <c r="B243" s="549"/>
      <c r="C243" s="549"/>
      <c r="D243" s="549"/>
      <c r="E243" s="549"/>
      <c r="F243" s="549"/>
      <c r="G243" s="549"/>
      <c r="H243" s="549"/>
      <c r="I243" s="549"/>
      <c r="J243" s="549"/>
      <c r="K243" s="549"/>
      <c r="L243" s="549"/>
      <c r="M243" s="549"/>
      <c r="N243" s="549"/>
      <c r="O243" s="552"/>
      <c r="P243" s="554" t="s">
        <v>71</v>
      </c>
      <c r="Q243" s="555"/>
      <c r="R243" s="555"/>
      <c r="S243" s="555"/>
      <c r="T243" s="555"/>
      <c r="U243" s="555"/>
      <c r="V243" s="556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0" t="s">
        <v>388</v>
      </c>
      <c r="B244" s="549"/>
      <c r="C244" s="549"/>
      <c r="D244" s="549"/>
      <c r="E244" s="549"/>
      <c r="F244" s="549"/>
      <c r="G244" s="549"/>
      <c r="H244" s="549"/>
      <c r="I244" s="549"/>
      <c r="J244" s="549"/>
      <c r="K244" s="549"/>
      <c r="L244" s="549"/>
      <c r="M244" s="549"/>
      <c r="N244" s="549"/>
      <c r="O244" s="549"/>
      <c r="P244" s="549"/>
      <c r="Q244" s="549"/>
      <c r="R244" s="549"/>
      <c r="S244" s="549"/>
      <c r="T244" s="549"/>
      <c r="U244" s="549"/>
      <c r="V244" s="549"/>
      <c r="W244" s="549"/>
      <c r="X244" s="549"/>
      <c r="Y244" s="549"/>
      <c r="Z244" s="549"/>
      <c r="AA244" s="535"/>
      <c r="AB244" s="535"/>
      <c r="AC244" s="535"/>
    </row>
    <row r="245" spans="1:68" ht="27" hidden="1" customHeight="1" x14ac:dyDescent="0.25">
      <c r="A245" s="54" t="s">
        <v>389</v>
      </c>
      <c r="B245" s="54" t="s">
        <v>390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287</v>
      </c>
      <c r="L245" s="32"/>
      <c r="M245" s="33" t="s">
        <v>288</v>
      </c>
      <c r="N245" s="33"/>
      <c r="O245" s="32">
        <v>90</v>
      </c>
      <c r="P245" s="71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391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392</v>
      </c>
      <c r="B246" s="54" t="s">
        <v>393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287</v>
      </c>
      <c r="L246" s="32"/>
      <c r="M246" s="33" t="s">
        <v>288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39">
        <v>7.0000000000000009</v>
      </c>
      <c r="Y246" s="540">
        <f>IFERROR(IF(X246="",0,CEILING((X246/$H246),1)*$H246),"")</f>
        <v>7.2</v>
      </c>
      <c r="Z246" s="36">
        <f>IFERROR(IF(Y246=0,"",ROUNDUP(Y246/H246,0)*0.0059),"")</f>
        <v>2.3599999999999999E-2</v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7.6805555555555571</v>
      </c>
      <c r="BN246" s="64">
        <f>IFERROR(Y246*I246/H246,"0")</f>
        <v>7.9</v>
      </c>
      <c r="BO246" s="64">
        <f>IFERROR(1/J246*(X246/H246),"0")</f>
        <v>1.800411522633745E-2</v>
      </c>
      <c r="BP246" s="64">
        <f>IFERROR(1/J246*(Y246/H246),"0")</f>
        <v>1.8518518518518517E-2</v>
      </c>
    </row>
    <row r="247" spans="1:68" ht="27" hidden="1" customHeight="1" x14ac:dyDescent="0.25">
      <c r="A247" s="54" t="s">
        <v>394</v>
      </c>
      <c r="B247" s="54" t="s">
        <v>395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287</v>
      </c>
      <c r="L247" s="32"/>
      <c r="M247" s="33" t="s">
        <v>288</v>
      </c>
      <c r="N247" s="33"/>
      <c r="O247" s="32">
        <v>90</v>
      </c>
      <c r="P247" s="8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396</v>
      </c>
      <c r="B248" s="54" t="s">
        <v>397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287</v>
      </c>
      <c r="L248" s="32"/>
      <c r="M248" s="33" t="s">
        <v>288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398</v>
      </c>
      <c r="B249" s="54" t="s">
        <v>399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287</v>
      </c>
      <c r="L249" s="32"/>
      <c r="M249" s="33" t="s">
        <v>288</v>
      </c>
      <c r="N249" s="33"/>
      <c r="O249" s="32">
        <v>90</v>
      </c>
      <c r="P249" s="55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1"/>
      <c r="B250" s="549"/>
      <c r="C250" s="549"/>
      <c r="D250" s="549"/>
      <c r="E250" s="549"/>
      <c r="F250" s="549"/>
      <c r="G250" s="549"/>
      <c r="H250" s="549"/>
      <c r="I250" s="549"/>
      <c r="J250" s="549"/>
      <c r="K250" s="549"/>
      <c r="L250" s="549"/>
      <c r="M250" s="549"/>
      <c r="N250" s="549"/>
      <c r="O250" s="552"/>
      <c r="P250" s="554" t="s">
        <v>71</v>
      </c>
      <c r="Q250" s="555"/>
      <c r="R250" s="555"/>
      <c r="S250" s="555"/>
      <c r="T250" s="555"/>
      <c r="U250" s="555"/>
      <c r="V250" s="556"/>
      <c r="W250" s="37" t="s">
        <v>72</v>
      </c>
      <c r="X250" s="541">
        <f>IFERROR(X245/H245,"0")+IFERROR(X246/H246,"0")+IFERROR(X247/H247,"0")+IFERROR(X248/H248,"0")+IFERROR(X249/H249,"0")</f>
        <v>3.8888888888888893</v>
      </c>
      <c r="Y250" s="541">
        <f>IFERROR(Y245/H245,"0")+IFERROR(Y246/H246,"0")+IFERROR(Y247/H247,"0")+IFERROR(Y248/H248,"0")+IFERROR(Y249/H249,"0")</f>
        <v>4</v>
      </c>
      <c r="Z250" s="541">
        <f>IFERROR(IF(Z245="",0,Z245),"0")+IFERROR(IF(Z246="",0,Z246),"0")+IFERROR(IF(Z247="",0,Z247),"0")+IFERROR(IF(Z248="",0,Z248),"0")+IFERROR(IF(Z249="",0,Z249),"0")</f>
        <v>2.3599999999999999E-2</v>
      </c>
      <c r="AA250" s="542"/>
      <c r="AB250" s="542"/>
      <c r="AC250" s="542"/>
    </row>
    <row r="251" spans="1:68" x14ac:dyDescent="0.2">
      <c r="A251" s="549"/>
      <c r="B251" s="549"/>
      <c r="C251" s="549"/>
      <c r="D251" s="549"/>
      <c r="E251" s="549"/>
      <c r="F251" s="549"/>
      <c r="G251" s="549"/>
      <c r="H251" s="549"/>
      <c r="I251" s="549"/>
      <c r="J251" s="549"/>
      <c r="K251" s="549"/>
      <c r="L251" s="549"/>
      <c r="M251" s="549"/>
      <c r="N251" s="549"/>
      <c r="O251" s="552"/>
      <c r="P251" s="554" t="s">
        <v>71</v>
      </c>
      <c r="Q251" s="555"/>
      <c r="R251" s="555"/>
      <c r="S251" s="555"/>
      <c r="T251" s="555"/>
      <c r="U251" s="555"/>
      <c r="V251" s="556"/>
      <c r="W251" s="37" t="s">
        <v>69</v>
      </c>
      <c r="X251" s="541">
        <f>IFERROR(SUM(X245:X249),"0")</f>
        <v>7.0000000000000009</v>
      </c>
      <c r="Y251" s="541">
        <f>IFERROR(SUM(Y245:Y249),"0")</f>
        <v>7.2</v>
      </c>
      <c r="Z251" s="37"/>
      <c r="AA251" s="542"/>
      <c r="AB251" s="542"/>
      <c r="AC251" s="542"/>
    </row>
    <row r="252" spans="1:68" ht="16.5" hidden="1" customHeight="1" x14ac:dyDescent="0.25">
      <c r="A252" s="548" t="s">
        <v>400</v>
      </c>
      <c r="B252" s="549"/>
      <c r="C252" s="549"/>
      <c r="D252" s="549"/>
      <c r="E252" s="549"/>
      <c r="F252" s="549"/>
      <c r="G252" s="549"/>
      <c r="H252" s="549"/>
      <c r="I252" s="549"/>
      <c r="J252" s="549"/>
      <c r="K252" s="549"/>
      <c r="L252" s="549"/>
      <c r="M252" s="549"/>
      <c r="N252" s="549"/>
      <c r="O252" s="549"/>
      <c r="P252" s="549"/>
      <c r="Q252" s="549"/>
      <c r="R252" s="549"/>
      <c r="S252" s="549"/>
      <c r="T252" s="549"/>
      <c r="U252" s="549"/>
      <c r="V252" s="549"/>
      <c r="W252" s="549"/>
      <c r="X252" s="549"/>
      <c r="Y252" s="549"/>
      <c r="Z252" s="549"/>
      <c r="AA252" s="534"/>
      <c r="AB252" s="534"/>
      <c r="AC252" s="534"/>
    </row>
    <row r="253" spans="1:68" ht="14.25" hidden="1" customHeight="1" x14ac:dyDescent="0.25">
      <c r="A253" s="550" t="s">
        <v>99</v>
      </c>
      <c r="B253" s="549"/>
      <c r="C253" s="549"/>
      <c r="D253" s="549"/>
      <c r="E253" s="549"/>
      <c r="F253" s="549"/>
      <c r="G253" s="549"/>
      <c r="H253" s="549"/>
      <c r="I253" s="549"/>
      <c r="J253" s="549"/>
      <c r="K253" s="549"/>
      <c r="L253" s="549"/>
      <c r="M253" s="549"/>
      <c r="N253" s="549"/>
      <c r="O253" s="549"/>
      <c r="P253" s="549"/>
      <c r="Q253" s="549"/>
      <c r="R253" s="549"/>
      <c r="S253" s="549"/>
      <c r="T253" s="549"/>
      <c r="U253" s="549"/>
      <c r="V253" s="549"/>
      <c r="W253" s="549"/>
      <c r="X253" s="549"/>
      <c r="Y253" s="549"/>
      <c r="Z253" s="549"/>
      <c r="AA253" s="535"/>
      <c r="AB253" s="535"/>
      <c r="AC253" s="535"/>
    </row>
    <row r="254" spans="1:68" ht="27" hidden="1" customHeight="1" x14ac:dyDescent="0.25">
      <c r="A254" s="54" t="s">
        <v>401</v>
      </c>
      <c r="B254" s="54" t="s">
        <v>402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403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404</v>
      </c>
      <c r="B255" s="54" t="s">
        <v>405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2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407</v>
      </c>
      <c r="B256" s="54" t="s">
        <v>408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413</v>
      </c>
      <c r="B258" s="54" t="s">
        <v>414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3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1"/>
      <c r="B259" s="549"/>
      <c r="C259" s="549"/>
      <c r="D259" s="549"/>
      <c r="E259" s="549"/>
      <c r="F259" s="549"/>
      <c r="G259" s="549"/>
      <c r="H259" s="549"/>
      <c r="I259" s="549"/>
      <c r="J259" s="549"/>
      <c r="K259" s="549"/>
      <c r="L259" s="549"/>
      <c r="M259" s="549"/>
      <c r="N259" s="549"/>
      <c r="O259" s="552"/>
      <c r="P259" s="554" t="s">
        <v>71</v>
      </c>
      <c r="Q259" s="555"/>
      <c r="R259" s="555"/>
      <c r="S259" s="555"/>
      <c r="T259" s="555"/>
      <c r="U259" s="555"/>
      <c r="V259" s="556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49"/>
      <c r="B260" s="549"/>
      <c r="C260" s="549"/>
      <c r="D260" s="549"/>
      <c r="E260" s="549"/>
      <c r="F260" s="549"/>
      <c r="G260" s="549"/>
      <c r="H260" s="549"/>
      <c r="I260" s="549"/>
      <c r="J260" s="549"/>
      <c r="K260" s="549"/>
      <c r="L260" s="549"/>
      <c r="M260" s="549"/>
      <c r="N260" s="549"/>
      <c r="O260" s="552"/>
      <c r="P260" s="554" t="s">
        <v>71</v>
      </c>
      <c r="Q260" s="555"/>
      <c r="R260" s="555"/>
      <c r="S260" s="555"/>
      <c r="T260" s="555"/>
      <c r="U260" s="555"/>
      <c r="V260" s="556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48" t="s">
        <v>416</v>
      </c>
      <c r="B261" s="549"/>
      <c r="C261" s="549"/>
      <c r="D261" s="549"/>
      <c r="E261" s="549"/>
      <c r="F261" s="549"/>
      <c r="G261" s="549"/>
      <c r="H261" s="549"/>
      <c r="I261" s="549"/>
      <c r="J261" s="549"/>
      <c r="K261" s="549"/>
      <c r="L261" s="549"/>
      <c r="M261" s="549"/>
      <c r="N261" s="549"/>
      <c r="O261" s="549"/>
      <c r="P261" s="549"/>
      <c r="Q261" s="549"/>
      <c r="R261" s="549"/>
      <c r="S261" s="549"/>
      <c r="T261" s="549"/>
      <c r="U261" s="549"/>
      <c r="V261" s="549"/>
      <c r="W261" s="549"/>
      <c r="X261" s="549"/>
      <c r="Y261" s="549"/>
      <c r="Z261" s="549"/>
      <c r="AA261" s="534"/>
      <c r="AB261" s="534"/>
      <c r="AC261" s="534"/>
    </row>
    <row r="262" spans="1:68" ht="14.25" hidden="1" customHeight="1" x14ac:dyDescent="0.25">
      <c r="A262" s="550" t="s">
        <v>99</v>
      </c>
      <c r="B262" s="549"/>
      <c r="C262" s="549"/>
      <c r="D262" s="549"/>
      <c r="E262" s="549"/>
      <c r="F262" s="549"/>
      <c r="G262" s="549"/>
      <c r="H262" s="549"/>
      <c r="I262" s="549"/>
      <c r="J262" s="549"/>
      <c r="K262" s="549"/>
      <c r="L262" s="549"/>
      <c r="M262" s="549"/>
      <c r="N262" s="549"/>
      <c r="O262" s="549"/>
      <c r="P262" s="549"/>
      <c r="Q262" s="549"/>
      <c r="R262" s="549"/>
      <c r="S262" s="549"/>
      <c r="T262" s="549"/>
      <c r="U262" s="549"/>
      <c r="V262" s="549"/>
      <c r="W262" s="549"/>
      <c r="X262" s="549"/>
      <c r="Y262" s="549"/>
      <c r="Z262" s="549"/>
      <c r="AA262" s="535"/>
      <c r="AB262" s="535"/>
      <c r="AC262" s="535"/>
    </row>
    <row r="263" spans="1:68" ht="27" hidden="1" customHeight="1" x14ac:dyDescent="0.25">
      <c r="A263" s="54" t="s">
        <v>417</v>
      </c>
      <c r="B263" s="54" t="s">
        <v>418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419</v>
      </c>
      <c r="B264" s="54" t="s">
        <v>420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8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422</v>
      </c>
      <c r="B265" s="54" t="s">
        <v>423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367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424</v>
      </c>
      <c r="B266" s="54" t="s">
        <v>425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426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1"/>
      <c r="B267" s="549"/>
      <c r="C267" s="549"/>
      <c r="D267" s="549"/>
      <c r="E267" s="549"/>
      <c r="F267" s="549"/>
      <c r="G267" s="549"/>
      <c r="H267" s="549"/>
      <c r="I267" s="549"/>
      <c r="J267" s="549"/>
      <c r="K267" s="549"/>
      <c r="L267" s="549"/>
      <c r="M267" s="549"/>
      <c r="N267" s="549"/>
      <c r="O267" s="552"/>
      <c r="P267" s="554" t="s">
        <v>71</v>
      </c>
      <c r="Q267" s="555"/>
      <c r="R267" s="555"/>
      <c r="S267" s="555"/>
      <c r="T267" s="555"/>
      <c r="U267" s="555"/>
      <c r="V267" s="556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49"/>
      <c r="B268" s="549"/>
      <c r="C268" s="549"/>
      <c r="D268" s="549"/>
      <c r="E268" s="549"/>
      <c r="F268" s="549"/>
      <c r="G268" s="549"/>
      <c r="H268" s="549"/>
      <c r="I268" s="549"/>
      <c r="J268" s="549"/>
      <c r="K268" s="549"/>
      <c r="L268" s="549"/>
      <c r="M268" s="549"/>
      <c r="N268" s="549"/>
      <c r="O268" s="552"/>
      <c r="P268" s="554" t="s">
        <v>71</v>
      </c>
      <c r="Q268" s="555"/>
      <c r="R268" s="555"/>
      <c r="S268" s="555"/>
      <c r="T268" s="555"/>
      <c r="U268" s="555"/>
      <c r="V268" s="556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48" t="s">
        <v>427</v>
      </c>
      <c r="B269" s="549"/>
      <c r="C269" s="549"/>
      <c r="D269" s="549"/>
      <c r="E269" s="549"/>
      <c r="F269" s="549"/>
      <c r="G269" s="549"/>
      <c r="H269" s="549"/>
      <c r="I269" s="549"/>
      <c r="J269" s="549"/>
      <c r="K269" s="549"/>
      <c r="L269" s="549"/>
      <c r="M269" s="549"/>
      <c r="N269" s="549"/>
      <c r="O269" s="549"/>
      <c r="P269" s="549"/>
      <c r="Q269" s="549"/>
      <c r="R269" s="549"/>
      <c r="S269" s="549"/>
      <c r="T269" s="549"/>
      <c r="U269" s="549"/>
      <c r="V269" s="549"/>
      <c r="W269" s="549"/>
      <c r="X269" s="549"/>
      <c r="Y269" s="549"/>
      <c r="Z269" s="549"/>
      <c r="AA269" s="534"/>
      <c r="AB269" s="534"/>
      <c r="AC269" s="534"/>
    </row>
    <row r="270" spans="1:68" ht="14.25" hidden="1" customHeight="1" x14ac:dyDescent="0.25">
      <c r="A270" s="550" t="s">
        <v>73</v>
      </c>
      <c r="B270" s="549"/>
      <c r="C270" s="549"/>
      <c r="D270" s="549"/>
      <c r="E270" s="549"/>
      <c r="F270" s="549"/>
      <c r="G270" s="549"/>
      <c r="H270" s="549"/>
      <c r="I270" s="549"/>
      <c r="J270" s="549"/>
      <c r="K270" s="549"/>
      <c r="L270" s="549"/>
      <c r="M270" s="549"/>
      <c r="N270" s="549"/>
      <c r="O270" s="549"/>
      <c r="P270" s="549"/>
      <c r="Q270" s="549"/>
      <c r="R270" s="549"/>
      <c r="S270" s="549"/>
      <c r="T270" s="549"/>
      <c r="U270" s="549"/>
      <c r="V270" s="549"/>
      <c r="W270" s="549"/>
      <c r="X270" s="549"/>
      <c r="Y270" s="549"/>
      <c r="Z270" s="549"/>
      <c r="AA270" s="535"/>
      <c r="AB270" s="535"/>
      <c r="AC270" s="535"/>
    </row>
    <row r="271" spans="1:68" ht="27" hidden="1" customHeight="1" x14ac:dyDescent="0.25">
      <c r="A271" s="54" t="s">
        <v>428</v>
      </c>
      <c r="B271" s="54" t="s">
        <v>429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430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431</v>
      </c>
      <c r="B272" s="54" t="s">
        <v>432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214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39">
        <v>40</v>
      </c>
      <c r="Y272" s="540">
        <f>IFERROR(IF(X272="",0,CEILING((X272/$H272),1)*$H272),"")</f>
        <v>40.799999999999997</v>
      </c>
      <c r="Z272" s="36">
        <f>IFERROR(IF(Y272=0,"",ROUNDUP(Y272/H272,0)*0.00651),"")</f>
        <v>0.11067</v>
      </c>
      <c r="AA272" s="56"/>
      <c r="AB272" s="57"/>
      <c r="AC272" s="319" t="s">
        <v>433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44.20000000000001</v>
      </c>
      <c r="BN272" s="64">
        <f>IFERROR(Y272*I272/H272,"0")</f>
        <v>45.084000000000003</v>
      </c>
      <c r="BO272" s="64">
        <f>IFERROR(1/J272*(X272/H272),"0")</f>
        <v>9.1575091575091583E-2</v>
      </c>
      <c r="BP272" s="64">
        <f>IFERROR(1/J272*(Y272/H272),"0")</f>
        <v>9.3406593406593408E-2</v>
      </c>
    </row>
    <row r="273" spans="1:68" ht="27" customHeight="1" x14ac:dyDescent="0.25">
      <c r="A273" s="54" t="s">
        <v>434</v>
      </c>
      <c r="B273" s="54" t="s">
        <v>435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39">
        <v>140</v>
      </c>
      <c r="Y273" s="540">
        <f>IFERROR(IF(X273="",0,CEILING((X273/$H273),1)*$H273),"")</f>
        <v>141.6</v>
      </c>
      <c r="Z273" s="36">
        <f>IFERROR(IF(Y273=0,"",ROUNDUP(Y273/H273,0)*0.00651),"")</f>
        <v>0.38408999999999999</v>
      </c>
      <c r="AA273" s="56"/>
      <c r="AB273" s="57"/>
      <c r="AC273" s="321" t="s">
        <v>430</v>
      </c>
      <c r="AG273" s="64"/>
      <c r="AJ273" s="68" t="s">
        <v>106</v>
      </c>
      <c r="AK273" s="68">
        <v>2.4</v>
      </c>
      <c r="BB273" s="322" t="s">
        <v>1</v>
      </c>
      <c r="BM273" s="64">
        <f>IFERROR(X273*I273/H273,"0")</f>
        <v>150.5</v>
      </c>
      <c r="BN273" s="64">
        <f>IFERROR(Y273*I273/H273,"0")</f>
        <v>152.22</v>
      </c>
      <c r="BO273" s="64">
        <f>IFERROR(1/J273*(X273/H273),"0")</f>
        <v>0.32051282051282054</v>
      </c>
      <c r="BP273" s="64">
        <f>IFERROR(1/J273*(Y273/H273),"0")</f>
        <v>0.32417582417582419</v>
      </c>
    </row>
    <row r="274" spans="1:68" x14ac:dyDescent="0.2">
      <c r="A274" s="551"/>
      <c r="B274" s="549"/>
      <c r="C274" s="549"/>
      <c r="D274" s="549"/>
      <c r="E274" s="549"/>
      <c r="F274" s="549"/>
      <c r="G274" s="549"/>
      <c r="H274" s="549"/>
      <c r="I274" s="549"/>
      <c r="J274" s="549"/>
      <c r="K274" s="549"/>
      <c r="L274" s="549"/>
      <c r="M274" s="549"/>
      <c r="N274" s="549"/>
      <c r="O274" s="552"/>
      <c r="P274" s="554" t="s">
        <v>71</v>
      </c>
      <c r="Q274" s="555"/>
      <c r="R274" s="555"/>
      <c r="S274" s="555"/>
      <c r="T274" s="555"/>
      <c r="U274" s="555"/>
      <c r="V274" s="556"/>
      <c r="W274" s="37" t="s">
        <v>72</v>
      </c>
      <c r="X274" s="541">
        <f>IFERROR(X271/H271,"0")+IFERROR(X272/H272,"0")+IFERROR(X273/H273,"0")</f>
        <v>75</v>
      </c>
      <c r="Y274" s="541">
        <f>IFERROR(Y271/H271,"0")+IFERROR(Y272/H272,"0")+IFERROR(Y273/H273,"0")</f>
        <v>76</v>
      </c>
      <c r="Z274" s="541">
        <f>IFERROR(IF(Z271="",0,Z271),"0")+IFERROR(IF(Z272="",0,Z272),"0")+IFERROR(IF(Z273="",0,Z273),"0")</f>
        <v>0.49475999999999998</v>
      </c>
      <c r="AA274" s="542"/>
      <c r="AB274" s="542"/>
      <c r="AC274" s="542"/>
    </row>
    <row r="275" spans="1:68" x14ac:dyDescent="0.2">
      <c r="A275" s="549"/>
      <c r="B275" s="549"/>
      <c r="C275" s="549"/>
      <c r="D275" s="549"/>
      <c r="E275" s="549"/>
      <c r="F275" s="549"/>
      <c r="G275" s="549"/>
      <c r="H275" s="549"/>
      <c r="I275" s="549"/>
      <c r="J275" s="549"/>
      <c r="K275" s="549"/>
      <c r="L275" s="549"/>
      <c r="M275" s="549"/>
      <c r="N275" s="549"/>
      <c r="O275" s="552"/>
      <c r="P275" s="554" t="s">
        <v>71</v>
      </c>
      <c r="Q275" s="555"/>
      <c r="R275" s="555"/>
      <c r="S275" s="555"/>
      <c r="T275" s="555"/>
      <c r="U275" s="555"/>
      <c r="V275" s="556"/>
      <c r="W275" s="37" t="s">
        <v>69</v>
      </c>
      <c r="X275" s="541">
        <f>IFERROR(SUM(X271:X273),"0")</f>
        <v>180</v>
      </c>
      <c r="Y275" s="541">
        <f>IFERROR(SUM(Y271:Y273),"0")</f>
        <v>182.39999999999998</v>
      </c>
      <c r="Z275" s="37"/>
      <c r="AA275" s="542"/>
      <c r="AB275" s="542"/>
      <c r="AC275" s="542"/>
    </row>
    <row r="276" spans="1:68" ht="16.5" hidden="1" customHeight="1" x14ac:dyDescent="0.25">
      <c r="A276" s="548" t="s">
        <v>436</v>
      </c>
      <c r="B276" s="549"/>
      <c r="C276" s="549"/>
      <c r="D276" s="549"/>
      <c r="E276" s="549"/>
      <c r="F276" s="549"/>
      <c r="G276" s="549"/>
      <c r="H276" s="549"/>
      <c r="I276" s="549"/>
      <c r="J276" s="549"/>
      <c r="K276" s="549"/>
      <c r="L276" s="549"/>
      <c r="M276" s="549"/>
      <c r="N276" s="549"/>
      <c r="O276" s="549"/>
      <c r="P276" s="549"/>
      <c r="Q276" s="549"/>
      <c r="R276" s="549"/>
      <c r="S276" s="549"/>
      <c r="T276" s="549"/>
      <c r="U276" s="549"/>
      <c r="V276" s="549"/>
      <c r="W276" s="549"/>
      <c r="X276" s="549"/>
      <c r="Y276" s="549"/>
      <c r="Z276" s="549"/>
      <c r="AA276" s="534"/>
      <c r="AB276" s="534"/>
      <c r="AC276" s="534"/>
    </row>
    <row r="277" spans="1:68" ht="14.25" hidden="1" customHeight="1" x14ac:dyDescent="0.25">
      <c r="A277" s="550" t="s">
        <v>64</v>
      </c>
      <c r="B277" s="549"/>
      <c r="C277" s="549"/>
      <c r="D277" s="549"/>
      <c r="E277" s="549"/>
      <c r="F277" s="549"/>
      <c r="G277" s="549"/>
      <c r="H277" s="549"/>
      <c r="I277" s="549"/>
      <c r="J277" s="549"/>
      <c r="K277" s="549"/>
      <c r="L277" s="549"/>
      <c r="M277" s="549"/>
      <c r="N277" s="549"/>
      <c r="O277" s="549"/>
      <c r="P277" s="549"/>
      <c r="Q277" s="549"/>
      <c r="R277" s="549"/>
      <c r="S277" s="549"/>
      <c r="T277" s="549"/>
      <c r="U277" s="549"/>
      <c r="V277" s="549"/>
      <c r="W277" s="549"/>
      <c r="X277" s="549"/>
      <c r="Y277" s="549"/>
      <c r="Z277" s="549"/>
      <c r="AA277" s="535"/>
      <c r="AB277" s="535"/>
      <c r="AC277" s="535"/>
    </row>
    <row r="278" spans="1:68" ht="27" hidden="1" customHeight="1" x14ac:dyDescent="0.25">
      <c r="A278" s="54" t="s">
        <v>437</v>
      </c>
      <c r="B278" s="54" t="s">
        <v>438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8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439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440</v>
      </c>
      <c r="B279" s="54" t="s">
        <v>441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1"/>
      <c r="B280" s="549"/>
      <c r="C280" s="549"/>
      <c r="D280" s="549"/>
      <c r="E280" s="549"/>
      <c r="F280" s="549"/>
      <c r="G280" s="549"/>
      <c r="H280" s="549"/>
      <c r="I280" s="549"/>
      <c r="J280" s="549"/>
      <c r="K280" s="549"/>
      <c r="L280" s="549"/>
      <c r="M280" s="549"/>
      <c r="N280" s="549"/>
      <c r="O280" s="552"/>
      <c r="P280" s="554" t="s">
        <v>71</v>
      </c>
      <c r="Q280" s="555"/>
      <c r="R280" s="555"/>
      <c r="S280" s="555"/>
      <c r="T280" s="555"/>
      <c r="U280" s="555"/>
      <c r="V280" s="556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49"/>
      <c r="B281" s="549"/>
      <c r="C281" s="549"/>
      <c r="D281" s="549"/>
      <c r="E281" s="549"/>
      <c r="F281" s="549"/>
      <c r="G281" s="549"/>
      <c r="H281" s="549"/>
      <c r="I281" s="549"/>
      <c r="J281" s="549"/>
      <c r="K281" s="549"/>
      <c r="L281" s="549"/>
      <c r="M281" s="549"/>
      <c r="N281" s="549"/>
      <c r="O281" s="552"/>
      <c r="P281" s="554" t="s">
        <v>71</v>
      </c>
      <c r="Q281" s="555"/>
      <c r="R281" s="555"/>
      <c r="S281" s="555"/>
      <c r="T281" s="555"/>
      <c r="U281" s="555"/>
      <c r="V281" s="556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0" t="s">
        <v>73</v>
      </c>
      <c r="B282" s="549"/>
      <c r="C282" s="549"/>
      <c r="D282" s="549"/>
      <c r="E282" s="549"/>
      <c r="F282" s="549"/>
      <c r="G282" s="549"/>
      <c r="H282" s="549"/>
      <c r="I282" s="549"/>
      <c r="J282" s="549"/>
      <c r="K282" s="549"/>
      <c r="L282" s="549"/>
      <c r="M282" s="549"/>
      <c r="N282" s="549"/>
      <c r="O282" s="549"/>
      <c r="P282" s="549"/>
      <c r="Q282" s="549"/>
      <c r="R282" s="549"/>
      <c r="S282" s="549"/>
      <c r="T282" s="549"/>
      <c r="U282" s="549"/>
      <c r="V282" s="549"/>
      <c r="W282" s="549"/>
      <c r="X282" s="549"/>
      <c r="Y282" s="549"/>
      <c r="Z282" s="549"/>
      <c r="AA282" s="535"/>
      <c r="AB282" s="535"/>
      <c r="AC282" s="535"/>
    </row>
    <row r="283" spans="1:68" ht="37.5" hidden="1" customHeight="1" x14ac:dyDescent="0.25">
      <c r="A283" s="54" t="s">
        <v>443</v>
      </c>
      <c r="B283" s="54" t="s">
        <v>444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445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1"/>
      <c r="B284" s="549"/>
      <c r="C284" s="549"/>
      <c r="D284" s="549"/>
      <c r="E284" s="549"/>
      <c r="F284" s="549"/>
      <c r="G284" s="549"/>
      <c r="H284" s="549"/>
      <c r="I284" s="549"/>
      <c r="J284" s="549"/>
      <c r="K284" s="549"/>
      <c r="L284" s="549"/>
      <c r="M284" s="549"/>
      <c r="N284" s="549"/>
      <c r="O284" s="552"/>
      <c r="P284" s="554" t="s">
        <v>71</v>
      </c>
      <c r="Q284" s="555"/>
      <c r="R284" s="555"/>
      <c r="S284" s="555"/>
      <c r="T284" s="555"/>
      <c r="U284" s="555"/>
      <c r="V284" s="556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hidden="1" x14ac:dyDescent="0.2">
      <c r="A285" s="549"/>
      <c r="B285" s="549"/>
      <c r="C285" s="549"/>
      <c r="D285" s="549"/>
      <c r="E285" s="549"/>
      <c r="F285" s="549"/>
      <c r="G285" s="549"/>
      <c r="H285" s="549"/>
      <c r="I285" s="549"/>
      <c r="J285" s="549"/>
      <c r="K285" s="549"/>
      <c r="L285" s="549"/>
      <c r="M285" s="549"/>
      <c r="N285" s="549"/>
      <c r="O285" s="552"/>
      <c r="P285" s="554" t="s">
        <v>71</v>
      </c>
      <c r="Q285" s="555"/>
      <c r="R285" s="555"/>
      <c r="S285" s="555"/>
      <c r="T285" s="555"/>
      <c r="U285" s="555"/>
      <c r="V285" s="556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hidden="1" customHeight="1" x14ac:dyDescent="0.25">
      <c r="A286" s="548" t="s">
        <v>446</v>
      </c>
      <c r="B286" s="549"/>
      <c r="C286" s="549"/>
      <c r="D286" s="549"/>
      <c r="E286" s="549"/>
      <c r="F286" s="549"/>
      <c r="G286" s="549"/>
      <c r="H286" s="549"/>
      <c r="I286" s="549"/>
      <c r="J286" s="549"/>
      <c r="K286" s="549"/>
      <c r="L286" s="549"/>
      <c r="M286" s="549"/>
      <c r="N286" s="549"/>
      <c r="O286" s="549"/>
      <c r="P286" s="549"/>
      <c r="Q286" s="549"/>
      <c r="R286" s="549"/>
      <c r="S286" s="549"/>
      <c r="T286" s="549"/>
      <c r="U286" s="549"/>
      <c r="V286" s="549"/>
      <c r="W286" s="549"/>
      <c r="X286" s="549"/>
      <c r="Y286" s="549"/>
      <c r="Z286" s="549"/>
      <c r="AA286" s="534"/>
      <c r="AB286" s="534"/>
      <c r="AC286" s="534"/>
    </row>
    <row r="287" spans="1:68" ht="14.25" hidden="1" customHeight="1" x14ac:dyDescent="0.25">
      <c r="A287" s="550" t="s">
        <v>99</v>
      </c>
      <c r="B287" s="549"/>
      <c r="C287" s="549"/>
      <c r="D287" s="549"/>
      <c r="E287" s="549"/>
      <c r="F287" s="549"/>
      <c r="G287" s="549"/>
      <c r="H287" s="549"/>
      <c r="I287" s="549"/>
      <c r="J287" s="549"/>
      <c r="K287" s="549"/>
      <c r="L287" s="549"/>
      <c r="M287" s="549"/>
      <c r="N287" s="549"/>
      <c r="O287" s="549"/>
      <c r="P287" s="549"/>
      <c r="Q287" s="549"/>
      <c r="R287" s="549"/>
      <c r="S287" s="549"/>
      <c r="T287" s="549"/>
      <c r="U287" s="549"/>
      <c r="V287" s="549"/>
      <c r="W287" s="549"/>
      <c r="X287" s="549"/>
      <c r="Y287" s="549"/>
      <c r="Z287" s="549"/>
      <c r="AA287" s="535"/>
      <c r="AB287" s="535"/>
      <c r="AC287" s="535"/>
    </row>
    <row r="288" spans="1:68" ht="27" hidden="1" customHeight="1" x14ac:dyDescent="0.25">
      <c r="A288" s="54" t="s">
        <v>447</v>
      </c>
      <c r="B288" s="54" t="s">
        <v>448</v>
      </c>
      <c r="C288" s="31">
        <v>4301012024</v>
      </c>
      <c r="D288" s="543">
        <v>4680115885615</v>
      </c>
      <c r="E288" s="544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3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449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hidden="1" customHeight="1" x14ac:dyDescent="0.25">
      <c r="A289" s="54" t="s">
        <v>450</v>
      </c>
      <c r="B289" s="54" t="s">
        <v>451</v>
      </c>
      <c r="C289" s="31">
        <v>4301011858</v>
      </c>
      <c r="D289" s="543">
        <v>4680115885646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452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453</v>
      </c>
      <c r="B290" s="54" t="s">
        <v>454</v>
      </c>
      <c r="C290" s="31">
        <v>4301012016</v>
      </c>
      <c r="D290" s="543">
        <v>4680115885554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7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455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456</v>
      </c>
      <c r="B291" s="54" t="s">
        <v>457</v>
      </c>
      <c r="C291" s="31">
        <v>4301011857</v>
      </c>
      <c r="D291" s="543">
        <v>4680115885622</v>
      </c>
      <c r="E291" s="544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4301011859</v>
      </c>
      <c r="D292" s="543">
        <v>4680115885608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51"/>
      <c r="B293" s="549"/>
      <c r="C293" s="549"/>
      <c r="D293" s="549"/>
      <c r="E293" s="549"/>
      <c r="F293" s="549"/>
      <c r="G293" s="549"/>
      <c r="H293" s="549"/>
      <c r="I293" s="549"/>
      <c r="J293" s="549"/>
      <c r="K293" s="549"/>
      <c r="L293" s="549"/>
      <c r="M293" s="549"/>
      <c r="N293" s="549"/>
      <c r="O293" s="552"/>
      <c r="P293" s="554" t="s">
        <v>71</v>
      </c>
      <c r="Q293" s="555"/>
      <c r="R293" s="555"/>
      <c r="S293" s="555"/>
      <c r="T293" s="555"/>
      <c r="U293" s="555"/>
      <c r="V293" s="556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hidden="1" x14ac:dyDescent="0.2">
      <c r="A294" s="549"/>
      <c r="B294" s="549"/>
      <c r="C294" s="549"/>
      <c r="D294" s="549"/>
      <c r="E294" s="549"/>
      <c r="F294" s="549"/>
      <c r="G294" s="549"/>
      <c r="H294" s="549"/>
      <c r="I294" s="549"/>
      <c r="J294" s="549"/>
      <c r="K294" s="549"/>
      <c r="L294" s="549"/>
      <c r="M294" s="549"/>
      <c r="N294" s="549"/>
      <c r="O294" s="552"/>
      <c r="P294" s="554" t="s">
        <v>71</v>
      </c>
      <c r="Q294" s="555"/>
      <c r="R294" s="555"/>
      <c r="S294" s="555"/>
      <c r="T294" s="555"/>
      <c r="U294" s="555"/>
      <c r="V294" s="556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hidden="1" customHeight="1" x14ac:dyDescent="0.25">
      <c r="A295" s="550" t="s">
        <v>64</v>
      </c>
      <c r="B295" s="549"/>
      <c r="C295" s="549"/>
      <c r="D295" s="549"/>
      <c r="E295" s="549"/>
      <c r="F295" s="549"/>
      <c r="G295" s="549"/>
      <c r="H295" s="549"/>
      <c r="I295" s="549"/>
      <c r="J295" s="549"/>
      <c r="K295" s="549"/>
      <c r="L295" s="549"/>
      <c r="M295" s="549"/>
      <c r="N295" s="549"/>
      <c r="O295" s="549"/>
      <c r="P295" s="549"/>
      <c r="Q295" s="549"/>
      <c r="R295" s="549"/>
      <c r="S295" s="549"/>
      <c r="T295" s="549"/>
      <c r="U295" s="549"/>
      <c r="V295" s="549"/>
      <c r="W295" s="549"/>
      <c r="X295" s="549"/>
      <c r="Y295" s="549"/>
      <c r="Z295" s="549"/>
      <c r="AA295" s="535"/>
      <c r="AB295" s="535"/>
      <c r="AC295" s="535"/>
    </row>
    <row r="296" spans="1:68" ht="27" hidden="1" customHeight="1" x14ac:dyDescent="0.25">
      <c r="A296" s="54" t="s">
        <v>461</v>
      </c>
      <c r="B296" s="54" t="s">
        <v>462</v>
      </c>
      <c r="C296" s="31">
        <v>4301030878</v>
      </c>
      <c r="D296" s="543">
        <v>4607091387193</v>
      </c>
      <c r="E296" s="544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6"/>
      <c r="R296" s="546"/>
      <c r="S296" s="546"/>
      <c r="T296" s="547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463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hidden="1" customHeight="1" x14ac:dyDescent="0.25">
      <c r="A297" s="54" t="s">
        <v>464</v>
      </c>
      <c r="B297" s="54" t="s">
        <v>465</v>
      </c>
      <c r="C297" s="31">
        <v>4301031153</v>
      </c>
      <c r="D297" s="543">
        <v>4607091387230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40</v>
      </c>
      <c r="P297" s="83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466</v>
      </c>
      <c r="AG297" s="64"/>
      <c r="AJ297" s="68"/>
      <c r="AK297" s="68">
        <v>0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467</v>
      </c>
      <c r="B298" s="54" t="s">
        <v>468</v>
      </c>
      <c r="C298" s="31">
        <v>4301031154</v>
      </c>
      <c r="D298" s="543">
        <v>4607091387292</v>
      </c>
      <c r="E298" s="544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469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470</v>
      </c>
      <c r="B299" s="54" t="s">
        <v>471</v>
      </c>
      <c r="C299" s="31">
        <v>4301031152</v>
      </c>
      <c r="D299" s="543">
        <v>4607091387285</v>
      </c>
      <c r="E299" s="544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 t="s">
        <v>272</v>
      </c>
      <c r="M299" s="33" t="s">
        <v>68</v>
      </c>
      <c r="N299" s="33"/>
      <c r="O299" s="32">
        <v>40</v>
      </c>
      <c r="P299" s="6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466</v>
      </c>
      <c r="AG299" s="64"/>
      <c r="AJ299" s="68" t="s">
        <v>106</v>
      </c>
      <c r="AK299" s="68">
        <v>37.799999999999997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4301031305</v>
      </c>
      <c r="D300" s="543">
        <v>4607091389845</v>
      </c>
      <c r="E300" s="544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 t="s">
        <v>272</v>
      </c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39">
        <v>105</v>
      </c>
      <c r="Y300" s="540">
        <f t="shared" si="26"/>
        <v>105</v>
      </c>
      <c r="Z300" s="36">
        <f>IFERROR(IF(Y300=0,"",ROUNDUP(Y300/H300,0)*0.00502),"")</f>
        <v>0.251</v>
      </c>
      <c r="AA300" s="56"/>
      <c r="AB300" s="57"/>
      <c r="AC300" s="347" t="s">
        <v>474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110.00000000000001</v>
      </c>
      <c r="BN300" s="64">
        <f t="shared" si="28"/>
        <v>110.00000000000001</v>
      </c>
      <c r="BO300" s="64">
        <f t="shared" si="29"/>
        <v>0.21367521367521369</v>
      </c>
      <c r="BP300" s="64">
        <f t="shared" si="30"/>
        <v>0.21367521367521369</v>
      </c>
    </row>
    <row r="301" spans="1:68" ht="27" hidden="1" customHeight="1" x14ac:dyDescent="0.25">
      <c r="A301" s="54" t="s">
        <v>475</v>
      </c>
      <c r="B301" s="54" t="s">
        <v>476</v>
      </c>
      <c r="C301" s="31">
        <v>4301031306</v>
      </c>
      <c r="D301" s="543">
        <v>4680115882881</v>
      </c>
      <c r="E301" s="544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6"/>
      <c r="R301" s="546"/>
      <c r="S301" s="546"/>
      <c r="T301" s="547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4301031066</v>
      </c>
      <c r="D302" s="543">
        <v>4607091383836</v>
      </c>
      <c r="E302" s="544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 t="s">
        <v>214</v>
      </c>
      <c r="M302" s="33" t="s">
        <v>68</v>
      </c>
      <c r="N302" s="33"/>
      <c r="O302" s="32">
        <v>40</v>
      </c>
      <c r="P302" s="5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39">
        <v>21</v>
      </c>
      <c r="Y302" s="540">
        <f t="shared" si="26"/>
        <v>21.6</v>
      </c>
      <c r="Z302" s="36">
        <f>IFERROR(IF(Y302=0,"",ROUNDUP(Y302/H302,0)*0.00651),"")</f>
        <v>7.8119999999999995E-2</v>
      </c>
      <c r="AA302" s="56"/>
      <c r="AB302" s="57"/>
      <c r="AC302" s="351" t="s">
        <v>479</v>
      </c>
      <c r="AG302" s="64"/>
      <c r="AJ302" s="68" t="s">
        <v>106</v>
      </c>
      <c r="AK302" s="68">
        <v>25.2</v>
      </c>
      <c r="BB302" s="352" t="s">
        <v>1</v>
      </c>
      <c r="BM302" s="64">
        <f t="shared" si="27"/>
        <v>23.66</v>
      </c>
      <c r="BN302" s="64">
        <f t="shared" si="28"/>
        <v>24.335999999999999</v>
      </c>
      <c r="BO302" s="64">
        <f t="shared" si="29"/>
        <v>6.4102564102564111E-2</v>
      </c>
      <c r="BP302" s="64">
        <f t="shared" si="30"/>
        <v>6.5934065934065936E-2</v>
      </c>
    </row>
    <row r="303" spans="1:68" x14ac:dyDescent="0.2">
      <c r="A303" s="551"/>
      <c r="B303" s="549"/>
      <c r="C303" s="549"/>
      <c r="D303" s="549"/>
      <c r="E303" s="549"/>
      <c r="F303" s="549"/>
      <c r="G303" s="549"/>
      <c r="H303" s="549"/>
      <c r="I303" s="549"/>
      <c r="J303" s="549"/>
      <c r="K303" s="549"/>
      <c r="L303" s="549"/>
      <c r="M303" s="549"/>
      <c r="N303" s="549"/>
      <c r="O303" s="552"/>
      <c r="P303" s="554" t="s">
        <v>71</v>
      </c>
      <c r="Q303" s="555"/>
      <c r="R303" s="555"/>
      <c r="S303" s="555"/>
      <c r="T303" s="555"/>
      <c r="U303" s="555"/>
      <c r="V303" s="556"/>
      <c r="W303" s="37" t="s">
        <v>72</v>
      </c>
      <c r="X303" s="541">
        <f>IFERROR(X296/H296,"0")+IFERROR(X297/H297,"0")+IFERROR(X298/H298,"0")+IFERROR(X299/H299,"0")+IFERROR(X300/H300,"0")+IFERROR(X301/H301,"0")+IFERROR(X302/H302,"0")</f>
        <v>61.666666666666664</v>
      </c>
      <c r="Y303" s="541">
        <f>IFERROR(Y296/H296,"0")+IFERROR(Y297/H297,"0")+IFERROR(Y298/H298,"0")+IFERROR(Y299/H299,"0")+IFERROR(Y300/H300,"0")+IFERROR(Y301/H301,"0")+IFERROR(Y302/H302,"0")</f>
        <v>62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0.32911999999999997</v>
      </c>
      <c r="AA303" s="542"/>
      <c r="AB303" s="542"/>
      <c r="AC303" s="542"/>
    </row>
    <row r="304" spans="1:68" x14ac:dyDescent="0.2">
      <c r="A304" s="549"/>
      <c r="B304" s="549"/>
      <c r="C304" s="549"/>
      <c r="D304" s="549"/>
      <c r="E304" s="549"/>
      <c r="F304" s="549"/>
      <c r="G304" s="549"/>
      <c r="H304" s="549"/>
      <c r="I304" s="549"/>
      <c r="J304" s="549"/>
      <c r="K304" s="549"/>
      <c r="L304" s="549"/>
      <c r="M304" s="549"/>
      <c r="N304" s="549"/>
      <c r="O304" s="552"/>
      <c r="P304" s="554" t="s">
        <v>71</v>
      </c>
      <c r="Q304" s="555"/>
      <c r="R304" s="555"/>
      <c r="S304" s="555"/>
      <c r="T304" s="555"/>
      <c r="U304" s="555"/>
      <c r="V304" s="556"/>
      <c r="W304" s="37" t="s">
        <v>69</v>
      </c>
      <c r="X304" s="541">
        <f>IFERROR(SUM(X296:X302),"0")</f>
        <v>126</v>
      </c>
      <c r="Y304" s="541">
        <f>IFERROR(SUM(Y296:Y302),"0")</f>
        <v>126.6</v>
      </c>
      <c r="Z304" s="37"/>
      <c r="AA304" s="542"/>
      <c r="AB304" s="542"/>
      <c r="AC304" s="542"/>
    </row>
    <row r="305" spans="1:68" ht="14.25" hidden="1" customHeight="1" x14ac:dyDescent="0.25">
      <c r="A305" s="550" t="s">
        <v>73</v>
      </c>
      <c r="B305" s="549"/>
      <c r="C305" s="549"/>
      <c r="D305" s="549"/>
      <c r="E305" s="549"/>
      <c r="F305" s="549"/>
      <c r="G305" s="549"/>
      <c r="H305" s="549"/>
      <c r="I305" s="549"/>
      <c r="J305" s="549"/>
      <c r="K305" s="549"/>
      <c r="L305" s="549"/>
      <c r="M305" s="549"/>
      <c r="N305" s="549"/>
      <c r="O305" s="549"/>
      <c r="P305" s="549"/>
      <c r="Q305" s="549"/>
      <c r="R305" s="549"/>
      <c r="S305" s="549"/>
      <c r="T305" s="549"/>
      <c r="U305" s="549"/>
      <c r="V305" s="549"/>
      <c r="W305" s="549"/>
      <c r="X305" s="549"/>
      <c r="Y305" s="549"/>
      <c r="Z305" s="549"/>
      <c r="AA305" s="535"/>
      <c r="AB305" s="535"/>
      <c r="AC305" s="535"/>
    </row>
    <row r="306" spans="1:68" ht="27" hidden="1" customHeight="1" x14ac:dyDescent="0.25">
      <c r="A306" s="54" t="s">
        <v>480</v>
      </c>
      <c r="B306" s="54" t="s">
        <v>481</v>
      </c>
      <c r="C306" s="31">
        <v>4301051100</v>
      </c>
      <c r="D306" s="543">
        <v>4607091387766</v>
      </c>
      <c r="E306" s="544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/>
      <c r="M306" s="33" t="s">
        <v>77</v>
      </c>
      <c r="N306" s="33"/>
      <c r="O306" s="32">
        <v>40</v>
      </c>
      <c r="P306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6"/>
      <c r="R306" s="546"/>
      <c r="S306" s="546"/>
      <c r="T306" s="547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482</v>
      </c>
      <c r="AG306" s="64"/>
      <c r="AJ306" s="68"/>
      <c r="AK306" s="68">
        <v>0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hidden="1" customHeight="1" x14ac:dyDescent="0.25">
      <c r="A307" s="54" t="s">
        <v>483</v>
      </c>
      <c r="B307" s="54" t="s">
        <v>484</v>
      </c>
      <c r="C307" s="31">
        <v>4301051818</v>
      </c>
      <c r="D307" s="543">
        <v>4607091387957</v>
      </c>
      <c r="E307" s="544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6"/>
      <c r="R307" s="546"/>
      <c r="S307" s="546"/>
      <c r="T307" s="547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485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486</v>
      </c>
      <c r="B308" s="54" t="s">
        <v>487</v>
      </c>
      <c r="C308" s="31">
        <v>4301051819</v>
      </c>
      <c r="D308" s="543">
        <v>4607091387964</v>
      </c>
      <c r="E308" s="544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488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489</v>
      </c>
      <c r="B309" s="54" t="s">
        <v>490</v>
      </c>
      <c r="C309" s="31">
        <v>4301051734</v>
      </c>
      <c r="D309" s="543">
        <v>4680115884588</v>
      </c>
      <c r="E309" s="544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6"/>
      <c r="R309" s="546"/>
      <c r="S309" s="546"/>
      <c r="T309" s="547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491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492</v>
      </c>
      <c r="B310" s="54" t="s">
        <v>493</v>
      </c>
      <c r="C310" s="31">
        <v>4301051578</v>
      </c>
      <c r="D310" s="543">
        <v>4607091387513</v>
      </c>
      <c r="E310" s="544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494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1"/>
      <c r="B311" s="549"/>
      <c r="C311" s="549"/>
      <c r="D311" s="549"/>
      <c r="E311" s="549"/>
      <c r="F311" s="549"/>
      <c r="G311" s="549"/>
      <c r="H311" s="549"/>
      <c r="I311" s="549"/>
      <c r="J311" s="549"/>
      <c r="K311" s="549"/>
      <c r="L311" s="549"/>
      <c r="M311" s="549"/>
      <c r="N311" s="549"/>
      <c r="O311" s="552"/>
      <c r="P311" s="554" t="s">
        <v>71</v>
      </c>
      <c r="Q311" s="555"/>
      <c r="R311" s="555"/>
      <c r="S311" s="555"/>
      <c r="T311" s="555"/>
      <c r="U311" s="555"/>
      <c r="V311" s="556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49"/>
      <c r="B312" s="549"/>
      <c r="C312" s="549"/>
      <c r="D312" s="549"/>
      <c r="E312" s="549"/>
      <c r="F312" s="549"/>
      <c r="G312" s="549"/>
      <c r="H312" s="549"/>
      <c r="I312" s="549"/>
      <c r="J312" s="549"/>
      <c r="K312" s="549"/>
      <c r="L312" s="549"/>
      <c r="M312" s="549"/>
      <c r="N312" s="549"/>
      <c r="O312" s="552"/>
      <c r="P312" s="554" t="s">
        <v>71</v>
      </c>
      <c r="Q312" s="555"/>
      <c r="R312" s="555"/>
      <c r="S312" s="555"/>
      <c r="T312" s="555"/>
      <c r="U312" s="555"/>
      <c r="V312" s="556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0" t="s">
        <v>163</v>
      </c>
      <c r="B313" s="549"/>
      <c r="C313" s="549"/>
      <c r="D313" s="549"/>
      <c r="E313" s="549"/>
      <c r="F313" s="549"/>
      <c r="G313" s="549"/>
      <c r="H313" s="549"/>
      <c r="I313" s="549"/>
      <c r="J313" s="549"/>
      <c r="K313" s="549"/>
      <c r="L313" s="549"/>
      <c r="M313" s="549"/>
      <c r="N313" s="549"/>
      <c r="O313" s="549"/>
      <c r="P313" s="549"/>
      <c r="Q313" s="549"/>
      <c r="R313" s="549"/>
      <c r="S313" s="549"/>
      <c r="T313" s="549"/>
      <c r="U313" s="549"/>
      <c r="V313" s="549"/>
      <c r="W313" s="549"/>
      <c r="X313" s="549"/>
      <c r="Y313" s="549"/>
      <c r="Z313" s="549"/>
      <c r="AA313" s="535"/>
      <c r="AB313" s="535"/>
      <c r="AC313" s="535"/>
    </row>
    <row r="314" spans="1:68" ht="27" hidden="1" customHeight="1" x14ac:dyDescent="0.25">
      <c r="A314" s="54" t="s">
        <v>495</v>
      </c>
      <c r="B314" s="54" t="s">
        <v>496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497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498</v>
      </c>
      <c r="B315" s="54" t="s">
        <v>499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39">
        <v>400</v>
      </c>
      <c r="Y315" s="540">
        <f>IFERROR(IF(X315="",0,CEILING((X315/$H315),1)*$H315),"")</f>
        <v>405.59999999999997</v>
      </c>
      <c r="Z315" s="36">
        <f>IFERROR(IF(Y315=0,"",ROUNDUP(Y315/H315,0)*0.01898),"")</f>
        <v>0.98696000000000006</v>
      </c>
      <c r="AA315" s="56"/>
      <c r="AB315" s="57"/>
      <c r="AC315" s="365" t="s">
        <v>500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425.33333333333337</v>
      </c>
      <c r="BN315" s="64">
        <f>IFERROR(Y315*I315/H315,"0")</f>
        <v>431.28799999999995</v>
      </c>
      <c r="BO315" s="64">
        <f>IFERROR(1/J315*(X315/H315),"0")</f>
        <v>0.80128205128205132</v>
      </c>
      <c r="BP315" s="64">
        <f>IFERROR(1/J315*(Y315/H315),"0")</f>
        <v>0.8125</v>
      </c>
    </row>
    <row r="316" spans="1:68" ht="16.5" customHeight="1" x14ac:dyDescent="0.25">
      <c r="A316" s="54" t="s">
        <v>501</v>
      </c>
      <c r="B316" s="54" t="s">
        <v>502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39">
        <v>280</v>
      </c>
      <c r="Y316" s="540">
        <f>IFERROR(IF(X316="",0,CEILING((X316/$H316),1)*$H316),"")</f>
        <v>285.60000000000002</v>
      </c>
      <c r="Z316" s="36">
        <f>IFERROR(IF(Y316=0,"",ROUNDUP(Y316/H316,0)*0.01898),"")</f>
        <v>0.64532</v>
      </c>
      <c r="AA316" s="56"/>
      <c r="AB316" s="57"/>
      <c r="AC316" s="367" t="s">
        <v>503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296.4666666666667</v>
      </c>
      <c r="BN316" s="64">
        <f>IFERROR(Y316*I316/H316,"0")</f>
        <v>302.39600000000002</v>
      </c>
      <c r="BO316" s="64">
        <f>IFERROR(1/J316*(X316/H316),"0")</f>
        <v>0.52083333333333326</v>
      </c>
      <c r="BP316" s="64">
        <f>IFERROR(1/J316*(Y316/H316),"0")</f>
        <v>0.53125</v>
      </c>
    </row>
    <row r="317" spans="1:68" x14ac:dyDescent="0.2">
      <c r="A317" s="551"/>
      <c r="B317" s="549"/>
      <c r="C317" s="549"/>
      <c r="D317" s="549"/>
      <c r="E317" s="549"/>
      <c r="F317" s="549"/>
      <c r="G317" s="549"/>
      <c r="H317" s="549"/>
      <c r="I317" s="549"/>
      <c r="J317" s="549"/>
      <c r="K317" s="549"/>
      <c r="L317" s="549"/>
      <c r="M317" s="549"/>
      <c r="N317" s="549"/>
      <c r="O317" s="552"/>
      <c r="P317" s="554" t="s">
        <v>71</v>
      </c>
      <c r="Q317" s="555"/>
      <c r="R317" s="555"/>
      <c r="S317" s="555"/>
      <c r="T317" s="555"/>
      <c r="U317" s="555"/>
      <c r="V317" s="556"/>
      <c r="W317" s="37" t="s">
        <v>72</v>
      </c>
      <c r="X317" s="541">
        <f>IFERROR(X314/H314,"0")+IFERROR(X315/H315,"0")+IFERROR(X316/H316,"0")</f>
        <v>84.615384615384613</v>
      </c>
      <c r="Y317" s="541">
        <f>IFERROR(Y314/H314,"0")+IFERROR(Y315/H315,"0")+IFERROR(Y316/H316,"0")</f>
        <v>86</v>
      </c>
      <c r="Z317" s="541">
        <f>IFERROR(IF(Z314="",0,Z314),"0")+IFERROR(IF(Z315="",0,Z315),"0")+IFERROR(IF(Z316="",0,Z316),"0")</f>
        <v>1.6322800000000002</v>
      </c>
      <c r="AA317" s="542"/>
      <c r="AB317" s="542"/>
      <c r="AC317" s="542"/>
    </row>
    <row r="318" spans="1:68" x14ac:dyDescent="0.2">
      <c r="A318" s="549"/>
      <c r="B318" s="549"/>
      <c r="C318" s="549"/>
      <c r="D318" s="549"/>
      <c r="E318" s="549"/>
      <c r="F318" s="549"/>
      <c r="G318" s="549"/>
      <c r="H318" s="549"/>
      <c r="I318" s="549"/>
      <c r="J318" s="549"/>
      <c r="K318" s="549"/>
      <c r="L318" s="549"/>
      <c r="M318" s="549"/>
      <c r="N318" s="549"/>
      <c r="O318" s="552"/>
      <c r="P318" s="554" t="s">
        <v>71</v>
      </c>
      <c r="Q318" s="555"/>
      <c r="R318" s="555"/>
      <c r="S318" s="555"/>
      <c r="T318" s="555"/>
      <c r="U318" s="555"/>
      <c r="V318" s="556"/>
      <c r="W318" s="37" t="s">
        <v>69</v>
      </c>
      <c r="X318" s="541">
        <f>IFERROR(SUM(X314:X316),"0")</f>
        <v>680</v>
      </c>
      <c r="Y318" s="541">
        <f>IFERROR(SUM(Y314:Y316),"0")</f>
        <v>691.2</v>
      </c>
      <c r="Z318" s="37"/>
      <c r="AA318" s="542"/>
      <c r="AB318" s="542"/>
      <c r="AC318" s="542"/>
    </row>
    <row r="319" spans="1:68" ht="14.25" hidden="1" customHeight="1" x14ac:dyDescent="0.25">
      <c r="A319" s="550" t="s">
        <v>91</v>
      </c>
      <c r="B319" s="549"/>
      <c r="C319" s="549"/>
      <c r="D319" s="549"/>
      <c r="E319" s="549"/>
      <c r="F319" s="549"/>
      <c r="G319" s="549"/>
      <c r="H319" s="549"/>
      <c r="I319" s="549"/>
      <c r="J319" s="549"/>
      <c r="K319" s="549"/>
      <c r="L319" s="549"/>
      <c r="M319" s="549"/>
      <c r="N319" s="549"/>
      <c r="O319" s="549"/>
      <c r="P319" s="549"/>
      <c r="Q319" s="549"/>
      <c r="R319" s="549"/>
      <c r="S319" s="549"/>
      <c r="T319" s="549"/>
      <c r="U319" s="549"/>
      <c r="V319" s="549"/>
      <c r="W319" s="549"/>
      <c r="X319" s="549"/>
      <c r="Y319" s="549"/>
      <c r="Z319" s="549"/>
      <c r="AA319" s="535"/>
      <c r="AB319" s="535"/>
      <c r="AC319" s="535"/>
    </row>
    <row r="320" spans="1:68" ht="27" hidden="1" customHeight="1" x14ac:dyDescent="0.25">
      <c r="A320" s="54" t="s">
        <v>504</v>
      </c>
      <c r="B320" s="54" t="s">
        <v>505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506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507</v>
      </c>
      <c r="B321" s="54" t="s">
        <v>508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78" t="s">
        <v>509</v>
      </c>
      <c r="Q321" s="546"/>
      <c r="R321" s="546"/>
      <c r="S321" s="546"/>
      <c r="T321" s="547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510</v>
      </c>
      <c r="B322" s="54" t="s">
        <v>511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214</v>
      </c>
      <c r="M322" s="33" t="s">
        <v>94</v>
      </c>
      <c r="N322" s="33"/>
      <c r="O322" s="32">
        <v>180</v>
      </c>
      <c r="P322" s="6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512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513</v>
      </c>
      <c r="B323" s="54" t="s">
        <v>514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214</v>
      </c>
      <c r="M323" s="33" t="s">
        <v>94</v>
      </c>
      <c r="N323" s="33"/>
      <c r="O323" s="32">
        <v>180</v>
      </c>
      <c r="P323" s="7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1"/>
      <c r="B324" s="549"/>
      <c r="C324" s="549"/>
      <c r="D324" s="549"/>
      <c r="E324" s="549"/>
      <c r="F324" s="549"/>
      <c r="G324" s="549"/>
      <c r="H324" s="549"/>
      <c r="I324" s="549"/>
      <c r="J324" s="549"/>
      <c r="K324" s="549"/>
      <c r="L324" s="549"/>
      <c r="M324" s="549"/>
      <c r="N324" s="549"/>
      <c r="O324" s="552"/>
      <c r="P324" s="554" t="s">
        <v>71</v>
      </c>
      <c r="Q324" s="555"/>
      <c r="R324" s="555"/>
      <c r="S324" s="555"/>
      <c r="T324" s="555"/>
      <c r="U324" s="555"/>
      <c r="V324" s="556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hidden="1" x14ac:dyDescent="0.2">
      <c r="A325" s="549"/>
      <c r="B325" s="549"/>
      <c r="C325" s="549"/>
      <c r="D325" s="549"/>
      <c r="E325" s="549"/>
      <c r="F325" s="549"/>
      <c r="G325" s="549"/>
      <c r="H325" s="549"/>
      <c r="I325" s="549"/>
      <c r="J325" s="549"/>
      <c r="K325" s="549"/>
      <c r="L325" s="549"/>
      <c r="M325" s="549"/>
      <c r="N325" s="549"/>
      <c r="O325" s="552"/>
      <c r="P325" s="554" t="s">
        <v>71</v>
      </c>
      <c r="Q325" s="555"/>
      <c r="R325" s="555"/>
      <c r="S325" s="555"/>
      <c r="T325" s="555"/>
      <c r="U325" s="555"/>
      <c r="V325" s="556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hidden="1" customHeight="1" x14ac:dyDescent="0.25">
      <c r="A326" s="550" t="s">
        <v>515</v>
      </c>
      <c r="B326" s="549"/>
      <c r="C326" s="549"/>
      <c r="D326" s="549"/>
      <c r="E326" s="549"/>
      <c r="F326" s="549"/>
      <c r="G326" s="549"/>
      <c r="H326" s="549"/>
      <c r="I326" s="549"/>
      <c r="J326" s="549"/>
      <c r="K326" s="549"/>
      <c r="L326" s="549"/>
      <c r="M326" s="549"/>
      <c r="N326" s="549"/>
      <c r="O326" s="549"/>
      <c r="P326" s="549"/>
      <c r="Q326" s="549"/>
      <c r="R326" s="549"/>
      <c r="S326" s="549"/>
      <c r="T326" s="549"/>
      <c r="U326" s="549"/>
      <c r="V326" s="549"/>
      <c r="W326" s="549"/>
      <c r="X326" s="549"/>
      <c r="Y326" s="549"/>
      <c r="Z326" s="549"/>
      <c r="AA326" s="535"/>
      <c r="AB326" s="535"/>
      <c r="AC326" s="535"/>
    </row>
    <row r="327" spans="1:68" ht="16.5" hidden="1" customHeight="1" x14ac:dyDescent="0.25">
      <c r="A327" s="54" t="s">
        <v>516</v>
      </c>
      <c r="B327" s="54" t="s">
        <v>517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214</v>
      </c>
      <c r="M327" s="33" t="s">
        <v>518</v>
      </c>
      <c r="N327" s="33"/>
      <c r="O327" s="32">
        <v>730</v>
      </c>
      <c r="P327" s="77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519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520</v>
      </c>
      <c r="B328" s="54" t="s">
        <v>521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518</v>
      </c>
      <c r="N328" s="33"/>
      <c r="O328" s="32">
        <v>730</v>
      </c>
      <c r="P328" s="5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522</v>
      </c>
      <c r="B329" s="54" t="s">
        <v>523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214</v>
      </c>
      <c r="M329" s="33" t="s">
        <v>518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1"/>
      <c r="B330" s="549"/>
      <c r="C330" s="549"/>
      <c r="D330" s="549"/>
      <c r="E330" s="549"/>
      <c r="F330" s="549"/>
      <c r="G330" s="549"/>
      <c r="H330" s="549"/>
      <c r="I330" s="549"/>
      <c r="J330" s="549"/>
      <c r="K330" s="549"/>
      <c r="L330" s="549"/>
      <c r="M330" s="549"/>
      <c r="N330" s="549"/>
      <c r="O330" s="552"/>
      <c r="P330" s="554" t="s">
        <v>71</v>
      </c>
      <c r="Q330" s="555"/>
      <c r="R330" s="555"/>
      <c r="S330" s="555"/>
      <c r="T330" s="555"/>
      <c r="U330" s="555"/>
      <c r="V330" s="556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hidden="1" x14ac:dyDescent="0.2">
      <c r="A331" s="549"/>
      <c r="B331" s="549"/>
      <c r="C331" s="549"/>
      <c r="D331" s="549"/>
      <c r="E331" s="549"/>
      <c r="F331" s="549"/>
      <c r="G331" s="549"/>
      <c r="H331" s="549"/>
      <c r="I331" s="549"/>
      <c r="J331" s="549"/>
      <c r="K331" s="549"/>
      <c r="L331" s="549"/>
      <c r="M331" s="549"/>
      <c r="N331" s="549"/>
      <c r="O331" s="552"/>
      <c r="P331" s="554" t="s">
        <v>71</v>
      </c>
      <c r="Q331" s="555"/>
      <c r="R331" s="555"/>
      <c r="S331" s="555"/>
      <c r="T331" s="555"/>
      <c r="U331" s="555"/>
      <c r="V331" s="556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hidden="1" customHeight="1" x14ac:dyDescent="0.25">
      <c r="A332" s="548" t="s">
        <v>524</v>
      </c>
      <c r="B332" s="549"/>
      <c r="C332" s="549"/>
      <c r="D332" s="549"/>
      <c r="E332" s="549"/>
      <c r="F332" s="549"/>
      <c r="G332" s="549"/>
      <c r="H332" s="549"/>
      <c r="I332" s="549"/>
      <c r="J332" s="549"/>
      <c r="K332" s="549"/>
      <c r="L332" s="549"/>
      <c r="M332" s="549"/>
      <c r="N332" s="549"/>
      <c r="O332" s="549"/>
      <c r="P332" s="549"/>
      <c r="Q332" s="549"/>
      <c r="R332" s="549"/>
      <c r="S332" s="549"/>
      <c r="T332" s="549"/>
      <c r="U332" s="549"/>
      <c r="V332" s="549"/>
      <c r="W332" s="549"/>
      <c r="X332" s="549"/>
      <c r="Y332" s="549"/>
      <c r="Z332" s="549"/>
      <c r="AA332" s="534"/>
      <c r="AB332" s="534"/>
      <c r="AC332" s="534"/>
    </row>
    <row r="333" spans="1:68" ht="14.25" hidden="1" customHeight="1" x14ac:dyDescent="0.25">
      <c r="A333" s="550" t="s">
        <v>73</v>
      </c>
      <c r="B333" s="549"/>
      <c r="C333" s="549"/>
      <c r="D333" s="549"/>
      <c r="E333" s="549"/>
      <c r="F333" s="549"/>
      <c r="G333" s="549"/>
      <c r="H333" s="549"/>
      <c r="I333" s="549"/>
      <c r="J333" s="549"/>
      <c r="K333" s="549"/>
      <c r="L333" s="549"/>
      <c r="M333" s="549"/>
      <c r="N333" s="549"/>
      <c r="O333" s="549"/>
      <c r="P333" s="549"/>
      <c r="Q333" s="549"/>
      <c r="R333" s="549"/>
      <c r="S333" s="549"/>
      <c r="T333" s="549"/>
      <c r="U333" s="549"/>
      <c r="V333" s="549"/>
      <c r="W333" s="549"/>
      <c r="X333" s="549"/>
      <c r="Y333" s="549"/>
      <c r="Z333" s="549"/>
      <c r="AA333" s="535"/>
      <c r="AB333" s="535"/>
      <c r="AC333" s="535"/>
    </row>
    <row r="334" spans="1:68" ht="27" hidden="1" customHeight="1" x14ac:dyDescent="0.25">
      <c r="A334" s="54" t="s">
        <v>525</v>
      </c>
      <c r="B334" s="54" t="s">
        <v>526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5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527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528</v>
      </c>
      <c r="B335" s="54" t="s">
        <v>529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214</v>
      </c>
      <c r="M335" s="33" t="s">
        <v>77</v>
      </c>
      <c r="N335" s="33"/>
      <c r="O335" s="32">
        <v>45</v>
      </c>
      <c r="P335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39">
        <v>1015</v>
      </c>
      <c r="Y335" s="540">
        <f>IFERROR(IF(X335="",0,CEILING((X335/$H335),1)*$H335),"")</f>
        <v>1016.4000000000001</v>
      </c>
      <c r="Z335" s="36">
        <f>IFERROR(IF(Y335=0,"",ROUNDUP(Y335/H335,0)*0.00651),"")</f>
        <v>3.1508400000000001</v>
      </c>
      <c r="AA335" s="56"/>
      <c r="AB335" s="57"/>
      <c r="AC335" s="385" t="s">
        <v>530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1136.7999999999997</v>
      </c>
      <c r="BN335" s="64">
        <f>IFERROR(Y335*I335/H335,"0")</f>
        <v>1138.3679999999999</v>
      </c>
      <c r="BO335" s="64">
        <f>IFERROR(1/J335*(X335/H335),"0")</f>
        <v>2.6556776556776556</v>
      </c>
      <c r="BP335" s="64">
        <f>IFERROR(1/J335*(Y335/H335),"0")</f>
        <v>2.6593406593406597</v>
      </c>
    </row>
    <row r="336" spans="1:68" ht="27" customHeight="1" x14ac:dyDescent="0.25">
      <c r="A336" s="54" t="s">
        <v>531</v>
      </c>
      <c r="B336" s="54" t="s">
        <v>532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214</v>
      </c>
      <c r="M336" s="33" t="s">
        <v>84</v>
      </c>
      <c r="N336" s="33"/>
      <c r="O336" s="32">
        <v>40</v>
      </c>
      <c r="P336" s="8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39">
        <v>105</v>
      </c>
      <c r="Y336" s="540">
        <f>IFERROR(IF(X336="",0,CEILING((X336/$H336),1)*$H336),"")</f>
        <v>105</v>
      </c>
      <c r="Z336" s="36">
        <f>IFERROR(IF(Y336=0,"",ROUNDUP(Y336/H336,0)*0.00651),"")</f>
        <v>0.32550000000000001</v>
      </c>
      <c r="AA336" s="56"/>
      <c r="AB336" s="57"/>
      <c r="AC336" s="387" t="s">
        <v>533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116.99999999999999</v>
      </c>
      <c r="BN336" s="64">
        <f>IFERROR(Y336*I336/H336,"0")</f>
        <v>116.99999999999999</v>
      </c>
      <c r="BO336" s="64">
        <f>IFERROR(1/J336*(X336/H336),"0")</f>
        <v>0.27472527472527475</v>
      </c>
      <c r="BP336" s="64">
        <f>IFERROR(1/J336*(Y336/H336),"0")</f>
        <v>0.27472527472527475</v>
      </c>
    </row>
    <row r="337" spans="1:68" x14ac:dyDescent="0.2">
      <c r="A337" s="551"/>
      <c r="B337" s="549"/>
      <c r="C337" s="549"/>
      <c r="D337" s="549"/>
      <c r="E337" s="549"/>
      <c r="F337" s="549"/>
      <c r="G337" s="549"/>
      <c r="H337" s="549"/>
      <c r="I337" s="549"/>
      <c r="J337" s="549"/>
      <c r="K337" s="549"/>
      <c r="L337" s="549"/>
      <c r="M337" s="549"/>
      <c r="N337" s="549"/>
      <c r="O337" s="552"/>
      <c r="P337" s="554" t="s">
        <v>71</v>
      </c>
      <c r="Q337" s="555"/>
      <c r="R337" s="555"/>
      <c r="S337" s="555"/>
      <c r="T337" s="555"/>
      <c r="U337" s="555"/>
      <c r="V337" s="556"/>
      <c r="W337" s="37" t="s">
        <v>72</v>
      </c>
      <c r="X337" s="541">
        <f>IFERROR(X334/H334,"0")+IFERROR(X335/H335,"0")+IFERROR(X336/H336,"0")</f>
        <v>533.33333333333326</v>
      </c>
      <c r="Y337" s="541">
        <f>IFERROR(Y334/H334,"0")+IFERROR(Y335/H335,"0")+IFERROR(Y336/H336,"0")</f>
        <v>534</v>
      </c>
      <c r="Z337" s="541">
        <f>IFERROR(IF(Z334="",0,Z334),"0")+IFERROR(IF(Z335="",0,Z335),"0")+IFERROR(IF(Z336="",0,Z336),"0")</f>
        <v>3.47634</v>
      </c>
      <c r="AA337" s="542"/>
      <c r="AB337" s="542"/>
      <c r="AC337" s="542"/>
    </row>
    <row r="338" spans="1:68" x14ac:dyDescent="0.2">
      <c r="A338" s="549"/>
      <c r="B338" s="549"/>
      <c r="C338" s="549"/>
      <c r="D338" s="549"/>
      <c r="E338" s="549"/>
      <c r="F338" s="549"/>
      <c r="G338" s="549"/>
      <c r="H338" s="549"/>
      <c r="I338" s="549"/>
      <c r="J338" s="549"/>
      <c r="K338" s="549"/>
      <c r="L338" s="549"/>
      <c r="M338" s="549"/>
      <c r="N338" s="549"/>
      <c r="O338" s="552"/>
      <c r="P338" s="554" t="s">
        <v>71</v>
      </c>
      <c r="Q338" s="555"/>
      <c r="R338" s="555"/>
      <c r="S338" s="555"/>
      <c r="T338" s="555"/>
      <c r="U338" s="555"/>
      <c r="V338" s="556"/>
      <c r="W338" s="37" t="s">
        <v>69</v>
      </c>
      <c r="X338" s="541">
        <f>IFERROR(SUM(X334:X336),"0")</f>
        <v>1120</v>
      </c>
      <c r="Y338" s="541">
        <f>IFERROR(SUM(Y334:Y336),"0")</f>
        <v>1121.4000000000001</v>
      </c>
      <c r="Z338" s="37"/>
      <c r="AA338" s="542"/>
      <c r="AB338" s="542"/>
      <c r="AC338" s="542"/>
    </row>
    <row r="339" spans="1:68" ht="27.75" hidden="1" customHeight="1" x14ac:dyDescent="0.2">
      <c r="A339" s="695" t="s">
        <v>534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48"/>
      <c r="AB339" s="48"/>
      <c r="AC339" s="48"/>
    </row>
    <row r="340" spans="1:68" ht="16.5" hidden="1" customHeight="1" x14ac:dyDescent="0.25">
      <c r="A340" s="548" t="s">
        <v>535</v>
      </c>
      <c r="B340" s="549"/>
      <c r="C340" s="549"/>
      <c r="D340" s="549"/>
      <c r="E340" s="549"/>
      <c r="F340" s="549"/>
      <c r="G340" s="549"/>
      <c r="H340" s="549"/>
      <c r="I340" s="549"/>
      <c r="J340" s="549"/>
      <c r="K340" s="549"/>
      <c r="L340" s="549"/>
      <c r="M340" s="549"/>
      <c r="N340" s="549"/>
      <c r="O340" s="549"/>
      <c r="P340" s="549"/>
      <c r="Q340" s="549"/>
      <c r="R340" s="549"/>
      <c r="S340" s="549"/>
      <c r="T340" s="549"/>
      <c r="U340" s="549"/>
      <c r="V340" s="549"/>
      <c r="W340" s="549"/>
      <c r="X340" s="549"/>
      <c r="Y340" s="549"/>
      <c r="Z340" s="549"/>
      <c r="AA340" s="534"/>
      <c r="AB340" s="534"/>
      <c r="AC340" s="534"/>
    </row>
    <row r="341" spans="1:68" ht="14.25" hidden="1" customHeight="1" x14ac:dyDescent="0.25">
      <c r="A341" s="550" t="s">
        <v>99</v>
      </c>
      <c r="B341" s="549"/>
      <c r="C341" s="549"/>
      <c r="D341" s="549"/>
      <c r="E341" s="549"/>
      <c r="F341" s="549"/>
      <c r="G341" s="549"/>
      <c r="H341" s="549"/>
      <c r="I341" s="549"/>
      <c r="J341" s="549"/>
      <c r="K341" s="549"/>
      <c r="L341" s="549"/>
      <c r="M341" s="549"/>
      <c r="N341" s="549"/>
      <c r="O341" s="549"/>
      <c r="P341" s="549"/>
      <c r="Q341" s="549"/>
      <c r="R341" s="549"/>
      <c r="S341" s="549"/>
      <c r="T341" s="549"/>
      <c r="U341" s="549"/>
      <c r="V341" s="549"/>
      <c r="W341" s="549"/>
      <c r="X341" s="549"/>
      <c r="Y341" s="549"/>
      <c r="Z341" s="549"/>
      <c r="AA341" s="535"/>
      <c r="AB341" s="535"/>
      <c r="AC341" s="535"/>
    </row>
    <row r="342" spans="1:68" ht="37.5" customHeight="1" x14ac:dyDescent="0.25">
      <c r="A342" s="54" t="s">
        <v>536</v>
      </c>
      <c r="B342" s="54" t="s">
        <v>537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39">
        <v>1800</v>
      </c>
      <c r="Y342" s="540">
        <f t="shared" ref="Y342:Y348" si="31">IFERROR(IF(X342="",0,CEILING((X342/$H342),1)*$H342),"")</f>
        <v>1800</v>
      </c>
      <c r="Z342" s="36">
        <f>IFERROR(IF(Y342=0,"",ROUNDUP(Y342/H342,0)*0.02175),"")</f>
        <v>2.61</v>
      </c>
      <c r="AA342" s="56"/>
      <c r="AB342" s="57"/>
      <c r="AC342" s="389" t="s">
        <v>538</v>
      </c>
      <c r="AG342" s="64"/>
      <c r="AJ342" s="68" t="s">
        <v>106</v>
      </c>
      <c r="AK342" s="68">
        <v>15</v>
      </c>
      <c r="BB342" s="390" t="s">
        <v>1</v>
      </c>
      <c r="BM342" s="64">
        <f t="shared" ref="BM342:BM348" si="32">IFERROR(X342*I342/H342,"0")</f>
        <v>1856.4</v>
      </c>
      <c r="BN342" s="64">
        <f t="shared" ref="BN342:BN348" si="33">IFERROR(Y342*I342/H342,"0")</f>
        <v>1856.4</v>
      </c>
      <c r="BO342" s="64">
        <f t="shared" ref="BO342:BO348" si="34">IFERROR(1/J342*(X342/H342),"0")</f>
        <v>2.5</v>
      </c>
      <c r="BP342" s="64">
        <f t="shared" ref="BP342:BP348" si="35">IFERROR(1/J342*(Y342/H342),"0")</f>
        <v>2.5</v>
      </c>
    </row>
    <row r="343" spans="1:68" ht="27" customHeight="1" x14ac:dyDescent="0.25">
      <c r="A343" s="54" t="s">
        <v>539</v>
      </c>
      <c r="B343" s="54" t="s">
        <v>540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39">
        <v>1200</v>
      </c>
      <c r="Y343" s="540">
        <f t="shared" si="31"/>
        <v>1200</v>
      </c>
      <c r="Z343" s="36">
        <f>IFERROR(IF(Y343=0,"",ROUNDUP(Y343/H343,0)*0.02175),"")</f>
        <v>1.7399999999999998</v>
      </c>
      <c r="AA343" s="56"/>
      <c r="AB343" s="57"/>
      <c r="AC343" s="391" t="s">
        <v>541</v>
      </c>
      <c r="AG343" s="64"/>
      <c r="AJ343" s="68" t="s">
        <v>106</v>
      </c>
      <c r="AK343" s="68">
        <v>15</v>
      </c>
      <c r="BB343" s="392" t="s">
        <v>1</v>
      </c>
      <c r="BM343" s="64">
        <f t="shared" si="32"/>
        <v>1237.5999999999999</v>
      </c>
      <c r="BN343" s="64">
        <f t="shared" si="33"/>
        <v>1237.5999999999999</v>
      </c>
      <c r="BO343" s="64">
        <f t="shared" si="34"/>
        <v>1.6666666666666665</v>
      </c>
      <c r="BP343" s="64">
        <f t="shared" si="35"/>
        <v>1.6666666666666665</v>
      </c>
    </row>
    <row r="344" spans="1:68" ht="37.5" customHeight="1" x14ac:dyDescent="0.25">
      <c r="A344" s="54" t="s">
        <v>542</v>
      </c>
      <c r="B344" s="54" t="s">
        <v>543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7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39">
        <v>1800</v>
      </c>
      <c r="Y344" s="540">
        <f t="shared" si="31"/>
        <v>1800</v>
      </c>
      <c r="Z344" s="36">
        <f>IFERROR(IF(Y344=0,"",ROUNDUP(Y344/H344,0)*0.02175),"")</f>
        <v>2.61</v>
      </c>
      <c r="AA344" s="56"/>
      <c r="AB344" s="57"/>
      <c r="AC344" s="393" t="s">
        <v>544</v>
      </c>
      <c r="AG344" s="64"/>
      <c r="AJ344" s="68" t="s">
        <v>106</v>
      </c>
      <c r="AK344" s="68">
        <v>15</v>
      </c>
      <c r="BB344" s="394" t="s">
        <v>1</v>
      </c>
      <c r="BM344" s="64">
        <f t="shared" si="32"/>
        <v>1856.4</v>
      </c>
      <c r="BN344" s="64">
        <f t="shared" si="33"/>
        <v>1856.4</v>
      </c>
      <c r="BO344" s="64">
        <f t="shared" si="34"/>
        <v>2.5</v>
      </c>
      <c r="BP344" s="64">
        <f t="shared" si="35"/>
        <v>2.5</v>
      </c>
    </row>
    <row r="345" spans="1:68" ht="27" customHeight="1" x14ac:dyDescent="0.25">
      <c r="A345" s="54" t="s">
        <v>545</v>
      </c>
      <c r="B345" s="54" t="s">
        <v>546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0" t="s">
        <v>547</v>
      </c>
      <c r="Q345" s="546"/>
      <c r="R345" s="546"/>
      <c r="S345" s="546"/>
      <c r="T345" s="547"/>
      <c r="U345" s="34"/>
      <c r="V345" s="34"/>
      <c r="W345" s="35" t="s">
        <v>69</v>
      </c>
      <c r="X345" s="539">
        <v>600</v>
      </c>
      <c r="Y345" s="540">
        <f t="shared" si="31"/>
        <v>600</v>
      </c>
      <c r="Z345" s="36">
        <f>IFERROR(IF(Y345=0,"",ROUNDUP(Y345/H345,0)*0.02175),"")</f>
        <v>0.86999999999999988</v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2"/>
        <v>618.79999999999995</v>
      </c>
      <c r="BN345" s="64">
        <f t="shared" si="33"/>
        <v>618.79999999999995</v>
      </c>
      <c r="BO345" s="64">
        <f t="shared" si="34"/>
        <v>0.83333333333333326</v>
      </c>
      <c r="BP345" s="64">
        <f t="shared" si="35"/>
        <v>0.83333333333333326</v>
      </c>
    </row>
    <row r="346" spans="1:68" ht="27" hidden="1" customHeight="1" x14ac:dyDescent="0.25">
      <c r="A346" s="54" t="s">
        <v>549</v>
      </c>
      <c r="B346" s="54" t="s">
        <v>550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552</v>
      </c>
      <c r="B347" s="54" t="s">
        <v>553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541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554</v>
      </c>
      <c r="B348" s="54" t="s">
        <v>555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544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1"/>
      <c r="B349" s="549"/>
      <c r="C349" s="549"/>
      <c r="D349" s="549"/>
      <c r="E349" s="549"/>
      <c r="F349" s="549"/>
      <c r="G349" s="549"/>
      <c r="H349" s="549"/>
      <c r="I349" s="549"/>
      <c r="J349" s="549"/>
      <c r="K349" s="549"/>
      <c r="L349" s="549"/>
      <c r="M349" s="549"/>
      <c r="N349" s="549"/>
      <c r="O349" s="552"/>
      <c r="P349" s="554" t="s">
        <v>71</v>
      </c>
      <c r="Q349" s="555"/>
      <c r="R349" s="555"/>
      <c r="S349" s="555"/>
      <c r="T349" s="555"/>
      <c r="U349" s="555"/>
      <c r="V349" s="556"/>
      <c r="W349" s="37" t="s">
        <v>72</v>
      </c>
      <c r="X349" s="541">
        <f>IFERROR(X342/H342,"0")+IFERROR(X343/H343,"0")+IFERROR(X344/H344,"0")+IFERROR(X345/H345,"0")+IFERROR(X346/H346,"0")+IFERROR(X347/H347,"0")+IFERROR(X348/H348,"0")</f>
        <v>360</v>
      </c>
      <c r="Y349" s="541">
        <f>IFERROR(Y342/H342,"0")+IFERROR(Y343/H343,"0")+IFERROR(Y344/H344,"0")+IFERROR(Y345/H345,"0")+IFERROR(Y346/H346,"0")+IFERROR(Y347/H347,"0")+IFERROR(Y348/H348,"0")</f>
        <v>360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7.8299999999999992</v>
      </c>
      <c r="AA349" s="542"/>
      <c r="AB349" s="542"/>
      <c r="AC349" s="542"/>
    </row>
    <row r="350" spans="1:68" x14ac:dyDescent="0.2">
      <c r="A350" s="549"/>
      <c r="B350" s="549"/>
      <c r="C350" s="549"/>
      <c r="D350" s="549"/>
      <c r="E350" s="549"/>
      <c r="F350" s="549"/>
      <c r="G350" s="549"/>
      <c r="H350" s="549"/>
      <c r="I350" s="549"/>
      <c r="J350" s="549"/>
      <c r="K350" s="549"/>
      <c r="L350" s="549"/>
      <c r="M350" s="549"/>
      <c r="N350" s="549"/>
      <c r="O350" s="552"/>
      <c r="P350" s="554" t="s">
        <v>71</v>
      </c>
      <c r="Q350" s="555"/>
      <c r="R350" s="555"/>
      <c r="S350" s="555"/>
      <c r="T350" s="555"/>
      <c r="U350" s="555"/>
      <c r="V350" s="556"/>
      <c r="W350" s="37" t="s">
        <v>69</v>
      </c>
      <c r="X350" s="541">
        <f>IFERROR(SUM(X342:X348),"0")</f>
        <v>5400</v>
      </c>
      <c r="Y350" s="541">
        <f>IFERROR(SUM(Y342:Y348),"0")</f>
        <v>5400</v>
      </c>
      <c r="Z350" s="37"/>
      <c r="AA350" s="542"/>
      <c r="AB350" s="542"/>
      <c r="AC350" s="542"/>
    </row>
    <row r="351" spans="1:68" ht="14.25" hidden="1" customHeight="1" x14ac:dyDescent="0.25">
      <c r="A351" s="550" t="s">
        <v>135</v>
      </c>
      <c r="B351" s="549"/>
      <c r="C351" s="549"/>
      <c r="D351" s="549"/>
      <c r="E351" s="549"/>
      <c r="F351" s="549"/>
      <c r="G351" s="549"/>
      <c r="H351" s="549"/>
      <c r="I351" s="549"/>
      <c r="J351" s="549"/>
      <c r="K351" s="549"/>
      <c r="L351" s="549"/>
      <c r="M351" s="549"/>
      <c r="N351" s="549"/>
      <c r="O351" s="549"/>
      <c r="P351" s="549"/>
      <c r="Q351" s="549"/>
      <c r="R351" s="549"/>
      <c r="S351" s="549"/>
      <c r="T351" s="549"/>
      <c r="U351" s="549"/>
      <c r="V351" s="549"/>
      <c r="W351" s="549"/>
      <c r="X351" s="549"/>
      <c r="Y351" s="549"/>
      <c r="Z351" s="549"/>
      <c r="AA351" s="535"/>
      <c r="AB351" s="535"/>
      <c r="AC351" s="535"/>
    </row>
    <row r="352" spans="1:68" ht="27" customHeight="1" x14ac:dyDescent="0.25">
      <c r="A352" s="54" t="s">
        <v>556</v>
      </c>
      <c r="B352" s="54" t="s">
        <v>557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39">
        <v>1600</v>
      </c>
      <c r="Y352" s="540">
        <f>IFERROR(IF(X352="",0,CEILING((X352/$H352),1)*$H352),"")</f>
        <v>1605</v>
      </c>
      <c r="Z352" s="36">
        <f>IFERROR(IF(Y352=0,"",ROUNDUP(Y352/H352,0)*0.02175),"")</f>
        <v>2.3272499999999998</v>
      </c>
      <c r="AA352" s="56"/>
      <c r="AB352" s="57"/>
      <c r="AC352" s="403" t="s">
        <v>558</v>
      </c>
      <c r="AG352" s="64"/>
      <c r="AJ352" s="68" t="s">
        <v>106</v>
      </c>
      <c r="AK352" s="68">
        <v>15</v>
      </c>
      <c r="BB352" s="404" t="s">
        <v>1</v>
      </c>
      <c r="BM352" s="64">
        <f>IFERROR(X352*I352/H352,"0")</f>
        <v>1650.1333333333334</v>
      </c>
      <c r="BN352" s="64">
        <f>IFERROR(Y352*I352/H352,"0")</f>
        <v>1655.2900000000002</v>
      </c>
      <c r="BO352" s="64">
        <f>IFERROR(1/J352*(X352/H352),"0")</f>
        <v>2.2222222222222223</v>
      </c>
      <c r="BP352" s="64">
        <f>IFERROR(1/J352*(Y352/H352),"0")</f>
        <v>2.2291666666666665</v>
      </c>
    </row>
    <row r="353" spans="1:68" ht="16.5" hidden="1" customHeight="1" x14ac:dyDescent="0.25">
      <c r="A353" s="54" t="s">
        <v>559</v>
      </c>
      <c r="B353" s="54" t="s">
        <v>560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1"/>
      <c r="B354" s="549"/>
      <c r="C354" s="549"/>
      <c r="D354" s="549"/>
      <c r="E354" s="549"/>
      <c r="F354" s="549"/>
      <c r="G354" s="549"/>
      <c r="H354" s="549"/>
      <c r="I354" s="549"/>
      <c r="J354" s="549"/>
      <c r="K354" s="549"/>
      <c r="L354" s="549"/>
      <c r="M354" s="549"/>
      <c r="N354" s="549"/>
      <c r="O354" s="552"/>
      <c r="P354" s="554" t="s">
        <v>71</v>
      </c>
      <c r="Q354" s="555"/>
      <c r="R354" s="555"/>
      <c r="S354" s="555"/>
      <c r="T354" s="555"/>
      <c r="U354" s="555"/>
      <c r="V354" s="556"/>
      <c r="W354" s="37" t="s">
        <v>72</v>
      </c>
      <c r="X354" s="541">
        <f>IFERROR(X352/H352,"0")+IFERROR(X353/H353,"0")</f>
        <v>106.66666666666667</v>
      </c>
      <c r="Y354" s="541">
        <f>IFERROR(Y352/H352,"0")+IFERROR(Y353/H353,"0")</f>
        <v>107</v>
      </c>
      <c r="Z354" s="541">
        <f>IFERROR(IF(Z352="",0,Z352),"0")+IFERROR(IF(Z353="",0,Z353),"0")</f>
        <v>2.3272499999999998</v>
      </c>
      <c r="AA354" s="542"/>
      <c r="AB354" s="542"/>
      <c r="AC354" s="542"/>
    </row>
    <row r="355" spans="1:68" x14ac:dyDescent="0.2">
      <c r="A355" s="549"/>
      <c r="B355" s="549"/>
      <c r="C355" s="549"/>
      <c r="D355" s="549"/>
      <c r="E355" s="549"/>
      <c r="F355" s="549"/>
      <c r="G355" s="549"/>
      <c r="H355" s="549"/>
      <c r="I355" s="549"/>
      <c r="J355" s="549"/>
      <c r="K355" s="549"/>
      <c r="L355" s="549"/>
      <c r="M355" s="549"/>
      <c r="N355" s="549"/>
      <c r="O355" s="552"/>
      <c r="P355" s="554" t="s">
        <v>71</v>
      </c>
      <c r="Q355" s="555"/>
      <c r="R355" s="555"/>
      <c r="S355" s="555"/>
      <c r="T355" s="555"/>
      <c r="U355" s="555"/>
      <c r="V355" s="556"/>
      <c r="W355" s="37" t="s">
        <v>69</v>
      </c>
      <c r="X355" s="541">
        <f>IFERROR(SUM(X352:X353),"0")</f>
        <v>1600</v>
      </c>
      <c r="Y355" s="541">
        <f>IFERROR(SUM(Y352:Y353),"0")</f>
        <v>1605</v>
      </c>
      <c r="Z355" s="37"/>
      <c r="AA355" s="542"/>
      <c r="AB355" s="542"/>
      <c r="AC355" s="542"/>
    </row>
    <row r="356" spans="1:68" ht="14.25" hidden="1" customHeight="1" x14ac:dyDescent="0.25">
      <c r="A356" s="550" t="s">
        <v>73</v>
      </c>
      <c r="B356" s="549"/>
      <c r="C356" s="549"/>
      <c r="D356" s="549"/>
      <c r="E356" s="549"/>
      <c r="F356" s="549"/>
      <c r="G356" s="549"/>
      <c r="H356" s="549"/>
      <c r="I356" s="549"/>
      <c r="J356" s="549"/>
      <c r="K356" s="549"/>
      <c r="L356" s="549"/>
      <c r="M356" s="549"/>
      <c r="N356" s="549"/>
      <c r="O356" s="549"/>
      <c r="P356" s="549"/>
      <c r="Q356" s="549"/>
      <c r="R356" s="549"/>
      <c r="S356" s="549"/>
      <c r="T356" s="549"/>
      <c r="U356" s="549"/>
      <c r="V356" s="549"/>
      <c r="W356" s="549"/>
      <c r="X356" s="549"/>
      <c r="Y356" s="549"/>
      <c r="Z356" s="549"/>
      <c r="AA356" s="535"/>
      <c r="AB356" s="535"/>
      <c r="AC356" s="535"/>
    </row>
    <row r="357" spans="1:68" ht="27" hidden="1" customHeight="1" x14ac:dyDescent="0.25">
      <c r="A357" s="54" t="s">
        <v>561</v>
      </c>
      <c r="B357" s="54" t="s">
        <v>562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7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563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564</v>
      </c>
      <c r="B358" s="54" t="s">
        <v>565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39">
        <v>20</v>
      </c>
      <c r="Y358" s="540">
        <f>IFERROR(IF(X358="",0,CEILING((X358/$H358),1)*$H358),"")</f>
        <v>27</v>
      </c>
      <c r="Z358" s="36">
        <f>IFERROR(IF(Y358=0,"",ROUNDUP(Y358/H358,0)*0.01898),"")</f>
        <v>5.6940000000000004E-2</v>
      </c>
      <c r="AA358" s="56"/>
      <c r="AB358" s="57"/>
      <c r="AC358" s="409" t="s">
        <v>566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21.097777777777779</v>
      </c>
      <c r="BN358" s="64">
        <f>IFERROR(Y358*I358/H358,"0")</f>
        <v>28.481999999999996</v>
      </c>
      <c r="BO358" s="64">
        <f>IFERROR(1/J358*(X358/H358),"0")</f>
        <v>3.4722222222222224E-2</v>
      </c>
      <c r="BP358" s="64">
        <f>IFERROR(1/J358*(Y358/H358),"0")</f>
        <v>4.6875E-2</v>
      </c>
    </row>
    <row r="359" spans="1:68" x14ac:dyDescent="0.2">
      <c r="A359" s="551"/>
      <c r="B359" s="549"/>
      <c r="C359" s="549"/>
      <c r="D359" s="549"/>
      <c r="E359" s="549"/>
      <c r="F359" s="549"/>
      <c r="G359" s="549"/>
      <c r="H359" s="549"/>
      <c r="I359" s="549"/>
      <c r="J359" s="549"/>
      <c r="K359" s="549"/>
      <c r="L359" s="549"/>
      <c r="M359" s="549"/>
      <c r="N359" s="549"/>
      <c r="O359" s="552"/>
      <c r="P359" s="554" t="s">
        <v>71</v>
      </c>
      <c r="Q359" s="555"/>
      <c r="R359" s="555"/>
      <c r="S359" s="555"/>
      <c r="T359" s="555"/>
      <c r="U359" s="555"/>
      <c r="V359" s="556"/>
      <c r="W359" s="37" t="s">
        <v>72</v>
      </c>
      <c r="X359" s="541">
        <f>IFERROR(X357/H357,"0")+IFERROR(X358/H358,"0")</f>
        <v>2.2222222222222223</v>
      </c>
      <c r="Y359" s="541">
        <f>IFERROR(Y357/H357,"0")+IFERROR(Y358/H358,"0")</f>
        <v>3</v>
      </c>
      <c r="Z359" s="541">
        <f>IFERROR(IF(Z357="",0,Z357),"0")+IFERROR(IF(Z358="",0,Z358),"0")</f>
        <v>5.6940000000000004E-2</v>
      </c>
      <c r="AA359" s="542"/>
      <c r="AB359" s="542"/>
      <c r="AC359" s="542"/>
    </row>
    <row r="360" spans="1:68" x14ac:dyDescent="0.2">
      <c r="A360" s="549"/>
      <c r="B360" s="549"/>
      <c r="C360" s="549"/>
      <c r="D360" s="549"/>
      <c r="E360" s="549"/>
      <c r="F360" s="549"/>
      <c r="G360" s="549"/>
      <c r="H360" s="549"/>
      <c r="I360" s="549"/>
      <c r="J360" s="549"/>
      <c r="K360" s="549"/>
      <c r="L360" s="549"/>
      <c r="M360" s="549"/>
      <c r="N360" s="549"/>
      <c r="O360" s="552"/>
      <c r="P360" s="554" t="s">
        <v>71</v>
      </c>
      <c r="Q360" s="555"/>
      <c r="R360" s="555"/>
      <c r="S360" s="555"/>
      <c r="T360" s="555"/>
      <c r="U360" s="555"/>
      <c r="V360" s="556"/>
      <c r="W360" s="37" t="s">
        <v>69</v>
      </c>
      <c r="X360" s="541">
        <f>IFERROR(SUM(X357:X358),"0")</f>
        <v>20</v>
      </c>
      <c r="Y360" s="541">
        <f>IFERROR(SUM(Y357:Y358),"0")</f>
        <v>27</v>
      </c>
      <c r="Z360" s="37"/>
      <c r="AA360" s="542"/>
      <c r="AB360" s="542"/>
      <c r="AC360" s="542"/>
    </row>
    <row r="361" spans="1:68" ht="14.25" hidden="1" customHeight="1" x14ac:dyDescent="0.25">
      <c r="A361" s="550" t="s">
        <v>163</v>
      </c>
      <c r="B361" s="549"/>
      <c r="C361" s="549"/>
      <c r="D361" s="549"/>
      <c r="E361" s="549"/>
      <c r="F361" s="549"/>
      <c r="G361" s="549"/>
      <c r="H361" s="549"/>
      <c r="I361" s="549"/>
      <c r="J361" s="549"/>
      <c r="K361" s="549"/>
      <c r="L361" s="549"/>
      <c r="M361" s="549"/>
      <c r="N361" s="549"/>
      <c r="O361" s="549"/>
      <c r="P361" s="549"/>
      <c r="Q361" s="549"/>
      <c r="R361" s="549"/>
      <c r="S361" s="549"/>
      <c r="T361" s="549"/>
      <c r="U361" s="549"/>
      <c r="V361" s="549"/>
      <c r="W361" s="549"/>
      <c r="X361" s="549"/>
      <c r="Y361" s="549"/>
      <c r="Z361" s="549"/>
      <c r="AA361" s="535"/>
      <c r="AB361" s="535"/>
      <c r="AC361" s="535"/>
    </row>
    <row r="362" spans="1:68" ht="16.5" customHeight="1" x14ac:dyDescent="0.25">
      <c r="A362" s="54" t="s">
        <v>567</v>
      </c>
      <c r="B362" s="54" t="s">
        <v>568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39">
        <v>50</v>
      </c>
      <c r="Y362" s="540">
        <f>IFERROR(IF(X362="",0,CEILING((X362/$H362),1)*$H362),"")</f>
        <v>54</v>
      </c>
      <c r="Z362" s="36">
        <f>IFERROR(IF(Y362=0,"",ROUNDUP(Y362/H362,0)*0.01898),"")</f>
        <v>0.11388000000000001</v>
      </c>
      <c r="AA362" s="56"/>
      <c r="AB362" s="57"/>
      <c r="AC362" s="411" t="s">
        <v>569</v>
      </c>
      <c r="AG362" s="64"/>
      <c r="AJ362" s="68"/>
      <c r="AK362" s="68">
        <v>0</v>
      </c>
      <c r="BB362" s="412" t="s">
        <v>1</v>
      </c>
      <c r="BM362" s="64">
        <f>IFERROR(X362*I362/H362,"0")</f>
        <v>52.74444444444444</v>
      </c>
      <c r="BN362" s="64">
        <f>IFERROR(Y362*I362/H362,"0")</f>
        <v>56.963999999999992</v>
      </c>
      <c r="BO362" s="64">
        <f>IFERROR(1/J362*(X362/H362),"0")</f>
        <v>8.6805555555555552E-2</v>
      </c>
      <c r="BP362" s="64">
        <f>IFERROR(1/J362*(Y362/H362),"0")</f>
        <v>9.375E-2</v>
      </c>
    </row>
    <row r="363" spans="1:68" x14ac:dyDescent="0.2">
      <c r="A363" s="551"/>
      <c r="B363" s="549"/>
      <c r="C363" s="549"/>
      <c r="D363" s="549"/>
      <c r="E363" s="549"/>
      <c r="F363" s="549"/>
      <c r="G363" s="549"/>
      <c r="H363" s="549"/>
      <c r="I363" s="549"/>
      <c r="J363" s="549"/>
      <c r="K363" s="549"/>
      <c r="L363" s="549"/>
      <c r="M363" s="549"/>
      <c r="N363" s="549"/>
      <c r="O363" s="552"/>
      <c r="P363" s="554" t="s">
        <v>71</v>
      </c>
      <c r="Q363" s="555"/>
      <c r="R363" s="555"/>
      <c r="S363" s="555"/>
      <c r="T363" s="555"/>
      <c r="U363" s="555"/>
      <c r="V363" s="556"/>
      <c r="W363" s="37" t="s">
        <v>72</v>
      </c>
      <c r="X363" s="541">
        <f>IFERROR(X362/H362,"0")</f>
        <v>5.5555555555555554</v>
      </c>
      <c r="Y363" s="541">
        <f>IFERROR(Y362/H362,"0")</f>
        <v>6</v>
      </c>
      <c r="Z363" s="541">
        <f>IFERROR(IF(Z362="",0,Z362),"0")</f>
        <v>0.11388000000000001</v>
      </c>
      <c r="AA363" s="542"/>
      <c r="AB363" s="542"/>
      <c r="AC363" s="542"/>
    </row>
    <row r="364" spans="1:68" x14ac:dyDescent="0.2">
      <c r="A364" s="549"/>
      <c r="B364" s="549"/>
      <c r="C364" s="549"/>
      <c r="D364" s="549"/>
      <c r="E364" s="549"/>
      <c r="F364" s="549"/>
      <c r="G364" s="549"/>
      <c r="H364" s="549"/>
      <c r="I364" s="549"/>
      <c r="J364" s="549"/>
      <c r="K364" s="549"/>
      <c r="L364" s="549"/>
      <c r="M364" s="549"/>
      <c r="N364" s="549"/>
      <c r="O364" s="552"/>
      <c r="P364" s="554" t="s">
        <v>71</v>
      </c>
      <c r="Q364" s="555"/>
      <c r="R364" s="555"/>
      <c r="S364" s="555"/>
      <c r="T364" s="555"/>
      <c r="U364" s="555"/>
      <c r="V364" s="556"/>
      <c r="W364" s="37" t="s">
        <v>69</v>
      </c>
      <c r="X364" s="541">
        <f>IFERROR(SUM(X362:X362),"0")</f>
        <v>50</v>
      </c>
      <c r="Y364" s="541">
        <f>IFERROR(SUM(Y362:Y362),"0")</f>
        <v>54</v>
      </c>
      <c r="Z364" s="37"/>
      <c r="AA364" s="542"/>
      <c r="AB364" s="542"/>
      <c r="AC364" s="542"/>
    </row>
    <row r="365" spans="1:68" ht="16.5" hidden="1" customHeight="1" x14ac:dyDescent="0.25">
      <c r="A365" s="548" t="s">
        <v>570</v>
      </c>
      <c r="B365" s="549"/>
      <c r="C365" s="549"/>
      <c r="D365" s="549"/>
      <c r="E365" s="549"/>
      <c r="F365" s="549"/>
      <c r="G365" s="549"/>
      <c r="H365" s="549"/>
      <c r="I365" s="549"/>
      <c r="J365" s="549"/>
      <c r="K365" s="549"/>
      <c r="L365" s="549"/>
      <c r="M365" s="549"/>
      <c r="N365" s="549"/>
      <c r="O365" s="549"/>
      <c r="P365" s="549"/>
      <c r="Q365" s="549"/>
      <c r="R365" s="549"/>
      <c r="S365" s="549"/>
      <c r="T365" s="549"/>
      <c r="U365" s="549"/>
      <c r="V365" s="549"/>
      <c r="W365" s="549"/>
      <c r="X365" s="549"/>
      <c r="Y365" s="549"/>
      <c r="Z365" s="549"/>
      <c r="AA365" s="534"/>
      <c r="AB365" s="534"/>
      <c r="AC365" s="534"/>
    </row>
    <row r="366" spans="1:68" ht="14.25" hidden="1" customHeight="1" x14ac:dyDescent="0.25">
      <c r="A366" s="550" t="s">
        <v>99</v>
      </c>
      <c r="B366" s="549"/>
      <c r="C366" s="549"/>
      <c r="D366" s="549"/>
      <c r="E366" s="549"/>
      <c r="F366" s="549"/>
      <c r="G366" s="549"/>
      <c r="H366" s="549"/>
      <c r="I366" s="549"/>
      <c r="J366" s="549"/>
      <c r="K366" s="549"/>
      <c r="L366" s="549"/>
      <c r="M366" s="549"/>
      <c r="N366" s="549"/>
      <c r="O366" s="549"/>
      <c r="P366" s="549"/>
      <c r="Q366" s="549"/>
      <c r="R366" s="549"/>
      <c r="S366" s="549"/>
      <c r="T366" s="549"/>
      <c r="U366" s="549"/>
      <c r="V366" s="549"/>
      <c r="W366" s="549"/>
      <c r="X366" s="549"/>
      <c r="Y366" s="549"/>
      <c r="Z366" s="549"/>
      <c r="AA366" s="535"/>
      <c r="AB366" s="535"/>
      <c r="AC366" s="535"/>
    </row>
    <row r="367" spans="1:68" ht="37.5" customHeight="1" x14ac:dyDescent="0.25">
      <c r="A367" s="54" t="s">
        <v>571</v>
      </c>
      <c r="B367" s="54" t="s">
        <v>572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39">
        <v>40</v>
      </c>
      <c r="Y367" s="540">
        <f>IFERROR(IF(X367="",0,CEILING((X367/$H367),1)*$H367),"")</f>
        <v>48</v>
      </c>
      <c r="Z367" s="36">
        <f>IFERROR(IF(Y367=0,"",ROUNDUP(Y367/H367,0)*0.01898),"")</f>
        <v>7.5920000000000001E-2</v>
      </c>
      <c r="AA367" s="56"/>
      <c r="AB367" s="57"/>
      <c r="AC367" s="413" t="s">
        <v>573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41.366666666666667</v>
      </c>
      <c r="BN367" s="64">
        <f>IFERROR(Y367*I367/H367,"0")</f>
        <v>49.640000000000008</v>
      </c>
      <c r="BO367" s="64">
        <f>IFERROR(1/J367*(X367/H367),"0")</f>
        <v>5.2083333333333336E-2</v>
      </c>
      <c r="BP367" s="64">
        <f>IFERROR(1/J367*(Y367/H367),"0")</f>
        <v>6.25E-2</v>
      </c>
    </row>
    <row r="368" spans="1:68" ht="37.5" hidden="1" customHeight="1" x14ac:dyDescent="0.25">
      <c r="A368" s="54" t="s">
        <v>574</v>
      </c>
      <c r="B368" s="54" t="s">
        <v>575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573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1"/>
      <c r="B369" s="549"/>
      <c r="C369" s="549"/>
      <c r="D369" s="549"/>
      <c r="E369" s="549"/>
      <c r="F369" s="549"/>
      <c r="G369" s="549"/>
      <c r="H369" s="549"/>
      <c r="I369" s="549"/>
      <c r="J369" s="549"/>
      <c r="K369" s="549"/>
      <c r="L369" s="549"/>
      <c r="M369" s="549"/>
      <c r="N369" s="549"/>
      <c r="O369" s="552"/>
      <c r="P369" s="554" t="s">
        <v>71</v>
      </c>
      <c r="Q369" s="555"/>
      <c r="R369" s="555"/>
      <c r="S369" s="555"/>
      <c r="T369" s="555"/>
      <c r="U369" s="555"/>
      <c r="V369" s="556"/>
      <c r="W369" s="37" t="s">
        <v>72</v>
      </c>
      <c r="X369" s="541">
        <f>IFERROR(X367/H367,"0")+IFERROR(X368/H368,"0")</f>
        <v>3.3333333333333335</v>
      </c>
      <c r="Y369" s="541">
        <f>IFERROR(Y367/H367,"0")+IFERROR(Y368/H368,"0")</f>
        <v>4</v>
      </c>
      <c r="Z369" s="541">
        <f>IFERROR(IF(Z367="",0,Z367),"0")+IFERROR(IF(Z368="",0,Z368),"0")</f>
        <v>7.5920000000000001E-2</v>
      </c>
      <c r="AA369" s="542"/>
      <c r="AB369" s="542"/>
      <c r="AC369" s="542"/>
    </row>
    <row r="370" spans="1:68" x14ac:dyDescent="0.2">
      <c r="A370" s="549"/>
      <c r="B370" s="549"/>
      <c r="C370" s="549"/>
      <c r="D370" s="549"/>
      <c r="E370" s="549"/>
      <c r="F370" s="549"/>
      <c r="G370" s="549"/>
      <c r="H370" s="549"/>
      <c r="I370" s="549"/>
      <c r="J370" s="549"/>
      <c r="K370" s="549"/>
      <c r="L370" s="549"/>
      <c r="M370" s="549"/>
      <c r="N370" s="549"/>
      <c r="O370" s="552"/>
      <c r="P370" s="554" t="s">
        <v>71</v>
      </c>
      <c r="Q370" s="555"/>
      <c r="R370" s="555"/>
      <c r="S370" s="555"/>
      <c r="T370" s="555"/>
      <c r="U370" s="555"/>
      <c r="V370" s="556"/>
      <c r="W370" s="37" t="s">
        <v>69</v>
      </c>
      <c r="X370" s="541">
        <f>IFERROR(SUM(X367:X368),"0")</f>
        <v>40</v>
      </c>
      <c r="Y370" s="541">
        <f>IFERROR(SUM(Y367:Y368),"0")</f>
        <v>48</v>
      </c>
      <c r="Z370" s="37"/>
      <c r="AA370" s="542"/>
      <c r="AB370" s="542"/>
      <c r="AC370" s="542"/>
    </row>
    <row r="371" spans="1:68" ht="14.25" hidden="1" customHeight="1" x14ac:dyDescent="0.25">
      <c r="A371" s="550" t="s">
        <v>64</v>
      </c>
      <c r="B371" s="549"/>
      <c r="C371" s="549"/>
      <c r="D371" s="549"/>
      <c r="E371" s="549"/>
      <c r="F371" s="549"/>
      <c r="G371" s="549"/>
      <c r="H371" s="549"/>
      <c r="I371" s="549"/>
      <c r="J371" s="549"/>
      <c r="K371" s="549"/>
      <c r="L371" s="549"/>
      <c r="M371" s="549"/>
      <c r="N371" s="549"/>
      <c r="O371" s="549"/>
      <c r="P371" s="549"/>
      <c r="Q371" s="549"/>
      <c r="R371" s="549"/>
      <c r="S371" s="549"/>
      <c r="T371" s="549"/>
      <c r="U371" s="549"/>
      <c r="V371" s="549"/>
      <c r="W371" s="549"/>
      <c r="X371" s="549"/>
      <c r="Y371" s="549"/>
      <c r="Z371" s="549"/>
      <c r="AA371" s="535"/>
      <c r="AB371" s="535"/>
      <c r="AC371" s="535"/>
    </row>
    <row r="372" spans="1:68" ht="27" hidden="1" customHeight="1" x14ac:dyDescent="0.25">
      <c r="A372" s="54" t="s">
        <v>576</v>
      </c>
      <c r="B372" s="54" t="s">
        <v>577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578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576</v>
      </c>
      <c r="B373" s="54" t="s">
        <v>579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1"/>
      <c r="B374" s="549"/>
      <c r="C374" s="549"/>
      <c r="D374" s="549"/>
      <c r="E374" s="549"/>
      <c r="F374" s="549"/>
      <c r="G374" s="549"/>
      <c r="H374" s="549"/>
      <c r="I374" s="549"/>
      <c r="J374" s="549"/>
      <c r="K374" s="549"/>
      <c r="L374" s="549"/>
      <c r="M374" s="549"/>
      <c r="N374" s="549"/>
      <c r="O374" s="552"/>
      <c r="P374" s="554" t="s">
        <v>71</v>
      </c>
      <c r="Q374" s="555"/>
      <c r="R374" s="555"/>
      <c r="S374" s="555"/>
      <c r="T374" s="555"/>
      <c r="U374" s="555"/>
      <c r="V374" s="556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49"/>
      <c r="B375" s="549"/>
      <c r="C375" s="549"/>
      <c r="D375" s="549"/>
      <c r="E375" s="549"/>
      <c r="F375" s="549"/>
      <c r="G375" s="549"/>
      <c r="H375" s="549"/>
      <c r="I375" s="549"/>
      <c r="J375" s="549"/>
      <c r="K375" s="549"/>
      <c r="L375" s="549"/>
      <c r="M375" s="549"/>
      <c r="N375" s="549"/>
      <c r="O375" s="552"/>
      <c r="P375" s="554" t="s">
        <v>71</v>
      </c>
      <c r="Q375" s="555"/>
      <c r="R375" s="555"/>
      <c r="S375" s="555"/>
      <c r="T375" s="555"/>
      <c r="U375" s="555"/>
      <c r="V375" s="556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0" t="s">
        <v>73</v>
      </c>
      <c r="B376" s="549"/>
      <c r="C376" s="549"/>
      <c r="D376" s="549"/>
      <c r="E376" s="549"/>
      <c r="F376" s="549"/>
      <c r="G376" s="549"/>
      <c r="H376" s="549"/>
      <c r="I376" s="549"/>
      <c r="J376" s="549"/>
      <c r="K376" s="549"/>
      <c r="L376" s="549"/>
      <c r="M376" s="549"/>
      <c r="N376" s="549"/>
      <c r="O376" s="549"/>
      <c r="P376" s="549"/>
      <c r="Q376" s="549"/>
      <c r="R376" s="549"/>
      <c r="S376" s="549"/>
      <c r="T376" s="549"/>
      <c r="U376" s="549"/>
      <c r="V376" s="549"/>
      <c r="W376" s="549"/>
      <c r="X376" s="549"/>
      <c r="Y376" s="549"/>
      <c r="Z376" s="549"/>
      <c r="AA376" s="535"/>
      <c r="AB376" s="535"/>
      <c r="AC376" s="535"/>
    </row>
    <row r="377" spans="1:68" ht="27" hidden="1" customHeight="1" x14ac:dyDescent="0.25">
      <c r="A377" s="54" t="s">
        <v>581</v>
      </c>
      <c r="B377" s="54" t="s">
        <v>582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583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584</v>
      </c>
      <c r="B378" s="54" t="s">
        <v>585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583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51"/>
      <c r="B379" s="549"/>
      <c r="C379" s="549"/>
      <c r="D379" s="549"/>
      <c r="E379" s="549"/>
      <c r="F379" s="549"/>
      <c r="G379" s="549"/>
      <c r="H379" s="549"/>
      <c r="I379" s="549"/>
      <c r="J379" s="549"/>
      <c r="K379" s="549"/>
      <c r="L379" s="549"/>
      <c r="M379" s="549"/>
      <c r="N379" s="549"/>
      <c r="O379" s="552"/>
      <c r="P379" s="554" t="s">
        <v>71</v>
      </c>
      <c r="Q379" s="555"/>
      <c r="R379" s="555"/>
      <c r="S379" s="555"/>
      <c r="T379" s="555"/>
      <c r="U379" s="555"/>
      <c r="V379" s="556"/>
      <c r="W379" s="37" t="s">
        <v>72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hidden="1" x14ac:dyDescent="0.2">
      <c r="A380" s="549"/>
      <c r="B380" s="549"/>
      <c r="C380" s="549"/>
      <c r="D380" s="549"/>
      <c r="E380" s="549"/>
      <c r="F380" s="549"/>
      <c r="G380" s="549"/>
      <c r="H380" s="549"/>
      <c r="I380" s="549"/>
      <c r="J380" s="549"/>
      <c r="K380" s="549"/>
      <c r="L380" s="549"/>
      <c r="M380" s="549"/>
      <c r="N380" s="549"/>
      <c r="O380" s="552"/>
      <c r="P380" s="554" t="s">
        <v>71</v>
      </c>
      <c r="Q380" s="555"/>
      <c r="R380" s="555"/>
      <c r="S380" s="555"/>
      <c r="T380" s="555"/>
      <c r="U380" s="555"/>
      <c r="V380" s="556"/>
      <c r="W380" s="37" t="s">
        <v>69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hidden="1" customHeight="1" x14ac:dyDescent="0.2">
      <c r="A381" s="695" t="s">
        <v>586</v>
      </c>
      <c r="B381" s="696"/>
      <c r="C381" s="696"/>
      <c r="D381" s="696"/>
      <c r="E381" s="696"/>
      <c r="F381" s="696"/>
      <c r="G381" s="696"/>
      <c r="H381" s="696"/>
      <c r="I381" s="696"/>
      <c r="J381" s="696"/>
      <c r="K381" s="696"/>
      <c r="L381" s="696"/>
      <c r="M381" s="696"/>
      <c r="N381" s="696"/>
      <c r="O381" s="696"/>
      <c r="P381" s="696"/>
      <c r="Q381" s="696"/>
      <c r="R381" s="696"/>
      <c r="S381" s="696"/>
      <c r="T381" s="696"/>
      <c r="U381" s="696"/>
      <c r="V381" s="696"/>
      <c r="W381" s="696"/>
      <c r="X381" s="696"/>
      <c r="Y381" s="696"/>
      <c r="Z381" s="696"/>
      <c r="AA381" s="48"/>
      <c r="AB381" s="48"/>
      <c r="AC381" s="48"/>
    </row>
    <row r="382" spans="1:68" ht="16.5" hidden="1" customHeight="1" x14ac:dyDescent="0.25">
      <c r="A382" s="548" t="s">
        <v>587</v>
      </c>
      <c r="B382" s="549"/>
      <c r="C382" s="549"/>
      <c r="D382" s="549"/>
      <c r="E382" s="549"/>
      <c r="F382" s="549"/>
      <c r="G382" s="549"/>
      <c r="H382" s="549"/>
      <c r="I382" s="549"/>
      <c r="J382" s="549"/>
      <c r="K382" s="549"/>
      <c r="L382" s="549"/>
      <c r="M382" s="549"/>
      <c r="N382" s="549"/>
      <c r="O382" s="549"/>
      <c r="P382" s="549"/>
      <c r="Q382" s="549"/>
      <c r="R382" s="549"/>
      <c r="S382" s="549"/>
      <c r="T382" s="549"/>
      <c r="U382" s="549"/>
      <c r="V382" s="549"/>
      <c r="W382" s="549"/>
      <c r="X382" s="549"/>
      <c r="Y382" s="549"/>
      <c r="Z382" s="549"/>
      <c r="AA382" s="534"/>
      <c r="AB382" s="534"/>
      <c r="AC382" s="534"/>
    </row>
    <row r="383" spans="1:68" ht="14.25" hidden="1" customHeight="1" x14ac:dyDescent="0.25">
      <c r="A383" s="550" t="s">
        <v>64</v>
      </c>
      <c r="B383" s="549"/>
      <c r="C383" s="549"/>
      <c r="D383" s="549"/>
      <c r="E383" s="549"/>
      <c r="F383" s="549"/>
      <c r="G383" s="549"/>
      <c r="H383" s="549"/>
      <c r="I383" s="549"/>
      <c r="J383" s="549"/>
      <c r="K383" s="549"/>
      <c r="L383" s="549"/>
      <c r="M383" s="549"/>
      <c r="N383" s="549"/>
      <c r="O383" s="549"/>
      <c r="P383" s="549"/>
      <c r="Q383" s="549"/>
      <c r="R383" s="549"/>
      <c r="S383" s="549"/>
      <c r="T383" s="549"/>
      <c r="U383" s="549"/>
      <c r="V383" s="549"/>
      <c r="W383" s="549"/>
      <c r="X383" s="549"/>
      <c r="Y383" s="549"/>
      <c r="Z383" s="549"/>
      <c r="AA383" s="535"/>
      <c r="AB383" s="535"/>
      <c r="AC383" s="535"/>
    </row>
    <row r="384" spans="1:68" ht="27" customHeight="1" x14ac:dyDescent="0.25">
      <c r="A384" s="54" t="s">
        <v>588</v>
      </c>
      <c r="B384" s="54" t="s">
        <v>589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6"/>
      <c r="R384" s="546"/>
      <c r="S384" s="546"/>
      <c r="T384" s="547"/>
      <c r="U384" s="34"/>
      <c r="V384" s="34"/>
      <c r="W384" s="35" t="s">
        <v>69</v>
      </c>
      <c r="X384" s="539">
        <v>10</v>
      </c>
      <c r="Y384" s="540">
        <f t="shared" ref="Y384:Y392" si="36">IFERROR(IF(X384="",0,CEILING((X384/$H384),1)*$H384),"")</f>
        <v>10.8</v>
      </c>
      <c r="Z384" s="36">
        <f>IFERROR(IF(Y384=0,"",ROUNDUP(Y384/H384,0)*0.00902),"")</f>
        <v>1.804E-2</v>
      </c>
      <c r="AA384" s="56"/>
      <c r="AB384" s="57"/>
      <c r="AC384" s="425" t="s">
        <v>590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10.351851851851851</v>
      </c>
      <c r="BN384" s="64">
        <f t="shared" ref="BN384:BN392" si="38">IFERROR(Y384*I384/H384,"0")</f>
        <v>11.18</v>
      </c>
      <c r="BO384" s="64">
        <f t="shared" ref="BO384:BO392" si="39">IFERROR(1/J384*(X384/H384),"0")</f>
        <v>1.4029180695847361E-2</v>
      </c>
      <c r="BP384" s="64">
        <f t="shared" ref="BP384:BP392" si="40">IFERROR(1/J384*(Y384/H384),"0")</f>
        <v>1.5151515151515152E-2</v>
      </c>
    </row>
    <row r="385" spans="1:68" ht="27" hidden="1" customHeight="1" x14ac:dyDescent="0.25">
      <c r="A385" s="54" t="s">
        <v>591</v>
      </c>
      <c r="B385" s="54" t="s">
        <v>592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593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594</v>
      </c>
      <c r="B386" s="54" t="s">
        <v>595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596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597</v>
      </c>
      <c r="B387" s="54" t="s">
        <v>598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590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599</v>
      </c>
      <c r="B388" s="54" t="s">
        <v>600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 t="s">
        <v>272</v>
      </c>
      <c r="M388" s="33" t="s">
        <v>68</v>
      </c>
      <c r="N388" s="33"/>
      <c r="O388" s="32">
        <v>50</v>
      </c>
      <c r="P388" s="7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6"/>
      <c r="R388" s="546"/>
      <c r="S388" s="546"/>
      <c r="T388" s="547"/>
      <c r="U388" s="34"/>
      <c r="V388" s="34"/>
      <c r="W388" s="35" t="s">
        <v>69</v>
      </c>
      <c r="X388" s="539">
        <v>24.5</v>
      </c>
      <c r="Y388" s="540">
        <f t="shared" si="36"/>
        <v>25.200000000000003</v>
      </c>
      <c r="Z388" s="36">
        <f t="shared" si="41"/>
        <v>6.0240000000000002E-2</v>
      </c>
      <c r="AA388" s="56"/>
      <c r="AB388" s="57"/>
      <c r="AC388" s="433" t="s">
        <v>590</v>
      </c>
      <c r="AG388" s="64"/>
      <c r="AJ388" s="68" t="s">
        <v>106</v>
      </c>
      <c r="AK388" s="68">
        <v>37.799999999999997</v>
      </c>
      <c r="BB388" s="434" t="s">
        <v>1</v>
      </c>
      <c r="BM388" s="64">
        <f t="shared" si="37"/>
        <v>26.016666666666666</v>
      </c>
      <c r="BN388" s="64">
        <f t="shared" si="38"/>
        <v>26.76</v>
      </c>
      <c r="BO388" s="64">
        <f t="shared" si="39"/>
        <v>4.9857549857549859E-2</v>
      </c>
      <c r="BP388" s="64">
        <f t="shared" si="40"/>
        <v>5.1282051282051287E-2</v>
      </c>
    </row>
    <row r="389" spans="1:68" ht="37.5" customHeight="1" x14ac:dyDescent="0.25">
      <c r="A389" s="54" t="s">
        <v>601</v>
      </c>
      <c r="B389" s="54" t="s">
        <v>602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 t="s">
        <v>272</v>
      </c>
      <c r="M389" s="33" t="s">
        <v>68</v>
      </c>
      <c r="N389" s="33"/>
      <c r="O389" s="32">
        <v>50</v>
      </c>
      <c r="P389" s="55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39">
        <v>21</v>
      </c>
      <c r="Y389" s="540">
        <f t="shared" si="36"/>
        <v>21</v>
      </c>
      <c r="Z389" s="36">
        <f t="shared" si="41"/>
        <v>5.0200000000000002E-2</v>
      </c>
      <c r="AA389" s="56"/>
      <c r="AB389" s="57"/>
      <c r="AC389" s="435" t="s">
        <v>603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22.299999999999997</v>
      </c>
      <c r="BN389" s="64">
        <f t="shared" si="38"/>
        <v>22.299999999999997</v>
      </c>
      <c r="BO389" s="64">
        <f t="shared" si="39"/>
        <v>4.2735042735042736E-2</v>
      </c>
      <c r="BP389" s="64">
        <f t="shared" si="40"/>
        <v>4.2735042735042736E-2</v>
      </c>
    </row>
    <row r="390" spans="1:68" ht="27" hidden="1" customHeight="1" x14ac:dyDescent="0.25">
      <c r="A390" s="54" t="s">
        <v>604</v>
      </c>
      <c r="B390" s="54" t="s">
        <v>605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6"/>
      <c r="R390" s="546"/>
      <c r="S390" s="546"/>
      <c r="T390" s="547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606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607</v>
      </c>
      <c r="B391" s="54" t="s">
        <v>608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272</v>
      </c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6"/>
      <c r="R391" s="546"/>
      <c r="S391" s="546"/>
      <c r="T391" s="547"/>
      <c r="U391" s="34"/>
      <c r="V391" s="34"/>
      <c r="W391" s="35" t="s">
        <v>69</v>
      </c>
      <c r="X391" s="539">
        <v>35</v>
      </c>
      <c r="Y391" s="540">
        <f t="shared" si="36"/>
        <v>35.700000000000003</v>
      </c>
      <c r="Z391" s="36">
        <f t="shared" si="41"/>
        <v>8.5339999999999999E-2</v>
      </c>
      <c r="AA391" s="56"/>
      <c r="AB391" s="57"/>
      <c r="AC391" s="439" t="s">
        <v>609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37.166666666666664</v>
      </c>
      <c r="BN391" s="64">
        <f t="shared" si="38"/>
        <v>37.910000000000004</v>
      </c>
      <c r="BO391" s="64">
        <f t="shared" si="39"/>
        <v>7.1225071225071226E-2</v>
      </c>
      <c r="BP391" s="64">
        <f t="shared" si="40"/>
        <v>7.2649572649572655E-2</v>
      </c>
    </row>
    <row r="392" spans="1:68" ht="37.5" hidden="1" customHeight="1" x14ac:dyDescent="0.25">
      <c r="A392" s="54" t="s">
        <v>610</v>
      </c>
      <c r="B392" s="54" t="s">
        <v>611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606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51"/>
      <c r="B393" s="549"/>
      <c r="C393" s="549"/>
      <c r="D393" s="549"/>
      <c r="E393" s="549"/>
      <c r="F393" s="549"/>
      <c r="G393" s="549"/>
      <c r="H393" s="549"/>
      <c r="I393" s="549"/>
      <c r="J393" s="549"/>
      <c r="K393" s="549"/>
      <c r="L393" s="549"/>
      <c r="M393" s="549"/>
      <c r="N393" s="549"/>
      <c r="O393" s="552"/>
      <c r="P393" s="554" t="s">
        <v>71</v>
      </c>
      <c r="Q393" s="555"/>
      <c r="R393" s="555"/>
      <c r="S393" s="555"/>
      <c r="T393" s="555"/>
      <c r="U393" s="555"/>
      <c r="V393" s="556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40.185185185185183</v>
      </c>
      <c r="Y393" s="541">
        <f>IFERROR(Y384/H384,"0")+IFERROR(Y385/H385,"0")+IFERROR(Y386/H386,"0")+IFERROR(Y387/H387,"0")+IFERROR(Y388/H388,"0")+IFERROR(Y389/H389,"0")+IFERROR(Y390/H390,"0")+IFERROR(Y391/H391,"0")+IFERROR(Y392/H392,"0")</f>
        <v>41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0.21382000000000001</v>
      </c>
      <c r="AA393" s="542"/>
      <c r="AB393" s="542"/>
      <c r="AC393" s="542"/>
    </row>
    <row r="394" spans="1:68" x14ac:dyDescent="0.2">
      <c r="A394" s="549"/>
      <c r="B394" s="549"/>
      <c r="C394" s="549"/>
      <c r="D394" s="549"/>
      <c r="E394" s="549"/>
      <c r="F394" s="549"/>
      <c r="G394" s="549"/>
      <c r="H394" s="549"/>
      <c r="I394" s="549"/>
      <c r="J394" s="549"/>
      <c r="K394" s="549"/>
      <c r="L394" s="549"/>
      <c r="M394" s="549"/>
      <c r="N394" s="549"/>
      <c r="O394" s="552"/>
      <c r="P394" s="554" t="s">
        <v>71</v>
      </c>
      <c r="Q394" s="555"/>
      <c r="R394" s="555"/>
      <c r="S394" s="555"/>
      <c r="T394" s="555"/>
      <c r="U394" s="555"/>
      <c r="V394" s="556"/>
      <c r="W394" s="37" t="s">
        <v>69</v>
      </c>
      <c r="X394" s="541">
        <f>IFERROR(SUM(X384:X392),"0")</f>
        <v>90.5</v>
      </c>
      <c r="Y394" s="541">
        <f>IFERROR(SUM(Y384:Y392),"0")</f>
        <v>92.7</v>
      </c>
      <c r="Z394" s="37"/>
      <c r="AA394" s="542"/>
      <c r="AB394" s="542"/>
      <c r="AC394" s="542"/>
    </row>
    <row r="395" spans="1:68" ht="14.25" hidden="1" customHeight="1" x14ac:dyDescent="0.25">
      <c r="A395" s="550" t="s">
        <v>73</v>
      </c>
      <c r="B395" s="549"/>
      <c r="C395" s="549"/>
      <c r="D395" s="549"/>
      <c r="E395" s="549"/>
      <c r="F395" s="549"/>
      <c r="G395" s="549"/>
      <c r="H395" s="549"/>
      <c r="I395" s="549"/>
      <c r="J395" s="549"/>
      <c r="K395" s="549"/>
      <c r="L395" s="549"/>
      <c r="M395" s="549"/>
      <c r="N395" s="549"/>
      <c r="O395" s="549"/>
      <c r="P395" s="549"/>
      <c r="Q395" s="549"/>
      <c r="R395" s="549"/>
      <c r="S395" s="549"/>
      <c r="T395" s="549"/>
      <c r="U395" s="549"/>
      <c r="V395" s="549"/>
      <c r="W395" s="549"/>
      <c r="X395" s="549"/>
      <c r="Y395" s="549"/>
      <c r="Z395" s="549"/>
      <c r="AA395" s="535"/>
      <c r="AB395" s="535"/>
      <c r="AC395" s="535"/>
    </row>
    <row r="396" spans="1:68" ht="27" hidden="1" customHeight="1" x14ac:dyDescent="0.25">
      <c r="A396" s="54" t="s">
        <v>612</v>
      </c>
      <c r="B396" s="54" t="s">
        <v>613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6"/>
      <c r="R396" s="546"/>
      <c r="S396" s="546"/>
      <c r="T396" s="547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614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615</v>
      </c>
      <c r="B397" s="54" t="s">
        <v>616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617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51"/>
      <c r="B398" s="549"/>
      <c r="C398" s="549"/>
      <c r="D398" s="549"/>
      <c r="E398" s="549"/>
      <c r="F398" s="549"/>
      <c r="G398" s="549"/>
      <c r="H398" s="549"/>
      <c r="I398" s="549"/>
      <c r="J398" s="549"/>
      <c r="K398" s="549"/>
      <c r="L398" s="549"/>
      <c r="M398" s="549"/>
      <c r="N398" s="549"/>
      <c r="O398" s="552"/>
      <c r="P398" s="554" t="s">
        <v>71</v>
      </c>
      <c r="Q398" s="555"/>
      <c r="R398" s="555"/>
      <c r="S398" s="555"/>
      <c r="T398" s="555"/>
      <c r="U398" s="555"/>
      <c r="V398" s="556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49"/>
      <c r="B399" s="549"/>
      <c r="C399" s="549"/>
      <c r="D399" s="549"/>
      <c r="E399" s="549"/>
      <c r="F399" s="549"/>
      <c r="G399" s="549"/>
      <c r="H399" s="549"/>
      <c r="I399" s="549"/>
      <c r="J399" s="549"/>
      <c r="K399" s="549"/>
      <c r="L399" s="549"/>
      <c r="M399" s="549"/>
      <c r="N399" s="549"/>
      <c r="O399" s="552"/>
      <c r="P399" s="554" t="s">
        <v>71</v>
      </c>
      <c r="Q399" s="555"/>
      <c r="R399" s="555"/>
      <c r="S399" s="555"/>
      <c r="T399" s="555"/>
      <c r="U399" s="555"/>
      <c r="V399" s="556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48" t="s">
        <v>618</v>
      </c>
      <c r="B400" s="549"/>
      <c r="C400" s="549"/>
      <c r="D400" s="549"/>
      <c r="E400" s="549"/>
      <c r="F400" s="549"/>
      <c r="G400" s="549"/>
      <c r="H400" s="549"/>
      <c r="I400" s="549"/>
      <c r="J400" s="549"/>
      <c r="K400" s="549"/>
      <c r="L400" s="549"/>
      <c r="M400" s="549"/>
      <c r="N400" s="549"/>
      <c r="O400" s="549"/>
      <c r="P400" s="549"/>
      <c r="Q400" s="549"/>
      <c r="R400" s="549"/>
      <c r="S400" s="549"/>
      <c r="T400" s="549"/>
      <c r="U400" s="549"/>
      <c r="V400" s="549"/>
      <c r="W400" s="549"/>
      <c r="X400" s="549"/>
      <c r="Y400" s="549"/>
      <c r="Z400" s="549"/>
      <c r="AA400" s="534"/>
      <c r="AB400" s="534"/>
      <c r="AC400" s="534"/>
    </row>
    <row r="401" spans="1:68" ht="14.25" hidden="1" customHeight="1" x14ac:dyDescent="0.25">
      <c r="A401" s="550" t="s">
        <v>135</v>
      </c>
      <c r="B401" s="549"/>
      <c r="C401" s="549"/>
      <c r="D401" s="549"/>
      <c r="E401" s="549"/>
      <c r="F401" s="549"/>
      <c r="G401" s="549"/>
      <c r="H401" s="549"/>
      <c r="I401" s="549"/>
      <c r="J401" s="549"/>
      <c r="K401" s="549"/>
      <c r="L401" s="549"/>
      <c r="M401" s="549"/>
      <c r="N401" s="549"/>
      <c r="O401" s="549"/>
      <c r="P401" s="549"/>
      <c r="Q401" s="549"/>
      <c r="R401" s="549"/>
      <c r="S401" s="549"/>
      <c r="T401" s="549"/>
      <c r="U401" s="549"/>
      <c r="V401" s="549"/>
      <c r="W401" s="549"/>
      <c r="X401" s="549"/>
      <c r="Y401" s="549"/>
      <c r="Z401" s="549"/>
      <c r="AA401" s="535"/>
      <c r="AB401" s="535"/>
      <c r="AC401" s="535"/>
    </row>
    <row r="402" spans="1:68" ht="27" hidden="1" customHeight="1" x14ac:dyDescent="0.25">
      <c r="A402" s="54" t="s">
        <v>619</v>
      </c>
      <c r="B402" s="54" t="s">
        <v>620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6"/>
      <c r="R402" s="546"/>
      <c r="S402" s="546"/>
      <c r="T402" s="547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621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51"/>
      <c r="B403" s="549"/>
      <c r="C403" s="549"/>
      <c r="D403" s="549"/>
      <c r="E403" s="549"/>
      <c r="F403" s="549"/>
      <c r="G403" s="549"/>
      <c r="H403" s="549"/>
      <c r="I403" s="549"/>
      <c r="J403" s="549"/>
      <c r="K403" s="549"/>
      <c r="L403" s="549"/>
      <c r="M403" s="549"/>
      <c r="N403" s="549"/>
      <c r="O403" s="552"/>
      <c r="P403" s="554" t="s">
        <v>71</v>
      </c>
      <c r="Q403" s="555"/>
      <c r="R403" s="555"/>
      <c r="S403" s="555"/>
      <c r="T403" s="555"/>
      <c r="U403" s="555"/>
      <c r="V403" s="556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49"/>
      <c r="B404" s="549"/>
      <c r="C404" s="549"/>
      <c r="D404" s="549"/>
      <c r="E404" s="549"/>
      <c r="F404" s="549"/>
      <c r="G404" s="549"/>
      <c r="H404" s="549"/>
      <c r="I404" s="549"/>
      <c r="J404" s="549"/>
      <c r="K404" s="549"/>
      <c r="L404" s="549"/>
      <c r="M404" s="549"/>
      <c r="N404" s="549"/>
      <c r="O404" s="552"/>
      <c r="P404" s="554" t="s">
        <v>71</v>
      </c>
      <c r="Q404" s="555"/>
      <c r="R404" s="555"/>
      <c r="S404" s="555"/>
      <c r="T404" s="555"/>
      <c r="U404" s="555"/>
      <c r="V404" s="556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0" t="s">
        <v>64</v>
      </c>
      <c r="B405" s="549"/>
      <c r="C405" s="549"/>
      <c r="D405" s="549"/>
      <c r="E405" s="549"/>
      <c r="F405" s="549"/>
      <c r="G405" s="549"/>
      <c r="H405" s="549"/>
      <c r="I405" s="549"/>
      <c r="J405" s="549"/>
      <c r="K405" s="549"/>
      <c r="L405" s="549"/>
      <c r="M405" s="549"/>
      <c r="N405" s="549"/>
      <c r="O405" s="549"/>
      <c r="P405" s="549"/>
      <c r="Q405" s="549"/>
      <c r="R405" s="549"/>
      <c r="S405" s="549"/>
      <c r="T405" s="549"/>
      <c r="U405" s="549"/>
      <c r="V405" s="549"/>
      <c r="W405" s="549"/>
      <c r="X405" s="549"/>
      <c r="Y405" s="549"/>
      <c r="Z405" s="549"/>
      <c r="AA405" s="535"/>
      <c r="AB405" s="535"/>
      <c r="AC405" s="535"/>
    </row>
    <row r="406" spans="1:68" ht="27" hidden="1" customHeight="1" x14ac:dyDescent="0.25">
      <c r="A406" s="54" t="s">
        <v>622</v>
      </c>
      <c r="B406" s="54" t="s">
        <v>623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6"/>
      <c r="R406" s="546"/>
      <c r="S406" s="546"/>
      <c r="T406" s="547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624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625</v>
      </c>
      <c r="B407" s="54" t="s">
        <v>626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627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628</v>
      </c>
      <c r="B408" s="54" t="s">
        <v>629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6"/>
      <c r="R408" s="546"/>
      <c r="S408" s="546"/>
      <c r="T408" s="547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630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631</v>
      </c>
      <c r="B409" s="54" t="s">
        <v>632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51"/>
      <c r="B410" s="549"/>
      <c r="C410" s="549"/>
      <c r="D410" s="549"/>
      <c r="E410" s="549"/>
      <c r="F410" s="549"/>
      <c r="G410" s="549"/>
      <c r="H410" s="549"/>
      <c r="I410" s="549"/>
      <c r="J410" s="549"/>
      <c r="K410" s="549"/>
      <c r="L410" s="549"/>
      <c r="M410" s="549"/>
      <c r="N410" s="549"/>
      <c r="O410" s="552"/>
      <c r="P410" s="554" t="s">
        <v>71</v>
      </c>
      <c r="Q410" s="555"/>
      <c r="R410" s="555"/>
      <c r="S410" s="555"/>
      <c r="T410" s="555"/>
      <c r="U410" s="555"/>
      <c r="V410" s="556"/>
      <c r="W410" s="37" t="s">
        <v>72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hidden="1" x14ac:dyDescent="0.2">
      <c r="A411" s="549"/>
      <c r="B411" s="549"/>
      <c r="C411" s="549"/>
      <c r="D411" s="549"/>
      <c r="E411" s="549"/>
      <c r="F411" s="549"/>
      <c r="G411" s="549"/>
      <c r="H411" s="549"/>
      <c r="I411" s="549"/>
      <c r="J411" s="549"/>
      <c r="K411" s="549"/>
      <c r="L411" s="549"/>
      <c r="M411" s="549"/>
      <c r="N411" s="549"/>
      <c r="O411" s="552"/>
      <c r="P411" s="554" t="s">
        <v>71</v>
      </c>
      <c r="Q411" s="555"/>
      <c r="R411" s="555"/>
      <c r="S411" s="555"/>
      <c r="T411" s="555"/>
      <c r="U411" s="555"/>
      <c r="V411" s="556"/>
      <c r="W411" s="37" t="s">
        <v>69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hidden="1" customHeight="1" x14ac:dyDescent="0.25">
      <c r="A412" s="548" t="s">
        <v>633</v>
      </c>
      <c r="B412" s="549"/>
      <c r="C412" s="549"/>
      <c r="D412" s="549"/>
      <c r="E412" s="549"/>
      <c r="F412" s="549"/>
      <c r="G412" s="549"/>
      <c r="H412" s="549"/>
      <c r="I412" s="549"/>
      <c r="J412" s="549"/>
      <c r="K412" s="549"/>
      <c r="L412" s="549"/>
      <c r="M412" s="549"/>
      <c r="N412" s="549"/>
      <c r="O412" s="549"/>
      <c r="P412" s="549"/>
      <c r="Q412" s="549"/>
      <c r="R412" s="549"/>
      <c r="S412" s="549"/>
      <c r="T412" s="549"/>
      <c r="U412" s="549"/>
      <c r="V412" s="549"/>
      <c r="W412" s="549"/>
      <c r="X412" s="549"/>
      <c r="Y412" s="549"/>
      <c r="Z412" s="549"/>
      <c r="AA412" s="534"/>
      <c r="AB412" s="534"/>
      <c r="AC412" s="534"/>
    </row>
    <row r="413" spans="1:68" ht="14.25" hidden="1" customHeight="1" x14ac:dyDescent="0.25">
      <c r="A413" s="550" t="s">
        <v>64</v>
      </c>
      <c r="B413" s="549"/>
      <c r="C413" s="549"/>
      <c r="D413" s="549"/>
      <c r="E413" s="549"/>
      <c r="F413" s="549"/>
      <c r="G413" s="549"/>
      <c r="H413" s="549"/>
      <c r="I413" s="549"/>
      <c r="J413" s="549"/>
      <c r="K413" s="549"/>
      <c r="L413" s="549"/>
      <c r="M413" s="549"/>
      <c r="N413" s="549"/>
      <c r="O413" s="549"/>
      <c r="P413" s="549"/>
      <c r="Q413" s="549"/>
      <c r="R413" s="549"/>
      <c r="S413" s="549"/>
      <c r="T413" s="549"/>
      <c r="U413" s="549"/>
      <c r="V413" s="549"/>
      <c r="W413" s="549"/>
      <c r="X413" s="549"/>
      <c r="Y413" s="549"/>
      <c r="Z413" s="549"/>
      <c r="AA413" s="535"/>
      <c r="AB413" s="535"/>
      <c r="AC413" s="535"/>
    </row>
    <row r="414" spans="1:68" ht="27" customHeight="1" x14ac:dyDescent="0.25">
      <c r="A414" s="54" t="s">
        <v>634</v>
      </c>
      <c r="B414" s="54" t="s">
        <v>635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 t="s">
        <v>214</v>
      </c>
      <c r="M414" s="33" t="s">
        <v>68</v>
      </c>
      <c r="N414" s="33"/>
      <c r="O414" s="32">
        <v>50</v>
      </c>
      <c r="P414" s="63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6"/>
      <c r="R414" s="546"/>
      <c r="S414" s="546"/>
      <c r="T414" s="547"/>
      <c r="U414" s="34"/>
      <c r="V414" s="34"/>
      <c r="W414" s="35" t="s">
        <v>69</v>
      </c>
      <c r="X414" s="539">
        <v>30</v>
      </c>
      <c r="Y414" s="540">
        <f>IFERROR(IF(X414="",0,CEILING((X414/$H414),1)*$H414),"")</f>
        <v>30</v>
      </c>
      <c r="Z414" s="36">
        <f>IFERROR(IF(Y414=0,"",ROUNDUP(Y414/H414,0)*0.00651),"")</f>
        <v>0.16275000000000001</v>
      </c>
      <c r="AA414" s="56"/>
      <c r="AB414" s="57"/>
      <c r="AC414" s="457" t="s">
        <v>636</v>
      </c>
      <c r="AG414" s="64"/>
      <c r="AJ414" s="68" t="s">
        <v>106</v>
      </c>
      <c r="AK414" s="68">
        <v>16.8</v>
      </c>
      <c r="BB414" s="458" t="s">
        <v>1</v>
      </c>
      <c r="BM414" s="64">
        <f>IFERROR(X414*I414/H414,"0")</f>
        <v>52.5</v>
      </c>
      <c r="BN414" s="64">
        <f>IFERROR(Y414*I414/H414,"0")</f>
        <v>52.5</v>
      </c>
      <c r="BO414" s="64">
        <f>IFERROR(1/J414*(X414/H414),"0")</f>
        <v>0.13736263736263737</v>
      </c>
      <c r="BP414" s="64">
        <f>IFERROR(1/J414*(Y414/H414),"0")</f>
        <v>0.13736263736263737</v>
      </c>
    </row>
    <row r="415" spans="1:68" x14ac:dyDescent="0.2">
      <c r="A415" s="551"/>
      <c r="B415" s="549"/>
      <c r="C415" s="549"/>
      <c r="D415" s="549"/>
      <c r="E415" s="549"/>
      <c r="F415" s="549"/>
      <c r="G415" s="549"/>
      <c r="H415" s="549"/>
      <c r="I415" s="549"/>
      <c r="J415" s="549"/>
      <c r="K415" s="549"/>
      <c r="L415" s="549"/>
      <c r="M415" s="549"/>
      <c r="N415" s="549"/>
      <c r="O415" s="552"/>
      <c r="P415" s="554" t="s">
        <v>71</v>
      </c>
      <c r="Q415" s="555"/>
      <c r="R415" s="555"/>
      <c r="S415" s="555"/>
      <c r="T415" s="555"/>
      <c r="U415" s="555"/>
      <c r="V415" s="556"/>
      <c r="W415" s="37" t="s">
        <v>72</v>
      </c>
      <c r="X415" s="541">
        <f>IFERROR(X414/H414,"0")</f>
        <v>25</v>
      </c>
      <c r="Y415" s="541">
        <f>IFERROR(Y414/H414,"0")</f>
        <v>25</v>
      </c>
      <c r="Z415" s="541">
        <f>IFERROR(IF(Z414="",0,Z414),"0")</f>
        <v>0.16275000000000001</v>
      </c>
      <c r="AA415" s="542"/>
      <c r="AB415" s="542"/>
      <c r="AC415" s="542"/>
    </row>
    <row r="416" spans="1:68" x14ac:dyDescent="0.2">
      <c r="A416" s="549"/>
      <c r="B416" s="549"/>
      <c r="C416" s="549"/>
      <c r="D416" s="549"/>
      <c r="E416" s="549"/>
      <c r="F416" s="549"/>
      <c r="G416" s="549"/>
      <c r="H416" s="549"/>
      <c r="I416" s="549"/>
      <c r="J416" s="549"/>
      <c r="K416" s="549"/>
      <c r="L416" s="549"/>
      <c r="M416" s="549"/>
      <c r="N416" s="549"/>
      <c r="O416" s="552"/>
      <c r="P416" s="554" t="s">
        <v>71</v>
      </c>
      <c r="Q416" s="555"/>
      <c r="R416" s="555"/>
      <c r="S416" s="555"/>
      <c r="T416" s="555"/>
      <c r="U416" s="555"/>
      <c r="V416" s="556"/>
      <c r="W416" s="37" t="s">
        <v>69</v>
      </c>
      <c r="X416" s="541">
        <f>IFERROR(SUM(X414:X414),"0")</f>
        <v>30</v>
      </c>
      <c r="Y416" s="541">
        <f>IFERROR(SUM(Y414:Y414),"0")</f>
        <v>30</v>
      </c>
      <c r="Z416" s="37"/>
      <c r="AA416" s="542"/>
      <c r="AB416" s="542"/>
      <c r="AC416" s="542"/>
    </row>
    <row r="417" spans="1:68" ht="27.75" hidden="1" customHeight="1" x14ac:dyDescent="0.2">
      <c r="A417" s="695" t="s">
        <v>637</v>
      </c>
      <c r="B417" s="696"/>
      <c r="C417" s="696"/>
      <c r="D417" s="696"/>
      <c r="E417" s="696"/>
      <c r="F417" s="696"/>
      <c r="G417" s="696"/>
      <c r="H417" s="696"/>
      <c r="I417" s="696"/>
      <c r="J417" s="696"/>
      <c r="K417" s="696"/>
      <c r="L417" s="696"/>
      <c r="M417" s="696"/>
      <c r="N417" s="696"/>
      <c r="O417" s="696"/>
      <c r="P417" s="696"/>
      <c r="Q417" s="696"/>
      <c r="R417" s="696"/>
      <c r="S417" s="696"/>
      <c r="T417" s="696"/>
      <c r="U417" s="696"/>
      <c r="V417" s="696"/>
      <c r="W417" s="696"/>
      <c r="X417" s="696"/>
      <c r="Y417" s="696"/>
      <c r="Z417" s="696"/>
      <c r="AA417" s="48"/>
      <c r="AB417" s="48"/>
      <c r="AC417" s="48"/>
    </row>
    <row r="418" spans="1:68" ht="16.5" hidden="1" customHeight="1" x14ac:dyDescent="0.25">
      <c r="A418" s="548" t="s">
        <v>637</v>
      </c>
      <c r="B418" s="549"/>
      <c r="C418" s="549"/>
      <c r="D418" s="549"/>
      <c r="E418" s="549"/>
      <c r="F418" s="549"/>
      <c r="G418" s="549"/>
      <c r="H418" s="549"/>
      <c r="I418" s="549"/>
      <c r="J418" s="549"/>
      <c r="K418" s="549"/>
      <c r="L418" s="549"/>
      <c r="M418" s="549"/>
      <c r="N418" s="549"/>
      <c r="O418" s="549"/>
      <c r="P418" s="549"/>
      <c r="Q418" s="549"/>
      <c r="R418" s="549"/>
      <c r="S418" s="549"/>
      <c r="T418" s="549"/>
      <c r="U418" s="549"/>
      <c r="V418" s="549"/>
      <c r="W418" s="549"/>
      <c r="X418" s="549"/>
      <c r="Y418" s="549"/>
      <c r="Z418" s="549"/>
      <c r="AA418" s="534"/>
      <c r="AB418" s="534"/>
      <c r="AC418" s="534"/>
    </row>
    <row r="419" spans="1:68" ht="14.25" hidden="1" customHeight="1" x14ac:dyDescent="0.25">
      <c r="A419" s="550" t="s">
        <v>99</v>
      </c>
      <c r="B419" s="549"/>
      <c r="C419" s="549"/>
      <c r="D419" s="549"/>
      <c r="E419" s="549"/>
      <c r="F419" s="549"/>
      <c r="G419" s="549"/>
      <c r="H419" s="549"/>
      <c r="I419" s="549"/>
      <c r="J419" s="549"/>
      <c r="K419" s="549"/>
      <c r="L419" s="549"/>
      <c r="M419" s="549"/>
      <c r="N419" s="549"/>
      <c r="O419" s="549"/>
      <c r="P419" s="549"/>
      <c r="Q419" s="549"/>
      <c r="R419" s="549"/>
      <c r="S419" s="549"/>
      <c r="T419" s="549"/>
      <c r="U419" s="549"/>
      <c r="V419" s="549"/>
      <c r="W419" s="549"/>
      <c r="X419" s="549"/>
      <c r="Y419" s="549"/>
      <c r="Z419" s="549"/>
      <c r="AA419" s="535"/>
      <c r="AB419" s="535"/>
      <c r="AC419" s="535"/>
    </row>
    <row r="420" spans="1:68" ht="27" customHeight="1" x14ac:dyDescent="0.25">
      <c r="A420" s="54" t="s">
        <v>638</v>
      </c>
      <c r="B420" s="54" t="s">
        <v>639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7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6"/>
      <c r="R420" s="546"/>
      <c r="S420" s="546"/>
      <c r="T420" s="547"/>
      <c r="U420" s="34"/>
      <c r="V420" s="34"/>
      <c r="W420" s="35" t="s">
        <v>69</v>
      </c>
      <c r="X420" s="539">
        <v>80</v>
      </c>
      <c r="Y420" s="540">
        <f t="shared" ref="Y420:Y430" si="42">IFERROR(IF(X420="",0,CEILING((X420/$H420),1)*$H420),"")</f>
        <v>84.48</v>
      </c>
      <c r="Z420" s="36">
        <f t="shared" ref="Z420:Z425" si="43">IFERROR(IF(Y420=0,"",ROUNDUP(Y420/H420,0)*0.01196),"")</f>
        <v>0.19136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85.303030303030297</v>
      </c>
      <c r="BN420" s="64">
        <f t="shared" ref="BN420:BN430" si="45">IFERROR(Y420*I420/H420,"0")</f>
        <v>90.08</v>
      </c>
      <c r="BO420" s="64">
        <f t="shared" ref="BO420:BO430" si="46">IFERROR(1/J420*(X420/H420),"0")</f>
        <v>0.14568764568764569</v>
      </c>
      <c r="BP420" s="64">
        <f t="shared" ref="BP420:BP430" si="47">IFERROR(1/J420*(Y420/H420),"0")</f>
        <v>0.15384615384615385</v>
      </c>
    </row>
    <row r="421" spans="1:68" ht="27" hidden="1" customHeight="1" x14ac:dyDescent="0.25">
      <c r="A421" s="54" t="s">
        <v>640</v>
      </c>
      <c r="B421" s="54" t="s">
        <v>641</v>
      </c>
      <c r="C421" s="31">
        <v>4301011961</v>
      </c>
      <c r="D421" s="543">
        <v>4680115885271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6"/>
      <c r="R421" s="546"/>
      <c r="S421" s="546"/>
      <c r="T421" s="547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642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643</v>
      </c>
      <c r="B422" s="54" t="s">
        <v>644</v>
      </c>
      <c r="C422" s="31">
        <v>4301011376</v>
      </c>
      <c r="D422" s="543">
        <v>4680115885226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39">
        <v>100</v>
      </c>
      <c r="Y422" s="540">
        <f t="shared" si="42"/>
        <v>100.32000000000001</v>
      </c>
      <c r="Z422" s="36">
        <f t="shared" si="43"/>
        <v>0.22724</v>
      </c>
      <c r="AA422" s="56"/>
      <c r="AB422" s="57"/>
      <c r="AC422" s="463" t="s">
        <v>645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106.62878787878788</v>
      </c>
      <c r="BN422" s="64">
        <f t="shared" si="45"/>
        <v>106.97</v>
      </c>
      <c r="BO422" s="64">
        <f t="shared" si="46"/>
        <v>0.18210955710955709</v>
      </c>
      <c r="BP422" s="64">
        <f t="shared" si="47"/>
        <v>0.18269230769230771</v>
      </c>
    </row>
    <row r="423" spans="1:68" ht="27" hidden="1" customHeight="1" x14ac:dyDescent="0.25">
      <c r="A423" s="54" t="s">
        <v>646</v>
      </c>
      <c r="B423" s="54" t="s">
        <v>647</v>
      </c>
      <c r="C423" s="31">
        <v>4301012145</v>
      </c>
      <c r="D423" s="543">
        <v>4607091383522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6"/>
      <c r="R423" s="546"/>
      <c r="S423" s="546"/>
      <c r="T423" s="547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648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hidden="1" customHeight="1" x14ac:dyDescent="0.25">
      <c r="A424" s="54" t="s">
        <v>649</v>
      </c>
      <c r="B424" s="54" t="s">
        <v>650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651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652</v>
      </c>
      <c r="B425" s="54" t="s">
        <v>653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6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39">
        <v>150</v>
      </c>
      <c r="Y425" s="540">
        <f t="shared" si="42"/>
        <v>153.12</v>
      </c>
      <c r="Z425" s="36">
        <f t="shared" si="43"/>
        <v>0.34683999999999998</v>
      </c>
      <c r="AA425" s="56"/>
      <c r="AB425" s="57"/>
      <c r="AC425" s="469" t="s">
        <v>654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159.94318181818181</v>
      </c>
      <c r="BN425" s="64">
        <f t="shared" si="45"/>
        <v>163.26999999999998</v>
      </c>
      <c r="BO425" s="64">
        <f t="shared" si="46"/>
        <v>0.27316433566433568</v>
      </c>
      <c r="BP425" s="64">
        <f t="shared" si="47"/>
        <v>0.27884615384615385</v>
      </c>
    </row>
    <row r="426" spans="1:68" ht="27" hidden="1" customHeight="1" x14ac:dyDescent="0.25">
      <c r="A426" s="54" t="s">
        <v>655</v>
      </c>
      <c r="B426" s="54" t="s">
        <v>656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6"/>
      <c r="R426" s="546"/>
      <c r="S426" s="546"/>
      <c r="T426" s="547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657</v>
      </c>
      <c r="B427" s="54" t="s">
        <v>658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6"/>
      <c r="R427" s="546"/>
      <c r="S427" s="546"/>
      <c r="T427" s="547"/>
      <c r="U427" s="34"/>
      <c r="V427" s="34"/>
      <c r="W427" s="35" t="s">
        <v>69</v>
      </c>
      <c r="X427" s="539">
        <v>78</v>
      </c>
      <c r="Y427" s="540">
        <f t="shared" si="42"/>
        <v>81.599999999999994</v>
      </c>
      <c r="Z427" s="36">
        <f>IFERROR(IF(Y427=0,"",ROUNDUP(Y427/H427,0)*0.00902),"")</f>
        <v>0.15334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112.28750000000001</v>
      </c>
      <c r="BN427" s="64">
        <f t="shared" si="45"/>
        <v>117.47</v>
      </c>
      <c r="BO427" s="64">
        <f t="shared" si="46"/>
        <v>0.12310606060606061</v>
      </c>
      <c r="BP427" s="64">
        <f t="shared" si="47"/>
        <v>0.12878787878787878</v>
      </c>
    </row>
    <row r="428" spans="1:68" ht="27" hidden="1" customHeight="1" x14ac:dyDescent="0.25">
      <c r="A428" s="54" t="s">
        <v>659</v>
      </c>
      <c r="B428" s="54" t="s">
        <v>660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642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664</v>
      </c>
      <c r="B430" s="54" t="s">
        <v>665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39">
        <v>120</v>
      </c>
      <c r="Y430" s="540">
        <f t="shared" si="42"/>
        <v>120</v>
      </c>
      <c r="Z430" s="36">
        <f>IFERROR(IF(Y430=0,"",ROUNDUP(Y430/H430,0)*0.00902),"")</f>
        <v>0.22550000000000001</v>
      </c>
      <c r="AA430" s="56"/>
      <c r="AB430" s="57"/>
      <c r="AC430" s="479" t="s">
        <v>654</v>
      </c>
      <c r="AG430" s="64"/>
      <c r="AJ430" s="68"/>
      <c r="AK430" s="68">
        <v>0</v>
      </c>
      <c r="BB430" s="480" t="s">
        <v>1</v>
      </c>
      <c r="BM430" s="64">
        <f t="shared" si="44"/>
        <v>172.75000000000003</v>
      </c>
      <c r="BN430" s="64">
        <f t="shared" si="45"/>
        <v>172.75000000000003</v>
      </c>
      <c r="BO430" s="64">
        <f t="shared" si="46"/>
        <v>0.18939393939393939</v>
      </c>
      <c r="BP430" s="64">
        <f t="shared" si="47"/>
        <v>0.18939393939393939</v>
      </c>
    </row>
    <row r="431" spans="1:68" x14ac:dyDescent="0.2">
      <c r="A431" s="551"/>
      <c r="B431" s="549"/>
      <c r="C431" s="549"/>
      <c r="D431" s="549"/>
      <c r="E431" s="549"/>
      <c r="F431" s="549"/>
      <c r="G431" s="549"/>
      <c r="H431" s="549"/>
      <c r="I431" s="549"/>
      <c r="J431" s="549"/>
      <c r="K431" s="549"/>
      <c r="L431" s="549"/>
      <c r="M431" s="549"/>
      <c r="N431" s="549"/>
      <c r="O431" s="552"/>
      <c r="P431" s="554" t="s">
        <v>71</v>
      </c>
      <c r="Q431" s="555"/>
      <c r="R431" s="555"/>
      <c r="S431" s="555"/>
      <c r="T431" s="555"/>
      <c r="U431" s="555"/>
      <c r="V431" s="556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103.75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106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1.14428</v>
      </c>
      <c r="AA431" s="542"/>
      <c r="AB431" s="542"/>
      <c r="AC431" s="542"/>
    </row>
    <row r="432" spans="1:68" x14ac:dyDescent="0.2">
      <c r="A432" s="549"/>
      <c r="B432" s="549"/>
      <c r="C432" s="549"/>
      <c r="D432" s="549"/>
      <c r="E432" s="549"/>
      <c r="F432" s="549"/>
      <c r="G432" s="549"/>
      <c r="H432" s="549"/>
      <c r="I432" s="549"/>
      <c r="J432" s="549"/>
      <c r="K432" s="549"/>
      <c r="L432" s="549"/>
      <c r="M432" s="549"/>
      <c r="N432" s="549"/>
      <c r="O432" s="552"/>
      <c r="P432" s="554" t="s">
        <v>71</v>
      </c>
      <c r="Q432" s="555"/>
      <c r="R432" s="555"/>
      <c r="S432" s="555"/>
      <c r="T432" s="555"/>
      <c r="U432" s="555"/>
      <c r="V432" s="556"/>
      <c r="W432" s="37" t="s">
        <v>69</v>
      </c>
      <c r="X432" s="541">
        <f>IFERROR(SUM(X420:X430),"0")</f>
        <v>528</v>
      </c>
      <c r="Y432" s="541">
        <f>IFERROR(SUM(Y420:Y430),"0")</f>
        <v>539.52</v>
      </c>
      <c r="Z432" s="37"/>
      <c r="AA432" s="542"/>
      <c r="AB432" s="542"/>
      <c r="AC432" s="542"/>
    </row>
    <row r="433" spans="1:68" ht="14.25" hidden="1" customHeight="1" x14ac:dyDescent="0.25">
      <c r="A433" s="550" t="s">
        <v>135</v>
      </c>
      <c r="B433" s="549"/>
      <c r="C433" s="549"/>
      <c r="D433" s="549"/>
      <c r="E433" s="549"/>
      <c r="F433" s="549"/>
      <c r="G433" s="549"/>
      <c r="H433" s="549"/>
      <c r="I433" s="549"/>
      <c r="J433" s="549"/>
      <c r="K433" s="549"/>
      <c r="L433" s="549"/>
      <c r="M433" s="549"/>
      <c r="N433" s="549"/>
      <c r="O433" s="549"/>
      <c r="P433" s="549"/>
      <c r="Q433" s="549"/>
      <c r="R433" s="549"/>
      <c r="S433" s="549"/>
      <c r="T433" s="549"/>
      <c r="U433" s="549"/>
      <c r="V433" s="549"/>
      <c r="W433" s="549"/>
      <c r="X433" s="549"/>
      <c r="Y433" s="549"/>
      <c r="Z433" s="549"/>
      <c r="AA433" s="535"/>
      <c r="AB433" s="535"/>
      <c r="AC433" s="535"/>
    </row>
    <row r="434" spans="1:68" ht="16.5" customHeight="1" x14ac:dyDescent="0.25">
      <c r="A434" s="54" t="s">
        <v>666</v>
      </c>
      <c r="B434" s="54" t="s">
        <v>667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6"/>
      <c r="R434" s="546"/>
      <c r="S434" s="546"/>
      <c r="T434" s="547"/>
      <c r="U434" s="34"/>
      <c r="V434" s="34"/>
      <c r="W434" s="35" t="s">
        <v>69</v>
      </c>
      <c r="X434" s="539">
        <v>120</v>
      </c>
      <c r="Y434" s="540">
        <f>IFERROR(IF(X434="",0,CEILING((X434/$H434),1)*$H434),"")</f>
        <v>121.44000000000001</v>
      </c>
      <c r="Z434" s="36">
        <f>IFERROR(IF(Y434=0,"",ROUNDUP(Y434/H434,0)*0.01196),"")</f>
        <v>0.27507999999999999</v>
      </c>
      <c r="AA434" s="56"/>
      <c r="AB434" s="57"/>
      <c r="AC434" s="481" t="s">
        <v>668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127.95454545454545</v>
      </c>
      <c r="BN434" s="64">
        <f>IFERROR(Y434*I434/H434,"0")</f>
        <v>129.49</v>
      </c>
      <c r="BO434" s="64">
        <f>IFERROR(1/J434*(X434/H434),"0")</f>
        <v>0.21853146853146854</v>
      </c>
      <c r="BP434" s="64">
        <f>IFERROR(1/J434*(Y434/H434),"0")</f>
        <v>0.22115384615384617</v>
      </c>
    </row>
    <row r="435" spans="1:68" ht="16.5" hidden="1" customHeight="1" x14ac:dyDescent="0.25">
      <c r="A435" s="54" t="s">
        <v>669</v>
      </c>
      <c r="B435" s="54" t="s">
        <v>670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6"/>
      <c r="R435" s="546"/>
      <c r="S435" s="546"/>
      <c r="T435" s="547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668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671</v>
      </c>
      <c r="B436" s="54" t="s">
        <v>672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3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6"/>
      <c r="R436" s="546"/>
      <c r="S436" s="546"/>
      <c r="T436" s="547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51"/>
      <c r="B437" s="549"/>
      <c r="C437" s="549"/>
      <c r="D437" s="549"/>
      <c r="E437" s="549"/>
      <c r="F437" s="549"/>
      <c r="G437" s="549"/>
      <c r="H437" s="549"/>
      <c r="I437" s="549"/>
      <c r="J437" s="549"/>
      <c r="K437" s="549"/>
      <c r="L437" s="549"/>
      <c r="M437" s="549"/>
      <c r="N437" s="549"/>
      <c r="O437" s="552"/>
      <c r="P437" s="554" t="s">
        <v>71</v>
      </c>
      <c r="Q437" s="555"/>
      <c r="R437" s="555"/>
      <c r="S437" s="555"/>
      <c r="T437" s="555"/>
      <c r="U437" s="555"/>
      <c r="V437" s="556"/>
      <c r="W437" s="37" t="s">
        <v>72</v>
      </c>
      <c r="X437" s="541">
        <f>IFERROR(X434/H434,"0")+IFERROR(X435/H435,"0")+IFERROR(X436/H436,"0")</f>
        <v>22.727272727272727</v>
      </c>
      <c r="Y437" s="541">
        <f>IFERROR(Y434/H434,"0")+IFERROR(Y435/H435,"0")+IFERROR(Y436/H436,"0")</f>
        <v>23</v>
      </c>
      <c r="Z437" s="541">
        <f>IFERROR(IF(Z434="",0,Z434),"0")+IFERROR(IF(Z435="",0,Z435),"0")+IFERROR(IF(Z436="",0,Z436),"0")</f>
        <v>0.27507999999999999</v>
      </c>
      <c r="AA437" s="542"/>
      <c r="AB437" s="542"/>
      <c r="AC437" s="542"/>
    </row>
    <row r="438" spans="1:68" x14ac:dyDescent="0.2">
      <c r="A438" s="549"/>
      <c r="B438" s="549"/>
      <c r="C438" s="549"/>
      <c r="D438" s="549"/>
      <c r="E438" s="549"/>
      <c r="F438" s="549"/>
      <c r="G438" s="549"/>
      <c r="H438" s="549"/>
      <c r="I438" s="549"/>
      <c r="J438" s="549"/>
      <c r="K438" s="549"/>
      <c r="L438" s="549"/>
      <c r="M438" s="549"/>
      <c r="N438" s="549"/>
      <c r="O438" s="552"/>
      <c r="P438" s="554" t="s">
        <v>71</v>
      </c>
      <c r="Q438" s="555"/>
      <c r="R438" s="555"/>
      <c r="S438" s="555"/>
      <c r="T438" s="555"/>
      <c r="U438" s="555"/>
      <c r="V438" s="556"/>
      <c r="W438" s="37" t="s">
        <v>69</v>
      </c>
      <c r="X438" s="541">
        <f>IFERROR(SUM(X434:X436),"0")</f>
        <v>120</v>
      </c>
      <c r="Y438" s="541">
        <f>IFERROR(SUM(Y434:Y436),"0")</f>
        <v>121.44000000000001</v>
      </c>
      <c r="Z438" s="37"/>
      <c r="AA438" s="542"/>
      <c r="AB438" s="542"/>
      <c r="AC438" s="542"/>
    </row>
    <row r="439" spans="1:68" ht="14.25" hidden="1" customHeight="1" x14ac:dyDescent="0.25">
      <c r="A439" s="550" t="s">
        <v>64</v>
      </c>
      <c r="B439" s="549"/>
      <c r="C439" s="549"/>
      <c r="D439" s="549"/>
      <c r="E439" s="549"/>
      <c r="F439" s="549"/>
      <c r="G439" s="549"/>
      <c r="H439" s="549"/>
      <c r="I439" s="549"/>
      <c r="J439" s="549"/>
      <c r="K439" s="549"/>
      <c r="L439" s="549"/>
      <c r="M439" s="549"/>
      <c r="N439" s="549"/>
      <c r="O439" s="549"/>
      <c r="P439" s="549"/>
      <c r="Q439" s="549"/>
      <c r="R439" s="549"/>
      <c r="S439" s="549"/>
      <c r="T439" s="549"/>
      <c r="U439" s="549"/>
      <c r="V439" s="549"/>
      <c r="W439" s="549"/>
      <c r="X439" s="549"/>
      <c r="Y439" s="549"/>
      <c r="Z439" s="549"/>
      <c r="AA439" s="535"/>
      <c r="AB439" s="535"/>
      <c r="AC439" s="535"/>
    </row>
    <row r="440" spans="1:68" ht="27" customHeight="1" x14ac:dyDescent="0.25">
      <c r="A440" s="54" t="s">
        <v>673</v>
      </c>
      <c r="B440" s="54" t="s">
        <v>674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6"/>
      <c r="R440" s="546"/>
      <c r="S440" s="546"/>
      <c r="T440" s="547"/>
      <c r="U440" s="34"/>
      <c r="V440" s="34"/>
      <c r="W440" s="35" t="s">
        <v>69</v>
      </c>
      <c r="X440" s="539">
        <v>40</v>
      </c>
      <c r="Y440" s="540">
        <f t="shared" ref="Y440:Y445" si="48">IFERROR(IF(X440="",0,CEILING((X440/$H440),1)*$H440),"")</f>
        <v>42.24</v>
      </c>
      <c r="Z440" s="36">
        <f>IFERROR(IF(Y440=0,"",ROUNDUP(Y440/H440,0)*0.01196),"")</f>
        <v>9.5680000000000001E-2</v>
      </c>
      <c r="AA440" s="56"/>
      <c r="AB440" s="57"/>
      <c r="AC440" s="487" t="s">
        <v>675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42.651515151515149</v>
      </c>
      <c r="BN440" s="64">
        <f t="shared" ref="BN440:BN445" si="50">IFERROR(Y440*I440/H440,"0")</f>
        <v>45.04</v>
      </c>
      <c r="BO440" s="64">
        <f t="shared" ref="BO440:BO445" si="51">IFERROR(1/J440*(X440/H440),"0")</f>
        <v>7.2843822843822847E-2</v>
      </c>
      <c r="BP440" s="64">
        <f t="shared" ref="BP440:BP445" si="52">IFERROR(1/J440*(Y440/H440),"0")</f>
        <v>7.6923076923076927E-2</v>
      </c>
    </row>
    <row r="441" spans="1:68" ht="27" customHeight="1" x14ac:dyDescent="0.25">
      <c r="A441" s="54" t="s">
        <v>676</v>
      </c>
      <c r="B441" s="54" t="s">
        <v>677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1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39">
        <v>80</v>
      </c>
      <c r="Y441" s="540">
        <f t="shared" si="48"/>
        <v>84.48</v>
      </c>
      <c r="Z441" s="36">
        <f>IFERROR(IF(Y441=0,"",ROUNDUP(Y441/H441,0)*0.01196),"")</f>
        <v>0.19136</v>
      </c>
      <c r="AA441" s="56"/>
      <c r="AB441" s="57"/>
      <c r="AC441" s="489" t="s">
        <v>678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85.303030303030297</v>
      </c>
      <c r="BN441" s="64">
        <f t="shared" si="50"/>
        <v>90.08</v>
      </c>
      <c r="BO441" s="64">
        <f t="shared" si="51"/>
        <v>0.14568764568764569</v>
      </c>
      <c r="BP441" s="64">
        <f t="shared" si="52"/>
        <v>0.15384615384615385</v>
      </c>
    </row>
    <row r="442" spans="1:68" ht="27" customHeight="1" x14ac:dyDescent="0.25">
      <c r="A442" s="54" t="s">
        <v>679</v>
      </c>
      <c r="B442" s="54" t="s">
        <v>680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4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39">
        <v>90</v>
      </c>
      <c r="Y442" s="540">
        <f t="shared" si="48"/>
        <v>95.04</v>
      </c>
      <c r="Z442" s="36">
        <f>IFERROR(IF(Y442=0,"",ROUNDUP(Y442/H442,0)*0.01196),"")</f>
        <v>0.21528</v>
      </c>
      <c r="AA442" s="56"/>
      <c r="AB442" s="57"/>
      <c r="AC442" s="491" t="s">
        <v>681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95.965909090909079</v>
      </c>
      <c r="BN442" s="64">
        <f t="shared" si="50"/>
        <v>101.33999999999999</v>
      </c>
      <c r="BO442" s="64">
        <f t="shared" si="51"/>
        <v>0.16389860139860138</v>
      </c>
      <c r="BP442" s="64">
        <f t="shared" si="52"/>
        <v>0.17307692307692307</v>
      </c>
    </row>
    <row r="443" spans="1:68" ht="27" customHeight="1" x14ac:dyDescent="0.25">
      <c r="A443" s="54" t="s">
        <v>682</v>
      </c>
      <c r="B443" s="54" t="s">
        <v>683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 t="s">
        <v>197</v>
      </c>
      <c r="M443" s="33" t="s">
        <v>104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39">
        <v>48</v>
      </c>
      <c r="Y443" s="540">
        <f t="shared" si="48"/>
        <v>48</v>
      </c>
      <c r="Z443" s="36">
        <f>IFERROR(IF(Y443=0,"",ROUNDUP(Y443/H443,0)*0.00902),"")</f>
        <v>9.0200000000000002E-2</v>
      </c>
      <c r="AA443" s="56"/>
      <c r="AB443" s="57"/>
      <c r="AC443" s="493" t="s">
        <v>675</v>
      </c>
      <c r="AG443" s="64"/>
      <c r="AJ443" s="68" t="s">
        <v>106</v>
      </c>
      <c r="AK443" s="68">
        <v>57.6</v>
      </c>
      <c r="BB443" s="494" t="s">
        <v>1</v>
      </c>
      <c r="BM443" s="64">
        <f t="shared" si="49"/>
        <v>69.100000000000009</v>
      </c>
      <c r="BN443" s="64">
        <f t="shared" si="50"/>
        <v>69.100000000000009</v>
      </c>
      <c r="BO443" s="64">
        <f t="shared" si="51"/>
        <v>7.575757575757576E-2</v>
      </c>
      <c r="BP443" s="64">
        <f t="shared" si="52"/>
        <v>7.575757575757576E-2</v>
      </c>
    </row>
    <row r="444" spans="1:68" ht="27" customHeight="1" x14ac:dyDescent="0.25">
      <c r="A444" s="54" t="s">
        <v>684</v>
      </c>
      <c r="B444" s="54" t="s">
        <v>685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 t="s">
        <v>197</v>
      </c>
      <c r="M444" s="33" t="s">
        <v>68</v>
      </c>
      <c r="N444" s="33"/>
      <c r="O444" s="32">
        <v>70</v>
      </c>
      <c r="P444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6"/>
      <c r="R444" s="546"/>
      <c r="S444" s="546"/>
      <c r="T444" s="547"/>
      <c r="U444" s="34"/>
      <c r="V444" s="34"/>
      <c r="W444" s="35" t="s">
        <v>69</v>
      </c>
      <c r="X444" s="539">
        <v>12</v>
      </c>
      <c r="Y444" s="540">
        <f t="shared" si="48"/>
        <v>14.399999999999999</v>
      </c>
      <c r="Z444" s="36">
        <f>IFERROR(IF(Y444=0,"",ROUNDUP(Y444/H444,0)*0.00902),"")</f>
        <v>2.7060000000000001E-2</v>
      </c>
      <c r="AA444" s="56"/>
      <c r="AB444" s="57"/>
      <c r="AC444" s="495" t="s">
        <v>678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16.675000000000001</v>
      </c>
      <c r="BN444" s="64">
        <f t="shared" si="50"/>
        <v>20.009999999999998</v>
      </c>
      <c r="BO444" s="64">
        <f t="shared" si="51"/>
        <v>1.893939393939394E-2</v>
      </c>
      <c r="BP444" s="64">
        <f t="shared" si="52"/>
        <v>2.2727272727272728E-2</v>
      </c>
    </row>
    <row r="445" spans="1:68" ht="27" customHeight="1" x14ac:dyDescent="0.25">
      <c r="A445" s="54" t="s">
        <v>686</v>
      </c>
      <c r="B445" s="54" t="s">
        <v>687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 t="s">
        <v>197</v>
      </c>
      <c r="M445" s="33" t="s">
        <v>68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39">
        <v>72</v>
      </c>
      <c r="Y445" s="540">
        <f t="shared" si="48"/>
        <v>72</v>
      </c>
      <c r="Z445" s="36">
        <f>IFERROR(IF(Y445=0,"",ROUNDUP(Y445/H445,0)*0.00902),"")</f>
        <v>0.1353</v>
      </c>
      <c r="AA445" s="56"/>
      <c r="AB445" s="57"/>
      <c r="AC445" s="497" t="s">
        <v>681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100.05000000000001</v>
      </c>
      <c r="BN445" s="64">
        <f t="shared" si="50"/>
        <v>100.05000000000001</v>
      </c>
      <c r="BO445" s="64">
        <f t="shared" si="51"/>
        <v>0.11363636363636365</v>
      </c>
      <c r="BP445" s="64">
        <f t="shared" si="52"/>
        <v>0.11363636363636365</v>
      </c>
    </row>
    <row r="446" spans="1:68" x14ac:dyDescent="0.2">
      <c r="A446" s="551"/>
      <c r="B446" s="549"/>
      <c r="C446" s="549"/>
      <c r="D446" s="549"/>
      <c r="E446" s="549"/>
      <c r="F446" s="549"/>
      <c r="G446" s="549"/>
      <c r="H446" s="549"/>
      <c r="I446" s="549"/>
      <c r="J446" s="549"/>
      <c r="K446" s="549"/>
      <c r="L446" s="549"/>
      <c r="M446" s="549"/>
      <c r="N446" s="549"/>
      <c r="O446" s="552"/>
      <c r="P446" s="554" t="s">
        <v>71</v>
      </c>
      <c r="Q446" s="555"/>
      <c r="R446" s="555"/>
      <c r="S446" s="555"/>
      <c r="T446" s="555"/>
      <c r="U446" s="555"/>
      <c r="V446" s="556"/>
      <c r="W446" s="37" t="s">
        <v>72</v>
      </c>
      <c r="X446" s="541">
        <f>IFERROR(X440/H440,"0")+IFERROR(X441/H441,"0")+IFERROR(X442/H442,"0")+IFERROR(X443/H443,"0")+IFERROR(X444/H444,"0")+IFERROR(X445/H445,"0")</f>
        <v>67.272727272727266</v>
      </c>
      <c r="Y446" s="541">
        <f>IFERROR(Y440/H440,"0")+IFERROR(Y441/H441,"0")+IFERROR(Y442/H442,"0")+IFERROR(Y443/H443,"0")+IFERROR(Y444/H444,"0")+IFERROR(Y445/H445,"0")</f>
        <v>70</v>
      </c>
      <c r="Z446" s="541">
        <f>IFERROR(IF(Z440="",0,Z440),"0")+IFERROR(IF(Z441="",0,Z441),"0")+IFERROR(IF(Z442="",0,Z442),"0")+IFERROR(IF(Z443="",0,Z443),"0")+IFERROR(IF(Z444="",0,Z444),"0")+IFERROR(IF(Z445="",0,Z445),"0")</f>
        <v>0.75487999999999988</v>
      </c>
      <c r="AA446" s="542"/>
      <c r="AB446" s="542"/>
      <c r="AC446" s="542"/>
    </row>
    <row r="447" spans="1:68" x14ac:dyDescent="0.2">
      <c r="A447" s="549"/>
      <c r="B447" s="549"/>
      <c r="C447" s="549"/>
      <c r="D447" s="549"/>
      <c r="E447" s="549"/>
      <c r="F447" s="549"/>
      <c r="G447" s="549"/>
      <c r="H447" s="549"/>
      <c r="I447" s="549"/>
      <c r="J447" s="549"/>
      <c r="K447" s="549"/>
      <c r="L447" s="549"/>
      <c r="M447" s="549"/>
      <c r="N447" s="549"/>
      <c r="O447" s="552"/>
      <c r="P447" s="554" t="s">
        <v>71</v>
      </c>
      <c r="Q447" s="555"/>
      <c r="R447" s="555"/>
      <c r="S447" s="555"/>
      <c r="T447" s="555"/>
      <c r="U447" s="555"/>
      <c r="V447" s="556"/>
      <c r="W447" s="37" t="s">
        <v>69</v>
      </c>
      <c r="X447" s="541">
        <f>IFERROR(SUM(X440:X445),"0")</f>
        <v>342</v>
      </c>
      <c r="Y447" s="541">
        <f>IFERROR(SUM(Y440:Y445),"0")</f>
        <v>356.15999999999997</v>
      </c>
      <c r="Z447" s="37"/>
      <c r="AA447" s="542"/>
      <c r="AB447" s="542"/>
      <c r="AC447" s="542"/>
    </row>
    <row r="448" spans="1:68" ht="14.25" hidden="1" customHeight="1" x14ac:dyDescent="0.25">
      <c r="A448" s="550" t="s">
        <v>73</v>
      </c>
      <c r="B448" s="549"/>
      <c r="C448" s="549"/>
      <c r="D448" s="549"/>
      <c r="E448" s="549"/>
      <c r="F448" s="549"/>
      <c r="G448" s="549"/>
      <c r="H448" s="549"/>
      <c r="I448" s="549"/>
      <c r="J448" s="549"/>
      <c r="K448" s="549"/>
      <c r="L448" s="549"/>
      <c r="M448" s="549"/>
      <c r="N448" s="549"/>
      <c r="O448" s="549"/>
      <c r="P448" s="549"/>
      <c r="Q448" s="549"/>
      <c r="R448" s="549"/>
      <c r="S448" s="549"/>
      <c r="T448" s="549"/>
      <c r="U448" s="549"/>
      <c r="V448" s="549"/>
      <c r="W448" s="549"/>
      <c r="X448" s="549"/>
      <c r="Y448" s="549"/>
      <c r="Z448" s="549"/>
      <c r="AA448" s="535"/>
      <c r="AB448" s="535"/>
      <c r="AC448" s="535"/>
    </row>
    <row r="449" spans="1:68" ht="16.5" hidden="1" customHeight="1" x14ac:dyDescent="0.25">
      <c r="A449" s="54" t="s">
        <v>688</v>
      </c>
      <c r="B449" s="54" t="s">
        <v>689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5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6"/>
      <c r="R449" s="546"/>
      <c r="S449" s="546"/>
      <c r="T449" s="547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690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691</v>
      </c>
      <c r="B450" s="54" t="s">
        <v>692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693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694</v>
      </c>
      <c r="B451" s="54" t="s">
        <v>695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696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51"/>
      <c r="B452" s="549"/>
      <c r="C452" s="549"/>
      <c r="D452" s="549"/>
      <c r="E452" s="549"/>
      <c r="F452" s="549"/>
      <c r="G452" s="549"/>
      <c r="H452" s="549"/>
      <c r="I452" s="549"/>
      <c r="J452" s="549"/>
      <c r="K452" s="549"/>
      <c r="L452" s="549"/>
      <c r="M452" s="549"/>
      <c r="N452" s="549"/>
      <c r="O452" s="552"/>
      <c r="P452" s="554" t="s">
        <v>71</v>
      </c>
      <c r="Q452" s="555"/>
      <c r="R452" s="555"/>
      <c r="S452" s="555"/>
      <c r="T452" s="555"/>
      <c r="U452" s="555"/>
      <c r="V452" s="556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49"/>
      <c r="B453" s="549"/>
      <c r="C453" s="549"/>
      <c r="D453" s="549"/>
      <c r="E453" s="549"/>
      <c r="F453" s="549"/>
      <c r="G453" s="549"/>
      <c r="H453" s="549"/>
      <c r="I453" s="549"/>
      <c r="J453" s="549"/>
      <c r="K453" s="549"/>
      <c r="L453" s="549"/>
      <c r="M453" s="549"/>
      <c r="N453" s="549"/>
      <c r="O453" s="552"/>
      <c r="P453" s="554" t="s">
        <v>71</v>
      </c>
      <c r="Q453" s="555"/>
      <c r="R453" s="555"/>
      <c r="S453" s="555"/>
      <c r="T453" s="555"/>
      <c r="U453" s="555"/>
      <c r="V453" s="556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5" t="s">
        <v>697</v>
      </c>
      <c r="B454" s="696"/>
      <c r="C454" s="696"/>
      <c r="D454" s="696"/>
      <c r="E454" s="696"/>
      <c r="F454" s="696"/>
      <c r="G454" s="696"/>
      <c r="H454" s="696"/>
      <c r="I454" s="696"/>
      <c r="J454" s="696"/>
      <c r="K454" s="696"/>
      <c r="L454" s="696"/>
      <c r="M454" s="696"/>
      <c r="N454" s="696"/>
      <c r="O454" s="696"/>
      <c r="P454" s="696"/>
      <c r="Q454" s="696"/>
      <c r="R454" s="696"/>
      <c r="S454" s="696"/>
      <c r="T454" s="696"/>
      <c r="U454" s="696"/>
      <c r="V454" s="696"/>
      <c r="W454" s="696"/>
      <c r="X454" s="696"/>
      <c r="Y454" s="696"/>
      <c r="Z454" s="696"/>
      <c r="AA454" s="48"/>
      <c r="AB454" s="48"/>
      <c r="AC454" s="48"/>
    </row>
    <row r="455" spans="1:68" ht="16.5" hidden="1" customHeight="1" x14ac:dyDescent="0.25">
      <c r="A455" s="548" t="s">
        <v>697</v>
      </c>
      <c r="B455" s="549"/>
      <c r="C455" s="549"/>
      <c r="D455" s="549"/>
      <c r="E455" s="549"/>
      <c r="F455" s="549"/>
      <c r="G455" s="549"/>
      <c r="H455" s="549"/>
      <c r="I455" s="549"/>
      <c r="J455" s="549"/>
      <c r="K455" s="549"/>
      <c r="L455" s="549"/>
      <c r="M455" s="549"/>
      <c r="N455" s="549"/>
      <c r="O455" s="549"/>
      <c r="P455" s="549"/>
      <c r="Q455" s="549"/>
      <c r="R455" s="549"/>
      <c r="S455" s="549"/>
      <c r="T455" s="549"/>
      <c r="U455" s="549"/>
      <c r="V455" s="549"/>
      <c r="W455" s="549"/>
      <c r="X455" s="549"/>
      <c r="Y455" s="549"/>
      <c r="Z455" s="549"/>
      <c r="AA455" s="534"/>
      <c r="AB455" s="534"/>
      <c r="AC455" s="534"/>
    </row>
    <row r="456" spans="1:68" ht="14.25" hidden="1" customHeight="1" x14ac:dyDescent="0.25">
      <c r="A456" s="550" t="s">
        <v>99</v>
      </c>
      <c r="B456" s="549"/>
      <c r="C456" s="549"/>
      <c r="D456" s="549"/>
      <c r="E456" s="549"/>
      <c r="F456" s="549"/>
      <c r="G456" s="549"/>
      <c r="H456" s="549"/>
      <c r="I456" s="549"/>
      <c r="J456" s="549"/>
      <c r="K456" s="549"/>
      <c r="L456" s="549"/>
      <c r="M456" s="549"/>
      <c r="N456" s="549"/>
      <c r="O456" s="549"/>
      <c r="P456" s="549"/>
      <c r="Q456" s="549"/>
      <c r="R456" s="549"/>
      <c r="S456" s="549"/>
      <c r="T456" s="549"/>
      <c r="U456" s="549"/>
      <c r="V456" s="549"/>
      <c r="W456" s="549"/>
      <c r="X456" s="549"/>
      <c r="Y456" s="549"/>
      <c r="Z456" s="549"/>
      <c r="AA456" s="535"/>
      <c r="AB456" s="535"/>
      <c r="AC456" s="535"/>
    </row>
    <row r="457" spans="1:68" ht="27" hidden="1" customHeight="1" x14ac:dyDescent="0.25">
      <c r="A457" s="54" t="s">
        <v>698</v>
      </c>
      <c r="B457" s="54" t="s">
        <v>699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6"/>
      <c r="R457" s="546"/>
      <c r="S457" s="546"/>
      <c r="T457" s="547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700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701</v>
      </c>
      <c r="B458" s="54" t="s">
        <v>702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703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704</v>
      </c>
      <c r="B459" s="54" t="s">
        <v>705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706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707</v>
      </c>
      <c r="B460" s="54" t="s">
        <v>708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8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700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51"/>
      <c r="B461" s="549"/>
      <c r="C461" s="549"/>
      <c r="D461" s="549"/>
      <c r="E461" s="549"/>
      <c r="F461" s="549"/>
      <c r="G461" s="549"/>
      <c r="H461" s="549"/>
      <c r="I461" s="549"/>
      <c r="J461" s="549"/>
      <c r="K461" s="549"/>
      <c r="L461" s="549"/>
      <c r="M461" s="549"/>
      <c r="N461" s="549"/>
      <c r="O461" s="552"/>
      <c r="P461" s="554" t="s">
        <v>71</v>
      </c>
      <c r="Q461" s="555"/>
      <c r="R461" s="555"/>
      <c r="S461" s="555"/>
      <c r="T461" s="555"/>
      <c r="U461" s="555"/>
      <c r="V461" s="556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49"/>
      <c r="B462" s="549"/>
      <c r="C462" s="549"/>
      <c r="D462" s="549"/>
      <c r="E462" s="549"/>
      <c r="F462" s="549"/>
      <c r="G462" s="549"/>
      <c r="H462" s="549"/>
      <c r="I462" s="549"/>
      <c r="J462" s="549"/>
      <c r="K462" s="549"/>
      <c r="L462" s="549"/>
      <c r="M462" s="549"/>
      <c r="N462" s="549"/>
      <c r="O462" s="552"/>
      <c r="P462" s="554" t="s">
        <v>71</v>
      </c>
      <c r="Q462" s="555"/>
      <c r="R462" s="555"/>
      <c r="S462" s="555"/>
      <c r="T462" s="555"/>
      <c r="U462" s="555"/>
      <c r="V462" s="556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0" t="s">
        <v>135</v>
      </c>
      <c r="B463" s="549"/>
      <c r="C463" s="549"/>
      <c r="D463" s="549"/>
      <c r="E463" s="549"/>
      <c r="F463" s="549"/>
      <c r="G463" s="549"/>
      <c r="H463" s="549"/>
      <c r="I463" s="549"/>
      <c r="J463" s="549"/>
      <c r="K463" s="549"/>
      <c r="L463" s="549"/>
      <c r="M463" s="549"/>
      <c r="N463" s="549"/>
      <c r="O463" s="549"/>
      <c r="P463" s="549"/>
      <c r="Q463" s="549"/>
      <c r="R463" s="549"/>
      <c r="S463" s="549"/>
      <c r="T463" s="549"/>
      <c r="U463" s="549"/>
      <c r="V463" s="549"/>
      <c r="W463" s="549"/>
      <c r="X463" s="549"/>
      <c r="Y463" s="549"/>
      <c r="Z463" s="549"/>
      <c r="AA463" s="535"/>
      <c r="AB463" s="535"/>
      <c r="AC463" s="535"/>
    </row>
    <row r="464" spans="1:68" ht="27" hidden="1" customHeight="1" x14ac:dyDescent="0.25">
      <c r="A464" s="54" t="s">
        <v>709</v>
      </c>
      <c r="B464" s="54" t="s">
        <v>710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6"/>
      <c r="R464" s="546"/>
      <c r="S464" s="546"/>
      <c r="T464" s="547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711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712</v>
      </c>
      <c r="B465" s="54" t="s">
        <v>713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8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6"/>
      <c r="R465" s="546"/>
      <c r="S465" s="546"/>
      <c r="T465" s="547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715</v>
      </c>
      <c r="B466" s="54" t="s">
        <v>716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6"/>
      <c r="R466" s="546"/>
      <c r="S466" s="546"/>
      <c r="T466" s="547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717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51"/>
      <c r="B467" s="549"/>
      <c r="C467" s="549"/>
      <c r="D467" s="549"/>
      <c r="E467" s="549"/>
      <c r="F467" s="549"/>
      <c r="G467" s="549"/>
      <c r="H467" s="549"/>
      <c r="I467" s="549"/>
      <c r="J467" s="549"/>
      <c r="K467" s="549"/>
      <c r="L467" s="549"/>
      <c r="M467" s="549"/>
      <c r="N467" s="549"/>
      <c r="O467" s="552"/>
      <c r="P467" s="554" t="s">
        <v>71</v>
      </c>
      <c r="Q467" s="555"/>
      <c r="R467" s="555"/>
      <c r="S467" s="555"/>
      <c r="T467" s="555"/>
      <c r="U467" s="555"/>
      <c r="V467" s="556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49"/>
      <c r="B468" s="549"/>
      <c r="C468" s="549"/>
      <c r="D468" s="549"/>
      <c r="E468" s="549"/>
      <c r="F468" s="549"/>
      <c r="G468" s="549"/>
      <c r="H468" s="549"/>
      <c r="I468" s="549"/>
      <c r="J468" s="549"/>
      <c r="K468" s="549"/>
      <c r="L468" s="549"/>
      <c r="M468" s="549"/>
      <c r="N468" s="549"/>
      <c r="O468" s="552"/>
      <c r="P468" s="554" t="s">
        <v>71</v>
      </c>
      <c r="Q468" s="555"/>
      <c r="R468" s="555"/>
      <c r="S468" s="555"/>
      <c r="T468" s="555"/>
      <c r="U468" s="555"/>
      <c r="V468" s="556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0" t="s">
        <v>64</v>
      </c>
      <c r="B469" s="549"/>
      <c r="C469" s="549"/>
      <c r="D469" s="549"/>
      <c r="E469" s="549"/>
      <c r="F469" s="549"/>
      <c r="G469" s="549"/>
      <c r="H469" s="549"/>
      <c r="I469" s="549"/>
      <c r="J469" s="549"/>
      <c r="K469" s="549"/>
      <c r="L469" s="549"/>
      <c r="M469" s="549"/>
      <c r="N469" s="549"/>
      <c r="O469" s="549"/>
      <c r="P469" s="549"/>
      <c r="Q469" s="549"/>
      <c r="R469" s="549"/>
      <c r="S469" s="549"/>
      <c r="T469" s="549"/>
      <c r="U469" s="549"/>
      <c r="V469" s="549"/>
      <c r="W469" s="549"/>
      <c r="X469" s="549"/>
      <c r="Y469" s="549"/>
      <c r="Z469" s="549"/>
      <c r="AA469" s="535"/>
      <c r="AB469" s="535"/>
      <c r="AC469" s="535"/>
    </row>
    <row r="470" spans="1:68" ht="27" hidden="1" customHeight="1" x14ac:dyDescent="0.25">
      <c r="A470" s="54" t="s">
        <v>718</v>
      </c>
      <c r="B470" s="54" t="s">
        <v>719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8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6"/>
      <c r="R470" s="546"/>
      <c r="S470" s="546"/>
      <c r="T470" s="547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720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721</v>
      </c>
      <c r="B471" s="54" t="s">
        <v>722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723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51"/>
      <c r="B472" s="549"/>
      <c r="C472" s="549"/>
      <c r="D472" s="549"/>
      <c r="E472" s="549"/>
      <c r="F472" s="549"/>
      <c r="G472" s="549"/>
      <c r="H472" s="549"/>
      <c r="I472" s="549"/>
      <c r="J472" s="549"/>
      <c r="K472" s="549"/>
      <c r="L472" s="549"/>
      <c r="M472" s="549"/>
      <c r="N472" s="549"/>
      <c r="O472" s="552"/>
      <c r="P472" s="554" t="s">
        <v>71</v>
      </c>
      <c r="Q472" s="555"/>
      <c r="R472" s="555"/>
      <c r="S472" s="555"/>
      <c r="T472" s="555"/>
      <c r="U472" s="555"/>
      <c r="V472" s="556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49"/>
      <c r="B473" s="549"/>
      <c r="C473" s="549"/>
      <c r="D473" s="549"/>
      <c r="E473" s="549"/>
      <c r="F473" s="549"/>
      <c r="G473" s="549"/>
      <c r="H473" s="549"/>
      <c r="I473" s="549"/>
      <c r="J473" s="549"/>
      <c r="K473" s="549"/>
      <c r="L473" s="549"/>
      <c r="M473" s="549"/>
      <c r="N473" s="549"/>
      <c r="O473" s="552"/>
      <c r="P473" s="554" t="s">
        <v>71</v>
      </c>
      <c r="Q473" s="555"/>
      <c r="R473" s="555"/>
      <c r="S473" s="555"/>
      <c r="T473" s="555"/>
      <c r="U473" s="555"/>
      <c r="V473" s="556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0" t="s">
        <v>73</v>
      </c>
      <c r="B474" s="549"/>
      <c r="C474" s="549"/>
      <c r="D474" s="549"/>
      <c r="E474" s="549"/>
      <c r="F474" s="549"/>
      <c r="G474" s="549"/>
      <c r="H474" s="549"/>
      <c r="I474" s="549"/>
      <c r="J474" s="549"/>
      <c r="K474" s="549"/>
      <c r="L474" s="549"/>
      <c r="M474" s="549"/>
      <c r="N474" s="549"/>
      <c r="O474" s="549"/>
      <c r="P474" s="549"/>
      <c r="Q474" s="549"/>
      <c r="R474" s="549"/>
      <c r="S474" s="549"/>
      <c r="T474" s="549"/>
      <c r="U474" s="549"/>
      <c r="V474" s="549"/>
      <c r="W474" s="549"/>
      <c r="X474" s="549"/>
      <c r="Y474" s="549"/>
      <c r="Z474" s="549"/>
      <c r="AA474" s="535"/>
      <c r="AB474" s="535"/>
      <c r="AC474" s="535"/>
    </row>
    <row r="475" spans="1:68" ht="27" customHeight="1" x14ac:dyDescent="0.25">
      <c r="A475" s="54" t="s">
        <v>724</v>
      </c>
      <c r="B475" s="54" t="s">
        <v>725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6"/>
      <c r="R475" s="546"/>
      <c r="S475" s="546"/>
      <c r="T475" s="547"/>
      <c r="U475" s="34"/>
      <c r="V475" s="34"/>
      <c r="W475" s="35" t="s">
        <v>69</v>
      </c>
      <c r="X475" s="539">
        <v>1000</v>
      </c>
      <c r="Y475" s="540">
        <f>IFERROR(IF(X475="",0,CEILING((X475/$H475),1)*$H475),"")</f>
        <v>1008</v>
      </c>
      <c r="Z475" s="36">
        <f>IFERROR(IF(Y475=0,"",ROUNDUP(Y475/H475,0)*0.01898),"")</f>
        <v>2.1257600000000001</v>
      </c>
      <c r="AA475" s="56"/>
      <c r="AB475" s="57"/>
      <c r="AC475" s="523" t="s">
        <v>726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1054.8888888888889</v>
      </c>
      <c r="BN475" s="64">
        <f>IFERROR(Y475*I475/H475,"0")</f>
        <v>1063.328</v>
      </c>
      <c r="BO475" s="64">
        <f>IFERROR(1/J475*(X475/H475),"0")</f>
        <v>1.7361111111111112</v>
      </c>
      <c r="BP475" s="64">
        <f>IFERROR(1/J475*(Y475/H475),"0")</f>
        <v>1.75</v>
      </c>
    </row>
    <row r="476" spans="1:68" x14ac:dyDescent="0.2">
      <c r="A476" s="551"/>
      <c r="B476" s="549"/>
      <c r="C476" s="549"/>
      <c r="D476" s="549"/>
      <c r="E476" s="549"/>
      <c r="F476" s="549"/>
      <c r="G476" s="549"/>
      <c r="H476" s="549"/>
      <c r="I476" s="549"/>
      <c r="J476" s="549"/>
      <c r="K476" s="549"/>
      <c r="L476" s="549"/>
      <c r="M476" s="549"/>
      <c r="N476" s="549"/>
      <c r="O476" s="552"/>
      <c r="P476" s="554" t="s">
        <v>71</v>
      </c>
      <c r="Q476" s="555"/>
      <c r="R476" s="555"/>
      <c r="S476" s="555"/>
      <c r="T476" s="555"/>
      <c r="U476" s="555"/>
      <c r="V476" s="556"/>
      <c r="W476" s="37" t="s">
        <v>72</v>
      </c>
      <c r="X476" s="541">
        <f>IFERROR(X475/H475,"0")</f>
        <v>111.11111111111111</v>
      </c>
      <c r="Y476" s="541">
        <f>IFERROR(Y475/H475,"0")</f>
        <v>112</v>
      </c>
      <c r="Z476" s="541">
        <f>IFERROR(IF(Z475="",0,Z475),"0")</f>
        <v>2.1257600000000001</v>
      </c>
      <c r="AA476" s="542"/>
      <c r="AB476" s="542"/>
      <c r="AC476" s="542"/>
    </row>
    <row r="477" spans="1:68" x14ac:dyDescent="0.2">
      <c r="A477" s="549"/>
      <c r="B477" s="549"/>
      <c r="C477" s="549"/>
      <c r="D477" s="549"/>
      <c r="E477" s="549"/>
      <c r="F477" s="549"/>
      <c r="G477" s="549"/>
      <c r="H477" s="549"/>
      <c r="I477" s="549"/>
      <c r="J477" s="549"/>
      <c r="K477" s="549"/>
      <c r="L477" s="549"/>
      <c r="M477" s="549"/>
      <c r="N477" s="549"/>
      <c r="O477" s="552"/>
      <c r="P477" s="554" t="s">
        <v>71</v>
      </c>
      <c r="Q477" s="555"/>
      <c r="R477" s="555"/>
      <c r="S477" s="555"/>
      <c r="T477" s="555"/>
      <c r="U477" s="555"/>
      <c r="V477" s="556"/>
      <c r="W477" s="37" t="s">
        <v>69</v>
      </c>
      <c r="X477" s="541">
        <f>IFERROR(SUM(X475:X475),"0")</f>
        <v>1000</v>
      </c>
      <c r="Y477" s="541">
        <f>IFERROR(SUM(Y475:Y475),"0")</f>
        <v>1008</v>
      </c>
      <c r="Z477" s="37"/>
      <c r="AA477" s="542"/>
      <c r="AB477" s="542"/>
      <c r="AC477" s="542"/>
    </row>
    <row r="478" spans="1:68" ht="14.25" hidden="1" customHeight="1" x14ac:dyDescent="0.25">
      <c r="A478" s="550" t="s">
        <v>163</v>
      </c>
      <c r="B478" s="549"/>
      <c r="C478" s="549"/>
      <c r="D478" s="549"/>
      <c r="E478" s="549"/>
      <c r="F478" s="549"/>
      <c r="G478" s="549"/>
      <c r="H478" s="549"/>
      <c r="I478" s="549"/>
      <c r="J478" s="549"/>
      <c r="K478" s="549"/>
      <c r="L478" s="549"/>
      <c r="M478" s="549"/>
      <c r="N478" s="549"/>
      <c r="O478" s="549"/>
      <c r="P478" s="549"/>
      <c r="Q478" s="549"/>
      <c r="R478" s="549"/>
      <c r="S478" s="549"/>
      <c r="T478" s="549"/>
      <c r="U478" s="549"/>
      <c r="V478" s="549"/>
      <c r="W478" s="549"/>
      <c r="X478" s="549"/>
      <c r="Y478" s="549"/>
      <c r="Z478" s="549"/>
      <c r="AA478" s="535"/>
      <c r="AB478" s="535"/>
      <c r="AC478" s="535"/>
    </row>
    <row r="479" spans="1:68" ht="27" hidden="1" customHeight="1" x14ac:dyDescent="0.25">
      <c r="A479" s="54" t="s">
        <v>727</v>
      </c>
      <c r="B479" s="54" t="s">
        <v>728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3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6"/>
      <c r="R479" s="546"/>
      <c r="S479" s="546"/>
      <c r="T479" s="547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729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730</v>
      </c>
      <c r="B480" s="54" t="s">
        <v>731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732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51"/>
      <c r="B481" s="549"/>
      <c r="C481" s="549"/>
      <c r="D481" s="549"/>
      <c r="E481" s="549"/>
      <c r="F481" s="549"/>
      <c r="G481" s="549"/>
      <c r="H481" s="549"/>
      <c r="I481" s="549"/>
      <c r="J481" s="549"/>
      <c r="K481" s="549"/>
      <c r="L481" s="549"/>
      <c r="M481" s="549"/>
      <c r="N481" s="549"/>
      <c r="O481" s="552"/>
      <c r="P481" s="554" t="s">
        <v>71</v>
      </c>
      <c r="Q481" s="555"/>
      <c r="R481" s="555"/>
      <c r="S481" s="555"/>
      <c r="T481" s="555"/>
      <c r="U481" s="555"/>
      <c r="V481" s="556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49"/>
      <c r="B482" s="549"/>
      <c r="C482" s="549"/>
      <c r="D482" s="549"/>
      <c r="E482" s="549"/>
      <c r="F482" s="549"/>
      <c r="G482" s="549"/>
      <c r="H482" s="549"/>
      <c r="I482" s="549"/>
      <c r="J482" s="549"/>
      <c r="K482" s="549"/>
      <c r="L482" s="549"/>
      <c r="M482" s="549"/>
      <c r="N482" s="549"/>
      <c r="O482" s="552"/>
      <c r="P482" s="554" t="s">
        <v>71</v>
      </c>
      <c r="Q482" s="555"/>
      <c r="R482" s="555"/>
      <c r="S482" s="555"/>
      <c r="T482" s="555"/>
      <c r="U482" s="555"/>
      <c r="V482" s="556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48" t="s">
        <v>733</v>
      </c>
      <c r="B483" s="549"/>
      <c r="C483" s="549"/>
      <c r="D483" s="549"/>
      <c r="E483" s="549"/>
      <c r="F483" s="549"/>
      <c r="G483" s="549"/>
      <c r="H483" s="549"/>
      <c r="I483" s="549"/>
      <c r="J483" s="549"/>
      <c r="K483" s="549"/>
      <c r="L483" s="549"/>
      <c r="M483" s="549"/>
      <c r="N483" s="549"/>
      <c r="O483" s="549"/>
      <c r="P483" s="549"/>
      <c r="Q483" s="549"/>
      <c r="R483" s="549"/>
      <c r="S483" s="549"/>
      <c r="T483" s="549"/>
      <c r="U483" s="549"/>
      <c r="V483" s="549"/>
      <c r="W483" s="549"/>
      <c r="X483" s="549"/>
      <c r="Y483" s="549"/>
      <c r="Z483" s="549"/>
      <c r="AA483" s="534"/>
      <c r="AB483" s="534"/>
      <c r="AC483" s="534"/>
    </row>
    <row r="484" spans="1:68" ht="14.25" hidden="1" customHeight="1" x14ac:dyDescent="0.25">
      <c r="A484" s="550" t="s">
        <v>135</v>
      </c>
      <c r="B484" s="549"/>
      <c r="C484" s="549"/>
      <c r="D484" s="549"/>
      <c r="E484" s="549"/>
      <c r="F484" s="549"/>
      <c r="G484" s="549"/>
      <c r="H484" s="549"/>
      <c r="I484" s="549"/>
      <c r="J484" s="549"/>
      <c r="K484" s="549"/>
      <c r="L484" s="549"/>
      <c r="M484" s="549"/>
      <c r="N484" s="549"/>
      <c r="O484" s="549"/>
      <c r="P484" s="549"/>
      <c r="Q484" s="549"/>
      <c r="R484" s="549"/>
      <c r="S484" s="549"/>
      <c r="T484" s="549"/>
      <c r="U484" s="549"/>
      <c r="V484" s="549"/>
      <c r="W484" s="549"/>
      <c r="X484" s="549"/>
      <c r="Y484" s="549"/>
      <c r="Z484" s="549"/>
      <c r="AA484" s="535"/>
      <c r="AB484" s="535"/>
      <c r="AC484" s="535"/>
    </row>
    <row r="485" spans="1:68" ht="27" hidden="1" customHeight="1" x14ac:dyDescent="0.25">
      <c r="A485" s="54" t="s">
        <v>734</v>
      </c>
      <c r="B485" s="54" t="s">
        <v>735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3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6"/>
      <c r="R485" s="546"/>
      <c r="S485" s="546"/>
      <c r="T485" s="547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736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1"/>
      <c r="B486" s="549"/>
      <c r="C486" s="549"/>
      <c r="D486" s="549"/>
      <c r="E486" s="549"/>
      <c r="F486" s="549"/>
      <c r="G486" s="549"/>
      <c r="H486" s="549"/>
      <c r="I486" s="549"/>
      <c r="J486" s="549"/>
      <c r="K486" s="549"/>
      <c r="L486" s="549"/>
      <c r="M486" s="549"/>
      <c r="N486" s="549"/>
      <c r="O486" s="552"/>
      <c r="P486" s="554" t="s">
        <v>71</v>
      </c>
      <c r="Q486" s="555"/>
      <c r="R486" s="555"/>
      <c r="S486" s="555"/>
      <c r="T486" s="555"/>
      <c r="U486" s="555"/>
      <c r="V486" s="556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49"/>
      <c r="B487" s="549"/>
      <c r="C487" s="549"/>
      <c r="D487" s="549"/>
      <c r="E487" s="549"/>
      <c r="F487" s="549"/>
      <c r="G487" s="549"/>
      <c r="H487" s="549"/>
      <c r="I487" s="549"/>
      <c r="J487" s="549"/>
      <c r="K487" s="549"/>
      <c r="L487" s="549"/>
      <c r="M487" s="549"/>
      <c r="N487" s="549"/>
      <c r="O487" s="552"/>
      <c r="P487" s="554" t="s">
        <v>71</v>
      </c>
      <c r="Q487" s="555"/>
      <c r="R487" s="555"/>
      <c r="S487" s="555"/>
      <c r="T487" s="555"/>
      <c r="U487" s="555"/>
      <c r="V487" s="556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799"/>
      <c r="B488" s="549"/>
      <c r="C488" s="549"/>
      <c r="D488" s="549"/>
      <c r="E488" s="549"/>
      <c r="F488" s="549"/>
      <c r="G488" s="549"/>
      <c r="H488" s="549"/>
      <c r="I488" s="549"/>
      <c r="J488" s="549"/>
      <c r="K488" s="549"/>
      <c r="L488" s="549"/>
      <c r="M488" s="549"/>
      <c r="N488" s="549"/>
      <c r="O488" s="702"/>
      <c r="P488" s="623" t="s">
        <v>737</v>
      </c>
      <c r="Q488" s="624"/>
      <c r="R488" s="624"/>
      <c r="S488" s="624"/>
      <c r="T488" s="624"/>
      <c r="U488" s="624"/>
      <c r="V488" s="625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17498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17670.02</v>
      </c>
      <c r="Z488" s="37"/>
      <c r="AA488" s="542"/>
      <c r="AB488" s="542"/>
      <c r="AC488" s="542"/>
    </row>
    <row r="489" spans="1:68" x14ac:dyDescent="0.2">
      <c r="A489" s="549"/>
      <c r="B489" s="549"/>
      <c r="C489" s="549"/>
      <c r="D489" s="549"/>
      <c r="E489" s="549"/>
      <c r="F489" s="549"/>
      <c r="G489" s="549"/>
      <c r="H489" s="549"/>
      <c r="I489" s="549"/>
      <c r="J489" s="549"/>
      <c r="K489" s="549"/>
      <c r="L489" s="549"/>
      <c r="M489" s="549"/>
      <c r="N489" s="549"/>
      <c r="O489" s="702"/>
      <c r="P489" s="623" t="s">
        <v>738</v>
      </c>
      <c r="Q489" s="624"/>
      <c r="R489" s="624"/>
      <c r="S489" s="624"/>
      <c r="T489" s="624"/>
      <c r="U489" s="624"/>
      <c r="V489" s="625"/>
      <c r="W489" s="37" t="s">
        <v>69</v>
      </c>
      <c r="X489" s="541">
        <f>IFERROR(SUM(BM22:BM485),"0")</f>
        <v>18566.941924749361</v>
      </c>
      <c r="Y489" s="541">
        <f>IFERROR(SUM(BN22:BN485),"0")</f>
        <v>18750.482000000004</v>
      </c>
      <c r="Z489" s="37"/>
      <c r="AA489" s="542"/>
      <c r="AB489" s="542"/>
      <c r="AC489" s="542"/>
    </row>
    <row r="490" spans="1:68" x14ac:dyDescent="0.2">
      <c r="A490" s="549"/>
      <c r="B490" s="549"/>
      <c r="C490" s="549"/>
      <c r="D490" s="549"/>
      <c r="E490" s="549"/>
      <c r="F490" s="549"/>
      <c r="G490" s="549"/>
      <c r="H490" s="549"/>
      <c r="I490" s="549"/>
      <c r="J490" s="549"/>
      <c r="K490" s="549"/>
      <c r="L490" s="549"/>
      <c r="M490" s="549"/>
      <c r="N490" s="549"/>
      <c r="O490" s="702"/>
      <c r="P490" s="623" t="s">
        <v>739</v>
      </c>
      <c r="Q490" s="624"/>
      <c r="R490" s="624"/>
      <c r="S490" s="624"/>
      <c r="T490" s="624"/>
      <c r="U490" s="624"/>
      <c r="V490" s="625"/>
      <c r="W490" s="37" t="s">
        <v>740</v>
      </c>
      <c r="X490" s="38">
        <f>ROUNDUP(SUM(BO22:BO485),0)</f>
        <v>31</v>
      </c>
      <c r="Y490" s="38">
        <f>ROUNDUP(SUM(BP22:BP485),0)</f>
        <v>31</v>
      </c>
      <c r="Z490" s="37"/>
      <c r="AA490" s="542"/>
      <c r="AB490" s="542"/>
      <c r="AC490" s="542"/>
    </row>
    <row r="491" spans="1:68" x14ac:dyDescent="0.2">
      <c r="A491" s="549"/>
      <c r="B491" s="549"/>
      <c r="C491" s="549"/>
      <c r="D491" s="549"/>
      <c r="E491" s="549"/>
      <c r="F491" s="549"/>
      <c r="G491" s="549"/>
      <c r="H491" s="549"/>
      <c r="I491" s="549"/>
      <c r="J491" s="549"/>
      <c r="K491" s="549"/>
      <c r="L491" s="549"/>
      <c r="M491" s="549"/>
      <c r="N491" s="549"/>
      <c r="O491" s="702"/>
      <c r="P491" s="623" t="s">
        <v>741</v>
      </c>
      <c r="Q491" s="624"/>
      <c r="R491" s="624"/>
      <c r="S491" s="624"/>
      <c r="T491" s="624"/>
      <c r="U491" s="624"/>
      <c r="V491" s="625"/>
      <c r="W491" s="37" t="s">
        <v>69</v>
      </c>
      <c r="X491" s="541">
        <f>GrossWeightTotal+PalletQtyTotal*25</f>
        <v>19341.941924749361</v>
      </c>
      <c r="Y491" s="541">
        <f>GrossWeightTotalR+PalletQtyTotalR*25</f>
        <v>19525.482000000004</v>
      </c>
      <c r="Z491" s="37"/>
      <c r="AA491" s="542"/>
      <c r="AB491" s="542"/>
      <c r="AC491" s="542"/>
    </row>
    <row r="492" spans="1:68" x14ac:dyDescent="0.2">
      <c r="A492" s="549"/>
      <c r="B492" s="549"/>
      <c r="C492" s="549"/>
      <c r="D492" s="549"/>
      <c r="E492" s="549"/>
      <c r="F492" s="549"/>
      <c r="G492" s="549"/>
      <c r="H492" s="549"/>
      <c r="I492" s="549"/>
      <c r="J492" s="549"/>
      <c r="K492" s="549"/>
      <c r="L492" s="549"/>
      <c r="M492" s="549"/>
      <c r="N492" s="549"/>
      <c r="O492" s="702"/>
      <c r="P492" s="623" t="s">
        <v>742</v>
      </c>
      <c r="Q492" s="624"/>
      <c r="R492" s="624"/>
      <c r="S492" s="624"/>
      <c r="T492" s="624"/>
      <c r="U492" s="624"/>
      <c r="V492" s="625"/>
      <c r="W492" s="37" t="s">
        <v>740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3269.0691982559797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3299</v>
      </c>
      <c r="Z492" s="37"/>
      <c r="AA492" s="542"/>
      <c r="AB492" s="542"/>
      <c r="AC492" s="542"/>
    </row>
    <row r="493" spans="1:68" ht="14.25" hidden="1" customHeight="1" x14ac:dyDescent="0.2">
      <c r="A493" s="549"/>
      <c r="B493" s="549"/>
      <c r="C493" s="549"/>
      <c r="D493" s="549"/>
      <c r="E493" s="549"/>
      <c r="F493" s="549"/>
      <c r="G493" s="549"/>
      <c r="H493" s="549"/>
      <c r="I493" s="549"/>
      <c r="J493" s="549"/>
      <c r="K493" s="549"/>
      <c r="L493" s="549"/>
      <c r="M493" s="549"/>
      <c r="N493" s="549"/>
      <c r="O493" s="702"/>
      <c r="P493" s="623" t="s">
        <v>743</v>
      </c>
      <c r="Q493" s="624"/>
      <c r="R493" s="624"/>
      <c r="S493" s="624"/>
      <c r="T493" s="624"/>
      <c r="U493" s="624"/>
      <c r="V493" s="625"/>
      <c r="W493" s="39" t="s">
        <v>744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34.834689999999995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745</v>
      </c>
      <c r="B495" s="536" t="s">
        <v>63</v>
      </c>
      <c r="C495" s="571" t="s">
        <v>97</v>
      </c>
      <c r="D495" s="591"/>
      <c r="E495" s="591"/>
      <c r="F495" s="591"/>
      <c r="G495" s="591"/>
      <c r="H495" s="592"/>
      <c r="I495" s="571" t="s">
        <v>256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534</v>
      </c>
      <c r="T495" s="592"/>
      <c r="U495" s="571" t="s">
        <v>586</v>
      </c>
      <c r="V495" s="591"/>
      <c r="W495" s="592"/>
      <c r="X495" s="536" t="s">
        <v>637</v>
      </c>
      <c r="Y495" s="571" t="s">
        <v>697</v>
      </c>
      <c r="Z495" s="592"/>
      <c r="AB495" s="52"/>
      <c r="AC495" s="52"/>
      <c r="AF495" s="537"/>
    </row>
    <row r="496" spans="1:68" ht="14.25" customHeight="1" thickTop="1" x14ac:dyDescent="0.2">
      <c r="A496" s="596" t="s">
        <v>746</v>
      </c>
      <c r="B496" s="571" t="s">
        <v>63</v>
      </c>
      <c r="C496" s="571" t="s">
        <v>98</v>
      </c>
      <c r="D496" s="571" t="s">
        <v>116</v>
      </c>
      <c r="E496" s="571" t="s">
        <v>170</v>
      </c>
      <c r="F496" s="571" t="s">
        <v>189</v>
      </c>
      <c r="G496" s="571" t="s">
        <v>221</v>
      </c>
      <c r="H496" s="571" t="s">
        <v>97</v>
      </c>
      <c r="I496" s="571" t="s">
        <v>257</v>
      </c>
      <c r="J496" s="571" t="s">
        <v>298</v>
      </c>
      <c r="K496" s="571" t="s">
        <v>358</v>
      </c>
      <c r="L496" s="571" t="s">
        <v>400</v>
      </c>
      <c r="M496" s="571" t="s">
        <v>416</v>
      </c>
      <c r="N496" s="537"/>
      <c r="O496" s="571" t="s">
        <v>427</v>
      </c>
      <c r="P496" s="571" t="s">
        <v>436</v>
      </c>
      <c r="Q496" s="571" t="s">
        <v>446</v>
      </c>
      <c r="R496" s="571" t="s">
        <v>524</v>
      </c>
      <c r="S496" s="571" t="s">
        <v>535</v>
      </c>
      <c r="T496" s="571" t="s">
        <v>570</v>
      </c>
      <c r="U496" s="571" t="s">
        <v>587</v>
      </c>
      <c r="V496" s="571" t="s">
        <v>618</v>
      </c>
      <c r="W496" s="571" t="s">
        <v>633</v>
      </c>
      <c r="X496" s="571" t="s">
        <v>637</v>
      </c>
      <c r="Y496" s="571" t="s">
        <v>697</v>
      </c>
      <c r="Z496" s="571" t="s">
        <v>733</v>
      </c>
      <c r="AB496" s="52"/>
      <c r="AC496" s="52"/>
      <c r="AF496" s="537"/>
    </row>
    <row r="497" spans="1:32" ht="13.5" customHeight="1" thickBot="1" x14ac:dyDescent="0.25">
      <c r="A497" s="597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747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308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870.90000000000009</v>
      </c>
      <c r="E498" s="46">
        <f>IFERROR(Y85*1,"0")+IFERROR(Y86*1,"0")+IFERROR(Y87*1,"0")+IFERROR(Y91*1,"0")+IFERROR(Y92*1,"0")+IFERROR(Y93*1,"0")+IFERROR(Y94*1,"0")</f>
        <v>1099.8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1378.8</v>
      </c>
      <c r="G498" s="46">
        <f>IFERROR(Y124*1,"0")+IFERROR(Y125*1,"0")+IFERROR(Y129*1,"0")+IFERROR(Y130*1,"0")+IFERROR(Y134*1,"0")+IFERROR(Y135*1,"0")</f>
        <v>114.32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440.58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1921.7999999999997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132.4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182.39999999999998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817.8</v>
      </c>
      <c r="R498" s="46">
        <f>IFERROR(Y334*1,"0")+IFERROR(Y335*1,"0")+IFERROR(Y336*1,"0")</f>
        <v>1121.4000000000001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7086</v>
      </c>
      <c r="T498" s="46">
        <f>IFERROR(Y367*1,"0")+IFERROR(Y368*1,"0")+IFERROR(Y372*1,"0")+IFERROR(Y373*1,"0")+IFERROR(Y377*1,"0")+IFERROR(Y378*1,"0")</f>
        <v>48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92.7</v>
      </c>
      <c r="V498" s="46">
        <f>IFERROR(Y402*1,"0")+IFERROR(Y406*1,"0")+IFERROR(Y407*1,"0")+IFERROR(Y408*1,"0")+IFERROR(Y409*1,"0")</f>
        <v>0</v>
      </c>
      <c r="W498" s="46">
        <f>IFERROR(Y414*1,"0")</f>
        <v>30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1017.12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1008</v>
      </c>
      <c r="Z498" s="46">
        <f>IFERROR(Y485*1,"0")</f>
        <v>0</v>
      </c>
      <c r="AB498" s="52"/>
      <c r="AC498" s="52"/>
      <c r="AF498" s="537"/>
    </row>
  </sheetData>
  <sheetProtection algorithmName="SHA-512" hashValue="41AvFqkvjyRkIo4JkO9q2XXKL2U86OYFLCJKVKmxgQK+VToX0TuANAqYEcfLslByWs2E7ipjganQKtu/OueJjQ==" saltValue="coGjLl1P8+iY2aH3RUuv0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15,00"/>
        <filter val="1 120,00"/>
        <filter val="1 200,00"/>
        <filter val="1 600,00"/>
        <filter val="1 800,00"/>
        <filter val="10,00"/>
        <filter val="100,00"/>
        <filter val="103,75"/>
        <filter val="105,00"/>
        <filter val="106,67"/>
        <filter val="111,11"/>
        <filter val="114,00"/>
        <filter val="12,00"/>
        <filter val="12,50"/>
        <filter val="120,00"/>
        <filter val="124,63"/>
        <filter val="126,00"/>
        <filter val="13,89"/>
        <filter val="140,00"/>
        <filter val="150,00"/>
        <filter val="157,50"/>
        <filter val="164,29"/>
        <filter val="17 498,00"/>
        <filter val="17,03"/>
        <filter val="17,50"/>
        <filter val="175,00"/>
        <filter val="177,16"/>
        <filter val="18 566,94"/>
        <filter val="18,00"/>
        <filter val="180,00"/>
        <filter val="19 341,94"/>
        <filter val="192,72"/>
        <filter val="2,22"/>
        <filter val="2,78"/>
        <filter val="20,00"/>
        <filter val="200,00"/>
        <filter val="21,00"/>
        <filter val="22,73"/>
        <filter val="220,00"/>
        <filter val="24,00"/>
        <filter val="24,50"/>
        <filter val="240,00"/>
        <filter val="25,00"/>
        <filter val="270,00"/>
        <filter val="271,85"/>
        <filter val="28,00"/>
        <filter val="280,00"/>
        <filter val="3 269,07"/>
        <filter val="3,33"/>
        <filter val="3,50"/>
        <filter val="3,85"/>
        <filter val="3,89"/>
        <filter val="30,00"/>
        <filter val="300,00"/>
        <filter val="31"/>
        <filter val="32,00"/>
        <filter val="328,16"/>
        <filter val="33,00"/>
        <filter val="342,00"/>
        <filter val="35,00"/>
        <filter val="357,50"/>
        <filter val="36,00"/>
        <filter val="360,00"/>
        <filter val="40,00"/>
        <filter val="40,19"/>
        <filter val="400,00"/>
        <filter val="405,00"/>
        <filter val="410,00"/>
        <filter val="460,00"/>
        <filter val="470,00"/>
        <filter val="48,00"/>
        <filter val="5 400,00"/>
        <filter val="5,56"/>
        <filter val="50,00"/>
        <filter val="500,00"/>
        <filter val="528,00"/>
        <filter val="533,33"/>
        <filter val="540,00"/>
        <filter val="59,26"/>
        <filter val="590,00"/>
        <filter val="60,00"/>
        <filter val="600,00"/>
        <filter val="61,67"/>
        <filter val="625,00"/>
        <filter val="67,27"/>
        <filter val="680,00"/>
        <filter val="7,00"/>
        <filter val="70,00"/>
        <filter val="72,00"/>
        <filter val="75,00"/>
        <filter val="76,85"/>
        <filter val="778,00"/>
        <filter val="78,00"/>
        <filter val="78,52"/>
        <filter val="80,00"/>
        <filter val="84,62"/>
        <filter val="860,00"/>
        <filter val="89,26"/>
        <filter val="90,00"/>
        <filter val="90,50"/>
        <filter val="976,00"/>
      </filters>
    </filterColumn>
    <filterColumn colId="29" showButton="0"/>
    <filterColumn colId="30" showButton="0"/>
  </autoFilter>
  <mergeCells count="872"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D458:E458"/>
    <mergeCell ref="A339:Z339"/>
    <mergeCell ref="P493:V493"/>
    <mergeCell ref="P431:V431"/>
    <mergeCell ref="P421:T421"/>
    <mergeCell ref="P408:T408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P132:V132"/>
    <mergeCell ref="P72:T72"/>
    <mergeCell ref="A31:O32"/>
    <mergeCell ref="A33:Z33"/>
    <mergeCell ref="A103:O104"/>
    <mergeCell ref="M17:M18"/>
    <mergeCell ref="P131:V131"/>
    <mergeCell ref="O17:O18"/>
    <mergeCell ref="P102:T102"/>
    <mergeCell ref="P281:V281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A478:Z478"/>
    <mergeCell ref="P436:T436"/>
    <mergeCell ref="P492:V492"/>
    <mergeCell ref="A469:Z469"/>
    <mergeCell ref="P336:T336"/>
    <mergeCell ref="P187:V187"/>
    <mergeCell ref="P430:T430"/>
    <mergeCell ref="P350:V350"/>
    <mergeCell ref="P410:V410"/>
    <mergeCell ref="P481:V481"/>
    <mergeCell ref="P196:T196"/>
    <mergeCell ref="A483:Z483"/>
    <mergeCell ref="A484:Z484"/>
    <mergeCell ref="P218:T218"/>
    <mergeCell ref="P311:V311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D218:E218"/>
    <mergeCell ref="P137:V137"/>
    <mergeCell ref="D247:E247"/>
    <mergeCell ref="P239:V239"/>
    <mergeCell ref="D249:E249"/>
    <mergeCell ref="D170:E170"/>
    <mergeCell ref="P303:V303"/>
    <mergeCell ref="P199:T199"/>
    <mergeCell ref="Z496:Z497"/>
    <mergeCell ref="D358:E358"/>
    <mergeCell ref="P70:V70"/>
    <mergeCell ref="P337:V337"/>
    <mergeCell ref="A156:Z156"/>
    <mergeCell ref="A454:Z454"/>
    <mergeCell ref="P116:V116"/>
    <mergeCell ref="E496:E497"/>
    <mergeCell ref="G496:G497"/>
    <mergeCell ref="Y496:Y497"/>
    <mergeCell ref="P482:V482"/>
    <mergeCell ref="D200:E200"/>
    <mergeCell ref="D436:E436"/>
    <mergeCell ref="A476:O477"/>
    <mergeCell ref="P346:T346"/>
    <mergeCell ref="D226:E226"/>
    <mergeCell ref="D164:E164"/>
    <mergeCell ref="P420:T420"/>
    <mergeCell ref="D475:E475"/>
    <mergeCell ref="A488:O493"/>
    <mergeCell ref="P146:T146"/>
    <mergeCell ref="D323:E323"/>
    <mergeCell ref="M496:M497"/>
    <mergeCell ref="O496:O497"/>
    <mergeCell ref="A452:O453"/>
    <mergeCell ref="D459:E459"/>
    <mergeCell ref="D288:E288"/>
    <mergeCell ref="P130:T130"/>
    <mergeCell ref="P190:T190"/>
    <mergeCell ref="D434:E434"/>
    <mergeCell ref="P46:T46"/>
    <mergeCell ref="D225:E225"/>
    <mergeCell ref="P409:T409"/>
    <mergeCell ref="D257:E257"/>
    <mergeCell ref="P214:T214"/>
    <mergeCell ref="D86:E86"/>
    <mergeCell ref="D384:E384"/>
    <mergeCell ref="D213:E213"/>
    <mergeCell ref="P192:V192"/>
    <mergeCell ref="P284:V284"/>
    <mergeCell ref="P61:T61"/>
    <mergeCell ref="P62:T62"/>
    <mergeCell ref="A412:Z412"/>
    <mergeCell ref="P432:V432"/>
    <mergeCell ref="P69:V6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D198:E198"/>
    <mergeCell ref="D296:E296"/>
    <mergeCell ref="P275:V275"/>
    <mergeCell ref="A252:Z252"/>
    <mergeCell ref="D427:E427"/>
    <mergeCell ref="Q496:Q497"/>
    <mergeCell ref="S496:S497"/>
    <mergeCell ref="P440:T440"/>
    <mergeCell ref="P268:V268"/>
    <mergeCell ref="A455:Z455"/>
    <mergeCell ref="P470:T470"/>
    <mergeCell ref="D449:E449"/>
    <mergeCell ref="D321:E321"/>
    <mergeCell ref="P278:T278"/>
    <mergeCell ref="P465:T465"/>
    <mergeCell ref="D386:E38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P327:T327"/>
    <mergeCell ref="P468:V468"/>
    <mergeCell ref="A439:Z439"/>
    <mergeCell ref="P212:T212"/>
    <mergeCell ref="P388:T388"/>
    <mergeCell ref="P459:T459"/>
    <mergeCell ref="D465:E465"/>
    <mergeCell ref="D440:E440"/>
    <mergeCell ref="D292:E29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106:T106"/>
    <mergeCell ref="P390:T390"/>
    <mergeCell ref="D298:E298"/>
    <mergeCell ref="P91:T91"/>
    <mergeCell ref="P404:V404"/>
    <mergeCell ref="A351:Z351"/>
    <mergeCell ref="D273:E273"/>
    <mergeCell ref="D158:E158"/>
    <mergeCell ref="P231:T231"/>
    <mergeCell ref="AA17:AA18"/>
    <mergeCell ref="D227:E227"/>
    <mergeCell ref="P321:T321"/>
    <mergeCell ref="P125:T125"/>
    <mergeCell ref="D373:E373"/>
    <mergeCell ref="D202:E202"/>
    <mergeCell ref="A242:O243"/>
    <mergeCell ref="A179:Z179"/>
    <mergeCell ref="P32:V32"/>
    <mergeCell ref="P103:V103"/>
    <mergeCell ref="A155:Z155"/>
    <mergeCell ref="P107:T107"/>
    <mergeCell ref="P101:T101"/>
    <mergeCell ref="P250:V250"/>
    <mergeCell ref="P63:V63"/>
    <mergeCell ref="P34:T34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A153:O154"/>
    <mergeCell ref="A133:Z133"/>
    <mergeCell ref="D125:E125"/>
    <mergeCell ref="Q9:R9"/>
    <mergeCell ref="P267:V267"/>
    <mergeCell ref="D329:E329"/>
    <mergeCell ref="P104:V104"/>
    <mergeCell ref="P27:T27"/>
    <mergeCell ref="A284:O285"/>
    <mergeCell ref="D75:E75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P462:V462"/>
    <mergeCell ref="D443:E443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P477:V477"/>
    <mergeCell ref="D124:E124"/>
    <mergeCell ref="P56:T56"/>
    <mergeCell ref="D195:E195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A45:Z45"/>
    <mergeCell ref="A287:Z287"/>
    <mergeCell ref="P35:V35"/>
    <mergeCell ref="P399:V399"/>
    <mergeCell ref="D316:E316"/>
    <mergeCell ref="P273:T273"/>
    <mergeCell ref="D387:E387"/>
    <mergeCell ref="D272:E272"/>
    <mergeCell ref="D210:E210"/>
    <mergeCell ref="A250:O251"/>
    <mergeCell ref="D308:E308"/>
    <mergeCell ref="D147:E147"/>
    <mergeCell ref="A105:Z105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P79:T79"/>
    <mergeCell ref="D60:E60"/>
    <mergeCell ref="P73:T73"/>
    <mergeCell ref="P315:T315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  <mergeCell ref="A418:Z418"/>
    <mergeCell ref="D283:E283"/>
    <mergeCell ref="A356:Z356"/>
    <mergeCell ref="D112:E112"/>
    <mergeCell ref="D206:E20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6 X60 X62 X79 X85 X87 X91 X99 X101 X106 X112 X114:X115 X119 X124 X130 X135 X162:X166 X168 X195:X202 X208:X209 X211 X213:X214 X218:X219 X224 X226:X227 X232 X272:X273 X299:X300 X302 X314:X316 X322:X323 X327 X329 X335:X336 X342:X344 X352 X358 X367 X377 X388:X389 X391 X414 X420 X422 X425 X434 X440:X445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9y8PJp79BpG05yU5ocUJ+0gD5dRtXhpxOqnseo8TQD3TIAiCS9NWto89lY1dmTJl0yZVi8pGDpyXG7yhLcM2Xg==" saltValue="LjZKUcdaKKiXlWRrKZ3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2025-11-12T11:03:00Z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