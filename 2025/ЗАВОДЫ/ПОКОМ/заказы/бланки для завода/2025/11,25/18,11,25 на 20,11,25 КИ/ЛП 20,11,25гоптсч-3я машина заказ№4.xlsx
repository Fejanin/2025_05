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7C5D3E1-1598-41B0-839D-B48DC9607E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Y154" i="1" l="1"/>
  <c r="Y153" i="1"/>
  <c r="BP152" i="1"/>
  <c r="BN152" i="1"/>
  <c r="Z152" i="1"/>
  <c r="Z153" i="1" s="1"/>
  <c r="Y159" i="1"/>
  <c r="BP158" i="1"/>
  <c r="BN158" i="1"/>
  <c r="Z158" i="1"/>
  <c r="Z159" i="1" s="1"/>
  <c r="BP169" i="1"/>
  <c r="BN169" i="1"/>
  <c r="Z169" i="1"/>
  <c r="BP202" i="1"/>
  <c r="BN202" i="1"/>
  <c r="Z202" i="1"/>
  <c r="BP228" i="1"/>
  <c r="BN228" i="1"/>
  <c r="Z228" i="1"/>
  <c r="BP257" i="1"/>
  <c r="BN257" i="1"/>
  <c r="Z257" i="1"/>
  <c r="BP285" i="1"/>
  <c r="BN285" i="1"/>
  <c r="Z285" i="1"/>
  <c r="BP312" i="1"/>
  <c r="BN312" i="1"/>
  <c r="Z312" i="1"/>
  <c r="BP346" i="1"/>
  <c r="BN346" i="1"/>
  <c r="Z346" i="1"/>
  <c r="BP379" i="1"/>
  <c r="BN379" i="1"/>
  <c r="Z379" i="1"/>
  <c r="BP425" i="1"/>
  <c r="BN425" i="1"/>
  <c r="Z425" i="1"/>
  <c r="BP451" i="1"/>
  <c r="BN451" i="1"/>
  <c r="Z451" i="1"/>
  <c r="X491" i="1"/>
  <c r="X494" i="1"/>
  <c r="Z27" i="1"/>
  <c r="BN27" i="1"/>
  <c r="Z54" i="1"/>
  <c r="BN54" i="1"/>
  <c r="Z67" i="1"/>
  <c r="BN67" i="1"/>
  <c r="Z86" i="1"/>
  <c r="BN86" i="1"/>
  <c r="Z101" i="1"/>
  <c r="BN101" i="1"/>
  <c r="Z119" i="1"/>
  <c r="Z120" i="1" s="1"/>
  <c r="BN119" i="1"/>
  <c r="BP119" i="1"/>
  <c r="Y120" i="1"/>
  <c r="Z124" i="1"/>
  <c r="BN124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3" i="1"/>
  <c r="BN213" i="1"/>
  <c r="Z213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BP273" i="1"/>
  <c r="BN273" i="1"/>
  <c r="Z273" i="1"/>
  <c r="BP300" i="1"/>
  <c r="BN300" i="1"/>
  <c r="Z300" i="1"/>
  <c r="BP329" i="1"/>
  <c r="BN329" i="1"/>
  <c r="Z329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Y339" i="1"/>
  <c r="BP171" i="1"/>
  <c r="BN171" i="1"/>
  <c r="Z171" i="1"/>
  <c r="BP192" i="1"/>
  <c r="BN192" i="1"/>
  <c r="Z192" i="1"/>
  <c r="BP196" i="1"/>
  <c r="BN196" i="1"/>
  <c r="Z196" i="1"/>
  <c r="BP207" i="1"/>
  <c r="BN207" i="1"/>
  <c r="Z207" i="1"/>
  <c r="BP215" i="1"/>
  <c r="BN215" i="1"/>
  <c r="Z215" i="1"/>
  <c r="BP230" i="1"/>
  <c r="BN230" i="1"/>
  <c r="Z230" i="1"/>
  <c r="BP248" i="1"/>
  <c r="BN248" i="1"/>
  <c r="Z248" i="1"/>
  <c r="BP259" i="1"/>
  <c r="BN259" i="1"/>
  <c r="Z259" i="1"/>
  <c r="BP280" i="1"/>
  <c r="BN280" i="1"/>
  <c r="Z280" i="1"/>
  <c r="BP290" i="1"/>
  <c r="BN290" i="1"/>
  <c r="Z290" i="1"/>
  <c r="Y81" i="1"/>
  <c r="BP79" i="1"/>
  <c r="BN79" i="1"/>
  <c r="BP92" i="1"/>
  <c r="BN92" i="1"/>
  <c r="Z92" i="1"/>
  <c r="BP107" i="1"/>
  <c r="BN107" i="1"/>
  <c r="Z107" i="1"/>
  <c r="BP130" i="1"/>
  <c r="BN130" i="1"/>
  <c r="Z130" i="1"/>
  <c r="BP163" i="1"/>
  <c r="BN163" i="1"/>
  <c r="Z163" i="1"/>
  <c r="B500" i="1"/>
  <c r="X492" i="1"/>
  <c r="Y31" i="1"/>
  <c r="Z29" i="1"/>
  <c r="BN29" i="1"/>
  <c r="C500" i="1"/>
  <c r="Z52" i="1"/>
  <c r="BN52" i="1"/>
  <c r="Z56" i="1"/>
  <c r="BN56" i="1"/>
  <c r="Z62" i="1"/>
  <c r="BN62" i="1"/>
  <c r="Z73" i="1"/>
  <c r="BN73" i="1"/>
  <c r="Z79" i="1"/>
  <c r="BP99" i="1"/>
  <c r="BN99" i="1"/>
  <c r="Z99" i="1"/>
  <c r="BP115" i="1"/>
  <c r="BN115" i="1"/>
  <c r="Z115" i="1"/>
  <c r="BP141" i="1"/>
  <c r="BN141" i="1"/>
  <c r="Z141" i="1"/>
  <c r="BP167" i="1"/>
  <c r="BN167" i="1"/>
  <c r="Z167" i="1"/>
  <c r="BP177" i="1"/>
  <c r="BN177" i="1"/>
  <c r="Z177" i="1"/>
  <c r="BP200" i="1"/>
  <c r="BN200" i="1"/>
  <c r="Z200" i="1"/>
  <c r="BP211" i="1"/>
  <c r="BN211" i="1"/>
  <c r="Z211" i="1"/>
  <c r="BP226" i="1"/>
  <c r="BN226" i="1"/>
  <c r="Z226" i="1"/>
  <c r="BP234" i="1"/>
  <c r="BN234" i="1"/>
  <c r="Z234" i="1"/>
  <c r="Y261" i="1"/>
  <c r="BP255" i="1"/>
  <c r="BN255" i="1"/>
  <c r="Z255" i="1"/>
  <c r="BP266" i="1"/>
  <c r="BN266" i="1"/>
  <c r="Z266" i="1"/>
  <c r="BP294" i="1"/>
  <c r="BN294" i="1"/>
  <c r="Z294" i="1"/>
  <c r="BP310" i="1"/>
  <c r="BN310" i="1"/>
  <c r="Z310" i="1"/>
  <c r="Y327" i="1"/>
  <c r="BP322" i="1"/>
  <c r="BN322" i="1"/>
  <c r="Z322" i="1"/>
  <c r="Y326" i="1"/>
  <c r="BP331" i="1"/>
  <c r="BN331" i="1"/>
  <c r="Z331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136" i="1"/>
  <c r="Y252" i="1"/>
  <c r="BP302" i="1"/>
  <c r="BN302" i="1"/>
  <c r="Z302" i="1"/>
  <c r="BP316" i="1"/>
  <c r="BN316" i="1"/>
  <c r="Z316" i="1"/>
  <c r="BP323" i="1"/>
  <c r="BN323" i="1"/>
  <c r="Z323" i="1"/>
  <c r="BP338" i="1"/>
  <c r="BN338" i="1"/>
  <c r="Z338" i="1"/>
  <c r="BP344" i="1"/>
  <c r="BN344" i="1"/>
  <c r="Z344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381" i="1"/>
  <c r="Y455" i="1"/>
  <c r="Y454" i="1"/>
  <c r="H9" i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Y286" i="1"/>
  <c r="BP330" i="1"/>
  <c r="BN330" i="1"/>
  <c r="Z330" i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Y76" i="1"/>
  <c r="BP80" i="1"/>
  <c r="BN80" i="1"/>
  <c r="Z80" i="1"/>
  <c r="Y82" i="1"/>
  <c r="E500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Z319" i="1" s="1"/>
  <c r="Y319" i="1"/>
  <c r="BP345" i="1"/>
  <c r="BN345" i="1"/>
  <c r="Z345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Z251" i="1" s="1"/>
  <c r="Y251" i="1"/>
  <c r="BP256" i="1"/>
  <c r="BN256" i="1"/>
  <c r="Z256" i="1"/>
  <c r="Z260" i="1" s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26" i="1" l="1"/>
  <c r="Z216" i="1"/>
  <c r="Z463" i="1"/>
  <c r="Z193" i="1"/>
  <c r="Z81" i="1"/>
  <c r="Z76" i="1"/>
  <c r="Z332" i="1"/>
  <c r="Z286" i="1"/>
  <c r="Z126" i="1"/>
  <c r="Z103" i="1"/>
  <c r="X493" i="1"/>
  <c r="Z351" i="1"/>
  <c r="Z439" i="1"/>
  <c r="Z306" i="1"/>
  <c r="Z296" i="1"/>
  <c r="Z204" i="1"/>
  <c r="Z433" i="1"/>
  <c r="Z235" i="1"/>
  <c r="Z448" i="1"/>
  <c r="Y492" i="1"/>
  <c r="Z149" i="1"/>
  <c r="Z69" i="1"/>
  <c r="Y490" i="1"/>
  <c r="Z469" i="1"/>
  <c r="Z395" i="1"/>
  <c r="Z313" i="1"/>
  <c r="Z172" i="1"/>
  <c r="Z88" i="1"/>
  <c r="Z43" i="1"/>
  <c r="Z31" i="1"/>
  <c r="Y494" i="1"/>
  <c r="Y491" i="1"/>
  <c r="Y493" i="1" s="1"/>
  <c r="Z275" i="1"/>
  <c r="Z116" i="1"/>
  <c r="Z95" i="1"/>
  <c r="Z495" i="1" l="1"/>
</calcChain>
</file>

<file path=xl/sharedStrings.xml><?xml version="1.0" encoding="utf-8"?>
<sst xmlns="http://schemas.openxmlformats.org/spreadsheetml/2006/main" count="2350" uniqueCount="771">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</sst>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7"/>
      <c r="F1" s="577"/>
      <c r="G1" s="12" t="s">
        <v>1</v>
      </c>
      <c r="H1" s="632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2" t="s">
        <v>8</v>
      </c>
      <c r="B5" s="644"/>
      <c r="C5" s="645"/>
      <c r="D5" s="635"/>
      <c r="E5" s="636"/>
      <c r="F5" s="833" t="s">
        <v>9</v>
      </c>
      <c r="G5" s="645"/>
      <c r="H5" s="635" t="s">
        <v>770</v>
      </c>
      <c r="I5" s="787"/>
      <c r="J5" s="787"/>
      <c r="K5" s="787"/>
      <c r="L5" s="787"/>
      <c r="M5" s="636"/>
      <c r="N5" s="58"/>
      <c r="P5" s="24" t="s">
        <v>10</v>
      </c>
      <c r="Q5" s="849">
        <v>45981</v>
      </c>
      <c r="R5" s="673"/>
      <c r="T5" s="716" t="s">
        <v>11</v>
      </c>
      <c r="U5" s="717"/>
      <c r="V5" s="718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82" t="s">
        <v>13</v>
      </c>
      <c r="B6" s="644"/>
      <c r="C6" s="645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6" t="s">
        <v>16</v>
      </c>
      <c r="U6" s="717"/>
      <c r="V6" s="771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54"/>
      <c r="U7" s="717"/>
      <c r="V7" s="772"/>
      <c r="W7" s="773"/>
      <c r="AB7" s="51"/>
      <c r="AC7" s="51"/>
      <c r="AD7" s="51"/>
      <c r="AE7" s="51"/>
    </row>
    <row r="8" spans="1:32" s="537" customFormat="1" ht="25.5" customHeight="1" x14ac:dyDescent="0.2">
      <c r="A8" s="869" t="s">
        <v>18</v>
      </c>
      <c r="B8" s="562"/>
      <c r="C8" s="563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8">
        <v>0.5</v>
      </c>
      <c r="R8" s="611"/>
      <c r="T8" s="554"/>
      <c r="U8" s="717"/>
      <c r="V8" s="772"/>
      <c r="W8" s="773"/>
      <c r="AB8" s="51"/>
      <c r="AC8" s="51"/>
      <c r="AD8" s="51"/>
      <c r="AE8" s="51"/>
    </row>
    <row r="9" spans="1:32" s="53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77"/>
      <c r="E9" s="568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5"/>
      <c r="P9" s="26" t="s">
        <v>21</v>
      </c>
      <c r="Q9" s="669"/>
      <c r="R9" s="670"/>
      <c r="T9" s="554"/>
      <c r="U9" s="717"/>
      <c r="V9" s="774"/>
      <c r="W9" s="775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77"/>
      <c r="E10" s="568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8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5"/>
      <c r="N12" s="62"/>
      <c r="P12" s="24" t="s">
        <v>30</v>
      </c>
      <c r="Q12" s="688"/>
      <c r="R12" s="611"/>
      <c r="S12" s="23"/>
      <c r="U12" s="24"/>
      <c r="V12" s="577"/>
      <c r="W12" s="554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44"/>
      <c r="C13" s="644"/>
      <c r="D13" s="644"/>
      <c r="E13" s="644"/>
      <c r="F13" s="644"/>
      <c r="G13" s="644"/>
      <c r="H13" s="644"/>
      <c r="I13" s="644"/>
      <c r="J13" s="644"/>
      <c r="K13" s="644"/>
      <c r="L13" s="644"/>
      <c r="M13" s="645"/>
      <c r="N13" s="62"/>
      <c r="O13" s="26"/>
      <c r="P13" s="26" t="s">
        <v>32</v>
      </c>
      <c r="Q13" s="803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44"/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7" t="s">
        <v>34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5"/>
      <c r="N15" s="63"/>
      <c r="P15" s="70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94" t="s">
        <v>38</v>
      </c>
      <c r="D17" s="587" t="s">
        <v>39</v>
      </c>
      <c r="E17" s="65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52"/>
      <c r="R17" s="652"/>
      <c r="S17" s="652"/>
      <c r="T17" s="653"/>
      <c r="U17" s="864" t="s">
        <v>51</v>
      </c>
      <c r="V17" s="645"/>
      <c r="W17" s="587" t="s">
        <v>52</v>
      </c>
      <c r="X17" s="587" t="s">
        <v>53</v>
      </c>
      <c r="Y17" s="861" t="s">
        <v>54</v>
      </c>
      <c r="Z17" s="78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54"/>
      <c r="E18" s="65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88"/>
      <c r="X18" s="588"/>
      <c r="Y18" s="862"/>
      <c r="Z18" s="783"/>
      <c r="AA18" s="757"/>
      <c r="AB18" s="757"/>
      <c r="AC18" s="757"/>
      <c r="AD18" s="830"/>
      <c r="AE18" s="831"/>
      <c r="AF18" s="832"/>
      <c r="AG18" s="66"/>
      <c r="BD18" s="65"/>
    </row>
    <row r="19" spans="1:68" ht="27.75" hidden="1" customHeight="1" x14ac:dyDescent="0.2">
      <c r="A19" s="570" t="s">
        <v>63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571"/>
      <c r="M19" s="571"/>
      <c r="N19" s="571"/>
      <c r="O19" s="571"/>
      <c r="P19" s="571"/>
      <c r="Q19" s="571"/>
      <c r="R19" s="571"/>
      <c r="S19" s="571"/>
      <c r="T19" s="571"/>
      <c r="U19" s="571"/>
      <c r="V19" s="571"/>
      <c r="W19" s="571"/>
      <c r="X19" s="571"/>
      <c r="Y19" s="571"/>
      <c r="Z19" s="571"/>
      <c r="AA19" s="48"/>
      <c r="AB19" s="48"/>
      <c r="AC19" s="48"/>
    </row>
    <row r="20" spans="1:68" ht="16.5" hidden="1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hidden="1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70" t="s">
        <v>99</v>
      </c>
      <c r="B37" s="571"/>
      <c r="C37" s="571"/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P37" s="571"/>
      <c r="Q37" s="571"/>
      <c r="R37" s="571"/>
      <c r="S37" s="571"/>
      <c r="T37" s="571"/>
      <c r="U37" s="571"/>
      <c r="V37" s="571"/>
      <c r="W37" s="571"/>
      <c r="X37" s="571"/>
      <c r="Y37" s="571"/>
      <c r="Z37" s="571"/>
      <c r="AA37" s="48"/>
      <c r="AB37" s="48"/>
      <c r="AC37" s="48"/>
    </row>
    <row r="38" spans="1:68" ht="16.5" hidden="1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hidden="1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hidden="1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150</v>
      </c>
      <c r="Y52" s="544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9</v>
      </c>
      <c r="Y56" s="544">
        <f t="shared" si="0"/>
        <v>9</v>
      </c>
      <c r="Z56" s="36">
        <f>IFERROR(IF(Y56=0,"",ROUNDUP(Y56/H56,0)*0.00902),"")</f>
        <v>1.804E-2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9.3800000000000008</v>
      </c>
      <c r="BN56" s="64">
        <f t="shared" si="2"/>
        <v>9.3800000000000008</v>
      </c>
      <c r="BO56" s="64">
        <f t="shared" si="3"/>
        <v>1.5151515151515152E-2</v>
      </c>
      <c r="BP56" s="64">
        <f t="shared" si="4"/>
        <v>1.5151515151515152E-2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5">
        <f>IFERROR(X51/H51,"0")+IFERROR(X52/H52,"0")+IFERROR(X53/H53,"0")+IFERROR(X54/H54,"0")+IFERROR(X55/H55,"0")+IFERROR(X56/H56,"0")</f>
        <v>15.888888888888888</v>
      </c>
      <c r="Y57" s="545">
        <f>IFERROR(Y51/H51,"0")+IFERROR(Y52/H52,"0")+IFERROR(Y53/H53,"0")+IFERROR(Y54/H54,"0")+IFERROR(Y55/H55,"0")+IFERROR(Y56/H56,"0")</f>
        <v>16</v>
      </c>
      <c r="Z57" s="545">
        <f>IFERROR(IF(Z51="",0,Z51),"0")+IFERROR(IF(Z52="",0,Z52),"0")+IFERROR(IF(Z53="",0,Z53),"0")+IFERROR(IF(Z54="",0,Z54),"0")+IFERROR(IF(Z55="",0,Z55),"0")+IFERROR(IF(Z56="",0,Z56),"0")</f>
        <v>0.28376000000000001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5">
        <f>IFERROR(SUM(X51:X56),"0")</f>
        <v>159</v>
      </c>
      <c r="Y58" s="545">
        <f>IFERROR(SUM(Y51:Y56),"0")</f>
        <v>160.20000000000002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50</v>
      </c>
      <c r="Y60" s="544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5.4</v>
      </c>
      <c r="Y62" s="544">
        <f>IFERROR(IF(X62="",0,CEILING((X62/$H62),1)*$H62),"")</f>
        <v>5.4</v>
      </c>
      <c r="Z62" s="36">
        <f>IFERROR(IF(Y62=0,"",ROUNDUP(Y62/H62,0)*0.00651),"")</f>
        <v>1.302E-2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5.76</v>
      </c>
      <c r="BN62" s="64">
        <f>IFERROR(Y62*I62/H62,"0")</f>
        <v>5.76</v>
      </c>
      <c r="BO62" s="64">
        <f>IFERROR(1/J62*(X62/H62),"0")</f>
        <v>1.098901098901099E-2</v>
      </c>
      <c r="BP62" s="64">
        <f>IFERROR(1/J62*(Y62/H62),"0")</f>
        <v>1.098901098901099E-2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5">
        <f>IFERROR(X60/H60,"0")+IFERROR(X61/H61,"0")+IFERROR(X62/H62,"0")</f>
        <v>6.6296296296296298</v>
      </c>
      <c r="Y63" s="545">
        <f>IFERROR(Y60/H60,"0")+IFERROR(Y61/H61,"0")+IFERROR(Y62/H62,"0")</f>
        <v>7</v>
      </c>
      <c r="Z63" s="545">
        <f>IFERROR(IF(Z60="",0,Z60),"0")+IFERROR(IF(Z61="",0,Z61),"0")+IFERROR(IF(Z62="",0,Z62),"0")</f>
        <v>0.10792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5">
        <f>IFERROR(SUM(X60:X62),"0")</f>
        <v>55.4</v>
      </c>
      <c r="Y64" s="545">
        <f>IFERROR(SUM(Y60:Y62),"0")</f>
        <v>59.4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61" t="s">
        <v>71</v>
      </c>
      <c r="Q76" s="562"/>
      <c r="R76" s="562"/>
      <c r="S76" s="562"/>
      <c r="T76" s="562"/>
      <c r="U76" s="562"/>
      <c r="V76" s="563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9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61" t="s">
        <v>71</v>
      </c>
      <c r="Q81" s="562"/>
      <c r="R81" s="562"/>
      <c r="S81" s="562"/>
      <c r="T81" s="562"/>
      <c r="U81" s="562"/>
      <c r="V81" s="563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8"/>
      <c r="AB83" s="538"/>
      <c r="AC83" s="538"/>
    </row>
    <row r="84" spans="1:68" ht="14.25" hidden="1" customHeight="1" x14ac:dyDescent="0.25">
      <c r="A84" s="559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61" t="s">
        <v>71</v>
      </c>
      <c r="Q88" s="562"/>
      <c r="R88" s="562"/>
      <c r="S88" s="562"/>
      <c r="T88" s="562"/>
      <c r="U88" s="562"/>
      <c r="V88" s="563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hidden="1" customHeight="1" x14ac:dyDescent="0.25">
      <c r="A90" s="559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9"/>
      <c r="AB90" s="539"/>
      <c r="AC90" s="539"/>
    </row>
    <row r="91" spans="1:68" ht="16.5" hidden="1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61" t="s">
        <v>71</v>
      </c>
      <c r="Q95" s="562"/>
      <c r="R95" s="562"/>
      <c r="S95" s="562"/>
      <c r="T95" s="562"/>
      <c r="U95" s="562"/>
      <c r="V95" s="563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8"/>
      <c r="AB97" s="538"/>
      <c r="AC97" s="538"/>
    </row>
    <row r="98" spans="1:68" ht="14.25" hidden="1" customHeight="1" x14ac:dyDescent="0.25">
      <c r="A98" s="559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61" t="s">
        <v>71</v>
      </c>
      <c r="Q103" s="562"/>
      <c r="R103" s="562"/>
      <c r="S103" s="562"/>
      <c r="T103" s="562"/>
      <c r="U103" s="562"/>
      <c r="V103" s="563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59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61" t="s">
        <v>71</v>
      </c>
      <c r="Q109" s="562"/>
      <c r="R109" s="562"/>
      <c r="S109" s="562"/>
      <c r="T109" s="562"/>
      <c r="U109" s="562"/>
      <c r="V109" s="563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9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9"/>
      <c r="AB111" s="539"/>
      <c r="AC111" s="539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61" t="s">
        <v>71</v>
      </c>
      <c r="Q116" s="562"/>
      <c r="R116" s="562"/>
      <c r="S116" s="562"/>
      <c r="T116" s="562"/>
      <c r="U116" s="562"/>
      <c r="V116" s="563"/>
      <c r="W116" s="37" t="s">
        <v>72</v>
      </c>
      <c r="X116" s="545">
        <f>IFERROR(X112/H112,"0")+IFERROR(X113/H113,"0")+IFERROR(X114/H114,"0")+IFERROR(X115/H115,"0")</f>
        <v>0</v>
      </c>
      <c r="Y116" s="545">
        <f>IFERROR(Y112/H112,"0")+IFERROR(Y113/H113,"0")+IFERROR(Y114/H114,"0")+IFERROR(Y115/H115,"0")</f>
        <v>0</v>
      </c>
      <c r="Z116" s="545">
        <f>IFERROR(IF(Z112="",0,Z112),"0")+IFERROR(IF(Z113="",0,Z113),"0")+IFERROR(IF(Z114="",0,Z114),"0")+IFERROR(IF(Z115="",0,Z115),"0")</f>
        <v>0</v>
      </c>
      <c r="AA116" s="546"/>
      <c r="AB116" s="546"/>
      <c r="AC116" s="546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69</v>
      </c>
      <c r="X117" s="545">
        <f>IFERROR(SUM(X112:X115),"0")</f>
        <v>0</v>
      </c>
      <c r="Y117" s="545">
        <f>IFERROR(SUM(Y112:Y115),"0")</f>
        <v>0</v>
      </c>
      <c r="Z117" s="37"/>
      <c r="AA117" s="546"/>
      <c r="AB117" s="546"/>
      <c r="AC117" s="546"/>
    </row>
    <row r="118" spans="1:68" ht="14.25" hidden="1" customHeight="1" x14ac:dyDescent="0.25">
      <c r="A118" s="559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61" t="s">
        <v>71</v>
      </c>
      <c r="Q120" s="562"/>
      <c r="R120" s="562"/>
      <c r="S120" s="562"/>
      <c r="T120" s="562"/>
      <c r="U120" s="562"/>
      <c r="V120" s="563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8"/>
      <c r="AB122" s="538"/>
      <c r="AC122" s="538"/>
    </row>
    <row r="123" spans="1:68" ht="14.25" hidden="1" customHeight="1" x14ac:dyDescent="0.25">
      <c r="A123" s="559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61" t="s">
        <v>71</v>
      </c>
      <c r="Q126" s="562"/>
      <c r="R126" s="562"/>
      <c r="S126" s="562"/>
      <c r="T126" s="562"/>
      <c r="U126" s="562"/>
      <c r="V126" s="563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9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5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61" t="s">
        <v>71</v>
      </c>
      <c r="Q131" s="562"/>
      <c r="R131" s="562"/>
      <c r="S131" s="562"/>
      <c r="T131" s="562"/>
      <c r="U131" s="562"/>
      <c r="V131" s="563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9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61" t="s">
        <v>71</v>
      </c>
      <c r="Q136" s="562"/>
      <c r="R136" s="562"/>
      <c r="S136" s="562"/>
      <c r="T136" s="562"/>
      <c r="U136" s="562"/>
      <c r="V136" s="563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8"/>
      <c r="AB138" s="538"/>
      <c r="AC138" s="538"/>
    </row>
    <row r="139" spans="1:68" ht="14.25" hidden="1" customHeight="1" x14ac:dyDescent="0.25">
      <c r="A139" s="559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61" t="s">
        <v>71</v>
      </c>
      <c r="Q143" s="562"/>
      <c r="R143" s="562"/>
      <c r="S143" s="562"/>
      <c r="T143" s="562"/>
      <c r="U143" s="562"/>
      <c r="V143" s="563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59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9"/>
      <c r="AB145" s="539"/>
      <c r="AC145" s="539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61" t="s">
        <v>71</v>
      </c>
      <c r="Q149" s="562"/>
      <c r="R149" s="562"/>
      <c r="S149" s="562"/>
      <c r="T149" s="562"/>
      <c r="U149" s="562"/>
      <c r="V149" s="563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59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9"/>
      <c r="AB151" s="539"/>
      <c r="AC151" s="539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4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61" t="s">
        <v>71</v>
      </c>
      <c r="Q153" s="562"/>
      <c r="R153" s="562"/>
      <c r="S153" s="562"/>
      <c r="T153" s="562"/>
      <c r="U153" s="562"/>
      <c r="V153" s="563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570" t="s">
        <v>255</v>
      </c>
      <c r="B155" s="571"/>
      <c r="C155" s="571"/>
      <c r="D155" s="571"/>
      <c r="E155" s="571"/>
      <c r="F155" s="571"/>
      <c r="G155" s="571"/>
      <c r="H155" s="571"/>
      <c r="I155" s="571"/>
      <c r="J155" s="571"/>
      <c r="K155" s="571"/>
      <c r="L155" s="571"/>
      <c r="M155" s="571"/>
      <c r="N155" s="571"/>
      <c r="O155" s="571"/>
      <c r="P155" s="571"/>
      <c r="Q155" s="571"/>
      <c r="R155" s="571"/>
      <c r="S155" s="571"/>
      <c r="T155" s="571"/>
      <c r="U155" s="571"/>
      <c r="V155" s="571"/>
      <c r="W155" s="571"/>
      <c r="X155" s="571"/>
      <c r="Y155" s="571"/>
      <c r="Z155" s="571"/>
      <c r="AA155" s="48"/>
      <c r="AB155" s="48"/>
      <c r="AC155" s="48"/>
    </row>
    <row r="156" spans="1:68" ht="16.5" hidden="1" customHeight="1" x14ac:dyDescent="0.25">
      <c r="A156" s="558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8"/>
      <c r="AB156" s="538"/>
      <c r="AC156" s="538"/>
    </row>
    <row r="157" spans="1:68" ht="14.25" hidden="1" customHeight="1" x14ac:dyDescent="0.25">
      <c r="A157" s="559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9"/>
      <c r="AB157" s="539"/>
      <c r="AC157" s="539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61" t="s">
        <v>71</v>
      </c>
      <c r="Q159" s="562"/>
      <c r="R159" s="562"/>
      <c r="S159" s="562"/>
      <c r="T159" s="562"/>
      <c r="U159" s="562"/>
      <c r="V159" s="563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59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9"/>
      <c r="AB161" s="539"/>
      <c r="AC161" s="539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7">
        <v>4680115887213</v>
      </c>
      <c r="E162" s="548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93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5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6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298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8" t="s">
        <v>301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40</v>
      </c>
      <c r="Y186" s="544">
        <f>IFERROR(IF(X186="",0,CEILING((X186/$H186),1)*$H186),"")</f>
        <v>43.2</v>
      </c>
      <c r="Z186" s="36">
        <f>IFERROR(IF(Y186=0,"",ROUNDUP(Y186/H186,0)*0.01898),"")</f>
        <v>7.5920000000000001E-2</v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41.518518518518519</v>
      </c>
      <c r="BN186" s="64">
        <f>IFERROR(Y186*I186/H186,"0")</f>
        <v>44.84</v>
      </c>
      <c r="BO186" s="64">
        <f>IFERROR(1/J186*(X186/H186),"0")</f>
        <v>5.7870370370370364E-2</v>
      </c>
      <c r="BP186" s="64">
        <f>IFERROR(1/J186*(Y186/H186),"0")</f>
        <v>6.25E-2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56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5">
        <f>IFERROR(X186/H186,"0")+IFERROR(X187/H187,"0")</f>
        <v>3.7037037037037033</v>
      </c>
      <c r="Y188" s="545">
        <f>IFERROR(Y186/H186,"0")+IFERROR(Y187/H187,"0")</f>
        <v>4</v>
      </c>
      <c r="Z188" s="545">
        <f>IFERROR(IF(Z186="",0,Z186),"0")+IFERROR(IF(Z187="",0,Z187),"0")</f>
        <v>7.5920000000000001E-2</v>
      </c>
      <c r="AA188" s="546"/>
      <c r="AB188" s="546"/>
      <c r="AC188" s="546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5">
        <f>IFERROR(SUM(X186:X187),"0")</f>
        <v>40</v>
      </c>
      <c r="Y189" s="545">
        <f>IFERROR(SUM(Y186:Y187),"0")</f>
        <v>43.2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164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8" t="s">
        <v>361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387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391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5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8" t="s">
        <v>403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8" t="s">
        <v>419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8" t="s">
        <v>430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8" t="s">
        <v>439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0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7">
        <v>4680115884618</v>
      </c>
      <c r="E285" s="548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3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4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5"/>
      <c r="P287" s="561" t="s">
        <v>71</v>
      </c>
      <c r="Q287" s="562"/>
      <c r="R287" s="562"/>
      <c r="S287" s="562"/>
      <c r="T287" s="562"/>
      <c r="U287" s="562"/>
      <c r="V287" s="563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8" t="s">
        <v>453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8"/>
      <c r="AB288" s="538"/>
      <c r="AC288" s="538"/>
    </row>
    <row r="289" spans="1:68" ht="14.25" hidden="1" customHeight="1" x14ac:dyDescent="0.25">
      <c r="A289" s="559" t="s">
        <v>101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39"/>
      <c r="AB289" s="539"/>
      <c r="AC289" s="539"/>
    </row>
    <row r="290" spans="1:68" ht="27" hidden="1" customHeight="1" x14ac:dyDescent="0.25">
      <c r="A290" s="54" t="s">
        <v>454</v>
      </c>
      <c r="B290" s="54" t="s">
        <v>455</v>
      </c>
      <c r="C290" s="31">
        <v>4301012126</v>
      </c>
      <c r="D290" s="547">
        <v>4607091386004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457</v>
      </c>
      <c r="B291" s="54" t="s">
        <v>458</v>
      </c>
      <c r="C291" s="31">
        <v>4301012024</v>
      </c>
      <c r="D291" s="547">
        <v>4680115885615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460</v>
      </c>
      <c r="B292" s="54" t="s">
        <v>461</v>
      </c>
      <c r="C292" s="31">
        <v>4301011858</v>
      </c>
      <c r="D292" s="547">
        <v>4680115885646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4301012016</v>
      </c>
      <c r="D293" s="547">
        <v>4680115885554</v>
      </c>
      <c r="E293" s="548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4301011857</v>
      </c>
      <c r="D294" s="547">
        <v>4680115885622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468</v>
      </c>
      <c r="B295" s="54" t="s">
        <v>469</v>
      </c>
      <c r="C295" s="31">
        <v>4301011859</v>
      </c>
      <c r="D295" s="547">
        <v>4680115885608</v>
      </c>
      <c r="E295" s="548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53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1" t="s">
        <v>71</v>
      </c>
      <c r="Q296" s="562"/>
      <c r="R296" s="562"/>
      <c r="S296" s="562"/>
      <c r="T296" s="562"/>
      <c r="U296" s="562"/>
      <c r="V296" s="563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hidden="1" x14ac:dyDescent="0.2">
      <c r="A297" s="554"/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5"/>
      <c r="P297" s="561" t="s">
        <v>71</v>
      </c>
      <c r="Q297" s="562"/>
      <c r="R297" s="562"/>
      <c r="S297" s="562"/>
      <c r="T297" s="562"/>
      <c r="U297" s="562"/>
      <c r="V297" s="563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hidden="1" customHeight="1" x14ac:dyDescent="0.25">
      <c r="A298" s="559" t="s">
        <v>64</v>
      </c>
      <c r="B298" s="554"/>
      <c r="C298" s="554"/>
      <c r="D298" s="554"/>
      <c r="E298" s="554"/>
      <c r="F298" s="554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47">
        <v>4607091387193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30</v>
      </c>
      <c r="Y299" s="544">
        <f t="shared" ref="Y299:Y305" si="31">IFERROR(IF(X299="",0,CEILING((X299/$H299),1)*$H299),"")</f>
        <v>33.6</v>
      </c>
      <c r="Z299" s="36">
        <f>IFERROR(IF(Y299=0,"",ROUNDUP(Y299/H299,0)*0.00902),"")</f>
        <v>7.2160000000000002E-2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31.785714285714285</v>
      </c>
      <c r="BN299" s="64">
        <f t="shared" ref="BN299:BN305" si="33">IFERROR(Y299*I299/H299,"0")</f>
        <v>35.6</v>
      </c>
      <c r="BO299" s="64">
        <f t="shared" ref="BO299:BO305" si="34">IFERROR(1/J299*(X299/H299),"0")</f>
        <v>5.4112554112554112E-2</v>
      </c>
      <c r="BP299" s="64">
        <f t="shared" ref="BP299:BP305" si="35">IFERROR(1/J299*(Y299/H299),"0")</f>
        <v>6.0606060606060608E-2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4301031153</v>
      </c>
      <c r="D300" s="547">
        <v>4607091387230</v>
      </c>
      <c r="E300" s="548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9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4301031154</v>
      </c>
      <c r="D301" s="547">
        <v>4607091387292</v>
      </c>
      <c r="E301" s="548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480</v>
      </c>
      <c r="B302" s="54" t="s">
        <v>481</v>
      </c>
      <c r="C302" s="31">
        <v>4301031152</v>
      </c>
      <c r="D302" s="547">
        <v>4607091387285</v>
      </c>
      <c r="E302" s="548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4301031305</v>
      </c>
      <c r="D303" s="547">
        <v>4607091389845</v>
      </c>
      <c r="E303" s="548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485</v>
      </c>
      <c r="B304" s="54" t="s">
        <v>486</v>
      </c>
      <c r="C304" s="31">
        <v>4301031306</v>
      </c>
      <c r="D304" s="547">
        <v>4680115882881</v>
      </c>
      <c r="E304" s="548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4301031066</v>
      </c>
      <c r="D305" s="547">
        <v>4607091383836</v>
      </c>
      <c r="E305" s="548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3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1" t="s">
        <v>71</v>
      </c>
      <c r="Q306" s="562"/>
      <c r="R306" s="562"/>
      <c r="S306" s="562"/>
      <c r="T306" s="562"/>
      <c r="U306" s="562"/>
      <c r="V306" s="563"/>
      <c r="W306" s="37" t="s">
        <v>72</v>
      </c>
      <c r="X306" s="545">
        <f>IFERROR(X299/H299,"0")+IFERROR(X300/H300,"0")+IFERROR(X301/H301,"0")+IFERROR(X302/H302,"0")+IFERROR(X303/H303,"0")+IFERROR(X304/H304,"0")+IFERROR(X305/H305,"0")</f>
        <v>7.1428571428571423</v>
      </c>
      <c r="Y306" s="545">
        <f>IFERROR(Y299/H299,"0")+IFERROR(Y300/H300,"0")+IFERROR(Y301/H301,"0")+IFERROR(Y302/H302,"0")+IFERROR(Y303/H303,"0")+IFERROR(Y304/H304,"0")+IFERROR(Y305/H305,"0")</f>
        <v>8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7.2160000000000002E-2</v>
      </c>
      <c r="AA306" s="546"/>
      <c r="AB306" s="546"/>
      <c r="AC306" s="546"/>
    </row>
    <row r="307" spans="1:68" x14ac:dyDescent="0.2">
      <c r="A307" s="554"/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5"/>
      <c r="P307" s="561" t="s">
        <v>71</v>
      </c>
      <c r="Q307" s="562"/>
      <c r="R307" s="562"/>
      <c r="S307" s="562"/>
      <c r="T307" s="562"/>
      <c r="U307" s="562"/>
      <c r="V307" s="563"/>
      <c r="W307" s="37" t="s">
        <v>69</v>
      </c>
      <c r="X307" s="545">
        <f>IFERROR(SUM(X299:X305),"0")</f>
        <v>30</v>
      </c>
      <c r="Y307" s="545">
        <f>IFERROR(SUM(Y299:Y305),"0")</f>
        <v>33.6</v>
      </c>
      <c r="Z307" s="37"/>
      <c r="AA307" s="546"/>
      <c r="AB307" s="546"/>
      <c r="AC307" s="546"/>
    </row>
    <row r="308" spans="1:68" ht="14.25" hidden="1" customHeight="1" x14ac:dyDescent="0.25">
      <c r="A308" s="559" t="s">
        <v>73</v>
      </c>
      <c r="B308" s="554"/>
      <c r="C308" s="554"/>
      <c r="D308" s="554"/>
      <c r="E308" s="554"/>
      <c r="F308" s="554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39"/>
      <c r="AB308" s="539"/>
      <c r="AC308" s="539"/>
    </row>
    <row r="309" spans="1:68" ht="27" hidden="1" customHeight="1" x14ac:dyDescent="0.25">
      <c r="A309" s="54" t="s">
        <v>490</v>
      </c>
      <c r="B309" s="54" t="s">
        <v>491</v>
      </c>
      <c r="C309" s="31">
        <v>4301051100</v>
      </c>
      <c r="D309" s="547">
        <v>4607091387766</v>
      </c>
      <c r="E309" s="548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4301051818</v>
      </c>
      <c r="D310" s="547">
        <v>4607091387957</v>
      </c>
      <c r="E310" s="548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4301051819</v>
      </c>
      <c r="D311" s="547">
        <v>4607091387964</v>
      </c>
      <c r="E311" s="548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499</v>
      </c>
      <c r="B312" s="54" t="s">
        <v>500</v>
      </c>
      <c r="C312" s="31">
        <v>4301051734</v>
      </c>
      <c r="D312" s="547">
        <v>4680115884588</v>
      </c>
      <c r="E312" s="548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hidden="1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1" t="s">
        <v>71</v>
      </c>
      <c r="Q314" s="562"/>
      <c r="R314" s="562"/>
      <c r="S314" s="562"/>
      <c r="T314" s="562"/>
      <c r="U314" s="562"/>
      <c r="V314" s="563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164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hidden="1" customHeight="1" x14ac:dyDescent="0.25">
      <c r="A316" s="54" t="s">
        <v>502</v>
      </c>
      <c r="B316" s="54" t="s">
        <v>503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505</v>
      </c>
      <c r="B317" s="54" t="s">
        <v>506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hidden="1" customHeight="1" x14ac:dyDescent="0.25">
      <c r="A318" s="54" t="s">
        <v>508</v>
      </c>
      <c r="B318" s="54" t="s">
        <v>509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hidden="1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1" t="s">
        <v>71</v>
      </c>
      <c r="Q320" s="562"/>
      <c r="R320" s="562"/>
      <c r="S320" s="562"/>
      <c r="T320" s="562"/>
      <c r="U320" s="562"/>
      <c r="V320" s="563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hidden="1" customHeight="1" x14ac:dyDescent="0.25">
      <c r="A322" s="54" t="s">
        <v>511</v>
      </c>
      <c r="B322" s="54" t="s">
        <v>512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11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520</v>
      </c>
      <c r="B325" s="54" t="s">
        <v>521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1" t="s">
        <v>71</v>
      </c>
      <c r="Q327" s="562"/>
      <c r="R327" s="562"/>
      <c r="S327" s="562"/>
      <c r="T327" s="562"/>
      <c r="U327" s="562"/>
      <c r="V327" s="563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59" t="s">
        <v>522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hidden="1" customHeight="1" x14ac:dyDescent="0.25">
      <c r="A329" s="54" t="s">
        <v>523</v>
      </c>
      <c r="B329" s="54" t="s">
        <v>524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6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529</v>
      </c>
      <c r="B331" s="54" t="s">
        <v>530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1" t="s">
        <v>71</v>
      </c>
      <c r="Q333" s="562"/>
      <c r="R333" s="562"/>
      <c r="S333" s="562"/>
      <c r="T333" s="562"/>
      <c r="U333" s="562"/>
      <c r="V333" s="563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8" t="s">
        <v>531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hidden="1" customHeight="1" x14ac:dyDescent="0.25">
      <c r="A336" s="54" t="s">
        <v>532</v>
      </c>
      <c r="B336" s="54" t="s">
        <v>533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hidden="1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1" t="s">
        <v>71</v>
      </c>
      <c r="Q340" s="562"/>
      <c r="R340" s="562"/>
      <c r="S340" s="562"/>
      <c r="T340" s="562"/>
      <c r="U340" s="562"/>
      <c r="V340" s="563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hidden="1" customHeight="1" x14ac:dyDescent="0.2">
      <c r="A341" s="570" t="s">
        <v>541</v>
      </c>
      <c r="B341" s="571"/>
      <c r="C341" s="571"/>
      <c r="D341" s="571"/>
      <c r="E341" s="571"/>
      <c r="F341" s="571"/>
      <c r="G341" s="571"/>
      <c r="H341" s="571"/>
      <c r="I341" s="571"/>
      <c r="J341" s="571"/>
      <c r="K341" s="571"/>
      <c r="L341" s="571"/>
      <c r="M341" s="571"/>
      <c r="N341" s="571"/>
      <c r="O341" s="571"/>
      <c r="P341" s="571"/>
      <c r="Q341" s="571"/>
      <c r="R341" s="571"/>
      <c r="S341" s="571"/>
      <c r="T341" s="571"/>
      <c r="U341" s="571"/>
      <c r="V341" s="571"/>
      <c r="W341" s="571"/>
      <c r="X341" s="571"/>
      <c r="Y341" s="571"/>
      <c r="Z341" s="571"/>
      <c r="AA341" s="48"/>
      <c r="AB341" s="48"/>
      <c r="AC341" s="48"/>
    </row>
    <row r="342" spans="1:68" ht="16.5" hidden="1" customHeight="1" x14ac:dyDescent="0.25">
      <c r="A342" s="558" t="s">
        <v>542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hidden="1" customHeight="1" x14ac:dyDescent="0.25">
      <c r="A344" s="54" t="s">
        <v>543</v>
      </c>
      <c r="B344" s="54" t="s">
        <v>544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7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hidden="1" customHeight="1" x14ac:dyDescent="0.25">
      <c r="A345" s="54" t="s">
        <v>546</v>
      </c>
      <c r="B345" s="54" t="s">
        <v>547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47">
        <v>4680115884830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150</v>
      </c>
      <c r="Y346" s="544">
        <f t="shared" si="36"/>
        <v>150</v>
      </c>
      <c r="Z346" s="36">
        <f>IFERROR(IF(Y346=0,"",ROUNDUP(Y346/H346,0)*0.02175),"")</f>
        <v>0.21749999999999997</v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154.69999999999999</v>
      </c>
      <c r="BN346" s="64">
        <f t="shared" si="38"/>
        <v>154.69999999999999</v>
      </c>
      <c r="BO346" s="64">
        <f t="shared" si="39"/>
        <v>0.20833333333333331</v>
      </c>
      <c r="BP346" s="64">
        <f t="shared" si="40"/>
        <v>0.20833333333333331</v>
      </c>
    </row>
    <row r="347" spans="1:68" ht="27" hidden="1" customHeight="1" x14ac:dyDescent="0.25">
      <c r="A347" s="54" t="s">
        <v>552</v>
      </c>
      <c r="B347" s="54" t="s">
        <v>553</v>
      </c>
      <c r="C347" s="31">
        <v>4301012215</v>
      </c>
      <c r="D347" s="547">
        <v>4680115887046</v>
      </c>
      <c r="E347" s="548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1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559</v>
      </c>
      <c r="B349" s="54" t="s">
        <v>560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561</v>
      </c>
      <c r="B350" s="54" t="s">
        <v>562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72</v>
      </c>
      <c r="X351" s="545">
        <f>IFERROR(X344/H344,"0")+IFERROR(X345/H345,"0")+IFERROR(X346/H346,"0")+IFERROR(X347/H347,"0")+IFERROR(X348/H348,"0")+IFERROR(X349/H349,"0")+IFERROR(X350/H350,"0")</f>
        <v>10</v>
      </c>
      <c r="Y351" s="545">
        <f>IFERROR(Y344/H344,"0")+IFERROR(Y345/H345,"0")+IFERROR(Y346/H346,"0")+IFERROR(Y347/H347,"0")+IFERROR(Y348/H348,"0")+IFERROR(Y349/H349,"0")+IFERROR(Y350/H350,"0")</f>
        <v>10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0.21749999999999997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1" t="s">
        <v>71</v>
      </c>
      <c r="Q352" s="562"/>
      <c r="R352" s="562"/>
      <c r="S352" s="562"/>
      <c r="T352" s="562"/>
      <c r="U352" s="562"/>
      <c r="V352" s="563"/>
      <c r="W352" s="37" t="s">
        <v>69</v>
      </c>
      <c r="X352" s="545">
        <f>IFERROR(SUM(X344:X350),"0")</f>
        <v>150</v>
      </c>
      <c r="Y352" s="545">
        <f>IFERROR(SUM(Y344:Y350),"0")</f>
        <v>150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300</v>
      </c>
      <c r="Y354" s="544">
        <f>IFERROR(IF(X354="",0,CEILING((X354/$H354),1)*$H354),"")</f>
        <v>300</v>
      </c>
      <c r="Z354" s="36">
        <f>IFERROR(IF(Y354=0,"",ROUNDUP(Y354/H354,0)*0.02175),"")</f>
        <v>0.43499999999999994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309.39999999999998</v>
      </c>
      <c r="BN354" s="64">
        <f>IFERROR(Y354*I354/H354,"0")</f>
        <v>309.39999999999998</v>
      </c>
      <c r="BO354" s="64">
        <f>IFERROR(1/J354*(X354/H354),"0")</f>
        <v>0.41666666666666663</v>
      </c>
      <c r="BP354" s="64">
        <f>IFERROR(1/J354*(Y354/H354),"0")</f>
        <v>0.41666666666666663</v>
      </c>
    </row>
    <row r="355" spans="1:68" ht="16.5" hidden="1" customHeight="1" x14ac:dyDescent="0.25">
      <c r="A355" s="54" t="s">
        <v>566</v>
      </c>
      <c r="B355" s="54" t="s">
        <v>567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72</v>
      </c>
      <c r="X356" s="545">
        <f>IFERROR(X354/H354,"0")+IFERROR(X355/H355,"0")</f>
        <v>20</v>
      </c>
      <c r="Y356" s="545">
        <f>IFERROR(Y354/H354,"0")+IFERROR(Y355/H355,"0")</f>
        <v>20</v>
      </c>
      <c r="Z356" s="545">
        <f>IFERROR(IF(Z354="",0,Z354),"0")+IFERROR(IF(Z355="",0,Z355),"0")</f>
        <v>0.43499999999999994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1" t="s">
        <v>71</v>
      </c>
      <c r="Q357" s="562"/>
      <c r="R357" s="562"/>
      <c r="S357" s="562"/>
      <c r="T357" s="562"/>
      <c r="U357" s="562"/>
      <c r="V357" s="563"/>
      <c r="W357" s="37" t="s">
        <v>69</v>
      </c>
      <c r="X357" s="545">
        <f>IFERROR(SUM(X354:X355),"0")</f>
        <v>300</v>
      </c>
      <c r="Y357" s="545">
        <f>IFERROR(SUM(Y354:Y355),"0")</f>
        <v>300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hidden="1" customHeight="1" x14ac:dyDescent="0.25">
      <c r="A359" s="54" t="s">
        <v>568</v>
      </c>
      <c r="B359" s="54" t="s">
        <v>569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571</v>
      </c>
      <c r="B360" s="54" t="s">
        <v>572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1" t="s">
        <v>71</v>
      </c>
      <c r="Q362" s="562"/>
      <c r="R362" s="562"/>
      <c r="S362" s="562"/>
      <c r="T362" s="562"/>
      <c r="U362" s="562"/>
      <c r="V362" s="563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164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hidden="1" customHeight="1" x14ac:dyDescent="0.25">
      <c r="A364" s="54" t="s">
        <v>574</v>
      </c>
      <c r="B364" s="54" t="s">
        <v>575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1" t="s">
        <v>71</v>
      </c>
      <c r="Q366" s="562"/>
      <c r="R366" s="562"/>
      <c r="S366" s="562"/>
      <c r="T366" s="562"/>
      <c r="U366" s="562"/>
      <c r="V366" s="563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8" t="s">
        <v>577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hidden="1" customHeight="1" x14ac:dyDescent="0.25">
      <c r="A369" s="54" t="s">
        <v>578</v>
      </c>
      <c r="B369" s="54" t="s">
        <v>579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581</v>
      </c>
      <c r="B370" s="54" t="s">
        <v>582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1" t="s">
        <v>71</v>
      </c>
      <c r="Q372" s="562"/>
      <c r="R372" s="562"/>
      <c r="S372" s="562"/>
      <c r="T372" s="562"/>
      <c r="U372" s="562"/>
      <c r="V372" s="563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hidden="1" customHeight="1" x14ac:dyDescent="0.25">
      <c r="A374" s="54" t="s">
        <v>583</v>
      </c>
      <c r="B374" s="54" t="s">
        <v>584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583</v>
      </c>
      <c r="B375" s="54" t="s">
        <v>586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1" t="s">
        <v>71</v>
      </c>
      <c r="Q377" s="562"/>
      <c r="R377" s="562"/>
      <c r="S377" s="562"/>
      <c r="T377" s="562"/>
      <c r="U377" s="562"/>
      <c r="V377" s="563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hidden="1" customHeight="1" x14ac:dyDescent="0.25">
      <c r="A379" s="54" t="s">
        <v>588</v>
      </c>
      <c r="B379" s="54" t="s">
        <v>589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1" t="s">
        <v>71</v>
      </c>
      <c r="Q382" s="562"/>
      <c r="R382" s="562"/>
      <c r="S382" s="562"/>
      <c r="T382" s="562"/>
      <c r="U382" s="562"/>
      <c r="V382" s="563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570" t="s">
        <v>593</v>
      </c>
      <c r="B383" s="571"/>
      <c r="C383" s="571"/>
      <c r="D383" s="571"/>
      <c r="E383" s="571"/>
      <c r="F383" s="571"/>
      <c r="G383" s="571"/>
      <c r="H383" s="571"/>
      <c r="I383" s="571"/>
      <c r="J383" s="571"/>
      <c r="K383" s="571"/>
      <c r="L383" s="571"/>
      <c r="M383" s="571"/>
      <c r="N383" s="571"/>
      <c r="O383" s="571"/>
      <c r="P383" s="571"/>
      <c r="Q383" s="571"/>
      <c r="R383" s="571"/>
      <c r="S383" s="571"/>
      <c r="T383" s="571"/>
      <c r="U383" s="571"/>
      <c r="V383" s="571"/>
      <c r="W383" s="571"/>
      <c r="X383" s="571"/>
      <c r="Y383" s="571"/>
      <c r="Z383" s="571"/>
      <c r="AA383" s="48"/>
      <c r="AB383" s="48"/>
      <c r="AC383" s="48"/>
    </row>
    <row r="384" spans="1:68" ht="16.5" hidden="1" customHeight="1" x14ac:dyDescent="0.25">
      <c r="A384" s="558" t="s">
        <v>594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hidden="1" customHeight="1" x14ac:dyDescent="0.25">
      <c r="A386" s="54" t="s">
        <v>595</v>
      </c>
      <c r="B386" s="54" t="s">
        <v>596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606</v>
      </c>
      <c r="B390" s="54" t="s">
        <v>607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608</v>
      </c>
      <c r="B391" s="54" t="s">
        <v>609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614</v>
      </c>
      <c r="B393" s="54" t="s">
        <v>615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617</v>
      </c>
      <c r="B394" s="54" t="s">
        <v>618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1" t="s">
        <v>71</v>
      </c>
      <c r="Q396" s="562"/>
      <c r="R396" s="562"/>
      <c r="S396" s="562"/>
      <c r="T396" s="562"/>
      <c r="U396" s="562"/>
      <c r="V396" s="563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hidden="1" customHeight="1" x14ac:dyDescent="0.25">
      <c r="A398" s="54" t="s">
        <v>619</v>
      </c>
      <c r="B398" s="54" t="s">
        <v>620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622</v>
      </c>
      <c r="B399" s="54" t="s">
        <v>623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1" t="s">
        <v>71</v>
      </c>
      <c r="Q401" s="562"/>
      <c r="R401" s="562"/>
      <c r="S401" s="562"/>
      <c r="T401" s="562"/>
      <c r="U401" s="562"/>
      <c r="V401" s="563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hidden="1" customHeight="1" x14ac:dyDescent="0.25">
      <c r="A404" s="54" t="s">
        <v>626</v>
      </c>
      <c r="B404" s="54" t="s">
        <v>627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1" t="s">
        <v>71</v>
      </c>
      <c r="Q406" s="562"/>
      <c r="R406" s="562"/>
      <c r="S406" s="562"/>
      <c r="T406" s="562"/>
      <c r="U406" s="562"/>
      <c r="V406" s="563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hidden="1" customHeight="1" x14ac:dyDescent="0.25">
      <c r="A408" s="54" t="s">
        <v>629</v>
      </c>
      <c r="B408" s="54" t="s">
        <v>630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638</v>
      </c>
      <c r="B411" s="54" t="s">
        <v>639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1" t="s">
        <v>71</v>
      </c>
      <c r="Q413" s="562"/>
      <c r="R413" s="562"/>
      <c r="S413" s="562"/>
      <c r="T413" s="562"/>
      <c r="U413" s="562"/>
      <c r="V413" s="563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640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hidden="1" customHeight="1" x14ac:dyDescent="0.25">
      <c r="A416" s="54" t="s">
        <v>641</v>
      </c>
      <c r="B416" s="54" t="s">
        <v>642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8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1" t="s">
        <v>71</v>
      </c>
      <c r="Q418" s="562"/>
      <c r="R418" s="562"/>
      <c r="S418" s="562"/>
      <c r="T418" s="562"/>
      <c r="U418" s="562"/>
      <c r="V418" s="563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70" t="s">
        <v>644</v>
      </c>
      <c r="B419" s="571"/>
      <c r="C419" s="571"/>
      <c r="D419" s="571"/>
      <c r="E419" s="571"/>
      <c r="F419" s="571"/>
      <c r="G419" s="571"/>
      <c r="H419" s="571"/>
      <c r="I419" s="571"/>
      <c r="J419" s="571"/>
      <c r="K419" s="571"/>
      <c r="L419" s="571"/>
      <c r="M419" s="571"/>
      <c r="N419" s="571"/>
      <c r="O419" s="571"/>
      <c r="P419" s="571"/>
      <c r="Q419" s="571"/>
      <c r="R419" s="571"/>
      <c r="S419" s="571"/>
      <c r="T419" s="571"/>
      <c r="U419" s="571"/>
      <c r="V419" s="571"/>
      <c r="W419" s="571"/>
      <c r="X419" s="571"/>
      <c r="Y419" s="571"/>
      <c r="Z419" s="571"/>
      <c r="AA419" s="48"/>
      <c r="AB419" s="48"/>
      <c r="AC419" s="48"/>
    </row>
    <row r="420" spans="1:68" ht="16.5" hidden="1" customHeight="1" x14ac:dyDescent="0.25">
      <c r="A420" s="558" t="s">
        <v>644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20</v>
      </c>
      <c r="Y422" s="544">
        <f t="shared" ref="Y422:Y432" si="47">IFERROR(IF(X422="",0,CEILING((X422/$H422),1)*$H422),"")</f>
        <v>21.12</v>
      </c>
      <c r="Z422" s="36">
        <f t="shared" ref="Z422:Z427" si="48">IFERROR(IF(Y422=0,"",ROUNDUP(Y422/H422,0)*0.01196),"")</f>
        <v>4.7840000000000001E-2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21.325757575757574</v>
      </c>
      <c r="BN422" s="64">
        <f t="shared" ref="BN422:BN432" si="50">IFERROR(Y422*I422/H422,"0")</f>
        <v>22.52</v>
      </c>
      <c r="BO422" s="64">
        <f t="shared" ref="BO422:BO432" si="51">IFERROR(1/J422*(X422/H422),"0")</f>
        <v>3.6421911421911424E-2</v>
      </c>
      <c r="BP422" s="64">
        <f t="shared" ref="BP422:BP432" si="52">IFERROR(1/J422*(Y422/H422),"0")</f>
        <v>3.8461538461538464E-2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653</v>
      </c>
      <c r="B425" s="54" t="s">
        <v>654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656</v>
      </c>
      <c r="B426" s="54" t="s">
        <v>657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9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3.7878787878787876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4.7840000000000001E-2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1" t="s">
        <v>71</v>
      </c>
      <c r="Q434" s="562"/>
      <c r="R434" s="562"/>
      <c r="S434" s="562"/>
      <c r="T434" s="562"/>
      <c r="U434" s="562"/>
      <c r="V434" s="563"/>
      <c r="W434" s="37" t="s">
        <v>69</v>
      </c>
      <c r="X434" s="545">
        <f>IFERROR(SUM(X422:X432),"0")</f>
        <v>20</v>
      </c>
      <c r="Y434" s="545">
        <f>IFERROR(SUM(Y422:Y432),"0")</f>
        <v>21.12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20</v>
      </c>
      <c r="Y436" s="544">
        <f>IFERROR(IF(X436="",0,CEILING((X436/$H436),1)*$H436),"")</f>
        <v>21.12</v>
      </c>
      <c r="Z436" s="36">
        <f>IFERROR(IF(Y436=0,"",ROUNDUP(Y436/H436,0)*0.01196),"")</f>
        <v>4.7840000000000001E-2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21.325757575757574</v>
      </c>
      <c r="BN436" s="64">
        <f>IFERROR(Y436*I436/H436,"0")</f>
        <v>22.52</v>
      </c>
      <c r="BO436" s="64">
        <f>IFERROR(1/J436*(X436/H436),"0")</f>
        <v>3.6421911421911424E-2</v>
      </c>
      <c r="BP436" s="64">
        <f>IFERROR(1/J436*(Y436/H436),"0")</f>
        <v>3.8461538461538464E-2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678</v>
      </c>
      <c r="B438" s="54" t="s">
        <v>679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72</v>
      </c>
      <c r="X439" s="545">
        <f>IFERROR(X436/H436,"0")+IFERROR(X437/H437,"0")+IFERROR(X438/H438,"0")</f>
        <v>3.7878787878787876</v>
      </c>
      <c r="Y439" s="545">
        <f>IFERROR(Y436/H436,"0")+IFERROR(Y437/H437,"0")+IFERROR(Y438/H438,"0")</f>
        <v>4</v>
      </c>
      <c r="Z439" s="545">
        <f>IFERROR(IF(Z436="",0,Z436),"0")+IFERROR(IF(Z437="",0,Z437),"0")+IFERROR(IF(Z438="",0,Z438),"0")</f>
        <v>4.7840000000000001E-2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1" t="s">
        <v>71</v>
      </c>
      <c r="Q440" s="562"/>
      <c r="R440" s="562"/>
      <c r="S440" s="562"/>
      <c r="T440" s="562"/>
      <c r="U440" s="562"/>
      <c r="V440" s="563"/>
      <c r="W440" s="37" t="s">
        <v>69</v>
      </c>
      <c r="X440" s="545">
        <f>IFERROR(SUM(X436:X438),"0")</f>
        <v>20</v>
      </c>
      <c r="Y440" s="545">
        <f>IFERROR(SUM(Y436:Y438),"0")</f>
        <v>21.12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hidden="1" customHeight="1" x14ac:dyDescent="0.25">
      <c r="A442" s="54" t="s">
        <v>680</v>
      </c>
      <c r="B442" s="54" t="s">
        <v>681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693</v>
      </c>
      <c r="B447" s="54" t="s">
        <v>694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idden="1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hidden="1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1" t="s">
        <v>71</v>
      </c>
      <c r="Q449" s="562"/>
      <c r="R449" s="562"/>
      <c r="S449" s="562"/>
      <c r="T449" s="562"/>
      <c r="U449" s="562"/>
      <c r="V449" s="563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hidden="1" customHeight="1" x14ac:dyDescent="0.25">
      <c r="A451" s="54" t="s">
        <v>695</v>
      </c>
      <c r="B451" s="54" t="s">
        <v>696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698</v>
      </c>
      <c r="B452" s="54" t="s">
        <v>699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701</v>
      </c>
      <c r="B453" s="54" t="s">
        <v>702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1" t="s">
        <v>71</v>
      </c>
      <c r="Q455" s="562"/>
      <c r="R455" s="562"/>
      <c r="S455" s="562"/>
      <c r="T455" s="562"/>
      <c r="U455" s="562"/>
      <c r="V455" s="563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70" t="s">
        <v>704</v>
      </c>
      <c r="B456" s="571"/>
      <c r="C456" s="571"/>
      <c r="D456" s="571"/>
      <c r="E456" s="571"/>
      <c r="F456" s="571"/>
      <c r="G456" s="571"/>
      <c r="H456" s="571"/>
      <c r="I456" s="571"/>
      <c r="J456" s="571"/>
      <c r="K456" s="571"/>
      <c r="L456" s="571"/>
      <c r="M456" s="571"/>
      <c r="N456" s="571"/>
      <c r="O456" s="571"/>
      <c r="P456" s="571"/>
      <c r="Q456" s="571"/>
      <c r="R456" s="571"/>
      <c r="S456" s="571"/>
      <c r="T456" s="571"/>
      <c r="U456" s="571"/>
      <c r="V456" s="571"/>
      <c r="W456" s="571"/>
      <c r="X456" s="571"/>
      <c r="Y456" s="571"/>
      <c r="Z456" s="571"/>
      <c r="AA456" s="48"/>
      <c r="AB456" s="48"/>
      <c r="AC456" s="48"/>
    </row>
    <row r="457" spans="1:68" ht="16.5" hidden="1" customHeight="1" x14ac:dyDescent="0.25">
      <c r="A457" s="558" t="s">
        <v>704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hidden="1" customHeight="1" x14ac:dyDescent="0.25">
      <c r="A459" s="54" t="s">
        <v>705</v>
      </c>
      <c r="B459" s="54" t="s">
        <v>706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714</v>
      </c>
      <c r="B462" s="54" t="s">
        <v>715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1" t="s">
        <v>71</v>
      </c>
      <c r="Q464" s="562"/>
      <c r="R464" s="562"/>
      <c r="S464" s="562"/>
      <c r="T464" s="562"/>
      <c r="U464" s="562"/>
      <c r="V464" s="563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hidden="1" customHeight="1" x14ac:dyDescent="0.25">
      <c r="A466" s="54" t="s">
        <v>716</v>
      </c>
      <c r="B466" s="54" t="s">
        <v>717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722</v>
      </c>
      <c r="B468" s="54" t="s">
        <v>723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1" t="s">
        <v>71</v>
      </c>
      <c r="Q470" s="562"/>
      <c r="R470" s="562"/>
      <c r="S470" s="562"/>
      <c r="T470" s="562"/>
      <c r="U470" s="562"/>
      <c r="V470" s="563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hidden="1" customHeight="1" x14ac:dyDescent="0.25">
      <c r="A472" s="54" t="s">
        <v>725</v>
      </c>
      <c r="B472" s="54" t="s">
        <v>726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30</v>
      </c>
      <c r="Y473" s="544">
        <f>IFERROR(IF(X473="",0,CEILING((X473/$H473),1)*$H473),"")</f>
        <v>33.6</v>
      </c>
      <c r="Z473" s="36">
        <f>IFERROR(IF(Y473=0,"",ROUNDUP(Y473/H473,0)*0.00902),"")</f>
        <v>7.2160000000000002E-2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31.785714285714285</v>
      </c>
      <c r="BN473" s="64">
        <f>IFERROR(Y473*I473/H473,"0")</f>
        <v>35.6</v>
      </c>
      <c r="BO473" s="64">
        <f>IFERROR(1/J473*(X473/H473),"0")</f>
        <v>5.4112554112554112E-2</v>
      </c>
      <c r="BP473" s="64">
        <f>IFERROR(1/J473*(Y473/H473),"0")</f>
        <v>6.0606060606060608E-2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72</v>
      </c>
      <c r="X474" s="545">
        <f>IFERROR(X472/H472,"0")+IFERROR(X473/H473,"0")</f>
        <v>7.1428571428571423</v>
      </c>
      <c r="Y474" s="545">
        <f>IFERROR(Y472/H472,"0")+IFERROR(Y473/H473,"0")</f>
        <v>8</v>
      </c>
      <c r="Z474" s="545">
        <f>IFERROR(IF(Z472="",0,Z472),"0")+IFERROR(IF(Z473="",0,Z473),"0")</f>
        <v>7.2160000000000002E-2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1" t="s">
        <v>71</v>
      </c>
      <c r="Q475" s="562"/>
      <c r="R475" s="562"/>
      <c r="S475" s="562"/>
      <c r="T475" s="562"/>
      <c r="U475" s="562"/>
      <c r="V475" s="563"/>
      <c r="W475" s="37" t="s">
        <v>69</v>
      </c>
      <c r="X475" s="545">
        <f>IFERROR(SUM(X472:X473),"0")</f>
        <v>30</v>
      </c>
      <c r="Y475" s="545">
        <f>IFERROR(SUM(Y472:Y473),"0")</f>
        <v>33.6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hidden="1" customHeight="1" x14ac:dyDescent="0.25">
      <c r="A477" s="54" t="s">
        <v>731</v>
      </c>
      <c r="B477" s="54" t="s">
        <v>732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1" t="s">
        <v>71</v>
      </c>
      <c r="Q479" s="562"/>
      <c r="R479" s="562"/>
      <c r="S479" s="562"/>
      <c r="T479" s="562"/>
      <c r="U479" s="562"/>
      <c r="V479" s="563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164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hidden="1" customHeight="1" x14ac:dyDescent="0.25">
      <c r="A481" s="54" t="s">
        <v>734</v>
      </c>
      <c r="B481" s="54" t="s">
        <v>735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1" t="s">
        <v>71</v>
      </c>
      <c r="Q484" s="562"/>
      <c r="R484" s="562"/>
      <c r="S484" s="562"/>
      <c r="T484" s="562"/>
      <c r="U484" s="562"/>
      <c r="V484" s="563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740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hidden="1" customHeight="1" x14ac:dyDescent="0.25">
      <c r="A487" s="54" t="s">
        <v>741</v>
      </c>
      <c r="B487" s="54" t="s">
        <v>742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1" t="s">
        <v>71</v>
      </c>
      <c r="Q489" s="562"/>
      <c r="R489" s="562"/>
      <c r="S489" s="562"/>
      <c r="T489" s="562"/>
      <c r="U489" s="562"/>
      <c r="V489" s="563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7"/>
      <c r="P490" s="643" t="s">
        <v>744</v>
      </c>
      <c r="Q490" s="644"/>
      <c r="R490" s="644"/>
      <c r="S490" s="644"/>
      <c r="T490" s="644"/>
      <c r="U490" s="644"/>
      <c r="V490" s="645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804.4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822.24000000000012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7"/>
      <c r="P491" s="643" t="s">
        <v>745</v>
      </c>
      <c r="Q491" s="644"/>
      <c r="R491" s="644"/>
      <c r="S491" s="644"/>
      <c r="T491" s="644"/>
      <c r="U491" s="644"/>
      <c r="V491" s="645"/>
      <c r="W491" s="37" t="s">
        <v>69</v>
      </c>
      <c r="X491" s="545">
        <f>IFERROR(SUM(BM22:BM487),"0")</f>
        <v>834.57405483405489</v>
      </c>
      <c r="Y491" s="545">
        <f>IFERROR(SUM(BN22:BN487),"0")</f>
        <v>853.31000000000006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7"/>
      <c r="P492" s="643" t="s">
        <v>746</v>
      </c>
      <c r="Q492" s="644"/>
      <c r="R492" s="644"/>
      <c r="S492" s="644"/>
      <c r="T492" s="644"/>
      <c r="U492" s="644"/>
      <c r="V492" s="645"/>
      <c r="W492" s="37" t="s">
        <v>747</v>
      </c>
      <c r="X492" s="38">
        <f>ROUNDUP(SUM(BO22:BO487),0)</f>
        <v>2</v>
      </c>
      <c r="Y492" s="38">
        <f>ROUNDUP(SUM(BP22:BP487),0)</f>
        <v>2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7"/>
      <c r="P493" s="643" t="s">
        <v>748</v>
      </c>
      <c r="Q493" s="644"/>
      <c r="R493" s="644"/>
      <c r="S493" s="644"/>
      <c r="T493" s="644"/>
      <c r="U493" s="644"/>
      <c r="V493" s="645"/>
      <c r="W493" s="37" t="s">
        <v>69</v>
      </c>
      <c r="X493" s="545">
        <f>GrossWeightTotal+PalletQtyTotal*25</f>
        <v>884.57405483405489</v>
      </c>
      <c r="Y493" s="545">
        <f>GrossWeightTotalR+PalletQtyTotalR*25</f>
        <v>903.31000000000006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7"/>
      <c r="P494" s="643" t="s">
        <v>749</v>
      </c>
      <c r="Q494" s="644"/>
      <c r="R494" s="644"/>
      <c r="S494" s="644"/>
      <c r="T494" s="644"/>
      <c r="U494" s="644"/>
      <c r="V494" s="645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78.08369408369407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81</v>
      </c>
      <c r="Z494" s="37"/>
      <c r="AA494" s="546"/>
      <c r="AB494" s="546"/>
      <c r="AC494" s="546"/>
    </row>
    <row r="495" spans="1:68" ht="14.25" hidden="1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17"/>
      <c r="P495" s="643" t="s">
        <v>750</v>
      </c>
      <c r="Q495" s="644"/>
      <c r="R495" s="644"/>
      <c r="S495" s="644"/>
      <c r="T495" s="644"/>
      <c r="U495" s="644"/>
      <c r="V495" s="645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1.3601000000000003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600" t="s">
        <v>99</v>
      </c>
      <c r="D497" s="603"/>
      <c r="E497" s="603"/>
      <c r="F497" s="603"/>
      <c r="G497" s="603"/>
      <c r="H497" s="604"/>
      <c r="I497" s="600" t="s">
        <v>255</v>
      </c>
      <c r="J497" s="603"/>
      <c r="K497" s="603"/>
      <c r="L497" s="603"/>
      <c r="M497" s="603"/>
      <c r="N497" s="603"/>
      <c r="O497" s="603"/>
      <c r="P497" s="603"/>
      <c r="Q497" s="603"/>
      <c r="R497" s="604"/>
      <c r="S497" s="600" t="s">
        <v>541</v>
      </c>
      <c r="T497" s="604"/>
      <c r="U497" s="600" t="s">
        <v>593</v>
      </c>
      <c r="V497" s="603"/>
      <c r="W497" s="604"/>
      <c r="X497" s="540" t="s">
        <v>644</v>
      </c>
      <c r="Y497" s="600" t="s">
        <v>704</v>
      </c>
      <c r="Z497" s="604"/>
      <c r="AB497" s="52"/>
      <c r="AC497" s="52"/>
      <c r="AF497" s="541"/>
    </row>
    <row r="498" spans="1:32" ht="14.25" customHeight="1" thickTop="1" x14ac:dyDescent="0.2">
      <c r="A498" s="617" t="s">
        <v>753</v>
      </c>
      <c r="B498" s="600" t="s">
        <v>63</v>
      </c>
      <c r="C498" s="600" t="s">
        <v>100</v>
      </c>
      <c r="D498" s="600" t="s">
        <v>117</v>
      </c>
      <c r="E498" s="600" t="s">
        <v>171</v>
      </c>
      <c r="F498" s="600" t="s">
        <v>190</v>
      </c>
      <c r="G498" s="600" t="s">
        <v>220</v>
      </c>
      <c r="H498" s="600" t="s">
        <v>99</v>
      </c>
      <c r="I498" s="600" t="s">
        <v>256</v>
      </c>
      <c r="J498" s="600" t="s">
        <v>301</v>
      </c>
      <c r="K498" s="600" t="s">
        <v>361</v>
      </c>
      <c r="L498" s="600" t="s">
        <v>403</v>
      </c>
      <c r="M498" s="600" t="s">
        <v>419</v>
      </c>
      <c r="N498" s="541"/>
      <c r="O498" s="600" t="s">
        <v>430</v>
      </c>
      <c r="P498" s="600" t="s">
        <v>439</v>
      </c>
      <c r="Q498" s="600" t="s">
        <v>453</v>
      </c>
      <c r="R498" s="600" t="s">
        <v>531</v>
      </c>
      <c r="S498" s="600" t="s">
        <v>542</v>
      </c>
      <c r="T498" s="600" t="s">
        <v>577</v>
      </c>
      <c r="U498" s="600" t="s">
        <v>594</v>
      </c>
      <c r="V498" s="600" t="s">
        <v>625</v>
      </c>
      <c r="W498" s="600" t="s">
        <v>640</v>
      </c>
      <c r="X498" s="600" t="s">
        <v>644</v>
      </c>
      <c r="Y498" s="600" t="s">
        <v>704</v>
      </c>
      <c r="Z498" s="600" t="s">
        <v>740</v>
      </c>
      <c r="AB498" s="52"/>
      <c r="AC498" s="52"/>
      <c r="AF498" s="541"/>
    </row>
    <row r="499" spans="1:32" ht="13.5" customHeight="1" thickBot="1" x14ac:dyDescent="0.25">
      <c r="A499" s="618"/>
      <c r="B499" s="601"/>
      <c r="C499" s="601"/>
      <c r="D499" s="601"/>
      <c r="E499" s="601"/>
      <c r="F499" s="601"/>
      <c r="G499" s="601"/>
      <c r="H499" s="601"/>
      <c r="I499" s="601"/>
      <c r="J499" s="601"/>
      <c r="K499" s="601"/>
      <c r="L499" s="601"/>
      <c r="M499" s="601"/>
      <c r="N499" s="541"/>
      <c r="O499" s="601"/>
      <c r="P499" s="601"/>
      <c r="Q499" s="601"/>
      <c r="R499" s="601"/>
      <c r="S499" s="601"/>
      <c r="T499" s="601"/>
      <c r="U499" s="601"/>
      <c r="V499" s="601"/>
      <c r="W499" s="601"/>
      <c r="X499" s="601"/>
      <c r="Y499" s="601"/>
      <c r="Z499" s="601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219.60000000000002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43.2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33.6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450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42.24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33.6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5,89"/>
        <filter val="150,00"/>
        <filter val="159,00"/>
        <filter val="2"/>
        <filter val="20,00"/>
        <filter val="3,70"/>
        <filter val="3,79"/>
        <filter val="30,00"/>
        <filter val="300,00"/>
        <filter val="40,00"/>
        <filter val="5,40"/>
        <filter val="50,00"/>
        <filter val="55,40"/>
        <filter val="6,63"/>
        <filter val="7,14"/>
        <filter val="78,08"/>
        <filter val="804,40"/>
        <filter val="834,57"/>
        <filter val="884,57"/>
        <filter val="9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P56:T56"/>
    <mergeCell ref="P344:T344"/>
    <mergeCell ref="A400:O401"/>
    <mergeCell ref="D257:E257"/>
    <mergeCell ref="P214:T214"/>
    <mergeCell ref="D213:E213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P79:T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  <mergeCell ref="D375:E37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2025-11-18T10:05:10Z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