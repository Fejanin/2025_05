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BBD72B5-CAA1-4E3D-A7E4-21B0F208622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X327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Y281" i="1" s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Y154" i="1" l="1"/>
  <c r="Y153" i="1"/>
  <c r="BP152" i="1"/>
  <c r="BN152" i="1"/>
  <c r="Z152" i="1"/>
  <c r="Z153" i="1" s="1"/>
  <c r="Y159" i="1"/>
  <c r="BP158" i="1"/>
  <c r="BN158" i="1"/>
  <c r="Z158" i="1"/>
  <c r="Z159" i="1" s="1"/>
  <c r="BP169" i="1"/>
  <c r="BN169" i="1"/>
  <c r="Z169" i="1"/>
  <c r="BP202" i="1"/>
  <c r="BN202" i="1"/>
  <c r="Z202" i="1"/>
  <c r="BP228" i="1"/>
  <c r="BN228" i="1"/>
  <c r="Z228" i="1"/>
  <c r="BP257" i="1"/>
  <c r="BN257" i="1"/>
  <c r="Z257" i="1"/>
  <c r="BP285" i="1"/>
  <c r="BN285" i="1"/>
  <c r="Z285" i="1"/>
  <c r="BP312" i="1"/>
  <c r="BN312" i="1"/>
  <c r="Z312" i="1"/>
  <c r="BP346" i="1"/>
  <c r="BN346" i="1"/>
  <c r="Z346" i="1"/>
  <c r="BP379" i="1"/>
  <c r="BN379" i="1"/>
  <c r="Z379" i="1"/>
  <c r="BP425" i="1"/>
  <c r="BN425" i="1"/>
  <c r="Z425" i="1"/>
  <c r="BP451" i="1"/>
  <c r="BN451" i="1"/>
  <c r="Z451" i="1"/>
  <c r="X491" i="1"/>
  <c r="X494" i="1"/>
  <c r="Z27" i="1"/>
  <c r="BN27" i="1"/>
  <c r="Z54" i="1"/>
  <c r="BN54" i="1"/>
  <c r="Z67" i="1"/>
  <c r="BN67" i="1"/>
  <c r="Z86" i="1"/>
  <c r="BN86" i="1"/>
  <c r="Z101" i="1"/>
  <c r="BN101" i="1"/>
  <c r="Z119" i="1"/>
  <c r="Z120" i="1" s="1"/>
  <c r="BN119" i="1"/>
  <c r="BP119" i="1"/>
  <c r="Y120" i="1"/>
  <c r="Z124" i="1"/>
  <c r="BN124" i="1"/>
  <c r="BP147" i="1"/>
  <c r="BN147" i="1"/>
  <c r="Z147" i="1"/>
  <c r="Y183" i="1"/>
  <c r="Y182" i="1"/>
  <c r="BP181" i="1"/>
  <c r="BN181" i="1"/>
  <c r="Z181" i="1"/>
  <c r="Z182" i="1" s="1"/>
  <c r="BP186" i="1"/>
  <c r="BN186" i="1"/>
  <c r="Z186" i="1"/>
  <c r="BP213" i="1"/>
  <c r="BN213" i="1"/>
  <c r="Z213" i="1"/>
  <c r="Y240" i="1"/>
  <c r="Y239" i="1"/>
  <c r="BP238" i="1"/>
  <c r="BN238" i="1"/>
  <c r="Z238" i="1"/>
  <c r="Z239" i="1" s="1"/>
  <c r="Y244" i="1"/>
  <c r="Y243" i="1"/>
  <c r="BP242" i="1"/>
  <c r="BN242" i="1"/>
  <c r="Z242" i="1"/>
  <c r="Z243" i="1" s="1"/>
  <c r="BP246" i="1"/>
  <c r="BN246" i="1"/>
  <c r="Z246" i="1"/>
  <c r="BP273" i="1"/>
  <c r="BN273" i="1"/>
  <c r="Z273" i="1"/>
  <c r="BP300" i="1"/>
  <c r="BN300" i="1"/>
  <c r="Z300" i="1"/>
  <c r="BP329" i="1"/>
  <c r="BN329" i="1"/>
  <c r="Z329" i="1"/>
  <c r="BP347" i="1"/>
  <c r="BN347" i="1"/>
  <c r="Z347" i="1"/>
  <c r="BP393" i="1"/>
  <c r="BN393" i="1"/>
  <c r="Z393" i="1"/>
  <c r="BP437" i="1"/>
  <c r="BN437" i="1"/>
  <c r="Z437" i="1"/>
  <c r="BP473" i="1"/>
  <c r="BN473" i="1"/>
  <c r="Z473" i="1"/>
  <c r="Y339" i="1"/>
  <c r="Y81" i="1"/>
  <c r="BP79" i="1"/>
  <c r="BN79" i="1"/>
  <c r="BP92" i="1"/>
  <c r="BN92" i="1"/>
  <c r="Z92" i="1"/>
  <c r="BP107" i="1"/>
  <c r="BN107" i="1"/>
  <c r="Z107" i="1"/>
  <c r="BP130" i="1"/>
  <c r="BN130" i="1"/>
  <c r="Z130" i="1"/>
  <c r="BP163" i="1"/>
  <c r="BN163" i="1"/>
  <c r="Z163" i="1"/>
  <c r="BP171" i="1"/>
  <c r="BN171" i="1"/>
  <c r="Z171" i="1"/>
  <c r="BP192" i="1"/>
  <c r="BN192" i="1"/>
  <c r="Z192" i="1"/>
  <c r="BP196" i="1"/>
  <c r="BN196" i="1"/>
  <c r="Z196" i="1"/>
  <c r="BP207" i="1"/>
  <c r="BN207" i="1"/>
  <c r="Z207" i="1"/>
  <c r="BP215" i="1"/>
  <c r="BN215" i="1"/>
  <c r="Z215" i="1"/>
  <c r="BP230" i="1"/>
  <c r="BN230" i="1"/>
  <c r="Z230" i="1"/>
  <c r="BP248" i="1"/>
  <c r="BN248" i="1"/>
  <c r="Z248" i="1"/>
  <c r="BP259" i="1"/>
  <c r="BN259" i="1"/>
  <c r="Z259" i="1"/>
  <c r="BP280" i="1"/>
  <c r="BN280" i="1"/>
  <c r="Z280" i="1"/>
  <c r="BP290" i="1"/>
  <c r="BN290" i="1"/>
  <c r="Z290" i="1"/>
  <c r="B500" i="1"/>
  <c r="X492" i="1"/>
  <c r="Y31" i="1"/>
  <c r="Z29" i="1"/>
  <c r="BN29" i="1"/>
  <c r="C500" i="1"/>
  <c r="Z52" i="1"/>
  <c r="BN52" i="1"/>
  <c r="Z56" i="1"/>
  <c r="BN56" i="1"/>
  <c r="Z62" i="1"/>
  <c r="BN62" i="1"/>
  <c r="Z73" i="1"/>
  <c r="BN73" i="1"/>
  <c r="Z79" i="1"/>
  <c r="BP99" i="1"/>
  <c r="BN99" i="1"/>
  <c r="Z99" i="1"/>
  <c r="BP115" i="1"/>
  <c r="BN115" i="1"/>
  <c r="Z115" i="1"/>
  <c r="BP141" i="1"/>
  <c r="BN141" i="1"/>
  <c r="Z141" i="1"/>
  <c r="BP167" i="1"/>
  <c r="BN167" i="1"/>
  <c r="Z167" i="1"/>
  <c r="BP177" i="1"/>
  <c r="BN177" i="1"/>
  <c r="Z177" i="1"/>
  <c r="BP200" i="1"/>
  <c r="BN200" i="1"/>
  <c r="Z200" i="1"/>
  <c r="BP211" i="1"/>
  <c r="BN211" i="1"/>
  <c r="Z211" i="1"/>
  <c r="BP226" i="1"/>
  <c r="BN226" i="1"/>
  <c r="Z226" i="1"/>
  <c r="BP234" i="1"/>
  <c r="BN234" i="1"/>
  <c r="Z234" i="1"/>
  <c r="Y261" i="1"/>
  <c r="BP255" i="1"/>
  <c r="BN255" i="1"/>
  <c r="Z255" i="1"/>
  <c r="BP266" i="1"/>
  <c r="BN266" i="1"/>
  <c r="Z266" i="1"/>
  <c r="BP294" i="1"/>
  <c r="BN294" i="1"/>
  <c r="Z294" i="1"/>
  <c r="BP310" i="1"/>
  <c r="BN310" i="1"/>
  <c r="Z310" i="1"/>
  <c r="Y327" i="1"/>
  <c r="BP322" i="1"/>
  <c r="BN322" i="1"/>
  <c r="Z322" i="1"/>
  <c r="Y326" i="1"/>
  <c r="BP331" i="1"/>
  <c r="BN331" i="1"/>
  <c r="Z331" i="1"/>
  <c r="BP349" i="1"/>
  <c r="BN349" i="1"/>
  <c r="Z349" i="1"/>
  <c r="BP387" i="1"/>
  <c r="BN387" i="1"/>
  <c r="Z387" i="1"/>
  <c r="BP399" i="1"/>
  <c r="BN399" i="1"/>
  <c r="Z399" i="1"/>
  <c r="Y405" i="1"/>
  <c r="BP404" i="1"/>
  <c r="BN404" i="1"/>
  <c r="Z404" i="1"/>
  <c r="Z405" i="1" s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136" i="1"/>
  <c r="Y252" i="1"/>
  <c r="BP302" i="1"/>
  <c r="BN302" i="1"/>
  <c r="Z302" i="1"/>
  <c r="BP316" i="1"/>
  <c r="BN316" i="1"/>
  <c r="Z316" i="1"/>
  <c r="BP323" i="1"/>
  <c r="BN323" i="1"/>
  <c r="Z323" i="1"/>
  <c r="BP338" i="1"/>
  <c r="BN338" i="1"/>
  <c r="Z338" i="1"/>
  <c r="BP344" i="1"/>
  <c r="BN344" i="1"/>
  <c r="Z344" i="1"/>
  <c r="BP375" i="1"/>
  <c r="BN375" i="1"/>
  <c r="Z375" i="1"/>
  <c r="BP391" i="1"/>
  <c r="BN391" i="1"/>
  <c r="Z391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Y381" i="1"/>
  <c r="Y455" i="1"/>
  <c r="Y454" i="1"/>
  <c r="H9" i="1"/>
  <c r="A10" i="1"/>
  <c r="Y24" i="1"/>
  <c r="Y32" i="1"/>
  <c r="Y36" i="1"/>
  <c r="Y44" i="1"/>
  <c r="Y48" i="1"/>
  <c r="Y57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Y286" i="1"/>
  <c r="BP330" i="1"/>
  <c r="BN330" i="1"/>
  <c r="Z330" i="1"/>
  <c r="Y332" i="1"/>
  <c r="D50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63" i="1"/>
  <c r="Z61" i="1"/>
  <c r="Z63" i="1" s="1"/>
  <c r="BN61" i="1"/>
  <c r="BP68" i="1"/>
  <c r="BN68" i="1"/>
  <c r="Z68" i="1"/>
  <c r="Y70" i="1"/>
  <c r="Y77" i="1"/>
  <c r="BP72" i="1"/>
  <c r="BN72" i="1"/>
  <c r="Z72" i="1"/>
  <c r="Y76" i="1"/>
  <c r="BP80" i="1"/>
  <c r="BN80" i="1"/>
  <c r="Z80" i="1"/>
  <c r="Y82" i="1"/>
  <c r="E500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Y131" i="1"/>
  <c r="BP135" i="1"/>
  <c r="BN135" i="1"/>
  <c r="Z135" i="1"/>
  <c r="Z136" i="1" s="1"/>
  <c r="Y137" i="1"/>
  <c r="H500" i="1"/>
  <c r="Y143" i="1"/>
  <c r="BP140" i="1"/>
  <c r="BN140" i="1"/>
  <c r="Z140" i="1"/>
  <c r="Z143" i="1" s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BP208" i="1"/>
  <c r="BN208" i="1"/>
  <c r="Z208" i="1"/>
  <c r="BP212" i="1"/>
  <c r="BN212" i="1"/>
  <c r="Z212" i="1"/>
  <c r="Y216" i="1"/>
  <c r="BP220" i="1"/>
  <c r="BN220" i="1"/>
  <c r="Z220" i="1"/>
  <c r="Z221" i="1" s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Y313" i="1"/>
  <c r="BP317" i="1"/>
  <c r="BN317" i="1"/>
  <c r="Z317" i="1"/>
  <c r="Y319" i="1"/>
  <c r="BP345" i="1"/>
  <c r="BN345" i="1"/>
  <c r="Z345" i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BP214" i="1"/>
  <c r="BN214" i="1"/>
  <c r="Z214" i="1"/>
  <c r="Y221" i="1"/>
  <c r="BP227" i="1"/>
  <c r="BN227" i="1"/>
  <c r="Z227" i="1"/>
  <c r="BP231" i="1"/>
  <c r="BN231" i="1"/>
  <c r="Z231" i="1"/>
  <c r="BP247" i="1"/>
  <c r="BN247" i="1"/>
  <c r="Z247" i="1"/>
  <c r="Y251" i="1"/>
  <c r="BP256" i="1"/>
  <c r="BN256" i="1"/>
  <c r="Z256" i="1"/>
  <c r="Y260" i="1"/>
  <c r="BP265" i="1"/>
  <c r="BN265" i="1"/>
  <c r="Z265" i="1"/>
  <c r="Z268" i="1" s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BP295" i="1"/>
  <c r="BN295" i="1"/>
  <c r="Z295" i="1"/>
  <c r="Y297" i="1"/>
  <c r="Y306" i="1"/>
  <c r="BP299" i="1"/>
  <c r="BN299" i="1"/>
  <c r="Z299" i="1"/>
  <c r="BP303" i="1"/>
  <c r="BN303" i="1"/>
  <c r="Z303" i="1"/>
  <c r="BP311" i="1"/>
  <c r="BN311" i="1"/>
  <c r="Z311" i="1"/>
  <c r="Y320" i="1"/>
  <c r="BP324" i="1"/>
  <c r="BN324" i="1"/>
  <c r="Z324" i="1"/>
  <c r="Y333" i="1"/>
  <c r="BP337" i="1"/>
  <c r="BN337" i="1"/>
  <c r="Z337" i="1"/>
  <c r="Z339" i="1" s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Y376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Y412" i="1"/>
  <c r="BP411" i="1"/>
  <c r="BN411" i="1"/>
  <c r="Z411" i="1"/>
  <c r="Z412" i="1" s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Z463" i="1" s="1"/>
  <c r="Y469" i="1"/>
  <c r="BP466" i="1"/>
  <c r="BN466" i="1"/>
  <c r="Z466" i="1"/>
  <c r="Z469" i="1" s="1"/>
  <c r="BP482" i="1"/>
  <c r="BN482" i="1"/>
  <c r="Z482" i="1"/>
  <c r="Y484" i="1"/>
  <c r="Z500" i="1"/>
  <c r="Y488" i="1"/>
  <c r="BP487" i="1"/>
  <c r="BN487" i="1"/>
  <c r="Z487" i="1"/>
  <c r="Z488" i="1" s="1"/>
  <c r="Y489" i="1"/>
  <c r="Z326" i="1" l="1"/>
  <c r="Z216" i="1"/>
  <c r="Z88" i="1"/>
  <c r="Z81" i="1"/>
  <c r="Z76" i="1"/>
  <c r="Z332" i="1"/>
  <c r="Z286" i="1"/>
  <c r="Z126" i="1"/>
  <c r="Z260" i="1"/>
  <c r="X493" i="1"/>
  <c r="Z204" i="1"/>
  <c r="Z103" i="1"/>
  <c r="Z483" i="1"/>
  <c r="Z439" i="1"/>
  <c r="Z448" i="1"/>
  <c r="Z400" i="1"/>
  <c r="Z376" i="1"/>
  <c r="Z306" i="1"/>
  <c r="Z296" i="1"/>
  <c r="Z251" i="1"/>
  <c r="Z351" i="1"/>
  <c r="Z319" i="1"/>
  <c r="Z109" i="1"/>
  <c r="Z57" i="1"/>
  <c r="Z178" i="1"/>
  <c r="Z433" i="1"/>
  <c r="Z235" i="1"/>
  <c r="Y492" i="1"/>
  <c r="Z149" i="1"/>
  <c r="Z69" i="1"/>
  <c r="Y490" i="1"/>
  <c r="Z395" i="1"/>
  <c r="Z313" i="1"/>
  <c r="Z172" i="1"/>
  <c r="Z43" i="1"/>
  <c r="Z31" i="1"/>
  <c r="Y494" i="1"/>
  <c r="Y491" i="1"/>
  <c r="Y493" i="1" s="1"/>
  <c r="Z275" i="1"/>
  <c r="Z116" i="1"/>
  <c r="Z95" i="1"/>
  <c r="Z495" i="1" l="1"/>
</calcChain>
</file>

<file path=xl/sharedStrings.xml><?xml version="1.0" encoding="utf-8"?>
<sst xmlns="http://schemas.openxmlformats.org/spreadsheetml/2006/main" count="2350" uniqueCount="771">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</sst>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9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2" t="s">
        <v>0</v>
      </c>
      <c r="E1" s="577"/>
      <c r="F1" s="577"/>
      <c r="G1" s="12" t="s">
        <v>1</v>
      </c>
      <c r="H1" s="632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82" t="s">
        <v>8</v>
      </c>
      <c r="B5" s="644"/>
      <c r="C5" s="645"/>
      <c r="D5" s="635"/>
      <c r="E5" s="636"/>
      <c r="F5" s="833" t="s">
        <v>9</v>
      </c>
      <c r="G5" s="645"/>
      <c r="H5" s="635" t="s">
        <v>770</v>
      </c>
      <c r="I5" s="787"/>
      <c r="J5" s="787"/>
      <c r="K5" s="787"/>
      <c r="L5" s="787"/>
      <c r="M5" s="636"/>
      <c r="N5" s="58"/>
      <c r="P5" s="24" t="s">
        <v>10</v>
      </c>
      <c r="Q5" s="849">
        <v>45981</v>
      </c>
      <c r="R5" s="673"/>
      <c r="T5" s="716" t="s">
        <v>11</v>
      </c>
      <c r="U5" s="717"/>
      <c r="V5" s="718" t="s">
        <v>12</v>
      </c>
      <c r="W5" s="673"/>
      <c r="AB5" s="51"/>
      <c r="AC5" s="51"/>
      <c r="AD5" s="51"/>
      <c r="AE5" s="51"/>
    </row>
    <row r="6" spans="1:32" s="537" customFormat="1" ht="24" customHeight="1" x14ac:dyDescent="0.2">
      <c r="A6" s="682" t="s">
        <v>13</v>
      </c>
      <c r="B6" s="644"/>
      <c r="C6" s="645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3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Четверг</v>
      </c>
      <c r="R6" s="548"/>
      <c r="T6" s="726" t="s">
        <v>16</v>
      </c>
      <c r="U6" s="717"/>
      <c r="V6" s="771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54"/>
      <c r="U7" s="717"/>
      <c r="V7" s="772"/>
      <c r="W7" s="773"/>
      <c r="AB7" s="51"/>
      <c r="AC7" s="51"/>
      <c r="AD7" s="51"/>
      <c r="AE7" s="51"/>
    </row>
    <row r="8" spans="1:32" s="537" customFormat="1" ht="25.5" customHeight="1" x14ac:dyDescent="0.2">
      <c r="A8" s="869" t="s">
        <v>18</v>
      </c>
      <c r="B8" s="562"/>
      <c r="C8" s="563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8">
        <v>0.41666666666666669</v>
      </c>
      <c r="R8" s="611"/>
      <c r="T8" s="554"/>
      <c r="U8" s="717"/>
      <c r="V8" s="772"/>
      <c r="W8" s="773"/>
      <c r="AB8" s="51"/>
      <c r="AC8" s="51"/>
      <c r="AD8" s="51"/>
      <c r="AE8" s="51"/>
    </row>
    <row r="9" spans="1:32" s="53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77"/>
      <c r="E9" s="568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5"/>
      <c r="P9" s="26" t="s">
        <v>21</v>
      </c>
      <c r="Q9" s="669"/>
      <c r="R9" s="670"/>
      <c r="T9" s="554"/>
      <c r="U9" s="717"/>
      <c r="V9" s="774"/>
      <c r="W9" s="775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77"/>
      <c r="E10" s="568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8" t="str">
        <f>IFERROR(VLOOKUP($D$10,Proxy,2,FALSE),"")</f>
        <v/>
      </c>
      <c r="I10" s="554"/>
      <c r="J10" s="554"/>
      <c r="K10" s="554"/>
      <c r="L10" s="554"/>
      <c r="M10" s="554"/>
      <c r="N10" s="536"/>
      <c r="P10" s="26" t="s">
        <v>22</v>
      </c>
      <c r="Q10" s="727"/>
      <c r="R10" s="728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7" t="s">
        <v>29</v>
      </c>
      <c r="B12" s="644"/>
      <c r="C12" s="644"/>
      <c r="D12" s="644"/>
      <c r="E12" s="644"/>
      <c r="F12" s="644"/>
      <c r="G12" s="644"/>
      <c r="H12" s="644"/>
      <c r="I12" s="644"/>
      <c r="J12" s="644"/>
      <c r="K12" s="644"/>
      <c r="L12" s="644"/>
      <c r="M12" s="645"/>
      <c r="N12" s="62"/>
      <c r="P12" s="24" t="s">
        <v>30</v>
      </c>
      <c r="Q12" s="688"/>
      <c r="R12" s="611"/>
      <c r="S12" s="23"/>
      <c r="U12" s="24"/>
      <c r="V12" s="577"/>
      <c r="W12" s="554"/>
      <c r="AB12" s="51"/>
      <c r="AC12" s="51"/>
      <c r="AD12" s="51"/>
      <c r="AE12" s="51"/>
    </row>
    <row r="13" spans="1:32" s="537" customFormat="1" ht="23.25" customHeight="1" x14ac:dyDescent="0.2">
      <c r="A13" s="707" t="s">
        <v>31</v>
      </c>
      <c r="B13" s="644"/>
      <c r="C13" s="644"/>
      <c r="D13" s="644"/>
      <c r="E13" s="644"/>
      <c r="F13" s="644"/>
      <c r="G13" s="644"/>
      <c r="H13" s="644"/>
      <c r="I13" s="644"/>
      <c r="J13" s="644"/>
      <c r="K13" s="644"/>
      <c r="L13" s="644"/>
      <c r="M13" s="645"/>
      <c r="N13" s="62"/>
      <c r="O13" s="26"/>
      <c r="P13" s="26" t="s">
        <v>32</v>
      </c>
      <c r="Q13" s="803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7" t="s">
        <v>33</v>
      </c>
      <c r="B14" s="644"/>
      <c r="C14" s="644"/>
      <c r="D14" s="644"/>
      <c r="E14" s="644"/>
      <c r="F14" s="644"/>
      <c r="G14" s="644"/>
      <c r="H14" s="644"/>
      <c r="I14" s="644"/>
      <c r="J14" s="644"/>
      <c r="K14" s="644"/>
      <c r="L14" s="644"/>
      <c r="M14" s="64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7" t="s">
        <v>34</v>
      </c>
      <c r="B15" s="644"/>
      <c r="C15" s="644"/>
      <c r="D15" s="644"/>
      <c r="E15" s="644"/>
      <c r="F15" s="644"/>
      <c r="G15" s="644"/>
      <c r="H15" s="644"/>
      <c r="I15" s="644"/>
      <c r="J15" s="644"/>
      <c r="K15" s="644"/>
      <c r="L15" s="644"/>
      <c r="M15" s="645"/>
      <c r="N15" s="63"/>
      <c r="P15" s="70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94" t="s">
        <v>38</v>
      </c>
      <c r="D17" s="587" t="s">
        <v>39</v>
      </c>
      <c r="E17" s="653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52"/>
      <c r="R17" s="652"/>
      <c r="S17" s="652"/>
      <c r="T17" s="653"/>
      <c r="U17" s="864" t="s">
        <v>51</v>
      </c>
      <c r="V17" s="645"/>
      <c r="W17" s="587" t="s">
        <v>52</v>
      </c>
      <c r="X17" s="587" t="s">
        <v>53</v>
      </c>
      <c r="Y17" s="861" t="s">
        <v>54</v>
      </c>
      <c r="Z17" s="78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54"/>
      <c r="E18" s="656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88"/>
      <c r="X18" s="588"/>
      <c r="Y18" s="862"/>
      <c r="Z18" s="783"/>
      <c r="AA18" s="757"/>
      <c r="AB18" s="757"/>
      <c r="AC18" s="757"/>
      <c r="AD18" s="830"/>
      <c r="AE18" s="831"/>
      <c r="AF18" s="832"/>
      <c r="AG18" s="66"/>
      <c r="BD18" s="65"/>
    </row>
    <row r="19" spans="1:68" ht="27.75" hidden="1" customHeight="1" x14ac:dyDescent="0.2">
      <c r="A19" s="570" t="s">
        <v>63</v>
      </c>
      <c r="B19" s="571"/>
      <c r="C19" s="571"/>
      <c r="D19" s="571"/>
      <c r="E19" s="571"/>
      <c r="F19" s="571"/>
      <c r="G19" s="571"/>
      <c r="H19" s="571"/>
      <c r="I19" s="571"/>
      <c r="J19" s="571"/>
      <c r="K19" s="571"/>
      <c r="L19" s="571"/>
      <c r="M19" s="571"/>
      <c r="N19" s="571"/>
      <c r="O19" s="571"/>
      <c r="P19" s="571"/>
      <c r="Q19" s="571"/>
      <c r="R19" s="571"/>
      <c r="S19" s="571"/>
      <c r="T19" s="571"/>
      <c r="U19" s="571"/>
      <c r="V19" s="571"/>
      <c r="W19" s="571"/>
      <c r="X19" s="571"/>
      <c r="Y19" s="571"/>
      <c r="Z19" s="571"/>
      <c r="AA19" s="48"/>
      <c r="AB19" s="48"/>
      <c r="AC19" s="48"/>
    </row>
    <row r="20" spans="1:68" ht="16.5" hidden="1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hidden="1" customHeight="1" x14ac:dyDescent="0.25">
      <c r="A21" s="559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9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9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70" t="s">
        <v>99</v>
      </c>
      <c r="B37" s="571"/>
      <c r="C37" s="571"/>
      <c r="D37" s="571"/>
      <c r="E37" s="571"/>
      <c r="F37" s="571"/>
      <c r="G37" s="571"/>
      <c r="H37" s="571"/>
      <c r="I37" s="571"/>
      <c r="J37" s="571"/>
      <c r="K37" s="571"/>
      <c r="L37" s="571"/>
      <c r="M37" s="571"/>
      <c r="N37" s="571"/>
      <c r="O37" s="571"/>
      <c r="P37" s="571"/>
      <c r="Q37" s="571"/>
      <c r="R37" s="571"/>
      <c r="S37" s="571"/>
      <c r="T37" s="571"/>
      <c r="U37" s="571"/>
      <c r="V37" s="571"/>
      <c r="W37" s="571"/>
      <c r="X37" s="571"/>
      <c r="Y37" s="571"/>
      <c r="Z37" s="571"/>
      <c r="AA37" s="48"/>
      <c r="AB37" s="48"/>
      <c r="AC37" s="48"/>
    </row>
    <row r="38" spans="1:68" ht="16.5" hidden="1" customHeight="1" x14ac:dyDescent="0.25">
      <c r="A38" s="558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hidden="1" customHeight="1" x14ac:dyDescent="0.25">
      <c r="A39" s="559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9"/>
      <c r="AB39" s="539"/>
      <c r="AC39" s="539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hidden="1" customHeight="1" x14ac:dyDescent="0.25">
      <c r="A45" s="559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hidden="1" customHeight="1" x14ac:dyDescent="0.25">
      <c r="A50" s="559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30</v>
      </c>
      <c r="Y51" s="544">
        <f t="shared" ref="Y51:Y56" si="0">IFERROR(IF(X51="",0,CEILING((X51/$H51),1)*$H51),"")</f>
        <v>33.599999999999994</v>
      </c>
      <c r="Z51" s="36">
        <f>IFERROR(IF(Y51=0,"",ROUNDUP(Y51/H51,0)*0.01898),"")</f>
        <v>5.6940000000000004E-2</v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31.098214285714285</v>
      </c>
      <c r="BN51" s="64">
        <f t="shared" ref="BN51:BN56" si="2">IFERROR(Y51*I51/H51,"0")</f>
        <v>34.829999999999991</v>
      </c>
      <c r="BO51" s="64">
        <f t="shared" ref="BO51:BO56" si="3">IFERROR(1/J51*(X51/H51),"0")</f>
        <v>4.1852678571428575E-2</v>
      </c>
      <c r="BP51" s="64">
        <f t="shared" ref="BP51:BP56" si="4">IFERROR(1/J51*(Y51/H51),"0")</f>
        <v>4.6874999999999993E-2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8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5">
        <f>IFERROR(X51/H51,"0")+IFERROR(X52/H52,"0")+IFERROR(X53/H53,"0")+IFERROR(X54/H54,"0")+IFERROR(X55/H55,"0")+IFERROR(X56/H56,"0")</f>
        <v>2.6785714285714288</v>
      </c>
      <c r="Y57" s="545">
        <f>IFERROR(Y51/H51,"0")+IFERROR(Y52/H52,"0")+IFERROR(Y53/H53,"0")+IFERROR(Y54/H54,"0")+IFERROR(Y55/H55,"0")+IFERROR(Y56/H56,"0")</f>
        <v>2.9999999999999996</v>
      </c>
      <c r="Z57" s="545">
        <f>IFERROR(IF(Z51="",0,Z51),"0")+IFERROR(IF(Z52="",0,Z52),"0")+IFERROR(IF(Z53="",0,Z53),"0")+IFERROR(IF(Z54="",0,Z54),"0")+IFERROR(IF(Z55="",0,Z55),"0")+IFERROR(IF(Z56="",0,Z56),"0")</f>
        <v>5.6940000000000004E-2</v>
      </c>
      <c r="AA57" s="546"/>
      <c r="AB57" s="546"/>
      <c r="AC57" s="546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5">
        <f>IFERROR(SUM(X51:X56),"0")</f>
        <v>30</v>
      </c>
      <c r="Y58" s="545">
        <f>IFERROR(SUM(Y51:Y56),"0")</f>
        <v>33.599999999999994</v>
      </c>
      <c r="Z58" s="37"/>
      <c r="AA58" s="546"/>
      <c r="AB58" s="546"/>
      <c r="AC58" s="546"/>
    </row>
    <row r="59" spans="1:68" ht="14.25" hidden="1" customHeight="1" x14ac:dyDescent="0.25">
      <c r="A59" s="559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750</v>
      </c>
      <c r="Y60" s="544">
        <f>IFERROR(IF(X60="",0,CEILING((X60/$H60),1)*$H60),"")</f>
        <v>756</v>
      </c>
      <c r="Z60" s="36">
        <f>IFERROR(IF(Y60=0,"",ROUNDUP(Y60/H60,0)*0.01898),"")</f>
        <v>1.3286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778.47222222222217</v>
      </c>
      <c r="BN60" s="64">
        <f>IFERROR(Y60*I60/H60,"0")</f>
        <v>784.69999999999993</v>
      </c>
      <c r="BO60" s="64">
        <f>IFERROR(1/J60*(X60/H60),"0")</f>
        <v>1.0850694444444444</v>
      </c>
      <c r="BP60" s="64">
        <f>IFERROR(1/J60*(Y60/H60),"0")</f>
        <v>1.09375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5">
        <f>IFERROR(X60/H60,"0")+IFERROR(X61/H61,"0")+IFERROR(X62/H62,"0")</f>
        <v>69.444444444444443</v>
      </c>
      <c r="Y63" s="545">
        <f>IFERROR(Y60/H60,"0")+IFERROR(Y61/H61,"0")+IFERROR(Y62/H62,"0")</f>
        <v>70</v>
      </c>
      <c r="Z63" s="545">
        <f>IFERROR(IF(Z60="",0,Z60),"0")+IFERROR(IF(Z61="",0,Z61),"0")+IFERROR(IF(Z62="",0,Z62),"0")</f>
        <v>1.3286</v>
      </c>
      <c r="AA63" s="546"/>
      <c r="AB63" s="546"/>
      <c r="AC63" s="546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5">
        <f>IFERROR(SUM(X60:X62),"0")</f>
        <v>750</v>
      </c>
      <c r="Y64" s="545">
        <f>IFERROR(SUM(Y60:Y62),"0")</f>
        <v>756</v>
      </c>
      <c r="Z64" s="37"/>
      <c r="AA64" s="546"/>
      <c r="AB64" s="546"/>
      <c r="AC64" s="546"/>
    </row>
    <row r="65" spans="1:68" ht="14.25" hidden="1" customHeight="1" x14ac:dyDescent="0.25">
      <c r="A65" s="559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9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9"/>
      <c r="AB71" s="539"/>
      <c r="AC71" s="539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61" t="s">
        <v>71</v>
      </c>
      <c r="Q76" s="562"/>
      <c r="R76" s="562"/>
      <c r="S76" s="562"/>
      <c r="T76" s="562"/>
      <c r="U76" s="562"/>
      <c r="V76" s="563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hidden="1" customHeight="1" x14ac:dyDescent="0.25">
      <c r="A78" s="559" t="s">
        <v>164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9"/>
      <c r="AB78" s="539"/>
      <c r="AC78" s="539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61" t="s">
        <v>71</v>
      </c>
      <c r="Q81" s="562"/>
      <c r="R81" s="562"/>
      <c r="S81" s="562"/>
      <c r="T81" s="562"/>
      <c r="U81" s="562"/>
      <c r="V81" s="563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hidden="1" customHeight="1" x14ac:dyDescent="0.25">
      <c r="A83" s="558" t="s">
        <v>171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8"/>
      <c r="AB83" s="538"/>
      <c r="AC83" s="538"/>
    </row>
    <row r="84" spans="1:68" ht="14.25" hidden="1" customHeight="1" x14ac:dyDescent="0.25">
      <c r="A84" s="559" t="s">
        <v>101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9"/>
      <c r="AB84" s="539"/>
      <c r="AC84" s="539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61" t="s">
        <v>71</v>
      </c>
      <c r="Q88" s="562"/>
      <c r="R88" s="562"/>
      <c r="S88" s="562"/>
      <c r="T88" s="562"/>
      <c r="U88" s="562"/>
      <c r="V88" s="563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hidden="1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hidden="1" customHeight="1" x14ac:dyDescent="0.25">
      <c r="A90" s="559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9"/>
      <c r="AB90" s="539"/>
      <c r="AC90" s="539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24</v>
      </c>
      <c r="Y91" s="544">
        <f>IFERROR(IF(X91="",0,CEILING((X91/$H91),1)*$H91),"")</f>
        <v>24.299999999999997</v>
      </c>
      <c r="Z91" s="36">
        <f>IFERROR(IF(Y91=0,"",ROUNDUP(Y91/H91,0)*0.01898),"")</f>
        <v>5.6940000000000004E-2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25.4637037037037</v>
      </c>
      <c r="BN91" s="64">
        <f>IFERROR(Y91*I91/H91,"0")</f>
        <v>25.781999999999996</v>
      </c>
      <c r="BO91" s="64">
        <f>IFERROR(1/J91*(X91/H91),"0")</f>
        <v>4.6296296296296301E-2</v>
      </c>
      <c r="BP91" s="64">
        <f>IFERROR(1/J91*(Y91/H91),"0")</f>
        <v>4.6875E-2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61" t="s">
        <v>71</v>
      </c>
      <c r="Q95" s="562"/>
      <c r="R95" s="562"/>
      <c r="S95" s="562"/>
      <c r="T95" s="562"/>
      <c r="U95" s="562"/>
      <c r="V95" s="563"/>
      <c r="W95" s="37" t="s">
        <v>72</v>
      </c>
      <c r="X95" s="545">
        <f>IFERROR(X91/H91,"0")+IFERROR(X92/H92,"0")+IFERROR(X93/H93,"0")+IFERROR(X94/H94,"0")</f>
        <v>2.9629629629629632</v>
      </c>
      <c r="Y95" s="545">
        <f>IFERROR(Y91/H91,"0")+IFERROR(Y92/H92,"0")+IFERROR(Y93/H93,"0")+IFERROR(Y94/H94,"0")</f>
        <v>3</v>
      </c>
      <c r="Z95" s="545">
        <f>IFERROR(IF(Z91="",0,Z91),"0")+IFERROR(IF(Z92="",0,Z92),"0")+IFERROR(IF(Z93="",0,Z93),"0")+IFERROR(IF(Z94="",0,Z94),"0")</f>
        <v>5.6940000000000004E-2</v>
      </c>
      <c r="AA95" s="546"/>
      <c r="AB95" s="546"/>
      <c r="AC95" s="546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69</v>
      </c>
      <c r="X96" s="545">
        <f>IFERROR(SUM(X91:X94),"0")</f>
        <v>24</v>
      </c>
      <c r="Y96" s="545">
        <f>IFERROR(SUM(Y91:Y94),"0")</f>
        <v>24.299999999999997</v>
      </c>
      <c r="Z96" s="37"/>
      <c r="AA96" s="546"/>
      <c r="AB96" s="546"/>
      <c r="AC96" s="546"/>
    </row>
    <row r="97" spans="1:68" ht="16.5" hidden="1" customHeight="1" x14ac:dyDescent="0.25">
      <c r="A97" s="558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8"/>
      <c r="AB97" s="538"/>
      <c r="AC97" s="538"/>
    </row>
    <row r="98" spans="1:68" ht="14.25" hidden="1" customHeight="1" x14ac:dyDescent="0.25">
      <c r="A98" s="559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9"/>
      <c r="AB98" s="539"/>
      <c r="AC98" s="539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61" t="s">
        <v>71</v>
      </c>
      <c r="Q103" s="562"/>
      <c r="R103" s="562"/>
      <c r="S103" s="562"/>
      <c r="T103" s="562"/>
      <c r="U103" s="562"/>
      <c r="V103" s="563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hidden="1" customHeight="1" x14ac:dyDescent="0.25">
      <c r="A105" s="559" t="s">
        <v>136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9"/>
      <c r="AB105" s="539"/>
      <c r="AC105" s="539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61" t="s">
        <v>71</v>
      </c>
      <c r="Q109" s="562"/>
      <c r="R109" s="562"/>
      <c r="S109" s="562"/>
      <c r="T109" s="562"/>
      <c r="U109" s="562"/>
      <c r="V109" s="563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hidden="1" customHeight="1" x14ac:dyDescent="0.25">
      <c r="A111" s="559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9"/>
      <c r="AB111" s="539"/>
      <c r="AC111" s="539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120</v>
      </c>
      <c r="Y112" s="544">
        <f>IFERROR(IF(X112="",0,CEILING((X112/$H112),1)*$H112),"")</f>
        <v>121.5</v>
      </c>
      <c r="Z112" s="36">
        <f>IFERROR(IF(Y112=0,"",ROUNDUP(Y112/H112,0)*0.01898),"")</f>
        <v>0.28470000000000001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127.22962962962963</v>
      </c>
      <c r="BN112" s="64">
        <f>IFERROR(Y112*I112/H112,"0")</f>
        <v>128.82</v>
      </c>
      <c r="BO112" s="64">
        <f>IFERROR(1/J112*(X112/H112),"0")</f>
        <v>0.23148148148148148</v>
      </c>
      <c r="BP112" s="64">
        <f>IFERROR(1/J112*(Y112/H112),"0")</f>
        <v>0.234375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61" t="s">
        <v>71</v>
      </c>
      <c r="Q116" s="562"/>
      <c r="R116" s="562"/>
      <c r="S116" s="562"/>
      <c r="T116" s="562"/>
      <c r="U116" s="562"/>
      <c r="V116" s="563"/>
      <c r="W116" s="37" t="s">
        <v>72</v>
      </c>
      <c r="X116" s="545">
        <f>IFERROR(X112/H112,"0")+IFERROR(X113/H113,"0")+IFERROR(X114/H114,"0")+IFERROR(X115/H115,"0")</f>
        <v>14.814814814814815</v>
      </c>
      <c r="Y116" s="545">
        <f>IFERROR(Y112/H112,"0")+IFERROR(Y113/H113,"0")+IFERROR(Y114/H114,"0")+IFERROR(Y115/H115,"0")</f>
        <v>15</v>
      </c>
      <c r="Z116" s="545">
        <f>IFERROR(IF(Z112="",0,Z112),"0")+IFERROR(IF(Z113="",0,Z113),"0")+IFERROR(IF(Z114="",0,Z114),"0")+IFERROR(IF(Z115="",0,Z115),"0")</f>
        <v>0.28470000000000001</v>
      </c>
      <c r="AA116" s="546"/>
      <c r="AB116" s="546"/>
      <c r="AC116" s="546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69</v>
      </c>
      <c r="X117" s="545">
        <f>IFERROR(SUM(X112:X115),"0")</f>
        <v>120</v>
      </c>
      <c r="Y117" s="545">
        <f>IFERROR(SUM(Y112:Y115),"0")</f>
        <v>121.5</v>
      </c>
      <c r="Z117" s="37"/>
      <c r="AA117" s="546"/>
      <c r="AB117" s="546"/>
      <c r="AC117" s="546"/>
    </row>
    <row r="118" spans="1:68" ht="14.25" hidden="1" customHeight="1" x14ac:dyDescent="0.25">
      <c r="A118" s="559" t="s">
        <v>164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9"/>
      <c r="AB118" s="539"/>
      <c r="AC118" s="539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61" t="s">
        <v>71</v>
      </c>
      <c r="Q120" s="562"/>
      <c r="R120" s="562"/>
      <c r="S120" s="562"/>
      <c r="T120" s="562"/>
      <c r="U120" s="562"/>
      <c r="V120" s="563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58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8"/>
      <c r="AB122" s="538"/>
      <c r="AC122" s="538"/>
    </row>
    <row r="123" spans="1:68" ht="14.25" hidden="1" customHeight="1" x14ac:dyDescent="0.25">
      <c r="A123" s="559" t="s">
        <v>101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9"/>
      <c r="AB123" s="539"/>
      <c r="AC123" s="539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118.4</v>
      </c>
      <c r="Y124" s="544">
        <f>IFERROR(IF(X124="",0,CEILING((X124/$H124),1)*$H124),"")</f>
        <v>118.4</v>
      </c>
      <c r="Z124" s="36">
        <f>IFERROR(IF(Y124=0,"",ROUNDUP(Y124/H124,0)*0.00651),"")</f>
        <v>0.24087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125.06</v>
      </c>
      <c r="BN124" s="64">
        <f>IFERROR(Y124*I124/H124,"0")</f>
        <v>125.06</v>
      </c>
      <c r="BO124" s="64">
        <f>IFERROR(1/J124*(X124/H124),"0")</f>
        <v>0.20329670329670332</v>
      </c>
      <c r="BP124" s="64">
        <f>IFERROR(1/J124*(Y124/H124),"0")</f>
        <v>0.20329670329670332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61" t="s">
        <v>71</v>
      </c>
      <c r="Q126" s="562"/>
      <c r="R126" s="562"/>
      <c r="S126" s="562"/>
      <c r="T126" s="562"/>
      <c r="U126" s="562"/>
      <c r="V126" s="563"/>
      <c r="W126" s="37" t="s">
        <v>72</v>
      </c>
      <c r="X126" s="545">
        <f>IFERROR(X124/H124,"0")+IFERROR(X125/H125,"0")</f>
        <v>37</v>
      </c>
      <c r="Y126" s="545">
        <f>IFERROR(Y124/H124,"0")+IFERROR(Y125/H125,"0")</f>
        <v>37</v>
      </c>
      <c r="Z126" s="545">
        <f>IFERROR(IF(Z124="",0,Z124),"0")+IFERROR(IF(Z125="",0,Z125),"0")</f>
        <v>0.24087</v>
      </c>
      <c r="AA126" s="546"/>
      <c r="AB126" s="546"/>
      <c r="AC126" s="546"/>
    </row>
    <row r="127" spans="1:68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69</v>
      </c>
      <c r="X127" s="545">
        <f>IFERROR(SUM(X124:X125),"0")</f>
        <v>118.4</v>
      </c>
      <c r="Y127" s="545">
        <f>IFERROR(SUM(Y124:Y125),"0")</f>
        <v>118.4</v>
      </c>
      <c r="Z127" s="37"/>
      <c r="AA127" s="546"/>
      <c r="AB127" s="546"/>
      <c r="AC127" s="546"/>
    </row>
    <row r="128" spans="1:68" ht="14.25" hidden="1" customHeight="1" x14ac:dyDescent="0.25">
      <c r="A128" s="559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9"/>
      <c r="AB128" s="539"/>
      <c r="AC128" s="539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5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61" t="s">
        <v>71</v>
      </c>
      <c r="Q131" s="562"/>
      <c r="R131" s="562"/>
      <c r="S131" s="562"/>
      <c r="T131" s="562"/>
      <c r="U131" s="562"/>
      <c r="V131" s="563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hidden="1" customHeight="1" x14ac:dyDescent="0.25">
      <c r="A133" s="559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9"/>
      <c r="AB133" s="539"/>
      <c r="AC133" s="539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13</v>
      </c>
      <c r="Y134" s="544">
        <f>IFERROR(IF(X134="",0,CEILING((X134/$H134),1)*$H134),"")</f>
        <v>13.200000000000001</v>
      </c>
      <c r="Z134" s="36">
        <f>IFERROR(IF(Y134=0,"",ROUNDUP(Y134/H134,0)*0.00651),"")</f>
        <v>3.2550000000000003E-2</v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14.31969696969697</v>
      </c>
      <c r="BN134" s="64">
        <f>IFERROR(Y134*I134/H134,"0")</f>
        <v>14.540000000000001</v>
      </c>
      <c r="BO134" s="64">
        <f>IFERROR(1/J134*(X134/H134),"0")</f>
        <v>2.7056277056277056E-2</v>
      </c>
      <c r="BP134" s="64">
        <f>IFERROR(1/J134*(Y134/H134),"0")</f>
        <v>2.7472527472527476E-2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61" t="s">
        <v>71</v>
      </c>
      <c r="Q136" s="562"/>
      <c r="R136" s="562"/>
      <c r="S136" s="562"/>
      <c r="T136" s="562"/>
      <c r="U136" s="562"/>
      <c r="V136" s="563"/>
      <c r="W136" s="37" t="s">
        <v>72</v>
      </c>
      <c r="X136" s="545">
        <f>IFERROR(X134/H134,"0")+IFERROR(X135/H135,"0")</f>
        <v>4.9242424242424239</v>
      </c>
      <c r="Y136" s="545">
        <f>IFERROR(Y134/H134,"0")+IFERROR(Y135/H135,"0")</f>
        <v>5</v>
      </c>
      <c r="Z136" s="545">
        <f>IFERROR(IF(Z134="",0,Z134),"0")+IFERROR(IF(Z135="",0,Z135),"0")</f>
        <v>3.2550000000000003E-2</v>
      </c>
      <c r="AA136" s="546"/>
      <c r="AB136" s="546"/>
      <c r="AC136" s="546"/>
    </row>
    <row r="137" spans="1:68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69</v>
      </c>
      <c r="X137" s="545">
        <f>IFERROR(SUM(X134:X135),"0")</f>
        <v>13</v>
      </c>
      <c r="Y137" s="545">
        <f>IFERROR(SUM(Y134:Y135),"0")</f>
        <v>13.200000000000001</v>
      </c>
      <c r="Z137" s="37"/>
      <c r="AA137" s="546"/>
      <c r="AB137" s="546"/>
      <c r="AC137" s="546"/>
    </row>
    <row r="138" spans="1:68" ht="16.5" hidden="1" customHeight="1" x14ac:dyDescent="0.25">
      <c r="A138" s="558" t="s">
        <v>99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8"/>
      <c r="AB138" s="538"/>
      <c r="AC138" s="538"/>
    </row>
    <row r="139" spans="1:68" ht="14.25" hidden="1" customHeight="1" x14ac:dyDescent="0.25">
      <c r="A139" s="559" t="s">
        <v>101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9"/>
      <c r="AB139" s="539"/>
      <c r="AC139" s="539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2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7">
        <v>4680115886810</v>
      </c>
      <c r="E142" s="548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8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3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61" t="s">
        <v>71</v>
      </c>
      <c r="Q143" s="562"/>
      <c r="R143" s="562"/>
      <c r="S143" s="562"/>
      <c r="T143" s="562"/>
      <c r="U143" s="562"/>
      <c r="V143" s="563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4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59" t="s">
        <v>64</v>
      </c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539"/>
      <c r="AB145" s="539"/>
      <c r="AC145" s="539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3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61" t="s">
        <v>71</v>
      </c>
      <c r="Q149" s="562"/>
      <c r="R149" s="562"/>
      <c r="S149" s="562"/>
      <c r="T149" s="562"/>
      <c r="U149" s="562"/>
      <c r="V149" s="563"/>
      <c r="W149" s="37" t="s">
        <v>72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hidden="1" x14ac:dyDescent="0.2">
      <c r="A150" s="554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69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hidden="1" customHeight="1" x14ac:dyDescent="0.25">
      <c r="A151" s="559" t="s">
        <v>73</v>
      </c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539"/>
      <c r="AB151" s="539"/>
      <c r="AC151" s="539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4" t="s">
        <v>252</v>
      </c>
      <c r="Q152" s="550"/>
      <c r="R152" s="550"/>
      <c r="S152" s="550"/>
      <c r="T152" s="551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3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61" t="s">
        <v>71</v>
      </c>
      <c r="Q153" s="562"/>
      <c r="R153" s="562"/>
      <c r="S153" s="562"/>
      <c r="T153" s="562"/>
      <c r="U153" s="562"/>
      <c r="V153" s="563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4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570" t="s">
        <v>255</v>
      </c>
      <c r="B155" s="571"/>
      <c r="C155" s="571"/>
      <c r="D155" s="571"/>
      <c r="E155" s="571"/>
      <c r="F155" s="571"/>
      <c r="G155" s="571"/>
      <c r="H155" s="571"/>
      <c r="I155" s="571"/>
      <c r="J155" s="571"/>
      <c r="K155" s="571"/>
      <c r="L155" s="571"/>
      <c r="M155" s="571"/>
      <c r="N155" s="571"/>
      <c r="O155" s="571"/>
      <c r="P155" s="571"/>
      <c r="Q155" s="571"/>
      <c r="R155" s="571"/>
      <c r="S155" s="571"/>
      <c r="T155" s="571"/>
      <c r="U155" s="571"/>
      <c r="V155" s="571"/>
      <c r="W155" s="571"/>
      <c r="X155" s="571"/>
      <c r="Y155" s="571"/>
      <c r="Z155" s="571"/>
      <c r="AA155" s="48"/>
      <c r="AB155" s="48"/>
      <c r="AC155" s="48"/>
    </row>
    <row r="156" spans="1:68" ht="16.5" hidden="1" customHeight="1" x14ac:dyDescent="0.25">
      <c r="A156" s="558" t="s">
        <v>256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8"/>
      <c r="AB156" s="538"/>
      <c r="AC156" s="538"/>
    </row>
    <row r="157" spans="1:68" ht="14.25" hidden="1" customHeight="1" x14ac:dyDescent="0.25">
      <c r="A157" s="559" t="s">
        <v>136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9"/>
      <c r="AB157" s="539"/>
      <c r="AC157" s="539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3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61" t="s">
        <v>71</v>
      </c>
      <c r="Q159" s="562"/>
      <c r="R159" s="562"/>
      <c r="S159" s="562"/>
      <c r="T159" s="562"/>
      <c r="U159" s="562"/>
      <c r="V159" s="563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4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59" t="s">
        <v>64</v>
      </c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539"/>
      <c r="AB161" s="539"/>
      <c r="AC161" s="539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7">
        <v>4680115887213</v>
      </c>
      <c r="E162" s="548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93" t="s">
        <v>262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1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20</v>
      </c>
      <c r="Y163" s="544">
        <f t="shared" si="5"/>
        <v>21</v>
      </c>
      <c r="Z163" s="36">
        <f>IFERROR(IF(Y163=0,"",ROUNDUP(Y163/H163,0)*0.00902),"")</f>
        <v>4.5100000000000001E-2</v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21.19047619047619</v>
      </c>
      <c r="BN163" s="64">
        <f t="shared" si="7"/>
        <v>22.25</v>
      </c>
      <c r="BO163" s="64">
        <f t="shared" si="8"/>
        <v>3.6075036075036072E-2</v>
      </c>
      <c r="BP163" s="64">
        <f t="shared" si="9"/>
        <v>3.787878787878788E-2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70</v>
      </c>
      <c r="Y165" s="544">
        <f t="shared" si="5"/>
        <v>71.400000000000006</v>
      </c>
      <c r="Z165" s="36">
        <f>IFERROR(IF(Y165=0,"",ROUNDUP(Y165/H165,0)*0.00902),"")</f>
        <v>0.15334</v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73.166666666666657</v>
      </c>
      <c r="BN165" s="64">
        <f t="shared" si="7"/>
        <v>74.63000000000001</v>
      </c>
      <c r="BO165" s="64">
        <f t="shared" si="8"/>
        <v>0.12626262626262624</v>
      </c>
      <c r="BP165" s="64">
        <f t="shared" si="9"/>
        <v>0.12878787878787878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8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5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21.428571428571427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22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0.19844000000000001</v>
      </c>
      <c r="AA172" s="546"/>
      <c r="AB172" s="546"/>
      <c r="AC172" s="546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5">
        <f>IFERROR(SUM(X162:X171),"0")</f>
        <v>90</v>
      </c>
      <c r="Y173" s="545">
        <f>IFERROR(SUM(Y162:Y171),"0")</f>
        <v>92.4</v>
      </c>
      <c r="Z173" s="37"/>
      <c r="AA173" s="546"/>
      <c r="AB173" s="546"/>
      <c r="AC173" s="546"/>
    </row>
    <row r="174" spans="1:68" ht="14.25" hidden="1" customHeight="1" x14ac:dyDescent="0.25">
      <c r="A174" s="559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9"/>
      <c r="AB174" s="539"/>
      <c r="AC174" s="539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9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6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59" t="s">
        <v>298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9"/>
      <c r="AB180" s="539"/>
      <c r="AC180" s="539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8" t="s">
        <v>301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hidden="1" customHeight="1" x14ac:dyDescent="0.25">
      <c r="A185" s="559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9"/>
      <c r="AB185" s="539"/>
      <c r="AC185" s="539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56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59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9"/>
      <c r="AB190" s="539"/>
      <c r="AC190" s="539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59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9"/>
      <c r="AB195" s="539"/>
      <c r="AC195" s="539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550</v>
      </c>
      <c r="Y196" s="544">
        <f t="shared" ref="Y196:Y203" si="10">IFERROR(IF(X196="",0,CEILING((X196/$H196),1)*$H196),"")</f>
        <v>550.80000000000007</v>
      </c>
      <c r="Z196" s="36">
        <f>IFERROR(IF(Y196=0,"",ROUNDUP(Y196/H196,0)*0.00902),"")</f>
        <v>0.92003999999999997</v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569.35185185185185</v>
      </c>
      <c r="BN196" s="64">
        <f t="shared" ref="BN196:BN203" si="12">IFERROR(Y196*I196/H196,"0")</f>
        <v>570.17999999999995</v>
      </c>
      <c r="BO196" s="64">
        <f t="shared" ref="BO196:BO203" si="13">IFERROR(1/J196*(X196/H196),"0")</f>
        <v>0.77160493827160492</v>
      </c>
      <c r="BP196" s="64">
        <f t="shared" ref="BP196:BP203" si="14">IFERROR(1/J196*(Y196/H196),"0")</f>
        <v>0.77272727272727271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400</v>
      </c>
      <c r="Y197" s="544">
        <f t="shared" si="10"/>
        <v>405</v>
      </c>
      <c r="Z197" s="36">
        <f>IFERROR(IF(Y197=0,"",ROUNDUP(Y197/H197,0)*0.00902),"")</f>
        <v>0.67649999999999999</v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414.07407407407402</v>
      </c>
      <c r="BN197" s="64">
        <f t="shared" si="12"/>
        <v>419.24999999999994</v>
      </c>
      <c r="BO197" s="64">
        <f t="shared" si="13"/>
        <v>0.5611672278338945</v>
      </c>
      <c r="BP197" s="64">
        <f t="shared" si="14"/>
        <v>0.56818181818181823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580</v>
      </c>
      <c r="Y198" s="544">
        <f t="shared" si="10"/>
        <v>583.20000000000005</v>
      </c>
      <c r="Z198" s="36">
        <f>IFERROR(IF(Y198=0,"",ROUNDUP(Y198/H198,0)*0.00902),"")</f>
        <v>0.97416000000000003</v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600.40740740740739</v>
      </c>
      <c r="BN198" s="64">
        <f t="shared" si="12"/>
        <v>603.72</v>
      </c>
      <c r="BO198" s="64">
        <f t="shared" si="13"/>
        <v>0.81369248035914699</v>
      </c>
      <c r="BP198" s="64">
        <f t="shared" si="14"/>
        <v>0.81818181818181823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630</v>
      </c>
      <c r="Y199" s="544">
        <f t="shared" si="10"/>
        <v>631.80000000000007</v>
      </c>
      <c r="Z199" s="36">
        <f>IFERROR(IF(Y199=0,"",ROUNDUP(Y199/H199,0)*0.00902),"")</f>
        <v>1.0553399999999999</v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652.16666666666663</v>
      </c>
      <c r="BN199" s="64">
        <f t="shared" si="12"/>
        <v>654.03</v>
      </c>
      <c r="BO199" s="64">
        <f t="shared" si="13"/>
        <v>0.88383838383838376</v>
      </c>
      <c r="BP199" s="64">
        <f t="shared" si="14"/>
        <v>0.88636363636363635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400</v>
      </c>
      <c r="Y204" s="545">
        <f>IFERROR(Y196/H196,"0")+IFERROR(Y197/H197,"0")+IFERROR(Y198/H198,"0")+IFERROR(Y199/H199,"0")+IFERROR(Y200/H200,"0")+IFERROR(Y201/H201,"0")+IFERROR(Y202/H202,"0")+IFERROR(Y203/H203,"0")</f>
        <v>402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3.6260399999999997</v>
      </c>
      <c r="AA204" s="546"/>
      <c r="AB204" s="546"/>
      <c r="AC204" s="546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5">
        <f>IFERROR(SUM(X196:X203),"0")</f>
        <v>2160</v>
      </c>
      <c r="Y205" s="545">
        <f>IFERROR(SUM(Y196:Y203),"0")</f>
        <v>2170.8000000000002</v>
      </c>
      <c r="Z205" s="37"/>
      <c r="AA205" s="546"/>
      <c r="AB205" s="546"/>
      <c r="AC205" s="546"/>
    </row>
    <row r="206" spans="1:68" ht="14.25" hidden="1" customHeight="1" x14ac:dyDescent="0.25">
      <c r="A206" s="559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9"/>
      <c r="AB206" s="539"/>
      <c r="AC206" s="539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20</v>
      </c>
      <c r="Y207" s="544">
        <f t="shared" ref="Y207:Y215" si="15">IFERROR(IF(X207="",0,CEILING((X207/$H207),1)*$H207),"")</f>
        <v>24.299999999999997</v>
      </c>
      <c r="Z207" s="36">
        <f>IFERROR(IF(Y207=0,"",ROUNDUP(Y207/H207,0)*0.01898),"")</f>
        <v>5.6940000000000004E-2</v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21.219753086419754</v>
      </c>
      <c r="BN207" s="64">
        <f t="shared" ref="BN207:BN215" si="17">IFERROR(Y207*I207/H207,"0")</f>
        <v>25.781999999999996</v>
      </c>
      <c r="BO207" s="64">
        <f t="shared" ref="BO207:BO215" si="18">IFERROR(1/J207*(X207/H207),"0")</f>
        <v>3.8580246913580252E-2</v>
      </c>
      <c r="BP207" s="64">
        <f t="shared" ref="BP207:BP215" si="19">IFERROR(1/J207*(Y207/H207),"0")</f>
        <v>4.6875E-2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70</v>
      </c>
      <c r="Y209" s="544">
        <f t="shared" si="15"/>
        <v>78.3</v>
      </c>
      <c r="Z209" s="36">
        <f>IFERROR(IF(Y209=0,"",ROUNDUP(Y209/H209,0)*0.01898),"")</f>
        <v>0.17082</v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73.974712643678174</v>
      </c>
      <c r="BN209" s="64">
        <f t="shared" si="17"/>
        <v>82.746000000000009</v>
      </c>
      <c r="BO209" s="64">
        <f t="shared" si="18"/>
        <v>0.12571839080459771</v>
      </c>
      <c r="BP209" s="64">
        <f t="shared" si="19"/>
        <v>0.140625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72</v>
      </c>
      <c r="Y212" s="544">
        <f t="shared" si="15"/>
        <v>72</v>
      </c>
      <c r="Z212" s="36">
        <f t="shared" si="20"/>
        <v>0.1953</v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79.560000000000016</v>
      </c>
      <c r="BN212" s="64">
        <f t="shared" si="17"/>
        <v>79.560000000000016</v>
      </c>
      <c r="BO212" s="64">
        <f t="shared" si="18"/>
        <v>0.16483516483516486</v>
      </c>
      <c r="BP212" s="64">
        <f t="shared" si="19"/>
        <v>0.16483516483516486</v>
      </c>
    </row>
    <row r="213" spans="1:68" ht="27" hidden="1" customHeight="1" x14ac:dyDescent="0.25">
      <c r="A213" s="54" t="s">
        <v>348</v>
      </c>
      <c r="B213" s="54" t="s">
        <v>349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0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72</v>
      </c>
      <c r="Y214" s="544">
        <f t="shared" si="15"/>
        <v>72</v>
      </c>
      <c r="Z214" s="36">
        <f t="shared" si="20"/>
        <v>0.1953</v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79.560000000000016</v>
      </c>
      <c r="BN214" s="64">
        <f t="shared" si="17"/>
        <v>79.560000000000016</v>
      </c>
      <c r="BO214" s="64">
        <f t="shared" si="18"/>
        <v>0.16483516483516486</v>
      </c>
      <c r="BP214" s="64">
        <f t="shared" si="19"/>
        <v>0.16483516483516486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96</v>
      </c>
      <c r="Y215" s="544">
        <f t="shared" si="15"/>
        <v>96</v>
      </c>
      <c r="Z215" s="36">
        <f t="shared" si="20"/>
        <v>0.26040000000000002</v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106.32000000000001</v>
      </c>
      <c r="BN215" s="64">
        <f t="shared" si="17"/>
        <v>106.32000000000001</v>
      </c>
      <c r="BO215" s="64">
        <f t="shared" si="18"/>
        <v>0.2197802197802198</v>
      </c>
      <c r="BP215" s="64">
        <f t="shared" si="19"/>
        <v>0.2197802197802198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110.51511281396338</v>
      </c>
      <c r="Y216" s="545">
        <f>IFERROR(Y207/H207,"0")+IFERROR(Y208/H208,"0")+IFERROR(Y209/H209,"0")+IFERROR(Y210/H210,"0")+IFERROR(Y211/H211,"0")+IFERROR(Y212/H212,"0")+IFERROR(Y213/H213,"0")+IFERROR(Y214/H214,"0")+IFERROR(Y215/H215,"0")</f>
        <v>112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0.87875999999999999</v>
      </c>
      <c r="AA216" s="546"/>
      <c r="AB216" s="546"/>
      <c r="AC216" s="546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5">
        <f>IFERROR(SUM(X207:X215),"0")</f>
        <v>330</v>
      </c>
      <c r="Y217" s="545">
        <f>IFERROR(SUM(Y207:Y215),"0")</f>
        <v>342.6</v>
      </c>
      <c r="Z217" s="37"/>
      <c r="AA217" s="546"/>
      <c r="AB217" s="546"/>
      <c r="AC217" s="546"/>
    </row>
    <row r="218" spans="1:68" ht="14.25" hidden="1" customHeight="1" x14ac:dyDescent="0.25">
      <c r="A218" s="559" t="s">
        <v>164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9"/>
      <c r="AB218" s="539"/>
      <c r="AC218" s="539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8" t="s">
        <v>361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hidden="1" customHeight="1" x14ac:dyDescent="0.25">
      <c r="A224" s="559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9"/>
      <c r="AB224" s="539"/>
      <c r="AC224" s="539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6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59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9"/>
      <c r="AB237" s="539"/>
      <c r="AC237" s="539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59" t="s">
        <v>387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9"/>
      <c r="AB241" s="539"/>
      <c r="AC241" s="539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3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59" t="s">
        <v>391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9"/>
      <c r="AB245" s="539"/>
      <c r="AC245" s="539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5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8" t="s">
        <v>403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hidden="1" customHeight="1" x14ac:dyDescent="0.25">
      <c r="A254" s="559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9"/>
      <c r="AB254" s="539"/>
      <c r="AC254" s="539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7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8" t="s">
        <v>419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hidden="1" customHeight="1" x14ac:dyDescent="0.25">
      <c r="A263" s="559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9"/>
      <c r="AB263" s="539"/>
      <c r="AC263" s="539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6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8" t="s">
        <v>430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hidden="1" customHeight="1" x14ac:dyDescent="0.25">
      <c r="A271" s="559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9"/>
      <c r="AB271" s="539"/>
      <c r="AC271" s="539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8" t="s">
        <v>439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hidden="1" customHeight="1" x14ac:dyDescent="0.25">
      <c r="A278" s="559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9"/>
      <c r="AB278" s="539"/>
      <c r="AC278" s="539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59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9"/>
      <c r="AB283" s="539"/>
      <c r="AC283" s="539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7">
        <v>4680115887114</v>
      </c>
      <c r="E284" s="548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50" t="s">
        <v>448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7">
        <v>4680115884618</v>
      </c>
      <c r="E285" s="548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50"/>
      <c r="R285" s="550"/>
      <c r="S285" s="550"/>
      <c r="T285" s="551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3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4"/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5"/>
      <c r="P287" s="561" t="s">
        <v>71</v>
      </c>
      <c r="Q287" s="562"/>
      <c r="R287" s="562"/>
      <c r="S287" s="562"/>
      <c r="T287" s="562"/>
      <c r="U287" s="562"/>
      <c r="V287" s="563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8" t="s">
        <v>453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8"/>
      <c r="AB288" s="538"/>
      <c r="AC288" s="538"/>
    </row>
    <row r="289" spans="1:68" ht="14.25" hidden="1" customHeight="1" x14ac:dyDescent="0.25">
      <c r="A289" s="559" t="s">
        <v>101</v>
      </c>
      <c r="B289" s="554"/>
      <c r="C289" s="554"/>
      <c r="D289" s="554"/>
      <c r="E289" s="554"/>
      <c r="F289" s="554"/>
      <c r="G289" s="554"/>
      <c r="H289" s="554"/>
      <c r="I289" s="554"/>
      <c r="J289" s="554"/>
      <c r="K289" s="554"/>
      <c r="L289" s="554"/>
      <c r="M289" s="554"/>
      <c r="N289" s="554"/>
      <c r="O289" s="554"/>
      <c r="P289" s="554"/>
      <c r="Q289" s="554"/>
      <c r="R289" s="554"/>
      <c r="S289" s="554"/>
      <c r="T289" s="554"/>
      <c r="U289" s="554"/>
      <c r="V289" s="554"/>
      <c r="W289" s="554"/>
      <c r="X289" s="554"/>
      <c r="Y289" s="554"/>
      <c r="Z289" s="554"/>
      <c r="AA289" s="539"/>
      <c r="AB289" s="539"/>
      <c r="AC289" s="539"/>
    </row>
    <row r="290" spans="1:68" ht="27" hidden="1" customHeight="1" x14ac:dyDescent="0.25">
      <c r="A290" s="54" t="s">
        <v>454</v>
      </c>
      <c r="B290" s="54" t="s">
        <v>455</v>
      </c>
      <c r="C290" s="31">
        <v>4301012126</v>
      </c>
      <c r="D290" s="547">
        <v>4607091386004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457</v>
      </c>
      <c r="B291" s="54" t="s">
        <v>458</v>
      </c>
      <c r="C291" s="31">
        <v>4301012024</v>
      </c>
      <c r="D291" s="547">
        <v>4680115885615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460</v>
      </c>
      <c r="B292" s="54" t="s">
        <v>461</v>
      </c>
      <c r="C292" s="31">
        <v>4301011858</v>
      </c>
      <c r="D292" s="547">
        <v>4680115885646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4301012016</v>
      </c>
      <c r="D293" s="547">
        <v>4680115885554</v>
      </c>
      <c r="E293" s="548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466</v>
      </c>
      <c r="B294" s="54" t="s">
        <v>467</v>
      </c>
      <c r="C294" s="31">
        <v>4301011857</v>
      </c>
      <c r="D294" s="547">
        <v>4680115885622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468</v>
      </c>
      <c r="B295" s="54" t="s">
        <v>469</v>
      </c>
      <c r="C295" s="31">
        <v>4301011859</v>
      </c>
      <c r="D295" s="547">
        <v>4680115885608</v>
      </c>
      <c r="E295" s="548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3">
        <v>0</v>
      </c>
      <c r="Y295" s="544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idden="1" x14ac:dyDescent="0.2">
      <c r="A296" s="553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1" t="s">
        <v>71</v>
      </c>
      <c r="Q296" s="562"/>
      <c r="R296" s="562"/>
      <c r="S296" s="562"/>
      <c r="T296" s="562"/>
      <c r="U296" s="562"/>
      <c r="V296" s="563"/>
      <c r="W296" s="37" t="s">
        <v>72</v>
      </c>
      <c r="X296" s="545">
        <f>IFERROR(X290/H290,"0")+IFERROR(X291/H291,"0")+IFERROR(X292/H292,"0")+IFERROR(X293/H293,"0")+IFERROR(X294/H294,"0")+IFERROR(X295/H295,"0")</f>
        <v>0</v>
      </c>
      <c r="Y296" s="545">
        <f>IFERROR(Y290/H290,"0")+IFERROR(Y291/H291,"0")+IFERROR(Y292/H292,"0")+IFERROR(Y293/H293,"0")+IFERROR(Y294/H294,"0")+IFERROR(Y295/H295,"0")</f>
        <v>0</v>
      </c>
      <c r="Z296" s="545">
        <f>IFERROR(IF(Z290="",0,Z290),"0")+IFERROR(IF(Z291="",0,Z291),"0")+IFERROR(IF(Z292="",0,Z292),"0")+IFERROR(IF(Z293="",0,Z293),"0")+IFERROR(IF(Z294="",0,Z294),"0")+IFERROR(IF(Z295="",0,Z295),"0")</f>
        <v>0</v>
      </c>
      <c r="AA296" s="546"/>
      <c r="AB296" s="546"/>
      <c r="AC296" s="546"/>
    </row>
    <row r="297" spans="1:68" hidden="1" x14ac:dyDescent="0.2">
      <c r="A297" s="554"/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5"/>
      <c r="P297" s="561" t="s">
        <v>71</v>
      </c>
      <c r="Q297" s="562"/>
      <c r="R297" s="562"/>
      <c r="S297" s="562"/>
      <c r="T297" s="562"/>
      <c r="U297" s="562"/>
      <c r="V297" s="563"/>
      <c r="W297" s="37" t="s">
        <v>69</v>
      </c>
      <c r="X297" s="545">
        <f>IFERROR(SUM(X290:X295),"0")</f>
        <v>0</v>
      </c>
      <c r="Y297" s="545">
        <f>IFERROR(SUM(Y290:Y295),"0")</f>
        <v>0</v>
      </c>
      <c r="Z297" s="37"/>
      <c r="AA297" s="546"/>
      <c r="AB297" s="546"/>
      <c r="AC297" s="546"/>
    </row>
    <row r="298" spans="1:68" ht="14.25" hidden="1" customHeight="1" x14ac:dyDescent="0.25">
      <c r="A298" s="559" t="s">
        <v>64</v>
      </c>
      <c r="B298" s="554"/>
      <c r="C298" s="554"/>
      <c r="D298" s="554"/>
      <c r="E298" s="554"/>
      <c r="F298" s="554"/>
      <c r="G298" s="554"/>
      <c r="H298" s="554"/>
      <c r="I298" s="554"/>
      <c r="J298" s="554"/>
      <c r="K298" s="554"/>
      <c r="L298" s="554"/>
      <c r="M298" s="554"/>
      <c r="N298" s="554"/>
      <c r="O298" s="554"/>
      <c r="P298" s="554"/>
      <c r="Q298" s="554"/>
      <c r="R298" s="554"/>
      <c r="S298" s="554"/>
      <c r="T298" s="554"/>
      <c r="U298" s="554"/>
      <c r="V298" s="554"/>
      <c r="W298" s="554"/>
      <c r="X298" s="554"/>
      <c r="Y298" s="554"/>
      <c r="Z298" s="554"/>
      <c r="AA298" s="539"/>
      <c r="AB298" s="539"/>
      <c r="AC298" s="539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47">
        <v>4607091387193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80</v>
      </c>
      <c r="Y299" s="544">
        <f t="shared" ref="Y299:Y305" si="31">IFERROR(IF(X299="",0,CEILING((X299/$H299),1)*$H299),"")</f>
        <v>84</v>
      </c>
      <c r="Z299" s="36">
        <f>IFERROR(IF(Y299=0,"",ROUNDUP(Y299/H299,0)*0.00902),"")</f>
        <v>0.1804</v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84.761904761904759</v>
      </c>
      <c r="BN299" s="64">
        <f t="shared" ref="BN299:BN305" si="33">IFERROR(Y299*I299/H299,"0")</f>
        <v>89</v>
      </c>
      <c r="BO299" s="64">
        <f t="shared" ref="BO299:BO305" si="34">IFERROR(1/J299*(X299/H299),"0")</f>
        <v>0.14430014430014429</v>
      </c>
      <c r="BP299" s="64">
        <f t="shared" ref="BP299:BP305" si="35">IFERROR(1/J299*(Y299/H299),"0")</f>
        <v>0.15151515151515152</v>
      </c>
    </row>
    <row r="300" spans="1:68" ht="27" customHeight="1" x14ac:dyDescent="0.25">
      <c r="A300" s="54" t="s">
        <v>474</v>
      </c>
      <c r="B300" s="54" t="s">
        <v>475</v>
      </c>
      <c r="C300" s="31">
        <v>4301031153</v>
      </c>
      <c r="D300" s="547">
        <v>4607091387230</v>
      </c>
      <c r="E300" s="548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9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30</v>
      </c>
      <c r="Y300" s="544">
        <f t="shared" si="31"/>
        <v>33.6</v>
      </c>
      <c r="Z300" s="36">
        <f>IFERROR(IF(Y300=0,"",ROUNDUP(Y300/H300,0)*0.00902),"")</f>
        <v>7.2160000000000002E-2</v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31.785714285714285</v>
      </c>
      <c r="BN300" s="64">
        <f t="shared" si="33"/>
        <v>35.6</v>
      </c>
      <c r="BO300" s="64">
        <f t="shared" si="34"/>
        <v>5.4112554112554112E-2</v>
      </c>
      <c r="BP300" s="64">
        <f t="shared" si="35"/>
        <v>6.0606060606060608E-2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4301031154</v>
      </c>
      <c r="D301" s="547">
        <v>4607091387292</v>
      </c>
      <c r="E301" s="548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480</v>
      </c>
      <c r="B302" s="54" t="s">
        <v>481</v>
      </c>
      <c r="C302" s="31">
        <v>4301031152</v>
      </c>
      <c r="D302" s="547">
        <v>4607091387285</v>
      </c>
      <c r="E302" s="548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4301031305</v>
      </c>
      <c r="D303" s="547">
        <v>4607091389845</v>
      </c>
      <c r="E303" s="548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485</v>
      </c>
      <c r="B304" s="54" t="s">
        <v>486</v>
      </c>
      <c r="C304" s="31">
        <v>4301031306</v>
      </c>
      <c r="D304" s="547">
        <v>4680115882881</v>
      </c>
      <c r="E304" s="548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5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4301031066</v>
      </c>
      <c r="D305" s="547">
        <v>4607091383836</v>
      </c>
      <c r="E305" s="548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x14ac:dyDescent="0.2">
      <c r="A306" s="553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1" t="s">
        <v>71</v>
      </c>
      <c r="Q306" s="562"/>
      <c r="R306" s="562"/>
      <c r="S306" s="562"/>
      <c r="T306" s="562"/>
      <c r="U306" s="562"/>
      <c r="V306" s="563"/>
      <c r="W306" s="37" t="s">
        <v>72</v>
      </c>
      <c r="X306" s="545">
        <f>IFERROR(X299/H299,"0")+IFERROR(X300/H300,"0")+IFERROR(X301/H301,"0")+IFERROR(X302/H302,"0")+IFERROR(X303/H303,"0")+IFERROR(X304/H304,"0")+IFERROR(X305/H305,"0")</f>
        <v>26.19047619047619</v>
      </c>
      <c r="Y306" s="545">
        <f>IFERROR(Y299/H299,"0")+IFERROR(Y300/H300,"0")+IFERROR(Y301/H301,"0")+IFERROR(Y302/H302,"0")+IFERROR(Y303/H303,"0")+IFERROR(Y304/H304,"0")+IFERROR(Y305/H305,"0")</f>
        <v>28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0.25256000000000001</v>
      </c>
      <c r="AA306" s="546"/>
      <c r="AB306" s="546"/>
      <c r="AC306" s="546"/>
    </row>
    <row r="307" spans="1:68" x14ac:dyDescent="0.2">
      <c r="A307" s="554"/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5"/>
      <c r="P307" s="561" t="s">
        <v>71</v>
      </c>
      <c r="Q307" s="562"/>
      <c r="R307" s="562"/>
      <c r="S307" s="562"/>
      <c r="T307" s="562"/>
      <c r="U307" s="562"/>
      <c r="V307" s="563"/>
      <c r="W307" s="37" t="s">
        <v>69</v>
      </c>
      <c r="X307" s="545">
        <f>IFERROR(SUM(X299:X305),"0")</f>
        <v>110</v>
      </c>
      <c r="Y307" s="545">
        <f>IFERROR(SUM(Y299:Y305),"0")</f>
        <v>117.6</v>
      </c>
      <c r="Z307" s="37"/>
      <c r="AA307" s="546"/>
      <c r="AB307" s="546"/>
      <c r="AC307" s="546"/>
    </row>
    <row r="308" spans="1:68" ht="14.25" hidden="1" customHeight="1" x14ac:dyDescent="0.25">
      <c r="A308" s="559" t="s">
        <v>73</v>
      </c>
      <c r="B308" s="554"/>
      <c r="C308" s="554"/>
      <c r="D308" s="554"/>
      <c r="E308" s="554"/>
      <c r="F308" s="554"/>
      <c r="G308" s="554"/>
      <c r="H308" s="554"/>
      <c r="I308" s="554"/>
      <c r="J308" s="554"/>
      <c r="K308" s="554"/>
      <c r="L308" s="554"/>
      <c r="M308" s="554"/>
      <c r="N308" s="554"/>
      <c r="O308" s="554"/>
      <c r="P308" s="554"/>
      <c r="Q308" s="554"/>
      <c r="R308" s="554"/>
      <c r="S308" s="554"/>
      <c r="T308" s="554"/>
      <c r="U308" s="554"/>
      <c r="V308" s="554"/>
      <c r="W308" s="554"/>
      <c r="X308" s="554"/>
      <c r="Y308" s="554"/>
      <c r="Z308" s="554"/>
      <c r="AA308" s="539"/>
      <c r="AB308" s="539"/>
      <c r="AC308" s="539"/>
    </row>
    <row r="309" spans="1:68" ht="27" hidden="1" customHeight="1" x14ac:dyDescent="0.25">
      <c r="A309" s="54" t="s">
        <v>490</v>
      </c>
      <c r="B309" s="54" t="s">
        <v>491</v>
      </c>
      <c r="C309" s="31">
        <v>4301051100</v>
      </c>
      <c r="D309" s="547">
        <v>4607091387766</v>
      </c>
      <c r="E309" s="548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4301051818</v>
      </c>
      <c r="D310" s="547">
        <v>4607091387957</v>
      </c>
      <c r="E310" s="548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4301051819</v>
      </c>
      <c r="D311" s="547">
        <v>4607091387964</v>
      </c>
      <c r="E311" s="548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499</v>
      </c>
      <c r="B312" s="54" t="s">
        <v>500</v>
      </c>
      <c r="C312" s="31">
        <v>4301051734</v>
      </c>
      <c r="D312" s="547">
        <v>4680115884588</v>
      </c>
      <c r="E312" s="548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72</v>
      </c>
      <c r="X313" s="545">
        <f>IFERROR(X309/H309,"0")+IFERROR(X310/H310,"0")+IFERROR(X311/H311,"0")+IFERROR(X312/H312,"0")</f>
        <v>0</v>
      </c>
      <c r="Y313" s="545">
        <f>IFERROR(Y309/H309,"0")+IFERROR(Y310/H310,"0")+IFERROR(Y311/H311,"0")+IFERROR(Y312/H312,"0")</f>
        <v>0</v>
      </c>
      <c r="Z313" s="545">
        <f>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hidden="1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1" t="s">
        <v>71</v>
      </c>
      <c r="Q314" s="562"/>
      <c r="R314" s="562"/>
      <c r="S314" s="562"/>
      <c r="T314" s="562"/>
      <c r="U314" s="562"/>
      <c r="V314" s="563"/>
      <c r="W314" s="37" t="s">
        <v>69</v>
      </c>
      <c r="X314" s="545">
        <f>IFERROR(SUM(X309:X312),"0")</f>
        <v>0</v>
      </c>
      <c r="Y314" s="545">
        <f>IFERROR(SUM(Y309:Y312),"0")</f>
        <v>0</v>
      </c>
      <c r="Z314" s="37"/>
      <c r="AA314" s="546"/>
      <c r="AB314" s="546"/>
      <c r="AC314" s="546"/>
    </row>
    <row r="315" spans="1:68" ht="14.25" hidden="1" customHeight="1" x14ac:dyDescent="0.25">
      <c r="A315" s="559" t="s">
        <v>164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9"/>
      <c r="AB315" s="539"/>
      <c r="AC315" s="539"/>
    </row>
    <row r="316" spans="1:68" ht="27" customHeight="1" x14ac:dyDescent="0.25">
      <c r="A316" s="54" t="s">
        <v>502</v>
      </c>
      <c r="B316" s="54" t="s">
        <v>503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140</v>
      </c>
      <c r="Y316" s="544">
        <f>IFERROR(IF(X316="",0,CEILING((X316/$H316),1)*$H316),"")</f>
        <v>142.80000000000001</v>
      </c>
      <c r="Z316" s="36">
        <f>IFERROR(IF(Y316=0,"",ROUNDUP(Y316/H316,0)*0.01898),"")</f>
        <v>0.32266</v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148.23333333333335</v>
      </c>
      <c r="BN316" s="64">
        <f>IFERROR(Y316*I316/H316,"0")</f>
        <v>151.19800000000001</v>
      </c>
      <c r="BO316" s="64">
        <f>IFERROR(1/J316*(X316/H316),"0")</f>
        <v>0.26041666666666663</v>
      </c>
      <c r="BP316" s="64">
        <f>IFERROR(1/J316*(Y316/H316),"0")</f>
        <v>0.265625</v>
      </c>
    </row>
    <row r="317" spans="1:68" ht="27" customHeight="1" x14ac:dyDescent="0.25">
      <c r="A317" s="54" t="s">
        <v>505</v>
      </c>
      <c r="B317" s="54" t="s">
        <v>506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230</v>
      </c>
      <c r="Y317" s="544">
        <f>IFERROR(IF(X317="",0,CEILING((X317/$H317),1)*$H317),"")</f>
        <v>234</v>
      </c>
      <c r="Z317" s="36">
        <f>IFERROR(IF(Y317=0,"",ROUNDUP(Y317/H317,0)*0.01898),"")</f>
        <v>0.56940000000000002</v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244.56666666666669</v>
      </c>
      <c r="BN317" s="64">
        <f>IFERROR(Y317*I317/H317,"0")</f>
        <v>248.82000000000002</v>
      </c>
      <c r="BO317" s="64">
        <f>IFERROR(1/J317*(X317/H317),"0")</f>
        <v>0.46073717948717952</v>
      </c>
      <c r="BP317" s="64">
        <f>IFERROR(1/J317*(Y317/H317),"0")</f>
        <v>0.46875</v>
      </c>
    </row>
    <row r="318" spans="1:68" ht="16.5" customHeight="1" x14ac:dyDescent="0.25">
      <c r="A318" s="54" t="s">
        <v>508</v>
      </c>
      <c r="B318" s="54" t="s">
        <v>509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40</v>
      </c>
      <c r="Y318" s="544">
        <f>IFERROR(IF(X318="",0,CEILING((X318/$H318),1)*$H318),"")</f>
        <v>42</v>
      </c>
      <c r="Z318" s="36">
        <f>IFERROR(IF(Y318=0,"",ROUNDUP(Y318/H318,0)*0.01898),"")</f>
        <v>9.4899999999999998E-2</v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42.352380952380948</v>
      </c>
      <c r="BN318" s="64">
        <f>IFERROR(Y318*I318/H318,"0")</f>
        <v>44.47</v>
      </c>
      <c r="BO318" s="64">
        <f>IFERROR(1/J318*(X318/H318),"0")</f>
        <v>7.4404761904761904E-2</v>
      </c>
      <c r="BP318" s="64">
        <f>IFERROR(1/J318*(Y318/H318),"0")</f>
        <v>7.8125E-2</v>
      </c>
    </row>
    <row r="319" spans="1:68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72</v>
      </c>
      <c r="X319" s="545">
        <f>IFERROR(X316/H316,"0")+IFERROR(X317/H317,"0")+IFERROR(X318/H318,"0")</f>
        <v>50.915750915750912</v>
      </c>
      <c r="Y319" s="545">
        <f>IFERROR(Y316/H316,"0")+IFERROR(Y317/H317,"0")+IFERROR(Y318/H318,"0")</f>
        <v>52</v>
      </c>
      <c r="Z319" s="545">
        <f>IFERROR(IF(Z316="",0,Z316),"0")+IFERROR(IF(Z317="",0,Z317),"0")+IFERROR(IF(Z318="",0,Z318),"0")</f>
        <v>0.98696000000000006</v>
      </c>
      <c r="AA319" s="546"/>
      <c r="AB319" s="546"/>
      <c r="AC319" s="546"/>
    </row>
    <row r="320" spans="1:68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1" t="s">
        <v>71</v>
      </c>
      <c r="Q320" s="562"/>
      <c r="R320" s="562"/>
      <c r="S320" s="562"/>
      <c r="T320" s="562"/>
      <c r="U320" s="562"/>
      <c r="V320" s="563"/>
      <c r="W320" s="37" t="s">
        <v>69</v>
      </c>
      <c r="X320" s="545">
        <f>IFERROR(SUM(X316:X318),"0")</f>
        <v>410</v>
      </c>
      <c r="Y320" s="545">
        <f>IFERROR(SUM(Y316:Y318),"0")</f>
        <v>418.8</v>
      </c>
      <c r="Z320" s="37"/>
      <c r="AA320" s="546"/>
      <c r="AB320" s="546"/>
      <c r="AC320" s="546"/>
    </row>
    <row r="321" spans="1:68" ht="14.25" hidden="1" customHeight="1" x14ac:dyDescent="0.25">
      <c r="A321" s="559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9"/>
      <c r="AB321" s="539"/>
      <c r="AC321" s="539"/>
    </row>
    <row r="322" spans="1:68" ht="27" hidden="1" customHeight="1" x14ac:dyDescent="0.25">
      <c r="A322" s="54" t="s">
        <v>511</v>
      </c>
      <c r="B322" s="54" t="s">
        <v>512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11" t="s">
        <v>516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520</v>
      </c>
      <c r="B325" s="54" t="s">
        <v>521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hidden="1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1" t="s">
        <v>71</v>
      </c>
      <c r="Q327" s="562"/>
      <c r="R327" s="562"/>
      <c r="S327" s="562"/>
      <c r="T327" s="562"/>
      <c r="U327" s="562"/>
      <c r="V327" s="563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hidden="1" customHeight="1" x14ac:dyDescent="0.25">
      <c r="A328" s="559" t="s">
        <v>522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9"/>
      <c r="AB328" s="539"/>
      <c r="AC328" s="539"/>
    </row>
    <row r="329" spans="1:68" ht="16.5" hidden="1" customHeight="1" x14ac:dyDescent="0.25">
      <c r="A329" s="54" t="s">
        <v>523</v>
      </c>
      <c r="B329" s="54" t="s">
        <v>524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527</v>
      </c>
      <c r="B330" s="54" t="s">
        <v>528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6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529</v>
      </c>
      <c r="B331" s="54" t="s">
        <v>530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1" t="s">
        <v>71</v>
      </c>
      <c r="Q333" s="562"/>
      <c r="R333" s="562"/>
      <c r="S333" s="562"/>
      <c r="T333" s="562"/>
      <c r="U333" s="562"/>
      <c r="V333" s="563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58" t="s">
        <v>531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hidden="1" customHeight="1" x14ac:dyDescent="0.25">
      <c r="A335" s="559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9"/>
      <c r="AB335" s="539"/>
      <c r="AC335" s="539"/>
    </row>
    <row r="336" spans="1:68" ht="27" customHeight="1" x14ac:dyDescent="0.25">
      <c r="A336" s="54" t="s">
        <v>532</v>
      </c>
      <c r="B336" s="54" t="s">
        <v>533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60</v>
      </c>
      <c r="Y336" s="544">
        <f>IFERROR(IF(X336="",0,CEILING((X336/$H336),1)*$H336),"")</f>
        <v>64.8</v>
      </c>
      <c r="Z336" s="36">
        <f>IFERROR(IF(Y336=0,"",ROUNDUP(Y336/H336,0)*0.01898),"")</f>
        <v>0.15184</v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63.659259259259258</v>
      </c>
      <c r="BN336" s="64">
        <f>IFERROR(Y336*I336/H336,"0")</f>
        <v>68.751999999999995</v>
      </c>
      <c r="BO336" s="64">
        <f>IFERROR(1/J336*(X336/H336),"0")</f>
        <v>0.11574074074074074</v>
      </c>
      <c r="BP336" s="64">
        <f>IFERROR(1/J336*(Y336/H336),"0")</f>
        <v>0.125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72</v>
      </c>
      <c r="X339" s="545">
        <f>IFERROR(X336/H336,"0")+IFERROR(X337/H337,"0")+IFERROR(X338/H338,"0")</f>
        <v>7.4074074074074074</v>
      </c>
      <c r="Y339" s="545">
        <f>IFERROR(Y336/H336,"0")+IFERROR(Y337/H337,"0")+IFERROR(Y338/H338,"0")</f>
        <v>8</v>
      </c>
      <c r="Z339" s="545">
        <f>IFERROR(IF(Z336="",0,Z336),"0")+IFERROR(IF(Z337="",0,Z337),"0")+IFERROR(IF(Z338="",0,Z338),"0")</f>
        <v>0.15184</v>
      </c>
      <c r="AA339" s="546"/>
      <c r="AB339" s="546"/>
      <c r="AC339" s="546"/>
    </row>
    <row r="340" spans="1:68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1" t="s">
        <v>71</v>
      </c>
      <c r="Q340" s="562"/>
      <c r="R340" s="562"/>
      <c r="S340" s="562"/>
      <c r="T340" s="562"/>
      <c r="U340" s="562"/>
      <c r="V340" s="563"/>
      <c r="W340" s="37" t="s">
        <v>69</v>
      </c>
      <c r="X340" s="545">
        <f>IFERROR(SUM(X336:X338),"0")</f>
        <v>60</v>
      </c>
      <c r="Y340" s="545">
        <f>IFERROR(SUM(Y336:Y338),"0")</f>
        <v>64.8</v>
      </c>
      <c r="Z340" s="37"/>
      <c r="AA340" s="546"/>
      <c r="AB340" s="546"/>
      <c r="AC340" s="546"/>
    </row>
    <row r="341" spans="1:68" ht="27.75" hidden="1" customHeight="1" x14ac:dyDescent="0.2">
      <c r="A341" s="570" t="s">
        <v>541</v>
      </c>
      <c r="B341" s="571"/>
      <c r="C341" s="571"/>
      <c r="D341" s="571"/>
      <c r="E341" s="571"/>
      <c r="F341" s="571"/>
      <c r="G341" s="571"/>
      <c r="H341" s="571"/>
      <c r="I341" s="571"/>
      <c r="J341" s="571"/>
      <c r="K341" s="571"/>
      <c r="L341" s="571"/>
      <c r="M341" s="571"/>
      <c r="N341" s="571"/>
      <c r="O341" s="571"/>
      <c r="P341" s="571"/>
      <c r="Q341" s="571"/>
      <c r="R341" s="571"/>
      <c r="S341" s="571"/>
      <c r="T341" s="571"/>
      <c r="U341" s="571"/>
      <c r="V341" s="571"/>
      <c r="W341" s="571"/>
      <c r="X341" s="571"/>
      <c r="Y341" s="571"/>
      <c r="Z341" s="571"/>
      <c r="AA341" s="48"/>
      <c r="AB341" s="48"/>
      <c r="AC341" s="48"/>
    </row>
    <row r="342" spans="1:68" ht="16.5" hidden="1" customHeight="1" x14ac:dyDescent="0.25">
      <c r="A342" s="558" t="s">
        <v>542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hidden="1" customHeight="1" x14ac:dyDescent="0.25">
      <c r="A343" s="559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9"/>
      <c r="AB343" s="539"/>
      <c r="AC343" s="539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79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1900</v>
      </c>
      <c r="Y344" s="544">
        <f t="shared" ref="Y344:Y350" si="36">IFERROR(IF(X344="",0,CEILING((X344/$H344),1)*$H344),"")</f>
        <v>1905</v>
      </c>
      <c r="Z344" s="36">
        <f>IFERROR(IF(Y344=0,"",ROUNDUP(Y344/H344,0)*0.02175),"")</f>
        <v>2.7622499999999999</v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1959.5333333333333</v>
      </c>
      <c r="BN344" s="64">
        <f t="shared" ref="BN344:BN350" si="38">IFERROR(Y344*I344/H344,"0")</f>
        <v>1964.69</v>
      </c>
      <c r="BO344" s="64">
        <f t="shared" ref="BO344:BO350" si="39">IFERROR(1/J344*(X344/H344),"0")</f>
        <v>2.6388888888888888</v>
      </c>
      <c r="BP344" s="64">
        <f t="shared" ref="BP344:BP350" si="40">IFERROR(1/J344*(Y344/H344),"0")</f>
        <v>2.645833333333333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1900</v>
      </c>
      <c r="Y345" s="544">
        <f t="shared" si="36"/>
        <v>1905</v>
      </c>
      <c r="Z345" s="36">
        <f>IFERROR(IF(Y345=0,"",ROUNDUP(Y345/H345,0)*0.02175),"")</f>
        <v>2.7622499999999999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1959.5333333333333</v>
      </c>
      <c r="BN345" s="64">
        <f t="shared" si="38"/>
        <v>1964.69</v>
      </c>
      <c r="BO345" s="64">
        <f t="shared" si="39"/>
        <v>2.6388888888888888</v>
      </c>
      <c r="BP345" s="64">
        <f t="shared" si="40"/>
        <v>2.645833333333333</v>
      </c>
    </row>
    <row r="346" spans="1:68" ht="37.5" hidden="1" customHeight="1" x14ac:dyDescent="0.25">
      <c r="A346" s="54" t="s">
        <v>549</v>
      </c>
      <c r="B346" s="54" t="s">
        <v>550</v>
      </c>
      <c r="C346" s="31">
        <v>4301011867</v>
      </c>
      <c r="D346" s="547">
        <v>4680115884830</v>
      </c>
      <c r="E346" s="548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47">
        <v>4680115887046</v>
      </c>
      <c r="E347" s="548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1" t="s">
        <v>554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3250</v>
      </c>
      <c r="Y347" s="544">
        <f t="shared" si="36"/>
        <v>3255</v>
      </c>
      <c r="Z347" s="36">
        <f>IFERROR(IF(Y347=0,"",ROUNDUP(Y347/H347,0)*0.02175),"")</f>
        <v>4.7197499999999994</v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3351.8333333333335</v>
      </c>
      <c r="BN347" s="64">
        <f t="shared" si="38"/>
        <v>3356.99</v>
      </c>
      <c r="BO347" s="64">
        <f t="shared" si="39"/>
        <v>4.5138888888888884</v>
      </c>
      <c r="BP347" s="64">
        <f t="shared" si="40"/>
        <v>4.520833333333333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559</v>
      </c>
      <c r="B349" s="54" t="s">
        <v>560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561</v>
      </c>
      <c r="B350" s="54" t="s">
        <v>562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72</v>
      </c>
      <c r="X351" s="545">
        <f>IFERROR(X344/H344,"0")+IFERROR(X345/H345,"0")+IFERROR(X346/H346,"0")+IFERROR(X347/H347,"0")+IFERROR(X348/H348,"0")+IFERROR(X349/H349,"0")+IFERROR(X350/H350,"0")</f>
        <v>470</v>
      </c>
      <c r="Y351" s="545">
        <f>IFERROR(Y344/H344,"0")+IFERROR(Y345/H345,"0")+IFERROR(Y346/H346,"0")+IFERROR(Y347/H347,"0")+IFERROR(Y348/H348,"0")+IFERROR(Y349/H349,"0")+IFERROR(Y350/H350,"0")</f>
        <v>471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10.244249999999999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1" t="s">
        <v>71</v>
      </c>
      <c r="Q352" s="562"/>
      <c r="R352" s="562"/>
      <c r="S352" s="562"/>
      <c r="T352" s="562"/>
      <c r="U352" s="562"/>
      <c r="V352" s="563"/>
      <c r="W352" s="37" t="s">
        <v>69</v>
      </c>
      <c r="X352" s="545">
        <f>IFERROR(SUM(X344:X350),"0")</f>
        <v>7050</v>
      </c>
      <c r="Y352" s="545">
        <f>IFERROR(SUM(Y344:Y350),"0")</f>
        <v>7065</v>
      </c>
      <c r="Z352" s="37"/>
      <c r="AA352" s="546"/>
      <c r="AB352" s="546"/>
      <c r="AC352" s="546"/>
    </row>
    <row r="353" spans="1:68" ht="14.25" hidden="1" customHeight="1" x14ac:dyDescent="0.25">
      <c r="A353" s="559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2500</v>
      </c>
      <c r="Y354" s="544">
        <f>IFERROR(IF(X354="",0,CEILING((X354/$H354),1)*$H354),"")</f>
        <v>2505</v>
      </c>
      <c r="Z354" s="36">
        <f>IFERROR(IF(Y354=0,"",ROUNDUP(Y354/H354,0)*0.02175),"")</f>
        <v>3.6322499999999995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2578.3333333333335</v>
      </c>
      <c r="BN354" s="64">
        <f>IFERROR(Y354*I354/H354,"0")</f>
        <v>2583.4899999999998</v>
      </c>
      <c r="BO354" s="64">
        <f>IFERROR(1/J354*(X354/H354),"0")</f>
        <v>3.4722222222222219</v>
      </c>
      <c r="BP354" s="64">
        <f>IFERROR(1/J354*(Y354/H354),"0")</f>
        <v>3.4791666666666665</v>
      </c>
    </row>
    <row r="355" spans="1:68" ht="16.5" hidden="1" customHeight="1" x14ac:dyDescent="0.25">
      <c r="A355" s="54" t="s">
        <v>566</v>
      </c>
      <c r="B355" s="54" t="s">
        <v>567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72</v>
      </c>
      <c r="X356" s="545">
        <f>IFERROR(X354/H354,"0")+IFERROR(X355/H355,"0")</f>
        <v>166.66666666666666</v>
      </c>
      <c r="Y356" s="545">
        <f>IFERROR(Y354/H354,"0")+IFERROR(Y355/H355,"0")</f>
        <v>167</v>
      </c>
      <c r="Z356" s="545">
        <f>IFERROR(IF(Z354="",0,Z354),"0")+IFERROR(IF(Z355="",0,Z355),"0")</f>
        <v>3.6322499999999995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1" t="s">
        <v>71</v>
      </c>
      <c r="Q357" s="562"/>
      <c r="R357" s="562"/>
      <c r="S357" s="562"/>
      <c r="T357" s="562"/>
      <c r="U357" s="562"/>
      <c r="V357" s="563"/>
      <c r="W357" s="37" t="s">
        <v>69</v>
      </c>
      <c r="X357" s="545">
        <f>IFERROR(SUM(X354:X355),"0")</f>
        <v>2500</v>
      </c>
      <c r="Y357" s="545">
        <f>IFERROR(SUM(Y354:Y355),"0")</f>
        <v>2505</v>
      </c>
      <c r="Z357" s="37"/>
      <c r="AA357" s="546"/>
      <c r="AB357" s="546"/>
      <c r="AC357" s="546"/>
    </row>
    <row r="358" spans="1:68" ht="14.25" hidden="1" customHeight="1" x14ac:dyDescent="0.25">
      <c r="A358" s="559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9"/>
      <c r="AB358" s="539"/>
      <c r="AC358" s="539"/>
    </row>
    <row r="359" spans="1:68" ht="27" customHeight="1" x14ac:dyDescent="0.25">
      <c r="A359" s="54" t="s">
        <v>568</v>
      </c>
      <c r="B359" s="54" t="s">
        <v>569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1600</v>
      </c>
      <c r="Y359" s="544">
        <f>IFERROR(IF(X359="",0,CEILING((X359/$H359),1)*$H359),"")</f>
        <v>1602</v>
      </c>
      <c r="Z359" s="36">
        <f>IFERROR(IF(Y359=0,"",ROUNDUP(Y359/H359,0)*0.01898),"")</f>
        <v>3.3784399999999999</v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1688.8888888888889</v>
      </c>
      <c r="BN359" s="64">
        <f>IFERROR(Y359*I359/H359,"0")</f>
        <v>1691</v>
      </c>
      <c r="BO359" s="64">
        <f>IFERROR(1/J359*(X359/H359),"0")</f>
        <v>2.7777777777777777</v>
      </c>
      <c r="BP359" s="64">
        <f>IFERROR(1/J359*(Y359/H359),"0")</f>
        <v>2.78125</v>
      </c>
    </row>
    <row r="360" spans="1:68" ht="27" customHeight="1" x14ac:dyDescent="0.25">
      <c r="A360" s="54" t="s">
        <v>571</v>
      </c>
      <c r="B360" s="54" t="s">
        <v>572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380</v>
      </c>
      <c r="Y360" s="544">
        <f>IFERROR(IF(X360="",0,CEILING((X360/$H360),1)*$H360),"")</f>
        <v>387</v>
      </c>
      <c r="Z360" s="36">
        <f>IFERROR(IF(Y360=0,"",ROUNDUP(Y360/H360,0)*0.01898),"")</f>
        <v>0.81613999999999998</v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400.85777777777776</v>
      </c>
      <c r="BN360" s="64">
        <f>IFERROR(Y360*I360/H360,"0")</f>
        <v>408.24199999999996</v>
      </c>
      <c r="BO360" s="64">
        <f>IFERROR(1/J360*(X360/H360),"0")</f>
        <v>0.65972222222222221</v>
      </c>
      <c r="BP360" s="64">
        <f>IFERROR(1/J360*(Y360/H360),"0")</f>
        <v>0.671875</v>
      </c>
    </row>
    <row r="361" spans="1:68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72</v>
      </c>
      <c r="X361" s="545">
        <f>IFERROR(X359/H359,"0")+IFERROR(X360/H360,"0")</f>
        <v>220</v>
      </c>
      <c r="Y361" s="545">
        <f>IFERROR(Y359/H359,"0")+IFERROR(Y360/H360,"0")</f>
        <v>221</v>
      </c>
      <c r="Z361" s="545">
        <f>IFERROR(IF(Z359="",0,Z359),"0")+IFERROR(IF(Z360="",0,Z360),"0")</f>
        <v>4.1945800000000002</v>
      </c>
      <c r="AA361" s="546"/>
      <c r="AB361" s="546"/>
      <c r="AC361" s="546"/>
    </row>
    <row r="362" spans="1:68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1" t="s">
        <v>71</v>
      </c>
      <c r="Q362" s="562"/>
      <c r="R362" s="562"/>
      <c r="S362" s="562"/>
      <c r="T362" s="562"/>
      <c r="U362" s="562"/>
      <c r="V362" s="563"/>
      <c r="W362" s="37" t="s">
        <v>69</v>
      </c>
      <c r="X362" s="545">
        <f>IFERROR(SUM(X359:X360),"0")</f>
        <v>1980</v>
      </c>
      <c r="Y362" s="545">
        <f>IFERROR(SUM(Y359:Y360),"0")</f>
        <v>1989</v>
      </c>
      <c r="Z362" s="37"/>
      <c r="AA362" s="546"/>
      <c r="AB362" s="546"/>
      <c r="AC362" s="546"/>
    </row>
    <row r="363" spans="1:68" ht="14.25" hidden="1" customHeight="1" x14ac:dyDescent="0.25">
      <c r="A363" s="559" t="s">
        <v>164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9"/>
      <c r="AB363" s="539"/>
      <c r="AC363" s="539"/>
    </row>
    <row r="364" spans="1:68" ht="16.5" customHeight="1" x14ac:dyDescent="0.25">
      <c r="A364" s="54" t="s">
        <v>574</v>
      </c>
      <c r="B364" s="54" t="s">
        <v>575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320</v>
      </c>
      <c r="Y364" s="544">
        <f>IFERROR(IF(X364="",0,CEILING((X364/$H364),1)*$H364),"")</f>
        <v>324</v>
      </c>
      <c r="Z364" s="36">
        <f>IFERROR(IF(Y364=0,"",ROUNDUP(Y364/H364,0)*0.01898),"")</f>
        <v>0.68328</v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337.56444444444446</v>
      </c>
      <c r="BN364" s="64">
        <f>IFERROR(Y364*I364/H364,"0")</f>
        <v>341.78399999999999</v>
      </c>
      <c r="BO364" s="64">
        <f>IFERROR(1/J364*(X364/H364),"0")</f>
        <v>0.55555555555555558</v>
      </c>
      <c r="BP364" s="64">
        <f>IFERROR(1/J364*(Y364/H364),"0")</f>
        <v>0.5625</v>
      </c>
    </row>
    <row r="365" spans="1:68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72</v>
      </c>
      <c r="X365" s="545">
        <f>IFERROR(X364/H364,"0")</f>
        <v>35.555555555555557</v>
      </c>
      <c r="Y365" s="545">
        <f>IFERROR(Y364/H364,"0")</f>
        <v>36</v>
      </c>
      <c r="Z365" s="545">
        <f>IFERROR(IF(Z364="",0,Z364),"0")</f>
        <v>0.68328</v>
      </c>
      <c r="AA365" s="546"/>
      <c r="AB365" s="546"/>
      <c r="AC365" s="546"/>
    </row>
    <row r="366" spans="1:68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1" t="s">
        <v>71</v>
      </c>
      <c r="Q366" s="562"/>
      <c r="R366" s="562"/>
      <c r="S366" s="562"/>
      <c r="T366" s="562"/>
      <c r="U366" s="562"/>
      <c r="V366" s="563"/>
      <c r="W366" s="37" t="s">
        <v>69</v>
      </c>
      <c r="X366" s="545">
        <f>IFERROR(SUM(X364:X364),"0")</f>
        <v>320</v>
      </c>
      <c r="Y366" s="545">
        <f>IFERROR(SUM(Y364:Y364),"0")</f>
        <v>324</v>
      </c>
      <c r="Z366" s="37"/>
      <c r="AA366" s="546"/>
      <c r="AB366" s="546"/>
      <c r="AC366" s="546"/>
    </row>
    <row r="367" spans="1:68" ht="16.5" hidden="1" customHeight="1" x14ac:dyDescent="0.25">
      <c r="A367" s="558" t="s">
        <v>577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hidden="1" customHeight="1" x14ac:dyDescent="0.25">
      <c r="A368" s="559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9"/>
      <c r="AB368" s="539"/>
      <c r="AC368" s="539"/>
    </row>
    <row r="369" spans="1:68" ht="37.5" customHeight="1" x14ac:dyDescent="0.25">
      <c r="A369" s="54" t="s">
        <v>578</v>
      </c>
      <c r="B369" s="54" t="s">
        <v>579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36</v>
      </c>
      <c r="Y369" s="544">
        <f>IFERROR(IF(X369="",0,CEILING((X369/$H369),1)*$H369),"")</f>
        <v>36</v>
      </c>
      <c r="Z369" s="36">
        <f>IFERROR(IF(Y369=0,"",ROUNDUP(Y369/H369,0)*0.01898),"")</f>
        <v>5.6940000000000004E-2</v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37.229999999999997</v>
      </c>
      <c r="BN369" s="64">
        <f>IFERROR(Y369*I369/H369,"0")</f>
        <v>37.229999999999997</v>
      </c>
      <c r="BO369" s="64">
        <f>IFERROR(1/J369*(X369/H369),"0")</f>
        <v>4.6875E-2</v>
      </c>
      <c r="BP369" s="64">
        <f>IFERROR(1/J369*(Y369/H369),"0")</f>
        <v>4.6875E-2</v>
      </c>
    </row>
    <row r="370" spans="1:68" ht="37.5" hidden="1" customHeight="1" x14ac:dyDescent="0.25">
      <c r="A370" s="54" t="s">
        <v>581</v>
      </c>
      <c r="B370" s="54" t="s">
        <v>582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72</v>
      </c>
      <c r="X371" s="545">
        <f>IFERROR(X369/H369,"0")+IFERROR(X370/H370,"0")</f>
        <v>3</v>
      </c>
      <c r="Y371" s="545">
        <f>IFERROR(Y369/H369,"0")+IFERROR(Y370/H370,"0")</f>
        <v>3</v>
      </c>
      <c r="Z371" s="545">
        <f>IFERROR(IF(Z369="",0,Z369),"0")+IFERROR(IF(Z370="",0,Z370),"0")</f>
        <v>5.6940000000000004E-2</v>
      </c>
      <c r="AA371" s="546"/>
      <c r="AB371" s="546"/>
      <c r="AC371" s="546"/>
    </row>
    <row r="372" spans="1:68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1" t="s">
        <v>71</v>
      </c>
      <c r="Q372" s="562"/>
      <c r="R372" s="562"/>
      <c r="S372" s="562"/>
      <c r="T372" s="562"/>
      <c r="U372" s="562"/>
      <c r="V372" s="563"/>
      <c r="W372" s="37" t="s">
        <v>69</v>
      </c>
      <c r="X372" s="545">
        <f>IFERROR(SUM(X369:X370),"0")</f>
        <v>36</v>
      </c>
      <c r="Y372" s="545">
        <f>IFERROR(SUM(Y369:Y370),"0")</f>
        <v>36</v>
      </c>
      <c r="Z372" s="37"/>
      <c r="AA372" s="546"/>
      <c r="AB372" s="546"/>
      <c r="AC372" s="546"/>
    </row>
    <row r="373" spans="1:68" ht="14.25" hidden="1" customHeight="1" x14ac:dyDescent="0.25">
      <c r="A373" s="559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9"/>
      <c r="AB373" s="539"/>
      <c r="AC373" s="539"/>
    </row>
    <row r="374" spans="1:68" ht="27" customHeight="1" x14ac:dyDescent="0.25">
      <c r="A374" s="54" t="s">
        <v>583</v>
      </c>
      <c r="B374" s="54" t="s">
        <v>584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200</v>
      </c>
      <c r="Y374" s="544">
        <f>IFERROR(IF(X374="",0,CEILING((X374/$H374),1)*$H374),"")</f>
        <v>201.48</v>
      </c>
      <c r="Z374" s="36">
        <f>IFERROR(IF(Y374=0,"",ROUNDUP(Y374/H374,0)*0.00902),"")</f>
        <v>0.41492000000000001</v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211.41552511415526</v>
      </c>
      <c r="BN374" s="64">
        <f>IFERROR(Y374*I374/H374,"0")</f>
        <v>212.98</v>
      </c>
      <c r="BO374" s="64">
        <f>IFERROR(1/J374*(X374/H374),"0")</f>
        <v>0.34592500345925004</v>
      </c>
      <c r="BP374" s="64">
        <f>IFERROR(1/J374*(Y374/H374),"0")</f>
        <v>0.34848484848484851</v>
      </c>
    </row>
    <row r="375" spans="1:68" ht="27" hidden="1" customHeight="1" x14ac:dyDescent="0.25">
      <c r="A375" s="54" t="s">
        <v>583</v>
      </c>
      <c r="B375" s="54" t="s">
        <v>586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72</v>
      </c>
      <c r="X376" s="545">
        <f>IFERROR(X374/H374,"0")+IFERROR(X375/H375,"0")</f>
        <v>45.662100456621005</v>
      </c>
      <c r="Y376" s="545">
        <f>IFERROR(Y374/H374,"0")+IFERROR(Y375/H375,"0")</f>
        <v>46</v>
      </c>
      <c r="Z376" s="545">
        <f>IFERROR(IF(Z374="",0,Z374),"0")+IFERROR(IF(Z375="",0,Z375),"0")</f>
        <v>0.41492000000000001</v>
      </c>
      <c r="AA376" s="546"/>
      <c r="AB376" s="546"/>
      <c r="AC376" s="546"/>
    </row>
    <row r="377" spans="1:68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1" t="s">
        <v>71</v>
      </c>
      <c r="Q377" s="562"/>
      <c r="R377" s="562"/>
      <c r="S377" s="562"/>
      <c r="T377" s="562"/>
      <c r="U377" s="562"/>
      <c r="V377" s="563"/>
      <c r="W377" s="37" t="s">
        <v>69</v>
      </c>
      <c r="X377" s="545">
        <f>IFERROR(SUM(X374:X375),"0")</f>
        <v>200</v>
      </c>
      <c r="Y377" s="545">
        <f>IFERROR(SUM(Y374:Y375),"0")</f>
        <v>201.48</v>
      </c>
      <c r="Z377" s="37"/>
      <c r="AA377" s="546"/>
      <c r="AB377" s="546"/>
      <c r="AC377" s="546"/>
    </row>
    <row r="378" spans="1:68" ht="14.25" hidden="1" customHeight="1" x14ac:dyDescent="0.25">
      <c r="A378" s="559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9"/>
      <c r="AB378" s="539"/>
      <c r="AC378" s="539"/>
    </row>
    <row r="379" spans="1:68" ht="27" customHeight="1" x14ac:dyDescent="0.25">
      <c r="A379" s="54" t="s">
        <v>588</v>
      </c>
      <c r="B379" s="54" t="s">
        <v>589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270</v>
      </c>
      <c r="Y379" s="544">
        <f>IFERROR(IF(X379="",0,CEILING((X379/$H379),1)*$H379),"")</f>
        <v>270</v>
      </c>
      <c r="Z379" s="36">
        <f>IFERROR(IF(Y379=0,"",ROUNDUP(Y379/H379,0)*0.01898),"")</f>
        <v>0.56940000000000002</v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284.82</v>
      </c>
      <c r="BN379" s="64">
        <f>IFERROR(Y379*I379/H379,"0")</f>
        <v>284.82</v>
      </c>
      <c r="BO379" s="64">
        <f>IFERROR(1/J379*(X379/H379),"0")</f>
        <v>0.46875</v>
      </c>
      <c r="BP379" s="64">
        <f>IFERROR(1/J379*(Y379/H379),"0")</f>
        <v>0.46875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72</v>
      </c>
      <c r="X381" s="545">
        <f>IFERROR(X379/H379,"0")+IFERROR(X380/H380,"0")</f>
        <v>30</v>
      </c>
      <c r="Y381" s="545">
        <f>IFERROR(Y379/H379,"0")+IFERROR(Y380/H380,"0")</f>
        <v>30</v>
      </c>
      <c r="Z381" s="545">
        <f>IFERROR(IF(Z379="",0,Z379),"0")+IFERROR(IF(Z380="",0,Z380),"0")</f>
        <v>0.56940000000000002</v>
      </c>
      <c r="AA381" s="546"/>
      <c r="AB381" s="546"/>
      <c r="AC381" s="546"/>
    </row>
    <row r="382" spans="1:68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1" t="s">
        <v>71</v>
      </c>
      <c r="Q382" s="562"/>
      <c r="R382" s="562"/>
      <c r="S382" s="562"/>
      <c r="T382" s="562"/>
      <c r="U382" s="562"/>
      <c r="V382" s="563"/>
      <c r="W382" s="37" t="s">
        <v>69</v>
      </c>
      <c r="X382" s="545">
        <f>IFERROR(SUM(X379:X380),"0")</f>
        <v>270</v>
      </c>
      <c r="Y382" s="545">
        <f>IFERROR(SUM(Y379:Y380),"0")</f>
        <v>270</v>
      </c>
      <c r="Z382" s="37"/>
      <c r="AA382" s="546"/>
      <c r="AB382" s="546"/>
      <c r="AC382" s="546"/>
    </row>
    <row r="383" spans="1:68" ht="27.75" hidden="1" customHeight="1" x14ac:dyDescent="0.2">
      <c r="A383" s="570" t="s">
        <v>593</v>
      </c>
      <c r="B383" s="571"/>
      <c r="C383" s="571"/>
      <c r="D383" s="571"/>
      <c r="E383" s="571"/>
      <c r="F383" s="571"/>
      <c r="G383" s="571"/>
      <c r="H383" s="571"/>
      <c r="I383" s="571"/>
      <c r="J383" s="571"/>
      <c r="K383" s="571"/>
      <c r="L383" s="571"/>
      <c r="M383" s="571"/>
      <c r="N383" s="571"/>
      <c r="O383" s="571"/>
      <c r="P383" s="571"/>
      <c r="Q383" s="571"/>
      <c r="R383" s="571"/>
      <c r="S383" s="571"/>
      <c r="T383" s="571"/>
      <c r="U383" s="571"/>
      <c r="V383" s="571"/>
      <c r="W383" s="571"/>
      <c r="X383" s="571"/>
      <c r="Y383" s="571"/>
      <c r="Z383" s="571"/>
      <c r="AA383" s="48"/>
      <c r="AB383" s="48"/>
      <c r="AC383" s="48"/>
    </row>
    <row r="384" spans="1:68" ht="16.5" hidden="1" customHeight="1" x14ac:dyDescent="0.25">
      <c r="A384" s="558" t="s">
        <v>594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hidden="1" customHeight="1" x14ac:dyDescent="0.25">
      <c r="A385" s="559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9"/>
      <c r="AB385" s="539"/>
      <c r="AC385" s="539"/>
    </row>
    <row r="386" spans="1:68" ht="27" customHeight="1" x14ac:dyDescent="0.25">
      <c r="A386" s="54" t="s">
        <v>595</v>
      </c>
      <c r="B386" s="54" t="s">
        <v>596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70</v>
      </c>
      <c r="Y386" s="544">
        <f t="shared" ref="Y386:Y394" si="41">IFERROR(IF(X386="",0,CEILING((X386/$H386),1)*$H386),"")</f>
        <v>70.2</v>
      </c>
      <c r="Z386" s="36">
        <f>IFERROR(IF(Y386=0,"",ROUNDUP(Y386/H386,0)*0.00902),"")</f>
        <v>0.11726</v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72.462962962962962</v>
      </c>
      <c r="BN386" s="64">
        <f t="shared" ref="BN386:BN394" si="43">IFERROR(Y386*I386/H386,"0")</f>
        <v>72.67</v>
      </c>
      <c r="BO386" s="64">
        <f t="shared" ref="BO386:BO394" si="44">IFERROR(1/J386*(X386/H386),"0")</f>
        <v>9.8204264870931535E-2</v>
      </c>
      <c r="BP386" s="64">
        <f t="shared" ref="BP386:BP394" si="45">IFERROR(1/J386*(Y386/H386),"0")</f>
        <v>9.8484848484848481E-2</v>
      </c>
    </row>
    <row r="387" spans="1:68" ht="27" customHeight="1" x14ac:dyDescent="0.25">
      <c r="A387" s="54" t="s">
        <v>598</v>
      </c>
      <c r="B387" s="54" t="s">
        <v>599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40</v>
      </c>
      <c r="Y387" s="544">
        <f t="shared" si="41"/>
        <v>43.2</v>
      </c>
      <c r="Z387" s="36">
        <f>IFERROR(IF(Y387=0,"",ROUNDUP(Y387/H387,0)*0.00902),"")</f>
        <v>7.2160000000000002E-2</v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41.407407407407405</v>
      </c>
      <c r="BN387" s="64">
        <f t="shared" si="43"/>
        <v>44.72</v>
      </c>
      <c r="BO387" s="64">
        <f t="shared" si="44"/>
        <v>5.6116722783389444E-2</v>
      </c>
      <c r="BP387" s="64">
        <f t="shared" si="45"/>
        <v>6.0606060606060608E-2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604</v>
      </c>
      <c r="B389" s="54" t="s">
        <v>605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606</v>
      </c>
      <c r="B390" s="54" t="s">
        <v>607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608</v>
      </c>
      <c r="B391" s="54" t="s">
        <v>609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614</v>
      </c>
      <c r="B393" s="54" t="s">
        <v>615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66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617</v>
      </c>
      <c r="B394" s="54" t="s">
        <v>618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20.370370370370367</v>
      </c>
      <c r="Y395" s="545">
        <f>IFERROR(Y386/H386,"0")+IFERROR(Y387/H387,"0")+IFERROR(Y388/H388,"0")+IFERROR(Y389/H389,"0")+IFERROR(Y390/H390,"0")+IFERROR(Y391/H391,"0")+IFERROR(Y392/H392,"0")+IFERROR(Y393/H393,"0")+IFERROR(Y394/H394,"0")</f>
        <v>21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0.18942000000000001</v>
      </c>
      <c r="AA395" s="546"/>
      <c r="AB395" s="546"/>
      <c r="AC395" s="546"/>
    </row>
    <row r="396" spans="1:68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1" t="s">
        <v>71</v>
      </c>
      <c r="Q396" s="562"/>
      <c r="R396" s="562"/>
      <c r="S396" s="562"/>
      <c r="T396" s="562"/>
      <c r="U396" s="562"/>
      <c r="V396" s="563"/>
      <c r="W396" s="37" t="s">
        <v>69</v>
      </c>
      <c r="X396" s="545">
        <f>IFERROR(SUM(X386:X394),"0")</f>
        <v>110</v>
      </c>
      <c r="Y396" s="545">
        <f>IFERROR(SUM(Y386:Y394),"0")</f>
        <v>113.4</v>
      </c>
      <c r="Z396" s="37"/>
      <c r="AA396" s="546"/>
      <c r="AB396" s="546"/>
      <c r="AC396" s="546"/>
    </row>
    <row r="397" spans="1:68" ht="14.25" hidden="1" customHeight="1" x14ac:dyDescent="0.25">
      <c r="A397" s="559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9"/>
      <c r="AB397" s="539"/>
      <c r="AC397" s="539"/>
    </row>
    <row r="398" spans="1:68" ht="27" hidden="1" customHeight="1" x14ac:dyDescent="0.25">
      <c r="A398" s="54" t="s">
        <v>619</v>
      </c>
      <c r="B398" s="54" t="s">
        <v>620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622</v>
      </c>
      <c r="B399" s="54" t="s">
        <v>623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1" t="s">
        <v>71</v>
      </c>
      <c r="Q401" s="562"/>
      <c r="R401" s="562"/>
      <c r="S401" s="562"/>
      <c r="T401" s="562"/>
      <c r="U401" s="562"/>
      <c r="V401" s="563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8" t="s">
        <v>625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hidden="1" customHeight="1" x14ac:dyDescent="0.25">
      <c r="A403" s="559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9"/>
      <c r="AB403" s="539"/>
      <c r="AC403" s="539"/>
    </row>
    <row r="404" spans="1:68" ht="27" hidden="1" customHeight="1" x14ac:dyDescent="0.25">
      <c r="A404" s="54" t="s">
        <v>626</v>
      </c>
      <c r="B404" s="54" t="s">
        <v>627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1" t="s">
        <v>71</v>
      </c>
      <c r="Q406" s="562"/>
      <c r="R406" s="562"/>
      <c r="S406" s="562"/>
      <c r="T406" s="562"/>
      <c r="U406" s="562"/>
      <c r="V406" s="563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9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9"/>
      <c r="AB407" s="539"/>
      <c r="AC407" s="539"/>
    </row>
    <row r="408" spans="1:68" ht="27" customHeight="1" x14ac:dyDescent="0.25">
      <c r="A408" s="54" t="s">
        <v>629</v>
      </c>
      <c r="B408" s="54" t="s">
        <v>630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120</v>
      </c>
      <c r="Y408" s="544">
        <f>IFERROR(IF(X408="",0,CEILING((X408/$H408),1)*$H408),"")</f>
        <v>124.2</v>
      </c>
      <c r="Z408" s="36">
        <f>IFERROR(IF(Y408=0,"",ROUNDUP(Y408/H408,0)*0.00902),"")</f>
        <v>0.20746000000000001</v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124.2222222222222</v>
      </c>
      <c r="BN408" s="64">
        <f>IFERROR(Y408*I408/H408,"0")</f>
        <v>128.57</v>
      </c>
      <c r="BO408" s="64">
        <f>IFERROR(1/J408*(X408/H408),"0")</f>
        <v>0.16835016835016836</v>
      </c>
      <c r="BP408" s="64">
        <f>IFERROR(1/J408*(Y408/H408),"0")</f>
        <v>0.17424242424242425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638</v>
      </c>
      <c r="B411" s="54" t="s">
        <v>639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72</v>
      </c>
      <c r="X412" s="545">
        <f>IFERROR(X408/H408,"0")+IFERROR(X409/H409,"0")+IFERROR(X410/H410,"0")+IFERROR(X411/H411,"0")</f>
        <v>22.222222222222221</v>
      </c>
      <c r="Y412" s="545">
        <f>IFERROR(Y408/H408,"0")+IFERROR(Y409/H409,"0")+IFERROR(Y410/H410,"0")+IFERROR(Y411/H411,"0")</f>
        <v>23</v>
      </c>
      <c r="Z412" s="545">
        <f>IFERROR(IF(Z408="",0,Z408),"0")+IFERROR(IF(Z409="",0,Z409),"0")+IFERROR(IF(Z410="",0,Z410),"0")+IFERROR(IF(Z411="",0,Z411),"0")</f>
        <v>0.20746000000000001</v>
      </c>
      <c r="AA412" s="546"/>
      <c r="AB412" s="546"/>
      <c r="AC412" s="546"/>
    </row>
    <row r="413" spans="1:68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1" t="s">
        <v>71</v>
      </c>
      <c r="Q413" s="562"/>
      <c r="R413" s="562"/>
      <c r="S413" s="562"/>
      <c r="T413" s="562"/>
      <c r="U413" s="562"/>
      <c r="V413" s="563"/>
      <c r="W413" s="37" t="s">
        <v>69</v>
      </c>
      <c r="X413" s="545">
        <f>IFERROR(SUM(X408:X411),"0")</f>
        <v>120</v>
      </c>
      <c r="Y413" s="545">
        <f>IFERROR(SUM(Y408:Y411),"0")</f>
        <v>124.2</v>
      </c>
      <c r="Z413" s="37"/>
      <c r="AA413" s="546"/>
      <c r="AB413" s="546"/>
      <c r="AC413" s="546"/>
    </row>
    <row r="414" spans="1:68" ht="16.5" hidden="1" customHeight="1" x14ac:dyDescent="0.25">
      <c r="A414" s="558" t="s">
        <v>640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hidden="1" customHeight="1" x14ac:dyDescent="0.25">
      <c r="A415" s="559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9"/>
      <c r="AB415" s="539"/>
      <c r="AC415" s="539"/>
    </row>
    <row r="416" spans="1:68" ht="27" hidden="1" customHeight="1" x14ac:dyDescent="0.25">
      <c r="A416" s="54" t="s">
        <v>641</v>
      </c>
      <c r="B416" s="54" t="s">
        <v>642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8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1" t="s">
        <v>71</v>
      </c>
      <c r="Q418" s="562"/>
      <c r="R418" s="562"/>
      <c r="S418" s="562"/>
      <c r="T418" s="562"/>
      <c r="U418" s="562"/>
      <c r="V418" s="563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70" t="s">
        <v>644</v>
      </c>
      <c r="B419" s="571"/>
      <c r="C419" s="571"/>
      <c r="D419" s="571"/>
      <c r="E419" s="571"/>
      <c r="F419" s="571"/>
      <c r="G419" s="571"/>
      <c r="H419" s="571"/>
      <c r="I419" s="571"/>
      <c r="J419" s="571"/>
      <c r="K419" s="571"/>
      <c r="L419" s="571"/>
      <c r="M419" s="571"/>
      <c r="N419" s="571"/>
      <c r="O419" s="571"/>
      <c r="P419" s="571"/>
      <c r="Q419" s="571"/>
      <c r="R419" s="571"/>
      <c r="S419" s="571"/>
      <c r="T419" s="571"/>
      <c r="U419" s="571"/>
      <c r="V419" s="571"/>
      <c r="W419" s="571"/>
      <c r="X419" s="571"/>
      <c r="Y419" s="571"/>
      <c r="Z419" s="571"/>
      <c r="AA419" s="48"/>
      <c r="AB419" s="48"/>
      <c r="AC419" s="48"/>
    </row>
    <row r="420" spans="1:68" ht="16.5" hidden="1" customHeight="1" x14ac:dyDescent="0.25">
      <c r="A420" s="558" t="s">
        <v>644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hidden="1" customHeight="1" x14ac:dyDescent="0.25">
      <c r="A421" s="559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9"/>
      <c r="AB421" s="539"/>
      <c r="AC421" s="539"/>
    </row>
    <row r="422" spans="1:68" ht="27" hidden="1" customHeight="1" x14ac:dyDescent="0.25">
      <c r="A422" s="54" t="s">
        <v>645</v>
      </c>
      <c r="B422" s="54" t="s">
        <v>646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653</v>
      </c>
      <c r="B425" s="54" t="s">
        <v>654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2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180</v>
      </c>
      <c r="Y425" s="544">
        <f t="shared" si="47"/>
        <v>184.8</v>
      </c>
      <c r="Z425" s="36">
        <f t="shared" si="48"/>
        <v>0.41860000000000003</v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191.93181818181816</v>
      </c>
      <c r="BN425" s="64">
        <f t="shared" si="50"/>
        <v>197.04999999999998</v>
      </c>
      <c r="BO425" s="64">
        <f t="shared" si="51"/>
        <v>0.32779720279720276</v>
      </c>
      <c r="BP425" s="64">
        <f t="shared" si="52"/>
        <v>0.33653846153846156</v>
      </c>
    </row>
    <row r="426" spans="1:68" ht="16.5" hidden="1" customHeight="1" x14ac:dyDescent="0.25">
      <c r="A426" s="54" t="s">
        <v>656</v>
      </c>
      <c r="B426" s="54" t="s">
        <v>657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150</v>
      </c>
      <c r="Y427" s="544">
        <f t="shared" si="47"/>
        <v>153.12</v>
      </c>
      <c r="Z427" s="36">
        <f t="shared" si="48"/>
        <v>0.34683999999999998</v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159.94318181818181</v>
      </c>
      <c r="BN427" s="64">
        <f t="shared" si="50"/>
        <v>163.26999999999998</v>
      </c>
      <c r="BO427" s="64">
        <f t="shared" si="51"/>
        <v>0.27316433566433568</v>
      </c>
      <c r="BP427" s="64">
        <f t="shared" si="52"/>
        <v>0.27884615384615385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664</v>
      </c>
      <c r="B429" s="54" t="s">
        <v>665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9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62.499999999999993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64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0.76544000000000001</v>
      </c>
      <c r="AA433" s="546"/>
      <c r="AB433" s="546"/>
      <c r="AC433" s="546"/>
    </row>
    <row r="434" spans="1:68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1" t="s">
        <v>71</v>
      </c>
      <c r="Q434" s="562"/>
      <c r="R434" s="562"/>
      <c r="S434" s="562"/>
      <c r="T434" s="562"/>
      <c r="U434" s="562"/>
      <c r="V434" s="563"/>
      <c r="W434" s="37" t="s">
        <v>69</v>
      </c>
      <c r="X434" s="545">
        <f>IFERROR(SUM(X422:X432),"0")</f>
        <v>330</v>
      </c>
      <c r="Y434" s="545">
        <f>IFERROR(SUM(Y422:Y432),"0")</f>
        <v>337.92</v>
      </c>
      <c r="Z434" s="37"/>
      <c r="AA434" s="546"/>
      <c r="AB434" s="546"/>
      <c r="AC434" s="546"/>
    </row>
    <row r="435" spans="1:68" ht="14.25" hidden="1" customHeight="1" x14ac:dyDescent="0.25">
      <c r="A435" s="559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9"/>
      <c r="AB435" s="539"/>
      <c r="AC435" s="539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200</v>
      </c>
      <c r="Y436" s="544">
        <f>IFERROR(IF(X436="",0,CEILING((X436/$H436),1)*$H436),"")</f>
        <v>200.64000000000001</v>
      </c>
      <c r="Z436" s="36">
        <f>IFERROR(IF(Y436=0,"",ROUNDUP(Y436/H436,0)*0.01196),"")</f>
        <v>0.45448</v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213.25757575757575</v>
      </c>
      <c r="BN436" s="64">
        <f>IFERROR(Y436*I436/H436,"0")</f>
        <v>213.94</v>
      </c>
      <c r="BO436" s="64">
        <f>IFERROR(1/J436*(X436/H436),"0")</f>
        <v>0.36421911421911418</v>
      </c>
      <c r="BP436" s="64">
        <f>IFERROR(1/J436*(Y436/H436),"0")</f>
        <v>0.36538461538461542</v>
      </c>
    </row>
    <row r="437" spans="1:68" ht="16.5" hidden="1" customHeight="1" x14ac:dyDescent="0.25">
      <c r="A437" s="54" t="s">
        <v>676</v>
      </c>
      <c r="B437" s="54" t="s">
        <v>677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678</v>
      </c>
      <c r="B438" s="54" t="s">
        <v>679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72</v>
      </c>
      <c r="X439" s="545">
        <f>IFERROR(X436/H436,"0")+IFERROR(X437/H437,"0")+IFERROR(X438/H438,"0")</f>
        <v>37.878787878787875</v>
      </c>
      <c r="Y439" s="545">
        <f>IFERROR(Y436/H436,"0")+IFERROR(Y437/H437,"0")+IFERROR(Y438/H438,"0")</f>
        <v>38</v>
      </c>
      <c r="Z439" s="545">
        <f>IFERROR(IF(Z436="",0,Z436),"0")+IFERROR(IF(Z437="",0,Z437),"0")+IFERROR(IF(Z438="",0,Z438),"0")</f>
        <v>0.45448</v>
      </c>
      <c r="AA439" s="546"/>
      <c r="AB439" s="546"/>
      <c r="AC439" s="546"/>
    </row>
    <row r="440" spans="1:68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1" t="s">
        <v>71</v>
      </c>
      <c r="Q440" s="562"/>
      <c r="R440" s="562"/>
      <c r="S440" s="562"/>
      <c r="T440" s="562"/>
      <c r="U440" s="562"/>
      <c r="V440" s="563"/>
      <c r="W440" s="37" t="s">
        <v>69</v>
      </c>
      <c r="X440" s="545">
        <f>IFERROR(SUM(X436:X438),"0")</f>
        <v>200</v>
      </c>
      <c r="Y440" s="545">
        <f>IFERROR(SUM(Y436:Y438),"0")</f>
        <v>200.64000000000001</v>
      </c>
      <c r="Z440" s="37"/>
      <c r="AA440" s="546"/>
      <c r="AB440" s="546"/>
      <c r="AC440" s="546"/>
    </row>
    <row r="441" spans="1:68" ht="14.25" hidden="1" customHeight="1" x14ac:dyDescent="0.25">
      <c r="A441" s="559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9"/>
      <c r="AB441" s="539"/>
      <c r="AC441" s="539"/>
    </row>
    <row r="442" spans="1:68" ht="27" customHeight="1" x14ac:dyDescent="0.25">
      <c r="A442" s="54" t="s">
        <v>680</v>
      </c>
      <c r="B442" s="54" t="s">
        <v>681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100</v>
      </c>
      <c r="Y442" s="544">
        <f t="shared" ref="Y442:Y447" si="53">IFERROR(IF(X442="",0,CEILING((X442/$H442),1)*$H442),"")</f>
        <v>100.32000000000001</v>
      </c>
      <c r="Z442" s="36">
        <f>IFERROR(IF(Y442=0,"",ROUNDUP(Y442/H442,0)*0.01196),"")</f>
        <v>0.22724</v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106.62878787878788</v>
      </c>
      <c r="BN442" s="64">
        <f t="shared" ref="BN442:BN447" si="55">IFERROR(Y442*I442/H442,"0")</f>
        <v>106.97</v>
      </c>
      <c r="BO442" s="64">
        <f t="shared" ref="BO442:BO447" si="56">IFERROR(1/J442*(X442/H442),"0")</f>
        <v>0.18210955710955709</v>
      </c>
      <c r="BP442" s="64">
        <f t="shared" ref="BP442:BP447" si="57">IFERROR(1/J442*(Y442/H442),"0")</f>
        <v>0.18269230769230771</v>
      </c>
    </row>
    <row r="443" spans="1:68" ht="27" customHeight="1" x14ac:dyDescent="0.25">
      <c r="A443" s="54" t="s">
        <v>683</v>
      </c>
      <c r="B443" s="54" t="s">
        <v>684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60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60</v>
      </c>
      <c r="Y443" s="544">
        <f t="shared" si="53"/>
        <v>63.36</v>
      </c>
      <c r="Z443" s="36">
        <f>IFERROR(IF(Y443=0,"",ROUNDUP(Y443/H443,0)*0.01196),"")</f>
        <v>0.14352000000000001</v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63.977272727272727</v>
      </c>
      <c r="BN443" s="64">
        <f t="shared" si="55"/>
        <v>67.559999999999988</v>
      </c>
      <c r="BO443" s="64">
        <f t="shared" si="56"/>
        <v>0.10926573426573427</v>
      </c>
      <c r="BP443" s="64">
        <f t="shared" si="57"/>
        <v>0.11538461538461539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120</v>
      </c>
      <c r="Y444" s="544">
        <f t="shared" si="53"/>
        <v>121.44000000000001</v>
      </c>
      <c r="Z444" s="36">
        <f>IFERROR(IF(Y444=0,"",ROUNDUP(Y444/H444,0)*0.01196),"")</f>
        <v>0.27507999999999999</v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127.95454545454545</v>
      </c>
      <c r="BN444" s="64">
        <f t="shared" si="55"/>
        <v>129.49</v>
      </c>
      <c r="BO444" s="64">
        <f t="shared" si="56"/>
        <v>0.21853146853146854</v>
      </c>
      <c r="BP444" s="64">
        <f t="shared" si="57"/>
        <v>0.22115384615384617</v>
      </c>
    </row>
    <row r="445" spans="1:68" ht="27" hidden="1" customHeight="1" x14ac:dyDescent="0.25">
      <c r="A445" s="54" t="s">
        <v>689</v>
      </c>
      <c r="B445" s="54" t="s">
        <v>690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691</v>
      </c>
      <c r="B446" s="54" t="s">
        <v>692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693</v>
      </c>
      <c r="B447" s="54" t="s">
        <v>694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72</v>
      </c>
      <c r="X448" s="545">
        <f>IFERROR(X442/H442,"0")+IFERROR(X443/H443,"0")+IFERROR(X444/H444,"0")+IFERROR(X445/H445,"0")+IFERROR(X446/H446,"0")+IFERROR(X447/H447,"0")</f>
        <v>53.030303030303031</v>
      </c>
      <c r="Y448" s="545">
        <f>IFERROR(Y442/H442,"0")+IFERROR(Y443/H443,"0")+IFERROR(Y444/H444,"0")+IFERROR(Y445/H445,"0")+IFERROR(Y446/H446,"0")+IFERROR(Y447/H447,"0")</f>
        <v>54</v>
      </c>
      <c r="Z448" s="545">
        <f>IFERROR(IF(Z442="",0,Z442),"0")+IFERROR(IF(Z443="",0,Z443),"0")+IFERROR(IF(Z444="",0,Z444),"0")+IFERROR(IF(Z445="",0,Z445),"0")+IFERROR(IF(Z446="",0,Z446),"0")+IFERROR(IF(Z447="",0,Z447),"0")</f>
        <v>0.64583999999999997</v>
      </c>
      <c r="AA448" s="546"/>
      <c r="AB448" s="546"/>
      <c r="AC448" s="546"/>
    </row>
    <row r="449" spans="1:68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1" t="s">
        <v>71</v>
      </c>
      <c r="Q449" s="562"/>
      <c r="R449" s="562"/>
      <c r="S449" s="562"/>
      <c r="T449" s="562"/>
      <c r="U449" s="562"/>
      <c r="V449" s="563"/>
      <c r="W449" s="37" t="s">
        <v>69</v>
      </c>
      <c r="X449" s="545">
        <f>IFERROR(SUM(X442:X447),"0")</f>
        <v>280</v>
      </c>
      <c r="Y449" s="545">
        <f>IFERROR(SUM(Y442:Y447),"0")</f>
        <v>285.12</v>
      </c>
      <c r="Z449" s="37"/>
      <c r="AA449" s="546"/>
      <c r="AB449" s="546"/>
      <c r="AC449" s="546"/>
    </row>
    <row r="450" spans="1:68" ht="14.25" hidden="1" customHeight="1" x14ac:dyDescent="0.25">
      <c r="A450" s="559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9"/>
      <c r="AB450" s="539"/>
      <c r="AC450" s="539"/>
    </row>
    <row r="451" spans="1:68" ht="16.5" hidden="1" customHeight="1" x14ac:dyDescent="0.25">
      <c r="A451" s="54" t="s">
        <v>695</v>
      </c>
      <c r="B451" s="54" t="s">
        <v>696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3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698</v>
      </c>
      <c r="B452" s="54" t="s">
        <v>699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701</v>
      </c>
      <c r="B453" s="54" t="s">
        <v>702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1" t="s">
        <v>71</v>
      </c>
      <c r="Q455" s="562"/>
      <c r="R455" s="562"/>
      <c r="S455" s="562"/>
      <c r="T455" s="562"/>
      <c r="U455" s="562"/>
      <c r="V455" s="563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70" t="s">
        <v>704</v>
      </c>
      <c r="B456" s="571"/>
      <c r="C456" s="571"/>
      <c r="D456" s="571"/>
      <c r="E456" s="571"/>
      <c r="F456" s="571"/>
      <c r="G456" s="571"/>
      <c r="H456" s="571"/>
      <c r="I456" s="571"/>
      <c r="J456" s="571"/>
      <c r="K456" s="571"/>
      <c r="L456" s="571"/>
      <c r="M456" s="571"/>
      <c r="N456" s="571"/>
      <c r="O456" s="571"/>
      <c r="P456" s="571"/>
      <c r="Q456" s="571"/>
      <c r="R456" s="571"/>
      <c r="S456" s="571"/>
      <c r="T456" s="571"/>
      <c r="U456" s="571"/>
      <c r="V456" s="571"/>
      <c r="W456" s="571"/>
      <c r="X456" s="571"/>
      <c r="Y456" s="571"/>
      <c r="Z456" s="571"/>
      <c r="AA456" s="48"/>
      <c r="AB456" s="48"/>
      <c r="AC456" s="48"/>
    </row>
    <row r="457" spans="1:68" ht="16.5" hidden="1" customHeight="1" x14ac:dyDescent="0.25">
      <c r="A457" s="558" t="s">
        <v>704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hidden="1" customHeight="1" x14ac:dyDescent="0.25">
      <c r="A458" s="559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9"/>
      <c r="AB458" s="539"/>
      <c r="AC458" s="539"/>
    </row>
    <row r="459" spans="1:68" ht="27" hidden="1" customHeight="1" x14ac:dyDescent="0.25">
      <c r="A459" s="54" t="s">
        <v>705</v>
      </c>
      <c r="B459" s="54" t="s">
        <v>706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120</v>
      </c>
      <c r="Y461" s="544">
        <f>IFERROR(IF(X461="",0,CEILING((X461/$H461),1)*$H461),"")</f>
        <v>120</v>
      </c>
      <c r="Z461" s="36">
        <f>IFERROR(IF(Y461=0,"",ROUNDUP(Y461/H461,0)*0.01898),"")</f>
        <v>0.1898</v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124.10000000000001</v>
      </c>
      <c r="BN461" s="64">
        <f>IFERROR(Y461*I461/H461,"0")</f>
        <v>124.10000000000001</v>
      </c>
      <c r="BO461" s="64">
        <f>IFERROR(1/J461*(X461/H461),"0")</f>
        <v>0.15625</v>
      </c>
      <c r="BP461" s="64">
        <f>IFERROR(1/J461*(Y461/H461),"0")</f>
        <v>0.15625</v>
      </c>
    </row>
    <row r="462" spans="1:68" ht="27" hidden="1" customHeight="1" x14ac:dyDescent="0.25">
      <c r="A462" s="54" t="s">
        <v>714</v>
      </c>
      <c r="B462" s="54" t="s">
        <v>715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72</v>
      </c>
      <c r="X463" s="545">
        <f>IFERROR(X459/H459,"0")+IFERROR(X460/H460,"0")+IFERROR(X461/H461,"0")+IFERROR(X462/H462,"0")</f>
        <v>10</v>
      </c>
      <c r="Y463" s="545">
        <f>IFERROR(Y459/H459,"0")+IFERROR(Y460/H460,"0")+IFERROR(Y461/H461,"0")+IFERROR(Y462/H462,"0")</f>
        <v>10</v>
      </c>
      <c r="Z463" s="545">
        <f>IFERROR(IF(Z459="",0,Z459),"0")+IFERROR(IF(Z460="",0,Z460),"0")+IFERROR(IF(Z461="",0,Z461),"0")+IFERROR(IF(Z462="",0,Z462),"0")</f>
        <v>0.1898</v>
      </c>
      <c r="AA463" s="546"/>
      <c r="AB463" s="546"/>
      <c r="AC463" s="546"/>
    </row>
    <row r="464" spans="1:68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1" t="s">
        <v>71</v>
      </c>
      <c r="Q464" s="562"/>
      <c r="R464" s="562"/>
      <c r="S464" s="562"/>
      <c r="T464" s="562"/>
      <c r="U464" s="562"/>
      <c r="V464" s="563"/>
      <c r="W464" s="37" t="s">
        <v>69</v>
      </c>
      <c r="X464" s="545">
        <f>IFERROR(SUM(X459:X462),"0")</f>
        <v>120</v>
      </c>
      <c r="Y464" s="545">
        <f>IFERROR(SUM(Y459:Y462),"0")</f>
        <v>120</v>
      </c>
      <c r="Z464" s="37"/>
      <c r="AA464" s="546"/>
      <c r="AB464" s="546"/>
      <c r="AC464" s="546"/>
    </row>
    <row r="465" spans="1:68" ht="14.25" hidden="1" customHeight="1" x14ac:dyDescent="0.25">
      <c r="A465" s="559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9"/>
      <c r="AB465" s="539"/>
      <c r="AC465" s="539"/>
    </row>
    <row r="466" spans="1:68" ht="27" hidden="1" customHeight="1" x14ac:dyDescent="0.25">
      <c r="A466" s="54" t="s">
        <v>716</v>
      </c>
      <c r="B466" s="54" t="s">
        <v>717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722</v>
      </c>
      <c r="B468" s="54" t="s">
        <v>723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1" t="s">
        <v>71</v>
      </c>
      <c r="Q470" s="562"/>
      <c r="R470" s="562"/>
      <c r="S470" s="562"/>
      <c r="T470" s="562"/>
      <c r="U470" s="562"/>
      <c r="V470" s="563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9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9"/>
      <c r="AB471" s="539"/>
      <c r="AC471" s="539"/>
    </row>
    <row r="472" spans="1:68" ht="27" customHeight="1" x14ac:dyDescent="0.25">
      <c r="A472" s="54" t="s">
        <v>725</v>
      </c>
      <c r="B472" s="54" t="s">
        <v>726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70</v>
      </c>
      <c r="Y472" s="544">
        <f>IFERROR(IF(X472="",0,CEILING((X472/$H472),1)*$H472),"")</f>
        <v>71.400000000000006</v>
      </c>
      <c r="Z472" s="36">
        <f>IFERROR(IF(Y472=0,"",ROUNDUP(Y472/H472,0)*0.00902),"")</f>
        <v>0.15334</v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74.166666666666657</v>
      </c>
      <c r="BN472" s="64">
        <f>IFERROR(Y472*I472/H472,"0")</f>
        <v>75.650000000000006</v>
      </c>
      <c r="BO472" s="64">
        <f>IFERROR(1/J472*(X472/H472),"0")</f>
        <v>0.12626262626262624</v>
      </c>
      <c r="BP472" s="64">
        <f>IFERROR(1/J472*(Y472/H472),"0")</f>
        <v>0.12878787878787878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50</v>
      </c>
      <c r="Y473" s="544">
        <f>IFERROR(IF(X473="",0,CEILING((X473/$H473),1)*$H473),"")</f>
        <v>50.400000000000006</v>
      </c>
      <c r="Z473" s="36">
        <f>IFERROR(IF(Y473=0,"",ROUNDUP(Y473/H473,0)*0.00902),"")</f>
        <v>0.10824</v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52.976190476190474</v>
      </c>
      <c r="BN473" s="64">
        <f>IFERROR(Y473*I473/H473,"0")</f>
        <v>53.400000000000006</v>
      </c>
      <c r="BO473" s="64">
        <f>IFERROR(1/J473*(X473/H473),"0")</f>
        <v>9.0187590187590191E-2</v>
      </c>
      <c r="BP473" s="64">
        <f>IFERROR(1/J473*(Y473/H473),"0")</f>
        <v>9.0909090909090912E-2</v>
      </c>
    </row>
    <row r="474" spans="1:68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72</v>
      </c>
      <c r="X474" s="545">
        <f>IFERROR(X472/H472,"0")+IFERROR(X473/H473,"0")</f>
        <v>28.571428571428569</v>
      </c>
      <c r="Y474" s="545">
        <f>IFERROR(Y472/H472,"0")+IFERROR(Y473/H473,"0")</f>
        <v>29</v>
      </c>
      <c r="Z474" s="545">
        <f>IFERROR(IF(Z472="",0,Z472),"0")+IFERROR(IF(Z473="",0,Z473),"0")</f>
        <v>0.26158000000000003</v>
      </c>
      <c r="AA474" s="546"/>
      <c r="AB474" s="546"/>
      <c r="AC474" s="546"/>
    </row>
    <row r="475" spans="1:68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1" t="s">
        <v>71</v>
      </c>
      <c r="Q475" s="562"/>
      <c r="R475" s="562"/>
      <c r="S475" s="562"/>
      <c r="T475" s="562"/>
      <c r="U475" s="562"/>
      <c r="V475" s="563"/>
      <c r="W475" s="37" t="s">
        <v>69</v>
      </c>
      <c r="X475" s="545">
        <f>IFERROR(SUM(X472:X473),"0")</f>
        <v>120</v>
      </c>
      <c r="Y475" s="545">
        <f>IFERROR(SUM(Y472:Y473),"0")</f>
        <v>121.80000000000001</v>
      </c>
      <c r="Z475" s="37"/>
      <c r="AA475" s="546"/>
      <c r="AB475" s="546"/>
      <c r="AC475" s="546"/>
    </row>
    <row r="476" spans="1:68" ht="14.25" hidden="1" customHeight="1" x14ac:dyDescent="0.25">
      <c r="A476" s="559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9"/>
      <c r="AB476" s="539"/>
      <c r="AC476" s="539"/>
    </row>
    <row r="477" spans="1:68" ht="27" hidden="1" customHeight="1" x14ac:dyDescent="0.25">
      <c r="A477" s="54" t="s">
        <v>731</v>
      </c>
      <c r="B477" s="54" t="s">
        <v>732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1" t="s">
        <v>71</v>
      </c>
      <c r="Q479" s="562"/>
      <c r="R479" s="562"/>
      <c r="S479" s="562"/>
      <c r="T479" s="562"/>
      <c r="U479" s="562"/>
      <c r="V479" s="563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59" t="s">
        <v>164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9"/>
      <c r="AB480" s="539"/>
      <c r="AC480" s="539"/>
    </row>
    <row r="481" spans="1:68" ht="27" hidden="1" customHeight="1" x14ac:dyDescent="0.25">
      <c r="A481" s="54" t="s">
        <v>734</v>
      </c>
      <c r="B481" s="54" t="s">
        <v>735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1" t="s">
        <v>71</v>
      </c>
      <c r="Q484" s="562"/>
      <c r="R484" s="562"/>
      <c r="S484" s="562"/>
      <c r="T484" s="562"/>
      <c r="U484" s="562"/>
      <c r="V484" s="563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8" t="s">
        <v>740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hidden="1" customHeight="1" x14ac:dyDescent="0.25">
      <c r="A486" s="559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9"/>
      <c r="AB486" s="539"/>
      <c r="AC486" s="539"/>
    </row>
    <row r="487" spans="1:68" ht="27" hidden="1" customHeight="1" x14ac:dyDescent="0.25">
      <c r="A487" s="54" t="s">
        <v>741</v>
      </c>
      <c r="B487" s="54" t="s">
        <v>742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1" t="s">
        <v>71</v>
      </c>
      <c r="Q489" s="562"/>
      <c r="R489" s="562"/>
      <c r="S489" s="562"/>
      <c r="T489" s="562"/>
      <c r="U489" s="562"/>
      <c r="V489" s="563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9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17"/>
      <c r="P490" s="643" t="s">
        <v>744</v>
      </c>
      <c r="Q490" s="644"/>
      <c r="R490" s="644"/>
      <c r="S490" s="644"/>
      <c r="T490" s="644"/>
      <c r="U490" s="644"/>
      <c r="V490" s="645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17851.400000000001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17967.559999999998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17"/>
      <c r="P491" s="643" t="s">
        <v>745</v>
      </c>
      <c r="Q491" s="644"/>
      <c r="R491" s="644"/>
      <c r="S491" s="644"/>
      <c r="T491" s="644"/>
      <c r="U491" s="644"/>
      <c r="V491" s="645"/>
      <c r="W491" s="37" t="s">
        <v>69</v>
      </c>
      <c r="X491" s="545">
        <f>IFERROR(SUM(BM22:BM487),"0")</f>
        <v>18571.032935769701</v>
      </c>
      <c r="Y491" s="545">
        <f>IFERROR(SUM(BN22:BN487),"0")</f>
        <v>18692.906000000003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17"/>
      <c r="P492" s="643" t="s">
        <v>746</v>
      </c>
      <c r="Q492" s="644"/>
      <c r="R492" s="644"/>
      <c r="S492" s="644"/>
      <c r="T492" s="644"/>
      <c r="U492" s="644"/>
      <c r="V492" s="645"/>
      <c r="W492" s="37" t="s">
        <v>747</v>
      </c>
      <c r="X492" s="38">
        <f>ROUNDUP(SUM(BO22:BO487),0)</f>
        <v>27</v>
      </c>
      <c r="Y492" s="38">
        <f>ROUNDUP(SUM(BP22:BP487),0)</f>
        <v>28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17"/>
      <c r="P493" s="643" t="s">
        <v>748</v>
      </c>
      <c r="Q493" s="644"/>
      <c r="R493" s="644"/>
      <c r="S493" s="644"/>
      <c r="T493" s="644"/>
      <c r="U493" s="644"/>
      <c r="V493" s="645"/>
      <c r="W493" s="37" t="s">
        <v>69</v>
      </c>
      <c r="X493" s="545">
        <f>GrossWeightTotal+PalletQtyTotal*25</f>
        <v>19246.032935769701</v>
      </c>
      <c r="Y493" s="545">
        <f>GrossWeightTotalR+PalletQtyTotalR*25</f>
        <v>19392.906000000003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17"/>
      <c r="P494" s="643" t="s">
        <v>749</v>
      </c>
      <c r="Q494" s="644"/>
      <c r="R494" s="644"/>
      <c r="S494" s="644"/>
      <c r="T494" s="644"/>
      <c r="U494" s="644"/>
      <c r="V494" s="645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1953.7397895831607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1970</v>
      </c>
      <c r="Z494" s="37"/>
      <c r="AA494" s="546"/>
      <c r="AB494" s="546"/>
      <c r="AC494" s="546"/>
    </row>
    <row r="495" spans="1:68" ht="14.25" hidden="1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17"/>
      <c r="P495" s="643" t="s">
        <v>750</v>
      </c>
      <c r="Q495" s="644"/>
      <c r="R495" s="644"/>
      <c r="S495" s="644"/>
      <c r="T495" s="644"/>
      <c r="U495" s="644"/>
      <c r="V495" s="645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30.604840000000003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600" t="s">
        <v>99</v>
      </c>
      <c r="D497" s="603"/>
      <c r="E497" s="603"/>
      <c r="F497" s="603"/>
      <c r="G497" s="603"/>
      <c r="H497" s="604"/>
      <c r="I497" s="600" t="s">
        <v>255</v>
      </c>
      <c r="J497" s="603"/>
      <c r="K497" s="603"/>
      <c r="L497" s="603"/>
      <c r="M497" s="603"/>
      <c r="N497" s="603"/>
      <c r="O497" s="603"/>
      <c r="P497" s="603"/>
      <c r="Q497" s="603"/>
      <c r="R497" s="604"/>
      <c r="S497" s="600" t="s">
        <v>541</v>
      </c>
      <c r="T497" s="604"/>
      <c r="U497" s="600" t="s">
        <v>593</v>
      </c>
      <c r="V497" s="603"/>
      <c r="W497" s="604"/>
      <c r="X497" s="540" t="s">
        <v>644</v>
      </c>
      <c r="Y497" s="600" t="s">
        <v>704</v>
      </c>
      <c r="Z497" s="604"/>
      <c r="AB497" s="52"/>
      <c r="AC497" s="52"/>
      <c r="AF497" s="541"/>
    </row>
    <row r="498" spans="1:32" ht="14.25" customHeight="1" thickTop="1" x14ac:dyDescent="0.2">
      <c r="A498" s="617" t="s">
        <v>753</v>
      </c>
      <c r="B498" s="600" t="s">
        <v>63</v>
      </c>
      <c r="C498" s="600" t="s">
        <v>100</v>
      </c>
      <c r="D498" s="600" t="s">
        <v>117</v>
      </c>
      <c r="E498" s="600" t="s">
        <v>171</v>
      </c>
      <c r="F498" s="600" t="s">
        <v>190</v>
      </c>
      <c r="G498" s="600" t="s">
        <v>220</v>
      </c>
      <c r="H498" s="600" t="s">
        <v>99</v>
      </c>
      <c r="I498" s="600" t="s">
        <v>256</v>
      </c>
      <c r="J498" s="600" t="s">
        <v>301</v>
      </c>
      <c r="K498" s="600" t="s">
        <v>361</v>
      </c>
      <c r="L498" s="600" t="s">
        <v>403</v>
      </c>
      <c r="M498" s="600" t="s">
        <v>419</v>
      </c>
      <c r="N498" s="541"/>
      <c r="O498" s="600" t="s">
        <v>430</v>
      </c>
      <c r="P498" s="600" t="s">
        <v>439</v>
      </c>
      <c r="Q498" s="600" t="s">
        <v>453</v>
      </c>
      <c r="R498" s="600" t="s">
        <v>531</v>
      </c>
      <c r="S498" s="600" t="s">
        <v>542</v>
      </c>
      <c r="T498" s="600" t="s">
        <v>577</v>
      </c>
      <c r="U498" s="600" t="s">
        <v>594</v>
      </c>
      <c r="V498" s="600" t="s">
        <v>625</v>
      </c>
      <c r="W498" s="600" t="s">
        <v>640</v>
      </c>
      <c r="X498" s="600" t="s">
        <v>644</v>
      </c>
      <c r="Y498" s="600" t="s">
        <v>704</v>
      </c>
      <c r="Z498" s="600" t="s">
        <v>740</v>
      </c>
      <c r="AB498" s="52"/>
      <c r="AC498" s="52"/>
      <c r="AF498" s="541"/>
    </row>
    <row r="499" spans="1:32" ht="13.5" customHeight="1" thickBot="1" x14ac:dyDescent="0.25">
      <c r="A499" s="618"/>
      <c r="B499" s="601"/>
      <c r="C499" s="601"/>
      <c r="D499" s="601"/>
      <c r="E499" s="601"/>
      <c r="F499" s="601"/>
      <c r="G499" s="601"/>
      <c r="H499" s="601"/>
      <c r="I499" s="601"/>
      <c r="J499" s="601"/>
      <c r="K499" s="601"/>
      <c r="L499" s="601"/>
      <c r="M499" s="601"/>
      <c r="N499" s="541"/>
      <c r="O499" s="601"/>
      <c r="P499" s="601"/>
      <c r="Q499" s="601"/>
      <c r="R499" s="601"/>
      <c r="S499" s="601"/>
      <c r="T499" s="601"/>
      <c r="U499" s="601"/>
      <c r="V499" s="601"/>
      <c r="W499" s="601"/>
      <c r="X499" s="601"/>
      <c r="Y499" s="601"/>
      <c r="Z499" s="601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789.6</v>
      </c>
      <c r="E500" s="46">
        <f>IFERROR(Y85*1,"0")+IFERROR(Y86*1,"0")+IFERROR(Y87*1,"0")+IFERROR(Y91*1,"0")+IFERROR(Y92*1,"0")+IFERROR(Y93*1,"0")+IFERROR(Y94*1,"0")</f>
        <v>24.299999999999997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121.5</v>
      </c>
      <c r="G500" s="46">
        <f>IFERROR(Y124*1,"0")+IFERROR(Y125*1,"0")+IFERROR(Y129*1,"0")+IFERROR(Y130*1,"0")+IFERROR(Y134*1,"0")+IFERROR(Y135*1,"0")</f>
        <v>131.6</v>
      </c>
      <c r="H500" s="46">
        <f>IFERROR(Y140*1,"0")+IFERROR(Y141*1,"0")+IFERROR(Y142*1,"0")+IFERROR(Y146*1,"0")+IFERROR(Y147*1,"0")+IFERROR(Y148*1,"0")+IFERROR(Y152*1,"0")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92.4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2513.4000000000005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536.4</v>
      </c>
      <c r="R500" s="46">
        <f>IFERROR(Y336*1,"0")+IFERROR(Y337*1,"0")+IFERROR(Y338*1,"0")</f>
        <v>64.8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11883</v>
      </c>
      <c r="T500" s="46">
        <f>IFERROR(Y369*1,"0")+IFERROR(Y370*1,"0")+IFERROR(Y374*1,"0")+IFERROR(Y375*1,"0")+IFERROR(Y379*1,"0")+IFERROR(Y380*1,"0")</f>
        <v>507.48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113.4</v>
      </c>
      <c r="V500" s="46">
        <f>IFERROR(Y404*1,"0")+IFERROR(Y408*1,"0")+IFERROR(Y409*1,"0")+IFERROR(Y410*1,"0")+IFERROR(Y411*1,"0")</f>
        <v>124.2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823.68000000000018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241.8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00,00"/>
        <filter val="1 900,00"/>
        <filter val="1 953,74"/>
        <filter val="1 980,00"/>
        <filter val="10,00"/>
        <filter val="100,00"/>
        <filter val="110,00"/>
        <filter val="110,52"/>
        <filter val="118,40"/>
        <filter val="120,00"/>
        <filter val="13,00"/>
        <filter val="14,81"/>
        <filter val="140,00"/>
        <filter val="150,00"/>
        <filter val="166,67"/>
        <filter val="17 851,40"/>
        <filter val="18 571,03"/>
        <filter val="180,00"/>
        <filter val="19 246,03"/>
        <filter val="2 160,00"/>
        <filter val="2 500,00"/>
        <filter val="2,68"/>
        <filter val="2,96"/>
        <filter val="20,00"/>
        <filter val="20,37"/>
        <filter val="200,00"/>
        <filter val="21,43"/>
        <filter val="22,22"/>
        <filter val="220,00"/>
        <filter val="230,00"/>
        <filter val="24,00"/>
        <filter val="26,19"/>
        <filter val="27"/>
        <filter val="270,00"/>
        <filter val="28,57"/>
        <filter val="280,00"/>
        <filter val="3 250,00"/>
        <filter val="3,00"/>
        <filter val="30,00"/>
        <filter val="320,00"/>
        <filter val="330,00"/>
        <filter val="35,56"/>
        <filter val="36,00"/>
        <filter val="37,00"/>
        <filter val="37,88"/>
        <filter val="380,00"/>
        <filter val="4,92"/>
        <filter val="40,00"/>
        <filter val="400,00"/>
        <filter val="410,00"/>
        <filter val="45,66"/>
        <filter val="470,00"/>
        <filter val="50,00"/>
        <filter val="50,92"/>
        <filter val="53,03"/>
        <filter val="550,00"/>
        <filter val="580,00"/>
        <filter val="60,00"/>
        <filter val="62,50"/>
        <filter val="630,00"/>
        <filter val="69,44"/>
        <filter val="7 050,00"/>
        <filter val="7,41"/>
        <filter val="70,00"/>
        <filter val="72,00"/>
        <filter val="750,00"/>
        <filter val="80,00"/>
        <filter val="90,00"/>
        <filter val="96,00"/>
      </filters>
    </filterColumn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A103:O104"/>
    <mergeCell ref="M17:M18"/>
    <mergeCell ref="O17:O18"/>
    <mergeCell ref="P114:T114"/>
    <mergeCell ref="P70:V70"/>
    <mergeCell ref="D86:E86"/>
    <mergeCell ref="P101:T101"/>
    <mergeCell ref="A136:O137"/>
    <mergeCell ref="A254:Z254"/>
    <mergeCell ref="P181:T181"/>
    <mergeCell ref="F17:F18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P492:V492"/>
    <mergeCell ref="P286:V286"/>
    <mergeCell ref="P479:V479"/>
    <mergeCell ref="A339:O340"/>
    <mergeCell ref="D318:E318"/>
    <mergeCell ref="D389:E389"/>
    <mergeCell ref="P201:T201"/>
    <mergeCell ref="P176:T176"/>
    <mergeCell ref="P247:T247"/>
    <mergeCell ref="A328:Z328"/>
    <mergeCell ref="A157:Z157"/>
    <mergeCell ref="D447:E447"/>
    <mergeCell ref="P301:T301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A156:Z156"/>
    <mergeCell ref="P116:V116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P295:T295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P56:T56"/>
    <mergeCell ref="P344:T344"/>
    <mergeCell ref="A400:O401"/>
    <mergeCell ref="D257:E257"/>
    <mergeCell ref="P214:T214"/>
    <mergeCell ref="D213:E213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P79:T7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  <mergeCell ref="D375:E37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2025-11-18T10:00:46Z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