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F747D57-5C18-4FB2-B900-A7B764A1563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O399" i="1"/>
  <c r="BM399" i="1"/>
  <c r="Y399" i="1"/>
  <c r="P399" i="1"/>
  <c r="BO398" i="1"/>
  <c r="BM398" i="1"/>
  <c r="Y398" i="1"/>
  <c r="Y400" i="1" s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Y365" i="1"/>
  <c r="X365" i="1"/>
  <c r="BP364" i="1"/>
  <c r="BO364" i="1"/>
  <c r="BN364" i="1"/>
  <c r="BM364" i="1"/>
  <c r="Z364" i="1"/>
  <c r="Z365" i="1" s="1"/>
  <c r="Y364" i="1"/>
  <c r="Y366" i="1" s="1"/>
  <c r="P364" i="1"/>
  <c r="X362" i="1"/>
  <c r="Y361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N355" i="1"/>
  <c r="BM355" i="1"/>
  <c r="Z355" i="1"/>
  <c r="Y355" i="1"/>
  <c r="BP355" i="1" s="1"/>
  <c r="P355" i="1"/>
  <c r="BO354" i="1"/>
  <c r="BM354" i="1"/>
  <c r="Y354" i="1"/>
  <c r="P354" i="1"/>
  <c r="X352" i="1"/>
  <c r="X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X340" i="1"/>
  <c r="X339" i="1"/>
  <c r="BO338" i="1"/>
  <c r="BM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P336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X327" i="1"/>
  <c r="X326" i="1"/>
  <c r="BP325" i="1"/>
  <c r="BO325" i="1"/>
  <c r="BN325" i="1"/>
  <c r="BM325" i="1"/>
  <c r="Z325" i="1"/>
  <c r="Y325" i="1"/>
  <c r="P325" i="1"/>
  <c r="BO324" i="1"/>
  <c r="BM324" i="1"/>
  <c r="Y324" i="1"/>
  <c r="P324" i="1"/>
  <c r="BO323" i="1"/>
  <c r="BM323" i="1"/>
  <c r="Y323" i="1"/>
  <c r="BO322" i="1"/>
  <c r="BM322" i="1"/>
  <c r="Y322" i="1"/>
  <c r="P322" i="1"/>
  <c r="X320" i="1"/>
  <c r="X319" i="1"/>
  <c r="BP318" i="1"/>
  <c r="BO318" i="1"/>
  <c r="BN318" i="1"/>
  <c r="BM318" i="1"/>
  <c r="Z318" i="1"/>
  <c r="Y318" i="1"/>
  <c r="P318" i="1"/>
  <c r="BO317" i="1"/>
  <c r="BM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X297" i="1"/>
  <c r="X296" i="1"/>
  <c r="BO295" i="1"/>
  <c r="BM295" i="1"/>
  <c r="Y295" i="1"/>
  <c r="P295" i="1"/>
  <c r="BO294" i="1"/>
  <c r="BM294" i="1"/>
  <c r="Y294" i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O284" i="1"/>
  <c r="BM284" i="1"/>
  <c r="Y284" i="1"/>
  <c r="X282" i="1"/>
  <c r="X281" i="1"/>
  <c r="BO280" i="1"/>
  <c r="BM280" i="1"/>
  <c r="Y280" i="1"/>
  <c r="P280" i="1"/>
  <c r="BO279" i="1"/>
  <c r="BM279" i="1"/>
  <c r="Y279" i="1"/>
  <c r="Y281" i="1" s="1"/>
  <c r="P279" i="1"/>
  <c r="X276" i="1"/>
  <c r="X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X217" i="1"/>
  <c r="X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O186" i="1"/>
  <c r="BM186" i="1"/>
  <c r="Y186" i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O163" i="1"/>
  <c r="BM163" i="1"/>
  <c r="Y163" i="1"/>
  <c r="P163" i="1"/>
  <c r="BO162" i="1"/>
  <c r="BM162" i="1"/>
  <c r="Y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X149" i="1"/>
  <c r="BO148" i="1"/>
  <c r="BM148" i="1"/>
  <c r="Y148" i="1"/>
  <c r="P148" i="1"/>
  <c r="BO147" i="1"/>
  <c r="BM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BP124" i="1" s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BP67" i="1" s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Y58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P22" i="1"/>
  <c r="H10" i="1"/>
  <c r="A9" i="1"/>
  <c r="F10" i="1" s="1"/>
  <c r="D7" i="1"/>
  <c r="Q6" i="1"/>
  <c r="P2" i="1"/>
  <c r="Y154" i="1" l="1"/>
  <c r="Y153" i="1"/>
  <c r="BP152" i="1"/>
  <c r="BN152" i="1"/>
  <c r="Z152" i="1"/>
  <c r="Z153" i="1" s="1"/>
  <c r="Y159" i="1"/>
  <c r="BP158" i="1"/>
  <c r="BN158" i="1"/>
  <c r="Z158" i="1"/>
  <c r="Z159" i="1" s="1"/>
  <c r="BP169" i="1"/>
  <c r="BN169" i="1"/>
  <c r="Z169" i="1"/>
  <c r="BP202" i="1"/>
  <c r="BN202" i="1"/>
  <c r="Z202" i="1"/>
  <c r="BP228" i="1"/>
  <c r="BN228" i="1"/>
  <c r="Z228" i="1"/>
  <c r="BP257" i="1"/>
  <c r="BN257" i="1"/>
  <c r="Z257" i="1"/>
  <c r="BP285" i="1"/>
  <c r="BN285" i="1"/>
  <c r="Z285" i="1"/>
  <c r="BP312" i="1"/>
  <c r="BN312" i="1"/>
  <c r="Z312" i="1"/>
  <c r="BP346" i="1"/>
  <c r="BN346" i="1"/>
  <c r="Z346" i="1"/>
  <c r="BP379" i="1"/>
  <c r="BN379" i="1"/>
  <c r="Z379" i="1"/>
  <c r="BP425" i="1"/>
  <c r="BN425" i="1"/>
  <c r="Z425" i="1"/>
  <c r="BP451" i="1"/>
  <c r="BN451" i="1"/>
  <c r="Z451" i="1"/>
  <c r="X491" i="1"/>
  <c r="X494" i="1"/>
  <c r="Z27" i="1"/>
  <c r="BN27" i="1"/>
  <c r="Z54" i="1"/>
  <c r="BN54" i="1"/>
  <c r="Z67" i="1"/>
  <c r="BN67" i="1"/>
  <c r="Z86" i="1"/>
  <c r="BN86" i="1"/>
  <c r="Z101" i="1"/>
  <c r="BN101" i="1"/>
  <c r="Z119" i="1"/>
  <c r="Z120" i="1" s="1"/>
  <c r="BN119" i="1"/>
  <c r="BP119" i="1"/>
  <c r="Y120" i="1"/>
  <c r="Z124" i="1"/>
  <c r="BN124" i="1"/>
  <c r="BP147" i="1"/>
  <c r="BN147" i="1"/>
  <c r="Z147" i="1"/>
  <c r="Y183" i="1"/>
  <c r="Y182" i="1"/>
  <c r="BP181" i="1"/>
  <c r="BN181" i="1"/>
  <c r="Z181" i="1"/>
  <c r="Z182" i="1" s="1"/>
  <c r="BP186" i="1"/>
  <c r="BN186" i="1"/>
  <c r="Z186" i="1"/>
  <c r="BP213" i="1"/>
  <c r="BN213" i="1"/>
  <c r="Z213" i="1"/>
  <c r="Y240" i="1"/>
  <c r="Y239" i="1"/>
  <c r="BP238" i="1"/>
  <c r="BN238" i="1"/>
  <c r="Z238" i="1"/>
  <c r="Z239" i="1" s="1"/>
  <c r="Y244" i="1"/>
  <c r="Y243" i="1"/>
  <c r="BP242" i="1"/>
  <c r="BN242" i="1"/>
  <c r="Z242" i="1"/>
  <c r="Z243" i="1" s="1"/>
  <c r="BP246" i="1"/>
  <c r="BN246" i="1"/>
  <c r="Z246" i="1"/>
  <c r="BP273" i="1"/>
  <c r="BN273" i="1"/>
  <c r="Z273" i="1"/>
  <c r="BP300" i="1"/>
  <c r="BN300" i="1"/>
  <c r="Z300" i="1"/>
  <c r="BP329" i="1"/>
  <c r="BN329" i="1"/>
  <c r="Z329" i="1"/>
  <c r="BP347" i="1"/>
  <c r="BN347" i="1"/>
  <c r="Z347" i="1"/>
  <c r="BP393" i="1"/>
  <c r="BN393" i="1"/>
  <c r="Z393" i="1"/>
  <c r="BP437" i="1"/>
  <c r="BN437" i="1"/>
  <c r="Z437" i="1"/>
  <c r="BP473" i="1"/>
  <c r="BN473" i="1"/>
  <c r="Z473" i="1"/>
  <c r="Y339" i="1"/>
  <c r="Y81" i="1"/>
  <c r="BP79" i="1"/>
  <c r="BN79" i="1"/>
  <c r="BP92" i="1"/>
  <c r="BN92" i="1"/>
  <c r="Z92" i="1"/>
  <c r="BP107" i="1"/>
  <c r="BN107" i="1"/>
  <c r="Z107" i="1"/>
  <c r="BP130" i="1"/>
  <c r="BN130" i="1"/>
  <c r="Z130" i="1"/>
  <c r="BP163" i="1"/>
  <c r="BN163" i="1"/>
  <c r="Z163" i="1"/>
  <c r="BP171" i="1"/>
  <c r="BN171" i="1"/>
  <c r="Z171" i="1"/>
  <c r="BP192" i="1"/>
  <c r="BN192" i="1"/>
  <c r="Z192" i="1"/>
  <c r="BP196" i="1"/>
  <c r="BN196" i="1"/>
  <c r="Z196" i="1"/>
  <c r="BP207" i="1"/>
  <c r="BN207" i="1"/>
  <c r="Z207" i="1"/>
  <c r="BP215" i="1"/>
  <c r="BN215" i="1"/>
  <c r="Z215" i="1"/>
  <c r="BP230" i="1"/>
  <c r="BN230" i="1"/>
  <c r="Z230" i="1"/>
  <c r="BP248" i="1"/>
  <c r="BN248" i="1"/>
  <c r="Z248" i="1"/>
  <c r="BP259" i="1"/>
  <c r="BN259" i="1"/>
  <c r="Z259" i="1"/>
  <c r="BP280" i="1"/>
  <c r="BN280" i="1"/>
  <c r="Z280" i="1"/>
  <c r="BP290" i="1"/>
  <c r="BN290" i="1"/>
  <c r="Z290" i="1"/>
  <c r="B500" i="1"/>
  <c r="X492" i="1"/>
  <c r="Y31" i="1"/>
  <c r="Z29" i="1"/>
  <c r="BN29" i="1"/>
  <c r="C500" i="1"/>
  <c r="Z52" i="1"/>
  <c r="BN52" i="1"/>
  <c r="Z56" i="1"/>
  <c r="BN56" i="1"/>
  <c r="Z62" i="1"/>
  <c r="BN62" i="1"/>
  <c r="Z73" i="1"/>
  <c r="BN73" i="1"/>
  <c r="Z79" i="1"/>
  <c r="BP99" i="1"/>
  <c r="BN99" i="1"/>
  <c r="Z99" i="1"/>
  <c r="BP115" i="1"/>
  <c r="BN115" i="1"/>
  <c r="Z115" i="1"/>
  <c r="BP141" i="1"/>
  <c r="BN141" i="1"/>
  <c r="Z141" i="1"/>
  <c r="BP167" i="1"/>
  <c r="BN167" i="1"/>
  <c r="Z167" i="1"/>
  <c r="BP177" i="1"/>
  <c r="BN177" i="1"/>
  <c r="Z177" i="1"/>
  <c r="BP200" i="1"/>
  <c r="BN200" i="1"/>
  <c r="Z200" i="1"/>
  <c r="BP211" i="1"/>
  <c r="BN211" i="1"/>
  <c r="Z211" i="1"/>
  <c r="BP226" i="1"/>
  <c r="BN226" i="1"/>
  <c r="Z226" i="1"/>
  <c r="BP234" i="1"/>
  <c r="BN234" i="1"/>
  <c r="Z234" i="1"/>
  <c r="Y261" i="1"/>
  <c r="BP255" i="1"/>
  <c r="BN255" i="1"/>
  <c r="Z255" i="1"/>
  <c r="BP266" i="1"/>
  <c r="BN266" i="1"/>
  <c r="Z266" i="1"/>
  <c r="BP294" i="1"/>
  <c r="BN294" i="1"/>
  <c r="Z294" i="1"/>
  <c r="BP310" i="1"/>
  <c r="BN310" i="1"/>
  <c r="Z310" i="1"/>
  <c r="Y327" i="1"/>
  <c r="BP322" i="1"/>
  <c r="BN322" i="1"/>
  <c r="Z322" i="1"/>
  <c r="Y326" i="1"/>
  <c r="BP331" i="1"/>
  <c r="BN331" i="1"/>
  <c r="Z331" i="1"/>
  <c r="BP349" i="1"/>
  <c r="BN349" i="1"/>
  <c r="Z349" i="1"/>
  <c r="BP387" i="1"/>
  <c r="BN387" i="1"/>
  <c r="Z387" i="1"/>
  <c r="BP399" i="1"/>
  <c r="BN399" i="1"/>
  <c r="Z399" i="1"/>
  <c r="Y405" i="1"/>
  <c r="BP404" i="1"/>
  <c r="BN404" i="1"/>
  <c r="Z404" i="1"/>
  <c r="Z405" i="1" s="1"/>
  <c r="BP408" i="1"/>
  <c r="BN408" i="1"/>
  <c r="Z408" i="1"/>
  <c r="BP427" i="1"/>
  <c r="BN427" i="1"/>
  <c r="Z427" i="1"/>
  <c r="BP443" i="1"/>
  <c r="BN443" i="1"/>
  <c r="Z443" i="1"/>
  <c r="BP453" i="1"/>
  <c r="BN453" i="1"/>
  <c r="Z453" i="1"/>
  <c r="BP459" i="1"/>
  <c r="BN459" i="1"/>
  <c r="Z459" i="1"/>
  <c r="Y479" i="1"/>
  <c r="Y478" i="1"/>
  <c r="BP477" i="1"/>
  <c r="BN477" i="1"/>
  <c r="Z477" i="1"/>
  <c r="Z478" i="1" s="1"/>
  <c r="Y483" i="1"/>
  <c r="BP481" i="1"/>
  <c r="BN481" i="1"/>
  <c r="Z481" i="1"/>
  <c r="Y136" i="1"/>
  <c r="Y252" i="1"/>
  <c r="BP302" i="1"/>
  <c r="BN302" i="1"/>
  <c r="Z302" i="1"/>
  <c r="BP316" i="1"/>
  <c r="BN316" i="1"/>
  <c r="Z316" i="1"/>
  <c r="BP323" i="1"/>
  <c r="BN323" i="1"/>
  <c r="Z323" i="1"/>
  <c r="BP338" i="1"/>
  <c r="BN338" i="1"/>
  <c r="Z338" i="1"/>
  <c r="BP344" i="1"/>
  <c r="BN344" i="1"/>
  <c r="Z344" i="1"/>
  <c r="BP375" i="1"/>
  <c r="BN375" i="1"/>
  <c r="Z375" i="1"/>
  <c r="BP391" i="1"/>
  <c r="BN391" i="1"/>
  <c r="Z391" i="1"/>
  <c r="BP423" i="1"/>
  <c r="BN423" i="1"/>
  <c r="Z423" i="1"/>
  <c r="BP431" i="1"/>
  <c r="BN431" i="1"/>
  <c r="Z431" i="1"/>
  <c r="BP447" i="1"/>
  <c r="BN447" i="1"/>
  <c r="Z447" i="1"/>
  <c r="BP467" i="1"/>
  <c r="BN467" i="1"/>
  <c r="Z467" i="1"/>
  <c r="Y381" i="1"/>
  <c r="Y455" i="1"/>
  <c r="Y454" i="1"/>
  <c r="H9" i="1"/>
  <c r="A10" i="1"/>
  <c r="Y24" i="1"/>
  <c r="Y32" i="1"/>
  <c r="Y36" i="1"/>
  <c r="Y44" i="1"/>
  <c r="Y48" i="1"/>
  <c r="Y57" i="1"/>
  <c r="Y64" i="1"/>
  <c r="Y69" i="1"/>
  <c r="BP66" i="1"/>
  <c r="BN66" i="1"/>
  <c r="Z66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Y127" i="1"/>
  <c r="Y132" i="1"/>
  <c r="BP129" i="1"/>
  <c r="BN129" i="1"/>
  <c r="Z129" i="1"/>
  <c r="Z131" i="1" s="1"/>
  <c r="BP142" i="1"/>
  <c r="BN142" i="1"/>
  <c r="Z142" i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BP176" i="1"/>
  <c r="BN176" i="1"/>
  <c r="Z176" i="1"/>
  <c r="Z178" i="1" s="1"/>
  <c r="BP197" i="1"/>
  <c r="BN197" i="1"/>
  <c r="Z197" i="1"/>
  <c r="BP201" i="1"/>
  <c r="BN201" i="1"/>
  <c r="Z201" i="1"/>
  <c r="BP249" i="1"/>
  <c r="BN249" i="1"/>
  <c r="Z249" i="1"/>
  <c r="BP267" i="1"/>
  <c r="BN267" i="1"/>
  <c r="Z267" i="1"/>
  <c r="Y269" i="1"/>
  <c r="O500" i="1"/>
  <c r="Y275" i="1"/>
  <c r="BP272" i="1"/>
  <c r="BN272" i="1"/>
  <c r="Z272" i="1"/>
  <c r="Y276" i="1"/>
  <c r="Y287" i="1"/>
  <c r="BP284" i="1"/>
  <c r="BN284" i="1"/>
  <c r="Z284" i="1"/>
  <c r="Y286" i="1"/>
  <c r="BP330" i="1"/>
  <c r="BN330" i="1"/>
  <c r="Z330" i="1"/>
  <c r="Y332" i="1"/>
  <c r="D500" i="1"/>
  <c r="F9" i="1"/>
  <c r="J9" i="1"/>
  <c r="Z22" i="1"/>
  <c r="Z23" i="1" s="1"/>
  <c r="BN22" i="1"/>
  <c r="BP22" i="1"/>
  <c r="Y23" i="1"/>
  <c r="X490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Z57" i="1" s="1"/>
  <c r="BN51" i="1"/>
  <c r="BP51" i="1"/>
  <c r="Z53" i="1"/>
  <c r="BN53" i="1"/>
  <c r="Z55" i="1"/>
  <c r="BN55" i="1"/>
  <c r="Y63" i="1"/>
  <c r="Z61" i="1"/>
  <c r="Z63" i="1" s="1"/>
  <c r="BN61" i="1"/>
  <c r="BP68" i="1"/>
  <c r="BN68" i="1"/>
  <c r="Z68" i="1"/>
  <c r="Y70" i="1"/>
  <c r="Y77" i="1"/>
  <c r="BP72" i="1"/>
  <c r="BN72" i="1"/>
  <c r="Z72" i="1"/>
  <c r="Y76" i="1"/>
  <c r="BP80" i="1"/>
  <c r="BN80" i="1"/>
  <c r="Z80" i="1"/>
  <c r="Y82" i="1"/>
  <c r="E500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Z136" i="1" s="1"/>
  <c r="Y137" i="1"/>
  <c r="H500" i="1"/>
  <c r="Y143" i="1"/>
  <c r="BP140" i="1"/>
  <c r="BN140" i="1"/>
  <c r="Z140" i="1"/>
  <c r="BP148" i="1"/>
  <c r="BN148" i="1"/>
  <c r="Z148" i="1"/>
  <c r="Y15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BP199" i="1"/>
  <c r="BN199" i="1"/>
  <c r="Z199" i="1"/>
  <c r="BP203" i="1"/>
  <c r="BN203" i="1"/>
  <c r="Z203" i="1"/>
  <c r="BP208" i="1"/>
  <c r="BN208" i="1"/>
  <c r="Z208" i="1"/>
  <c r="BP212" i="1"/>
  <c r="BN212" i="1"/>
  <c r="Z212" i="1"/>
  <c r="Y216" i="1"/>
  <c r="BP220" i="1"/>
  <c r="BN220" i="1"/>
  <c r="Z220" i="1"/>
  <c r="Z221" i="1" s="1"/>
  <c r="Y222" i="1"/>
  <c r="K500" i="1"/>
  <c r="Y236" i="1"/>
  <c r="BP225" i="1"/>
  <c r="BN225" i="1"/>
  <c r="Z225" i="1"/>
  <c r="Y235" i="1"/>
  <c r="BP229" i="1"/>
  <c r="BN229" i="1"/>
  <c r="Z229" i="1"/>
  <c r="BP233" i="1"/>
  <c r="BN233" i="1"/>
  <c r="Z233" i="1"/>
  <c r="BP258" i="1"/>
  <c r="BN258" i="1"/>
  <c r="Z258" i="1"/>
  <c r="Q500" i="1"/>
  <c r="BP293" i="1"/>
  <c r="BN293" i="1"/>
  <c r="Z293" i="1"/>
  <c r="BP301" i="1"/>
  <c r="BN301" i="1"/>
  <c r="Z301" i="1"/>
  <c r="BP305" i="1"/>
  <c r="BN305" i="1"/>
  <c r="Z305" i="1"/>
  <c r="Y307" i="1"/>
  <c r="Y314" i="1"/>
  <c r="BP309" i="1"/>
  <c r="BN309" i="1"/>
  <c r="Z309" i="1"/>
  <c r="Y313" i="1"/>
  <c r="BP317" i="1"/>
  <c r="BN317" i="1"/>
  <c r="Z317" i="1"/>
  <c r="Z319" i="1" s="1"/>
  <c r="Y319" i="1"/>
  <c r="BP345" i="1"/>
  <c r="BN345" i="1"/>
  <c r="Z345" i="1"/>
  <c r="BP350" i="1"/>
  <c r="BN350" i="1"/>
  <c r="Z350" i="1"/>
  <c r="Y352" i="1"/>
  <c r="Y356" i="1"/>
  <c r="Y357" i="1"/>
  <c r="BP354" i="1"/>
  <c r="BN354" i="1"/>
  <c r="Z354" i="1"/>
  <c r="Z356" i="1" s="1"/>
  <c r="BP388" i="1"/>
  <c r="BN388" i="1"/>
  <c r="Z388" i="1"/>
  <c r="BP392" i="1"/>
  <c r="BN392" i="1"/>
  <c r="Z392" i="1"/>
  <c r="BP409" i="1"/>
  <c r="BN409" i="1"/>
  <c r="Z409" i="1"/>
  <c r="Y413" i="1"/>
  <c r="BP424" i="1"/>
  <c r="BN424" i="1"/>
  <c r="Z424" i="1"/>
  <c r="BP460" i="1"/>
  <c r="BN460" i="1"/>
  <c r="Z460" i="1"/>
  <c r="Y464" i="1"/>
  <c r="Y500" i="1"/>
  <c r="BP468" i="1"/>
  <c r="BN468" i="1"/>
  <c r="Z468" i="1"/>
  <c r="Y470" i="1"/>
  <c r="Y475" i="1"/>
  <c r="BP472" i="1"/>
  <c r="BN472" i="1"/>
  <c r="Z472" i="1"/>
  <c r="Z474" i="1" s="1"/>
  <c r="Y474" i="1"/>
  <c r="U500" i="1"/>
  <c r="F500" i="1"/>
  <c r="Y103" i="1"/>
  <c r="G500" i="1"/>
  <c r="Y126" i="1"/>
  <c r="I500" i="1"/>
  <c r="Y160" i="1"/>
  <c r="J500" i="1"/>
  <c r="Y188" i="1"/>
  <c r="Y205" i="1"/>
  <c r="Y204" i="1"/>
  <c r="Y217" i="1"/>
  <c r="BP210" i="1"/>
  <c r="BN210" i="1"/>
  <c r="Z210" i="1"/>
  <c r="BP214" i="1"/>
  <c r="BN214" i="1"/>
  <c r="Z214" i="1"/>
  <c r="Y221" i="1"/>
  <c r="BP227" i="1"/>
  <c r="BN227" i="1"/>
  <c r="Z227" i="1"/>
  <c r="BP231" i="1"/>
  <c r="BN231" i="1"/>
  <c r="Z231" i="1"/>
  <c r="BP247" i="1"/>
  <c r="BN247" i="1"/>
  <c r="Z247" i="1"/>
  <c r="Z251" i="1" s="1"/>
  <c r="Y251" i="1"/>
  <c r="BP256" i="1"/>
  <c r="BN256" i="1"/>
  <c r="Z256" i="1"/>
  <c r="Y260" i="1"/>
  <c r="BP265" i="1"/>
  <c r="BN265" i="1"/>
  <c r="Z265" i="1"/>
  <c r="Z268" i="1" s="1"/>
  <c r="BP274" i="1"/>
  <c r="BN274" i="1"/>
  <c r="Z274" i="1"/>
  <c r="P500" i="1"/>
  <c r="Y282" i="1"/>
  <c r="BP279" i="1"/>
  <c r="BN279" i="1"/>
  <c r="Z279" i="1"/>
  <c r="Z281" i="1" s="1"/>
  <c r="BP291" i="1"/>
  <c r="BN291" i="1"/>
  <c r="Z291" i="1"/>
  <c r="BP295" i="1"/>
  <c r="BN295" i="1"/>
  <c r="Z295" i="1"/>
  <c r="Y297" i="1"/>
  <c r="Y306" i="1"/>
  <c r="BP299" i="1"/>
  <c r="BN299" i="1"/>
  <c r="Z299" i="1"/>
  <c r="BP303" i="1"/>
  <c r="BN303" i="1"/>
  <c r="Z303" i="1"/>
  <c r="BP311" i="1"/>
  <c r="BN311" i="1"/>
  <c r="Z311" i="1"/>
  <c r="Y320" i="1"/>
  <c r="BP324" i="1"/>
  <c r="BN324" i="1"/>
  <c r="Z324" i="1"/>
  <c r="Y333" i="1"/>
  <c r="BP337" i="1"/>
  <c r="BN337" i="1"/>
  <c r="Z337" i="1"/>
  <c r="Z339" i="1" s="1"/>
  <c r="BP348" i="1"/>
  <c r="BN348" i="1"/>
  <c r="Z348" i="1"/>
  <c r="BP370" i="1"/>
  <c r="BN370" i="1"/>
  <c r="Z370" i="1"/>
  <c r="Z371" i="1" s="1"/>
  <c r="Y372" i="1"/>
  <c r="Y377" i="1"/>
  <c r="BP374" i="1"/>
  <c r="BN374" i="1"/>
  <c r="Z374" i="1"/>
  <c r="Y376" i="1"/>
  <c r="L500" i="1"/>
  <c r="M500" i="1"/>
  <c r="Y268" i="1"/>
  <c r="Y296" i="1"/>
  <c r="R500" i="1"/>
  <c r="Y340" i="1"/>
  <c r="S500" i="1"/>
  <c r="Y351" i="1"/>
  <c r="Y362" i="1"/>
  <c r="BP359" i="1"/>
  <c r="BN359" i="1"/>
  <c r="Z359" i="1"/>
  <c r="Z361" i="1" s="1"/>
  <c r="BP380" i="1"/>
  <c r="BN380" i="1"/>
  <c r="Z380" i="1"/>
  <c r="Z381" i="1" s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Y412" i="1"/>
  <c r="BP411" i="1"/>
  <c r="BN411" i="1"/>
  <c r="Z411" i="1"/>
  <c r="W500" i="1"/>
  <c r="Y417" i="1"/>
  <c r="BP416" i="1"/>
  <c r="BN416" i="1"/>
  <c r="Z416" i="1"/>
  <c r="Z417" i="1" s="1"/>
  <c r="Y418" i="1"/>
  <c r="X500" i="1"/>
  <c r="Y433" i="1"/>
  <c r="Y434" i="1"/>
  <c r="BP422" i="1"/>
  <c r="BN422" i="1"/>
  <c r="Z422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T500" i="1"/>
  <c r="Y371" i="1"/>
  <c r="V500" i="1"/>
  <c r="Y406" i="1"/>
  <c r="BP428" i="1"/>
  <c r="BN428" i="1"/>
  <c r="Z428" i="1"/>
  <c r="BP432" i="1"/>
  <c r="BN432" i="1"/>
  <c r="Z432" i="1"/>
  <c r="Y439" i="1"/>
  <c r="BP436" i="1"/>
  <c r="BN436" i="1"/>
  <c r="Z436" i="1"/>
  <c r="BP444" i="1"/>
  <c r="BN444" i="1"/>
  <c r="Z444" i="1"/>
  <c r="BP452" i="1"/>
  <c r="BN452" i="1"/>
  <c r="Z452" i="1"/>
  <c r="Z454" i="1" s="1"/>
  <c r="Y463" i="1"/>
  <c r="BP462" i="1"/>
  <c r="BN462" i="1"/>
  <c r="Z462" i="1"/>
  <c r="Y469" i="1"/>
  <c r="BP466" i="1"/>
  <c r="BN466" i="1"/>
  <c r="Z466" i="1"/>
  <c r="BP482" i="1"/>
  <c r="BN482" i="1"/>
  <c r="Z482" i="1"/>
  <c r="Y484" i="1"/>
  <c r="Z500" i="1"/>
  <c r="Y488" i="1"/>
  <c r="BP487" i="1"/>
  <c r="BN487" i="1"/>
  <c r="Z487" i="1"/>
  <c r="Z488" i="1" s="1"/>
  <c r="Y489" i="1"/>
  <c r="Z351" i="1" l="1"/>
  <c r="Z326" i="1"/>
  <c r="Z216" i="1"/>
  <c r="Z463" i="1"/>
  <c r="Z81" i="1"/>
  <c r="Z332" i="1"/>
  <c r="Z286" i="1"/>
  <c r="Z126" i="1"/>
  <c r="Z260" i="1"/>
  <c r="Z103" i="1"/>
  <c r="X493" i="1"/>
  <c r="Z483" i="1"/>
  <c r="Z439" i="1"/>
  <c r="Z412" i="1"/>
  <c r="Z400" i="1"/>
  <c r="Z376" i="1"/>
  <c r="Z306" i="1"/>
  <c r="Z296" i="1"/>
  <c r="Z193" i="1"/>
  <c r="Z143" i="1"/>
  <c r="Z76" i="1"/>
  <c r="Z204" i="1"/>
  <c r="Z448" i="1"/>
  <c r="Z433" i="1"/>
  <c r="Z235" i="1"/>
  <c r="Y492" i="1"/>
  <c r="Z149" i="1"/>
  <c r="Z69" i="1"/>
  <c r="Y490" i="1"/>
  <c r="Z469" i="1"/>
  <c r="Z395" i="1"/>
  <c r="Z313" i="1"/>
  <c r="Z172" i="1"/>
  <c r="Z88" i="1"/>
  <c r="Z43" i="1"/>
  <c r="Z31" i="1"/>
  <c r="Y494" i="1"/>
  <c r="Y491" i="1"/>
  <c r="Z275" i="1"/>
  <c r="Z116" i="1"/>
  <c r="Z95" i="1"/>
  <c r="Z495" i="1" l="1"/>
  <c r="Y493" i="1"/>
</calcChain>
</file>

<file path=xl/sharedStrings.xml><?xml version="1.0" encoding="utf-8"?>
<sst xmlns="http://schemas.openxmlformats.org/spreadsheetml/2006/main" count="2350" uniqueCount="771">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</sst>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74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14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13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53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29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23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64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43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6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46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76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38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10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362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0" fillId="0" borderId="19" xfId="0" applyBorder="1" applyProtection="1">
      <protection locked="0" hidden="1"/>
    </xf>
    <xf numFmtId="0" fontId="35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05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28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0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6" customWidth="1"/>
    <col min="19" max="19" width="6.140625" style="53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6" customWidth="1"/>
    <col min="25" max="25" width="11" style="536" customWidth="1"/>
    <col min="26" max="26" width="10" style="536" customWidth="1"/>
    <col min="27" max="27" width="11.5703125" style="536" customWidth="1"/>
    <col min="28" max="28" width="10.42578125" style="536" customWidth="1"/>
    <col min="29" max="29" width="30" style="53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6" customWidth="1"/>
    <col min="34" max="34" width="9.140625" style="536" customWidth="1"/>
    <col min="35" max="16384" width="9.140625" style="536"/>
  </cols>
  <sheetData>
    <row r="1" spans="1:32" s="540" customFormat="1" ht="45" customHeight="1" x14ac:dyDescent="0.2">
      <c r="A1" s="41"/>
      <c r="B1" s="41"/>
      <c r="C1" s="41"/>
      <c r="D1" s="631" t="s">
        <v>0</v>
      </c>
      <c r="E1" s="576"/>
      <c r="F1" s="576"/>
      <c r="G1" s="12" t="s">
        <v>1</v>
      </c>
      <c r="H1" s="631" t="s">
        <v>2</v>
      </c>
      <c r="I1" s="576"/>
      <c r="J1" s="576"/>
      <c r="K1" s="576"/>
      <c r="L1" s="576"/>
      <c r="M1" s="576"/>
      <c r="N1" s="576"/>
      <c r="O1" s="576"/>
      <c r="P1" s="576"/>
      <c r="Q1" s="576"/>
      <c r="R1" s="575" t="s">
        <v>3</v>
      </c>
      <c r="S1" s="576"/>
      <c r="T1" s="57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4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4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0" customFormat="1" ht="23.45" customHeight="1" x14ac:dyDescent="0.2">
      <c r="A5" s="681" t="s">
        <v>8</v>
      </c>
      <c r="B5" s="645"/>
      <c r="C5" s="646"/>
      <c r="D5" s="634"/>
      <c r="E5" s="635"/>
      <c r="F5" s="831" t="s">
        <v>9</v>
      </c>
      <c r="G5" s="646"/>
      <c r="H5" s="634" t="s">
        <v>770</v>
      </c>
      <c r="I5" s="778"/>
      <c r="J5" s="778"/>
      <c r="K5" s="778"/>
      <c r="L5" s="778"/>
      <c r="M5" s="635"/>
      <c r="N5" s="58"/>
      <c r="P5" s="24" t="s">
        <v>10</v>
      </c>
      <c r="Q5" s="845">
        <v>45981</v>
      </c>
      <c r="R5" s="673"/>
      <c r="T5" s="709" t="s">
        <v>11</v>
      </c>
      <c r="U5" s="710"/>
      <c r="V5" s="711" t="s">
        <v>12</v>
      </c>
      <c r="W5" s="673"/>
      <c r="AB5" s="51"/>
      <c r="AC5" s="51"/>
      <c r="AD5" s="51"/>
      <c r="AE5" s="51"/>
    </row>
    <row r="6" spans="1:32" s="540" customFormat="1" ht="24" customHeight="1" x14ac:dyDescent="0.2">
      <c r="A6" s="681" t="s">
        <v>13</v>
      </c>
      <c r="B6" s="645"/>
      <c r="C6" s="646"/>
      <c r="D6" s="780" t="s">
        <v>14</v>
      </c>
      <c r="E6" s="781"/>
      <c r="F6" s="781"/>
      <c r="G6" s="781"/>
      <c r="H6" s="781"/>
      <c r="I6" s="781"/>
      <c r="J6" s="781"/>
      <c r="K6" s="781"/>
      <c r="L6" s="781"/>
      <c r="M6" s="673"/>
      <c r="N6" s="59"/>
      <c r="P6" s="24" t="s">
        <v>15</v>
      </c>
      <c r="Q6" s="852" t="str">
        <f>IF(Q5=0," ",CHOOSE(WEEKDAY(Q5,2),"Понедельник","Вторник","Среда","Четверг","Пятница","Суббота","Воскресенье"))</f>
        <v>Четверг</v>
      </c>
      <c r="R6" s="548"/>
      <c r="T6" s="719" t="s">
        <v>16</v>
      </c>
      <c r="U6" s="710"/>
      <c r="V6" s="762" t="s">
        <v>17</v>
      </c>
      <c r="W6" s="589"/>
      <c r="AB6" s="51"/>
      <c r="AC6" s="51"/>
      <c r="AD6" s="51"/>
      <c r="AE6" s="51"/>
    </row>
    <row r="7" spans="1:32" s="540" customFormat="1" ht="21.75" hidden="1" customHeight="1" x14ac:dyDescent="0.2">
      <c r="A7" s="55"/>
      <c r="B7" s="55"/>
      <c r="C7" s="55"/>
      <c r="D7" s="608" t="str">
        <f>IFERROR(VLOOKUP(DeliveryAddress,Table,3,0),1)</f>
        <v>1</v>
      </c>
      <c r="E7" s="609"/>
      <c r="F7" s="609"/>
      <c r="G7" s="609"/>
      <c r="H7" s="609"/>
      <c r="I7" s="609"/>
      <c r="J7" s="609"/>
      <c r="K7" s="609"/>
      <c r="L7" s="609"/>
      <c r="M7" s="610"/>
      <c r="N7" s="60"/>
      <c r="P7" s="24"/>
      <c r="Q7" s="42"/>
      <c r="R7" s="42"/>
      <c r="T7" s="554"/>
      <c r="U7" s="710"/>
      <c r="V7" s="763"/>
      <c r="W7" s="764"/>
      <c r="AB7" s="51"/>
      <c r="AC7" s="51"/>
      <c r="AD7" s="51"/>
      <c r="AE7" s="51"/>
    </row>
    <row r="8" spans="1:32" s="540" customFormat="1" ht="25.5" customHeight="1" x14ac:dyDescent="0.2">
      <c r="A8" s="866" t="s">
        <v>18</v>
      </c>
      <c r="B8" s="562"/>
      <c r="C8" s="563"/>
      <c r="D8" s="620" t="s">
        <v>19</v>
      </c>
      <c r="E8" s="621"/>
      <c r="F8" s="621"/>
      <c r="G8" s="621"/>
      <c r="H8" s="621"/>
      <c r="I8" s="621"/>
      <c r="J8" s="621"/>
      <c r="K8" s="621"/>
      <c r="L8" s="621"/>
      <c r="M8" s="622"/>
      <c r="N8" s="61"/>
      <c r="P8" s="24" t="s">
        <v>20</v>
      </c>
      <c r="Q8" s="686">
        <v>0.5</v>
      </c>
      <c r="R8" s="610"/>
      <c r="T8" s="554"/>
      <c r="U8" s="710"/>
      <c r="V8" s="763"/>
      <c r="W8" s="764"/>
      <c r="AB8" s="51"/>
      <c r="AC8" s="51"/>
      <c r="AD8" s="51"/>
      <c r="AE8" s="51"/>
    </row>
    <row r="9" spans="1:32" s="540" customFormat="1" ht="39.950000000000003" customHeight="1" x14ac:dyDescent="0.2">
      <c r="A9" s="6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76"/>
      <c r="E9" s="567"/>
      <c r="F9" s="6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6" t="str">
        <f>IF(AND($A$9="Тип доверенности/получателя при получении в адресе перегруза:",$D$9="Разовая доверенность"),"Введите ФИО","")</f>
        <v/>
      </c>
      <c r="I9" s="567"/>
      <c r="J9" s="5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7"/>
      <c r="L9" s="567"/>
      <c r="M9" s="567"/>
      <c r="N9" s="541"/>
      <c r="P9" s="26" t="s">
        <v>21</v>
      </c>
      <c r="Q9" s="669"/>
      <c r="R9" s="670"/>
      <c r="T9" s="554"/>
      <c r="U9" s="710"/>
      <c r="V9" s="765"/>
      <c r="W9" s="766"/>
      <c r="X9" s="43"/>
      <c r="Y9" s="43"/>
      <c r="Z9" s="43"/>
      <c r="AA9" s="43"/>
      <c r="AB9" s="51"/>
      <c r="AC9" s="51"/>
      <c r="AD9" s="51"/>
      <c r="AE9" s="51"/>
    </row>
    <row r="10" spans="1:32" s="540" customFormat="1" ht="26.45" customHeight="1" x14ac:dyDescent="0.2">
      <c r="A10" s="6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76"/>
      <c r="E10" s="567"/>
      <c r="F10" s="6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77" t="str">
        <f>IFERROR(VLOOKUP($D$10,Proxy,2,FALSE),"")</f>
        <v/>
      </c>
      <c r="I10" s="554"/>
      <c r="J10" s="554"/>
      <c r="K10" s="554"/>
      <c r="L10" s="554"/>
      <c r="M10" s="554"/>
      <c r="N10" s="539"/>
      <c r="P10" s="26" t="s">
        <v>22</v>
      </c>
      <c r="Q10" s="729"/>
      <c r="R10" s="730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40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08" t="s">
        <v>28</v>
      </c>
      <c r="W11" s="670"/>
      <c r="X11" s="45"/>
      <c r="Y11" s="45"/>
      <c r="Z11" s="45"/>
      <c r="AA11" s="45"/>
      <c r="AB11" s="51"/>
      <c r="AC11" s="51"/>
      <c r="AD11" s="51"/>
      <c r="AE11" s="51"/>
    </row>
    <row r="12" spans="1:32" s="540" customFormat="1" ht="18.600000000000001" customHeight="1" x14ac:dyDescent="0.2">
      <c r="A12" s="731" t="s">
        <v>29</v>
      </c>
      <c r="B12" s="645"/>
      <c r="C12" s="645"/>
      <c r="D12" s="645"/>
      <c r="E12" s="645"/>
      <c r="F12" s="645"/>
      <c r="G12" s="645"/>
      <c r="H12" s="645"/>
      <c r="I12" s="645"/>
      <c r="J12" s="645"/>
      <c r="K12" s="645"/>
      <c r="L12" s="645"/>
      <c r="M12" s="646"/>
      <c r="N12" s="62"/>
      <c r="P12" s="24" t="s">
        <v>30</v>
      </c>
      <c r="Q12" s="686"/>
      <c r="R12" s="610"/>
      <c r="S12" s="23"/>
      <c r="U12" s="24"/>
      <c r="V12" s="576"/>
      <c r="W12" s="554"/>
      <c r="AB12" s="51"/>
      <c r="AC12" s="51"/>
      <c r="AD12" s="51"/>
      <c r="AE12" s="51"/>
    </row>
    <row r="13" spans="1:32" s="540" customFormat="1" ht="23.25" customHeight="1" x14ac:dyDescent="0.2">
      <c r="A13" s="731" t="s">
        <v>31</v>
      </c>
      <c r="B13" s="645"/>
      <c r="C13" s="645"/>
      <c r="D13" s="645"/>
      <c r="E13" s="645"/>
      <c r="F13" s="645"/>
      <c r="G13" s="645"/>
      <c r="H13" s="645"/>
      <c r="I13" s="645"/>
      <c r="J13" s="645"/>
      <c r="K13" s="645"/>
      <c r="L13" s="645"/>
      <c r="M13" s="646"/>
      <c r="N13" s="62"/>
      <c r="O13" s="26"/>
      <c r="P13" s="26" t="s">
        <v>32</v>
      </c>
      <c r="Q13" s="808"/>
      <c r="R13" s="6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0" customFormat="1" ht="18.600000000000001" customHeight="1" x14ac:dyDescent="0.2">
      <c r="A14" s="731" t="s">
        <v>33</v>
      </c>
      <c r="B14" s="645"/>
      <c r="C14" s="645"/>
      <c r="D14" s="645"/>
      <c r="E14" s="645"/>
      <c r="F14" s="645"/>
      <c r="G14" s="645"/>
      <c r="H14" s="645"/>
      <c r="I14" s="645"/>
      <c r="J14" s="645"/>
      <c r="K14" s="645"/>
      <c r="L14" s="645"/>
      <c r="M14" s="64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0" customFormat="1" ht="22.5" customHeight="1" x14ac:dyDescent="0.2">
      <c r="A15" s="809" t="s">
        <v>34</v>
      </c>
      <c r="B15" s="645"/>
      <c r="C15" s="645"/>
      <c r="D15" s="645"/>
      <c r="E15" s="645"/>
      <c r="F15" s="645"/>
      <c r="G15" s="645"/>
      <c r="H15" s="645"/>
      <c r="I15" s="645"/>
      <c r="J15" s="645"/>
      <c r="K15" s="645"/>
      <c r="L15" s="645"/>
      <c r="M15" s="646"/>
      <c r="N15" s="63"/>
      <c r="P15" s="703" t="s">
        <v>35</v>
      </c>
      <c r="Q15" s="576"/>
      <c r="R15" s="576"/>
      <c r="S15" s="576"/>
      <c r="T15" s="57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4"/>
      <c r="Q16" s="704"/>
      <c r="R16" s="704"/>
      <c r="S16" s="704"/>
      <c r="T16" s="70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6" t="s">
        <v>36</v>
      </c>
      <c r="B17" s="586" t="s">
        <v>37</v>
      </c>
      <c r="C17" s="692" t="s">
        <v>38</v>
      </c>
      <c r="D17" s="586" t="s">
        <v>39</v>
      </c>
      <c r="E17" s="652"/>
      <c r="F17" s="586" t="s">
        <v>40</v>
      </c>
      <c r="G17" s="586" t="s">
        <v>41</v>
      </c>
      <c r="H17" s="586" t="s">
        <v>42</v>
      </c>
      <c r="I17" s="586" t="s">
        <v>43</v>
      </c>
      <c r="J17" s="586" t="s">
        <v>44</v>
      </c>
      <c r="K17" s="586" t="s">
        <v>45</v>
      </c>
      <c r="L17" s="586" t="s">
        <v>46</v>
      </c>
      <c r="M17" s="586" t="s">
        <v>47</v>
      </c>
      <c r="N17" s="586" t="s">
        <v>48</v>
      </c>
      <c r="O17" s="586" t="s">
        <v>49</v>
      </c>
      <c r="P17" s="586" t="s">
        <v>50</v>
      </c>
      <c r="Q17" s="651"/>
      <c r="R17" s="651"/>
      <c r="S17" s="651"/>
      <c r="T17" s="652"/>
      <c r="U17" s="859" t="s">
        <v>51</v>
      </c>
      <c r="V17" s="646"/>
      <c r="W17" s="586" t="s">
        <v>52</v>
      </c>
      <c r="X17" s="586" t="s">
        <v>53</v>
      </c>
      <c r="Y17" s="860" t="s">
        <v>54</v>
      </c>
      <c r="Z17" s="774" t="s">
        <v>55</v>
      </c>
      <c r="AA17" s="749" t="s">
        <v>56</v>
      </c>
      <c r="AB17" s="749" t="s">
        <v>57</v>
      </c>
      <c r="AC17" s="749" t="s">
        <v>58</v>
      </c>
      <c r="AD17" s="749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87"/>
      <c r="B18" s="587"/>
      <c r="C18" s="587"/>
      <c r="D18" s="653"/>
      <c r="E18" s="655"/>
      <c r="F18" s="587"/>
      <c r="G18" s="587"/>
      <c r="H18" s="587"/>
      <c r="I18" s="587"/>
      <c r="J18" s="587"/>
      <c r="K18" s="587"/>
      <c r="L18" s="587"/>
      <c r="M18" s="587"/>
      <c r="N18" s="587"/>
      <c r="O18" s="587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87"/>
      <c r="X18" s="587"/>
      <c r="Y18" s="861"/>
      <c r="Z18" s="775"/>
      <c r="AA18" s="750"/>
      <c r="AB18" s="750"/>
      <c r="AC18" s="750"/>
      <c r="AD18" s="828"/>
      <c r="AE18" s="829"/>
      <c r="AF18" s="830"/>
      <c r="AG18" s="66"/>
      <c r="BD18" s="65"/>
    </row>
    <row r="19" spans="1:68" ht="27.75" hidden="1" customHeight="1" x14ac:dyDescent="0.2">
      <c r="A19" s="569" t="s">
        <v>63</v>
      </c>
      <c r="B19" s="570"/>
      <c r="C19" s="570"/>
      <c r="D19" s="570"/>
      <c r="E19" s="570"/>
      <c r="F19" s="570"/>
      <c r="G19" s="570"/>
      <c r="H19" s="570"/>
      <c r="I19" s="570"/>
      <c r="J19" s="570"/>
      <c r="K19" s="570"/>
      <c r="L19" s="570"/>
      <c r="M19" s="570"/>
      <c r="N19" s="570"/>
      <c r="O19" s="570"/>
      <c r="P19" s="570"/>
      <c r="Q19" s="570"/>
      <c r="R19" s="570"/>
      <c r="S19" s="570"/>
      <c r="T19" s="570"/>
      <c r="U19" s="570"/>
      <c r="V19" s="570"/>
      <c r="W19" s="570"/>
      <c r="X19" s="570"/>
      <c r="Y19" s="570"/>
      <c r="Z19" s="570"/>
      <c r="AA19" s="48"/>
      <c r="AB19" s="48"/>
      <c r="AC19" s="48"/>
    </row>
    <row r="20" spans="1:68" ht="16.5" hidden="1" customHeight="1" x14ac:dyDescent="0.25">
      <c r="A20" s="558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8"/>
      <c r="AB20" s="538"/>
      <c r="AC20" s="538"/>
    </row>
    <row r="21" spans="1:68" ht="14.25" hidden="1" customHeight="1" x14ac:dyDescent="0.25">
      <c r="A21" s="559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61" t="s">
        <v>71</v>
      </c>
      <c r="Q23" s="562"/>
      <c r="R23" s="562"/>
      <c r="S23" s="562"/>
      <c r="T23" s="562"/>
      <c r="U23" s="562"/>
      <c r="V23" s="563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61" t="s">
        <v>71</v>
      </c>
      <c r="Q24" s="562"/>
      <c r="R24" s="562"/>
      <c r="S24" s="562"/>
      <c r="T24" s="562"/>
      <c r="U24" s="562"/>
      <c r="V24" s="563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hidden="1" customHeight="1" x14ac:dyDescent="0.25">
      <c r="A25" s="559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0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0"/>
      <c r="R26" s="550"/>
      <c r="S26" s="550"/>
      <c r="T26" s="551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0"/>
      <c r="R27" s="550"/>
      <c r="S27" s="550"/>
      <c r="T27" s="551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0"/>
      <c r="R28" s="550"/>
      <c r="S28" s="550"/>
      <c r="T28" s="551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47">
        <v>4607091388244</v>
      </c>
      <c r="E30" s="548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0"/>
      <c r="R30" s="550"/>
      <c r="S30" s="550"/>
      <c r="T30" s="551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61" t="s">
        <v>71</v>
      </c>
      <c r="Q31" s="562"/>
      <c r="R31" s="562"/>
      <c r="S31" s="562"/>
      <c r="T31" s="562"/>
      <c r="U31" s="562"/>
      <c r="V31" s="563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61" t="s">
        <v>71</v>
      </c>
      <c r="Q32" s="562"/>
      <c r="R32" s="562"/>
      <c r="S32" s="562"/>
      <c r="T32" s="562"/>
      <c r="U32" s="562"/>
      <c r="V32" s="563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hidden="1" customHeight="1" x14ac:dyDescent="0.25">
      <c r="A33" s="559" t="s">
        <v>93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47">
        <v>4607091388503</v>
      </c>
      <c r="E34" s="548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5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61" t="s">
        <v>71</v>
      </c>
      <c r="Q35" s="562"/>
      <c r="R35" s="562"/>
      <c r="S35" s="562"/>
      <c r="T35" s="562"/>
      <c r="U35" s="562"/>
      <c r="V35" s="563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61" t="s">
        <v>71</v>
      </c>
      <c r="Q36" s="562"/>
      <c r="R36" s="562"/>
      <c r="S36" s="562"/>
      <c r="T36" s="562"/>
      <c r="U36" s="562"/>
      <c r="V36" s="563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hidden="1" customHeight="1" x14ac:dyDescent="0.2">
      <c r="A37" s="569" t="s">
        <v>99</v>
      </c>
      <c r="B37" s="570"/>
      <c r="C37" s="570"/>
      <c r="D37" s="570"/>
      <c r="E37" s="570"/>
      <c r="F37" s="570"/>
      <c r="G37" s="570"/>
      <c r="H37" s="570"/>
      <c r="I37" s="570"/>
      <c r="J37" s="570"/>
      <c r="K37" s="570"/>
      <c r="L37" s="570"/>
      <c r="M37" s="570"/>
      <c r="N37" s="570"/>
      <c r="O37" s="570"/>
      <c r="P37" s="570"/>
      <c r="Q37" s="570"/>
      <c r="R37" s="570"/>
      <c r="S37" s="570"/>
      <c r="T37" s="570"/>
      <c r="U37" s="570"/>
      <c r="V37" s="570"/>
      <c r="W37" s="570"/>
      <c r="X37" s="570"/>
      <c r="Y37" s="570"/>
      <c r="Z37" s="570"/>
      <c r="AA37" s="48"/>
      <c r="AB37" s="48"/>
      <c r="AC37" s="48"/>
    </row>
    <row r="38" spans="1:68" ht="16.5" hidden="1" customHeight="1" x14ac:dyDescent="0.25">
      <c r="A38" s="558" t="s">
        <v>100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8"/>
      <c r="AB38" s="538"/>
      <c r="AC38" s="538"/>
    </row>
    <row r="39" spans="1:68" ht="14.25" hidden="1" customHeight="1" x14ac:dyDescent="0.25">
      <c r="A39" s="559" t="s">
        <v>101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7">
        <v>4607091385670</v>
      </c>
      <c r="E40" s="548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3">
        <v>20</v>
      </c>
      <c r="Y40" s="544">
        <f>IFERROR(IF(X40="",0,CEILING((X40/$H40),1)*$H40),"")</f>
        <v>21.6</v>
      </c>
      <c r="Z40" s="36">
        <f>IFERROR(IF(Y40=0,"",ROUNDUP(Y40/H40,0)*0.01898),"")</f>
        <v>3.7960000000000001E-2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20.75925925925926</v>
      </c>
      <c r="BN40" s="64">
        <f>IFERROR(Y40*I40/H40,"0")</f>
        <v>22.42</v>
      </c>
      <c r="BO40" s="64">
        <f>IFERROR(1/J40*(X40/H40),"0")</f>
        <v>2.8935185185185182E-2</v>
      </c>
      <c r="BP40" s="64">
        <f>IFERROR(1/J40*(Y40/H40),"0")</f>
        <v>3.125E-2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47">
        <v>4607091385687</v>
      </c>
      <c r="E41" s="548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75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47">
        <v>4680115882539</v>
      </c>
      <c r="E42" s="548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3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61" t="s">
        <v>71</v>
      </c>
      <c r="Q43" s="562"/>
      <c r="R43" s="562"/>
      <c r="S43" s="562"/>
      <c r="T43" s="562"/>
      <c r="U43" s="562"/>
      <c r="V43" s="563"/>
      <c r="W43" s="37" t="s">
        <v>72</v>
      </c>
      <c r="X43" s="545">
        <f>IFERROR(X40/H40,"0")+IFERROR(X41/H41,"0")+IFERROR(X42/H42,"0")</f>
        <v>1.8518518518518516</v>
      </c>
      <c r="Y43" s="545">
        <f>IFERROR(Y40/H40,"0")+IFERROR(Y41/H41,"0")+IFERROR(Y42/H42,"0")</f>
        <v>2</v>
      </c>
      <c r="Z43" s="545">
        <f>IFERROR(IF(Z40="",0,Z40),"0")+IFERROR(IF(Z41="",0,Z41),"0")+IFERROR(IF(Z42="",0,Z42),"0")</f>
        <v>3.7960000000000001E-2</v>
      </c>
      <c r="AA43" s="546"/>
      <c r="AB43" s="546"/>
      <c r="AC43" s="546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61" t="s">
        <v>71</v>
      </c>
      <c r="Q44" s="562"/>
      <c r="R44" s="562"/>
      <c r="S44" s="562"/>
      <c r="T44" s="562"/>
      <c r="U44" s="562"/>
      <c r="V44" s="563"/>
      <c r="W44" s="37" t="s">
        <v>69</v>
      </c>
      <c r="X44" s="545">
        <f>IFERROR(SUM(X40:X42),"0")</f>
        <v>20</v>
      </c>
      <c r="Y44" s="545">
        <f>IFERROR(SUM(Y40:Y42),"0")</f>
        <v>21.6</v>
      </c>
      <c r="Z44" s="37"/>
      <c r="AA44" s="546"/>
      <c r="AB44" s="546"/>
      <c r="AC44" s="546"/>
    </row>
    <row r="45" spans="1:68" ht="14.25" hidden="1" customHeight="1" x14ac:dyDescent="0.25">
      <c r="A45" s="559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47">
        <v>4680115884915</v>
      </c>
      <c r="E46" s="548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5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61" t="s">
        <v>71</v>
      </c>
      <c r="Q47" s="562"/>
      <c r="R47" s="562"/>
      <c r="S47" s="562"/>
      <c r="T47" s="562"/>
      <c r="U47" s="562"/>
      <c r="V47" s="563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61" t="s">
        <v>71</v>
      </c>
      <c r="Q48" s="562"/>
      <c r="R48" s="562"/>
      <c r="S48" s="562"/>
      <c r="T48" s="562"/>
      <c r="U48" s="562"/>
      <c r="V48" s="563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hidden="1" customHeight="1" x14ac:dyDescent="0.25">
      <c r="A49" s="558" t="s">
        <v>117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8"/>
      <c r="AB49" s="538"/>
      <c r="AC49" s="538"/>
    </row>
    <row r="50" spans="1:68" ht="14.25" hidden="1" customHeight="1" x14ac:dyDescent="0.25">
      <c r="A50" s="559" t="s">
        <v>101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47">
        <v>4680115885882</v>
      </c>
      <c r="E51" s="548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0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7">
        <v>4680115881426</v>
      </c>
      <c r="E52" s="548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5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3">
        <v>20</v>
      </c>
      <c r="Y52" s="544">
        <f t="shared" si="0"/>
        <v>21.6</v>
      </c>
      <c r="Z52" s="36">
        <f>IFERROR(IF(Y52=0,"",ROUNDUP(Y52/H52,0)*0.01898),"")</f>
        <v>3.7960000000000001E-2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20.75925925925926</v>
      </c>
      <c r="BN52" s="64">
        <f t="shared" si="2"/>
        <v>22.42</v>
      </c>
      <c r="BO52" s="64">
        <f t="shared" si="3"/>
        <v>2.8935185185185182E-2</v>
      </c>
      <c r="BP52" s="64">
        <f t="shared" si="4"/>
        <v>3.125E-2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47">
        <v>4680115880283</v>
      </c>
      <c r="E53" s="548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47">
        <v>4680115881525</v>
      </c>
      <c r="E54" s="548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47">
        <v>4680115885899</v>
      </c>
      <c r="E55" s="548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8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4301011801</v>
      </c>
      <c r="D56" s="547">
        <v>4680115881419</v>
      </c>
      <c r="E56" s="548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66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3">
        <v>0</v>
      </c>
      <c r="Y56" s="544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61" t="s">
        <v>71</v>
      </c>
      <c r="Q57" s="562"/>
      <c r="R57" s="562"/>
      <c r="S57" s="562"/>
      <c r="T57" s="562"/>
      <c r="U57" s="562"/>
      <c r="V57" s="563"/>
      <c r="W57" s="37" t="s">
        <v>72</v>
      </c>
      <c r="X57" s="545">
        <f>IFERROR(X51/H51,"0")+IFERROR(X52/H52,"0")+IFERROR(X53/H53,"0")+IFERROR(X54/H54,"0")+IFERROR(X55/H55,"0")+IFERROR(X56/H56,"0")</f>
        <v>1.8518518518518516</v>
      </c>
      <c r="Y57" s="545">
        <f>IFERROR(Y51/H51,"0")+IFERROR(Y52/H52,"0")+IFERROR(Y53/H53,"0")+IFERROR(Y54/H54,"0")+IFERROR(Y55/H55,"0")+IFERROR(Y56/H56,"0")</f>
        <v>2</v>
      </c>
      <c r="Z57" s="545">
        <f>IFERROR(IF(Z51="",0,Z51),"0")+IFERROR(IF(Z52="",0,Z52),"0")+IFERROR(IF(Z53="",0,Z53),"0")+IFERROR(IF(Z54="",0,Z54),"0")+IFERROR(IF(Z55="",0,Z55),"0")+IFERROR(IF(Z56="",0,Z56),"0")</f>
        <v>3.7960000000000001E-2</v>
      </c>
      <c r="AA57" s="546"/>
      <c r="AB57" s="546"/>
      <c r="AC57" s="546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61" t="s">
        <v>71</v>
      </c>
      <c r="Q58" s="562"/>
      <c r="R58" s="562"/>
      <c r="S58" s="562"/>
      <c r="T58" s="562"/>
      <c r="U58" s="562"/>
      <c r="V58" s="563"/>
      <c r="W58" s="37" t="s">
        <v>69</v>
      </c>
      <c r="X58" s="545">
        <f>IFERROR(SUM(X51:X56),"0")</f>
        <v>20</v>
      </c>
      <c r="Y58" s="545">
        <f>IFERROR(SUM(Y51:Y56),"0")</f>
        <v>21.6</v>
      </c>
      <c r="Z58" s="37"/>
      <c r="AA58" s="546"/>
      <c r="AB58" s="546"/>
      <c r="AC58" s="546"/>
    </row>
    <row r="59" spans="1:68" ht="14.25" hidden="1" customHeight="1" x14ac:dyDescent="0.25">
      <c r="A59" s="559" t="s">
        <v>136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7">
        <v>4680115881440</v>
      </c>
      <c r="E60" s="548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3">
        <v>30</v>
      </c>
      <c r="Y60" s="544">
        <f>IFERROR(IF(X60="",0,CEILING((X60/$H60),1)*$H60),"")</f>
        <v>32.400000000000006</v>
      </c>
      <c r="Z60" s="36">
        <f>IFERROR(IF(Y60=0,"",ROUNDUP(Y60/H60,0)*0.01898),"")</f>
        <v>5.6940000000000004E-2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31.138888888888889</v>
      </c>
      <c r="BN60" s="64">
        <f>IFERROR(Y60*I60/H60,"0")</f>
        <v>33.630000000000003</v>
      </c>
      <c r="BO60" s="64">
        <f>IFERROR(1/J60*(X60/H60),"0")</f>
        <v>4.3402777777777776E-2</v>
      </c>
      <c r="BP60" s="64">
        <f>IFERROR(1/J60*(Y60/H60),"0")</f>
        <v>4.6875000000000007E-2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47">
        <v>4680115885950</v>
      </c>
      <c r="E61" s="548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47">
        <v>4680115881433</v>
      </c>
      <c r="E62" s="548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3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61" t="s">
        <v>71</v>
      </c>
      <c r="Q63" s="562"/>
      <c r="R63" s="562"/>
      <c r="S63" s="562"/>
      <c r="T63" s="562"/>
      <c r="U63" s="562"/>
      <c r="V63" s="563"/>
      <c r="W63" s="37" t="s">
        <v>72</v>
      </c>
      <c r="X63" s="545">
        <f>IFERROR(X60/H60,"0")+IFERROR(X61/H61,"0")+IFERROR(X62/H62,"0")</f>
        <v>2.7777777777777777</v>
      </c>
      <c r="Y63" s="545">
        <f>IFERROR(Y60/H60,"0")+IFERROR(Y61/H61,"0")+IFERROR(Y62/H62,"0")</f>
        <v>3.0000000000000004</v>
      </c>
      <c r="Z63" s="545">
        <f>IFERROR(IF(Z60="",0,Z60),"0")+IFERROR(IF(Z61="",0,Z61),"0")+IFERROR(IF(Z62="",0,Z62),"0")</f>
        <v>5.6940000000000004E-2</v>
      </c>
      <c r="AA63" s="546"/>
      <c r="AB63" s="546"/>
      <c r="AC63" s="546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61" t="s">
        <v>71</v>
      </c>
      <c r="Q64" s="562"/>
      <c r="R64" s="562"/>
      <c r="S64" s="562"/>
      <c r="T64" s="562"/>
      <c r="U64" s="562"/>
      <c r="V64" s="563"/>
      <c r="W64" s="37" t="s">
        <v>69</v>
      </c>
      <c r="X64" s="545">
        <f>IFERROR(SUM(X60:X62),"0")</f>
        <v>30</v>
      </c>
      <c r="Y64" s="545">
        <f>IFERROR(SUM(Y60:Y62),"0")</f>
        <v>32.400000000000006</v>
      </c>
      <c r="Z64" s="37"/>
      <c r="AA64" s="546"/>
      <c r="AB64" s="546"/>
      <c r="AC64" s="546"/>
    </row>
    <row r="65" spans="1:68" ht="14.25" hidden="1" customHeight="1" x14ac:dyDescent="0.25">
      <c r="A65" s="559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47">
        <v>4680115885073</v>
      </c>
      <c r="E66" s="548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86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47">
        <v>4680115885059</v>
      </c>
      <c r="E67" s="548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2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47">
        <v>4680115885097</v>
      </c>
      <c r="E68" s="548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6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61" t="s">
        <v>71</v>
      </c>
      <c r="Q69" s="562"/>
      <c r="R69" s="562"/>
      <c r="S69" s="562"/>
      <c r="T69" s="562"/>
      <c r="U69" s="562"/>
      <c r="V69" s="563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61" t="s">
        <v>71</v>
      </c>
      <c r="Q70" s="562"/>
      <c r="R70" s="562"/>
      <c r="S70" s="562"/>
      <c r="T70" s="562"/>
      <c r="U70" s="562"/>
      <c r="V70" s="563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hidden="1" customHeight="1" x14ac:dyDescent="0.25">
      <c r="A71" s="559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47">
        <v>4680115885769</v>
      </c>
      <c r="E72" s="548"/>
      <c r="F72" s="542">
        <v>1.4</v>
      </c>
      <c r="G72" s="32">
        <v>6</v>
      </c>
      <c r="H72" s="542">
        <v>8.4</v>
      </c>
      <c r="I72" s="542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6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47">
        <v>4680115884311</v>
      </c>
      <c r="E73" s="548"/>
      <c r="F73" s="542">
        <v>0.3</v>
      </c>
      <c r="G73" s="32">
        <v>6</v>
      </c>
      <c r="H73" s="542">
        <v>1.8</v>
      </c>
      <c r="I73" s="542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47">
        <v>4680115885929</v>
      </c>
      <c r="E74" s="548"/>
      <c r="F74" s="542">
        <v>0.42</v>
      </c>
      <c r="G74" s="32">
        <v>6</v>
      </c>
      <c r="H74" s="542">
        <v>2.52</v>
      </c>
      <c r="I74" s="542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3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47">
        <v>4680115884403</v>
      </c>
      <c r="E75" s="548"/>
      <c r="F75" s="542">
        <v>0.3</v>
      </c>
      <c r="G75" s="32">
        <v>6</v>
      </c>
      <c r="H75" s="542">
        <v>1.8</v>
      </c>
      <c r="I75" s="542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3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3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5"/>
      <c r="P76" s="561" t="s">
        <v>71</v>
      </c>
      <c r="Q76" s="562"/>
      <c r="R76" s="562"/>
      <c r="S76" s="562"/>
      <c r="T76" s="562"/>
      <c r="U76" s="562"/>
      <c r="V76" s="563"/>
      <c r="W76" s="37" t="s">
        <v>72</v>
      </c>
      <c r="X76" s="545">
        <f>IFERROR(X72/H72,"0")+IFERROR(X73/H73,"0")+IFERROR(X74/H74,"0")+IFERROR(X75/H75,"0")</f>
        <v>0</v>
      </c>
      <c r="Y76" s="545">
        <f>IFERROR(Y72/H72,"0")+IFERROR(Y73/H73,"0")+IFERROR(Y74/H74,"0")+IFERROR(Y75/H75,"0")</f>
        <v>0</v>
      </c>
      <c r="Z76" s="545">
        <f>IFERROR(IF(Z72="",0,Z72),"0")+IFERROR(IF(Z73="",0,Z73),"0")+IFERROR(IF(Z74="",0,Z74),"0")+IFERROR(IF(Z75="",0,Z75),"0")</f>
        <v>0</v>
      </c>
      <c r="AA76" s="546"/>
      <c r="AB76" s="546"/>
      <c r="AC76" s="546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61" t="s">
        <v>71</v>
      </c>
      <c r="Q77" s="562"/>
      <c r="R77" s="562"/>
      <c r="S77" s="562"/>
      <c r="T77" s="562"/>
      <c r="U77" s="562"/>
      <c r="V77" s="563"/>
      <c r="W77" s="37" t="s">
        <v>69</v>
      </c>
      <c r="X77" s="545">
        <f>IFERROR(SUM(X72:X75),"0")</f>
        <v>0</v>
      </c>
      <c r="Y77" s="545">
        <f>IFERROR(SUM(Y72:Y75),"0")</f>
        <v>0</v>
      </c>
      <c r="Z77" s="37"/>
      <c r="AA77" s="546"/>
      <c r="AB77" s="546"/>
      <c r="AC77" s="546"/>
    </row>
    <row r="78" spans="1:68" ht="14.25" hidden="1" customHeight="1" x14ac:dyDescent="0.25">
      <c r="A78" s="559" t="s">
        <v>164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7"/>
      <c r="AB78" s="537"/>
      <c r="AC78" s="537"/>
    </row>
    <row r="79" spans="1:68" ht="27" hidden="1" customHeight="1" x14ac:dyDescent="0.25">
      <c r="A79" s="54" t="s">
        <v>165</v>
      </c>
      <c r="B79" s="54" t="s">
        <v>166</v>
      </c>
      <c r="C79" s="31">
        <v>4301060455</v>
      </c>
      <c r="D79" s="547">
        <v>4680115881532</v>
      </c>
      <c r="E79" s="548"/>
      <c r="F79" s="542">
        <v>1.3</v>
      </c>
      <c r="G79" s="32">
        <v>6</v>
      </c>
      <c r="H79" s="542">
        <v>7.8</v>
      </c>
      <c r="I79" s="542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9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3">
        <v>0</v>
      </c>
      <c r="Y79" s="54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47">
        <v>4680115881464</v>
      </c>
      <c r="E80" s="548"/>
      <c r="F80" s="542">
        <v>0.4</v>
      </c>
      <c r="G80" s="32">
        <v>6</v>
      </c>
      <c r="H80" s="542">
        <v>2.4</v>
      </c>
      <c r="I80" s="542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3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5"/>
      <c r="P81" s="561" t="s">
        <v>71</v>
      </c>
      <c r="Q81" s="562"/>
      <c r="R81" s="562"/>
      <c r="S81" s="562"/>
      <c r="T81" s="562"/>
      <c r="U81" s="562"/>
      <c r="V81" s="563"/>
      <c r="W81" s="37" t="s">
        <v>72</v>
      </c>
      <c r="X81" s="545">
        <f>IFERROR(X79/H79,"0")+IFERROR(X80/H80,"0")</f>
        <v>0</v>
      </c>
      <c r="Y81" s="545">
        <f>IFERROR(Y79/H79,"0")+IFERROR(Y80/H80,"0")</f>
        <v>0</v>
      </c>
      <c r="Z81" s="545">
        <f>IFERROR(IF(Z79="",0,Z79),"0")+IFERROR(IF(Z80="",0,Z80),"0")</f>
        <v>0</v>
      </c>
      <c r="AA81" s="546"/>
      <c r="AB81" s="546"/>
      <c r="AC81" s="546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61" t="s">
        <v>71</v>
      </c>
      <c r="Q82" s="562"/>
      <c r="R82" s="562"/>
      <c r="S82" s="562"/>
      <c r="T82" s="562"/>
      <c r="U82" s="562"/>
      <c r="V82" s="563"/>
      <c r="W82" s="37" t="s">
        <v>69</v>
      </c>
      <c r="X82" s="545">
        <f>IFERROR(SUM(X79:X80),"0")</f>
        <v>0</v>
      </c>
      <c r="Y82" s="545">
        <f>IFERROR(SUM(Y79:Y80),"0")</f>
        <v>0</v>
      </c>
      <c r="Z82" s="37"/>
      <c r="AA82" s="546"/>
      <c r="AB82" s="546"/>
      <c r="AC82" s="546"/>
    </row>
    <row r="83" spans="1:68" ht="16.5" hidden="1" customHeight="1" x14ac:dyDescent="0.25">
      <c r="A83" s="558" t="s">
        <v>171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8"/>
      <c r="AB83" s="538"/>
      <c r="AC83" s="538"/>
    </row>
    <row r="84" spans="1:68" ht="14.25" hidden="1" customHeight="1" x14ac:dyDescent="0.25">
      <c r="A84" s="559" t="s">
        <v>101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7"/>
      <c r="AB84" s="537"/>
      <c r="AC84" s="537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47">
        <v>4680115881327</v>
      </c>
      <c r="E85" s="548"/>
      <c r="F85" s="542">
        <v>1.35</v>
      </c>
      <c r="G85" s="32">
        <v>8</v>
      </c>
      <c r="H85" s="542">
        <v>10.8</v>
      </c>
      <c r="I85" s="542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0"/>
      <c r="R85" s="550"/>
      <c r="S85" s="550"/>
      <c r="T85" s="551"/>
      <c r="U85" s="34"/>
      <c r="V85" s="34"/>
      <c r="W85" s="35" t="s">
        <v>69</v>
      </c>
      <c r="X85" s="543">
        <v>10</v>
      </c>
      <c r="Y85" s="544">
        <f>IFERROR(IF(X85="",0,CEILING((X85/$H85),1)*$H85),"")</f>
        <v>10.8</v>
      </c>
      <c r="Z85" s="36">
        <f>IFERROR(IF(Y85=0,"",ROUNDUP(Y85/H85,0)*0.01898),"")</f>
        <v>1.898E-2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10.37962962962963</v>
      </c>
      <c r="BN85" s="64">
        <f>IFERROR(Y85*I85/H85,"0")</f>
        <v>11.21</v>
      </c>
      <c r="BO85" s="64">
        <f>IFERROR(1/J85*(X85/H85),"0")</f>
        <v>1.4467592592592591E-2</v>
      </c>
      <c r="BP85" s="64">
        <f>IFERROR(1/J85*(Y85/H85),"0")</f>
        <v>1.5625E-2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47">
        <v>4680115881518</v>
      </c>
      <c r="E86" s="548"/>
      <c r="F86" s="542">
        <v>0.4</v>
      </c>
      <c r="G86" s="32">
        <v>10</v>
      </c>
      <c r="H86" s="542">
        <v>4</v>
      </c>
      <c r="I86" s="542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47">
        <v>4680115881303</v>
      </c>
      <c r="E87" s="548"/>
      <c r="F87" s="542">
        <v>0.45</v>
      </c>
      <c r="G87" s="32">
        <v>10</v>
      </c>
      <c r="H87" s="542">
        <v>4.5</v>
      </c>
      <c r="I87" s="542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2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3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5"/>
      <c r="P88" s="561" t="s">
        <v>71</v>
      </c>
      <c r="Q88" s="562"/>
      <c r="R88" s="562"/>
      <c r="S88" s="562"/>
      <c r="T88" s="562"/>
      <c r="U88" s="562"/>
      <c r="V88" s="563"/>
      <c r="W88" s="37" t="s">
        <v>72</v>
      </c>
      <c r="X88" s="545">
        <f>IFERROR(X85/H85,"0")+IFERROR(X86/H86,"0")+IFERROR(X87/H87,"0")</f>
        <v>0.92592592592592582</v>
      </c>
      <c r="Y88" s="545">
        <f>IFERROR(Y85/H85,"0")+IFERROR(Y86/H86,"0")+IFERROR(Y87/H87,"0")</f>
        <v>1</v>
      </c>
      <c r="Z88" s="545">
        <f>IFERROR(IF(Z85="",0,Z85),"0")+IFERROR(IF(Z86="",0,Z86),"0")+IFERROR(IF(Z87="",0,Z87),"0")</f>
        <v>1.898E-2</v>
      </c>
      <c r="AA88" s="546"/>
      <c r="AB88" s="546"/>
      <c r="AC88" s="546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61" t="s">
        <v>71</v>
      </c>
      <c r="Q89" s="562"/>
      <c r="R89" s="562"/>
      <c r="S89" s="562"/>
      <c r="T89" s="562"/>
      <c r="U89" s="562"/>
      <c r="V89" s="563"/>
      <c r="W89" s="37" t="s">
        <v>69</v>
      </c>
      <c r="X89" s="545">
        <f>IFERROR(SUM(X85:X87),"0")</f>
        <v>10</v>
      </c>
      <c r="Y89" s="545">
        <f>IFERROR(SUM(Y85:Y87),"0")</f>
        <v>10.8</v>
      </c>
      <c r="Z89" s="37"/>
      <c r="AA89" s="546"/>
      <c r="AB89" s="546"/>
      <c r="AC89" s="546"/>
    </row>
    <row r="90" spans="1:68" ht="14.25" hidden="1" customHeight="1" x14ac:dyDescent="0.25">
      <c r="A90" s="559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7"/>
      <c r="AB90" s="537"/>
      <c r="AC90" s="537"/>
    </row>
    <row r="91" spans="1:68" ht="16.5" customHeight="1" x14ac:dyDescent="0.25">
      <c r="A91" s="54" t="s">
        <v>179</v>
      </c>
      <c r="B91" s="54" t="s">
        <v>180</v>
      </c>
      <c r="C91" s="31">
        <v>4301051712</v>
      </c>
      <c r="D91" s="547">
        <v>4607091386967</v>
      </c>
      <c r="E91" s="548"/>
      <c r="F91" s="542">
        <v>1.35</v>
      </c>
      <c r="G91" s="32">
        <v>6</v>
      </c>
      <c r="H91" s="542">
        <v>8.1</v>
      </c>
      <c r="I91" s="542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4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3">
        <v>7</v>
      </c>
      <c r="Y91" s="544">
        <f>IFERROR(IF(X91="",0,CEILING((X91/$H91),1)*$H91),"")</f>
        <v>8.1</v>
      </c>
      <c r="Z91" s="36">
        <f>IFERROR(IF(Y91=0,"",ROUNDUP(Y91/H91,0)*0.01898),"")</f>
        <v>1.898E-2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7.4269135802469135</v>
      </c>
      <c r="BN91" s="64">
        <f>IFERROR(Y91*I91/H91,"0")</f>
        <v>8.5939999999999994</v>
      </c>
      <c r="BO91" s="64">
        <f>IFERROR(1/J91*(X91/H91),"0")</f>
        <v>1.3503086419753087E-2</v>
      </c>
      <c r="BP91" s="64">
        <f>IFERROR(1/J91*(Y91/H91),"0")</f>
        <v>1.5625E-2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47">
        <v>4680115884953</v>
      </c>
      <c r="E92" s="548"/>
      <c r="F92" s="542">
        <v>0.37</v>
      </c>
      <c r="G92" s="32">
        <v>6</v>
      </c>
      <c r="H92" s="542">
        <v>2.2200000000000002</v>
      </c>
      <c r="I92" s="54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47">
        <v>4607091385731</v>
      </c>
      <c r="E93" s="548"/>
      <c r="F93" s="542">
        <v>0.45</v>
      </c>
      <c r="G93" s="32">
        <v>6</v>
      </c>
      <c r="H93" s="542">
        <v>2.7</v>
      </c>
      <c r="I93" s="542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8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7">
        <v>4680115880894</v>
      </c>
      <c r="E94" s="548"/>
      <c r="F94" s="542">
        <v>0.33</v>
      </c>
      <c r="G94" s="32">
        <v>6</v>
      </c>
      <c r="H94" s="542">
        <v>1.98</v>
      </c>
      <c r="I94" s="542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1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3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5"/>
      <c r="P95" s="561" t="s">
        <v>71</v>
      </c>
      <c r="Q95" s="562"/>
      <c r="R95" s="562"/>
      <c r="S95" s="562"/>
      <c r="T95" s="562"/>
      <c r="U95" s="562"/>
      <c r="V95" s="563"/>
      <c r="W95" s="37" t="s">
        <v>72</v>
      </c>
      <c r="X95" s="545">
        <f>IFERROR(X91/H91,"0")+IFERROR(X92/H92,"0")+IFERROR(X93/H93,"0")+IFERROR(X94/H94,"0")</f>
        <v>0.86419753086419759</v>
      </c>
      <c r="Y95" s="545">
        <f>IFERROR(Y91/H91,"0")+IFERROR(Y92/H92,"0")+IFERROR(Y93/H93,"0")+IFERROR(Y94/H94,"0")</f>
        <v>1</v>
      </c>
      <c r="Z95" s="545">
        <f>IFERROR(IF(Z91="",0,Z91),"0")+IFERROR(IF(Z92="",0,Z92),"0")+IFERROR(IF(Z93="",0,Z93),"0")+IFERROR(IF(Z94="",0,Z94),"0")</f>
        <v>1.898E-2</v>
      </c>
      <c r="AA95" s="546"/>
      <c r="AB95" s="546"/>
      <c r="AC95" s="546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61" t="s">
        <v>71</v>
      </c>
      <c r="Q96" s="562"/>
      <c r="R96" s="562"/>
      <c r="S96" s="562"/>
      <c r="T96" s="562"/>
      <c r="U96" s="562"/>
      <c r="V96" s="563"/>
      <c r="W96" s="37" t="s">
        <v>69</v>
      </c>
      <c r="X96" s="545">
        <f>IFERROR(SUM(X91:X94),"0")</f>
        <v>7</v>
      </c>
      <c r="Y96" s="545">
        <f>IFERROR(SUM(Y91:Y94),"0")</f>
        <v>8.1</v>
      </c>
      <c r="Z96" s="37"/>
      <c r="AA96" s="546"/>
      <c r="AB96" s="546"/>
      <c r="AC96" s="546"/>
    </row>
    <row r="97" spans="1:68" ht="16.5" hidden="1" customHeight="1" x14ac:dyDescent="0.25">
      <c r="A97" s="558" t="s">
        <v>190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8"/>
      <c r="AB97" s="538"/>
      <c r="AC97" s="538"/>
    </row>
    <row r="98" spans="1:68" ht="14.25" hidden="1" customHeight="1" x14ac:dyDescent="0.25">
      <c r="A98" s="559" t="s">
        <v>101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7"/>
      <c r="AB98" s="537"/>
      <c r="AC98" s="537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47">
        <v>4680115882133</v>
      </c>
      <c r="E99" s="548"/>
      <c r="F99" s="542">
        <v>1.35</v>
      </c>
      <c r="G99" s="32">
        <v>8</v>
      </c>
      <c r="H99" s="542">
        <v>10.8</v>
      </c>
      <c r="I99" s="542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3">
        <v>0</v>
      </c>
      <c r="Y99" s="544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7">
        <v>4680115880269</v>
      </c>
      <c r="E100" s="548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0"/>
      <c r="R100" s="550"/>
      <c r="S100" s="550"/>
      <c r="T100" s="551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7">
        <v>4680115880429</v>
      </c>
      <c r="E101" s="548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4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7">
        <v>4680115881457</v>
      </c>
      <c r="E102" s="548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1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53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5"/>
      <c r="P103" s="561" t="s">
        <v>71</v>
      </c>
      <c r="Q103" s="562"/>
      <c r="R103" s="562"/>
      <c r="S103" s="562"/>
      <c r="T103" s="562"/>
      <c r="U103" s="562"/>
      <c r="V103" s="563"/>
      <c r="W103" s="37" t="s">
        <v>72</v>
      </c>
      <c r="X103" s="545">
        <f>IFERROR(X99/H99,"0")+IFERROR(X100/H100,"0")+IFERROR(X101/H101,"0")+IFERROR(X102/H102,"0")</f>
        <v>0</v>
      </c>
      <c r="Y103" s="545">
        <f>IFERROR(Y99/H99,"0")+IFERROR(Y100/H100,"0")+IFERROR(Y101/H101,"0")+IFERROR(Y102/H102,"0")</f>
        <v>0</v>
      </c>
      <c r="Z103" s="545">
        <f>IFERROR(IF(Z99="",0,Z99),"0")+IFERROR(IF(Z100="",0,Z100),"0")+IFERROR(IF(Z101="",0,Z101),"0")+IFERROR(IF(Z102="",0,Z102),"0")</f>
        <v>0</v>
      </c>
      <c r="AA103" s="546"/>
      <c r="AB103" s="546"/>
      <c r="AC103" s="546"/>
    </row>
    <row r="104" spans="1:68" hidden="1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61" t="s">
        <v>71</v>
      </c>
      <c r="Q104" s="562"/>
      <c r="R104" s="562"/>
      <c r="S104" s="562"/>
      <c r="T104" s="562"/>
      <c r="U104" s="562"/>
      <c r="V104" s="563"/>
      <c r="W104" s="37" t="s">
        <v>69</v>
      </c>
      <c r="X104" s="545">
        <f>IFERROR(SUM(X99:X102),"0")</f>
        <v>0</v>
      </c>
      <c r="Y104" s="545">
        <f>IFERROR(SUM(Y99:Y102),"0")</f>
        <v>0</v>
      </c>
      <c r="Z104" s="37"/>
      <c r="AA104" s="546"/>
      <c r="AB104" s="546"/>
      <c r="AC104" s="546"/>
    </row>
    <row r="105" spans="1:68" ht="14.25" hidden="1" customHeight="1" x14ac:dyDescent="0.25">
      <c r="A105" s="559" t="s">
        <v>136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7"/>
      <c r="AB105" s="537"/>
      <c r="AC105" s="537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7">
        <v>4680115881488</v>
      </c>
      <c r="E106" s="548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5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0"/>
      <c r="R106" s="550"/>
      <c r="S106" s="550"/>
      <c r="T106" s="551"/>
      <c r="U106" s="34"/>
      <c r="V106" s="34"/>
      <c r="W106" s="35" t="s">
        <v>69</v>
      </c>
      <c r="X106" s="543">
        <v>0</v>
      </c>
      <c r="Y106" s="54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7">
        <v>4680115882775</v>
      </c>
      <c r="E107" s="548"/>
      <c r="F107" s="542">
        <v>0.3</v>
      </c>
      <c r="G107" s="32">
        <v>8</v>
      </c>
      <c r="H107" s="542">
        <v>2.4</v>
      </c>
      <c r="I107" s="542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1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7">
        <v>4680115880658</v>
      </c>
      <c r="E108" s="548"/>
      <c r="F108" s="542">
        <v>0.4</v>
      </c>
      <c r="G108" s="32">
        <v>6</v>
      </c>
      <c r="H108" s="542">
        <v>2.4</v>
      </c>
      <c r="I108" s="542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5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3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55"/>
      <c r="P109" s="561" t="s">
        <v>71</v>
      </c>
      <c r="Q109" s="562"/>
      <c r="R109" s="562"/>
      <c r="S109" s="562"/>
      <c r="T109" s="562"/>
      <c r="U109" s="562"/>
      <c r="V109" s="563"/>
      <c r="W109" s="37" t="s">
        <v>72</v>
      </c>
      <c r="X109" s="545">
        <f>IFERROR(X106/H106,"0")+IFERROR(X107/H107,"0")+IFERROR(X108/H108,"0")</f>
        <v>0</v>
      </c>
      <c r="Y109" s="545">
        <f>IFERROR(Y106/H106,"0")+IFERROR(Y107/H107,"0")+IFERROR(Y108/H108,"0")</f>
        <v>0</v>
      </c>
      <c r="Z109" s="545">
        <f>IFERROR(IF(Z106="",0,Z106),"0")+IFERROR(IF(Z107="",0,Z107),"0")+IFERROR(IF(Z108="",0,Z108),"0")</f>
        <v>0</v>
      </c>
      <c r="AA109" s="546"/>
      <c r="AB109" s="546"/>
      <c r="AC109" s="546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61" t="s">
        <v>71</v>
      </c>
      <c r="Q110" s="562"/>
      <c r="R110" s="562"/>
      <c r="S110" s="562"/>
      <c r="T110" s="562"/>
      <c r="U110" s="562"/>
      <c r="V110" s="563"/>
      <c r="W110" s="37" t="s">
        <v>69</v>
      </c>
      <c r="X110" s="545">
        <f>IFERROR(SUM(X106:X108),"0")</f>
        <v>0</v>
      </c>
      <c r="Y110" s="545">
        <f>IFERROR(SUM(Y106:Y108),"0")</f>
        <v>0</v>
      </c>
      <c r="Z110" s="37"/>
      <c r="AA110" s="546"/>
      <c r="AB110" s="546"/>
      <c r="AC110" s="546"/>
    </row>
    <row r="111" spans="1:68" ht="14.25" hidden="1" customHeight="1" x14ac:dyDescent="0.25">
      <c r="A111" s="559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7">
        <v>4607091385168</v>
      </c>
      <c r="E112" s="548"/>
      <c r="F112" s="542">
        <v>1.35</v>
      </c>
      <c r="G112" s="32">
        <v>6</v>
      </c>
      <c r="H112" s="542">
        <v>8.1</v>
      </c>
      <c r="I112" s="542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8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3">
        <v>25</v>
      </c>
      <c r="Y112" s="544">
        <f>IFERROR(IF(X112="",0,CEILING((X112/$H112),1)*$H112),"")</f>
        <v>32.4</v>
      </c>
      <c r="Z112" s="36">
        <f>IFERROR(IF(Y112=0,"",ROUNDUP(Y112/H112,0)*0.01898),"")</f>
        <v>7.5920000000000001E-2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26.506172839506174</v>
      </c>
      <c r="BN112" s="64">
        <f>IFERROR(Y112*I112/H112,"0")</f>
        <v>34.351999999999997</v>
      </c>
      <c r="BO112" s="64">
        <f>IFERROR(1/J112*(X112/H112),"0")</f>
        <v>4.8225308641975308E-2</v>
      </c>
      <c r="BP112" s="64">
        <f>IFERROR(1/J112*(Y112/H112),"0")</f>
        <v>6.25E-2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7">
        <v>4607091383256</v>
      </c>
      <c r="E113" s="548"/>
      <c r="F113" s="542">
        <v>0.33</v>
      </c>
      <c r="G113" s="32">
        <v>6</v>
      </c>
      <c r="H113" s="542">
        <v>1.98</v>
      </c>
      <c r="I113" s="542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5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0"/>
      <c r="R113" s="550"/>
      <c r="S113" s="550"/>
      <c r="T113" s="551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47">
        <v>4607091385748</v>
      </c>
      <c r="E114" s="548"/>
      <c r="F114" s="542">
        <v>0.45</v>
      </c>
      <c r="G114" s="32">
        <v>6</v>
      </c>
      <c r="H114" s="542">
        <v>2.7</v>
      </c>
      <c r="I114" s="542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79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7">
        <v>4680115884533</v>
      </c>
      <c r="E115" s="548"/>
      <c r="F115" s="542">
        <v>0.3</v>
      </c>
      <c r="G115" s="32">
        <v>6</v>
      </c>
      <c r="H115" s="542">
        <v>1.8</v>
      </c>
      <c r="I115" s="542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3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55"/>
      <c r="P116" s="561" t="s">
        <v>71</v>
      </c>
      <c r="Q116" s="562"/>
      <c r="R116" s="562"/>
      <c r="S116" s="562"/>
      <c r="T116" s="562"/>
      <c r="U116" s="562"/>
      <c r="V116" s="563"/>
      <c r="W116" s="37" t="s">
        <v>72</v>
      </c>
      <c r="X116" s="545">
        <f>IFERROR(X112/H112,"0")+IFERROR(X113/H113,"0")+IFERROR(X114/H114,"0")+IFERROR(X115/H115,"0")</f>
        <v>3.0864197530864197</v>
      </c>
      <c r="Y116" s="545">
        <f>IFERROR(Y112/H112,"0")+IFERROR(Y113/H113,"0")+IFERROR(Y114/H114,"0")+IFERROR(Y115/H115,"0")</f>
        <v>4</v>
      </c>
      <c r="Z116" s="545">
        <f>IFERROR(IF(Z112="",0,Z112),"0")+IFERROR(IF(Z113="",0,Z113),"0")+IFERROR(IF(Z114="",0,Z114),"0")+IFERROR(IF(Z115="",0,Z115),"0")</f>
        <v>7.5920000000000001E-2</v>
      </c>
      <c r="AA116" s="546"/>
      <c r="AB116" s="546"/>
      <c r="AC116" s="546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61" t="s">
        <v>71</v>
      </c>
      <c r="Q117" s="562"/>
      <c r="R117" s="562"/>
      <c r="S117" s="562"/>
      <c r="T117" s="562"/>
      <c r="U117" s="562"/>
      <c r="V117" s="563"/>
      <c r="W117" s="37" t="s">
        <v>69</v>
      </c>
      <c r="X117" s="545">
        <f>IFERROR(SUM(X112:X115),"0")</f>
        <v>25</v>
      </c>
      <c r="Y117" s="545">
        <f>IFERROR(SUM(Y112:Y115),"0")</f>
        <v>32.4</v>
      </c>
      <c r="Z117" s="37"/>
      <c r="AA117" s="546"/>
      <c r="AB117" s="546"/>
      <c r="AC117" s="546"/>
    </row>
    <row r="118" spans="1:68" ht="14.25" hidden="1" customHeight="1" x14ac:dyDescent="0.25">
      <c r="A118" s="559" t="s">
        <v>164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7">
        <v>4680115880238</v>
      </c>
      <c r="E119" s="548"/>
      <c r="F119" s="542">
        <v>0.33</v>
      </c>
      <c r="G119" s="32">
        <v>6</v>
      </c>
      <c r="H119" s="542">
        <v>1.98</v>
      </c>
      <c r="I119" s="542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3">
        <v>0</v>
      </c>
      <c r="Y119" s="54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3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5"/>
      <c r="P120" s="561" t="s">
        <v>71</v>
      </c>
      <c r="Q120" s="562"/>
      <c r="R120" s="562"/>
      <c r="S120" s="562"/>
      <c r="T120" s="562"/>
      <c r="U120" s="562"/>
      <c r="V120" s="563"/>
      <c r="W120" s="37" t="s">
        <v>72</v>
      </c>
      <c r="X120" s="545">
        <f>IFERROR(X119/H119,"0")</f>
        <v>0</v>
      </c>
      <c r="Y120" s="545">
        <f>IFERROR(Y119/H119,"0")</f>
        <v>0</v>
      </c>
      <c r="Z120" s="545">
        <f>IFERROR(IF(Z119="",0,Z119),"0")</f>
        <v>0</v>
      </c>
      <c r="AA120" s="546"/>
      <c r="AB120" s="546"/>
      <c r="AC120" s="546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61" t="s">
        <v>71</v>
      </c>
      <c r="Q121" s="562"/>
      <c r="R121" s="562"/>
      <c r="S121" s="562"/>
      <c r="T121" s="562"/>
      <c r="U121" s="562"/>
      <c r="V121" s="563"/>
      <c r="W121" s="37" t="s">
        <v>69</v>
      </c>
      <c r="X121" s="545">
        <f>IFERROR(SUM(X119:X119),"0")</f>
        <v>0</v>
      </c>
      <c r="Y121" s="545">
        <f>IFERROR(SUM(Y119:Y119),"0")</f>
        <v>0</v>
      </c>
      <c r="Z121" s="37"/>
      <c r="AA121" s="546"/>
      <c r="AB121" s="546"/>
      <c r="AC121" s="546"/>
    </row>
    <row r="122" spans="1:68" ht="16.5" hidden="1" customHeight="1" x14ac:dyDescent="0.25">
      <c r="A122" s="558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8"/>
      <c r="AB122" s="538"/>
      <c r="AC122" s="538"/>
    </row>
    <row r="123" spans="1:68" ht="14.25" hidden="1" customHeight="1" x14ac:dyDescent="0.25">
      <c r="A123" s="559" t="s">
        <v>101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7">
        <v>4680115882577</v>
      </c>
      <c r="E124" s="548"/>
      <c r="F124" s="542">
        <v>0.4</v>
      </c>
      <c r="G124" s="32">
        <v>8</v>
      </c>
      <c r="H124" s="542">
        <v>3.2</v>
      </c>
      <c r="I124" s="542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0"/>
      <c r="R124" s="550"/>
      <c r="S124" s="550"/>
      <c r="T124" s="551"/>
      <c r="U124" s="34"/>
      <c r="V124" s="34"/>
      <c r="W124" s="35" t="s">
        <v>69</v>
      </c>
      <c r="X124" s="543">
        <v>0</v>
      </c>
      <c r="Y124" s="5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0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0"/>
      <c r="R125" s="550"/>
      <c r="S125" s="550"/>
      <c r="T125" s="551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3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55"/>
      <c r="P126" s="561" t="s">
        <v>71</v>
      </c>
      <c r="Q126" s="562"/>
      <c r="R126" s="562"/>
      <c r="S126" s="562"/>
      <c r="T126" s="562"/>
      <c r="U126" s="562"/>
      <c r="V126" s="563"/>
      <c r="W126" s="37" t="s">
        <v>72</v>
      </c>
      <c r="X126" s="545">
        <f>IFERROR(X124/H124,"0")+IFERROR(X125/H125,"0")</f>
        <v>0</v>
      </c>
      <c r="Y126" s="545">
        <f>IFERROR(Y124/H124,"0")+IFERROR(Y125/H125,"0")</f>
        <v>0</v>
      </c>
      <c r="Z126" s="545">
        <f>IFERROR(IF(Z124="",0,Z124),"0")+IFERROR(IF(Z125="",0,Z125),"0")</f>
        <v>0</v>
      </c>
      <c r="AA126" s="546"/>
      <c r="AB126" s="546"/>
      <c r="AC126" s="546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61" t="s">
        <v>71</v>
      </c>
      <c r="Q127" s="562"/>
      <c r="R127" s="562"/>
      <c r="S127" s="562"/>
      <c r="T127" s="562"/>
      <c r="U127" s="562"/>
      <c r="V127" s="563"/>
      <c r="W127" s="37" t="s">
        <v>69</v>
      </c>
      <c r="X127" s="545">
        <f>IFERROR(SUM(X124:X125),"0")</f>
        <v>0</v>
      </c>
      <c r="Y127" s="545">
        <f>IFERROR(SUM(Y124:Y125),"0")</f>
        <v>0</v>
      </c>
      <c r="Z127" s="37"/>
      <c r="AA127" s="546"/>
      <c r="AB127" s="546"/>
      <c r="AC127" s="546"/>
    </row>
    <row r="128" spans="1:68" ht="14.25" hidden="1" customHeight="1" x14ac:dyDescent="0.25">
      <c r="A128" s="559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7">
        <v>4680115883444</v>
      </c>
      <c r="E129" s="548"/>
      <c r="F129" s="542">
        <v>0.35</v>
      </c>
      <c r="G129" s="32">
        <v>8</v>
      </c>
      <c r="H129" s="542">
        <v>2.8</v>
      </c>
      <c r="I129" s="542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5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0"/>
      <c r="R129" s="550"/>
      <c r="S129" s="550"/>
      <c r="T129" s="551"/>
      <c r="U129" s="34"/>
      <c r="V129" s="34"/>
      <c r="W129" s="35" t="s">
        <v>69</v>
      </c>
      <c r="X129" s="543">
        <v>0</v>
      </c>
      <c r="Y129" s="544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9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0"/>
      <c r="R130" s="550"/>
      <c r="S130" s="550"/>
      <c r="T130" s="551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3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5"/>
      <c r="P131" s="561" t="s">
        <v>71</v>
      </c>
      <c r="Q131" s="562"/>
      <c r="R131" s="562"/>
      <c r="S131" s="562"/>
      <c r="T131" s="562"/>
      <c r="U131" s="562"/>
      <c r="V131" s="563"/>
      <c r="W131" s="37" t="s">
        <v>72</v>
      </c>
      <c r="X131" s="545">
        <f>IFERROR(X129/H129,"0")+IFERROR(X130/H130,"0")</f>
        <v>0</v>
      </c>
      <c r="Y131" s="545">
        <f>IFERROR(Y129/H129,"0")+IFERROR(Y130/H130,"0")</f>
        <v>0</v>
      </c>
      <c r="Z131" s="545">
        <f>IFERROR(IF(Z129="",0,Z129),"0")+IFERROR(IF(Z130="",0,Z130),"0")</f>
        <v>0</v>
      </c>
      <c r="AA131" s="546"/>
      <c r="AB131" s="546"/>
      <c r="AC131" s="546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61" t="s">
        <v>71</v>
      </c>
      <c r="Q132" s="562"/>
      <c r="R132" s="562"/>
      <c r="S132" s="562"/>
      <c r="T132" s="562"/>
      <c r="U132" s="562"/>
      <c r="V132" s="563"/>
      <c r="W132" s="37" t="s">
        <v>69</v>
      </c>
      <c r="X132" s="545">
        <f>IFERROR(SUM(X129:X130),"0")</f>
        <v>0</v>
      </c>
      <c r="Y132" s="545">
        <f>IFERROR(SUM(Y129:Y130),"0")</f>
        <v>0</v>
      </c>
      <c r="Z132" s="37"/>
      <c r="AA132" s="546"/>
      <c r="AB132" s="546"/>
      <c r="AC132" s="546"/>
    </row>
    <row r="133" spans="1:68" ht="14.25" hidden="1" customHeight="1" x14ac:dyDescent="0.25">
      <c r="A133" s="559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7">
        <v>4680115882584</v>
      </c>
      <c r="E134" s="548"/>
      <c r="F134" s="542">
        <v>0.33</v>
      </c>
      <c r="G134" s="32">
        <v>8</v>
      </c>
      <c r="H134" s="542">
        <v>2.64</v>
      </c>
      <c r="I134" s="542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5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0"/>
      <c r="R134" s="550"/>
      <c r="S134" s="550"/>
      <c r="T134" s="551"/>
      <c r="U134" s="34"/>
      <c r="V134" s="34"/>
      <c r="W134" s="35" t="s">
        <v>69</v>
      </c>
      <c r="X134" s="543">
        <v>0</v>
      </c>
      <c r="Y134" s="5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2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0"/>
      <c r="R135" s="550"/>
      <c r="S135" s="550"/>
      <c r="T135" s="551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3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5"/>
      <c r="P136" s="561" t="s">
        <v>71</v>
      </c>
      <c r="Q136" s="562"/>
      <c r="R136" s="562"/>
      <c r="S136" s="562"/>
      <c r="T136" s="562"/>
      <c r="U136" s="562"/>
      <c r="V136" s="563"/>
      <c r="W136" s="37" t="s">
        <v>72</v>
      </c>
      <c r="X136" s="545">
        <f>IFERROR(X134/H134,"0")+IFERROR(X135/H135,"0")</f>
        <v>0</v>
      </c>
      <c r="Y136" s="545">
        <f>IFERROR(Y134/H134,"0")+IFERROR(Y135/H135,"0")</f>
        <v>0</v>
      </c>
      <c r="Z136" s="545">
        <f>IFERROR(IF(Z134="",0,Z134),"0")+IFERROR(IF(Z135="",0,Z135),"0")</f>
        <v>0</v>
      </c>
      <c r="AA136" s="546"/>
      <c r="AB136" s="546"/>
      <c r="AC136" s="546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61" t="s">
        <v>71</v>
      </c>
      <c r="Q137" s="562"/>
      <c r="R137" s="562"/>
      <c r="S137" s="562"/>
      <c r="T137" s="562"/>
      <c r="U137" s="562"/>
      <c r="V137" s="563"/>
      <c r="W137" s="37" t="s">
        <v>69</v>
      </c>
      <c r="X137" s="545">
        <f>IFERROR(SUM(X134:X135),"0")</f>
        <v>0</v>
      </c>
      <c r="Y137" s="545">
        <f>IFERROR(SUM(Y134:Y135),"0")</f>
        <v>0</v>
      </c>
      <c r="Z137" s="37"/>
      <c r="AA137" s="546"/>
      <c r="AB137" s="546"/>
      <c r="AC137" s="546"/>
    </row>
    <row r="138" spans="1:68" ht="16.5" hidden="1" customHeight="1" x14ac:dyDescent="0.25">
      <c r="A138" s="558" t="s">
        <v>99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8"/>
      <c r="AB138" s="538"/>
      <c r="AC138" s="538"/>
    </row>
    <row r="139" spans="1:68" ht="14.25" hidden="1" customHeight="1" x14ac:dyDescent="0.25">
      <c r="A139" s="559" t="s">
        <v>101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7">
        <v>4680115887374</v>
      </c>
      <c r="E140" s="548"/>
      <c r="F140" s="542">
        <v>1.6</v>
      </c>
      <c r="G140" s="32">
        <v>8</v>
      </c>
      <c r="H140" s="542">
        <v>12.8</v>
      </c>
      <c r="I140" s="542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1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0"/>
      <c r="R140" s="550"/>
      <c r="S140" s="550"/>
      <c r="T140" s="551"/>
      <c r="U140" s="34"/>
      <c r="V140" s="34"/>
      <c r="W140" s="35" t="s">
        <v>69</v>
      </c>
      <c r="X140" s="543">
        <v>0</v>
      </c>
      <c r="Y140" s="544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7">
        <v>4607091384604</v>
      </c>
      <c r="E141" s="548"/>
      <c r="F141" s="542">
        <v>0.4</v>
      </c>
      <c r="G141" s="32">
        <v>10</v>
      </c>
      <c r="H141" s="542">
        <v>4</v>
      </c>
      <c r="I141" s="542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80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0"/>
      <c r="R141" s="550"/>
      <c r="S141" s="550"/>
      <c r="T141" s="551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7">
        <v>4680115886810</v>
      </c>
      <c r="E142" s="548"/>
      <c r="F142" s="542">
        <v>0.3</v>
      </c>
      <c r="G142" s="32">
        <v>10</v>
      </c>
      <c r="H142" s="542">
        <v>3</v>
      </c>
      <c r="I142" s="542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684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3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5"/>
      <c r="P143" s="561" t="s">
        <v>71</v>
      </c>
      <c r="Q143" s="562"/>
      <c r="R143" s="562"/>
      <c r="S143" s="562"/>
      <c r="T143" s="562"/>
      <c r="U143" s="562"/>
      <c r="V143" s="563"/>
      <c r="W143" s="37" t="s">
        <v>72</v>
      </c>
      <c r="X143" s="545">
        <f>IFERROR(X140/H140,"0")+IFERROR(X141/H141,"0")+IFERROR(X142/H142,"0")</f>
        <v>0</v>
      </c>
      <c r="Y143" s="545">
        <f>IFERROR(Y140/H140,"0")+IFERROR(Y141/H141,"0")+IFERROR(Y142/H142,"0")</f>
        <v>0</v>
      </c>
      <c r="Z143" s="545">
        <f>IFERROR(IF(Z140="",0,Z140),"0")+IFERROR(IF(Z141="",0,Z141),"0")+IFERROR(IF(Z142="",0,Z142),"0")</f>
        <v>0</v>
      </c>
      <c r="AA143" s="546"/>
      <c r="AB143" s="546"/>
      <c r="AC143" s="546"/>
    </row>
    <row r="144" spans="1:68" hidden="1" x14ac:dyDescent="0.2">
      <c r="A144" s="554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5"/>
      <c r="P144" s="561" t="s">
        <v>71</v>
      </c>
      <c r="Q144" s="562"/>
      <c r="R144" s="562"/>
      <c r="S144" s="562"/>
      <c r="T144" s="562"/>
      <c r="U144" s="562"/>
      <c r="V144" s="563"/>
      <c r="W144" s="37" t="s">
        <v>69</v>
      </c>
      <c r="X144" s="545">
        <f>IFERROR(SUM(X140:X142),"0")</f>
        <v>0</v>
      </c>
      <c r="Y144" s="545">
        <f>IFERROR(SUM(Y140:Y142),"0")</f>
        <v>0</v>
      </c>
      <c r="Z144" s="37"/>
      <c r="AA144" s="546"/>
      <c r="AB144" s="546"/>
      <c r="AC144" s="546"/>
    </row>
    <row r="145" spans="1:68" ht="14.25" hidden="1" customHeight="1" x14ac:dyDescent="0.25">
      <c r="A145" s="559" t="s">
        <v>64</v>
      </c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4"/>
      <c r="P145" s="554"/>
      <c r="Q145" s="554"/>
      <c r="R145" s="554"/>
      <c r="S145" s="554"/>
      <c r="T145" s="554"/>
      <c r="U145" s="554"/>
      <c r="V145" s="554"/>
      <c r="W145" s="554"/>
      <c r="X145" s="554"/>
      <c r="Y145" s="554"/>
      <c r="Z145" s="554"/>
      <c r="AA145" s="537"/>
      <c r="AB145" s="537"/>
      <c r="AC145" s="537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7">
        <v>4607091387667</v>
      </c>
      <c r="E146" s="548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83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0"/>
      <c r="R146" s="550"/>
      <c r="S146" s="550"/>
      <c r="T146" s="551"/>
      <c r="U146" s="34"/>
      <c r="V146" s="34"/>
      <c r="W146" s="35" t="s">
        <v>69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7">
        <v>4607091387636</v>
      </c>
      <c r="E147" s="548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0"/>
      <c r="R147" s="550"/>
      <c r="S147" s="550"/>
      <c r="T147" s="551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7">
        <v>4607091382426</v>
      </c>
      <c r="E148" s="548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63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3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55"/>
      <c r="P149" s="561" t="s">
        <v>71</v>
      </c>
      <c r="Q149" s="562"/>
      <c r="R149" s="562"/>
      <c r="S149" s="562"/>
      <c r="T149" s="562"/>
      <c r="U149" s="562"/>
      <c r="V149" s="563"/>
      <c r="W149" s="37" t="s">
        <v>72</v>
      </c>
      <c r="X149" s="545">
        <f>IFERROR(X146/H146,"0")+IFERROR(X147/H147,"0")+IFERROR(X148/H148,"0")</f>
        <v>0</v>
      </c>
      <c r="Y149" s="545">
        <f>IFERROR(Y146/H146,"0")+IFERROR(Y147/H147,"0")+IFERROR(Y148/H148,"0")</f>
        <v>0</v>
      </c>
      <c r="Z149" s="545">
        <f>IFERROR(IF(Z146="",0,Z146),"0")+IFERROR(IF(Z147="",0,Z147),"0")+IFERROR(IF(Z148="",0,Z148),"0")</f>
        <v>0</v>
      </c>
      <c r="AA149" s="546"/>
      <c r="AB149" s="546"/>
      <c r="AC149" s="546"/>
    </row>
    <row r="150" spans="1:68" hidden="1" x14ac:dyDescent="0.2">
      <c r="A150" s="554"/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5"/>
      <c r="P150" s="561" t="s">
        <v>71</v>
      </c>
      <c r="Q150" s="562"/>
      <c r="R150" s="562"/>
      <c r="S150" s="562"/>
      <c r="T150" s="562"/>
      <c r="U150" s="562"/>
      <c r="V150" s="563"/>
      <c r="W150" s="37" t="s">
        <v>69</v>
      </c>
      <c r="X150" s="545">
        <f>IFERROR(SUM(X146:X148),"0")</f>
        <v>0</v>
      </c>
      <c r="Y150" s="545">
        <f>IFERROR(SUM(Y146:Y148),"0")</f>
        <v>0</v>
      </c>
      <c r="Z150" s="37"/>
      <c r="AA150" s="546"/>
      <c r="AB150" s="546"/>
      <c r="AC150" s="546"/>
    </row>
    <row r="151" spans="1:68" ht="14.25" hidden="1" customHeight="1" x14ac:dyDescent="0.25">
      <c r="A151" s="559" t="s">
        <v>73</v>
      </c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4"/>
      <c r="P151" s="554"/>
      <c r="Q151" s="554"/>
      <c r="R151" s="554"/>
      <c r="S151" s="554"/>
      <c r="T151" s="554"/>
      <c r="U151" s="554"/>
      <c r="V151" s="554"/>
      <c r="W151" s="554"/>
      <c r="X151" s="554"/>
      <c r="Y151" s="554"/>
      <c r="Z151" s="554"/>
      <c r="AA151" s="537"/>
      <c r="AB151" s="537"/>
      <c r="AC151" s="537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7">
        <v>4680115887459</v>
      </c>
      <c r="E152" s="548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4" t="s">
        <v>252</v>
      </c>
      <c r="Q152" s="550"/>
      <c r="R152" s="550"/>
      <c r="S152" s="550"/>
      <c r="T152" s="551"/>
      <c r="U152" s="34"/>
      <c r="V152" s="34"/>
      <c r="W152" s="35" t="s">
        <v>69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3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5"/>
      <c r="P153" s="561" t="s">
        <v>71</v>
      </c>
      <c r="Q153" s="562"/>
      <c r="R153" s="562"/>
      <c r="S153" s="562"/>
      <c r="T153" s="562"/>
      <c r="U153" s="562"/>
      <c r="V153" s="563"/>
      <c r="W153" s="37" t="s">
        <v>72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hidden="1" x14ac:dyDescent="0.2">
      <c r="A154" s="554"/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5"/>
      <c r="P154" s="561" t="s">
        <v>71</v>
      </c>
      <c r="Q154" s="562"/>
      <c r="R154" s="562"/>
      <c r="S154" s="562"/>
      <c r="T154" s="562"/>
      <c r="U154" s="562"/>
      <c r="V154" s="563"/>
      <c r="W154" s="37" t="s">
        <v>69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hidden="1" customHeight="1" x14ac:dyDescent="0.2">
      <c r="A155" s="569" t="s">
        <v>255</v>
      </c>
      <c r="B155" s="570"/>
      <c r="C155" s="570"/>
      <c r="D155" s="570"/>
      <c r="E155" s="570"/>
      <c r="F155" s="570"/>
      <c r="G155" s="570"/>
      <c r="H155" s="570"/>
      <c r="I155" s="570"/>
      <c r="J155" s="570"/>
      <c r="K155" s="570"/>
      <c r="L155" s="570"/>
      <c r="M155" s="570"/>
      <c r="N155" s="570"/>
      <c r="O155" s="570"/>
      <c r="P155" s="570"/>
      <c r="Q155" s="570"/>
      <c r="R155" s="570"/>
      <c r="S155" s="570"/>
      <c r="T155" s="570"/>
      <c r="U155" s="570"/>
      <c r="V155" s="570"/>
      <c r="W155" s="570"/>
      <c r="X155" s="570"/>
      <c r="Y155" s="570"/>
      <c r="Z155" s="570"/>
      <c r="AA155" s="48"/>
      <c r="AB155" s="48"/>
      <c r="AC155" s="48"/>
    </row>
    <row r="156" spans="1:68" ht="16.5" hidden="1" customHeight="1" x14ac:dyDescent="0.25">
      <c r="A156" s="558" t="s">
        <v>256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8"/>
      <c r="AB156" s="538"/>
      <c r="AC156" s="538"/>
    </row>
    <row r="157" spans="1:68" ht="14.25" hidden="1" customHeight="1" x14ac:dyDescent="0.25">
      <c r="A157" s="559" t="s">
        <v>136</v>
      </c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37"/>
      <c r="AB157" s="537"/>
      <c r="AC157" s="537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7">
        <v>4680115886223</v>
      </c>
      <c r="E158" s="548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0"/>
      <c r="R158" s="550"/>
      <c r="S158" s="550"/>
      <c r="T158" s="551"/>
      <c r="U158" s="34"/>
      <c r="V158" s="34"/>
      <c r="W158" s="35" t="s">
        <v>69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3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5"/>
      <c r="P159" s="561" t="s">
        <v>71</v>
      </c>
      <c r="Q159" s="562"/>
      <c r="R159" s="562"/>
      <c r="S159" s="562"/>
      <c r="T159" s="562"/>
      <c r="U159" s="562"/>
      <c r="V159" s="563"/>
      <c r="W159" s="37" t="s">
        <v>72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hidden="1" x14ac:dyDescent="0.2">
      <c r="A160" s="554"/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5"/>
      <c r="P160" s="561" t="s">
        <v>71</v>
      </c>
      <c r="Q160" s="562"/>
      <c r="R160" s="562"/>
      <c r="S160" s="562"/>
      <c r="T160" s="562"/>
      <c r="U160" s="562"/>
      <c r="V160" s="563"/>
      <c r="W160" s="37" t="s">
        <v>69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hidden="1" customHeight="1" x14ac:dyDescent="0.25">
      <c r="A161" s="559" t="s">
        <v>64</v>
      </c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4"/>
      <c r="P161" s="554"/>
      <c r="Q161" s="554"/>
      <c r="R161" s="554"/>
      <c r="S161" s="554"/>
      <c r="T161" s="554"/>
      <c r="U161" s="554"/>
      <c r="V161" s="554"/>
      <c r="W161" s="554"/>
      <c r="X161" s="554"/>
      <c r="Y161" s="554"/>
      <c r="Z161" s="554"/>
      <c r="AA161" s="537"/>
      <c r="AB161" s="537"/>
      <c r="AC161" s="537"/>
    </row>
    <row r="162" spans="1:68" ht="27" hidden="1" customHeight="1" x14ac:dyDescent="0.25">
      <c r="A162" s="54" t="s">
        <v>260</v>
      </c>
      <c r="B162" s="54" t="s">
        <v>261</v>
      </c>
      <c r="C162" s="31">
        <v>4301031443</v>
      </c>
      <c r="D162" s="547">
        <v>4680115887213</v>
      </c>
      <c r="E162" s="548"/>
      <c r="F162" s="542">
        <v>0.3</v>
      </c>
      <c r="G162" s="32">
        <v>6</v>
      </c>
      <c r="H162" s="542">
        <v>1.8</v>
      </c>
      <c r="I162" s="542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84" t="s">
        <v>262</v>
      </c>
      <c r="Q162" s="550"/>
      <c r="R162" s="550"/>
      <c r="S162" s="550"/>
      <c r="T162" s="551"/>
      <c r="U162" s="34"/>
      <c r="V162" s="34"/>
      <c r="W162" s="35" t="s">
        <v>69</v>
      </c>
      <c r="X162" s="543">
        <v>0</v>
      </c>
      <c r="Y162" s="544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hidden="1" customHeight="1" x14ac:dyDescent="0.25">
      <c r="A163" s="54" t="s">
        <v>264</v>
      </c>
      <c r="B163" s="54" t="s">
        <v>265</v>
      </c>
      <c r="C163" s="31">
        <v>4301031191</v>
      </c>
      <c r="D163" s="547">
        <v>4680115880993</v>
      </c>
      <c r="E163" s="548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0"/>
      <c r="R163" s="550"/>
      <c r="S163" s="550"/>
      <c r="T163" s="551"/>
      <c r="U163" s="34"/>
      <c r="V163" s="34"/>
      <c r="W163" s="35" t="s">
        <v>69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266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267</v>
      </c>
      <c r="B164" s="54" t="s">
        <v>268</v>
      </c>
      <c r="C164" s="31">
        <v>4301031204</v>
      </c>
      <c r="D164" s="547">
        <v>4680115881761</v>
      </c>
      <c r="E164" s="548"/>
      <c r="F164" s="542">
        <v>0.7</v>
      </c>
      <c r="G164" s="32">
        <v>6</v>
      </c>
      <c r="H164" s="542">
        <v>4.2</v>
      </c>
      <c r="I164" s="542">
        <v>4.45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78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0"/>
      <c r="R164" s="550"/>
      <c r="S164" s="550"/>
      <c r="T164" s="551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270</v>
      </c>
      <c r="B165" s="54" t="s">
        <v>271</v>
      </c>
      <c r="C165" s="31">
        <v>4301031201</v>
      </c>
      <c r="D165" s="547">
        <v>4680115881563</v>
      </c>
      <c r="E165" s="548"/>
      <c r="F165" s="542">
        <v>0.7</v>
      </c>
      <c r="G165" s="32">
        <v>6</v>
      </c>
      <c r="H165" s="542">
        <v>4.2</v>
      </c>
      <c r="I165" s="542">
        <v>4.3899999999999997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58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0"/>
      <c r="R165" s="550"/>
      <c r="S165" s="550"/>
      <c r="T165" s="551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272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273</v>
      </c>
      <c r="B166" s="54" t="s">
        <v>274</v>
      </c>
      <c r="C166" s="31">
        <v>4301031199</v>
      </c>
      <c r="D166" s="547">
        <v>4680115880986</v>
      </c>
      <c r="E166" s="548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3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0"/>
      <c r="R166" s="550"/>
      <c r="S166" s="550"/>
      <c r="T166" s="551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276</v>
      </c>
      <c r="B167" s="54" t="s">
        <v>277</v>
      </c>
      <c r="C167" s="31">
        <v>4301031205</v>
      </c>
      <c r="D167" s="547">
        <v>4680115881785</v>
      </c>
      <c r="E167" s="548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275</v>
      </c>
      <c r="M167" s="33" t="s">
        <v>68</v>
      </c>
      <c r="N167" s="33"/>
      <c r="O167" s="32">
        <v>40</v>
      </c>
      <c r="P167" s="68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278</v>
      </c>
      <c r="B168" s="54" t="s">
        <v>279</v>
      </c>
      <c r="C168" s="31">
        <v>4301031399</v>
      </c>
      <c r="D168" s="547">
        <v>4680115886537</v>
      </c>
      <c r="E168" s="548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59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281</v>
      </c>
      <c r="B169" s="54" t="s">
        <v>282</v>
      </c>
      <c r="C169" s="31">
        <v>4301031202</v>
      </c>
      <c r="D169" s="547">
        <v>4680115881679</v>
      </c>
      <c r="E169" s="548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8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0"/>
      <c r="R169" s="550"/>
      <c r="S169" s="550"/>
      <c r="T169" s="551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272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4301031158</v>
      </c>
      <c r="D170" s="547">
        <v>4680115880191</v>
      </c>
      <c r="E170" s="548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0"/>
      <c r="R170" s="550"/>
      <c r="S170" s="550"/>
      <c r="T170" s="551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285</v>
      </c>
      <c r="B171" s="54" t="s">
        <v>286</v>
      </c>
      <c r="C171" s="31">
        <v>4301031245</v>
      </c>
      <c r="D171" s="547">
        <v>4680115883963</v>
      </c>
      <c r="E171" s="548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3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0"/>
      <c r="R171" s="550"/>
      <c r="S171" s="550"/>
      <c r="T171" s="551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idden="1" x14ac:dyDescent="0.2">
      <c r="A172" s="553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61" t="s">
        <v>71</v>
      </c>
      <c r="Q172" s="562"/>
      <c r="R172" s="562"/>
      <c r="S172" s="562"/>
      <c r="T172" s="562"/>
      <c r="U172" s="562"/>
      <c r="V172" s="563"/>
      <c r="W172" s="37" t="s">
        <v>72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6"/>
      <c r="AB172" s="546"/>
      <c r="AC172" s="546"/>
    </row>
    <row r="173" spans="1:68" hidden="1" x14ac:dyDescent="0.2">
      <c r="A173" s="554"/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5"/>
      <c r="P173" s="561" t="s">
        <v>71</v>
      </c>
      <c r="Q173" s="562"/>
      <c r="R173" s="562"/>
      <c r="S173" s="562"/>
      <c r="T173" s="562"/>
      <c r="U173" s="562"/>
      <c r="V173" s="563"/>
      <c r="W173" s="37" t="s">
        <v>69</v>
      </c>
      <c r="X173" s="545">
        <f>IFERROR(SUM(X162:X171),"0")</f>
        <v>0</v>
      </c>
      <c r="Y173" s="545">
        <f>IFERROR(SUM(Y162:Y171),"0")</f>
        <v>0</v>
      </c>
      <c r="Z173" s="37"/>
      <c r="AA173" s="546"/>
      <c r="AB173" s="546"/>
      <c r="AC173" s="546"/>
    </row>
    <row r="174" spans="1:68" ht="14.25" hidden="1" customHeight="1" x14ac:dyDescent="0.25">
      <c r="A174" s="559" t="s">
        <v>93</v>
      </c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537"/>
      <c r="AB174" s="537"/>
      <c r="AC174" s="537"/>
    </row>
    <row r="175" spans="1:68" ht="27" hidden="1" customHeight="1" x14ac:dyDescent="0.25">
      <c r="A175" s="54" t="s">
        <v>288</v>
      </c>
      <c r="B175" s="54" t="s">
        <v>289</v>
      </c>
      <c r="C175" s="31">
        <v>4301032053</v>
      </c>
      <c r="D175" s="547">
        <v>4680115886780</v>
      </c>
      <c r="E175" s="548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293</v>
      </c>
      <c r="B176" s="54" t="s">
        <v>294</v>
      </c>
      <c r="C176" s="31">
        <v>4301032051</v>
      </c>
      <c r="D176" s="547">
        <v>4680115886742</v>
      </c>
      <c r="E176" s="548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79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296</v>
      </c>
      <c r="B177" s="54" t="s">
        <v>297</v>
      </c>
      <c r="C177" s="31">
        <v>4301032052</v>
      </c>
      <c r="D177" s="547">
        <v>4680115886766</v>
      </c>
      <c r="E177" s="548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5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0"/>
      <c r="R177" s="550"/>
      <c r="S177" s="550"/>
      <c r="T177" s="551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3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61" t="s">
        <v>71</v>
      </c>
      <c r="Q178" s="562"/>
      <c r="R178" s="562"/>
      <c r="S178" s="562"/>
      <c r="T178" s="562"/>
      <c r="U178" s="562"/>
      <c r="V178" s="563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hidden="1" x14ac:dyDescent="0.2">
      <c r="A179" s="554"/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5"/>
      <c r="P179" s="561" t="s">
        <v>71</v>
      </c>
      <c r="Q179" s="562"/>
      <c r="R179" s="562"/>
      <c r="S179" s="562"/>
      <c r="T179" s="562"/>
      <c r="U179" s="562"/>
      <c r="V179" s="563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hidden="1" customHeight="1" x14ac:dyDescent="0.25">
      <c r="A180" s="559" t="s">
        <v>298</v>
      </c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537"/>
      <c r="AB180" s="537"/>
      <c r="AC180" s="537"/>
    </row>
    <row r="181" spans="1:68" ht="27" hidden="1" customHeight="1" x14ac:dyDescent="0.25">
      <c r="A181" s="54" t="s">
        <v>299</v>
      </c>
      <c r="B181" s="54" t="s">
        <v>300</v>
      </c>
      <c r="C181" s="31">
        <v>4301170013</v>
      </c>
      <c r="D181" s="547">
        <v>4680115886797</v>
      </c>
      <c r="E181" s="548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0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3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61" t="s">
        <v>71</v>
      </c>
      <c r="Q182" s="562"/>
      <c r="R182" s="562"/>
      <c r="S182" s="562"/>
      <c r="T182" s="562"/>
      <c r="U182" s="562"/>
      <c r="V182" s="563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hidden="1" x14ac:dyDescent="0.2">
      <c r="A183" s="554"/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5"/>
      <c r="P183" s="561" t="s">
        <v>71</v>
      </c>
      <c r="Q183" s="562"/>
      <c r="R183" s="562"/>
      <c r="S183" s="562"/>
      <c r="T183" s="562"/>
      <c r="U183" s="562"/>
      <c r="V183" s="563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hidden="1" customHeight="1" x14ac:dyDescent="0.25">
      <c r="A184" s="558" t="s">
        <v>301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8"/>
      <c r="AB184" s="538"/>
      <c r="AC184" s="538"/>
    </row>
    <row r="185" spans="1:68" ht="14.25" hidden="1" customHeight="1" x14ac:dyDescent="0.25">
      <c r="A185" s="559" t="s">
        <v>101</v>
      </c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537"/>
      <c r="AB185" s="537"/>
      <c r="AC185" s="537"/>
    </row>
    <row r="186" spans="1:68" ht="16.5" hidden="1" customHeight="1" x14ac:dyDescent="0.25">
      <c r="A186" s="54" t="s">
        <v>302</v>
      </c>
      <c r="B186" s="54" t="s">
        <v>303</v>
      </c>
      <c r="C186" s="31">
        <v>4301011450</v>
      </c>
      <c r="D186" s="547">
        <v>4680115881402</v>
      </c>
      <c r="E186" s="548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83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305</v>
      </c>
      <c r="B187" s="54" t="s">
        <v>306</v>
      </c>
      <c r="C187" s="31">
        <v>4301011768</v>
      </c>
      <c r="D187" s="547">
        <v>4680115881396</v>
      </c>
      <c r="E187" s="548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86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0"/>
      <c r="R187" s="550"/>
      <c r="S187" s="550"/>
      <c r="T187" s="551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3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61" t="s">
        <v>71</v>
      </c>
      <c r="Q188" s="562"/>
      <c r="R188" s="562"/>
      <c r="S188" s="562"/>
      <c r="T188" s="562"/>
      <c r="U188" s="562"/>
      <c r="V188" s="563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hidden="1" x14ac:dyDescent="0.2">
      <c r="A189" s="554"/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5"/>
      <c r="P189" s="561" t="s">
        <v>71</v>
      </c>
      <c r="Q189" s="562"/>
      <c r="R189" s="562"/>
      <c r="S189" s="562"/>
      <c r="T189" s="562"/>
      <c r="U189" s="562"/>
      <c r="V189" s="563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hidden="1" customHeight="1" x14ac:dyDescent="0.25">
      <c r="A190" s="559" t="s">
        <v>136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537"/>
      <c r="AB190" s="537"/>
      <c r="AC190" s="537"/>
    </row>
    <row r="191" spans="1:68" ht="16.5" hidden="1" customHeight="1" x14ac:dyDescent="0.25">
      <c r="A191" s="54" t="s">
        <v>307</v>
      </c>
      <c r="B191" s="54" t="s">
        <v>308</v>
      </c>
      <c r="C191" s="31">
        <v>4301020261</v>
      </c>
      <c r="D191" s="547">
        <v>4680115882935</v>
      </c>
      <c r="E191" s="548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82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310</v>
      </c>
      <c r="B192" s="54" t="s">
        <v>311</v>
      </c>
      <c r="C192" s="31">
        <v>4301020220</v>
      </c>
      <c r="D192" s="547">
        <v>4680115880764</v>
      </c>
      <c r="E192" s="548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6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0"/>
      <c r="R192" s="550"/>
      <c r="S192" s="550"/>
      <c r="T192" s="551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3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61" t="s">
        <v>71</v>
      </c>
      <c r="Q193" s="562"/>
      <c r="R193" s="562"/>
      <c r="S193" s="562"/>
      <c r="T193" s="562"/>
      <c r="U193" s="562"/>
      <c r="V193" s="563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hidden="1" x14ac:dyDescent="0.2">
      <c r="A194" s="554"/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5"/>
      <c r="P194" s="561" t="s">
        <v>71</v>
      </c>
      <c r="Q194" s="562"/>
      <c r="R194" s="562"/>
      <c r="S194" s="562"/>
      <c r="T194" s="562"/>
      <c r="U194" s="562"/>
      <c r="V194" s="563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hidden="1" customHeight="1" x14ac:dyDescent="0.25">
      <c r="A195" s="559" t="s">
        <v>64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537"/>
      <c r="AB195" s="537"/>
      <c r="AC195" s="537"/>
    </row>
    <row r="196" spans="1:68" ht="27" hidden="1" customHeight="1" x14ac:dyDescent="0.25">
      <c r="A196" s="54" t="s">
        <v>312</v>
      </c>
      <c r="B196" s="54" t="s">
        <v>313</v>
      </c>
      <c r="C196" s="31">
        <v>4301031224</v>
      </c>
      <c r="D196" s="547">
        <v>4680115882683</v>
      </c>
      <c r="E196" s="548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3">
        <v>0</v>
      </c>
      <c r="Y196" s="544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314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hidden="1" customHeight="1" x14ac:dyDescent="0.25">
      <c r="A197" s="54" t="s">
        <v>315</v>
      </c>
      <c r="B197" s="54" t="s">
        <v>316</v>
      </c>
      <c r="C197" s="31">
        <v>4301031230</v>
      </c>
      <c r="D197" s="547">
        <v>4680115882690</v>
      </c>
      <c r="E197" s="548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7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0"/>
      <c r="R197" s="550"/>
      <c r="S197" s="550"/>
      <c r="T197" s="551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318</v>
      </c>
      <c r="B198" s="54" t="s">
        <v>319</v>
      </c>
      <c r="C198" s="31">
        <v>4301031220</v>
      </c>
      <c r="D198" s="547">
        <v>4680115882669</v>
      </c>
      <c r="E198" s="548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321</v>
      </c>
      <c r="B199" s="54" t="s">
        <v>322</v>
      </c>
      <c r="C199" s="31">
        <v>4301031221</v>
      </c>
      <c r="D199" s="547">
        <v>4680115882676</v>
      </c>
      <c r="E199" s="548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84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0"/>
      <c r="R199" s="550"/>
      <c r="S199" s="550"/>
      <c r="T199" s="551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323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324</v>
      </c>
      <c r="B200" s="54" t="s">
        <v>325</v>
      </c>
      <c r="C200" s="31">
        <v>4301031223</v>
      </c>
      <c r="D200" s="547">
        <v>4680115884014</v>
      </c>
      <c r="E200" s="548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5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0"/>
      <c r="R200" s="550"/>
      <c r="S200" s="550"/>
      <c r="T200" s="551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326</v>
      </c>
      <c r="B201" s="54" t="s">
        <v>327</v>
      </c>
      <c r="C201" s="31">
        <v>4301031222</v>
      </c>
      <c r="D201" s="547">
        <v>4680115884007</v>
      </c>
      <c r="E201" s="548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8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328</v>
      </c>
      <c r="B202" s="54" t="s">
        <v>329</v>
      </c>
      <c r="C202" s="31">
        <v>4301031229</v>
      </c>
      <c r="D202" s="547">
        <v>4680115884038</v>
      </c>
      <c r="E202" s="548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330</v>
      </c>
      <c r="B203" s="54" t="s">
        <v>331</v>
      </c>
      <c r="C203" s="31">
        <v>4301031225</v>
      </c>
      <c r="D203" s="547">
        <v>4680115884021</v>
      </c>
      <c r="E203" s="548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1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idden="1" x14ac:dyDescent="0.2">
      <c r="A204" s="553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61" t="s">
        <v>71</v>
      </c>
      <c r="Q204" s="562"/>
      <c r="R204" s="562"/>
      <c r="S204" s="562"/>
      <c r="T204" s="562"/>
      <c r="U204" s="562"/>
      <c r="V204" s="563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0</v>
      </c>
      <c r="Y204" s="545">
        <f>IFERROR(Y196/H196,"0")+IFERROR(Y197/H197,"0")+IFERROR(Y198/H198,"0")+IFERROR(Y199/H199,"0")+IFERROR(Y200/H200,"0")+IFERROR(Y201/H201,"0")+IFERROR(Y202/H202,"0")+IFERROR(Y203/H203,"0")</f>
        <v>0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6"/>
      <c r="AB204" s="546"/>
      <c r="AC204" s="546"/>
    </row>
    <row r="205" spans="1:68" hidden="1" x14ac:dyDescent="0.2">
      <c r="A205" s="554"/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5"/>
      <c r="P205" s="561" t="s">
        <v>71</v>
      </c>
      <c r="Q205" s="562"/>
      <c r="R205" s="562"/>
      <c r="S205" s="562"/>
      <c r="T205" s="562"/>
      <c r="U205" s="562"/>
      <c r="V205" s="563"/>
      <c r="W205" s="37" t="s">
        <v>69</v>
      </c>
      <c r="X205" s="545">
        <f>IFERROR(SUM(X196:X203),"0")</f>
        <v>0</v>
      </c>
      <c r="Y205" s="545">
        <f>IFERROR(SUM(Y196:Y203),"0")</f>
        <v>0</v>
      </c>
      <c r="Z205" s="37"/>
      <c r="AA205" s="546"/>
      <c r="AB205" s="546"/>
      <c r="AC205" s="546"/>
    </row>
    <row r="206" spans="1:68" ht="14.25" hidden="1" customHeight="1" x14ac:dyDescent="0.25">
      <c r="A206" s="559" t="s">
        <v>73</v>
      </c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37"/>
      <c r="AB206" s="537"/>
      <c r="AC206" s="537"/>
    </row>
    <row r="207" spans="1:68" ht="27" hidden="1" customHeight="1" x14ac:dyDescent="0.25">
      <c r="A207" s="54" t="s">
        <v>332</v>
      </c>
      <c r="B207" s="54" t="s">
        <v>333</v>
      </c>
      <c r="C207" s="31">
        <v>4301051408</v>
      </c>
      <c r="D207" s="547">
        <v>4680115881594</v>
      </c>
      <c r="E207" s="548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2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335</v>
      </c>
      <c r="B208" s="54" t="s">
        <v>336</v>
      </c>
      <c r="C208" s="31">
        <v>4301051411</v>
      </c>
      <c r="D208" s="547">
        <v>4680115881617</v>
      </c>
      <c r="E208" s="548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6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0"/>
      <c r="R208" s="550"/>
      <c r="S208" s="550"/>
      <c r="T208" s="551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338</v>
      </c>
      <c r="B209" s="54" t="s">
        <v>339</v>
      </c>
      <c r="C209" s="31">
        <v>4301051656</v>
      </c>
      <c r="D209" s="547">
        <v>4680115880573</v>
      </c>
      <c r="E209" s="548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6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341</v>
      </c>
      <c r="B210" s="54" t="s">
        <v>342</v>
      </c>
      <c r="C210" s="31">
        <v>4301051407</v>
      </c>
      <c r="D210" s="547">
        <v>4680115882195</v>
      </c>
      <c r="E210" s="548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70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334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343</v>
      </c>
      <c r="B211" s="54" t="s">
        <v>344</v>
      </c>
      <c r="C211" s="31">
        <v>4301051752</v>
      </c>
      <c r="D211" s="547">
        <v>4680115882607</v>
      </c>
      <c r="E211" s="548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2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0"/>
      <c r="R211" s="550"/>
      <c r="S211" s="550"/>
      <c r="T211" s="551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346</v>
      </c>
      <c r="B212" s="54" t="s">
        <v>347</v>
      </c>
      <c r="C212" s="31">
        <v>4301051666</v>
      </c>
      <c r="D212" s="547">
        <v>4680115880092</v>
      </c>
      <c r="E212" s="548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5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340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348</v>
      </c>
      <c r="B213" s="54" t="s">
        <v>349</v>
      </c>
      <c r="C213" s="31">
        <v>4301051668</v>
      </c>
      <c r="D213" s="547">
        <v>4680115880221</v>
      </c>
      <c r="E213" s="548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57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0"/>
      <c r="R213" s="550"/>
      <c r="S213" s="550"/>
      <c r="T213" s="551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340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350</v>
      </c>
      <c r="B214" s="54" t="s">
        <v>351</v>
      </c>
      <c r="C214" s="31">
        <v>4301051945</v>
      </c>
      <c r="D214" s="547">
        <v>4680115880504</v>
      </c>
      <c r="E214" s="548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0"/>
      <c r="R214" s="550"/>
      <c r="S214" s="550"/>
      <c r="T214" s="551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4301051410</v>
      </c>
      <c r="D215" s="547">
        <v>4680115882164</v>
      </c>
      <c r="E215" s="548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5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3">
        <v>0</v>
      </c>
      <c r="Y215" s="544">
        <f t="shared" si="15"/>
        <v>0</v>
      </c>
      <c r="Z215" s="36" t="str">
        <f t="shared" si="20"/>
        <v/>
      </c>
      <c r="AA215" s="56"/>
      <c r="AB215" s="57"/>
      <c r="AC215" s="261" t="s">
        <v>337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idden="1" x14ac:dyDescent="0.2">
      <c r="A216" s="553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61" t="s">
        <v>71</v>
      </c>
      <c r="Q216" s="562"/>
      <c r="R216" s="562"/>
      <c r="S216" s="562"/>
      <c r="T216" s="562"/>
      <c r="U216" s="562"/>
      <c r="V216" s="563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0</v>
      </c>
      <c r="Y216" s="545">
        <f>IFERROR(Y207/H207,"0")+IFERROR(Y208/H208,"0")+IFERROR(Y209/H209,"0")+IFERROR(Y210/H210,"0")+IFERROR(Y211/H211,"0")+IFERROR(Y212/H212,"0")+IFERROR(Y213/H213,"0")+IFERROR(Y214/H214,"0")+IFERROR(Y215/H215,"0")</f>
        <v>0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6"/>
      <c r="AB216" s="546"/>
      <c r="AC216" s="546"/>
    </row>
    <row r="217" spans="1:68" hidden="1" x14ac:dyDescent="0.2">
      <c r="A217" s="554"/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5"/>
      <c r="P217" s="561" t="s">
        <v>71</v>
      </c>
      <c r="Q217" s="562"/>
      <c r="R217" s="562"/>
      <c r="S217" s="562"/>
      <c r="T217" s="562"/>
      <c r="U217" s="562"/>
      <c r="V217" s="563"/>
      <c r="W217" s="37" t="s">
        <v>69</v>
      </c>
      <c r="X217" s="545">
        <f>IFERROR(SUM(X207:X215),"0")</f>
        <v>0</v>
      </c>
      <c r="Y217" s="545">
        <f>IFERROR(SUM(Y207:Y215),"0")</f>
        <v>0</v>
      </c>
      <c r="Z217" s="37"/>
      <c r="AA217" s="546"/>
      <c r="AB217" s="546"/>
      <c r="AC217" s="546"/>
    </row>
    <row r="218" spans="1:68" ht="14.25" hidden="1" customHeight="1" x14ac:dyDescent="0.25">
      <c r="A218" s="559" t="s">
        <v>164</v>
      </c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537"/>
      <c r="AB218" s="537"/>
      <c r="AC218" s="537"/>
    </row>
    <row r="219" spans="1:68" ht="27" hidden="1" customHeight="1" x14ac:dyDescent="0.25">
      <c r="A219" s="54" t="s">
        <v>355</v>
      </c>
      <c r="B219" s="54" t="s">
        <v>356</v>
      </c>
      <c r="C219" s="31">
        <v>4301060463</v>
      </c>
      <c r="D219" s="547">
        <v>4680115880818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70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358</v>
      </c>
      <c r="B220" s="54" t="s">
        <v>359</v>
      </c>
      <c r="C220" s="31">
        <v>4301060389</v>
      </c>
      <c r="D220" s="547">
        <v>4680115880801</v>
      </c>
      <c r="E220" s="548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53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61" t="s">
        <v>71</v>
      </c>
      <c r="Q221" s="562"/>
      <c r="R221" s="562"/>
      <c r="S221" s="562"/>
      <c r="T221" s="562"/>
      <c r="U221" s="562"/>
      <c r="V221" s="563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hidden="1" x14ac:dyDescent="0.2">
      <c r="A222" s="554"/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5"/>
      <c r="P222" s="561" t="s">
        <v>71</v>
      </c>
      <c r="Q222" s="562"/>
      <c r="R222" s="562"/>
      <c r="S222" s="562"/>
      <c r="T222" s="562"/>
      <c r="U222" s="562"/>
      <c r="V222" s="563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hidden="1" customHeight="1" x14ac:dyDescent="0.25">
      <c r="A223" s="558" t="s">
        <v>361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8"/>
      <c r="AB223" s="538"/>
      <c r="AC223" s="538"/>
    </row>
    <row r="224" spans="1:68" ht="14.25" hidden="1" customHeight="1" x14ac:dyDescent="0.25">
      <c r="A224" s="559" t="s">
        <v>101</v>
      </c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537"/>
      <c r="AB224" s="537"/>
      <c r="AC224" s="537"/>
    </row>
    <row r="225" spans="1:68" ht="27" hidden="1" customHeight="1" x14ac:dyDescent="0.25">
      <c r="A225" s="54" t="s">
        <v>362</v>
      </c>
      <c r="B225" s="54" t="s">
        <v>363</v>
      </c>
      <c r="C225" s="31">
        <v>4301011826</v>
      </c>
      <c r="D225" s="547">
        <v>4680115884137</v>
      </c>
      <c r="E225" s="548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7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365</v>
      </c>
      <c r="B226" s="54" t="s">
        <v>366</v>
      </c>
      <c r="C226" s="31">
        <v>4301011724</v>
      </c>
      <c r="D226" s="547">
        <v>4680115884236</v>
      </c>
      <c r="E226" s="548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8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3">
        <v>10</v>
      </c>
      <c r="Y226" s="544">
        <f t="shared" si="21"/>
        <v>11.6</v>
      </c>
      <c r="Z226" s="36">
        <f>IFERROR(IF(Y226=0,"",ROUNDUP(Y226/H226,0)*0.01898),"")</f>
        <v>1.898E-2</v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10.353448275862069</v>
      </c>
      <c r="BN226" s="64">
        <f t="shared" si="23"/>
        <v>12.01</v>
      </c>
      <c r="BO226" s="64">
        <f t="shared" si="24"/>
        <v>1.3469827586206897E-2</v>
      </c>
      <c r="BP226" s="64">
        <f t="shared" si="25"/>
        <v>1.5625E-2</v>
      </c>
    </row>
    <row r="227" spans="1:68" ht="27" hidden="1" customHeight="1" x14ac:dyDescent="0.25">
      <c r="A227" s="54" t="s">
        <v>368</v>
      </c>
      <c r="B227" s="54" t="s">
        <v>369</v>
      </c>
      <c r="C227" s="31">
        <v>4301011721</v>
      </c>
      <c r="D227" s="547">
        <v>4680115884175</v>
      </c>
      <c r="E227" s="548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371</v>
      </c>
      <c r="B228" s="54" t="s">
        <v>372</v>
      </c>
      <c r="C228" s="31">
        <v>4301011824</v>
      </c>
      <c r="D228" s="547">
        <v>4680115884144</v>
      </c>
      <c r="E228" s="548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84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0"/>
      <c r="R228" s="550"/>
      <c r="S228" s="550"/>
      <c r="T228" s="551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371</v>
      </c>
      <c r="B229" s="54" t="s">
        <v>373</v>
      </c>
      <c r="C229" s="31">
        <v>4301012196</v>
      </c>
      <c r="D229" s="547">
        <v>4680115884144</v>
      </c>
      <c r="E229" s="548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81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0"/>
      <c r="R229" s="550"/>
      <c r="S229" s="550"/>
      <c r="T229" s="551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374</v>
      </c>
      <c r="B230" s="54" t="s">
        <v>375</v>
      </c>
      <c r="C230" s="31">
        <v>4301012149</v>
      </c>
      <c r="D230" s="547">
        <v>4680115886551</v>
      </c>
      <c r="E230" s="548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1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377</v>
      </c>
      <c r="B231" s="54" t="s">
        <v>378</v>
      </c>
      <c r="C231" s="31">
        <v>4301011726</v>
      </c>
      <c r="D231" s="547">
        <v>4680115884182</v>
      </c>
      <c r="E231" s="548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379</v>
      </c>
      <c r="B232" s="54" t="s">
        <v>380</v>
      </c>
      <c r="C232" s="31">
        <v>4301012228</v>
      </c>
      <c r="D232" s="547">
        <v>4680115887282</v>
      </c>
      <c r="E232" s="548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66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381</v>
      </c>
      <c r="B233" s="54" t="s">
        <v>382</v>
      </c>
      <c r="C233" s="31">
        <v>4301011722</v>
      </c>
      <c r="D233" s="547">
        <v>4680115884205</v>
      </c>
      <c r="E233" s="548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381</v>
      </c>
      <c r="B234" s="54" t="s">
        <v>383</v>
      </c>
      <c r="C234" s="31">
        <v>4301012195</v>
      </c>
      <c r="D234" s="547">
        <v>4680115884205</v>
      </c>
      <c r="E234" s="548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60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3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61" t="s">
        <v>71</v>
      </c>
      <c r="Q235" s="562"/>
      <c r="R235" s="562"/>
      <c r="S235" s="562"/>
      <c r="T235" s="562"/>
      <c r="U235" s="562"/>
      <c r="V235" s="563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0.86206896551724144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1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1.898E-2</v>
      </c>
      <c r="AA235" s="546"/>
      <c r="AB235" s="546"/>
      <c r="AC235" s="546"/>
    </row>
    <row r="236" spans="1:68" x14ac:dyDescent="0.2">
      <c r="A236" s="554"/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5"/>
      <c r="P236" s="561" t="s">
        <v>71</v>
      </c>
      <c r="Q236" s="562"/>
      <c r="R236" s="562"/>
      <c r="S236" s="562"/>
      <c r="T236" s="562"/>
      <c r="U236" s="562"/>
      <c r="V236" s="563"/>
      <c r="W236" s="37" t="s">
        <v>69</v>
      </c>
      <c r="X236" s="545">
        <f>IFERROR(SUM(X225:X234),"0")</f>
        <v>10</v>
      </c>
      <c r="Y236" s="545">
        <f>IFERROR(SUM(Y225:Y234),"0")</f>
        <v>11.6</v>
      </c>
      <c r="Z236" s="37"/>
      <c r="AA236" s="546"/>
      <c r="AB236" s="546"/>
      <c r="AC236" s="546"/>
    </row>
    <row r="237" spans="1:68" ht="14.25" hidden="1" customHeight="1" x14ac:dyDescent="0.25">
      <c r="A237" s="559" t="s">
        <v>136</v>
      </c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537"/>
      <c r="AB237" s="537"/>
      <c r="AC237" s="537"/>
    </row>
    <row r="238" spans="1:68" ht="27" hidden="1" customHeight="1" x14ac:dyDescent="0.25">
      <c r="A238" s="54" t="s">
        <v>384</v>
      </c>
      <c r="B238" s="54" t="s">
        <v>385</v>
      </c>
      <c r="C238" s="31">
        <v>4301020377</v>
      </c>
      <c r="D238" s="547">
        <v>4680115885981</v>
      </c>
      <c r="E238" s="548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4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3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61" t="s">
        <v>71</v>
      </c>
      <c r="Q239" s="562"/>
      <c r="R239" s="562"/>
      <c r="S239" s="562"/>
      <c r="T239" s="562"/>
      <c r="U239" s="562"/>
      <c r="V239" s="563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hidden="1" x14ac:dyDescent="0.2">
      <c r="A240" s="554"/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5"/>
      <c r="P240" s="561" t="s">
        <v>71</v>
      </c>
      <c r="Q240" s="562"/>
      <c r="R240" s="562"/>
      <c r="S240" s="562"/>
      <c r="T240" s="562"/>
      <c r="U240" s="562"/>
      <c r="V240" s="563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hidden="1" customHeight="1" x14ac:dyDescent="0.25">
      <c r="A241" s="559" t="s">
        <v>387</v>
      </c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537"/>
      <c r="AB241" s="537"/>
      <c r="AC241" s="537"/>
    </row>
    <row r="242" spans="1:68" ht="27" hidden="1" customHeight="1" x14ac:dyDescent="0.25">
      <c r="A242" s="54" t="s">
        <v>388</v>
      </c>
      <c r="B242" s="54" t="s">
        <v>389</v>
      </c>
      <c r="C242" s="31">
        <v>4301040362</v>
      </c>
      <c r="D242" s="547">
        <v>4680115886803</v>
      </c>
      <c r="E242" s="548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3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3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61" t="s">
        <v>71</v>
      </c>
      <c r="Q243" s="562"/>
      <c r="R243" s="562"/>
      <c r="S243" s="562"/>
      <c r="T243" s="562"/>
      <c r="U243" s="562"/>
      <c r="V243" s="563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hidden="1" x14ac:dyDescent="0.2">
      <c r="A244" s="554"/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5"/>
      <c r="P244" s="561" t="s">
        <v>71</v>
      </c>
      <c r="Q244" s="562"/>
      <c r="R244" s="562"/>
      <c r="S244" s="562"/>
      <c r="T244" s="562"/>
      <c r="U244" s="562"/>
      <c r="V244" s="563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hidden="1" customHeight="1" x14ac:dyDescent="0.25">
      <c r="A245" s="559" t="s">
        <v>391</v>
      </c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537"/>
      <c r="AB245" s="537"/>
      <c r="AC245" s="537"/>
    </row>
    <row r="246" spans="1:68" ht="27" hidden="1" customHeight="1" x14ac:dyDescent="0.25">
      <c r="A246" s="54" t="s">
        <v>392</v>
      </c>
      <c r="B246" s="54" t="s">
        <v>393</v>
      </c>
      <c r="C246" s="31">
        <v>4301041004</v>
      </c>
      <c r="D246" s="547">
        <v>4680115886704</v>
      </c>
      <c r="E246" s="548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7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395</v>
      </c>
      <c r="B247" s="54" t="s">
        <v>396</v>
      </c>
      <c r="C247" s="31">
        <v>4301041008</v>
      </c>
      <c r="D247" s="547">
        <v>4680115886681</v>
      </c>
      <c r="E247" s="548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0"/>
      <c r="R247" s="550"/>
      <c r="S247" s="550"/>
      <c r="T247" s="551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397</v>
      </c>
      <c r="B248" s="54" t="s">
        <v>398</v>
      </c>
      <c r="C248" s="31">
        <v>4301041007</v>
      </c>
      <c r="D248" s="547">
        <v>4680115886735</v>
      </c>
      <c r="E248" s="548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399</v>
      </c>
      <c r="B249" s="54" t="s">
        <v>400</v>
      </c>
      <c r="C249" s="31">
        <v>4301041006</v>
      </c>
      <c r="D249" s="547">
        <v>4680115886728</v>
      </c>
      <c r="E249" s="548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0"/>
      <c r="R249" s="550"/>
      <c r="S249" s="550"/>
      <c r="T249" s="551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401</v>
      </c>
      <c r="B250" s="54" t="s">
        <v>402</v>
      </c>
      <c r="C250" s="31">
        <v>4301041005</v>
      </c>
      <c r="D250" s="547">
        <v>4680115886711</v>
      </c>
      <c r="E250" s="548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59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53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61" t="s">
        <v>71</v>
      </c>
      <c r="Q251" s="562"/>
      <c r="R251" s="562"/>
      <c r="S251" s="562"/>
      <c r="T251" s="562"/>
      <c r="U251" s="562"/>
      <c r="V251" s="563"/>
      <c r="W251" s="37" t="s">
        <v>72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hidden="1" x14ac:dyDescent="0.2">
      <c r="A252" s="554"/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5"/>
      <c r="P252" s="561" t="s">
        <v>71</v>
      </c>
      <c r="Q252" s="562"/>
      <c r="R252" s="562"/>
      <c r="S252" s="562"/>
      <c r="T252" s="562"/>
      <c r="U252" s="562"/>
      <c r="V252" s="563"/>
      <c r="W252" s="37" t="s">
        <v>69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hidden="1" customHeight="1" x14ac:dyDescent="0.25">
      <c r="A253" s="558" t="s">
        <v>403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8"/>
      <c r="AB253" s="538"/>
      <c r="AC253" s="538"/>
    </row>
    <row r="254" spans="1:68" ht="14.25" hidden="1" customHeight="1" x14ac:dyDescent="0.25">
      <c r="A254" s="559" t="s">
        <v>101</v>
      </c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537"/>
      <c r="AB254" s="537"/>
      <c r="AC254" s="537"/>
    </row>
    <row r="255" spans="1:68" ht="27" hidden="1" customHeight="1" x14ac:dyDescent="0.25">
      <c r="A255" s="54" t="s">
        <v>404</v>
      </c>
      <c r="B255" s="54" t="s">
        <v>405</v>
      </c>
      <c r="C255" s="31">
        <v>4301011855</v>
      </c>
      <c r="D255" s="547">
        <v>4680115885837</v>
      </c>
      <c r="E255" s="548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6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407</v>
      </c>
      <c r="B256" s="54" t="s">
        <v>408</v>
      </c>
      <c r="C256" s="31">
        <v>4301011853</v>
      </c>
      <c r="D256" s="547">
        <v>4680115885851</v>
      </c>
      <c r="E256" s="548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6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410</v>
      </c>
      <c r="B257" s="54" t="s">
        <v>411</v>
      </c>
      <c r="C257" s="31">
        <v>4301011850</v>
      </c>
      <c r="D257" s="547">
        <v>4680115885806</v>
      </c>
      <c r="E257" s="548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7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0"/>
      <c r="R257" s="550"/>
      <c r="S257" s="550"/>
      <c r="T257" s="551"/>
      <c r="U257" s="34"/>
      <c r="V257" s="34"/>
      <c r="W257" s="35" t="s">
        <v>69</v>
      </c>
      <c r="X257" s="543">
        <v>10</v>
      </c>
      <c r="Y257" s="544">
        <f>IFERROR(IF(X257="",0,CEILING((X257/$H257),1)*$H257),"")</f>
        <v>10.8</v>
      </c>
      <c r="Z257" s="36">
        <f>IFERROR(IF(Y257=0,"",ROUNDUP(Y257/H257,0)*0.01898),"")</f>
        <v>1.898E-2</v>
      </c>
      <c r="AA257" s="56"/>
      <c r="AB257" s="57"/>
      <c r="AC257" s="305" t="s">
        <v>412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10.37962962962963</v>
      </c>
      <c r="BN257" s="64">
        <f>IFERROR(Y257*I257/H257,"0")</f>
        <v>11.21</v>
      </c>
      <c r="BO257" s="64">
        <f>IFERROR(1/J257*(X257/H257),"0")</f>
        <v>1.4467592592592591E-2</v>
      </c>
      <c r="BP257" s="64">
        <f>IFERROR(1/J257*(Y257/H257),"0")</f>
        <v>1.5625E-2</v>
      </c>
    </row>
    <row r="258" spans="1:68" ht="27" hidden="1" customHeight="1" x14ac:dyDescent="0.25">
      <c r="A258" s="54" t="s">
        <v>413</v>
      </c>
      <c r="B258" s="54" t="s">
        <v>414</v>
      </c>
      <c r="C258" s="31">
        <v>4301011852</v>
      </c>
      <c r="D258" s="547">
        <v>4680115885844</v>
      </c>
      <c r="E258" s="548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86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0"/>
      <c r="R258" s="550"/>
      <c r="S258" s="550"/>
      <c r="T258" s="551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416</v>
      </c>
      <c r="B259" s="54" t="s">
        <v>417</v>
      </c>
      <c r="C259" s="31">
        <v>4301011851</v>
      </c>
      <c r="D259" s="547">
        <v>4680115885820</v>
      </c>
      <c r="E259" s="548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62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3">
        <v>4</v>
      </c>
      <c r="Y259" s="544">
        <f>IFERROR(IF(X259="",0,CEILING((X259/$H259),1)*$H259),"")</f>
        <v>4</v>
      </c>
      <c r="Z259" s="36">
        <f>IFERROR(IF(Y259=0,"",ROUNDUP(Y259/H259,0)*0.00902),"")</f>
        <v>9.0200000000000002E-3</v>
      </c>
      <c r="AA259" s="56"/>
      <c r="AB259" s="57"/>
      <c r="AC259" s="309" t="s">
        <v>418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4.1900000000000004</v>
      </c>
      <c r="BN259" s="64">
        <f>IFERROR(Y259*I259/H259,"0")</f>
        <v>4.1900000000000004</v>
      </c>
      <c r="BO259" s="64">
        <f>IFERROR(1/J259*(X259/H259),"0")</f>
        <v>7.575757575757576E-3</v>
      </c>
      <c r="BP259" s="64">
        <f>IFERROR(1/J259*(Y259/H259),"0")</f>
        <v>7.575757575757576E-3</v>
      </c>
    </row>
    <row r="260" spans="1:68" x14ac:dyDescent="0.2">
      <c r="A260" s="553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61" t="s">
        <v>71</v>
      </c>
      <c r="Q260" s="562"/>
      <c r="R260" s="562"/>
      <c r="S260" s="562"/>
      <c r="T260" s="562"/>
      <c r="U260" s="562"/>
      <c r="V260" s="563"/>
      <c r="W260" s="37" t="s">
        <v>72</v>
      </c>
      <c r="X260" s="545">
        <f>IFERROR(X255/H255,"0")+IFERROR(X256/H256,"0")+IFERROR(X257/H257,"0")+IFERROR(X258/H258,"0")+IFERROR(X259/H259,"0")</f>
        <v>1.9259259259259258</v>
      </c>
      <c r="Y260" s="545">
        <f>IFERROR(Y255/H255,"0")+IFERROR(Y256/H256,"0")+IFERROR(Y257/H257,"0")+IFERROR(Y258/H258,"0")+IFERROR(Y259/H259,"0")</f>
        <v>2</v>
      </c>
      <c r="Z260" s="545">
        <f>IFERROR(IF(Z255="",0,Z255),"0")+IFERROR(IF(Z256="",0,Z256),"0")+IFERROR(IF(Z257="",0,Z257),"0")+IFERROR(IF(Z258="",0,Z258),"0")+IFERROR(IF(Z259="",0,Z259),"0")</f>
        <v>2.8000000000000001E-2</v>
      </c>
      <c r="AA260" s="546"/>
      <c r="AB260" s="546"/>
      <c r="AC260" s="546"/>
    </row>
    <row r="261" spans="1:68" x14ac:dyDescent="0.2">
      <c r="A261" s="554"/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5"/>
      <c r="P261" s="561" t="s">
        <v>71</v>
      </c>
      <c r="Q261" s="562"/>
      <c r="R261" s="562"/>
      <c r="S261" s="562"/>
      <c r="T261" s="562"/>
      <c r="U261" s="562"/>
      <c r="V261" s="563"/>
      <c r="W261" s="37" t="s">
        <v>69</v>
      </c>
      <c r="X261" s="545">
        <f>IFERROR(SUM(X255:X259),"0")</f>
        <v>14</v>
      </c>
      <c r="Y261" s="545">
        <f>IFERROR(SUM(Y255:Y259),"0")</f>
        <v>14.8</v>
      </c>
      <c r="Z261" s="37"/>
      <c r="AA261" s="546"/>
      <c r="AB261" s="546"/>
      <c r="AC261" s="546"/>
    </row>
    <row r="262" spans="1:68" ht="16.5" hidden="1" customHeight="1" x14ac:dyDescent="0.25">
      <c r="A262" s="558" t="s">
        <v>419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8"/>
      <c r="AB262" s="538"/>
      <c r="AC262" s="538"/>
    </row>
    <row r="263" spans="1:68" ht="14.25" hidden="1" customHeight="1" x14ac:dyDescent="0.25">
      <c r="A263" s="559" t="s">
        <v>101</v>
      </c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537"/>
      <c r="AB263" s="537"/>
      <c r="AC263" s="537"/>
    </row>
    <row r="264" spans="1:68" ht="27" hidden="1" customHeight="1" x14ac:dyDescent="0.25">
      <c r="A264" s="54" t="s">
        <v>420</v>
      </c>
      <c r="B264" s="54" t="s">
        <v>421</v>
      </c>
      <c r="C264" s="31">
        <v>4301011223</v>
      </c>
      <c r="D264" s="547">
        <v>4607091383423</v>
      </c>
      <c r="E264" s="548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66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0"/>
      <c r="R264" s="550"/>
      <c r="S264" s="550"/>
      <c r="T264" s="551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422</v>
      </c>
      <c r="B265" s="54" t="s">
        <v>423</v>
      </c>
      <c r="C265" s="31">
        <v>4301012199</v>
      </c>
      <c r="D265" s="547">
        <v>4680115886957</v>
      </c>
      <c r="E265" s="548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61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425</v>
      </c>
      <c r="B266" s="54" t="s">
        <v>426</v>
      </c>
      <c r="C266" s="31">
        <v>4301012098</v>
      </c>
      <c r="D266" s="547">
        <v>4680115885660</v>
      </c>
      <c r="E266" s="548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62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0"/>
      <c r="R266" s="550"/>
      <c r="S266" s="550"/>
      <c r="T266" s="551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427</v>
      </c>
      <c r="B267" s="54" t="s">
        <v>428</v>
      </c>
      <c r="C267" s="31">
        <v>4301012176</v>
      </c>
      <c r="D267" s="547">
        <v>4680115886773</v>
      </c>
      <c r="E267" s="548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0"/>
      <c r="R267" s="550"/>
      <c r="S267" s="550"/>
      <c r="T267" s="551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3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61" t="s">
        <v>71</v>
      </c>
      <c r="Q268" s="562"/>
      <c r="R268" s="562"/>
      <c r="S268" s="562"/>
      <c r="T268" s="562"/>
      <c r="U268" s="562"/>
      <c r="V268" s="563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hidden="1" x14ac:dyDescent="0.2">
      <c r="A269" s="554"/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5"/>
      <c r="P269" s="561" t="s">
        <v>71</v>
      </c>
      <c r="Q269" s="562"/>
      <c r="R269" s="562"/>
      <c r="S269" s="562"/>
      <c r="T269" s="562"/>
      <c r="U269" s="562"/>
      <c r="V269" s="563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hidden="1" customHeight="1" x14ac:dyDescent="0.25">
      <c r="A270" s="558" t="s">
        <v>430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8"/>
      <c r="AB270" s="538"/>
      <c r="AC270" s="538"/>
    </row>
    <row r="271" spans="1:68" ht="14.25" hidden="1" customHeight="1" x14ac:dyDescent="0.25">
      <c r="A271" s="559" t="s">
        <v>73</v>
      </c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37"/>
      <c r="AB271" s="537"/>
      <c r="AC271" s="537"/>
    </row>
    <row r="272" spans="1:68" ht="27" hidden="1" customHeight="1" x14ac:dyDescent="0.25">
      <c r="A272" s="54" t="s">
        <v>431</v>
      </c>
      <c r="B272" s="54" t="s">
        <v>432</v>
      </c>
      <c r="C272" s="31">
        <v>4301051893</v>
      </c>
      <c r="D272" s="547">
        <v>4680115886186</v>
      </c>
      <c r="E272" s="548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7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434</v>
      </c>
      <c r="B273" s="54" t="s">
        <v>435</v>
      </c>
      <c r="C273" s="31">
        <v>4301051795</v>
      </c>
      <c r="D273" s="547">
        <v>4680115881228</v>
      </c>
      <c r="E273" s="548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63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436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437</v>
      </c>
      <c r="B274" s="54" t="s">
        <v>438</v>
      </c>
      <c r="C274" s="31">
        <v>4301051388</v>
      </c>
      <c r="D274" s="547">
        <v>4680115881211</v>
      </c>
      <c r="E274" s="548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76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0"/>
      <c r="R274" s="550"/>
      <c r="S274" s="550"/>
      <c r="T274" s="551"/>
      <c r="U274" s="34"/>
      <c r="V274" s="34"/>
      <c r="W274" s="35" t="s">
        <v>69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53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61" t="s">
        <v>71</v>
      </c>
      <c r="Q275" s="562"/>
      <c r="R275" s="562"/>
      <c r="S275" s="562"/>
      <c r="T275" s="562"/>
      <c r="U275" s="562"/>
      <c r="V275" s="563"/>
      <c r="W275" s="37" t="s">
        <v>72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hidden="1" x14ac:dyDescent="0.2">
      <c r="A276" s="554"/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5"/>
      <c r="P276" s="561" t="s">
        <v>71</v>
      </c>
      <c r="Q276" s="562"/>
      <c r="R276" s="562"/>
      <c r="S276" s="562"/>
      <c r="T276" s="562"/>
      <c r="U276" s="562"/>
      <c r="V276" s="563"/>
      <c r="W276" s="37" t="s">
        <v>69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hidden="1" customHeight="1" x14ac:dyDescent="0.25">
      <c r="A277" s="558" t="s">
        <v>439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8"/>
      <c r="AB277" s="538"/>
      <c r="AC277" s="538"/>
    </row>
    <row r="278" spans="1:68" ht="14.25" hidden="1" customHeight="1" x14ac:dyDescent="0.25">
      <c r="A278" s="559" t="s">
        <v>64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537"/>
      <c r="AB278" s="537"/>
      <c r="AC278" s="537"/>
    </row>
    <row r="279" spans="1:68" ht="27" hidden="1" customHeight="1" x14ac:dyDescent="0.25">
      <c r="A279" s="54" t="s">
        <v>440</v>
      </c>
      <c r="B279" s="54" t="s">
        <v>441</v>
      </c>
      <c r="C279" s="31">
        <v>4301031307</v>
      </c>
      <c r="D279" s="547">
        <v>4680115880344</v>
      </c>
      <c r="E279" s="548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0"/>
      <c r="R279" s="550"/>
      <c r="S279" s="550"/>
      <c r="T279" s="551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443</v>
      </c>
      <c r="B280" s="54" t="s">
        <v>444</v>
      </c>
      <c r="C280" s="31">
        <v>4301031429</v>
      </c>
      <c r="D280" s="547">
        <v>4680115886919</v>
      </c>
      <c r="E280" s="548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0"/>
      <c r="R280" s="550"/>
      <c r="S280" s="550"/>
      <c r="T280" s="551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3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61" t="s">
        <v>71</v>
      </c>
      <c r="Q281" s="562"/>
      <c r="R281" s="562"/>
      <c r="S281" s="562"/>
      <c r="T281" s="562"/>
      <c r="U281" s="562"/>
      <c r="V281" s="563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hidden="1" x14ac:dyDescent="0.2">
      <c r="A282" s="554"/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5"/>
      <c r="P282" s="561" t="s">
        <v>71</v>
      </c>
      <c r="Q282" s="562"/>
      <c r="R282" s="562"/>
      <c r="S282" s="562"/>
      <c r="T282" s="562"/>
      <c r="U282" s="562"/>
      <c r="V282" s="563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hidden="1" customHeight="1" x14ac:dyDescent="0.25">
      <c r="A283" s="559" t="s">
        <v>73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537"/>
      <c r="AB283" s="537"/>
      <c r="AC283" s="537"/>
    </row>
    <row r="284" spans="1:68" ht="27" hidden="1" customHeight="1" x14ac:dyDescent="0.25">
      <c r="A284" s="54" t="s">
        <v>446</v>
      </c>
      <c r="B284" s="54" t="s">
        <v>447</v>
      </c>
      <c r="C284" s="31">
        <v>4301052057</v>
      </c>
      <c r="D284" s="547">
        <v>4680115887114</v>
      </c>
      <c r="E284" s="548"/>
      <c r="F284" s="542">
        <v>0.55000000000000004</v>
      </c>
      <c r="G284" s="32">
        <v>6</v>
      </c>
      <c r="H284" s="542">
        <v>3.3</v>
      </c>
      <c r="I284" s="542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49" t="s">
        <v>448</v>
      </c>
      <c r="Q284" s="550"/>
      <c r="R284" s="550"/>
      <c r="S284" s="550"/>
      <c r="T284" s="551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hidden="1" customHeight="1" x14ac:dyDescent="0.25">
      <c r="A285" s="54" t="s">
        <v>450</v>
      </c>
      <c r="B285" s="54" t="s">
        <v>451</v>
      </c>
      <c r="C285" s="31">
        <v>4301051782</v>
      </c>
      <c r="D285" s="547">
        <v>4680115884618</v>
      </c>
      <c r="E285" s="548"/>
      <c r="F285" s="542">
        <v>0.6</v>
      </c>
      <c r="G285" s="32">
        <v>6</v>
      </c>
      <c r="H285" s="542">
        <v>3.6</v>
      </c>
      <c r="I285" s="542">
        <v>3.79</v>
      </c>
      <c r="J285" s="32">
        <v>132</v>
      </c>
      <c r="K285" s="32" t="s">
        <v>110</v>
      </c>
      <c r="L285" s="32" t="s">
        <v>111</v>
      </c>
      <c r="M285" s="33" t="s">
        <v>77</v>
      </c>
      <c r="N285" s="33"/>
      <c r="O285" s="32">
        <v>45</v>
      </c>
      <c r="P285" s="70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50"/>
      <c r="R285" s="550"/>
      <c r="S285" s="550"/>
      <c r="T285" s="551"/>
      <c r="U285" s="34"/>
      <c r="V285" s="34"/>
      <c r="W285" s="35" t="s">
        <v>69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 t="s">
        <v>90</v>
      </c>
      <c r="AK285" s="68">
        <v>43.2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3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61" t="s">
        <v>71</v>
      </c>
      <c r="Q286" s="562"/>
      <c r="R286" s="562"/>
      <c r="S286" s="562"/>
      <c r="T286" s="562"/>
      <c r="U286" s="562"/>
      <c r="V286" s="563"/>
      <c r="W286" s="37" t="s">
        <v>72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hidden="1" x14ac:dyDescent="0.2">
      <c r="A287" s="554"/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5"/>
      <c r="P287" s="561" t="s">
        <v>71</v>
      </c>
      <c r="Q287" s="562"/>
      <c r="R287" s="562"/>
      <c r="S287" s="562"/>
      <c r="T287" s="562"/>
      <c r="U287" s="562"/>
      <c r="V287" s="563"/>
      <c r="W287" s="37" t="s">
        <v>69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6.5" hidden="1" customHeight="1" x14ac:dyDescent="0.25">
      <c r="A288" s="558" t="s">
        <v>453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8"/>
      <c r="AB288" s="538"/>
      <c r="AC288" s="538"/>
    </row>
    <row r="289" spans="1:68" ht="14.25" hidden="1" customHeight="1" x14ac:dyDescent="0.25">
      <c r="A289" s="559" t="s">
        <v>101</v>
      </c>
      <c r="B289" s="554"/>
      <c r="C289" s="554"/>
      <c r="D289" s="554"/>
      <c r="E289" s="554"/>
      <c r="F289" s="554"/>
      <c r="G289" s="554"/>
      <c r="H289" s="554"/>
      <c r="I289" s="554"/>
      <c r="J289" s="554"/>
      <c r="K289" s="554"/>
      <c r="L289" s="554"/>
      <c r="M289" s="554"/>
      <c r="N289" s="554"/>
      <c r="O289" s="554"/>
      <c r="P289" s="554"/>
      <c r="Q289" s="554"/>
      <c r="R289" s="554"/>
      <c r="S289" s="554"/>
      <c r="T289" s="554"/>
      <c r="U289" s="554"/>
      <c r="V289" s="554"/>
      <c r="W289" s="554"/>
      <c r="X289" s="554"/>
      <c r="Y289" s="554"/>
      <c r="Z289" s="554"/>
      <c r="AA289" s="537"/>
      <c r="AB289" s="537"/>
      <c r="AC289" s="537"/>
    </row>
    <row r="290" spans="1:68" ht="27" hidden="1" customHeight="1" x14ac:dyDescent="0.25">
      <c r="A290" s="54" t="s">
        <v>454</v>
      </c>
      <c r="B290" s="54" t="s">
        <v>455</v>
      </c>
      <c r="C290" s="31">
        <v>4301012126</v>
      </c>
      <c r="D290" s="547">
        <v>4607091386004</v>
      </c>
      <c r="E290" s="548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104</v>
      </c>
      <c r="L290" s="32"/>
      <c r="M290" s="33" t="s">
        <v>106</v>
      </c>
      <c r="N290" s="33"/>
      <c r="O290" s="32">
        <v>55</v>
      </c>
      <c r="P290" s="58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3">
        <v>0</v>
      </c>
      <c r="Y290" s="544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customHeight="1" x14ac:dyDescent="0.25">
      <c r="A291" s="54" t="s">
        <v>457</v>
      </c>
      <c r="B291" s="54" t="s">
        <v>458</v>
      </c>
      <c r="C291" s="31">
        <v>4301012024</v>
      </c>
      <c r="D291" s="547">
        <v>4680115885615</v>
      </c>
      <c r="E291" s="548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104</v>
      </c>
      <c r="L291" s="32" t="s">
        <v>105</v>
      </c>
      <c r="M291" s="33" t="s">
        <v>77</v>
      </c>
      <c r="N291" s="33"/>
      <c r="O291" s="32">
        <v>55</v>
      </c>
      <c r="P291" s="84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3">
        <v>10</v>
      </c>
      <c r="Y291" s="544">
        <f t="shared" si="26"/>
        <v>10.8</v>
      </c>
      <c r="Z291" s="36">
        <f>IFERROR(IF(Y291=0,"",ROUNDUP(Y291/H291,0)*0.01898),"")</f>
        <v>1.898E-2</v>
      </c>
      <c r="AA291" s="56"/>
      <c r="AB291" s="57"/>
      <c r="AC291" s="335" t="s">
        <v>459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10.37962962962963</v>
      </c>
      <c r="BN291" s="64">
        <f t="shared" si="28"/>
        <v>11.21</v>
      </c>
      <c r="BO291" s="64">
        <f t="shared" si="29"/>
        <v>1.4467592592592591E-2</v>
      </c>
      <c r="BP291" s="64">
        <f t="shared" si="30"/>
        <v>1.5625E-2</v>
      </c>
    </row>
    <row r="292" spans="1:68" ht="37.5" hidden="1" customHeight="1" x14ac:dyDescent="0.25">
      <c r="A292" s="54" t="s">
        <v>460</v>
      </c>
      <c r="B292" s="54" t="s">
        <v>461</v>
      </c>
      <c r="C292" s="31">
        <v>4301011858</v>
      </c>
      <c r="D292" s="547">
        <v>4680115885646</v>
      </c>
      <c r="E292" s="548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104</v>
      </c>
      <c r="L292" s="32" t="s">
        <v>105</v>
      </c>
      <c r="M292" s="33" t="s">
        <v>106</v>
      </c>
      <c r="N292" s="33"/>
      <c r="O292" s="32">
        <v>55</v>
      </c>
      <c r="P292" s="85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0"/>
      <c r="R292" s="550"/>
      <c r="S292" s="550"/>
      <c r="T292" s="551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 t="s">
        <v>90</v>
      </c>
      <c r="AK292" s="68">
        <v>86.4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463</v>
      </c>
      <c r="B293" s="54" t="s">
        <v>464</v>
      </c>
      <c r="C293" s="31">
        <v>4301012016</v>
      </c>
      <c r="D293" s="547">
        <v>4680115885554</v>
      </c>
      <c r="E293" s="548"/>
      <c r="F293" s="542">
        <v>1.35</v>
      </c>
      <c r="G293" s="32">
        <v>8</v>
      </c>
      <c r="H293" s="542">
        <v>10.8</v>
      </c>
      <c r="I293" s="542">
        <v>11.21</v>
      </c>
      <c r="J293" s="32">
        <v>64</v>
      </c>
      <c r="K293" s="32" t="s">
        <v>104</v>
      </c>
      <c r="L293" s="32"/>
      <c r="M293" s="33" t="s">
        <v>77</v>
      </c>
      <c r="N293" s="33"/>
      <c r="O293" s="32">
        <v>55</v>
      </c>
      <c r="P293" s="8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0"/>
      <c r="R293" s="550"/>
      <c r="S293" s="550"/>
      <c r="T293" s="551"/>
      <c r="U293" s="34"/>
      <c r="V293" s="34"/>
      <c r="W293" s="35" t="s">
        <v>69</v>
      </c>
      <c r="X293" s="543">
        <v>80</v>
      </c>
      <c r="Y293" s="544">
        <f t="shared" si="26"/>
        <v>86.4</v>
      </c>
      <c r="Z293" s="36">
        <f>IFERROR(IF(Y293=0,"",ROUNDUP(Y293/H293,0)*0.01898),"")</f>
        <v>0.15184</v>
      </c>
      <c r="AA293" s="56"/>
      <c r="AB293" s="57"/>
      <c r="AC293" s="339" t="s">
        <v>465</v>
      </c>
      <c r="AG293" s="64"/>
      <c r="AJ293" s="68"/>
      <c r="AK293" s="68">
        <v>0</v>
      </c>
      <c r="BB293" s="340" t="s">
        <v>1</v>
      </c>
      <c r="BM293" s="64">
        <f t="shared" si="27"/>
        <v>83.037037037037038</v>
      </c>
      <c r="BN293" s="64">
        <f t="shared" si="28"/>
        <v>89.68</v>
      </c>
      <c r="BO293" s="64">
        <f t="shared" si="29"/>
        <v>0.11574074074074073</v>
      </c>
      <c r="BP293" s="64">
        <f t="shared" si="30"/>
        <v>0.125</v>
      </c>
    </row>
    <row r="294" spans="1:68" ht="27" customHeight="1" x14ac:dyDescent="0.25">
      <c r="A294" s="54" t="s">
        <v>466</v>
      </c>
      <c r="B294" s="54" t="s">
        <v>467</v>
      </c>
      <c r="C294" s="31">
        <v>4301011857</v>
      </c>
      <c r="D294" s="547">
        <v>4680115885622</v>
      </c>
      <c r="E294" s="548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4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3">
        <v>4</v>
      </c>
      <c r="Y294" s="544">
        <f t="shared" si="26"/>
        <v>4</v>
      </c>
      <c r="Z294" s="36">
        <f>IFERROR(IF(Y294=0,"",ROUNDUP(Y294/H294,0)*0.00902),"")</f>
        <v>9.0200000000000002E-3</v>
      </c>
      <c r="AA294" s="56"/>
      <c r="AB294" s="57"/>
      <c r="AC294" s="341" t="s">
        <v>459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4.1900000000000004</v>
      </c>
      <c r="BN294" s="64">
        <f t="shared" si="28"/>
        <v>4.1900000000000004</v>
      </c>
      <c r="BO294" s="64">
        <f t="shared" si="29"/>
        <v>7.575757575757576E-3</v>
      </c>
      <c r="BP294" s="64">
        <f t="shared" si="30"/>
        <v>7.575757575757576E-3</v>
      </c>
    </row>
    <row r="295" spans="1:68" ht="27" hidden="1" customHeight="1" x14ac:dyDescent="0.25">
      <c r="A295" s="54" t="s">
        <v>468</v>
      </c>
      <c r="B295" s="54" t="s">
        <v>469</v>
      </c>
      <c r="C295" s="31">
        <v>4301011859</v>
      </c>
      <c r="D295" s="547">
        <v>4680115885608</v>
      </c>
      <c r="E295" s="548"/>
      <c r="F295" s="542">
        <v>0.4</v>
      </c>
      <c r="G295" s="32">
        <v>10</v>
      </c>
      <c r="H295" s="542">
        <v>4</v>
      </c>
      <c r="I295" s="542">
        <v>4.1900000000000004</v>
      </c>
      <c r="J295" s="32">
        <v>132</v>
      </c>
      <c r="K295" s="32" t="s">
        <v>110</v>
      </c>
      <c r="L295" s="32" t="s">
        <v>111</v>
      </c>
      <c r="M295" s="33" t="s">
        <v>106</v>
      </c>
      <c r="N295" s="33"/>
      <c r="O295" s="32">
        <v>55</v>
      </c>
      <c r="P295" s="75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3">
        <v>0</v>
      </c>
      <c r="Y295" s="544">
        <f t="shared" si="26"/>
        <v>0</v>
      </c>
      <c r="Z295" s="36" t="str">
        <f>IFERROR(IF(Y295=0,"",ROUNDUP(Y295/H295,0)*0.00902),"")</f>
        <v/>
      </c>
      <c r="AA295" s="56"/>
      <c r="AB295" s="57"/>
      <c r="AC295" s="343" t="s">
        <v>470</v>
      </c>
      <c r="AG295" s="64"/>
      <c r="AJ295" s="68" t="s">
        <v>90</v>
      </c>
      <c r="AK295" s="68">
        <v>48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x14ac:dyDescent="0.2">
      <c r="A296" s="553"/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5"/>
      <c r="P296" s="561" t="s">
        <v>71</v>
      </c>
      <c r="Q296" s="562"/>
      <c r="R296" s="562"/>
      <c r="S296" s="562"/>
      <c r="T296" s="562"/>
      <c r="U296" s="562"/>
      <c r="V296" s="563"/>
      <c r="W296" s="37" t="s">
        <v>72</v>
      </c>
      <c r="X296" s="545">
        <f>IFERROR(X290/H290,"0")+IFERROR(X291/H291,"0")+IFERROR(X292/H292,"0")+IFERROR(X293/H293,"0")+IFERROR(X294/H294,"0")+IFERROR(X295/H295,"0")</f>
        <v>9.3333333333333321</v>
      </c>
      <c r="Y296" s="545">
        <f>IFERROR(Y290/H290,"0")+IFERROR(Y291/H291,"0")+IFERROR(Y292/H292,"0")+IFERROR(Y293/H293,"0")+IFERROR(Y294/H294,"0")+IFERROR(Y295/H295,"0")</f>
        <v>10</v>
      </c>
      <c r="Z296" s="545">
        <f>IFERROR(IF(Z290="",0,Z290),"0")+IFERROR(IF(Z291="",0,Z291),"0")+IFERROR(IF(Z292="",0,Z292),"0")+IFERROR(IF(Z293="",0,Z293),"0")+IFERROR(IF(Z294="",0,Z294),"0")+IFERROR(IF(Z295="",0,Z295),"0")</f>
        <v>0.17984</v>
      </c>
      <c r="AA296" s="546"/>
      <c r="AB296" s="546"/>
      <c r="AC296" s="546"/>
    </row>
    <row r="297" spans="1:68" x14ac:dyDescent="0.2">
      <c r="A297" s="554"/>
      <c r="B297" s="554"/>
      <c r="C297" s="554"/>
      <c r="D297" s="554"/>
      <c r="E297" s="554"/>
      <c r="F297" s="554"/>
      <c r="G297" s="554"/>
      <c r="H297" s="554"/>
      <c r="I297" s="554"/>
      <c r="J297" s="554"/>
      <c r="K297" s="554"/>
      <c r="L297" s="554"/>
      <c r="M297" s="554"/>
      <c r="N297" s="554"/>
      <c r="O297" s="555"/>
      <c r="P297" s="561" t="s">
        <v>71</v>
      </c>
      <c r="Q297" s="562"/>
      <c r="R297" s="562"/>
      <c r="S297" s="562"/>
      <c r="T297" s="562"/>
      <c r="U297" s="562"/>
      <c r="V297" s="563"/>
      <c r="W297" s="37" t="s">
        <v>69</v>
      </c>
      <c r="X297" s="545">
        <f>IFERROR(SUM(X290:X295),"0")</f>
        <v>94</v>
      </c>
      <c r="Y297" s="545">
        <f>IFERROR(SUM(Y290:Y295),"0")</f>
        <v>101.2</v>
      </c>
      <c r="Z297" s="37"/>
      <c r="AA297" s="546"/>
      <c r="AB297" s="546"/>
      <c r="AC297" s="546"/>
    </row>
    <row r="298" spans="1:68" ht="14.25" hidden="1" customHeight="1" x14ac:dyDescent="0.25">
      <c r="A298" s="559" t="s">
        <v>64</v>
      </c>
      <c r="B298" s="554"/>
      <c r="C298" s="554"/>
      <c r="D298" s="554"/>
      <c r="E298" s="554"/>
      <c r="F298" s="554"/>
      <c r="G298" s="554"/>
      <c r="H298" s="554"/>
      <c r="I298" s="554"/>
      <c r="J298" s="554"/>
      <c r="K298" s="554"/>
      <c r="L298" s="554"/>
      <c r="M298" s="554"/>
      <c r="N298" s="554"/>
      <c r="O298" s="554"/>
      <c r="P298" s="554"/>
      <c r="Q298" s="554"/>
      <c r="R298" s="554"/>
      <c r="S298" s="554"/>
      <c r="T298" s="554"/>
      <c r="U298" s="554"/>
      <c r="V298" s="554"/>
      <c r="W298" s="554"/>
      <c r="X298" s="554"/>
      <c r="Y298" s="554"/>
      <c r="Z298" s="554"/>
      <c r="AA298" s="537"/>
      <c r="AB298" s="537"/>
      <c r="AC298" s="537"/>
    </row>
    <row r="299" spans="1:68" ht="27" customHeight="1" x14ac:dyDescent="0.25">
      <c r="A299" s="54" t="s">
        <v>471</v>
      </c>
      <c r="B299" s="54" t="s">
        <v>472</v>
      </c>
      <c r="C299" s="31">
        <v>4301030878</v>
      </c>
      <c r="D299" s="547">
        <v>4607091387193</v>
      </c>
      <c r="E299" s="548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35</v>
      </c>
      <c r="P299" s="81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0"/>
      <c r="R299" s="550"/>
      <c r="S299" s="550"/>
      <c r="T299" s="551"/>
      <c r="U299" s="34"/>
      <c r="V299" s="34"/>
      <c r="W299" s="35" t="s">
        <v>69</v>
      </c>
      <c r="X299" s="543">
        <v>30</v>
      </c>
      <c r="Y299" s="544">
        <f t="shared" ref="Y299:Y305" si="31">IFERROR(IF(X299="",0,CEILING((X299/$H299),1)*$H299),"")</f>
        <v>33.6</v>
      </c>
      <c r="Z299" s="36">
        <f>IFERROR(IF(Y299=0,"",ROUNDUP(Y299/H299,0)*0.00902),"")</f>
        <v>7.2160000000000002E-2</v>
      </c>
      <c r="AA299" s="56"/>
      <c r="AB299" s="57"/>
      <c r="AC299" s="345" t="s">
        <v>473</v>
      </c>
      <c r="AG299" s="64"/>
      <c r="AJ299" s="68" t="s">
        <v>90</v>
      </c>
      <c r="AK299" s="68">
        <v>50.4</v>
      </c>
      <c r="BB299" s="346" t="s">
        <v>1</v>
      </c>
      <c r="BM299" s="64">
        <f t="shared" ref="BM299:BM305" si="32">IFERROR(X299*I299/H299,"0")</f>
        <v>31.785714285714285</v>
      </c>
      <c r="BN299" s="64">
        <f t="shared" ref="BN299:BN305" si="33">IFERROR(Y299*I299/H299,"0")</f>
        <v>35.6</v>
      </c>
      <c r="BO299" s="64">
        <f t="shared" ref="BO299:BO305" si="34">IFERROR(1/J299*(X299/H299),"0")</f>
        <v>5.4112554112554112E-2</v>
      </c>
      <c r="BP299" s="64">
        <f t="shared" ref="BP299:BP305" si="35">IFERROR(1/J299*(Y299/H299),"0")</f>
        <v>6.0606060606060608E-2</v>
      </c>
    </row>
    <row r="300" spans="1:68" ht="27" hidden="1" customHeight="1" x14ac:dyDescent="0.25">
      <c r="A300" s="54" t="s">
        <v>474</v>
      </c>
      <c r="B300" s="54" t="s">
        <v>475</v>
      </c>
      <c r="C300" s="31">
        <v>4301031153</v>
      </c>
      <c r="D300" s="547">
        <v>4607091387230</v>
      </c>
      <c r="E300" s="548"/>
      <c r="F300" s="542">
        <v>0.7</v>
      </c>
      <c r="G300" s="32">
        <v>6</v>
      </c>
      <c r="H300" s="542">
        <v>4.2</v>
      </c>
      <c r="I300" s="542">
        <v>4.45</v>
      </c>
      <c r="J300" s="32">
        <v>132</v>
      </c>
      <c r="K300" s="32" t="s">
        <v>110</v>
      </c>
      <c r="L300" s="32" t="s">
        <v>111</v>
      </c>
      <c r="M300" s="33" t="s">
        <v>68</v>
      </c>
      <c r="N300" s="33"/>
      <c r="O300" s="32">
        <v>40</v>
      </c>
      <c r="P300" s="69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0"/>
      <c r="R300" s="550"/>
      <c r="S300" s="550"/>
      <c r="T300" s="551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 t="s">
        <v>90</v>
      </c>
      <c r="AK300" s="68">
        <v>50.4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477</v>
      </c>
      <c r="B301" s="54" t="s">
        <v>478</v>
      </c>
      <c r="C301" s="31">
        <v>4301031154</v>
      </c>
      <c r="D301" s="547">
        <v>4607091387292</v>
      </c>
      <c r="E301" s="548"/>
      <c r="F301" s="542">
        <v>0.73</v>
      </c>
      <c r="G301" s="32">
        <v>6</v>
      </c>
      <c r="H301" s="542">
        <v>4.38</v>
      </c>
      <c r="I301" s="542">
        <v>4.63</v>
      </c>
      <c r="J301" s="32">
        <v>132</v>
      </c>
      <c r="K301" s="32" t="s">
        <v>110</v>
      </c>
      <c r="L301" s="32"/>
      <c r="M301" s="33" t="s">
        <v>68</v>
      </c>
      <c r="N301" s="33"/>
      <c r="O301" s="32">
        <v>45</v>
      </c>
      <c r="P301" s="7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0"/>
      <c r="R301" s="550"/>
      <c r="S301" s="550"/>
      <c r="T301" s="551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479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480</v>
      </c>
      <c r="B302" s="54" t="s">
        <v>481</v>
      </c>
      <c r="C302" s="31">
        <v>4301031152</v>
      </c>
      <c r="D302" s="547">
        <v>4607091387285</v>
      </c>
      <c r="E302" s="548"/>
      <c r="F302" s="542">
        <v>0.35</v>
      </c>
      <c r="G302" s="32">
        <v>6</v>
      </c>
      <c r="H302" s="542">
        <v>2.1</v>
      </c>
      <c r="I302" s="542">
        <v>2.23</v>
      </c>
      <c r="J302" s="32">
        <v>234</v>
      </c>
      <c r="K302" s="32" t="s">
        <v>67</v>
      </c>
      <c r="L302" s="32" t="s">
        <v>275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482</v>
      </c>
      <c r="B303" s="54" t="s">
        <v>483</v>
      </c>
      <c r="C303" s="31">
        <v>4301031305</v>
      </c>
      <c r="D303" s="547">
        <v>4607091389845</v>
      </c>
      <c r="E303" s="548"/>
      <c r="F303" s="542">
        <v>0.35</v>
      </c>
      <c r="G303" s="32">
        <v>6</v>
      </c>
      <c r="H303" s="542">
        <v>2.1</v>
      </c>
      <c r="I303" s="542">
        <v>2.2000000000000002</v>
      </c>
      <c r="J303" s="32">
        <v>234</v>
      </c>
      <c r="K303" s="32" t="s">
        <v>67</v>
      </c>
      <c r="L303" s="32" t="s">
        <v>275</v>
      </c>
      <c r="M303" s="33" t="s">
        <v>68</v>
      </c>
      <c r="N303" s="33"/>
      <c r="O303" s="32">
        <v>40</v>
      </c>
      <c r="P303" s="6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484</v>
      </c>
      <c r="AG303" s="64"/>
      <c r="AJ303" s="68" t="s">
        <v>90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485</v>
      </c>
      <c r="B304" s="54" t="s">
        <v>486</v>
      </c>
      <c r="C304" s="31">
        <v>4301031306</v>
      </c>
      <c r="D304" s="547">
        <v>4680115882881</v>
      </c>
      <c r="E304" s="548"/>
      <c r="F304" s="542">
        <v>0.28000000000000003</v>
      </c>
      <c r="G304" s="32">
        <v>6</v>
      </c>
      <c r="H304" s="542">
        <v>1.68</v>
      </c>
      <c r="I304" s="542">
        <v>1.81</v>
      </c>
      <c r="J304" s="32">
        <v>234</v>
      </c>
      <c r="K304" s="32" t="s">
        <v>67</v>
      </c>
      <c r="L304" s="32"/>
      <c r="M304" s="33" t="s">
        <v>68</v>
      </c>
      <c r="N304" s="33"/>
      <c r="O304" s="32">
        <v>40</v>
      </c>
      <c r="P304" s="73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4" s="550"/>
      <c r="R304" s="550"/>
      <c r="S304" s="550"/>
      <c r="T304" s="551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IFERROR(IF(Y304=0,"",ROUNDUP(Y304/H304,0)*0.00502),"")</f>
        <v/>
      </c>
      <c r="AA304" s="56"/>
      <c r="AB304" s="57"/>
      <c r="AC304" s="355" t="s">
        <v>484</v>
      </c>
      <c r="AG304" s="64"/>
      <c r="AJ304" s="68"/>
      <c r="AK304" s="68">
        <v>0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t="27" hidden="1" customHeight="1" x14ac:dyDescent="0.25">
      <c r="A305" s="54" t="s">
        <v>487</v>
      </c>
      <c r="B305" s="54" t="s">
        <v>488</v>
      </c>
      <c r="C305" s="31">
        <v>4301031066</v>
      </c>
      <c r="D305" s="547">
        <v>4607091383836</v>
      </c>
      <c r="E305" s="548"/>
      <c r="F305" s="542">
        <v>0.3</v>
      </c>
      <c r="G305" s="32">
        <v>6</v>
      </c>
      <c r="H305" s="542">
        <v>1.8</v>
      </c>
      <c r="I305" s="542">
        <v>2.028</v>
      </c>
      <c r="J305" s="32">
        <v>182</v>
      </c>
      <c r="K305" s="32" t="s">
        <v>76</v>
      </c>
      <c r="L305" s="32" t="s">
        <v>88</v>
      </c>
      <c r="M305" s="33" t="s">
        <v>68</v>
      </c>
      <c r="N305" s="33"/>
      <c r="O305" s="32">
        <v>40</v>
      </c>
      <c r="P305" s="69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3">
        <v>0</v>
      </c>
      <c r="Y305" s="544">
        <f t="shared" si="31"/>
        <v>0</v>
      </c>
      <c r="Z305" s="36" t="str">
        <f>IFERROR(IF(Y305=0,"",ROUNDUP(Y305/H305,0)*0.00651),"")</f>
        <v/>
      </c>
      <c r="AA305" s="56"/>
      <c r="AB305" s="57"/>
      <c r="AC305" s="357" t="s">
        <v>489</v>
      </c>
      <c r="AG305" s="64"/>
      <c r="AJ305" s="68" t="s">
        <v>90</v>
      </c>
      <c r="AK305" s="68">
        <v>25.2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x14ac:dyDescent="0.2">
      <c r="A306" s="553"/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5"/>
      <c r="P306" s="561" t="s">
        <v>71</v>
      </c>
      <c r="Q306" s="562"/>
      <c r="R306" s="562"/>
      <c r="S306" s="562"/>
      <c r="T306" s="562"/>
      <c r="U306" s="562"/>
      <c r="V306" s="563"/>
      <c r="W306" s="37" t="s">
        <v>72</v>
      </c>
      <c r="X306" s="545">
        <f>IFERROR(X299/H299,"0")+IFERROR(X300/H300,"0")+IFERROR(X301/H301,"0")+IFERROR(X302/H302,"0")+IFERROR(X303/H303,"0")+IFERROR(X304/H304,"0")+IFERROR(X305/H305,"0")</f>
        <v>7.1428571428571423</v>
      </c>
      <c r="Y306" s="545">
        <f>IFERROR(Y299/H299,"0")+IFERROR(Y300/H300,"0")+IFERROR(Y301/H301,"0")+IFERROR(Y302/H302,"0")+IFERROR(Y303/H303,"0")+IFERROR(Y304/H304,"0")+IFERROR(Y305/H305,"0")</f>
        <v>8</v>
      </c>
      <c r="Z306" s="545">
        <f>IFERROR(IF(Z299="",0,Z299),"0")+IFERROR(IF(Z300="",0,Z300),"0")+IFERROR(IF(Z301="",0,Z301),"0")+IFERROR(IF(Z302="",0,Z302),"0")+IFERROR(IF(Z303="",0,Z303),"0")+IFERROR(IF(Z304="",0,Z304),"0")+IFERROR(IF(Z305="",0,Z305),"0")</f>
        <v>7.2160000000000002E-2</v>
      </c>
      <c r="AA306" s="546"/>
      <c r="AB306" s="546"/>
      <c r="AC306" s="546"/>
    </row>
    <row r="307" spans="1:68" x14ac:dyDescent="0.2">
      <c r="A307" s="554"/>
      <c r="B307" s="554"/>
      <c r="C307" s="554"/>
      <c r="D307" s="554"/>
      <c r="E307" s="554"/>
      <c r="F307" s="554"/>
      <c r="G307" s="554"/>
      <c r="H307" s="554"/>
      <c r="I307" s="554"/>
      <c r="J307" s="554"/>
      <c r="K307" s="554"/>
      <c r="L307" s="554"/>
      <c r="M307" s="554"/>
      <c r="N307" s="554"/>
      <c r="O307" s="555"/>
      <c r="P307" s="561" t="s">
        <v>71</v>
      </c>
      <c r="Q307" s="562"/>
      <c r="R307" s="562"/>
      <c r="S307" s="562"/>
      <c r="T307" s="562"/>
      <c r="U307" s="562"/>
      <c r="V307" s="563"/>
      <c r="W307" s="37" t="s">
        <v>69</v>
      </c>
      <c r="X307" s="545">
        <f>IFERROR(SUM(X299:X305),"0")</f>
        <v>30</v>
      </c>
      <c r="Y307" s="545">
        <f>IFERROR(SUM(Y299:Y305),"0")</f>
        <v>33.6</v>
      </c>
      <c r="Z307" s="37"/>
      <c r="AA307" s="546"/>
      <c r="AB307" s="546"/>
      <c r="AC307" s="546"/>
    </row>
    <row r="308" spans="1:68" ht="14.25" hidden="1" customHeight="1" x14ac:dyDescent="0.25">
      <c r="A308" s="559" t="s">
        <v>73</v>
      </c>
      <c r="B308" s="554"/>
      <c r="C308" s="554"/>
      <c r="D308" s="554"/>
      <c r="E308" s="554"/>
      <c r="F308" s="554"/>
      <c r="G308" s="554"/>
      <c r="H308" s="554"/>
      <c r="I308" s="554"/>
      <c r="J308" s="554"/>
      <c r="K308" s="554"/>
      <c r="L308" s="554"/>
      <c r="M308" s="554"/>
      <c r="N308" s="554"/>
      <c r="O308" s="554"/>
      <c r="P308" s="554"/>
      <c r="Q308" s="554"/>
      <c r="R308" s="554"/>
      <c r="S308" s="554"/>
      <c r="T308" s="554"/>
      <c r="U308" s="554"/>
      <c r="V308" s="554"/>
      <c r="W308" s="554"/>
      <c r="X308" s="554"/>
      <c r="Y308" s="554"/>
      <c r="Z308" s="554"/>
      <c r="AA308" s="537"/>
      <c r="AB308" s="537"/>
      <c r="AC308" s="537"/>
    </row>
    <row r="309" spans="1:68" ht="27" customHeight="1" x14ac:dyDescent="0.25">
      <c r="A309" s="54" t="s">
        <v>490</v>
      </c>
      <c r="B309" s="54" t="s">
        <v>491</v>
      </c>
      <c r="C309" s="31">
        <v>4301051100</v>
      </c>
      <c r="D309" s="547">
        <v>4607091387766</v>
      </c>
      <c r="E309" s="548"/>
      <c r="F309" s="542">
        <v>1.3</v>
      </c>
      <c r="G309" s="32">
        <v>6</v>
      </c>
      <c r="H309" s="542">
        <v>7.8</v>
      </c>
      <c r="I309" s="542">
        <v>8.2880000000000003</v>
      </c>
      <c r="J309" s="32">
        <v>64</v>
      </c>
      <c r="K309" s="32" t="s">
        <v>104</v>
      </c>
      <c r="L309" s="32" t="s">
        <v>105</v>
      </c>
      <c r="M309" s="33" t="s">
        <v>77</v>
      </c>
      <c r="N309" s="33"/>
      <c r="O309" s="32">
        <v>40</v>
      </c>
      <c r="P309" s="69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9" s="550"/>
      <c r="R309" s="550"/>
      <c r="S309" s="550"/>
      <c r="T309" s="551"/>
      <c r="U309" s="34"/>
      <c r="V309" s="34"/>
      <c r="W309" s="35" t="s">
        <v>69</v>
      </c>
      <c r="X309" s="543">
        <v>180</v>
      </c>
      <c r="Y309" s="544">
        <f>IFERROR(IF(X309="",0,CEILING((X309/$H309),1)*$H309),"")</f>
        <v>187.2</v>
      </c>
      <c r="Z309" s="36">
        <f>IFERROR(IF(Y309=0,"",ROUNDUP(Y309/H309,0)*0.01898),"")</f>
        <v>0.45552000000000004</v>
      </c>
      <c r="AA309" s="56"/>
      <c r="AB309" s="57"/>
      <c r="AC309" s="359" t="s">
        <v>492</v>
      </c>
      <c r="AG309" s="64"/>
      <c r="AJ309" s="68" t="s">
        <v>90</v>
      </c>
      <c r="AK309" s="68">
        <v>62.4</v>
      </c>
      <c r="BB309" s="360" t="s">
        <v>1</v>
      </c>
      <c r="BM309" s="64">
        <f>IFERROR(X309*I309/H309,"0")</f>
        <v>191.26153846153849</v>
      </c>
      <c r="BN309" s="64">
        <f>IFERROR(Y309*I309/H309,"0")</f>
        <v>198.91200000000001</v>
      </c>
      <c r="BO309" s="64">
        <f>IFERROR(1/J309*(X309/H309),"0")</f>
        <v>0.36057692307692307</v>
      </c>
      <c r="BP309" s="64">
        <f>IFERROR(1/J309*(Y309/H309),"0")</f>
        <v>0.375</v>
      </c>
    </row>
    <row r="310" spans="1:68" ht="27" hidden="1" customHeight="1" x14ac:dyDescent="0.25">
      <c r="A310" s="54" t="s">
        <v>493</v>
      </c>
      <c r="B310" s="54" t="s">
        <v>494</v>
      </c>
      <c r="C310" s="31">
        <v>4301051818</v>
      </c>
      <c r="D310" s="547">
        <v>4607091387957</v>
      </c>
      <c r="E310" s="548"/>
      <c r="F310" s="542">
        <v>1.3</v>
      </c>
      <c r="G310" s="32">
        <v>6</v>
      </c>
      <c r="H310" s="542">
        <v>7.8</v>
      </c>
      <c r="I310" s="542">
        <v>8.2940000000000005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3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0" s="550"/>
      <c r="R310" s="550"/>
      <c r="S310" s="550"/>
      <c r="T310" s="551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496</v>
      </c>
      <c r="B311" s="54" t="s">
        <v>497</v>
      </c>
      <c r="C311" s="31">
        <v>4301051819</v>
      </c>
      <c r="D311" s="547">
        <v>4607091387964</v>
      </c>
      <c r="E311" s="548"/>
      <c r="F311" s="542">
        <v>1.35</v>
      </c>
      <c r="G311" s="32">
        <v>6</v>
      </c>
      <c r="H311" s="542">
        <v>8.1</v>
      </c>
      <c r="I311" s="542">
        <v>8.5760000000000005</v>
      </c>
      <c r="J311" s="32">
        <v>64</v>
      </c>
      <c r="K311" s="32" t="s">
        <v>104</v>
      </c>
      <c r="L311" s="32"/>
      <c r="M311" s="33" t="s">
        <v>77</v>
      </c>
      <c r="N311" s="33"/>
      <c r="O311" s="32">
        <v>40</v>
      </c>
      <c r="P311" s="7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1" s="550"/>
      <c r="R311" s="550"/>
      <c r="S311" s="550"/>
      <c r="T311" s="551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499</v>
      </c>
      <c r="B312" s="54" t="s">
        <v>500</v>
      </c>
      <c r="C312" s="31">
        <v>4301051734</v>
      </c>
      <c r="D312" s="547">
        <v>4680115884588</v>
      </c>
      <c r="E312" s="548"/>
      <c r="F312" s="542">
        <v>0.5</v>
      </c>
      <c r="G312" s="32">
        <v>6</v>
      </c>
      <c r="H312" s="542">
        <v>3</v>
      </c>
      <c r="I312" s="542">
        <v>3.246</v>
      </c>
      <c r="J312" s="32">
        <v>182</v>
      </c>
      <c r="K312" s="32" t="s">
        <v>76</v>
      </c>
      <c r="L312" s="32" t="s">
        <v>88</v>
      </c>
      <c r="M312" s="33" t="s">
        <v>77</v>
      </c>
      <c r="N312" s="33"/>
      <c r="O312" s="32">
        <v>40</v>
      </c>
      <c r="P312" s="67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2" s="550"/>
      <c r="R312" s="550"/>
      <c r="S312" s="550"/>
      <c r="T312" s="551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501</v>
      </c>
      <c r="AG312" s="64"/>
      <c r="AJ312" s="68" t="s">
        <v>90</v>
      </c>
      <c r="AK312" s="68">
        <v>42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553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61" t="s">
        <v>71</v>
      </c>
      <c r="Q313" s="562"/>
      <c r="R313" s="562"/>
      <c r="S313" s="562"/>
      <c r="T313" s="562"/>
      <c r="U313" s="562"/>
      <c r="V313" s="563"/>
      <c r="W313" s="37" t="s">
        <v>72</v>
      </c>
      <c r="X313" s="545">
        <f>IFERROR(X309/H309,"0")+IFERROR(X310/H310,"0")+IFERROR(X311/H311,"0")+IFERROR(X312/H312,"0")</f>
        <v>23.076923076923077</v>
      </c>
      <c r="Y313" s="545">
        <f>IFERROR(Y309/H309,"0")+IFERROR(Y310/H310,"0")+IFERROR(Y311/H311,"0")+IFERROR(Y312/H312,"0")</f>
        <v>24</v>
      </c>
      <c r="Z313" s="545">
        <f>IFERROR(IF(Z309="",0,Z309),"0")+IFERROR(IF(Z310="",0,Z310),"0")+IFERROR(IF(Z311="",0,Z311),"0")+IFERROR(IF(Z312="",0,Z312),"0")</f>
        <v>0.45552000000000004</v>
      </c>
      <c r="AA313" s="546"/>
      <c r="AB313" s="546"/>
      <c r="AC313" s="546"/>
    </row>
    <row r="314" spans="1:68" x14ac:dyDescent="0.2">
      <c r="A314" s="554"/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5"/>
      <c r="P314" s="561" t="s">
        <v>71</v>
      </c>
      <c r="Q314" s="562"/>
      <c r="R314" s="562"/>
      <c r="S314" s="562"/>
      <c r="T314" s="562"/>
      <c r="U314" s="562"/>
      <c r="V314" s="563"/>
      <c r="W314" s="37" t="s">
        <v>69</v>
      </c>
      <c r="X314" s="545">
        <f>IFERROR(SUM(X309:X312),"0")</f>
        <v>180</v>
      </c>
      <c r="Y314" s="545">
        <f>IFERROR(SUM(Y309:Y312),"0")</f>
        <v>187.2</v>
      </c>
      <c r="Z314" s="37"/>
      <c r="AA314" s="546"/>
      <c r="AB314" s="546"/>
      <c r="AC314" s="546"/>
    </row>
    <row r="315" spans="1:68" ht="14.25" hidden="1" customHeight="1" x14ac:dyDescent="0.25">
      <c r="A315" s="559" t="s">
        <v>164</v>
      </c>
      <c r="B315" s="554"/>
      <c r="C315" s="554"/>
      <c r="D315" s="554"/>
      <c r="E315" s="554"/>
      <c r="F315" s="554"/>
      <c r="G315" s="554"/>
      <c r="H315" s="554"/>
      <c r="I315" s="554"/>
      <c r="J315" s="554"/>
      <c r="K315" s="554"/>
      <c r="L315" s="554"/>
      <c r="M315" s="554"/>
      <c r="N315" s="554"/>
      <c r="O315" s="554"/>
      <c r="P315" s="554"/>
      <c r="Q315" s="554"/>
      <c r="R315" s="554"/>
      <c r="S315" s="554"/>
      <c r="T315" s="554"/>
      <c r="U315" s="554"/>
      <c r="V315" s="554"/>
      <c r="W315" s="554"/>
      <c r="X315" s="554"/>
      <c r="Y315" s="554"/>
      <c r="Z315" s="554"/>
      <c r="AA315" s="537"/>
      <c r="AB315" s="537"/>
      <c r="AC315" s="537"/>
    </row>
    <row r="316" spans="1:68" ht="27" hidden="1" customHeight="1" x14ac:dyDescent="0.25">
      <c r="A316" s="54" t="s">
        <v>502</v>
      </c>
      <c r="B316" s="54" t="s">
        <v>503</v>
      </c>
      <c r="C316" s="31">
        <v>4301060387</v>
      </c>
      <c r="D316" s="547">
        <v>4607091380880</v>
      </c>
      <c r="E316" s="548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504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505</v>
      </c>
      <c r="B317" s="54" t="s">
        <v>506</v>
      </c>
      <c r="C317" s="31">
        <v>4301060406</v>
      </c>
      <c r="D317" s="547">
        <v>4607091384482</v>
      </c>
      <c r="E317" s="548"/>
      <c r="F317" s="542">
        <v>1.3</v>
      </c>
      <c r="G317" s="32">
        <v>6</v>
      </c>
      <c r="H317" s="542">
        <v>7.8</v>
      </c>
      <c r="I317" s="542">
        <v>8.2940000000000005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8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50"/>
      <c r="R317" s="550"/>
      <c r="S317" s="550"/>
      <c r="T317" s="551"/>
      <c r="U317" s="34"/>
      <c r="V317" s="34"/>
      <c r="W317" s="35" t="s">
        <v>69</v>
      </c>
      <c r="X317" s="543">
        <v>40</v>
      </c>
      <c r="Y317" s="544">
        <f>IFERROR(IF(X317="",0,CEILING((X317/$H317),1)*$H317),"")</f>
        <v>46.8</v>
      </c>
      <c r="Z317" s="36">
        <f>IFERROR(IF(Y317=0,"",ROUNDUP(Y317/H317,0)*0.01898),"")</f>
        <v>0.11388000000000001</v>
      </c>
      <c r="AA317" s="56"/>
      <c r="AB317" s="57"/>
      <c r="AC317" s="369" t="s">
        <v>507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42.533333333333331</v>
      </c>
      <c r="BN317" s="64">
        <f>IFERROR(Y317*I317/H317,"0")</f>
        <v>49.764000000000003</v>
      </c>
      <c r="BO317" s="64">
        <f>IFERROR(1/J317*(X317/H317),"0")</f>
        <v>8.0128205128205135E-2</v>
      </c>
      <c r="BP317" s="64">
        <f>IFERROR(1/J317*(Y317/H317),"0")</f>
        <v>9.375E-2</v>
      </c>
    </row>
    <row r="318" spans="1:68" ht="16.5" hidden="1" customHeight="1" x14ac:dyDescent="0.25">
      <c r="A318" s="54" t="s">
        <v>508</v>
      </c>
      <c r="B318" s="54" t="s">
        <v>509</v>
      </c>
      <c r="C318" s="31">
        <v>4301060484</v>
      </c>
      <c r="D318" s="547">
        <v>4607091380897</v>
      </c>
      <c r="E318" s="548"/>
      <c r="F318" s="542">
        <v>1.4</v>
      </c>
      <c r="G318" s="32">
        <v>6</v>
      </c>
      <c r="H318" s="542">
        <v>8.4</v>
      </c>
      <c r="I318" s="542">
        <v>8.8940000000000001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76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3">
        <v>0</v>
      </c>
      <c r="Y318" s="544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510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53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61" t="s">
        <v>71</v>
      </c>
      <c r="Q319" s="562"/>
      <c r="R319" s="562"/>
      <c r="S319" s="562"/>
      <c r="T319" s="562"/>
      <c r="U319" s="562"/>
      <c r="V319" s="563"/>
      <c r="W319" s="37" t="s">
        <v>72</v>
      </c>
      <c r="X319" s="545">
        <f>IFERROR(X316/H316,"0")+IFERROR(X317/H317,"0")+IFERROR(X318/H318,"0")</f>
        <v>5.1282051282051286</v>
      </c>
      <c r="Y319" s="545">
        <f>IFERROR(Y316/H316,"0")+IFERROR(Y317/H317,"0")+IFERROR(Y318/H318,"0")</f>
        <v>6</v>
      </c>
      <c r="Z319" s="545">
        <f>IFERROR(IF(Z316="",0,Z316),"0")+IFERROR(IF(Z317="",0,Z317),"0")+IFERROR(IF(Z318="",0,Z318),"0")</f>
        <v>0.11388000000000001</v>
      </c>
      <c r="AA319" s="546"/>
      <c r="AB319" s="546"/>
      <c r="AC319" s="546"/>
    </row>
    <row r="320" spans="1:68" x14ac:dyDescent="0.2">
      <c r="A320" s="554"/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5"/>
      <c r="P320" s="561" t="s">
        <v>71</v>
      </c>
      <c r="Q320" s="562"/>
      <c r="R320" s="562"/>
      <c r="S320" s="562"/>
      <c r="T320" s="562"/>
      <c r="U320" s="562"/>
      <c r="V320" s="563"/>
      <c r="W320" s="37" t="s">
        <v>69</v>
      </c>
      <c r="X320" s="545">
        <f>IFERROR(SUM(X316:X318),"0")</f>
        <v>40</v>
      </c>
      <c r="Y320" s="545">
        <f>IFERROR(SUM(Y316:Y318),"0")</f>
        <v>46.8</v>
      </c>
      <c r="Z320" s="37"/>
      <c r="AA320" s="546"/>
      <c r="AB320" s="546"/>
      <c r="AC320" s="546"/>
    </row>
    <row r="321" spans="1:68" ht="14.25" hidden="1" customHeight="1" x14ac:dyDescent="0.25">
      <c r="A321" s="559" t="s">
        <v>93</v>
      </c>
      <c r="B321" s="554"/>
      <c r="C321" s="554"/>
      <c r="D321" s="554"/>
      <c r="E321" s="554"/>
      <c r="F321" s="554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537"/>
      <c r="AB321" s="537"/>
      <c r="AC321" s="537"/>
    </row>
    <row r="322" spans="1:68" ht="27" hidden="1" customHeight="1" x14ac:dyDescent="0.25">
      <c r="A322" s="54" t="s">
        <v>511</v>
      </c>
      <c r="B322" s="54" t="s">
        <v>512</v>
      </c>
      <c r="C322" s="31">
        <v>4301030235</v>
      </c>
      <c r="D322" s="547">
        <v>4607091388381</v>
      </c>
      <c r="E322" s="548"/>
      <c r="F322" s="542">
        <v>0.38</v>
      </c>
      <c r="G322" s="32">
        <v>8</v>
      </c>
      <c r="H322" s="542">
        <v>3.04</v>
      </c>
      <c r="I322" s="542">
        <v>3.31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50"/>
      <c r="R322" s="550"/>
      <c r="S322" s="550"/>
      <c r="T322" s="551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513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514</v>
      </c>
      <c r="B323" s="54" t="s">
        <v>515</v>
      </c>
      <c r="C323" s="31">
        <v>4301030232</v>
      </c>
      <c r="D323" s="547">
        <v>4607091388374</v>
      </c>
      <c r="E323" s="548"/>
      <c r="F323" s="542">
        <v>0.38</v>
      </c>
      <c r="G323" s="32">
        <v>8</v>
      </c>
      <c r="H323" s="542">
        <v>3.04</v>
      </c>
      <c r="I323" s="542">
        <v>3.27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800" t="s">
        <v>516</v>
      </c>
      <c r="Q323" s="550"/>
      <c r="R323" s="550"/>
      <c r="S323" s="550"/>
      <c r="T323" s="551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517</v>
      </c>
      <c r="B324" s="54" t="s">
        <v>518</v>
      </c>
      <c r="C324" s="31">
        <v>4301032015</v>
      </c>
      <c r="D324" s="547">
        <v>4607091383102</v>
      </c>
      <c r="E324" s="548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0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519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520</v>
      </c>
      <c r="B325" s="54" t="s">
        <v>521</v>
      </c>
      <c r="C325" s="31">
        <v>4301030233</v>
      </c>
      <c r="D325" s="547">
        <v>4607091388404</v>
      </c>
      <c r="E325" s="548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74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3">
        <v>0</v>
      </c>
      <c r="Y325" s="544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79" t="s">
        <v>513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idden="1" x14ac:dyDescent="0.2">
      <c r="A326" s="553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61" t="s">
        <v>71</v>
      </c>
      <c r="Q326" s="562"/>
      <c r="R326" s="562"/>
      <c r="S326" s="562"/>
      <c r="T326" s="562"/>
      <c r="U326" s="562"/>
      <c r="V326" s="563"/>
      <c r="W326" s="37" t="s">
        <v>72</v>
      </c>
      <c r="X326" s="545">
        <f>IFERROR(X322/H322,"0")+IFERROR(X323/H323,"0")+IFERROR(X324/H324,"0")+IFERROR(X325/H325,"0")</f>
        <v>0</v>
      </c>
      <c r="Y326" s="545">
        <f>IFERROR(Y322/H322,"0")+IFERROR(Y323/H323,"0")+IFERROR(Y324/H324,"0")+IFERROR(Y325/H325,"0")</f>
        <v>0</v>
      </c>
      <c r="Z326" s="545">
        <f>IFERROR(IF(Z322="",0,Z322),"0")+IFERROR(IF(Z323="",0,Z323),"0")+IFERROR(IF(Z324="",0,Z324),"0")+IFERROR(IF(Z325="",0,Z325),"0")</f>
        <v>0</v>
      </c>
      <c r="AA326" s="546"/>
      <c r="AB326" s="546"/>
      <c r="AC326" s="546"/>
    </row>
    <row r="327" spans="1:68" hidden="1" x14ac:dyDescent="0.2">
      <c r="A327" s="554"/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5"/>
      <c r="P327" s="561" t="s">
        <v>71</v>
      </c>
      <c r="Q327" s="562"/>
      <c r="R327" s="562"/>
      <c r="S327" s="562"/>
      <c r="T327" s="562"/>
      <c r="U327" s="562"/>
      <c r="V327" s="563"/>
      <c r="W327" s="37" t="s">
        <v>69</v>
      </c>
      <c r="X327" s="545">
        <f>IFERROR(SUM(X322:X325),"0")</f>
        <v>0</v>
      </c>
      <c r="Y327" s="545">
        <f>IFERROR(SUM(Y322:Y325),"0")</f>
        <v>0</v>
      </c>
      <c r="Z327" s="37"/>
      <c r="AA327" s="546"/>
      <c r="AB327" s="546"/>
      <c r="AC327" s="546"/>
    </row>
    <row r="328" spans="1:68" ht="14.25" hidden="1" customHeight="1" x14ac:dyDescent="0.25">
      <c r="A328" s="559" t="s">
        <v>522</v>
      </c>
      <c r="B328" s="554"/>
      <c r="C328" s="554"/>
      <c r="D328" s="554"/>
      <c r="E328" s="554"/>
      <c r="F328" s="554"/>
      <c r="G328" s="554"/>
      <c r="H328" s="554"/>
      <c r="I328" s="554"/>
      <c r="J328" s="554"/>
      <c r="K328" s="554"/>
      <c r="L328" s="554"/>
      <c r="M328" s="554"/>
      <c r="N328" s="554"/>
      <c r="O328" s="554"/>
      <c r="P328" s="554"/>
      <c r="Q328" s="554"/>
      <c r="R328" s="554"/>
      <c r="S328" s="554"/>
      <c r="T328" s="554"/>
      <c r="U328" s="554"/>
      <c r="V328" s="554"/>
      <c r="W328" s="554"/>
      <c r="X328" s="554"/>
      <c r="Y328" s="554"/>
      <c r="Z328" s="554"/>
      <c r="AA328" s="537"/>
      <c r="AB328" s="537"/>
      <c r="AC328" s="537"/>
    </row>
    <row r="329" spans="1:68" ht="16.5" hidden="1" customHeight="1" x14ac:dyDescent="0.25">
      <c r="A329" s="54" t="s">
        <v>523</v>
      </c>
      <c r="B329" s="54" t="s">
        <v>524</v>
      </c>
      <c r="C329" s="31">
        <v>4301180007</v>
      </c>
      <c r="D329" s="547">
        <v>4680115881808</v>
      </c>
      <c r="E329" s="548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525</v>
      </c>
      <c r="N329" s="33"/>
      <c r="O329" s="32">
        <v>730</v>
      </c>
      <c r="P329" s="6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50"/>
      <c r="R329" s="550"/>
      <c r="S329" s="550"/>
      <c r="T329" s="551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527</v>
      </c>
      <c r="B330" s="54" t="s">
        <v>528</v>
      </c>
      <c r="C330" s="31">
        <v>4301180006</v>
      </c>
      <c r="D330" s="547">
        <v>4680115881822</v>
      </c>
      <c r="E330" s="548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525</v>
      </c>
      <c r="N330" s="33"/>
      <c r="O330" s="32">
        <v>730</v>
      </c>
      <c r="P330" s="66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50"/>
      <c r="R330" s="550"/>
      <c r="S330" s="550"/>
      <c r="T330" s="551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526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529</v>
      </c>
      <c r="B331" s="54" t="s">
        <v>530</v>
      </c>
      <c r="C331" s="31">
        <v>4301180001</v>
      </c>
      <c r="D331" s="547">
        <v>4680115880016</v>
      </c>
      <c r="E331" s="548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525</v>
      </c>
      <c r="N331" s="33"/>
      <c r="O331" s="32">
        <v>730</v>
      </c>
      <c r="P331" s="6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50"/>
      <c r="R331" s="550"/>
      <c r="S331" s="550"/>
      <c r="T331" s="551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53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61" t="s">
        <v>71</v>
      </c>
      <c r="Q332" s="562"/>
      <c r="R332" s="562"/>
      <c r="S332" s="562"/>
      <c r="T332" s="562"/>
      <c r="U332" s="562"/>
      <c r="V332" s="563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hidden="1" x14ac:dyDescent="0.2">
      <c r="A333" s="554"/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5"/>
      <c r="P333" s="561" t="s">
        <v>71</v>
      </c>
      <c r="Q333" s="562"/>
      <c r="R333" s="562"/>
      <c r="S333" s="562"/>
      <c r="T333" s="562"/>
      <c r="U333" s="562"/>
      <c r="V333" s="563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hidden="1" customHeight="1" x14ac:dyDescent="0.25">
      <c r="A334" s="558" t="s">
        <v>531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8"/>
      <c r="AB334" s="538"/>
      <c r="AC334" s="538"/>
    </row>
    <row r="335" spans="1:68" ht="14.25" hidden="1" customHeight="1" x14ac:dyDescent="0.25">
      <c r="A335" s="559" t="s">
        <v>73</v>
      </c>
      <c r="B335" s="554"/>
      <c r="C335" s="554"/>
      <c r="D335" s="554"/>
      <c r="E335" s="554"/>
      <c r="F335" s="554"/>
      <c r="G335" s="554"/>
      <c r="H335" s="554"/>
      <c r="I335" s="554"/>
      <c r="J335" s="554"/>
      <c r="K335" s="554"/>
      <c r="L335" s="554"/>
      <c r="M335" s="554"/>
      <c r="N335" s="554"/>
      <c r="O335" s="554"/>
      <c r="P335" s="554"/>
      <c r="Q335" s="554"/>
      <c r="R335" s="554"/>
      <c r="S335" s="554"/>
      <c r="T335" s="554"/>
      <c r="U335" s="554"/>
      <c r="V335" s="554"/>
      <c r="W335" s="554"/>
      <c r="X335" s="554"/>
      <c r="Y335" s="554"/>
      <c r="Z335" s="554"/>
      <c r="AA335" s="537"/>
      <c r="AB335" s="537"/>
      <c r="AC335" s="537"/>
    </row>
    <row r="336" spans="1:68" ht="27" hidden="1" customHeight="1" x14ac:dyDescent="0.25">
      <c r="A336" s="54" t="s">
        <v>532</v>
      </c>
      <c r="B336" s="54" t="s">
        <v>533</v>
      </c>
      <c r="C336" s="31">
        <v>4301051489</v>
      </c>
      <c r="D336" s="547">
        <v>4607091387919</v>
      </c>
      <c r="E336" s="548"/>
      <c r="F336" s="542">
        <v>1.35</v>
      </c>
      <c r="G336" s="32">
        <v>6</v>
      </c>
      <c r="H336" s="542">
        <v>8.1</v>
      </c>
      <c r="I336" s="542">
        <v>8.5939999999999994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83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50"/>
      <c r="R336" s="550"/>
      <c r="S336" s="550"/>
      <c r="T336" s="551"/>
      <c r="U336" s="34"/>
      <c r="V336" s="34"/>
      <c r="W336" s="35" t="s">
        <v>69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7" t="s">
        <v>534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535</v>
      </c>
      <c r="B337" s="54" t="s">
        <v>536</v>
      </c>
      <c r="C337" s="31">
        <v>4301051461</v>
      </c>
      <c r="D337" s="547">
        <v>4680115883604</v>
      </c>
      <c r="E337" s="548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6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50"/>
      <c r="R337" s="550"/>
      <c r="S337" s="550"/>
      <c r="T337" s="551"/>
      <c r="U337" s="34"/>
      <c r="V337" s="34"/>
      <c r="W337" s="35" t="s">
        <v>69</v>
      </c>
      <c r="X337" s="543">
        <v>0</v>
      </c>
      <c r="Y337" s="5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538</v>
      </c>
      <c r="B338" s="54" t="s">
        <v>539</v>
      </c>
      <c r="C338" s="31">
        <v>4301051864</v>
      </c>
      <c r="D338" s="547">
        <v>4680115883567</v>
      </c>
      <c r="E338" s="548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87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50"/>
      <c r="R338" s="550"/>
      <c r="S338" s="550"/>
      <c r="T338" s="551"/>
      <c r="U338" s="34"/>
      <c r="V338" s="34"/>
      <c r="W338" s="35" t="s">
        <v>69</v>
      </c>
      <c r="X338" s="543">
        <v>0</v>
      </c>
      <c r="Y338" s="5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91" t="s">
        <v>540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idden="1" x14ac:dyDescent="0.2">
      <c r="A339" s="553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61" t="s">
        <v>71</v>
      </c>
      <c r="Q339" s="562"/>
      <c r="R339" s="562"/>
      <c r="S339" s="562"/>
      <c r="T339" s="562"/>
      <c r="U339" s="562"/>
      <c r="V339" s="563"/>
      <c r="W339" s="37" t="s">
        <v>72</v>
      </c>
      <c r="X339" s="545">
        <f>IFERROR(X336/H336,"0")+IFERROR(X337/H337,"0")+IFERROR(X338/H338,"0")</f>
        <v>0</v>
      </c>
      <c r="Y339" s="545">
        <f>IFERROR(Y336/H336,"0")+IFERROR(Y337/H337,"0")+IFERROR(Y338/H338,"0")</f>
        <v>0</v>
      </c>
      <c r="Z339" s="545">
        <f>IFERROR(IF(Z336="",0,Z336),"0")+IFERROR(IF(Z337="",0,Z337),"0")+IFERROR(IF(Z338="",0,Z338),"0")</f>
        <v>0</v>
      </c>
      <c r="AA339" s="546"/>
      <c r="AB339" s="546"/>
      <c r="AC339" s="546"/>
    </row>
    <row r="340" spans="1:68" hidden="1" x14ac:dyDescent="0.2">
      <c r="A340" s="554"/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5"/>
      <c r="P340" s="561" t="s">
        <v>71</v>
      </c>
      <c r="Q340" s="562"/>
      <c r="R340" s="562"/>
      <c r="S340" s="562"/>
      <c r="T340" s="562"/>
      <c r="U340" s="562"/>
      <c r="V340" s="563"/>
      <c r="W340" s="37" t="s">
        <v>69</v>
      </c>
      <c r="X340" s="545">
        <f>IFERROR(SUM(X336:X338),"0")</f>
        <v>0</v>
      </c>
      <c r="Y340" s="545">
        <f>IFERROR(SUM(Y336:Y338),"0")</f>
        <v>0</v>
      </c>
      <c r="Z340" s="37"/>
      <c r="AA340" s="546"/>
      <c r="AB340" s="546"/>
      <c r="AC340" s="546"/>
    </row>
    <row r="341" spans="1:68" ht="27.75" hidden="1" customHeight="1" x14ac:dyDescent="0.2">
      <c r="A341" s="569" t="s">
        <v>541</v>
      </c>
      <c r="B341" s="570"/>
      <c r="C341" s="570"/>
      <c r="D341" s="570"/>
      <c r="E341" s="570"/>
      <c r="F341" s="570"/>
      <c r="G341" s="570"/>
      <c r="H341" s="570"/>
      <c r="I341" s="570"/>
      <c r="J341" s="570"/>
      <c r="K341" s="570"/>
      <c r="L341" s="570"/>
      <c r="M341" s="570"/>
      <c r="N341" s="570"/>
      <c r="O341" s="570"/>
      <c r="P341" s="570"/>
      <c r="Q341" s="570"/>
      <c r="R341" s="570"/>
      <c r="S341" s="570"/>
      <c r="T341" s="570"/>
      <c r="U341" s="570"/>
      <c r="V341" s="570"/>
      <c r="W341" s="570"/>
      <c r="X341" s="570"/>
      <c r="Y341" s="570"/>
      <c r="Z341" s="570"/>
      <c r="AA341" s="48"/>
      <c r="AB341" s="48"/>
      <c r="AC341" s="48"/>
    </row>
    <row r="342" spans="1:68" ht="16.5" hidden="1" customHeight="1" x14ac:dyDescent="0.25">
      <c r="A342" s="558" t="s">
        <v>542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8"/>
      <c r="AB342" s="538"/>
      <c r="AC342" s="538"/>
    </row>
    <row r="343" spans="1:68" ht="14.25" hidden="1" customHeight="1" x14ac:dyDescent="0.25">
      <c r="A343" s="559" t="s">
        <v>101</v>
      </c>
      <c r="B343" s="554"/>
      <c r="C343" s="554"/>
      <c r="D343" s="554"/>
      <c r="E343" s="554"/>
      <c r="F343" s="554"/>
      <c r="G343" s="554"/>
      <c r="H343" s="554"/>
      <c r="I343" s="554"/>
      <c r="J343" s="554"/>
      <c r="K343" s="554"/>
      <c r="L343" s="554"/>
      <c r="M343" s="554"/>
      <c r="N343" s="554"/>
      <c r="O343" s="554"/>
      <c r="P343" s="554"/>
      <c r="Q343" s="554"/>
      <c r="R343" s="554"/>
      <c r="S343" s="554"/>
      <c r="T343" s="554"/>
      <c r="U343" s="554"/>
      <c r="V343" s="554"/>
      <c r="W343" s="554"/>
      <c r="X343" s="554"/>
      <c r="Y343" s="554"/>
      <c r="Z343" s="554"/>
      <c r="AA343" s="537"/>
      <c r="AB343" s="537"/>
      <c r="AC343" s="537"/>
    </row>
    <row r="344" spans="1:68" ht="37.5" hidden="1" customHeight="1" x14ac:dyDescent="0.25">
      <c r="A344" s="54" t="s">
        <v>543</v>
      </c>
      <c r="B344" s="54" t="s">
        <v>544</v>
      </c>
      <c r="C344" s="31">
        <v>4301011869</v>
      </c>
      <c r="D344" s="547">
        <v>4680115884847</v>
      </c>
      <c r="E344" s="548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5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50"/>
      <c r="R344" s="550"/>
      <c r="S344" s="550"/>
      <c r="T344" s="551"/>
      <c r="U344" s="34"/>
      <c r="V344" s="34"/>
      <c r="W344" s="35" t="s">
        <v>69</v>
      </c>
      <c r="X344" s="543">
        <v>0</v>
      </c>
      <c r="Y344" s="544">
        <f t="shared" ref="Y344:Y350" si="36">IFERROR(IF(X344="",0,CEILING((X344/$H344),1)*$H344),"")</f>
        <v>0</v>
      </c>
      <c r="Z344" s="36" t="str">
        <f>IFERROR(IF(Y344=0,"",ROUNDUP(Y344/H344,0)*0.02175),"")</f>
        <v/>
      </c>
      <c r="AA344" s="56"/>
      <c r="AB344" s="57"/>
      <c r="AC344" s="393" t="s">
        <v>545</v>
      </c>
      <c r="AG344" s="64"/>
      <c r="AJ344" s="68"/>
      <c r="AK344" s="68">
        <v>0</v>
      </c>
      <c r="BB344" s="394" t="s">
        <v>1</v>
      </c>
      <c r="BM344" s="64">
        <f t="shared" ref="BM344:BM350" si="37">IFERROR(X344*I344/H344,"0")</f>
        <v>0</v>
      </c>
      <c r="BN344" s="64">
        <f t="shared" ref="BN344:BN350" si="38">IFERROR(Y344*I344/H344,"0")</f>
        <v>0</v>
      </c>
      <c r="BO344" s="64">
        <f t="shared" ref="BO344:BO350" si="39">IFERROR(1/J344*(X344/H344),"0")</f>
        <v>0</v>
      </c>
      <c r="BP344" s="64">
        <f t="shared" ref="BP344:BP350" si="40">IFERROR(1/J344*(Y344/H344),"0")</f>
        <v>0</v>
      </c>
    </row>
    <row r="345" spans="1:68" ht="27" customHeight="1" x14ac:dyDescent="0.25">
      <c r="A345" s="54" t="s">
        <v>546</v>
      </c>
      <c r="B345" s="54" t="s">
        <v>547</v>
      </c>
      <c r="C345" s="31">
        <v>4301011870</v>
      </c>
      <c r="D345" s="547">
        <v>4680115884854</v>
      </c>
      <c r="E345" s="548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6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50"/>
      <c r="R345" s="550"/>
      <c r="S345" s="550"/>
      <c r="T345" s="551"/>
      <c r="U345" s="34"/>
      <c r="V345" s="34"/>
      <c r="W345" s="35" t="s">
        <v>69</v>
      </c>
      <c r="X345" s="543">
        <v>15</v>
      </c>
      <c r="Y345" s="544">
        <f t="shared" si="36"/>
        <v>15</v>
      </c>
      <c r="Z345" s="36">
        <f>IFERROR(IF(Y345=0,"",ROUNDUP(Y345/H345,0)*0.02175),"")</f>
        <v>2.1749999999999999E-2</v>
      </c>
      <c r="AA345" s="56"/>
      <c r="AB345" s="57"/>
      <c r="AC345" s="395" t="s">
        <v>548</v>
      </c>
      <c r="AG345" s="64"/>
      <c r="AJ345" s="68"/>
      <c r="AK345" s="68">
        <v>0</v>
      </c>
      <c r="BB345" s="396" t="s">
        <v>1</v>
      </c>
      <c r="BM345" s="64">
        <f t="shared" si="37"/>
        <v>15.47</v>
      </c>
      <c r="BN345" s="64">
        <f t="shared" si="38"/>
        <v>15.47</v>
      </c>
      <c r="BO345" s="64">
        <f t="shared" si="39"/>
        <v>2.0833333333333332E-2</v>
      </c>
      <c r="BP345" s="64">
        <f t="shared" si="40"/>
        <v>2.0833333333333332E-2</v>
      </c>
    </row>
    <row r="346" spans="1:68" ht="37.5" hidden="1" customHeight="1" x14ac:dyDescent="0.25">
      <c r="A346" s="54" t="s">
        <v>549</v>
      </c>
      <c r="B346" s="54" t="s">
        <v>550</v>
      </c>
      <c r="C346" s="31">
        <v>4301011867</v>
      </c>
      <c r="D346" s="547">
        <v>4680115884830</v>
      </c>
      <c r="E346" s="548"/>
      <c r="F346" s="542">
        <v>2.5</v>
      </c>
      <c r="G346" s="32">
        <v>6</v>
      </c>
      <c r="H346" s="542">
        <v>15</v>
      </c>
      <c r="I346" s="542">
        <v>15.47</v>
      </c>
      <c r="J346" s="32">
        <v>48</v>
      </c>
      <c r="K346" s="32" t="s">
        <v>104</v>
      </c>
      <c r="L346" s="32"/>
      <c r="M346" s="33" t="s">
        <v>68</v>
      </c>
      <c r="N346" s="33"/>
      <c r="O346" s="32">
        <v>60</v>
      </c>
      <c r="P346" s="79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50"/>
      <c r="R346" s="550"/>
      <c r="S346" s="550"/>
      <c r="T346" s="551"/>
      <c r="U346" s="34"/>
      <c r="V346" s="34"/>
      <c r="W346" s="35" t="s">
        <v>69</v>
      </c>
      <c r="X346" s="543">
        <v>0</v>
      </c>
      <c r="Y346" s="544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551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hidden="1" customHeight="1" x14ac:dyDescent="0.25">
      <c r="A347" s="54" t="s">
        <v>552</v>
      </c>
      <c r="B347" s="54" t="s">
        <v>553</v>
      </c>
      <c r="C347" s="31">
        <v>4301012215</v>
      </c>
      <c r="D347" s="547">
        <v>4680115887046</v>
      </c>
      <c r="E347" s="548"/>
      <c r="F347" s="542">
        <v>2.5</v>
      </c>
      <c r="G347" s="32">
        <v>6</v>
      </c>
      <c r="H347" s="542">
        <v>15</v>
      </c>
      <c r="I347" s="542">
        <v>15.47</v>
      </c>
      <c r="J347" s="32">
        <v>48</v>
      </c>
      <c r="K347" s="32" t="s">
        <v>104</v>
      </c>
      <c r="L347" s="32"/>
      <c r="M347" s="33" t="s">
        <v>84</v>
      </c>
      <c r="N347" s="33"/>
      <c r="O347" s="32">
        <v>60</v>
      </c>
      <c r="P347" s="821" t="s">
        <v>554</v>
      </c>
      <c r="Q347" s="550"/>
      <c r="R347" s="550"/>
      <c r="S347" s="550"/>
      <c r="T347" s="551"/>
      <c r="U347" s="34"/>
      <c r="V347" s="34"/>
      <c r="W347" s="35" t="s">
        <v>69</v>
      </c>
      <c r="X347" s="543">
        <v>0</v>
      </c>
      <c r="Y347" s="544">
        <f t="shared" si="36"/>
        <v>0</v>
      </c>
      <c r="Z347" s="36" t="str">
        <f>IFERROR(IF(Y347=0,"",ROUNDUP(Y347/H347,0)*0.02175),"")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556</v>
      </c>
      <c r="B348" s="54" t="s">
        <v>557</v>
      </c>
      <c r="C348" s="31">
        <v>4301011433</v>
      </c>
      <c r="D348" s="547">
        <v>4680115882638</v>
      </c>
      <c r="E348" s="548"/>
      <c r="F348" s="542">
        <v>0.4</v>
      </c>
      <c r="G348" s="32">
        <v>10</v>
      </c>
      <c r="H348" s="542">
        <v>4</v>
      </c>
      <c r="I348" s="542">
        <v>4.1900000000000004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80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558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hidden="1" customHeight="1" x14ac:dyDescent="0.25">
      <c r="A349" s="54" t="s">
        <v>559</v>
      </c>
      <c r="B349" s="54" t="s">
        <v>560</v>
      </c>
      <c r="C349" s="31">
        <v>4301011952</v>
      </c>
      <c r="D349" s="547">
        <v>4680115884922</v>
      </c>
      <c r="E349" s="548"/>
      <c r="F349" s="542">
        <v>0.5</v>
      </c>
      <c r="G349" s="32">
        <v>10</v>
      </c>
      <c r="H349" s="542">
        <v>5</v>
      </c>
      <c r="I349" s="542">
        <v>5.19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2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hidden="1" customHeight="1" x14ac:dyDescent="0.25">
      <c r="A350" s="54" t="s">
        <v>561</v>
      </c>
      <c r="B350" s="54" t="s">
        <v>562</v>
      </c>
      <c r="C350" s="31">
        <v>4301011868</v>
      </c>
      <c r="D350" s="547">
        <v>4680115884861</v>
      </c>
      <c r="E350" s="548"/>
      <c r="F350" s="542">
        <v>0.5</v>
      </c>
      <c r="G350" s="32">
        <v>10</v>
      </c>
      <c r="H350" s="542">
        <v>5</v>
      </c>
      <c r="I350" s="542">
        <v>5.19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6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3">
        <v>0</v>
      </c>
      <c r="Y350" s="544">
        <f t="shared" si="36"/>
        <v>0</v>
      </c>
      <c r="Z350" s="36" t="str">
        <f>IFERROR(IF(Y350=0,"",ROUNDUP(Y350/H350,0)*0.00902),"")</f>
        <v/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x14ac:dyDescent="0.2">
      <c r="A351" s="553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61" t="s">
        <v>71</v>
      </c>
      <c r="Q351" s="562"/>
      <c r="R351" s="562"/>
      <c r="S351" s="562"/>
      <c r="T351" s="562"/>
      <c r="U351" s="562"/>
      <c r="V351" s="563"/>
      <c r="W351" s="37" t="s">
        <v>72</v>
      </c>
      <c r="X351" s="545">
        <f>IFERROR(X344/H344,"0")+IFERROR(X345/H345,"0")+IFERROR(X346/H346,"0")+IFERROR(X347/H347,"0")+IFERROR(X348/H348,"0")+IFERROR(X349/H349,"0")+IFERROR(X350/H350,"0")</f>
        <v>1</v>
      </c>
      <c r="Y351" s="545">
        <f>IFERROR(Y344/H344,"0")+IFERROR(Y345/H345,"0")+IFERROR(Y346/H346,"0")+IFERROR(Y347/H347,"0")+IFERROR(Y348/H348,"0")+IFERROR(Y349/H349,"0")+IFERROR(Y350/H350,"0")</f>
        <v>1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2.1749999999999999E-2</v>
      </c>
      <c r="AA351" s="546"/>
      <c r="AB351" s="546"/>
      <c r="AC351" s="546"/>
    </row>
    <row r="352" spans="1:68" x14ac:dyDescent="0.2">
      <c r="A352" s="554"/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5"/>
      <c r="P352" s="561" t="s">
        <v>71</v>
      </c>
      <c r="Q352" s="562"/>
      <c r="R352" s="562"/>
      <c r="S352" s="562"/>
      <c r="T352" s="562"/>
      <c r="U352" s="562"/>
      <c r="V352" s="563"/>
      <c r="W352" s="37" t="s">
        <v>69</v>
      </c>
      <c r="X352" s="545">
        <f>IFERROR(SUM(X344:X350),"0")</f>
        <v>15</v>
      </c>
      <c r="Y352" s="545">
        <f>IFERROR(SUM(Y344:Y350),"0")</f>
        <v>15</v>
      </c>
      <c r="Z352" s="37"/>
      <c r="AA352" s="546"/>
      <c r="AB352" s="546"/>
      <c r="AC352" s="546"/>
    </row>
    <row r="353" spans="1:68" ht="14.25" hidden="1" customHeight="1" x14ac:dyDescent="0.25">
      <c r="A353" s="559" t="s">
        <v>136</v>
      </c>
      <c r="B353" s="554"/>
      <c r="C353" s="554"/>
      <c r="D353" s="554"/>
      <c r="E353" s="554"/>
      <c r="F353" s="554"/>
      <c r="G353" s="554"/>
      <c r="H353" s="554"/>
      <c r="I353" s="554"/>
      <c r="J353" s="554"/>
      <c r="K353" s="554"/>
      <c r="L353" s="554"/>
      <c r="M353" s="554"/>
      <c r="N353" s="554"/>
      <c r="O353" s="554"/>
      <c r="P353" s="554"/>
      <c r="Q353" s="554"/>
      <c r="R353" s="554"/>
      <c r="S353" s="554"/>
      <c r="T353" s="554"/>
      <c r="U353" s="554"/>
      <c r="V353" s="554"/>
      <c r="W353" s="554"/>
      <c r="X353" s="554"/>
      <c r="Y353" s="554"/>
      <c r="Z353" s="554"/>
      <c r="AA353" s="537"/>
      <c r="AB353" s="537"/>
      <c r="AC353" s="537"/>
    </row>
    <row r="354" spans="1:68" ht="27" customHeight="1" x14ac:dyDescent="0.25">
      <c r="A354" s="54" t="s">
        <v>563</v>
      </c>
      <c r="B354" s="54" t="s">
        <v>564</v>
      </c>
      <c r="C354" s="31">
        <v>4301020178</v>
      </c>
      <c r="D354" s="547">
        <v>4607091383980</v>
      </c>
      <c r="E354" s="548"/>
      <c r="F354" s="542">
        <v>2.5</v>
      </c>
      <c r="G354" s="32">
        <v>6</v>
      </c>
      <c r="H354" s="542">
        <v>15</v>
      </c>
      <c r="I354" s="542">
        <v>15.47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81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50"/>
      <c r="R354" s="550"/>
      <c r="S354" s="550"/>
      <c r="T354" s="551"/>
      <c r="U354" s="34"/>
      <c r="V354" s="34"/>
      <c r="W354" s="35" t="s">
        <v>69</v>
      </c>
      <c r="X354" s="543">
        <v>120</v>
      </c>
      <c r="Y354" s="544">
        <f>IFERROR(IF(X354="",0,CEILING((X354/$H354),1)*$H354),"")</f>
        <v>120</v>
      </c>
      <c r="Z354" s="36">
        <f>IFERROR(IF(Y354=0,"",ROUNDUP(Y354/H354,0)*0.02175),"")</f>
        <v>0.17399999999999999</v>
      </c>
      <c r="AA354" s="56"/>
      <c r="AB354" s="57"/>
      <c r="AC354" s="407" t="s">
        <v>565</v>
      </c>
      <c r="AG354" s="64"/>
      <c r="AJ354" s="68"/>
      <c r="AK354" s="68">
        <v>0</v>
      </c>
      <c r="BB354" s="408" t="s">
        <v>1</v>
      </c>
      <c r="BM354" s="64">
        <f>IFERROR(X354*I354/H354,"0")</f>
        <v>123.76</v>
      </c>
      <c r="BN354" s="64">
        <f>IFERROR(Y354*I354/H354,"0")</f>
        <v>123.76</v>
      </c>
      <c r="BO354" s="64">
        <f>IFERROR(1/J354*(X354/H354),"0")</f>
        <v>0.16666666666666666</v>
      </c>
      <c r="BP354" s="64">
        <f>IFERROR(1/J354*(Y354/H354),"0")</f>
        <v>0.16666666666666666</v>
      </c>
    </row>
    <row r="355" spans="1:68" ht="16.5" hidden="1" customHeight="1" x14ac:dyDescent="0.25">
      <c r="A355" s="54" t="s">
        <v>566</v>
      </c>
      <c r="B355" s="54" t="s">
        <v>567</v>
      </c>
      <c r="C355" s="31">
        <v>4301020179</v>
      </c>
      <c r="D355" s="547">
        <v>4607091384178</v>
      </c>
      <c r="E355" s="548"/>
      <c r="F355" s="542">
        <v>0.4</v>
      </c>
      <c r="G355" s="32">
        <v>10</v>
      </c>
      <c r="H355" s="542">
        <v>4</v>
      </c>
      <c r="I355" s="542">
        <v>4.1900000000000004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85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50"/>
      <c r="R355" s="550"/>
      <c r="S355" s="550"/>
      <c r="T355" s="551"/>
      <c r="U355" s="34"/>
      <c r="V355" s="34"/>
      <c r="W355" s="35" t="s">
        <v>69</v>
      </c>
      <c r="X355" s="543">
        <v>0</v>
      </c>
      <c r="Y355" s="544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09" t="s">
        <v>565</v>
      </c>
      <c r="AG355" s="64"/>
      <c r="AJ355" s="68"/>
      <c r="AK355" s="68">
        <v>0</v>
      </c>
      <c r="BB355" s="410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553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61" t="s">
        <v>71</v>
      </c>
      <c r="Q356" s="562"/>
      <c r="R356" s="562"/>
      <c r="S356" s="562"/>
      <c r="T356" s="562"/>
      <c r="U356" s="562"/>
      <c r="V356" s="563"/>
      <c r="W356" s="37" t="s">
        <v>72</v>
      </c>
      <c r="X356" s="545">
        <f>IFERROR(X354/H354,"0")+IFERROR(X355/H355,"0")</f>
        <v>8</v>
      </c>
      <c r="Y356" s="545">
        <f>IFERROR(Y354/H354,"0")+IFERROR(Y355/H355,"0")</f>
        <v>8</v>
      </c>
      <c r="Z356" s="545">
        <f>IFERROR(IF(Z354="",0,Z354),"0")+IFERROR(IF(Z355="",0,Z355),"0")</f>
        <v>0.17399999999999999</v>
      </c>
      <c r="AA356" s="546"/>
      <c r="AB356" s="546"/>
      <c r="AC356" s="546"/>
    </row>
    <row r="357" spans="1:68" x14ac:dyDescent="0.2">
      <c r="A357" s="554"/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5"/>
      <c r="P357" s="561" t="s">
        <v>71</v>
      </c>
      <c r="Q357" s="562"/>
      <c r="R357" s="562"/>
      <c r="S357" s="562"/>
      <c r="T357" s="562"/>
      <c r="U357" s="562"/>
      <c r="V357" s="563"/>
      <c r="W357" s="37" t="s">
        <v>69</v>
      </c>
      <c r="X357" s="545">
        <f>IFERROR(SUM(X354:X355),"0")</f>
        <v>120</v>
      </c>
      <c r="Y357" s="545">
        <f>IFERROR(SUM(Y354:Y355),"0")</f>
        <v>120</v>
      </c>
      <c r="Z357" s="37"/>
      <c r="AA357" s="546"/>
      <c r="AB357" s="546"/>
      <c r="AC357" s="546"/>
    </row>
    <row r="358" spans="1:68" ht="14.25" hidden="1" customHeight="1" x14ac:dyDescent="0.25">
      <c r="A358" s="559" t="s">
        <v>73</v>
      </c>
      <c r="B358" s="554"/>
      <c r="C358" s="554"/>
      <c r="D358" s="554"/>
      <c r="E358" s="554"/>
      <c r="F358" s="554"/>
      <c r="G358" s="554"/>
      <c r="H358" s="554"/>
      <c r="I358" s="554"/>
      <c r="J358" s="554"/>
      <c r="K358" s="554"/>
      <c r="L358" s="554"/>
      <c r="M358" s="554"/>
      <c r="N358" s="554"/>
      <c r="O358" s="554"/>
      <c r="P358" s="554"/>
      <c r="Q358" s="554"/>
      <c r="R358" s="554"/>
      <c r="S358" s="554"/>
      <c r="T358" s="554"/>
      <c r="U358" s="554"/>
      <c r="V358" s="554"/>
      <c r="W358" s="554"/>
      <c r="X358" s="554"/>
      <c r="Y358" s="554"/>
      <c r="Z358" s="554"/>
      <c r="AA358" s="537"/>
      <c r="AB358" s="537"/>
      <c r="AC358" s="537"/>
    </row>
    <row r="359" spans="1:68" ht="27" hidden="1" customHeight="1" x14ac:dyDescent="0.25">
      <c r="A359" s="54" t="s">
        <v>568</v>
      </c>
      <c r="B359" s="54" t="s">
        <v>569</v>
      </c>
      <c r="C359" s="31">
        <v>4301051903</v>
      </c>
      <c r="D359" s="547">
        <v>4607091383928</v>
      </c>
      <c r="E359" s="548"/>
      <c r="F359" s="542">
        <v>1.5</v>
      </c>
      <c r="G359" s="32">
        <v>6</v>
      </c>
      <c r="H359" s="542">
        <v>9</v>
      </c>
      <c r="I359" s="542">
        <v>9.5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9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50"/>
      <c r="R359" s="550"/>
      <c r="S359" s="550"/>
      <c r="T359" s="551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571</v>
      </c>
      <c r="B360" s="54" t="s">
        <v>572</v>
      </c>
      <c r="C360" s="31">
        <v>4301051897</v>
      </c>
      <c r="D360" s="547">
        <v>4607091384260</v>
      </c>
      <c r="E360" s="548"/>
      <c r="F360" s="542">
        <v>1.5</v>
      </c>
      <c r="G360" s="32">
        <v>6</v>
      </c>
      <c r="H360" s="542">
        <v>9</v>
      </c>
      <c r="I360" s="542">
        <v>9.4939999999999998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8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50"/>
      <c r="R360" s="550"/>
      <c r="S360" s="550"/>
      <c r="T360" s="551"/>
      <c r="U360" s="34"/>
      <c r="V360" s="34"/>
      <c r="W360" s="35" t="s">
        <v>69</v>
      </c>
      <c r="X360" s="543">
        <v>0</v>
      </c>
      <c r="Y360" s="5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13" t="s">
        <v>573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553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61" t="s">
        <v>71</v>
      </c>
      <c r="Q361" s="562"/>
      <c r="R361" s="562"/>
      <c r="S361" s="562"/>
      <c r="T361" s="562"/>
      <c r="U361" s="562"/>
      <c r="V361" s="563"/>
      <c r="W361" s="37" t="s">
        <v>72</v>
      </c>
      <c r="X361" s="545">
        <f>IFERROR(X359/H359,"0")+IFERROR(X360/H360,"0")</f>
        <v>0</v>
      </c>
      <c r="Y361" s="545">
        <f>IFERROR(Y359/H359,"0")+IFERROR(Y360/H360,"0")</f>
        <v>0</v>
      </c>
      <c r="Z361" s="545">
        <f>IFERROR(IF(Z359="",0,Z359),"0")+IFERROR(IF(Z360="",0,Z360),"0")</f>
        <v>0</v>
      </c>
      <c r="AA361" s="546"/>
      <c r="AB361" s="546"/>
      <c r="AC361" s="546"/>
    </row>
    <row r="362" spans="1:68" hidden="1" x14ac:dyDescent="0.2">
      <c r="A362" s="554"/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5"/>
      <c r="P362" s="561" t="s">
        <v>71</v>
      </c>
      <c r="Q362" s="562"/>
      <c r="R362" s="562"/>
      <c r="S362" s="562"/>
      <c r="T362" s="562"/>
      <c r="U362" s="562"/>
      <c r="V362" s="563"/>
      <c r="W362" s="37" t="s">
        <v>69</v>
      </c>
      <c r="X362" s="545">
        <f>IFERROR(SUM(X359:X360),"0")</f>
        <v>0</v>
      </c>
      <c r="Y362" s="545">
        <f>IFERROR(SUM(Y359:Y360),"0")</f>
        <v>0</v>
      </c>
      <c r="Z362" s="37"/>
      <c r="AA362" s="546"/>
      <c r="AB362" s="546"/>
      <c r="AC362" s="546"/>
    </row>
    <row r="363" spans="1:68" ht="14.25" hidden="1" customHeight="1" x14ac:dyDescent="0.25">
      <c r="A363" s="559" t="s">
        <v>164</v>
      </c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4"/>
      <c r="P363" s="554"/>
      <c r="Q363" s="554"/>
      <c r="R363" s="554"/>
      <c r="S363" s="554"/>
      <c r="T363" s="554"/>
      <c r="U363" s="554"/>
      <c r="V363" s="554"/>
      <c r="W363" s="554"/>
      <c r="X363" s="554"/>
      <c r="Y363" s="554"/>
      <c r="Z363" s="554"/>
      <c r="AA363" s="537"/>
      <c r="AB363" s="537"/>
      <c r="AC363" s="537"/>
    </row>
    <row r="364" spans="1:68" ht="16.5" hidden="1" customHeight="1" x14ac:dyDescent="0.25">
      <c r="A364" s="54" t="s">
        <v>574</v>
      </c>
      <c r="B364" s="54" t="s">
        <v>575</v>
      </c>
      <c r="C364" s="31">
        <v>4301060524</v>
      </c>
      <c r="D364" s="547">
        <v>4607091384673</v>
      </c>
      <c r="E364" s="548"/>
      <c r="F364" s="542">
        <v>1.5</v>
      </c>
      <c r="G364" s="32">
        <v>6</v>
      </c>
      <c r="H364" s="542">
        <v>9</v>
      </c>
      <c r="I364" s="542">
        <v>9.4939999999999998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82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576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53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61" t="s">
        <v>71</v>
      </c>
      <c r="Q365" s="562"/>
      <c r="R365" s="562"/>
      <c r="S365" s="562"/>
      <c r="T365" s="562"/>
      <c r="U365" s="562"/>
      <c r="V365" s="563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hidden="1" x14ac:dyDescent="0.2">
      <c r="A366" s="554"/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5"/>
      <c r="P366" s="561" t="s">
        <v>71</v>
      </c>
      <c r="Q366" s="562"/>
      <c r="R366" s="562"/>
      <c r="S366" s="562"/>
      <c r="T366" s="562"/>
      <c r="U366" s="562"/>
      <c r="V366" s="563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hidden="1" customHeight="1" x14ac:dyDescent="0.25">
      <c r="A367" s="558" t="s">
        <v>577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8"/>
      <c r="AB367" s="538"/>
      <c r="AC367" s="538"/>
    </row>
    <row r="368" spans="1:68" ht="14.25" hidden="1" customHeight="1" x14ac:dyDescent="0.25">
      <c r="A368" s="559" t="s">
        <v>101</v>
      </c>
      <c r="B368" s="554"/>
      <c r="C368" s="554"/>
      <c r="D368" s="554"/>
      <c r="E368" s="554"/>
      <c r="F368" s="554"/>
      <c r="G368" s="554"/>
      <c r="H368" s="554"/>
      <c r="I368" s="554"/>
      <c r="J368" s="554"/>
      <c r="K368" s="554"/>
      <c r="L368" s="554"/>
      <c r="M368" s="554"/>
      <c r="N368" s="554"/>
      <c r="O368" s="554"/>
      <c r="P368" s="554"/>
      <c r="Q368" s="554"/>
      <c r="R368" s="554"/>
      <c r="S368" s="554"/>
      <c r="T368" s="554"/>
      <c r="U368" s="554"/>
      <c r="V368" s="554"/>
      <c r="W368" s="554"/>
      <c r="X368" s="554"/>
      <c r="Y368" s="554"/>
      <c r="Z368" s="554"/>
      <c r="AA368" s="537"/>
      <c r="AB368" s="537"/>
      <c r="AC368" s="537"/>
    </row>
    <row r="369" spans="1:68" ht="37.5" hidden="1" customHeight="1" x14ac:dyDescent="0.25">
      <c r="A369" s="54" t="s">
        <v>578</v>
      </c>
      <c r="B369" s="54" t="s">
        <v>579</v>
      </c>
      <c r="C369" s="31">
        <v>4301011875</v>
      </c>
      <c r="D369" s="547">
        <v>4680115884885</v>
      </c>
      <c r="E369" s="548"/>
      <c r="F369" s="542">
        <v>0.8</v>
      </c>
      <c r="G369" s="32">
        <v>15</v>
      </c>
      <c r="H369" s="542">
        <v>12</v>
      </c>
      <c r="I369" s="542">
        <v>12.41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81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50"/>
      <c r="R369" s="550"/>
      <c r="S369" s="550"/>
      <c r="T369" s="551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580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hidden="1" customHeight="1" x14ac:dyDescent="0.25">
      <c r="A370" s="54" t="s">
        <v>581</v>
      </c>
      <c r="B370" s="54" t="s">
        <v>582</v>
      </c>
      <c r="C370" s="31">
        <v>4301011871</v>
      </c>
      <c r="D370" s="547">
        <v>4680115884908</v>
      </c>
      <c r="E370" s="548"/>
      <c r="F370" s="542">
        <v>0.4</v>
      </c>
      <c r="G370" s="32">
        <v>10</v>
      </c>
      <c r="H370" s="542">
        <v>4</v>
      </c>
      <c r="I370" s="542">
        <v>4.1900000000000004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84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50"/>
      <c r="R370" s="550"/>
      <c r="S370" s="550"/>
      <c r="T370" s="551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580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53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61" t="s">
        <v>71</v>
      </c>
      <c r="Q371" s="562"/>
      <c r="R371" s="562"/>
      <c r="S371" s="562"/>
      <c r="T371" s="562"/>
      <c r="U371" s="562"/>
      <c r="V371" s="563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hidden="1" x14ac:dyDescent="0.2">
      <c r="A372" s="554"/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5"/>
      <c r="P372" s="561" t="s">
        <v>71</v>
      </c>
      <c r="Q372" s="562"/>
      <c r="R372" s="562"/>
      <c r="S372" s="562"/>
      <c r="T372" s="562"/>
      <c r="U372" s="562"/>
      <c r="V372" s="563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hidden="1" customHeight="1" x14ac:dyDescent="0.25">
      <c r="A373" s="559" t="s">
        <v>64</v>
      </c>
      <c r="B373" s="554"/>
      <c r="C373" s="554"/>
      <c r="D373" s="554"/>
      <c r="E373" s="554"/>
      <c r="F373" s="554"/>
      <c r="G373" s="554"/>
      <c r="H373" s="554"/>
      <c r="I373" s="554"/>
      <c r="J373" s="554"/>
      <c r="K373" s="554"/>
      <c r="L373" s="554"/>
      <c r="M373" s="554"/>
      <c r="N373" s="554"/>
      <c r="O373" s="554"/>
      <c r="P373" s="554"/>
      <c r="Q373" s="554"/>
      <c r="R373" s="554"/>
      <c r="S373" s="554"/>
      <c r="T373" s="554"/>
      <c r="U373" s="554"/>
      <c r="V373" s="554"/>
      <c r="W373" s="554"/>
      <c r="X373" s="554"/>
      <c r="Y373" s="554"/>
      <c r="Z373" s="554"/>
      <c r="AA373" s="537"/>
      <c r="AB373" s="537"/>
      <c r="AC373" s="537"/>
    </row>
    <row r="374" spans="1:68" ht="27" hidden="1" customHeight="1" x14ac:dyDescent="0.25">
      <c r="A374" s="54" t="s">
        <v>583</v>
      </c>
      <c r="B374" s="54" t="s">
        <v>584</v>
      </c>
      <c r="C374" s="31">
        <v>4301031303</v>
      </c>
      <c r="D374" s="547">
        <v>4607091384802</v>
      </c>
      <c r="E374" s="548"/>
      <c r="F374" s="542">
        <v>0.73</v>
      </c>
      <c r="G374" s="32">
        <v>6</v>
      </c>
      <c r="H374" s="542">
        <v>4.38</v>
      </c>
      <c r="I374" s="542">
        <v>4.63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1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50"/>
      <c r="R374" s="550"/>
      <c r="S374" s="550"/>
      <c r="T374" s="551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585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583</v>
      </c>
      <c r="B375" s="54" t="s">
        <v>586</v>
      </c>
      <c r="C375" s="31">
        <v>4301031457</v>
      </c>
      <c r="D375" s="547">
        <v>4607091384802</v>
      </c>
      <c r="E375" s="548"/>
      <c r="F375" s="542">
        <v>0.7</v>
      </c>
      <c r="G375" s="32">
        <v>6</v>
      </c>
      <c r="H375" s="542">
        <v>4.2</v>
      </c>
      <c r="I375" s="542">
        <v>4.45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2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50"/>
      <c r="R375" s="550"/>
      <c r="S375" s="550"/>
      <c r="T375" s="551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587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53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61" t="s">
        <v>71</v>
      </c>
      <c r="Q376" s="562"/>
      <c r="R376" s="562"/>
      <c r="S376" s="562"/>
      <c r="T376" s="562"/>
      <c r="U376" s="562"/>
      <c r="V376" s="563"/>
      <c r="W376" s="37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hidden="1" x14ac:dyDescent="0.2">
      <c r="A377" s="554"/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5"/>
      <c r="P377" s="561" t="s">
        <v>71</v>
      </c>
      <c r="Q377" s="562"/>
      <c r="R377" s="562"/>
      <c r="S377" s="562"/>
      <c r="T377" s="562"/>
      <c r="U377" s="562"/>
      <c r="V377" s="563"/>
      <c r="W377" s="37" t="s">
        <v>69</v>
      </c>
      <c r="X377" s="545">
        <f>IFERROR(SUM(X374:X375),"0")</f>
        <v>0</v>
      </c>
      <c r="Y377" s="545">
        <f>IFERROR(SUM(Y374:Y375),"0")</f>
        <v>0</v>
      </c>
      <c r="Z377" s="37"/>
      <c r="AA377" s="546"/>
      <c r="AB377" s="546"/>
      <c r="AC377" s="546"/>
    </row>
    <row r="378" spans="1:68" ht="14.25" hidden="1" customHeight="1" x14ac:dyDescent="0.25">
      <c r="A378" s="559" t="s">
        <v>73</v>
      </c>
      <c r="B378" s="554"/>
      <c r="C378" s="554"/>
      <c r="D378" s="554"/>
      <c r="E378" s="554"/>
      <c r="F378" s="554"/>
      <c r="G378" s="554"/>
      <c r="H378" s="554"/>
      <c r="I378" s="554"/>
      <c r="J378" s="554"/>
      <c r="K378" s="554"/>
      <c r="L378" s="554"/>
      <c r="M378" s="554"/>
      <c r="N378" s="554"/>
      <c r="O378" s="554"/>
      <c r="P378" s="554"/>
      <c r="Q378" s="554"/>
      <c r="R378" s="554"/>
      <c r="S378" s="554"/>
      <c r="T378" s="554"/>
      <c r="U378" s="554"/>
      <c r="V378" s="554"/>
      <c r="W378" s="554"/>
      <c r="X378" s="554"/>
      <c r="Y378" s="554"/>
      <c r="Z378" s="554"/>
      <c r="AA378" s="537"/>
      <c r="AB378" s="537"/>
      <c r="AC378" s="537"/>
    </row>
    <row r="379" spans="1:68" ht="27" hidden="1" customHeight="1" x14ac:dyDescent="0.25">
      <c r="A379" s="54" t="s">
        <v>588</v>
      </c>
      <c r="B379" s="54" t="s">
        <v>589</v>
      </c>
      <c r="C379" s="31">
        <v>4301051899</v>
      </c>
      <c r="D379" s="547">
        <v>4607091384246</v>
      </c>
      <c r="E379" s="548"/>
      <c r="F379" s="542">
        <v>1.5</v>
      </c>
      <c r="G379" s="32">
        <v>6</v>
      </c>
      <c r="H379" s="542">
        <v>9</v>
      </c>
      <c r="I379" s="542">
        <v>9.4939999999999998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59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25" t="s">
        <v>590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591</v>
      </c>
      <c r="B380" s="54" t="s">
        <v>592</v>
      </c>
      <c r="C380" s="31">
        <v>4301051660</v>
      </c>
      <c r="D380" s="547">
        <v>4607091384253</v>
      </c>
      <c r="E380" s="548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4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50"/>
      <c r="R380" s="550"/>
      <c r="S380" s="550"/>
      <c r="T380" s="551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590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53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61" t="s">
        <v>71</v>
      </c>
      <c r="Q381" s="562"/>
      <c r="R381" s="562"/>
      <c r="S381" s="562"/>
      <c r="T381" s="562"/>
      <c r="U381" s="562"/>
      <c r="V381" s="563"/>
      <c r="W381" s="37" t="s">
        <v>72</v>
      </c>
      <c r="X381" s="545">
        <f>IFERROR(X379/H379,"0")+IFERROR(X380/H380,"0")</f>
        <v>0</v>
      </c>
      <c r="Y381" s="545">
        <f>IFERROR(Y379/H379,"0")+IFERROR(Y380/H380,"0")</f>
        <v>0</v>
      </c>
      <c r="Z381" s="545">
        <f>IFERROR(IF(Z379="",0,Z379),"0")+IFERROR(IF(Z380="",0,Z380),"0")</f>
        <v>0</v>
      </c>
      <c r="AA381" s="546"/>
      <c r="AB381" s="546"/>
      <c r="AC381" s="546"/>
    </row>
    <row r="382" spans="1:68" hidden="1" x14ac:dyDescent="0.2">
      <c r="A382" s="554"/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5"/>
      <c r="P382" s="561" t="s">
        <v>71</v>
      </c>
      <c r="Q382" s="562"/>
      <c r="R382" s="562"/>
      <c r="S382" s="562"/>
      <c r="T382" s="562"/>
      <c r="U382" s="562"/>
      <c r="V382" s="563"/>
      <c r="W382" s="37" t="s">
        <v>69</v>
      </c>
      <c r="X382" s="545">
        <f>IFERROR(SUM(X379:X380),"0")</f>
        <v>0</v>
      </c>
      <c r="Y382" s="545">
        <f>IFERROR(SUM(Y379:Y380),"0")</f>
        <v>0</v>
      </c>
      <c r="Z382" s="37"/>
      <c r="AA382" s="546"/>
      <c r="AB382" s="546"/>
      <c r="AC382" s="546"/>
    </row>
    <row r="383" spans="1:68" ht="27.75" hidden="1" customHeight="1" x14ac:dyDescent="0.2">
      <c r="A383" s="569" t="s">
        <v>593</v>
      </c>
      <c r="B383" s="570"/>
      <c r="C383" s="570"/>
      <c r="D383" s="570"/>
      <c r="E383" s="570"/>
      <c r="F383" s="570"/>
      <c r="G383" s="570"/>
      <c r="H383" s="570"/>
      <c r="I383" s="570"/>
      <c r="J383" s="570"/>
      <c r="K383" s="570"/>
      <c r="L383" s="570"/>
      <c r="M383" s="570"/>
      <c r="N383" s="570"/>
      <c r="O383" s="570"/>
      <c r="P383" s="570"/>
      <c r="Q383" s="570"/>
      <c r="R383" s="570"/>
      <c r="S383" s="570"/>
      <c r="T383" s="570"/>
      <c r="U383" s="570"/>
      <c r="V383" s="570"/>
      <c r="W383" s="570"/>
      <c r="X383" s="570"/>
      <c r="Y383" s="570"/>
      <c r="Z383" s="570"/>
      <c r="AA383" s="48"/>
      <c r="AB383" s="48"/>
      <c r="AC383" s="48"/>
    </row>
    <row r="384" spans="1:68" ht="16.5" hidden="1" customHeight="1" x14ac:dyDescent="0.25">
      <c r="A384" s="558" t="s">
        <v>594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8"/>
      <c r="AB384" s="538"/>
      <c r="AC384" s="538"/>
    </row>
    <row r="385" spans="1:68" ht="14.25" hidden="1" customHeight="1" x14ac:dyDescent="0.25">
      <c r="A385" s="559" t="s">
        <v>64</v>
      </c>
      <c r="B385" s="554"/>
      <c r="C385" s="554"/>
      <c r="D385" s="554"/>
      <c r="E385" s="554"/>
      <c r="F385" s="554"/>
      <c r="G385" s="554"/>
      <c r="H385" s="554"/>
      <c r="I385" s="554"/>
      <c r="J385" s="554"/>
      <c r="K385" s="554"/>
      <c r="L385" s="554"/>
      <c r="M385" s="554"/>
      <c r="N385" s="554"/>
      <c r="O385" s="554"/>
      <c r="P385" s="554"/>
      <c r="Q385" s="554"/>
      <c r="R385" s="554"/>
      <c r="S385" s="554"/>
      <c r="T385" s="554"/>
      <c r="U385" s="554"/>
      <c r="V385" s="554"/>
      <c r="W385" s="554"/>
      <c r="X385" s="554"/>
      <c r="Y385" s="554"/>
      <c r="Z385" s="554"/>
      <c r="AA385" s="537"/>
      <c r="AB385" s="537"/>
      <c r="AC385" s="537"/>
    </row>
    <row r="386" spans="1:68" ht="27" hidden="1" customHeight="1" x14ac:dyDescent="0.25">
      <c r="A386" s="54" t="s">
        <v>595</v>
      </c>
      <c r="B386" s="54" t="s">
        <v>596</v>
      </c>
      <c r="C386" s="31">
        <v>4301031405</v>
      </c>
      <c r="D386" s="547">
        <v>4680115886100</v>
      </c>
      <c r="E386" s="548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0"/>
      <c r="R386" s="550"/>
      <c r="S386" s="550"/>
      <c r="T386" s="551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hidden="1" customHeight="1" x14ac:dyDescent="0.25">
      <c r="A387" s="54" t="s">
        <v>598</v>
      </c>
      <c r="B387" s="54" t="s">
        <v>599</v>
      </c>
      <c r="C387" s="31">
        <v>4301031406</v>
      </c>
      <c r="D387" s="547">
        <v>4680115886117</v>
      </c>
      <c r="E387" s="548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0"/>
      <c r="R387" s="550"/>
      <c r="S387" s="550"/>
      <c r="T387" s="551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601</v>
      </c>
      <c r="B388" s="54" t="s">
        <v>602</v>
      </c>
      <c r="C388" s="31">
        <v>4301031402</v>
      </c>
      <c r="D388" s="547">
        <v>4680115886124</v>
      </c>
      <c r="E388" s="548"/>
      <c r="F388" s="542">
        <v>0.9</v>
      </c>
      <c r="G388" s="32">
        <v>6</v>
      </c>
      <c r="H388" s="542">
        <v>5.4</v>
      </c>
      <c r="I388" s="542">
        <v>5.59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4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0"/>
      <c r="R388" s="550"/>
      <c r="S388" s="550"/>
      <c r="T388" s="551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603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604</v>
      </c>
      <c r="B389" s="54" t="s">
        <v>605</v>
      </c>
      <c r="C389" s="31">
        <v>4301031366</v>
      </c>
      <c r="D389" s="547">
        <v>4680115883147</v>
      </c>
      <c r="E389" s="548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597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hidden="1" customHeight="1" x14ac:dyDescent="0.25">
      <c r="A390" s="54" t="s">
        <v>606</v>
      </c>
      <c r="B390" s="54" t="s">
        <v>607</v>
      </c>
      <c r="C390" s="31">
        <v>4301031362</v>
      </c>
      <c r="D390" s="547">
        <v>4607091384338</v>
      </c>
      <c r="E390" s="548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0"/>
      <c r="R390" s="550"/>
      <c r="S390" s="550"/>
      <c r="T390" s="551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597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hidden="1" customHeight="1" x14ac:dyDescent="0.25">
      <c r="A391" s="54" t="s">
        <v>608</v>
      </c>
      <c r="B391" s="54" t="s">
        <v>609</v>
      </c>
      <c r="C391" s="31">
        <v>4301031361</v>
      </c>
      <c r="D391" s="547">
        <v>4607091389524</v>
      </c>
      <c r="E391" s="548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0"/>
      <c r="R391" s="550"/>
      <c r="S391" s="550"/>
      <c r="T391" s="551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611</v>
      </c>
      <c r="B392" s="54" t="s">
        <v>612</v>
      </c>
      <c r="C392" s="31">
        <v>4301031364</v>
      </c>
      <c r="D392" s="547">
        <v>4680115883161</v>
      </c>
      <c r="E392" s="548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614</v>
      </c>
      <c r="B393" s="54" t="s">
        <v>615</v>
      </c>
      <c r="C393" s="31">
        <v>4301031358</v>
      </c>
      <c r="D393" s="547">
        <v>4607091389531</v>
      </c>
      <c r="E393" s="548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66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hidden="1" customHeight="1" x14ac:dyDescent="0.25">
      <c r="A394" s="54" t="s">
        <v>617</v>
      </c>
      <c r="B394" s="54" t="s">
        <v>618</v>
      </c>
      <c r="C394" s="31">
        <v>4301031360</v>
      </c>
      <c r="D394" s="547">
        <v>4607091384345</v>
      </c>
      <c r="E394" s="548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613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idden="1" x14ac:dyDescent="0.2">
      <c r="A395" s="553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61" t="s">
        <v>71</v>
      </c>
      <c r="Q395" s="562"/>
      <c r="R395" s="562"/>
      <c r="S395" s="562"/>
      <c r="T395" s="562"/>
      <c r="U395" s="562"/>
      <c r="V395" s="563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0</v>
      </c>
      <c r="Y395" s="545">
        <f>IFERROR(Y386/H386,"0")+IFERROR(Y387/H387,"0")+IFERROR(Y388/H388,"0")+IFERROR(Y389/H389,"0")+IFERROR(Y390/H390,"0")+IFERROR(Y391/H391,"0")+IFERROR(Y392/H392,"0")+IFERROR(Y393/H393,"0")+IFERROR(Y394/H394,"0")</f>
        <v>0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6"/>
      <c r="AB395" s="546"/>
      <c r="AC395" s="546"/>
    </row>
    <row r="396" spans="1:68" hidden="1" x14ac:dyDescent="0.2">
      <c r="A396" s="554"/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5"/>
      <c r="P396" s="561" t="s">
        <v>71</v>
      </c>
      <c r="Q396" s="562"/>
      <c r="R396" s="562"/>
      <c r="S396" s="562"/>
      <c r="T396" s="562"/>
      <c r="U396" s="562"/>
      <c r="V396" s="563"/>
      <c r="W396" s="37" t="s">
        <v>69</v>
      </c>
      <c r="X396" s="545">
        <f>IFERROR(SUM(X386:X394),"0")</f>
        <v>0</v>
      </c>
      <c r="Y396" s="545">
        <f>IFERROR(SUM(Y386:Y394),"0")</f>
        <v>0</v>
      </c>
      <c r="Z396" s="37"/>
      <c r="AA396" s="546"/>
      <c r="AB396" s="546"/>
      <c r="AC396" s="546"/>
    </row>
    <row r="397" spans="1:68" ht="14.25" hidden="1" customHeight="1" x14ac:dyDescent="0.25">
      <c r="A397" s="559" t="s">
        <v>73</v>
      </c>
      <c r="B397" s="554"/>
      <c r="C397" s="554"/>
      <c r="D397" s="554"/>
      <c r="E397" s="554"/>
      <c r="F397" s="554"/>
      <c r="G397" s="554"/>
      <c r="H397" s="554"/>
      <c r="I397" s="554"/>
      <c r="J397" s="554"/>
      <c r="K397" s="554"/>
      <c r="L397" s="554"/>
      <c r="M397" s="554"/>
      <c r="N397" s="554"/>
      <c r="O397" s="554"/>
      <c r="P397" s="554"/>
      <c r="Q397" s="554"/>
      <c r="R397" s="554"/>
      <c r="S397" s="554"/>
      <c r="T397" s="554"/>
      <c r="U397" s="554"/>
      <c r="V397" s="554"/>
      <c r="W397" s="554"/>
      <c r="X397" s="554"/>
      <c r="Y397" s="554"/>
      <c r="Z397" s="554"/>
      <c r="AA397" s="537"/>
      <c r="AB397" s="537"/>
      <c r="AC397" s="537"/>
    </row>
    <row r="398" spans="1:68" ht="27" hidden="1" customHeight="1" x14ac:dyDescent="0.25">
      <c r="A398" s="54" t="s">
        <v>619</v>
      </c>
      <c r="B398" s="54" t="s">
        <v>620</v>
      </c>
      <c r="C398" s="31">
        <v>4301051284</v>
      </c>
      <c r="D398" s="547">
        <v>4607091384352</v>
      </c>
      <c r="E398" s="548"/>
      <c r="F398" s="542">
        <v>0.6</v>
      </c>
      <c r="G398" s="32">
        <v>4</v>
      </c>
      <c r="H398" s="542">
        <v>2.4</v>
      </c>
      <c r="I398" s="542">
        <v>2.6259999999999999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66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621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622</v>
      </c>
      <c r="B399" s="54" t="s">
        <v>623</v>
      </c>
      <c r="C399" s="31">
        <v>4301051431</v>
      </c>
      <c r="D399" s="547">
        <v>4607091389654</v>
      </c>
      <c r="E399" s="548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9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624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53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61" t="s">
        <v>71</v>
      </c>
      <c r="Q400" s="562"/>
      <c r="R400" s="562"/>
      <c r="S400" s="562"/>
      <c r="T400" s="562"/>
      <c r="U400" s="562"/>
      <c r="V400" s="563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hidden="1" x14ac:dyDescent="0.2">
      <c r="A401" s="554"/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5"/>
      <c r="P401" s="561" t="s">
        <v>71</v>
      </c>
      <c r="Q401" s="562"/>
      <c r="R401" s="562"/>
      <c r="S401" s="562"/>
      <c r="T401" s="562"/>
      <c r="U401" s="562"/>
      <c r="V401" s="563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hidden="1" customHeight="1" x14ac:dyDescent="0.25">
      <c r="A402" s="558" t="s">
        <v>625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8"/>
      <c r="AB402" s="538"/>
      <c r="AC402" s="538"/>
    </row>
    <row r="403" spans="1:68" ht="14.25" hidden="1" customHeight="1" x14ac:dyDescent="0.25">
      <c r="A403" s="559" t="s">
        <v>136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537"/>
      <c r="AB403" s="537"/>
      <c r="AC403" s="537"/>
    </row>
    <row r="404" spans="1:68" ht="27" hidden="1" customHeight="1" x14ac:dyDescent="0.25">
      <c r="A404" s="54" t="s">
        <v>626</v>
      </c>
      <c r="B404" s="54" t="s">
        <v>627</v>
      </c>
      <c r="C404" s="31">
        <v>4301020319</v>
      </c>
      <c r="D404" s="547">
        <v>4680115885240</v>
      </c>
      <c r="E404" s="548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0"/>
      <c r="R404" s="550"/>
      <c r="S404" s="550"/>
      <c r="T404" s="551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628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53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61" t="s">
        <v>71</v>
      </c>
      <c r="Q405" s="562"/>
      <c r="R405" s="562"/>
      <c r="S405" s="562"/>
      <c r="T405" s="562"/>
      <c r="U405" s="562"/>
      <c r="V405" s="563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hidden="1" x14ac:dyDescent="0.2">
      <c r="A406" s="554"/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5"/>
      <c r="P406" s="561" t="s">
        <v>71</v>
      </c>
      <c r="Q406" s="562"/>
      <c r="R406" s="562"/>
      <c r="S406" s="562"/>
      <c r="T406" s="562"/>
      <c r="U406" s="562"/>
      <c r="V406" s="563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hidden="1" customHeight="1" x14ac:dyDescent="0.25">
      <c r="A407" s="559" t="s">
        <v>64</v>
      </c>
      <c r="B407" s="554"/>
      <c r="C407" s="554"/>
      <c r="D407" s="554"/>
      <c r="E407" s="554"/>
      <c r="F407" s="554"/>
      <c r="G407" s="554"/>
      <c r="H407" s="554"/>
      <c r="I407" s="554"/>
      <c r="J407" s="554"/>
      <c r="K407" s="554"/>
      <c r="L407" s="554"/>
      <c r="M407" s="554"/>
      <c r="N407" s="554"/>
      <c r="O407" s="554"/>
      <c r="P407" s="554"/>
      <c r="Q407" s="554"/>
      <c r="R407" s="554"/>
      <c r="S407" s="554"/>
      <c r="T407" s="554"/>
      <c r="U407" s="554"/>
      <c r="V407" s="554"/>
      <c r="W407" s="554"/>
      <c r="X407" s="554"/>
      <c r="Y407" s="554"/>
      <c r="Z407" s="554"/>
      <c r="AA407" s="537"/>
      <c r="AB407" s="537"/>
      <c r="AC407" s="537"/>
    </row>
    <row r="408" spans="1:68" ht="27" hidden="1" customHeight="1" x14ac:dyDescent="0.25">
      <c r="A408" s="54" t="s">
        <v>629</v>
      </c>
      <c r="B408" s="54" t="s">
        <v>630</v>
      </c>
      <c r="C408" s="31">
        <v>4301031403</v>
      </c>
      <c r="D408" s="547">
        <v>4680115886094</v>
      </c>
      <c r="E408" s="548"/>
      <c r="F408" s="542">
        <v>0.9</v>
      </c>
      <c r="G408" s="32">
        <v>6</v>
      </c>
      <c r="H408" s="542">
        <v>5.4</v>
      </c>
      <c r="I408" s="542">
        <v>5.59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3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0"/>
      <c r="R408" s="550"/>
      <c r="S408" s="550"/>
      <c r="T408" s="551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631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632</v>
      </c>
      <c r="B409" s="54" t="s">
        <v>633</v>
      </c>
      <c r="C409" s="31">
        <v>4301031363</v>
      </c>
      <c r="D409" s="547">
        <v>4607091389425</v>
      </c>
      <c r="E409" s="548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635</v>
      </c>
      <c r="B410" s="54" t="s">
        <v>636</v>
      </c>
      <c r="C410" s="31">
        <v>4301031373</v>
      </c>
      <c r="D410" s="547">
        <v>4680115880771</v>
      </c>
      <c r="E410" s="548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0"/>
      <c r="R410" s="550"/>
      <c r="S410" s="550"/>
      <c r="T410" s="551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637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638</v>
      </c>
      <c r="B411" s="54" t="s">
        <v>639</v>
      </c>
      <c r="C411" s="31">
        <v>4301031359</v>
      </c>
      <c r="D411" s="547">
        <v>4607091389500</v>
      </c>
      <c r="E411" s="548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8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0"/>
      <c r="R411" s="550"/>
      <c r="S411" s="550"/>
      <c r="T411" s="551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637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53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61" t="s">
        <v>71</v>
      </c>
      <c r="Q412" s="562"/>
      <c r="R412" s="562"/>
      <c r="S412" s="562"/>
      <c r="T412" s="562"/>
      <c r="U412" s="562"/>
      <c r="V412" s="563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hidden="1" x14ac:dyDescent="0.2">
      <c r="A413" s="554"/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5"/>
      <c r="P413" s="561" t="s">
        <v>71</v>
      </c>
      <c r="Q413" s="562"/>
      <c r="R413" s="562"/>
      <c r="S413" s="562"/>
      <c r="T413" s="562"/>
      <c r="U413" s="562"/>
      <c r="V413" s="563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hidden="1" customHeight="1" x14ac:dyDescent="0.25">
      <c r="A414" s="558" t="s">
        <v>640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8"/>
      <c r="AB414" s="538"/>
      <c r="AC414" s="538"/>
    </row>
    <row r="415" spans="1:68" ht="14.25" hidden="1" customHeight="1" x14ac:dyDescent="0.25">
      <c r="A415" s="559" t="s">
        <v>64</v>
      </c>
      <c r="B415" s="554"/>
      <c r="C415" s="554"/>
      <c r="D415" s="554"/>
      <c r="E415" s="554"/>
      <c r="F415" s="554"/>
      <c r="G415" s="554"/>
      <c r="H415" s="554"/>
      <c r="I415" s="554"/>
      <c r="J415" s="554"/>
      <c r="K415" s="554"/>
      <c r="L415" s="554"/>
      <c r="M415" s="554"/>
      <c r="N415" s="554"/>
      <c r="O415" s="554"/>
      <c r="P415" s="554"/>
      <c r="Q415" s="554"/>
      <c r="R415" s="554"/>
      <c r="S415" s="554"/>
      <c r="T415" s="554"/>
      <c r="U415" s="554"/>
      <c r="V415" s="554"/>
      <c r="W415" s="554"/>
      <c r="X415" s="554"/>
      <c r="Y415" s="554"/>
      <c r="Z415" s="554"/>
      <c r="AA415" s="537"/>
      <c r="AB415" s="537"/>
      <c r="AC415" s="537"/>
    </row>
    <row r="416" spans="1:68" ht="27" hidden="1" customHeight="1" x14ac:dyDescent="0.25">
      <c r="A416" s="54" t="s">
        <v>641</v>
      </c>
      <c r="B416" s="54" t="s">
        <v>642</v>
      </c>
      <c r="C416" s="31">
        <v>4301031347</v>
      </c>
      <c r="D416" s="547">
        <v>4680115885110</v>
      </c>
      <c r="E416" s="548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8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0"/>
      <c r="R416" s="550"/>
      <c r="S416" s="550"/>
      <c r="T416" s="551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643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53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61" t="s">
        <v>71</v>
      </c>
      <c r="Q417" s="562"/>
      <c r="R417" s="562"/>
      <c r="S417" s="562"/>
      <c r="T417" s="562"/>
      <c r="U417" s="562"/>
      <c r="V417" s="563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hidden="1" x14ac:dyDescent="0.2">
      <c r="A418" s="554"/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5"/>
      <c r="P418" s="561" t="s">
        <v>71</v>
      </c>
      <c r="Q418" s="562"/>
      <c r="R418" s="562"/>
      <c r="S418" s="562"/>
      <c r="T418" s="562"/>
      <c r="U418" s="562"/>
      <c r="V418" s="563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hidden="1" customHeight="1" x14ac:dyDescent="0.2">
      <c r="A419" s="569" t="s">
        <v>644</v>
      </c>
      <c r="B419" s="570"/>
      <c r="C419" s="570"/>
      <c r="D419" s="570"/>
      <c r="E419" s="570"/>
      <c r="F419" s="570"/>
      <c r="G419" s="570"/>
      <c r="H419" s="570"/>
      <c r="I419" s="570"/>
      <c r="J419" s="570"/>
      <c r="K419" s="570"/>
      <c r="L419" s="570"/>
      <c r="M419" s="570"/>
      <c r="N419" s="570"/>
      <c r="O419" s="570"/>
      <c r="P419" s="570"/>
      <c r="Q419" s="570"/>
      <c r="R419" s="570"/>
      <c r="S419" s="570"/>
      <c r="T419" s="570"/>
      <c r="U419" s="570"/>
      <c r="V419" s="570"/>
      <c r="W419" s="570"/>
      <c r="X419" s="570"/>
      <c r="Y419" s="570"/>
      <c r="Z419" s="570"/>
      <c r="AA419" s="48"/>
      <c r="AB419" s="48"/>
      <c r="AC419" s="48"/>
    </row>
    <row r="420" spans="1:68" ht="16.5" hidden="1" customHeight="1" x14ac:dyDescent="0.25">
      <c r="A420" s="558" t="s">
        <v>644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8"/>
      <c r="AB420" s="538"/>
      <c r="AC420" s="538"/>
    </row>
    <row r="421" spans="1:68" ht="14.25" hidden="1" customHeight="1" x14ac:dyDescent="0.25">
      <c r="A421" s="559" t="s">
        <v>101</v>
      </c>
      <c r="B421" s="554"/>
      <c r="C421" s="554"/>
      <c r="D421" s="554"/>
      <c r="E421" s="554"/>
      <c r="F421" s="554"/>
      <c r="G421" s="554"/>
      <c r="H421" s="554"/>
      <c r="I421" s="554"/>
      <c r="J421" s="554"/>
      <c r="K421" s="554"/>
      <c r="L421" s="554"/>
      <c r="M421" s="554"/>
      <c r="N421" s="554"/>
      <c r="O421" s="554"/>
      <c r="P421" s="554"/>
      <c r="Q421" s="554"/>
      <c r="R421" s="554"/>
      <c r="S421" s="554"/>
      <c r="T421" s="554"/>
      <c r="U421" s="554"/>
      <c r="V421" s="554"/>
      <c r="W421" s="554"/>
      <c r="X421" s="554"/>
      <c r="Y421" s="554"/>
      <c r="Z421" s="554"/>
      <c r="AA421" s="537"/>
      <c r="AB421" s="537"/>
      <c r="AC421" s="537"/>
    </row>
    <row r="422" spans="1:68" ht="27" hidden="1" customHeight="1" x14ac:dyDescent="0.25">
      <c r="A422" s="54" t="s">
        <v>645</v>
      </c>
      <c r="B422" s="54" t="s">
        <v>646</v>
      </c>
      <c r="C422" s="31">
        <v>4301011795</v>
      </c>
      <c r="D422" s="547">
        <v>4607091389067</v>
      </c>
      <c r="E422" s="548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8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0"/>
      <c r="R422" s="550"/>
      <c r="S422" s="550"/>
      <c r="T422" s="551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hidden="1" customHeight="1" x14ac:dyDescent="0.25">
      <c r="A423" s="54" t="s">
        <v>647</v>
      </c>
      <c r="B423" s="54" t="s">
        <v>648</v>
      </c>
      <c r="C423" s="31">
        <v>4301011961</v>
      </c>
      <c r="D423" s="547">
        <v>4680115885271</v>
      </c>
      <c r="E423" s="548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5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0"/>
      <c r="R423" s="550"/>
      <c r="S423" s="550"/>
      <c r="T423" s="551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649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650</v>
      </c>
      <c r="B424" s="54" t="s">
        <v>651</v>
      </c>
      <c r="C424" s="31">
        <v>4301011376</v>
      </c>
      <c r="D424" s="547">
        <v>4680115885226</v>
      </c>
      <c r="E424" s="548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3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0"/>
      <c r="R424" s="550"/>
      <c r="S424" s="550"/>
      <c r="T424" s="551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652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hidden="1" customHeight="1" x14ac:dyDescent="0.25">
      <c r="A425" s="54" t="s">
        <v>653</v>
      </c>
      <c r="B425" s="54" t="s">
        <v>654</v>
      </c>
      <c r="C425" s="31">
        <v>4301012145</v>
      </c>
      <c r="D425" s="547">
        <v>4607091383522</v>
      </c>
      <c r="E425" s="548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1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50"/>
      <c r="R425" s="550"/>
      <c r="S425" s="550"/>
      <c r="T425" s="551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hidden="1" customHeight="1" x14ac:dyDescent="0.25">
      <c r="A426" s="54" t="s">
        <v>656</v>
      </c>
      <c r="B426" s="54" t="s">
        <v>657</v>
      </c>
      <c r="C426" s="31">
        <v>4301011774</v>
      </c>
      <c r="D426" s="547">
        <v>4680115884502</v>
      </c>
      <c r="E426" s="548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4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0"/>
      <c r="R426" s="550"/>
      <c r="S426" s="550"/>
      <c r="T426" s="551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658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hidden="1" customHeight="1" x14ac:dyDescent="0.25">
      <c r="A427" s="54" t="s">
        <v>659</v>
      </c>
      <c r="B427" s="54" t="s">
        <v>660</v>
      </c>
      <c r="C427" s="31">
        <v>4301011771</v>
      </c>
      <c r="D427" s="547">
        <v>4607091389104</v>
      </c>
      <c r="E427" s="548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69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0"/>
      <c r="R427" s="550"/>
      <c r="S427" s="550"/>
      <c r="T427" s="551"/>
      <c r="U427" s="34"/>
      <c r="V427" s="34"/>
      <c r="W427" s="35" t="s">
        <v>69</v>
      </c>
      <c r="X427" s="543">
        <v>0</v>
      </c>
      <c r="Y427" s="544">
        <f t="shared" si="47"/>
        <v>0</v>
      </c>
      <c r="Z427" s="36" t="str">
        <f t="shared" si="48"/>
        <v/>
      </c>
      <c r="AA427" s="56"/>
      <c r="AB427" s="57"/>
      <c r="AC427" s="473" t="s">
        <v>661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662</v>
      </c>
      <c r="B428" s="54" t="s">
        <v>663</v>
      </c>
      <c r="C428" s="31">
        <v>4301012125</v>
      </c>
      <c r="D428" s="547">
        <v>4680115886391</v>
      </c>
      <c r="E428" s="548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664</v>
      </c>
      <c r="B429" s="54" t="s">
        <v>665</v>
      </c>
      <c r="C429" s="31">
        <v>4301012035</v>
      </c>
      <c r="D429" s="547">
        <v>4680115880603</v>
      </c>
      <c r="E429" s="548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666</v>
      </c>
      <c r="B430" s="54" t="s">
        <v>667</v>
      </c>
      <c r="C430" s="31">
        <v>4301012036</v>
      </c>
      <c r="D430" s="547">
        <v>4680115882782</v>
      </c>
      <c r="E430" s="548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668</v>
      </c>
      <c r="B431" s="54" t="s">
        <v>669</v>
      </c>
      <c r="C431" s="31">
        <v>4301012050</v>
      </c>
      <c r="D431" s="547">
        <v>4680115885479</v>
      </c>
      <c r="E431" s="548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9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670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4301012034</v>
      </c>
      <c r="D432" s="547">
        <v>4607091389982</v>
      </c>
      <c r="E432" s="548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661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idden="1" x14ac:dyDescent="0.2">
      <c r="A433" s="553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61" t="s">
        <v>71</v>
      </c>
      <c r="Q433" s="562"/>
      <c r="R433" s="562"/>
      <c r="S433" s="562"/>
      <c r="T433" s="562"/>
      <c r="U433" s="562"/>
      <c r="V433" s="563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0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0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546"/>
      <c r="AB433" s="546"/>
      <c r="AC433" s="546"/>
    </row>
    <row r="434" spans="1:68" hidden="1" x14ac:dyDescent="0.2">
      <c r="A434" s="554"/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5"/>
      <c r="P434" s="561" t="s">
        <v>71</v>
      </c>
      <c r="Q434" s="562"/>
      <c r="R434" s="562"/>
      <c r="S434" s="562"/>
      <c r="T434" s="562"/>
      <c r="U434" s="562"/>
      <c r="V434" s="563"/>
      <c r="W434" s="37" t="s">
        <v>69</v>
      </c>
      <c r="X434" s="545">
        <f>IFERROR(SUM(X422:X432),"0")</f>
        <v>0</v>
      </c>
      <c r="Y434" s="545">
        <f>IFERROR(SUM(Y422:Y432),"0")</f>
        <v>0</v>
      </c>
      <c r="Z434" s="37"/>
      <c r="AA434" s="546"/>
      <c r="AB434" s="546"/>
      <c r="AC434" s="546"/>
    </row>
    <row r="435" spans="1:68" ht="14.25" hidden="1" customHeight="1" x14ac:dyDescent="0.25">
      <c r="A435" s="559" t="s">
        <v>136</v>
      </c>
      <c r="B435" s="554"/>
      <c r="C435" s="554"/>
      <c r="D435" s="554"/>
      <c r="E435" s="554"/>
      <c r="F435" s="554"/>
      <c r="G435" s="554"/>
      <c r="H435" s="554"/>
      <c r="I435" s="554"/>
      <c r="J435" s="554"/>
      <c r="K435" s="554"/>
      <c r="L435" s="554"/>
      <c r="M435" s="554"/>
      <c r="N435" s="554"/>
      <c r="O435" s="554"/>
      <c r="P435" s="554"/>
      <c r="Q435" s="554"/>
      <c r="R435" s="554"/>
      <c r="S435" s="554"/>
      <c r="T435" s="554"/>
      <c r="U435" s="554"/>
      <c r="V435" s="554"/>
      <c r="W435" s="554"/>
      <c r="X435" s="554"/>
      <c r="Y435" s="554"/>
      <c r="Z435" s="554"/>
      <c r="AA435" s="537"/>
      <c r="AB435" s="537"/>
      <c r="AC435" s="537"/>
    </row>
    <row r="436" spans="1:68" ht="16.5" hidden="1" customHeight="1" x14ac:dyDescent="0.25">
      <c r="A436" s="54" t="s">
        <v>673</v>
      </c>
      <c r="B436" s="54" t="s">
        <v>674</v>
      </c>
      <c r="C436" s="31">
        <v>4301020334</v>
      </c>
      <c r="D436" s="547">
        <v>4607091388930</v>
      </c>
      <c r="E436" s="548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0"/>
      <c r="R436" s="550"/>
      <c r="S436" s="550"/>
      <c r="T436" s="551"/>
      <c r="U436" s="34"/>
      <c r="V436" s="34"/>
      <c r="W436" s="35" t="s">
        <v>69</v>
      </c>
      <c r="X436" s="543">
        <v>0</v>
      </c>
      <c r="Y436" s="544">
        <f>IFERROR(IF(X436="",0,CEILING((X436/$H436),1)*$H436),"")</f>
        <v>0</v>
      </c>
      <c r="Z436" s="36" t="str">
        <f>IFERROR(IF(Y436=0,"",ROUNDUP(Y436/H436,0)*0.01196),"")</f>
        <v/>
      </c>
      <c r="AA436" s="56"/>
      <c r="AB436" s="57"/>
      <c r="AC436" s="485" t="s">
        <v>675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676</v>
      </c>
      <c r="B437" s="54" t="s">
        <v>677</v>
      </c>
      <c r="C437" s="31">
        <v>4301020384</v>
      </c>
      <c r="D437" s="547">
        <v>4680115886407</v>
      </c>
      <c r="E437" s="548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0"/>
      <c r="R437" s="550"/>
      <c r="S437" s="550"/>
      <c r="T437" s="551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hidden="1" customHeight="1" x14ac:dyDescent="0.25">
      <c r="A438" s="54" t="s">
        <v>678</v>
      </c>
      <c r="B438" s="54" t="s">
        <v>679</v>
      </c>
      <c r="C438" s="31">
        <v>4301020385</v>
      </c>
      <c r="D438" s="547">
        <v>4680115880054</v>
      </c>
      <c r="E438" s="548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1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675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idden="1" x14ac:dyDescent="0.2">
      <c r="A439" s="553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61" t="s">
        <v>71</v>
      </c>
      <c r="Q439" s="562"/>
      <c r="R439" s="562"/>
      <c r="S439" s="562"/>
      <c r="T439" s="562"/>
      <c r="U439" s="562"/>
      <c r="V439" s="563"/>
      <c r="W439" s="37" t="s">
        <v>72</v>
      </c>
      <c r="X439" s="545">
        <f>IFERROR(X436/H436,"0")+IFERROR(X437/H437,"0")+IFERROR(X438/H438,"0")</f>
        <v>0</v>
      </c>
      <c r="Y439" s="545">
        <f>IFERROR(Y436/H436,"0")+IFERROR(Y437/H437,"0")+IFERROR(Y438/H438,"0")</f>
        <v>0</v>
      </c>
      <c r="Z439" s="545">
        <f>IFERROR(IF(Z436="",0,Z436),"0")+IFERROR(IF(Z437="",0,Z437),"0")+IFERROR(IF(Z438="",0,Z438),"0")</f>
        <v>0</v>
      </c>
      <c r="AA439" s="546"/>
      <c r="AB439" s="546"/>
      <c r="AC439" s="546"/>
    </row>
    <row r="440" spans="1:68" hidden="1" x14ac:dyDescent="0.2">
      <c r="A440" s="554"/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5"/>
      <c r="P440" s="561" t="s">
        <v>71</v>
      </c>
      <c r="Q440" s="562"/>
      <c r="R440" s="562"/>
      <c r="S440" s="562"/>
      <c r="T440" s="562"/>
      <c r="U440" s="562"/>
      <c r="V440" s="563"/>
      <c r="W440" s="37" t="s">
        <v>69</v>
      </c>
      <c r="X440" s="545">
        <f>IFERROR(SUM(X436:X438),"0")</f>
        <v>0</v>
      </c>
      <c r="Y440" s="545">
        <f>IFERROR(SUM(Y436:Y438),"0")</f>
        <v>0</v>
      </c>
      <c r="Z440" s="37"/>
      <c r="AA440" s="546"/>
      <c r="AB440" s="546"/>
      <c r="AC440" s="546"/>
    </row>
    <row r="441" spans="1:68" ht="14.25" hidden="1" customHeight="1" x14ac:dyDescent="0.25">
      <c r="A441" s="559" t="s">
        <v>64</v>
      </c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537"/>
      <c r="AB441" s="537"/>
      <c r="AC441" s="537"/>
    </row>
    <row r="442" spans="1:68" ht="27" hidden="1" customHeight="1" x14ac:dyDescent="0.25">
      <c r="A442" s="54" t="s">
        <v>680</v>
      </c>
      <c r="B442" s="54" t="s">
        <v>681</v>
      </c>
      <c r="C442" s="31">
        <v>4301031349</v>
      </c>
      <c r="D442" s="547">
        <v>4680115883116</v>
      </c>
      <c r="E442" s="548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3">
        <v>0</v>
      </c>
      <c r="Y442" s="544">
        <f t="shared" ref="Y442:Y447" si="53"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1" t="s">
        <v>682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0</v>
      </c>
      <c r="BN442" s="64">
        <f t="shared" ref="BN442:BN447" si="55">IFERROR(Y442*I442/H442,"0")</f>
        <v>0</v>
      </c>
      <c r="BO442" s="64">
        <f t="shared" ref="BO442:BO447" si="56">IFERROR(1/J442*(X442/H442),"0")</f>
        <v>0</v>
      </c>
      <c r="BP442" s="64">
        <f t="shared" ref="BP442:BP447" si="57">IFERROR(1/J442*(Y442/H442),"0")</f>
        <v>0</v>
      </c>
    </row>
    <row r="443" spans="1:68" ht="27" hidden="1" customHeight="1" x14ac:dyDescent="0.25">
      <c r="A443" s="54" t="s">
        <v>683</v>
      </c>
      <c r="B443" s="54" t="s">
        <v>684</v>
      </c>
      <c r="C443" s="31">
        <v>4301031350</v>
      </c>
      <c r="D443" s="547">
        <v>4680115883093</v>
      </c>
      <c r="E443" s="548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0"/>
      <c r="R443" s="550"/>
      <c r="S443" s="550"/>
      <c r="T443" s="551"/>
      <c r="U443" s="34"/>
      <c r="V443" s="34"/>
      <c r="W443" s="35" t="s">
        <v>69</v>
      </c>
      <c r="X443" s="543">
        <v>0</v>
      </c>
      <c r="Y443" s="544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685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customHeight="1" x14ac:dyDescent="0.25">
      <c r="A444" s="54" t="s">
        <v>686</v>
      </c>
      <c r="B444" s="54" t="s">
        <v>687</v>
      </c>
      <c r="C444" s="31">
        <v>4301031353</v>
      </c>
      <c r="D444" s="547">
        <v>4680115883109</v>
      </c>
      <c r="E444" s="548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4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3">
        <v>40</v>
      </c>
      <c r="Y444" s="544">
        <f t="shared" si="53"/>
        <v>42.24</v>
      </c>
      <c r="Z444" s="36">
        <f>IFERROR(IF(Y444=0,"",ROUNDUP(Y444/H444,0)*0.01196),"")</f>
        <v>9.5680000000000001E-2</v>
      </c>
      <c r="AA444" s="56"/>
      <c r="AB444" s="57"/>
      <c r="AC444" s="495" t="s">
        <v>688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42.651515151515149</v>
      </c>
      <c r="BN444" s="64">
        <f t="shared" si="55"/>
        <v>45.04</v>
      </c>
      <c r="BO444" s="64">
        <f t="shared" si="56"/>
        <v>7.2843822843822847E-2</v>
      </c>
      <c r="BP444" s="64">
        <f t="shared" si="57"/>
        <v>7.6923076923076927E-2</v>
      </c>
    </row>
    <row r="445" spans="1:68" ht="27" hidden="1" customHeight="1" x14ac:dyDescent="0.25">
      <c r="A445" s="54" t="s">
        <v>689</v>
      </c>
      <c r="B445" s="54" t="s">
        <v>690</v>
      </c>
      <c r="C445" s="31">
        <v>4301031419</v>
      </c>
      <c r="D445" s="547">
        <v>4680115882072</v>
      </c>
      <c r="E445" s="548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0"/>
      <c r="R445" s="550"/>
      <c r="S445" s="550"/>
      <c r="T445" s="551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691</v>
      </c>
      <c r="B446" s="54" t="s">
        <v>692</v>
      </c>
      <c r="C446" s="31">
        <v>4301031418</v>
      </c>
      <c r="D446" s="547">
        <v>4680115882102</v>
      </c>
      <c r="E446" s="548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2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0"/>
      <c r="R446" s="550"/>
      <c r="S446" s="550"/>
      <c r="T446" s="551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693</v>
      </c>
      <c r="B447" s="54" t="s">
        <v>694</v>
      </c>
      <c r="C447" s="31">
        <v>4301031417</v>
      </c>
      <c r="D447" s="547">
        <v>4680115882096</v>
      </c>
      <c r="E447" s="548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4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0"/>
      <c r="R447" s="550"/>
      <c r="S447" s="550"/>
      <c r="T447" s="551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688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53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61" t="s">
        <v>71</v>
      </c>
      <c r="Q448" s="562"/>
      <c r="R448" s="562"/>
      <c r="S448" s="562"/>
      <c r="T448" s="562"/>
      <c r="U448" s="562"/>
      <c r="V448" s="563"/>
      <c r="W448" s="37" t="s">
        <v>72</v>
      </c>
      <c r="X448" s="545">
        <f>IFERROR(X442/H442,"0")+IFERROR(X443/H443,"0")+IFERROR(X444/H444,"0")+IFERROR(X445/H445,"0")+IFERROR(X446/H446,"0")+IFERROR(X447/H447,"0")</f>
        <v>7.5757575757575752</v>
      </c>
      <c r="Y448" s="545">
        <f>IFERROR(Y442/H442,"0")+IFERROR(Y443/H443,"0")+IFERROR(Y444/H444,"0")+IFERROR(Y445/H445,"0")+IFERROR(Y446/H446,"0")+IFERROR(Y447/H447,"0")</f>
        <v>8</v>
      </c>
      <c r="Z448" s="545">
        <f>IFERROR(IF(Z442="",0,Z442),"0")+IFERROR(IF(Z443="",0,Z443),"0")+IFERROR(IF(Z444="",0,Z444),"0")+IFERROR(IF(Z445="",0,Z445),"0")+IFERROR(IF(Z446="",0,Z446),"0")+IFERROR(IF(Z447="",0,Z447),"0")</f>
        <v>9.5680000000000001E-2</v>
      </c>
      <c r="AA448" s="546"/>
      <c r="AB448" s="546"/>
      <c r="AC448" s="546"/>
    </row>
    <row r="449" spans="1:68" x14ac:dyDescent="0.2">
      <c r="A449" s="554"/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5"/>
      <c r="P449" s="561" t="s">
        <v>71</v>
      </c>
      <c r="Q449" s="562"/>
      <c r="R449" s="562"/>
      <c r="S449" s="562"/>
      <c r="T449" s="562"/>
      <c r="U449" s="562"/>
      <c r="V449" s="563"/>
      <c r="W449" s="37" t="s">
        <v>69</v>
      </c>
      <c r="X449" s="545">
        <f>IFERROR(SUM(X442:X447),"0")</f>
        <v>40</v>
      </c>
      <c r="Y449" s="545">
        <f>IFERROR(SUM(Y442:Y447),"0")</f>
        <v>42.24</v>
      </c>
      <c r="Z449" s="37"/>
      <c r="AA449" s="546"/>
      <c r="AB449" s="546"/>
      <c r="AC449" s="546"/>
    </row>
    <row r="450" spans="1:68" ht="14.25" hidden="1" customHeight="1" x14ac:dyDescent="0.25">
      <c r="A450" s="559" t="s">
        <v>73</v>
      </c>
      <c r="B450" s="554"/>
      <c r="C450" s="554"/>
      <c r="D450" s="554"/>
      <c r="E450" s="554"/>
      <c r="F450" s="554"/>
      <c r="G450" s="554"/>
      <c r="H450" s="554"/>
      <c r="I450" s="554"/>
      <c r="J450" s="554"/>
      <c r="K450" s="554"/>
      <c r="L450" s="554"/>
      <c r="M450" s="554"/>
      <c r="N450" s="554"/>
      <c r="O450" s="554"/>
      <c r="P450" s="554"/>
      <c r="Q450" s="554"/>
      <c r="R450" s="554"/>
      <c r="S450" s="554"/>
      <c r="T450" s="554"/>
      <c r="U450" s="554"/>
      <c r="V450" s="554"/>
      <c r="W450" s="554"/>
      <c r="X450" s="554"/>
      <c r="Y450" s="554"/>
      <c r="Z450" s="554"/>
      <c r="AA450" s="537"/>
      <c r="AB450" s="537"/>
      <c r="AC450" s="537"/>
    </row>
    <row r="451" spans="1:68" ht="16.5" hidden="1" customHeight="1" x14ac:dyDescent="0.25">
      <c r="A451" s="54" t="s">
        <v>695</v>
      </c>
      <c r="B451" s="54" t="s">
        <v>696</v>
      </c>
      <c r="C451" s="31">
        <v>4301051232</v>
      </c>
      <c r="D451" s="547">
        <v>4607091383409</v>
      </c>
      <c r="E451" s="548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2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hidden="1" customHeight="1" x14ac:dyDescent="0.25">
      <c r="A452" s="54" t="s">
        <v>698</v>
      </c>
      <c r="B452" s="54" t="s">
        <v>699</v>
      </c>
      <c r="C452" s="31">
        <v>4301051233</v>
      </c>
      <c r="D452" s="547">
        <v>4607091383416</v>
      </c>
      <c r="E452" s="548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6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0"/>
      <c r="R452" s="550"/>
      <c r="S452" s="550"/>
      <c r="T452" s="551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701</v>
      </c>
      <c r="B453" s="54" t="s">
        <v>702</v>
      </c>
      <c r="C453" s="31">
        <v>4301051064</v>
      </c>
      <c r="D453" s="547">
        <v>4680115883536</v>
      </c>
      <c r="E453" s="548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2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0"/>
      <c r="R453" s="550"/>
      <c r="S453" s="550"/>
      <c r="T453" s="551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703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553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61" t="s">
        <v>71</v>
      </c>
      <c r="Q454" s="562"/>
      <c r="R454" s="562"/>
      <c r="S454" s="562"/>
      <c r="T454" s="562"/>
      <c r="U454" s="562"/>
      <c r="V454" s="563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hidden="1" x14ac:dyDescent="0.2">
      <c r="A455" s="554"/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5"/>
      <c r="P455" s="561" t="s">
        <v>71</v>
      </c>
      <c r="Q455" s="562"/>
      <c r="R455" s="562"/>
      <c r="S455" s="562"/>
      <c r="T455" s="562"/>
      <c r="U455" s="562"/>
      <c r="V455" s="563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hidden="1" customHeight="1" x14ac:dyDescent="0.2">
      <c r="A456" s="569" t="s">
        <v>704</v>
      </c>
      <c r="B456" s="570"/>
      <c r="C456" s="570"/>
      <c r="D456" s="570"/>
      <c r="E456" s="570"/>
      <c r="F456" s="570"/>
      <c r="G456" s="570"/>
      <c r="H456" s="570"/>
      <c r="I456" s="570"/>
      <c r="J456" s="570"/>
      <c r="K456" s="570"/>
      <c r="L456" s="570"/>
      <c r="M456" s="570"/>
      <c r="N456" s="570"/>
      <c r="O456" s="570"/>
      <c r="P456" s="570"/>
      <c r="Q456" s="570"/>
      <c r="R456" s="570"/>
      <c r="S456" s="570"/>
      <c r="T456" s="570"/>
      <c r="U456" s="570"/>
      <c r="V456" s="570"/>
      <c r="W456" s="570"/>
      <c r="X456" s="570"/>
      <c r="Y456" s="570"/>
      <c r="Z456" s="570"/>
      <c r="AA456" s="48"/>
      <c r="AB456" s="48"/>
      <c r="AC456" s="48"/>
    </row>
    <row r="457" spans="1:68" ht="16.5" hidden="1" customHeight="1" x14ac:dyDescent="0.25">
      <c r="A457" s="558" t="s">
        <v>704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8"/>
      <c r="AB457" s="538"/>
      <c r="AC457" s="538"/>
    </row>
    <row r="458" spans="1:68" ht="14.25" hidden="1" customHeight="1" x14ac:dyDescent="0.25">
      <c r="A458" s="559" t="s">
        <v>101</v>
      </c>
      <c r="B458" s="554"/>
      <c r="C458" s="554"/>
      <c r="D458" s="554"/>
      <c r="E458" s="554"/>
      <c r="F458" s="554"/>
      <c r="G458" s="554"/>
      <c r="H458" s="554"/>
      <c r="I458" s="554"/>
      <c r="J458" s="554"/>
      <c r="K458" s="554"/>
      <c r="L458" s="554"/>
      <c r="M458" s="554"/>
      <c r="N458" s="554"/>
      <c r="O458" s="554"/>
      <c r="P458" s="554"/>
      <c r="Q458" s="554"/>
      <c r="R458" s="554"/>
      <c r="S458" s="554"/>
      <c r="T458" s="554"/>
      <c r="U458" s="554"/>
      <c r="V458" s="554"/>
      <c r="W458" s="554"/>
      <c r="X458" s="554"/>
      <c r="Y458" s="554"/>
      <c r="Z458" s="554"/>
      <c r="AA458" s="537"/>
      <c r="AB458" s="537"/>
      <c r="AC458" s="537"/>
    </row>
    <row r="459" spans="1:68" ht="27" hidden="1" customHeight="1" x14ac:dyDescent="0.25">
      <c r="A459" s="54" t="s">
        <v>705</v>
      </c>
      <c r="B459" s="54" t="s">
        <v>706</v>
      </c>
      <c r="C459" s="31">
        <v>4301011763</v>
      </c>
      <c r="D459" s="547">
        <v>4640242181011</v>
      </c>
      <c r="E459" s="548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708</v>
      </c>
      <c r="B460" s="54" t="s">
        <v>709</v>
      </c>
      <c r="C460" s="31">
        <v>4301011585</v>
      </c>
      <c r="D460" s="547">
        <v>4640242180441</v>
      </c>
      <c r="E460" s="548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8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711</v>
      </c>
      <c r="B461" s="54" t="s">
        <v>712</v>
      </c>
      <c r="C461" s="31">
        <v>4301011584</v>
      </c>
      <c r="D461" s="547">
        <v>4640242180564</v>
      </c>
      <c r="E461" s="548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8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713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714</v>
      </c>
      <c r="B462" s="54" t="s">
        <v>715</v>
      </c>
      <c r="C462" s="31">
        <v>4301011764</v>
      </c>
      <c r="D462" s="547">
        <v>4640242181189</v>
      </c>
      <c r="E462" s="548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8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707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53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61" t="s">
        <v>71</v>
      </c>
      <c r="Q463" s="562"/>
      <c r="R463" s="562"/>
      <c r="S463" s="562"/>
      <c r="T463" s="562"/>
      <c r="U463" s="562"/>
      <c r="V463" s="563"/>
      <c r="W463" s="37" t="s">
        <v>72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hidden="1" x14ac:dyDescent="0.2">
      <c r="A464" s="554"/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5"/>
      <c r="P464" s="561" t="s">
        <v>71</v>
      </c>
      <c r="Q464" s="562"/>
      <c r="R464" s="562"/>
      <c r="S464" s="562"/>
      <c r="T464" s="562"/>
      <c r="U464" s="562"/>
      <c r="V464" s="563"/>
      <c r="W464" s="37" t="s">
        <v>69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hidden="1" customHeight="1" x14ac:dyDescent="0.25">
      <c r="A465" s="559" t="s">
        <v>136</v>
      </c>
      <c r="B465" s="554"/>
      <c r="C465" s="554"/>
      <c r="D465" s="554"/>
      <c r="E465" s="554"/>
      <c r="F465" s="554"/>
      <c r="G465" s="554"/>
      <c r="H465" s="554"/>
      <c r="I465" s="554"/>
      <c r="J465" s="554"/>
      <c r="K465" s="554"/>
      <c r="L465" s="554"/>
      <c r="M465" s="554"/>
      <c r="N465" s="554"/>
      <c r="O465" s="554"/>
      <c r="P465" s="554"/>
      <c r="Q465" s="554"/>
      <c r="R465" s="554"/>
      <c r="S465" s="554"/>
      <c r="T465" s="554"/>
      <c r="U465" s="554"/>
      <c r="V465" s="554"/>
      <c r="W465" s="554"/>
      <c r="X465" s="554"/>
      <c r="Y465" s="554"/>
      <c r="Z465" s="554"/>
      <c r="AA465" s="537"/>
      <c r="AB465" s="537"/>
      <c r="AC465" s="537"/>
    </row>
    <row r="466" spans="1:68" ht="27" hidden="1" customHeight="1" x14ac:dyDescent="0.25">
      <c r="A466" s="54" t="s">
        <v>716</v>
      </c>
      <c r="B466" s="54" t="s">
        <v>717</v>
      </c>
      <c r="C466" s="31">
        <v>4301020400</v>
      </c>
      <c r="D466" s="547">
        <v>4640242180519</v>
      </c>
      <c r="E466" s="548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719</v>
      </c>
      <c r="B467" s="54" t="s">
        <v>720</v>
      </c>
      <c r="C467" s="31">
        <v>4301020260</v>
      </c>
      <c r="D467" s="547">
        <v>4640242180526</v>
      </c>
      <c r="E467" s="548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722</v>
      </c>
      <c r="B468" s="54" t="s">
        <v>723</v>
      </c>
      <c r="C468" s="31">
        <v>4301020295</v>
      </c>
      <c r="D468" s="547">
        <v>4640242181363</v>
      </c>
      <c r="E468" s="548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0"/>
      <c r="R468" s="550"/>
      <c r="S468" s="550"/>
      <c r="T468" s="551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724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53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61" t="s">
        <v>71</v>
      </c>
      <c r="Q469" s="562"/>
      <c r="R469" s="562"/>
      <c r="S469" s="562"/>
      <c r="T469" s="562"/>
      <c r="U469" s="562"/>
      <c r="V469" s="563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hidden="1" x14ac:dyDescent="0.2">
      <c r="A470" s="554"/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5"/>
      <c r="P470" s="561" t="s">
        <v>71</v>
      </c>
      <c r="Q470" s="562"/>
      <c r="R470" s="562"/>
      <c r="S470" s="562"/>
      <c r="T470" s="562"/>
      <c r="U470" s="562"/>
      <c r="V470" s="563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hidden="1" customHeight="1" x14ac:dyDescent="0.25">
      <c r="A471" s="559" t="s">
        <v>64</v>
      </c>
      <c r="B471" s="554"/>
      <c r="C471" s="554"/>
      <c r="D471" s="554"/>
      <c r="E471" s="554"/>
      <c r="F471" s="554"/>
      <c r="G471" s="554"/>
      <c r="H471" s="554"/>
      <c r="I471" s="554"/>
      <c r="J471" s="554"/>
      <c r="K471" s="554"/>
      <c r="L471" s="554"/>
      <c r="M471" s="554"/>
      <c r="N471" s="554"/>
      <c r="O471" s="554"/>
      <c r="P471" s="554"/>
      <c r="Q471" s="554"/>
      <c r="R471" s="554"/>
      <c r="S471" s="554"/>
      <c r="T471" s="554"/>
      <c r="U471" s="554"/>
      <c r="V471" s="554"/>
      <c r="W471" s="554"/>
      <c r="X471" s="554"/>
      <c r="Y471" s="554"/>
      <c r="Z471" s="554"/>
      <c r="AA471" s="537"/>
      <c r="AB471" s="537"/>
      <c r="AC471" s="537"/>
    </row>
    <row r="472" spans="1:68" ht="27" hidden="1" customHeight="1" x14ac:dyDescent="0.25">
      <c r="A472" s="54" t="s">
        <v>725</v>
      </c>
      <c r="B472" s="54" t="s">
        <v>726</v>
      </c>
      <c r="C472" s="31">
        <v>4301031280</v>
      </c>
      <c r="D472" s="547">
        <v>4640242180816</v>
      </c>
      <c r="E472" s="548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80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0"/>
      <c r="R472" s="550"/>
      <c r="S472" s="550"/>
      <c r="T472" s="551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728</v>
      </c>
      <c r="B473" s="54" t="s">
        <v>729</v>
      </c>
      <c r="C473" s="31">
        <v>4301031244</v>
      </c>
      <c r="D473" s="547">
        <v>4640242180595</v>
      </c>
      <c r="E473" s="548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2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730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53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61" t="s">
        <v>71</v>
      </c>
      <c r="Q474" s="562"/>
      <c r="R474" s="562"/>
      <c r="S474" s="562"/>
      <c r="T474" s="562"/>
      <c r="U474" s="562"/>
      <c r="V474" s="563"/>
      <c r="W474" s="37" t="s">
        <v>72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hidden="1" x14ac:dyDescent="0.2">
      <c r="A475" s="554"/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5"/>
      <c r="P475" s="561" t="s">
        <v>71</v>
      </c>
      <c r="Q475" s="562"/>
      <c r="R475" s="562"/>
      <c r="S475" s="562"/>
      <c r="T475" s="562"/>
      <c r="U475" s="562"/>
      <c r="V475" s="563"/>
      <c r="W475" s="37" t="s">
        <v>69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hidden="1" customHeight="1" x14ac:dyDescent="0.25">
      <c r="A476" s="559" t="s">
        <v>73</v>
      </c>
      <c r="B476" s="554"/>
      <c r="C476" s="554"/>
      <c r="D476" s="554"/>
      <c r="E476" s="554"/>
      <c r="F476" s="554"/>
      <c r="G476" s="554"/>
      <c r="H476" s="554"/>
      <c r="I476" s="554"/>
      <c r="J476" s="554"/>
      <c r="K476" s="554"/>
      <c r="L476" s="554"/>
      <c r="M476" s="554"/>
      <c r="N476" s="554"/>
      <c r="O476" s="554"/>
      <c r="P476" s="554"/>
      <c r="Q476" s="554"/>
      <c r="R476" s="554"/>
      <c r="S476" s="554"/>
      <c r="T476" s="554"/>
      <c r="U476" s="554"/>
      <c r="V476" s="554"/>
      <c r="W476" s="554"/>
      <c r="X476" s="554"/>
      <c r="Y476" s="554"/>
      <c r="Z476" s="554"/>
      <c r="AA476" s="537"/>
      <c r="AB476" s="537"/>
      <c r="AC476" s="537"/>
    </row>
    <row r="477" spans="1:68" ht="27" hidden="1" customHeight="1" x14ac:dyDescent="0.25">
      <c r="A477" s="54" t="s">
        <v>731</v>
      </c>
      <c r="B477" s="54" t="s">
        <v>732</v>
      </c>
      <c r="C477" s="31">
        <v>4301052046</v>
      </c>
      <c r="D477" s="547">
        <v>4640242180533</v>
      </c>
      <c r="E477" s="548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3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0"/>
      <c r="R477" s="550"/>
      <c r="S477" s="550"/>
      <c r="T477" s="551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733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idden="1" x14ac:dyDescent="0.2">
      <c r="A478" s="553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61" t="s">
        <v>71</v>
      </c>
      <c r="Q478" s="562"/>
      <c r="R478" s="562"/>
      <c r="S478" s="562"/>
      <c r="T478" s="562"/>
      <c r="U478" s="562"/>
      <c r="V478" s="563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hidden="1" x14ac:dyDescent="0.2">
      <c r="A479" s="554"/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5"/>
      <c r="P479" s="561" t="s">
        <v>71</v>
      </c>
      <c r="Q479" s="562"/>
      <c r="R479" s="562"/>
      <c r="S479" s="562"/>
      <c r="T479" s="562"/>
      <c r="U479" s="562"/>
      <c r="V479" s="563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hidden="1" customHeight="1" x14ac:dyDescent="0.25">
      <c r="A480" s="559" t="s">
        <v>164</v>
      </c>
      <c r="B480" s="554"/>
      <c r="C480" s="554"/>
      <c r="D480" s="554"/>
      <c r="E480" s="554"/>
      <c r="F480" s="554"/>
      <c r="G480" s="554"/>
      <c r="H480" s="554"/>
      <c r="I480" s="554"/>
      <c r="J480" s="554"/>
      <c r="K480" s="554"/>
      <c r="L480" s="554"/>
      <c r="M480" s="554"/>
      <c r="N480" s="554"/>
      <c r="O480" s="554"/>
      <c r="P480" s="554"/>
      <c r="Q480" s="554"/>
      <c r="R480" s="554"/>
      <c r="S480" s="554"/>
      <c r="T480" s="554"/>
      <c r="U480" s="554"/>
      <c r="V480" s="554"/>
      <c r="W480" s="554"/>
      <c r="X480" s="554"/>
      <c r="Y480" s="554"/>
      <c r="Z480" s="554"/>
      <c r="AA480" s="537"/>
      <c r="AB480" s="537"/>
      <c r="AC480" s="537"/>
    </row>
    <row r="481" spans="1:68" ht="27" hidden="1" customHeight="1" x14ac:dyDescent="0.25">
      <c r="A481" s="54" t="s">
        <v>734</v>
      </c>
      <c r="B481" s="54" t="s">
        <v>735</v>
      </c>
      <c r="C481" s="31">
        <v>4301060491</v>
      </c>
      <c r="D481" s="547">
        <v>4640242180120</v>
      </c>
      <c r="E481" s="548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6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0"/>
      <c r="R481" s="550"/>
      <c r="S481" s="550"/>
      <c r="T481" s="551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737</v>
      </c>
      <c r="B482" s="54" t="s">
        <v>738</v>
      </c>
      <c r="C482" s="31">
        <v>4301060493</v>
      </c>
      <c r="D482" s="547">
        <v>4640242180137</v>
      </c>
      <c r="E482" s="548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739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53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61" t="s">
        <v>71</v>
      </c>
      <c r="Q483" s="562"/>
      <c r="R483" s="562"/>
      <c r="S483" s="562"/>
      <c r="T483" s="562"/>
      <c r="U483" s="562"/>
      <c r="V483" s="563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hidden="1" x14ac:dyDescent="0.2">
      <c r="A484" s="554"/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5"/>
      <c r="P484" s="561" t="s">
        <v>71</v>
      </c>
      <c r="Q484" s="562"/>
      <c r="R484" s="562"/>
      <c r="S484" s="562"/>
      <c r="T484" s="562"/>
      <c r="U484" s="562"/>
      <c r="V484" s="563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hidden="1" customHeight="1" x14ac:dyDescent="0.25">
      <c r="A485" s="558" t="s">
        <v>740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8"/>
      <c r="AB485" s="538"/>
      <c r="AC485" s="538"/>
    </row>
    <row r="486" spans="1:68" ht="14.25" hidden="1" customHeight="1" x14ac:dyDescent="0.25">
      <c r="A486" s="559" t="s">
        <v>136</v>
      </c>
      <c r="B486" s="554"/>
      <c r="C486" s="554"/>
      <c r="D486" s="554"/>
      <c r="E486" s="554"/>
      <c r="F486" s="554"/>
      <c r="G486" s="554"/>
      <c r="H486" s="554"/>
      <c r="I486" s="554"/>
      <c r="J486" s="554"/>
      <c r="K486" s="554"/>
      <c r="L486" s="554"/>
      <c r="M486" s="554"/>
      <c r="N486" s="554"/>
      <c r="O486" s="554"/>
      <c r="P486" s="554"/>
      <c r="Q486" s="554"/>
      <c r="R486" s="554"/>
      <c r="S486" s="554"/>
      <c r="T486" s="554"/>
      <c r="U486" s="554"/>
      <c r="V486" s="554"/>
      <c r="W486" s="554"/>
      <c r="X486" s="554"/>
      <c r="Y486" s="554"/>
      <c r="Z486" s="554"/>
      <c r="AA486" s="537"/>
      <c r="AB486" s="537"/>
      <c r="AC486" s="537"/>
    </row>
    <row r="487" spans="1:68" ht="27" hidden="1" customHeight="1" x14ac:dyDescent="0.25">
      <c r="A487" s="54" t="s">
        <v>741</v>
      </c>
      <c r="B487" s="54" t="s">
        <v>742</v>
      </c>
      <c r="C487" s="31">
        <v>4301020314</v>
      </c>
      <c r="D487" s="547">
        <v>4640242180090</v>
      </c>
      <c r="E487" s="548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6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0"/>
      <c r="R487" s="550"/>
      <c r="S487" s="550"/>
      <c r="T487" s="551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743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53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61" t="s">
        <v>71</v>
      </c>
      <c r="Q488" s="562"/>
      <c r="R488" s="562"/>
      <c r="S488" s="562"/>
      <c r="T488" s="562"/>
      <c r="U488" s="562"/>
      <c r="V488" s="563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hidden="1" x14ac:dyDescent="0.2">
      <c r="A489" s="5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555"/>
      <c r="P489" s="561" t="s">
        <v>71</v>
      </c>
      <c r="Q489" s="562"/>
      <c r="R489" s="562"/>
      <c r="S489" s="562"/>
      <c r="T489" s="562"/>
      <c r="U489" s="562"/>
      <c r="V489" s="563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0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10"/>
      <c r="P490" s="644" t="s">
        <v>744</v>
      </c>
      <c r="Q490" s="645"/>
      <c r="R490" s="645"/>
      <c r="S490" s="645"/>
      <c r="T490" s="645"/>
      <c r="U490" s="645"/>
      <c r="V490" s="646"/>
      <c r="W490" s="37" t="s">
        <v>69</v>
      </c>
      <c r="X490" s="545">
        <f>IFERROR(X24+X32+X36+X44+X48+X58+X64+X70+X77+X82+X89+X96+X104+X110+X117+X121+X127+X132+X137+X144+X150+X154+X160+X173+X179+X183+X189+X194+X205+X217+X222+X236+X240+X244+X252+X261+X269+X276+X282+X287+X297+X307+X314+X320+X327+X333+X340+X352+X357+X362+X366+X372+X377+X382+X396+X401+X406+X413+X418+X434+X440+X449+X455+X464+X470+X475+X479+X484+X489,"0")</f>
        <v>655</v>
      </c>
      <c r="Y490" s="545">
        <f>IFERROR(Y24+Y32+Y36+Y44+Y48+Y58+Y64+Y70+Y77+Y82+Y89+Y96+Y104+Y110+Y117+Y121+Y127+Y132+Y137+Y144+Y150+Y154+Y160+Y173+Y179+Y183+Y189+Y194+Y205+Y217+Y222+Y236+Y240+Y244+Y252+Y261+Y269+Y276+Y282+Y287+Y297+Y307+Y314+Y320+Y327+Y333+Y340+Y352+Y357+Y362+Y366+Y372+Y377+Y382+Y396+Y401+Y406+Y413+Y418+Y434+Y440+Y449+Y455+Y464+Y470+Y475+Y479+Y484+Y489,"0")</f>
        <v>699.34</v>
      </c>
      <c r="Z490" s="37"/>
      <c r="AA490" s="546"/>
      <c r="AB490" s="546"/>
      <c r="AC490" s="546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10"/>
      <c r="P491" s="644" t="s">
        <v>745</v>
      </c>
      <c r="Q491" s="645"/>
      <c r="R491" s="645"/>
      <c r="S491" s="645"/>
      <c r="T491" s="645"/>
      <c r="U491" s="645"/>
      <c r="V491" s="646"/>
      <c r="W491" s="37" t="s">
        <v>69</v>
      </c>
      <c r="X491" s="545">
        <f>IFERROR(SUM(BM22:BM487),"0")</f>
        <v>686.96196926104972</v>
      </c>
      <c r="Y491" s="545">
        <f>IFERROR(SUM(BN22:BN487),"0")</f>
        <v>733.66200000000003</v>
      </c>
      <c r="Z491" s="37"/>
      <c r="AA491" s="546"/>
      <c r="AB491" s="546"/>
      <c r="AC491" s="546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10"/>
      <c r="P492" s="644" t="s">
        <v>746</v>
      </c>
      <c r="Q492" s="645"/>
      <c r="R492" s="645"/>
      <c r="S492" s="645"/>
      <c r="T492" s="645"/>
      <c r="U492" s="645"/>
      <c r="V492" s="646"/>
      <c r="W492" s="37" t="s">
        <v>747</v>
      </c>
      <c r="X492" s="38">
        <f>ROUNDUP(SUM(BO22:BO487),0)</f>
        <v>2</v>
      </c>
      <c r="Y492" s="38">
        <f>ROUNDUP(SUM(BP22:BP487),0)</f>
        <v>2</v>
      </c>
      <c r="Z492" s="37"/>
      <c r="AA492" s="546"/>
      <c r="AB492" s="546"/>
      <c r="AC492" s="546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10"/>
      <c r="P493" s="644" t="s">
        <v>748</v>
      </c>
      <c r="Q493" s="645"/>
      <c r="R493" s="645"/>
      <c r="S493" s="645"/>
      <c r="T493" s="645"/>
      <c r="U493" s="645"/>
      <c r="V493" s="646"/>
      <c r="W493" s="37" t="s">
        <v>69</v>
      </c>
      <c r="X493" s="545">
        <f>GrossWeightTotal+PalletQtyTotal*25</f>
        <v>736.96196926104972</v>
      </c>
      <c r="Y493" s="545">
        <f>GrossWeightTotalR+PalletQtyTotalR*25</f>
        <v>783.66200000000003</v>
      </c>
      <c r="Z493" s="37"/>
      <c r="AA493" s="546"/>
      <c r="AB493" s="546"/>
      <c r="AC493" s="546"/>
    </row>
    <row r="494" spans="1:68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10"/>
      <c r="P494" s="644" t="s">
        <v>749</v>
      </c>
      <c r="Q494" s="645"/>
      <c r="R494" s="645"/>
      <c r="S494" s="645"/>
      <c r="T494" s="645"/>
      <c r="U494" s="645"/>
      <c r="V494" s="646"/>
      <c r="W494" s="37" t="s">
        <v>747</v>
      </c>
      <c r="X494" s="545">
        <f>IFERROR(X23+X31+X35+X43+X47+X57+X63+X69+X76+X81+X88+X95+X103+X109+X116+X120+X126+X131+X136+X143+X149+X153+X159+X172+X178+X182+X188+X193+X204+X216+X221+X235+X239+X243+X251+X260+X268+X275+X281+X286+X296+X306+X313+X319+X326+X332+X339+X351+X356+X361+X365+X371+X376+X381+X395+X400+X405+X412+X417+X433+X439+X448+X454+X463+X469+X474+X478+X483+X488,"0")</f>
        <v>75.403095839877452</v>
      </c>
      <c r="Y494" s="545">
        <f>IFERROR(Y23+Y31+Y35+Y43+Y47+Y57+Y63+Y69+Y76+Y81+Y88+Y95+Y103+Y109+Y116+Y120+Y126+Y131+Y136+Y143+Y149+Y153+Y159+Y172+Y178+Y182+Y188+Y193+Y204+Y216+Y221+Y235+Y239+Y243+Y251+Y260+Y268+Y275+Y281+Y286+Y296+Y306+Y313+Y319+Y326+Y332+Y339+Y351+Y356+Y361+Y365+Y371+Y376+Y381+Y395+Y400+Y405+Y412+Y417+Y433+Y439+Y448+Y454+Y463+Y469+Y474+Y478+Y483+Y488,"0")</f>
        <v>81</v>
      </c>
      <c r="Z494" s="37"/>
      <c r="AA494" s="546"/>
      <c r="AB494" s="546"/>
      <c r="AC494" s="546"/>
    </row>
    <row r="495" spans="1:68" ht="14.25" hidden="1" customHeight="1" x14ac:dyDescent="0.2">
      <c r="A495" s="554"/>
      <c r="B495" s="554"/>
      <c r="C495" s="554"/>
      <c r="D495" s="554"/>
      <c r="E495" s="554"/>
      <c r="F495" s="554"/>
      <c r="G495" s="554"/>
      <c r="H495" s="554"/>
      <c r="I495" s="554"/>
      <c r="J495" s="554"/>
      <c r="K495" s="554"/>
      <c r="L495" s="554"/>
      <c r="M495" s="554"/>
      <c r="N495" s="554"/>
      <c r="O495" s="710"/>
      <c r="P495" s="644" t="s">
        <v>750</v>
      </c>
      <c r="Q495" s="645"/>
      <c r="R495" s="645"/>
      <c r="S495" s="645"/>
      <c r="T495" s="645"/>
      <c r="U495" s="645"/>
      <c r="V495" s="646"/>
      <c r="W495" s="39" t="s">
        <v>751</v>
      </c>
      <c r="X495" s="37"/>
      <c r="Y495" s="37"/>
      <c r="Z495" s="37">
        <f>IFERROR(Z23+Z31+Z35+Z43+Z47+Z57+Z63+Z69+Z76+Z81+Z88+Z95+Z103+Z109+Z116+Z120+Z126+Z131+Z136+Z143+Z149+Z153+Z159+Z172+Z178+Z182+Z188+Z193+Z204+Z216+Z221+Z235+Z239+Z243+Z251+Z260+Z268+Z275+Z281+Z286+Z296+Z306+Z313+Z319+Z326+Z332+Z339+Z351+Z356+Z361+Z365+Z371+Z376+Z381+Z395+Z400+Z405+Z412+Z417+Z433+Z439+Z448+Z454+Z463+Z469+Z474+Z478+Z483+Z488,"0")</f>
        <v>1.40655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752</v>
      </c>
      <c r="B497" s="535" t="s">
        <v>63</v>
      </c>
      <c r="C497" s="600" t="s">
        <v>99</v>
      </c>
      <c r="D497" s="603"/>
      <c r="E497" s="603"/>
      <c r="F497" s="603"/>
      <c r="G497" s="603"/>
      <c r="H497" s="604"/>
      <c r="I497" s="600" t="s">
        <v>255</v>
      </c>
      <c r="J497" s="603"/>
      <c r="K497" s="603"/>
      <c r="L497" s="603"/>
      <c r="M497" s="603"/>
      <c r="N497" s="603"/>
      <c r="O497" s="603"/>
      <c r="P497" s="603"/>
      <c r="Q497" s="603"/>
      <c r="R497" s="604"/>
      <c r="S497" s="600" t="s">
        <v>541</v>
      </c>
      <c r="T497" s="604"/>
      <c r="U497" s="600" t="s">
        <v>593</v>
      </c>
      <c r="V497" s="603"/>
      <c r="W497" s="604"/>
      <c r="X497" s="535" t="s">
        <v>644</v>
      </c>
      <c r="Y497" s="600" t="s">
        <v>704</v>
      </c>
      <c r="Z497" s="604"/>
      <c r="AB497" s="52"/>
      <c r="AC497" s="52"/>
      <c r="AF497" s="536"/>
    </row>
    <row r="498" spans="1:32" ht="14.25" customHeight="1" thickTop="1" x14ac:dyDescent="0.2">
      <c r="A498" s="616" t="s">
        <v>753</v>
      </c>
      <c r="B498" s="600" t="s">
        <v>63</v>
      </c>
      <c r="C498" s="600" t="s">
        <v>100</v>
      </c>
      <c r="D498" s="600" t="s">
        <v>117</v>
      </c>
      <c r="E498" s="600" t="s">
        <v>171</v>
      </c>
      <c r="F498" s="600" t="s">
        <v>190</v>
      </c>
      <c r="G498" s="600" t="s">
        <v>220</v>
      </c>
      <c r="H498" s="600" t="s">
        <v>99</v>
      </c>
      <c r="I498" s="600" t="s">
        <v>256</v>
      </c>
      <c r="J498" s="600" t="s">
        <v>301</v>
      </c>
      <c r="K498" s="600" t="s">
        <v>361</v>
      </c>
      <c r="L498" s="600" t="s">
        <v>403</v>
      </c>
      <c r="M498" s="600" t="s">
        <v>419</v>
      </c>
      <c r="N498" s="536"/>
      <c r="O498" s="600" t="s">
        <v>430</v>
      </c>
      <c r="P498" s="600" t="s">
        <v>439</v>
      </c>
      <c r="Q498" s="600" t="s">
        <v>453</v>
      </c>
      <c r="R498" s="600" t="s">
        <v>531</v>
      </c>
      <c r="S498" s="600" t="s">
        <v>542</v>
      </c>
      <c r="T498" s="600" t="s">
        <v>577</v>
      </c>
      <c r="U498" s="600" t="s">
        <v>594</v>
      </c>
      <c r="V498" s="600" t="s">
        <v>625</v>
      </c>
      <c r="W498" s="600" t="s">
        <v>640</v>
      </c>
      <c r="X498" s="600" t="s">
        <v>644</v>
      </c>
      <c r="Y498" s="600" t="s">
        <v>704</v>
      </c>
      <c r="Z498" s="600" t="s">
        <v>740</v>
      </c>
      <c r="AB498" s="52"/>
      <c r="AC498" s="52"/>
      <c r="AF498" s="536"/>
    </row>
    <row r="499" spans="1:32" ht="13.5" customHeight="1" thickBot="1" x14ac:dyDescent="0.25">
      <c r="A499" s="617"/>
      <c r="B499" s="601"/>
      <c r="C499" s="601"/>
      <c r="D499" s="601"/>
      <c r="E499" s="601"/>
      <c r="F499" s="601"/>
      <c r="G499" s="601"/>
      <c r="H499" s="601"/>
      <c r="I499" s="601"/>
      <c r="J499" s="601"/>
      <c r="K499" s="601"/>
      <c r="L499" s="601"/>
      <c r="M499" s="601"/>
      <c r="N499" s="536"/>
      <c r="O499" s="601"/>
      <c r="P499" s="601"/>
      <c r="Q499" s="601"/>
      <c r="R499" s="601"/>
      <c r="S499" s="601"/>
      <c r="T499" s="601"/>
      <c r="U499" s="601"/>
      <c r="V499" s="601"/>
      <c r="W499" s="601"/>
      <c r="X499" s="601"/>
      <c r="Y499" s="601"/>
      <c r="Z499" s="601"/>
      <c r="AB499" s="52"/>
      <c r="AC499" s="52"/>
      <c r="AF499" s="536"/>
    </row>
    <row r="500" spans="1:32" ht="18" customHeight="1" thickTop="1" thickBot="1" x14ac:dyDescent="0.25">
      <c r="A500" s="40" t="s">
        <v>754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21.6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54.000000000000007</v>
      </c>
      <c r="E500" s="46">
        <f>IFERROR(Y85*1,"0")+IFERROR(Y86*1,"0")+IFERROR(Y87*1,"0")+IFERROR(Y91*1,"0")+IFERROR(Y92*1,"0")+IFERROR(Y93*1,"0")+IFERROR(Y94*1,"0")</f>
        <v>18.899999999999999</v>
      </c>
      <c r="F500" s="46">
        <f>IFERROR(Y99*1,"0")+IFERROR(Y100*1,"0")+IFERROR(Y101*1,"0")+IFERROR(Y102*1,"0")+IFERROR(Y106*1,"0")+IFERROR(Y107*1,"0")+IFERROR(Y108*1,"0")+IFERROR(Y112*1,"0")+IFERROR(Y113*1,"0")+IFERROR(Y114*1,"0")+IFERROR(Y115*1,"0")+IFERROR(Y119*1,"0")</f>
        <v>32.4</v>
      </c>
      <c r="G500" s="46">
        <f>IFERROR(Y124*1,"0")+IFERROR(Y125*1,"0")+IFERROR(Y129*1,"0")+IFERROR(Y130*1,"0")+IFERROR(Y134*1,"0")+IFERROR(Y135*1,"0")</f>
        <v>0</v>
      </c>
      <c r="H500" s="46">
        <f>IFERROR(Y140*1,"0")+IFERROR(Y141*1,"0")+IFERROR(Y142*1,"0")+IFERROR(Y146*1,"0")+IFERROR(Y147*1,"0")+IFERROR(Y148*1,"0")+IFERROR(Y152*1,"0")</f>
        <v>0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11.6</v>
      </c>
      <c r="L500" s="46">
        <f>IFERROR(Y255*1,"0")+IFERROR(Y256*1,"0")+IFERROR(Y257*1,"0")+IFERROR(Y258*1,"0")+IFERROR(Y259*1,"0")</f>
        <v>14.8</v>
      </c>
      <c r="M500" s="46">
        <f>IFERROR(Y264*1,"0")+IFERROR(Y265*1,"0")+IFERROR(Y266*1,"0")+IFERROR(Y267*1,"0")</f>
        <v>0</v>
      </c>
      <c r="N500" s="536"/>
      <c r="O500" s="46">
        <f>IFERROR(Y272*1,"0")+IFERROR(Y273*1,"0")+IFERROR(Y274*1,"0")</f>
        <v>0</v>
      </c>
      <c r="P500" s="46">
        <f>IFERROR(Y279*1,"0")+IFERROR(Y280*1,"0")+IFERROR(Y284*1,"0")+IFERROR(Y285*1,"0")</f>
        <v>0</v>
      </c>
      <c r="Q500" s="46">
        <f>IFERROR(Y290*1,"0")+IFERROR(Y291*1,"0")+IFERROR(Y292*1,"0")+IFERROR(Y293*1,"0")+IFERROR(Y294*1,"0")+IFERROR(Y295*1,"0")+IFERROR(Y299*1,"0")+IFERROR(Y300*1,"0")+IFERROR(Y301*1,"0")+IFERROR(Y302*1,"0")+IFERROR(Y303*1,"0")+IFERROR(Y304*1,"0")+IFERROR(Y305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368.8</v>
      </c>
      <c r="R500" s="46">
        <f>IFERROR(Y336*1,"0")+IFERROR(Y337*1,"0")+IFERROR(Y338*1,"0")</f>
        <v>0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135</v>
      </c>
      <c r="T500" s="46">
        <f>IFERROR(Y369*1,"0")+IFERROR(Y370*1,"0")+IFERROR(Y374*1,"0")+IFERROR(Y375*1,"0")+IFERROR(Y379*1,"0")+IFERROR(Y380*1,"0")</f>
        <v>0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42.24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0</v>
      </c>
      <c r="Z500" s="46">
        <f>IFERROR(Y487*1,"0")</f>
        <v>0</v>
      </c>
      <c r="AB500" s="52"/>
      <c r="AC500" s="52"/>
      <c r="AF500" s="536"/>
    </row>
  </sheetData>
  <sheetProtection algorithmName="SHA-512" hashValue="hK0N+qEEgGj8vDV5GDdE9jMERQF/AlvO+L2y4gJUOuRM2fPhLZ8Gd7XG8fKZE+JS04AbtHY/uRL3xHJDiFo5IA==" saltValue="fIJzR0R2D+4i/tOIfgbJhw==" spinCount="100000" sheet="1" objects="1" scenarios="1" sort="0" autoFilter="0" pivotTables="0"/>
  <autoFilter ref="A18:AF4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6"/>
        <filter val="0,93"/>
        <filter val="1,00"/>
        <filter val="1,85"/>
        <filter val="1,93"/>
        <filter val="10,00"/>
        <filter val="120,00"/>
        <filter val="14,00"/>
        <filter val="15,00"/>
        <filter val="180,00"/>
        <filter val="2"/>
        <filter val="2,78"/>
        <filter val="20,00"/>
        <filter val="23,08"/>
        <filter val="25,00"/>
        <filter val="3,09"/>
        <filter val="30,00"/>
        <filter val="4,00"/>
        <filter val="40,00"/>
        <filter val="5,13"/>
        <filter val="655,00"/>
        <filter val="686,96"/>
        <filter val="7,00"/>
        <filter val="7,14"/>
        <filter val="7,58"/>
        <filter val="736,96"/>
        <filter val="75,40"/>
        <filter val="8,00"/>
        <filter val="80,00"/>
        <filter val="9,33"/>
        <filter val="94,00"/>
      </filters>
    </filterColumn>
    <filterColumn colId="29" showButton="0"/>
    <filterColumn colId="30" showButton="0"/>
  </autoFilter>
  <mergeCells count="876">
    <mergeCell ref="A8:C8"/>
    <mergeCell ref="P124:T124"/>
    <mergeCell ref="A260:O261"/>
    <mergeCell ref="D355:E355"/>
    <mergeCell ref="D293:E293"/>
    <mergeCell ref="P410:T410"/>
    <mergeCell ref="P360:T360"/>
    <mergeCell ref="P76:V76"/>
    <mergeCell ref="A128:Z128"/>
    <mergeCell ref="A268:O269"/>
    <mergeCell ref="A10:C10"/>
    <mergeCell ref="P361:V361"/>
    <mergeCell ref="P69:V69"/>
    <mergeCell ref="A21:Z21"/>
    <mergeCell ref="D192:E192"/>
    <mergeCell ref="P296:V296"/>
    <mergeCell ref="D42:E42"/>
    <mergeCell ref="P356:V356"/>
    <mergeCell ref="P338:T338"/>
    <mergeCell ref="D17:E18"/>
    <mergeCell ref="D344:E344"/>
    <mergeCell ref="X17:X18"/>
    <mergeCell ref="A188:O189"/>
    <mergeCell ref="P202:T202"/>
    <mergeCell ref="A39:Z39"/>
    <mergeCell ref="P85:T85"/>
    <mergeCell ref="P60:T60"/>
    <mergeCell ref="D291:E291"/>
    <mergeCell ref="D266:E266"/>
    <mergeCell ref="U17:V17"/>
    <mergeCell ref="Y17:Y18"/>
    <mergeCell ref="D250:E250"/>
    <mergeCell ref="P216:V216"/>
    <mergeCell ref="N17:N18"/>
    <mergeCell ref="P72:T72"/>
    <mergeCell ref="A20:Z20"/>
    <mergeCell ref="P23:V23"/>
    <mergeCell ref="M17:M18"/>
    <mergeCell ref="O17:O18"/>
    <mergeCell ref="P150:V150"/>
    <mergeCell ref="P221:V221"/>
    <mergeCell ref="P66:T66"/>
    <mergeCell ref="P187:T187"/>
    <mergeCell ref="P258:T258"/>
    <mergeCell ref="Q5:R5"/>
    <mergeCell ref="F17:F18"/>
    <mergeCell ref="P132:V132"/>
    <mergeCell ref="P199:T199"/>
    <mergeCell ref="D242:E242"/>
    <mergeCell ref="A315:Z315"/>
    <mergeCell ref="P370:T370"/>
    <mergeCell ref="D107:E107"/>
    <mergeCell ref="D163:E163"/>
    <mergeCell ref="P291:T291"/>
    <mergeCell ref="D234:E234"/>
    <mergeCell ref="P228:T228"/>
    <mergeCell ref="D171:E171"/>
    <mergeCell ref="P355:T355"/>
    <mergeCell ref="P293:T293"/>
    <mergeCell ref="A149:O150"/>
    <mergeCell ref="D336:E336"/>
    <mergeCell ref="Q6:R6"/>
    <mergeCell ref="P200:T200"/>
    <mergeCell ref="P134:T134"/>
    <mergeCell ref="A251:O252"/>
    <mergeCell ref="P292:T292"/>
    <mergeCell ref="D29:E29"/>
    <mergeCell ref="P344:T344"/>
    <mergeCell ref="P495:V495"/>
    <mergeCell ref="P351:V351"/>
    <mergeCell ref="P239:V239"/>
    <mergeCell ref="M498:M499"/>
    <mergeCell ref="O498:O499"/>
    <mergeCell ref="D249:E249"/>
    <mergeCell ref="D170:E170"/>
    <mergeCell ref="A476:Z476"/>
    <mergeCell ref="D468:E468"/>
    <mergeCell ref="P436:T436"/>
    <mergeCell ref="D196:E196"/>
    <mergeCell ref="P294:T294"/>
    <mergeCell ref="U497:W497"/>
    <mergeCell ref="P381:V381"/>
    <mergeCell ref="A206:Z206"/>
    <mergeCell ref="A262:Z262"/>
    <mergeCell ref="P447:T447"/>
    <mergeCell ref="D331:E331"/>
    <mergeCell ref="P372:V372"/>
    <mergeCell ref="A415:Z415"/>
    <mergeCell ref="P444:T444"/>
    <mergeCell ref="L498:L499"/>
    <mergeCell ref="D408:E408"/>
    <mergeCell ref="D265:E265"/>
    <mergeCell ref="D452:E452"/>
    <mergeCell ref="P493:V493"/>
    <mergeCell ref="P408:T408"/>
    <mergeCell ref="P137:V137"/>
    <mergeCell ref="D247:E247"/>
    <mergeCell ref="A31:O32"/>
    <mergeCell ref="D102:E102"/>
    <mergeCell ref="P81:V81"/>
    <mergeCell ref="A33:Z33"/>
    <mergeCell ref="A126:O127"/>
    <mergeCell ref="D54:E54"/>
    <mergeCell ref="P160:V160"/>
    <mergeCell ref="A339:O340"/>
    <mergeCell ref="P336:T336"/>
    <mergeCell ref="P131:V131"/>
    <mergeCell ref="P62:T62"/>
    <mergeCell ref="P63:V63"/>
    <mergeCell ref="P101:T101"/>
    <mergeCell ref="A103:O104"/>
    <mergeCell ref="P286:V286"/>
    <mergeCell ref="P479:V479"/>
    <mergeCell ref="A465:Z465"/>
    <mergeCell ref="P469:V469"/>
    <mergeCell ref="D191:E191"/>
    <mergeCell ref="AD17:AF18"/>
    <mergeCell ref="D101:E101"/>
    <mergeCell ref="P117:V117"/>
    <mergeCell ref="F5:G5"/>
    <mergeCell ref="P365:V365"/>
    <mergeCell ref="P144:V144"/>
    <mergeCell ref="A25:Z25"/>
    <mergeCell ref="P67:T67"/>
    <mergeCell ref="D430:E430"/>
    <mergeCell ref="D175:E175"/>
    <mergeCell ref="P186:T186"/>
    <mergeCell ref="A223:Z223"/>
    <mergeCell ref="V11:W11"/>
    <mergeCell ref="D392:E392"/>
    <mergeCell ref="A326:O327"/>
    <mergeCell ref="D165:E165"/>
    <mergeCell ref="P75:T75"/>
    <mergeCell ref="P406:V406"/>
    <mergeCell ref="P146:T146"/>
    <mergeCell ref="D152:E152"/>
    <mergeCell ref="A136:O137"/>
    <mergeCell ref="P317:T317"/>
    <mergeCell ref="D279:E279"/>
    <mergeCell ref="D323:E323"/>
    <mergeCell ref="P2:W3"/>
    <mergeCell ref="A57:O58"/>
    <mergeCell ref="D437:E437"/>
    <mergeCell ref="P198:T198"/>
    <mergeCell ref="P369:T369"/>
    <mergeCell ref="P54:T54"/>
    <mergeCell ref="P347:T347"/>
    <mergeCell ref="D228:E228"/>
    <mergeCell ref="A371:O372"/>
    <mergeCell ref="D404:E404"/>
    <mergeCell ref="A289:Z289"/>
    <mergeCell ref="D10:E10"/>
    <mergeCell ref="A23:O24"/>
    <mergeCell ref="F10:G10"/>
    <mergeCell ref="P135:T135"/>
    <mergeCell ref="D34:E34"/>
    <mergeCell ref="P191:T191"/>
    <mergeCell ref="D305:E305"/>
    <mergeCell ref="D99:E99"/>
    <mergeCell ref="P349:T349"/>
    <mergeCell ref="P205:V205"/>
    <mergeCell ref="P376:V376"/>
    <mergeCell ref="D310:E310"/>
    <mergeCell ref="P364:T364"/>
    <mergeCell ref="C498:C499"/>
    <mergeCell ref="E498:E499"/>
    <mergeCell ref="P430:T430"/>
    <mergeCell ref="P494:V494"/>
    <mergeCell ref="P102:T102"/>
    <mergeCell ref="P189:V189"/>
    <mergeCell ref="A185:Z185"/>
    <mergeCell ref="P196:T196"/>
    <mergeCell ref="D177:E177"/>
    <mergeCell ref="P287:V287"/>
    <mergeCell ref="P281:V281"/>
    <mergeCell ref="D226:E226"/>
    <mergeCell ref="A313:O314"/>
    <mergeCell ref="D164:E164"/>
    <mergeCell ref="P352:V352"/>
    <mergeCell ref="P354:T354"/>
    <mergeCell ref="D462:E462"/>
    <mergeCell ref="Z498:Z499"/>
    <mergeCell ref="A457:Z457"/>
    <mergeCell ref="P107:T107"/>
    <mergeCell ref="D215:E215"/>
    <mergeCell ref="D386:E386"/>
    <mergeCell ref="P194:V194"/>
    <mergeCell ref="P492:V492"/>
    <mergeCell ref="A9:C9"/>
    <mergeCell ref="P125:T125"/>
    <mergeCell ref="D202:E202"/>
    <mergeCell ref="P112:T112"/>
    <mergeCell ref="D294:E294"/>
    <mergeCell ref="P348:T348"/>
    <mergeCell ref="A298:Z298"/>
    <mergeCell ref="Q13:R13"/>
    <mergeCell ref="J9:M9"/>
    <mergeCell ref="A38:Z38"/>
    <mergeCell ref="P58:V58"/>
    <mergeCell ref="A13:M13"/>
    <mergeCell ref="D61:E61"/>
    <mergeCell ref="A15:M15"/>
    <mergeCell ref="A88:O89"/>
    <mergeCell ref="P229:T229"/>
    <mergeCell ref="P136:V136"/>
    <mergeCell ref="A253:Z253"/>
    <mergeCell ref="A131:O132"/>
    <mergeCell ref="P172:V172"/>
    <mergeCell ref="P299:T299"/>
    <mergeCell ref="V12:W12"/>
    <mergeCell ref="A245:Z245"/>
    <mergeCell ref="P43:V43"/>
    <mergeCell ref="A478:O479"/>
    <mergeCell ref="P323:T323"/>
    <mergeCell ref="A414:Z414"/>
    <mergeCell ref="D231:E231"/>
    <mergeCell ref="P70:V70"/>
    <mergeCell ref="A156:Z156"/>
    <mergeCell ref="P116:V116"/>
    <mergeCell ref="P32:V32"/>
    <mergeCell ref="P474:V474"/>
    <mergeCell ref="P103:V103"/>
    <mergeCell ref="A155:Z155"/>
    <mergeCell ref="P268:V268"/>
    <mergeCell ref="D318:E318"/>
    <mergeCell ref="P201:T201"/>
    <mergeCell ref="P339:V339"/>
    <mergeCell ref="D389:E389"/>
    <mergeCell ref="P472:T472"/>
    <mergeCell ref="A435:Z435"/>
    <mergeCell ref="A235:O236"/>
    <mergeCell ref="D62:E62"/>
    <mergeCell ref="P141:T141"/>
    <mergeCell ref="P454:V454"/>
    <mergeCell ref="D56:E56"/>
    <mergeCell ref="D51:E51"/>
    <mergeCell ref="Y498:Y499"/>
    <mergeCell ref="A412:O413"/>
    <mergeCell ref="D225:E225"/>
    <mergeCell ref="P409:T409"/>
    <mergeCell ref="D461:E461"/>
    <mergeCell ref="P61:T61"/>
    <mergeCell ref="D200:E200"/>
    <mergeCell ref="P359:T359"/>
    <mergeCell ref="A178:O179"/>
    <mergeCell ref="D436:E436"/>
    <mergeCell ref="D292:E292"/>
    <mergeCell ref="P346:T346"/>
    <mergeCell ref="A243:O244"/>
    <mergeCell ref="D227:E227"/>
    <mergeCell ref="A463:O464"/>
    <mergeCell ref="X498:X499"/>
    <mergeCell ref="P401:V401"/>
    <mergeCell ref="P176:T176"/>
    <mergeCell ref="P114:T114"/>
    <mergeCell ref="P247:T247"/>
    <mergeCell ref="A157:Z157"/>
    <mergeCell ref="A328:Z328"/>
    <mergeCell ref="D447:E447"/>
    <mergeCell ref="P301:T301"/>
    <mergeCell ref="D498:D499"/>
    <mergeCell ref="P93:T93"/>
    <mergeCell ref="P226:T226"/>
    <mergeCell ref="D85:E85"/>
    <mergeCell ref="P164:T164"/>
    <mergeCell ref="D207:E207"/>
    <mergeCell ref="P120:V120"/>
    <mergeCell ref="D256:E256"/>
    <mergeCell ref="P462:T462"/>
    <mergeCell ref="D481:E481"/>
    <mergeCell ref="D299:E299"/>
    <mergeCell ref="F498:F499"/>
    <mergeCell ref="D370:E370"/>
    <mergeCell ref="P405:V405"/>
    <mergeCell ref="P399:T399"/>
    <mergeCell ref="P413:V413"/>
    <mergeCell ref="A403:Z403"/>
    <mergeCell ref="P121:V121"/>
    <mergeCell ref="P382:V382"/>
    <mergeCell ref="P357:V357"/>
    <mergeCell ref="D459:E459"/>
    <mergeCell ref="P130:T130"/>
    <mergeCell ref="A271:Z271"/>
    <mergeCell ref="P240:V240"/>
    <mergeCell ref="P498:P499"/>
    <mergeCell ref="I497:R497"/>
    <mergeCell ref="A90:Z90"/>
    <mergeCell ref="A283:Z283"/>
    <mergeCell ref="A277:Z277"/>
    <mergeCell ref="D446:E446"/>
    <mergeCell ref="P44:V44"/>
    <mergeCell ref="H5:M5"/>
    <mergeCell ref="P31:V31"/>
    <mergeCell ref="D212:E212"/>
    <mergeCell ref="D146:E146"/>
    <mergeCell ref="P225:T225"/>
    <mergeCell ref="D317:E317"/>
    <mergeCell ref="D6:M6"/>
    <mergeCell ref="A341:Z341"/>
    <mergeCell ref="A456:Z456"/>
    <mergeCell ref="D304:E304"/>
    <mergeCell ref="P461:T461"/>
    <mergeCell ref="Y497:Z497"/>
    <mergeCell ref="P175:T175"/>
    <mergeCell ref="P95:V95"/>
    <mergeCell ref="P162:T162"/>
    <mergeCell ref="A278:Z278"/>
    <mergeCell ref="P460:T460"/>
    <mergeCell ref="P487:T487"/>
    <mergeCell ref="A288:Z288"/>
    <mergeCell ref="P318:T318"/>
    <mergeCell ref="V6:W9"/>
    <mergeCell ref="P256:T256"/>
    <mergeCell ref="D199:E199"/>
    <mergeCell ref="D364:E364"/>
    <mergeCell ref="A59:Z59"/>
    <mergeCell ref="D186:E186"/>
    <mergeCell ref="P274:T274"/>
    <mergeCell ref="P345:T345"/>
    <mergeCell ref="P22:T22"/>
    <mergeCell ref="P40:T40"/>
    <mergeCell ref="D428:E428"/>
    <mergeCell ref="P236:V236"/>
    <mergeCell ref="P257:T257"/>
    <mergeCell ref="P80:T80"/>
    <mergeCell ref="Z17:Z18"/>
    <mergeCell ref="P173:V173"/>
    <mergeCell ref="A172:O173"/>
    <mergeCell ref="P227:T227"/>
    <mergeCell ref="H10:M10"/>
    <mergeCell ref="D438:E438"/>
    <mergeCell ref="D425:E425"/>
    <mergeCell ref="AA17:AA18"/>
    <mergeCell ref="P212:T212"/>
    <mergeCell ref="AC17:AC18"/>
    <mergeCell ref="A122:Z122"/>
    <mergeCell ref="P108:T108"/>
    <mergeCell ref="P279:T279"/>
    <mergeCell ref="A224:Z224"/>
    <mergeCell ref="D393:E393"/>
    <mergeCell ref="AB17:AB18"/>
    <mergeCell ref="P106:T106"/>
    <mergeCell ref="P177:T177"/>
    <mergeCell ref="G17:G18"/>
    <mergeCell ref="P57:V57"/>
    <mergeCell ref="A81:O82"/>
    <mergeCell ref="D80:E80"/>
    <mergeCell ref="P46:T46"/>
    <mergeCell ref="P47:V47"/>
    <mergeCell ref="P41:T41"/>
    <mergeCell ref="D22:E22"/>
    <mergeCell ref="A35:O36"/>
    <mergeCell ref="P295:T295"/>
    <mergeCell ref="P34:T34"/>
    <mergeCell ref="D86:E86"/>
    <mergeCell ref="D359:E359"/>
    <mergeCell ref="A486:Z486"/>
    <mergeCell ref="H17:H18"/>
    <mergeCell ref="P388:T388"/>
    <mergeCell ref="D198:E198"/>
    <mergeCell ref="P459:T459"/>
    <mergeCell ref="P104:V104"/>
    <mergeCell ref="P275:V275"/>
    <mergeCell ref="D427:E427"/>
    <mergeCell ref="P27:T27"/>
    <mergeCell ref="D75:E75"/>
    <mergeCell ref="P325:T325"/>
    <mergeCell ref="P390:T390"/>
    <mergeCell ref="P483:V483"/>
    <mergeCell ref="D181:E181"/>
    <mergeCell ref="A221:O222"/>
    <mergeCell ref="P91:T91"/>
    <mergeCell ref="D273:E273"/>
    <mergeCell ref="A286:O287"/>
    <mergeCell ref="P252:V252"/>
    <mergeCell ref="P366:V366"/>
    <mergeCell ref="A420:Z420"/>
    <mergeCell ref="D112:E112"/>
    <mergeCell ref="A296:O297"/>
    <mergeCell ref="D348:E348"/>
    <mergeCell ref="Q498:Q499"/>
    <mergeCell ref="P233:T233"/>
    <mergeCell ref="D176:E176"/>
    <mergeCell ref="P304:T304"/>
    <mergeCell ref="D114:E114"/>
    <mergeCell ref="D285:E285"/>
    <mergeCell ref="D347:E347"/>
    <mergeCell ref="S498:S499"/>
    <mergeCell ref="P248:T248"/>
    <mergeCell ref="A365:O366"/>
    <mergeCell ref="D349:E349"/>
    <mergeCell ref="P477:T477"/>
    <mergeCell ref="P455:V455"/>
    <mergeCell ref="A454:O455"/>
    <mergeCell ref="R498:R499"/>
    <mergeCell ref="P313:V313"/>
    <mergeCell ref="A138:Z138"/>
    <mergeCell ref="P307:V307"/>
    <mergeCell ref="P380:T380"/>
    <mergeCell ref="P244:V244"/>
    <mergeCell ref="P115:T115"/>
    <mergeCell ref="A367:Z367"/>
    <mergeCell ref="P238:T238"/>
    <mergeCell ref="D346:E346"/>
    <mergeCell ref="D477:E477"/>
    <mergeCell ref="A133:Z133"/>
    <mergeCell ref="D125:E125"/>
    <mergeCell ref="P375:T375"/>
    <mergeCell ref="P446:T446"/>
    <mergeCell ref="P207:T207"/>
    <mergeCell ref="Q10:R10"/>
    <mergeCell ref="D41:E41"/>
    <mergeCell ref="A12:M12"/>
    <mergeCell ref="P74:T74"/>
    <mergeCell ref="P243:V243"/>
    <mergeCell ref="A19:Z19"/>
    <mergeCell ref="A190:Z190"/>
    <mergeCell ref="P310:T310"/>
    <mergeCell ref="A14:M14"/>
    <mergeCell ref="A111:Z111"/>
    <mergeCell ref="P163:T163"/>
    <mergeCell ref="D280:E280"/>
    <mergeCell ref="A353:Z353"/>
    <mergeCell ref="D345:E345"/>
    <mergeCell ref="P424:T424"/>
    <mergeCell ref="D467:E467"/>
    <mergeCell ref="D394:E394"/>
    <mergeCell ref="A254:Z254"/>
    <mergeCell ref="A490:O495"/>
    <mergeCell ref="A37:Z37"/>
    <mergeCell ref="P149:V149"/>
    <mergeCell ref="A145:Z145"/>
    <mergeCell ref="P320:V320"/>
    <mergeCell ref="P314:V314"/>
    <mergeCell ref="A139:Z139"/>
    <mergeCell ref="P387:T387"/>
    <mergeCell ref="D422:E422"/>
    <mergeCell ref="D74:E74"/>
    <mergeCell ref="P87:T87"/>
    <mergeCell ref="D130:E130"/>
    <mergeCell ref="D68:E68"/>
    <mergeCell ref="D201:E201"/>
    <mergeCell ref="P449:V449"/>
    <mergeCell ref="A204:O205"/>
    <mergeCell ref="P451:T451"/>
    <mergeCell ref="P126:V126"/>
    <mergeCell ref="D424:E424"/>
    <mergeCell ref="P322:T322"/>
    <mergeCell ref="P211:T211"/>
    <mergeCell ref="D399:E399"/>
    <mergeCell ref="A180:Z180"/>
    <mergeCell ref="D487:E487"/>
    <mergeCell ref="T5:U5"/>
    <mergeCell ref="D119:E119"/>
    <mergeCell ref="G498:G499"/>
    <mergeCell ref="V5:W5"/>
    <mergeCell ref="P203:T203"/>
    <mergeCell ref="D46:E46"/>
    <mergeCell ref="D246:E246"/>
    <mergeCell ref="P374:T374"/>
    <mergeCell ref="D40:E40"/>
    <mergeCell ref="I498:I499"/>
    <mergeCell ref="D233:E233"/>
    <mergeCell ref="D338:E338"/>
    <mergeCell ref="D409:E409"/>
    <mergeCell ref="Q8:R8"/>
    <mergeCell ref="P140:T140"/>
    <mergeCell ref="P311:T311"/>
    <mergeCell ref="P267:T267"/>
    <mergeCell ref="P438:T438"/>
    <mergeCell ref="D248:E248"/>
    <mergeCell ref="D219:E219"/>
    <mergeCell ref="D444:E444"/>
    <mergeCell ref="P425:T425"/>
    <mergeCell ref="T6:U9"/>
    <mergeCell ref="P319:V319"/>
    <mergeCell ref="A439:O440"/>
    <mergeCell ref="P309:T309"/>
    <mergeCell ref="D295:E295"/>
    <mergeCell ref="P51:T51"/>
    <mergeCell ref="P26:T26"/>
    <mergeCell ref="P324:T324"/>
    <mergeCell ref="A143:O144"/>
    <mergeCell ref="P15:T16"/>
    <mergeCell ref="D91:E91"/>
    <mergeCell ref="P219:T219"/>
    <mergeCell ref="D162:E162"/>
    <mergeCell ref="A275:O276"/>
    <mergeCell ref="A69:O70"/>
    <mergeCell ref="P272:T272"/>
    <mergeCell ref="P210:T210"/>
    <mergeCell ref="A335:Z335"/>
    <mergeCell ref="D106:E106"/>
    <mergeCell ref="D93:E93"/>
    <mergeCell ref="D264:E264"/>
    <mergeCell ref="D220:E220"/>
    <mergeCell ref="A195:Z195"/>
    <mergeCell ref="P297:V297"/>
    <mergeCell ref="P285:T285"/>
    <mergeCell ref="A419:Z419"/>
    <mergeCell ref="A483:O484"/>
    <mergeCell ref="P82:V82"/>
    <mergeCell ref="P204:V204"/>
    <mergeCell ref="P440:V440"/>
    <mergeCell ref="P303:T303"/>
    <mergeCell ref="D330:E330"/>
    <mergeCell ref="P305:T305"/>
    <mergeCell ref="A421:Z421"/>
    <mergeCell ref="A98:Z98"/>
    <mergeCell ref="P306:V306"/>
    <mergeCell ref="D350:E350"/>
    <mergeCell ref="P110:V110"/>
    <mergeCell ref="D325:E325"/>
    <mergeCell ref="P208:T208"/>
    <mergeCell ref="D398:E398"/>
    <mergeCell ref="P439:V439"/>
    <mergeCell ref="P433:V433"/>
    <mergeCell ref="D460:E460"/>
    <mergeCell ref="D416:E416"/>
    <mergeCell ref="P427:T427"/>
    <mergeCell ref="D391:E391"/>
    <mergeCell ref="P484:V484"/>
    <mergeCell ref="P434:V434"/>
    <mergeCell ref="A480:Z480"/>
    <mergeCell ref="A433:O434"/>
    <mergeCell ref="P491:V491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166:E166"/>
    <mergeCell ref="D337:E337"/>
    <mergeCell ref="A17:A18"/>
    <mergeCell ref="K17:K18"/>
    <mergeCell ref="A118:Z118"/>
    <mergeCell ref="C17:C18"/>
    <mergeCell ref="P300:T300"/>
    <mergeCell ref="P431:T431"/>
    <mergeCell ref="A488:O489"/>
    <mergeCell ref="D230:E230"/>
    <mergeCell ref="D168:E168"/>
    <mergeCell ref="D466:E466"/>
    <mergeCell ref="K498:K499"/>
    <mergeCell ref="D453:E453"/>
    <mergeCell ref="A6:C6"/>
    <mergeCell ref="D309:E309"/>
    <mergeCell ref="D113:E113"/>
    <mergeCell ref="P416:T416"/>
    <mergeCell ref="P167:T167"/>
    <mergeCell ref="P142:T142"/>
    <mergeCell ref="D26:E26"/>
    <mergeCell ref="D148:E148"/>
    <mergeCell ref="A161:Z161"/>
    <mergeCell ref="D324:E324"/>
    <mergeCell ref="P55:T55"/>
    <mergeCell ref="D115:E115"/>
    <mergeCell ref="D311:E311"/>
    <mergeCell ref="P417:V417"/>
    <mergeCell ref="Q12:R12"/>
    <mergeCell ref="P280:T280"/>
    <mergeCell ref="P169:T169"/>
    <mergeCell ref="P411:T411"/>
    <mergeCell ref="D388:E388"/>
    <mergeCell ref="P442:T442"/>
    <mergeCell ref="P467:T467"/>
    <mergeCell ref="P489:V489"/>
    <mergeCell ref="Q9:R9"/>
    <mergeCell ref="P463:V463"/>
    <mergeCell ref="P312:T312"/>
    <mergeCell ref="D451:E451"/>
    <mergeCell ref="D255:E255"/>
    <mergeCell ref="P36:V36"/>
    <mergeCell ref="P478:V478"/>
    <mergeCell ref="A97:Z97"/>
    <mergeCell ref="Q11:R11"/>
    <mergeCell ref="D322:E322"/>
    <mergeCell ref="P119:T119"/>
    <mergeCell ref="P183:V183"/>
    <mergeCell ref="A43:O44"/>
    <mergeCell ref="P246:T246"/>
    <mergeCell ref="P127:V127"/>
    <mergeCell ref="A123:Z123"/>
    <mergeCell ref="D390:E390"/>
    <mergeCell ref="D9:E9"/>
    <mergeCell ref="P197:T197"/>
    <mergeCell ref="F9:G9"/>
    <mergeCell ref="P53:T53"/>
    <mergeCell ref="D167:E167"/>
    <mergeCell ref="P422:T422"/>
    <mergeCell ref="D232:E232"/>
    <mergeCell ref="P481:T481"/>
    <mergeCell ref="I17:I18"/>
    <mergeCell ref="D141:E141"/>
    <mergeCell ref="D135:E135"/>
    <mergeCell ref="A319:O320"/>
    <mergeCell ref="A417:O418"/>
    <mergeCell ref="P470:V470"/>
    <mergeCell ref="D72:E72"/>
    <mergeCell ref="P178:V178"/>
    <mergeCell ref="P276:V276"/>
    <mergeCell ref="A263:Z263"/>
    <mergeCell ref="P264:T264"/>
    <mergeCell ref="P68:T68"/>
    <mergeCell ref="A356:O357"/>
    <mergeCell ref="D169:E169"/>
    <mergeCell ref="D52:E52"/>
    <mergeCell ref="D27:E27"/>
    <mergeCell ref="P393:T393"/>
    <mergeCell ref="D203:E203"/>
    <mergeCell ref="D374:E374"/>
    <mergeCell ref="P232:T232"/>
    <mergeCell ref="P330:T330"/>
    <mergeCell ref="D140:E140"/>
    <mergeCell ref="D267:E267"/>
    <mergeCell ref="D369:E369"/>
    <mergeCell ref="A182:O183"/>
    <mergeCell ref="P52:T52"/>
    <mergeCell ref="P423:T423"/>
    <mergeCell ref="P429:T429"/>
    <mergeCell ref="P350:T350"/>
    <mergeCell ref="P398:T398"/>
    <mergeCell ref="P214:T214"/>
    <mergeCell ref="D257:E257"/>
    <mergeCell ref="D213:E213"/>
    <mergeCell ref="A400:O401"/>
    <mergeCell ref="P56:T56"/>
    <mergeCell ref="P326:V326"/>
    <mergeCell ref="A153:O154"/>
    <mergeCell ref="P181:T181"/>
    <mergeCell ref="P371:V371"/>
    <mergeCell ref="D1:F1"/>
    <mergeCell ref="P466:T466"/>
    <mergeCell ref="A71:Z71"/>
    <mergeCell ref="P488:V488"/>
    <mergeCell ref="P282:V282"/>
    <mergeCell ref="J17:J18"/>
    <mergeCell ref="L17:L18"/>
    <mergeCell ref="A184:Z184"/>
    <mergeCell ref="B498:B499"/>
    <mergeCell ref="P48:V48"/>
    <mergeCell ref="P255:T255"/>
    <mergeCell ref="P426:T426"/>
    <mergeCell ref="P490:V490"/>
    <mergeCell ref="A342:Z342"/>
    <mergeCell ref="A407:Z407"/>
    <mergeCell ref="P192:T192"/>
    <mergeCell ref="A308:Z308"/>
    <mergeCell ref="A116:O117"/>
    <mergeCell ref="P428:T428"/>
    <mergeCell ref="D100:E100"/>
    <mergeCell ref="P284:T284"/>
    <mergeCell ref="P113:T113"/>
    <mergeCell ref="P17:T18"/>
    <mergeCell ref="A471:Z471"/>
    <mergeCell ref="P482:T482"/>
    <mergeCell ref="A332:O333"/>
    <mergeCell ref="P475:V475"/>
    <mergeCell ref="U498:U499"/>
    <mergeCell ref="W498:W499"/>
    <mergeCell ref="P269:V269"/>
    <mergeCell ref="A45:Z45"/>
    <mergeCell ref="A458:Z458"/>
    <mergeCell ref="A343:Z343"/>
    <mergeCell ref="P333:V333"/>
    <mergeCell ref="P273:T273"/>
    <mergeCell ref="D316:E316"/>
    <mergeCell ref="A218:Z218"/>
    <mergeCell ref="D272:E272"/>
    <mergeCell ref="D387:E387"/>
    <mergeCell ref="D210:E210"/>
    <mergeCell ref="D443:E443"/>
    <mergeCell ref="D87:E87"/>
    <mergeCell ref="P166:T166"/>
    <mergeCell ref="D147:E147"/>
    <mergeCell ref="P188:V188"/>
    <mergeCell ref="D209:E209"/>
    <mergeCell ref="D274:E274"/>
    <mergeCell ref="P337:T337"/>
    <mergeCell ref="H1:Q1"/>
    <mergeCell ref="A448:O449"/>
    <mergeCell ref="P109:V109"/>
    <mergeCell ref="A397:Z397"/>
    <mergeCell ref="D214:E214"/>
    <mergeCell ref="P222:V222"/>
    <mergeCell ref="P193:V193"/>
    <mergeCell ref="D284:E284"/>
    <mergeCell ref="D259:E259"/>
    <mergeCell ref="D28:E28"/>
    <mergeCell ref="D432:E432"/>
    <mergeCell ref="D92:E92"/>
    <mergeCell ref="D55:E55"/>
    <mergeCell ref="D30:E30"/>
    <mergeCell ref="A95:O96"/>
    <mergeCell ref="P171:T171"/>
    <mergeCell ref="A239:O240"/>
    <mergeCell ref="P242:T242"/>
    <mergeCell ref="P340:V340"/>
    <mergeCell ref="D67:E67"/>
    <mergeCell ref="D5:E5"/>
    <mergeCell ref="D303:E303"/>
    <mergeCell ref="P42:T42"/>
    <mergeCell ref="D290:E290"/>
    <mergeCell ref="A498:A499"/>
    <mergeCell ref="P94:T94"/>
    <mergeCell ref="P265:T265"/>
    <mergeCell ref="D208:E208"/>
    <mergeCell ref="D8:M8"/>
    <mergeCell ref="D379:E379"/>
    <mergeCell ref="D300:E300"/>
    <mergeCell ref="P473:T473"/>
    <mergeCell ref="P158:T158"/>
    <mergeCell ref="P329:T329"/>
    <mergeCell ref="P251:V251"/>
    <mergeCell ref="A241:Z241"/>
    <mergeCell ref="P266:T266"/>
    <mergeCell ref="P331:T331"/>
    <mergeCell ref="P182:V182"/>
    <mergeCell ref="S497:T497"/>
    <mergeCell ref="V498:V499"/>
    <mergeCell ref="P453:T453"/>
    <mergeCell ref="D94:E94"/>
    <mergeCell ref="A474:O475"/>
    <mergeCell ref="P396:V396"/>
    <mergeCell ref="P259:T259"/>
    <mergeCell ref="A395:O396"/>
    <mergeCell ref="P148:T148"/>
    <mergeCell ref="D7:M7"/>
    <mergeCell ref="D129:E129"/>
    <mergeCell ref="A373:Z373"/>
    <mergeCell ref="A405:O406"/>
    <mergeCell ref="D79:E79"/>
    <mergeCell ref="P92:T92"/>
    <mergeCell ref="P327:V327"/>
    <mergeCell ref="P394:T394"/>
    <mergeCell ref="A450:Z450"/>
    <mergeCell ref="D442:E442"/>
    <mergeCell ref="D302:E302"/>
    <mergeCell ref="D429:E429"/>
    <mergeCell ref="A159:O160"/>
    <mergeCell ref="P29:T29"/>
    <mergeCell ref="P100:T100"/>
    <mergeCell ref="A109:O110"/>
    <mergeCell ref="A47:O48"/>
    <mergeCell ref="D354:E354"/>
    <mergeCell ref="P35:V35"/>
    <mergeCell ref="D301:E301"/>
    <mergeCell ref="D380:E380"/>
    <mergeCell ref="D445:E445"/>
    <mergeCell ref="A105:Z105"/>
    <mergeCell ref="P230:T230"/>
    <mergeCell ref="T498:T499"/>
    <mergeCell ref="D53:E53"/>
    <mergeCell ref="A84:Z84"/>
    <mergeCell ref="P159:V159"/>
    <mergeCell ref="D411:E411"/>
    <mergeCell ref="D482:E482"/>
    <mergeCell ref="P395:V395"/>
    <mergeCell ref="P209:T209"/>
    <mergeCell ref="C497:H497"/>
    <mergeCell ref="P147:T147"/>
    <mergeCell ref="A385:Z385"/>
    <mergeCell ref="A193:O194"/>
    <mergeCell ref="P96:V96"/>
    <mergeCell ref="P445:T445"/>
    <mergeCell ref="P261:V261"/>
    <mergeCell ref="P332:V332"/>
    <mergeCell ref="P217:V217"/>
    <mergeCell ref="A384:Z384"/>
    <mergeCell ref="A151:Z151"/>
    <mergeCell ref="A306:O307"/>
    <mergeCell ref="A376:O377"/>
    <mergeCell ref="P234:T234"/>
    <mergeCell ref="P154:V154"/>
    <mergeCell ref="A321:Z321"/>
    <mergeCell ref="V10:W10"/>
    <mergeCell ref="P379:T379"/>
    <mergeCell ref="D360:E360"/>
    <mergeCell ref="D431:E431"/>
    <mergeCell ref="P99:T99"/>
    <mergeCell ref="P170:T170"/>
    <mergeCell ref="P468:T468"/>
    <mergeCell ref="D66:E66"/>
    <mergeCell ref="P316:T316"/>
    <mergeCell ref="P443:T443"/>
    <mergeCell ref="D197:E197"/>
    <mergeCell ref="W17:W18"/>
    <mergeCell ref="A50:Z50"/>
    <mergeCell ref="D142:E142"/>
    <mergeCell ref="A120:O121"/>
    <mergeCell ref="P168:T168"/>
    <mergeCell ref="D211:E211"/>
    <mergeCell ref="P129:T129"/>
    <mergeCell ref="P250:T250"/>
    <mergeCell ref="D158:E158"/>
    <mergeCell ref="D329:E329"/>
    <mergeCell ref="D229:E229"/>
    <mergeCell ref="A402:Z402"/>
    <mergeCell ref="P79:T79"/>
    <mergeCell ref="R1:T1"/>
    <mergeCell ref="P28:T28"/>
    <mergeCell ref="A351:O352"/>
    <mergeCell ref="P392:T392"/>
    <mergeCell ref="P215:T215"/>
    <mergeCell ref="P386:T386"/>
    <mergeCell ref="A381:O382"/>
    <mergeCell ref="P165:T165"/>
    <mergeCell ref="P432:T432"/>
    <mergeCell ref="P400:V400"/>
    <mergeCell ref="P30:T30"/>
    <mergeCell ref="D73:E73"/>
    <mergeCell ref="P77:V77"/>
    <mergeCell ref="A76:O77"/>
    <mergeCell ref="P152:T152"/>
    <mergeCell ref="P179:V179"/>
    <mergeCell ref="P290:T290"/>
    <mergeCell ref="P377:V377"/>
    <mergeCell ref="A63:O64"/>
    <mergeCell ref="B17:B18"/>
    <mergeCell ref="P143:V143"/>
    <mergeCell ref="P235:V235"/>
    <mergeCell ref="D258:E258"/>
    <mergeCell ref="A358:Z358"/>
    <mergeCell ref="H9:I9"/>
    <mergeCell ref="A49:Z49"/>
    <mergeCell ref="P24:V24"/>
    <mergeCell ref="P89:V89"/>
    <mergeCell ref="P260:V260"/>
    <mergeCell ref="P389:T389"/>
    <mergeCell ref="A334:Z334"/>
    <mergeCell ref="A383:Z383"/>
    <mergeCell ref="P88:V88"/>
    <mergeCell ref="A78:Z78"/>
    <mergeCell ref="P153:V153"/>
    <mergeCell ref="P220:T220"/>
    <mergeCell ref="A65:Z65"/>
    <mergeCell ref="D312:E312"/>
    <mergeCell ref="A363:Z363"/>
    <mergeCell ref="D238:E238"/>
    <mergeCell ref="A216:O217"/>
    <mergeCell ref="P86:T86"/>
    <mergeCell ref="D134:E134"/>
    <mergeCell ref="P213:T213"/>
    <mergeCell ref="A281:O282"/>
    <mergeCell ref="A378:Z378"/>
    <mergeCell ref="P249:T249"/>
    <mergeCell ref="D124:E124"/>
    <mergeCell ref="D473:E473"/>
    <mergeCell ref="D60:E60"/>
    <mergeCell ref="P73:T73"/>
    <mergeCell ref="D187:E187"/>
    <mergeCell ref="P437:T437"/>
    <mergeCell ref="A361:O362"/>
    <mergeCell ref="P231:T231"/>
    <mergeCell ref="D423:E423"/>
    <mergeCell ref="P302:T302"/>
    <mergeCell ref="D472:E472"/>
    <mergeCell ref="A83:Z83"/>
    <mergeCell ref="D410:E410"/>
    <mergeCell ref="A270:Z270"/>
    <mergeCell ref="A441:Z441"/>
    <mergeCell ref="A368:Z368"/>
    <mergeCell ref="P391:T391"/>
    <mergeCell ref="D426:E426"/>
    <mergeCell ref="P464:V464"/>
    <mergeCell ref="P452:T452"/>
    <mergeCell ref="P448:V448"/>
    <mergeCell ref="P404:T404"/>
    <mergeCell ref="A469:O470"/>
    <mergeCell ref="D108:E108"/>
    <mergeCell ref="D375:E37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6 X148 X163 X165:X167 X169 X187 X196:X201 X203 X209:X215 X219 X228 X233 X255 X257 X259 X274 X285 X291:X292 X294:X295 X299:X300 X302:X303 X305 X309 X312 X316:X318 X325 X336:X338 X350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1lXh5x9XODygI25+U9roULaDsKxCpw1fobLDg8o+lyu82uvuDW0oswV60STYeVOUDSj80dt7RhfVt1Zs6z7RWA==" saltValue="hM04euvJzjFOABa+vZTgD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2025-11-18T10:05:36Z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