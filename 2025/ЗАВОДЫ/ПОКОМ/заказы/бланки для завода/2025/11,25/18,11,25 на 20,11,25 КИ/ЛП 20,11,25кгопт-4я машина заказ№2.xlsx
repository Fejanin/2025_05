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24CA348-105F-4217-A6C0-6334993ED00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BP473" i="1" s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BP451" i="1" s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BP437" i="1" s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BP425" i="1" s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BP379" i="1" s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P347" i="1" s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BP329" i="1" s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BP312" i="1" s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O292" i="1"/>
  <c r="BM292" i="1"/>
  <c r="Y292" i="1"/>
  <c r="BP292" i="1" s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X287" i="1"/>
  <c r="X286" i="1"/>
  <c r="BO285" i="1"/>
  <c r="BM285" i="1"/>
  <c r="Y285" i="1"/>
  <c r="BP285" i="1" s="1"/>
  <c r="P285" i="1"/>
  <c r="BO284" i="1"/>
  <c r="BM284" i="1"/>
  <c r="Y284" i="1"/>
  <c r="X282" i="1"/>
  <c r="X281" i="1"/>
  <c r="BO280" i="1"/>
  <c r="BM280" i="1"/>
  <c r="Y280" i="1"/>
  <c r="BP280" i="1" s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O264" i="1"/>
  <c r="BM264" i="1"/>
  <c r="Y264" i="1"/>
  <c r="BP264" i="1" s="1"/>
  <c r="P264" i="1"/>
  <c r="X261" i="1"/>
  <c r="X260" i="1"/>
  <c r="BO259" i="1"/>
  <c r="BM259" i="1"/>
  <c r="Y259" i="1"/>
  <c r="BP259" i="1" s="1"/>
  <c r="P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O250" i="1"/>
  <c r="BM250" i="1"/>
  <c r="Y250" i="1"/>
  <c r="BP250" i="1" s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Y252" i="1" s="1"/>
  <c r="P246" i="1"/>
  <c r="X244" i="1"/>
  <c r="X243" i="1"/>
  <c r="BO242" i="1"/>
  <c r="BM242" i="1"/>
  <c r="Y242" i="1"/>
  <c r="Y244" i="1" s="1"/>
  <c r="P242" i="1"/>
  <c r="X240" i="1"/>
  <c r="X239" i="1"/>
  <c r="BO238" i="1"/>
  <c r="BM238" i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BP219" i="1" s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X160" i="1"/>
  <c r="X159" i="1"/>
  <c r="BO158" i="1"/>
  <c r="BM158" i="1"/>
  <c r="Y158" i="1"/>
  <c r="Y159" i="1" s="1"/>
  <c r="P158" i="1"/>
  <c r="X154" i="1"/>
  <c r="X153" i="1"/>
  <c r="BO152" i="1"/>
  <c r="BM152" i="1"/>
  <c r="Y152" i="1"/>
  <c r="Y154" i="1" s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492" i="1" s="1"/>
  <c r="BM22" i="1"/>
  <c r="Y22" i="1"/>
  <c r="B500" i="1" s="1"/>
  <c r="P22" i="1"/>
  <c r="H10" i="1"/>
  <c r="A9" i="1"/>
  <c r="F10" i="1" s="1"/>
  <c r="D7" i="1"/>
  <c r="Q6" i="1"/>
  <c r="P2" i="1"/>
  <c r="Z29" i="1" l="1"/>
  <c r="BN29" i="1"/>
  <c r="Z56" i="1"/>
  <c r="BN56" i="1"/>
  <c r="Z73" i="1"/>
  <c r="BN73" i="1"/>
  <c r="Z92" i="1"/>
  <c r="BN92" i="1"/>
  <c r="Z107" i="1"/>
  <c r="BN107" i="1"/>
  <c r="Z130" i="1"/>
  <c r="BN130" i="1"/>
  <c r="Z163" i="1"/>
  <c r="BN163" i="1"/>
  <c r="Z171" i="1"/>
  <c r="BN171" i="1"/>
  <c r="Z192" i="1"/>
  <c r="BN192" i="1"/>
  <c r="Z196" i="1"/>
  <c r="BN196" i="1"/>
  <c r="Z207" i="1"/>
  <c r="BN207" i="1"/>
  <c r="Z215" i="1"/>
  <c r="BN215" i="1"/>
  <c r="Z230" i="1"/>
  <c r="BN230" i="1"/>
  <c r="Z248" i="1"/>
  <c r="BN248" i="1"/>
  <c r="Z259" i="1"/>
  <c r="BN259" i="1"/>
  <c r="Z280" i="1"/>
  <c r="BN280" i="1"/>
  <c r="Z300" i="1"/>
  <c r="BN300" i="1"/>
  <c r="Z312" i="1"/>
  <c r="BN312" i="1"/>
  <c r="Z329" i="1"/>
  <c r="BN329" i="1"/>
  <c r="Z346" i="1"/>
  <c r="BN346" i="1"/>
  <c r="Z347" i="1"/>
  <c r="BN347" i="1"/>
  <c r="Z379" i="1"/>
  <c r="BN379" i="1"/>
  <c r="Z393" i="1"/>
  <c r="BN393" i="1"/>
  <c r="Z425" i="1"/>
  <c r="BN425" i="1"/>
  <c r="Z437" i="1"/>
  <c r="BN437" i="1"/>
  <c r="Z451" i="1"/>
  <c r="BN451" i="1"/>
  <c r="Z473" i="1"/>
  <c r="BN473" i="1"/>
  <c r="BP302" i="1"/>
  <c r="BN302" i="1"/>
  <c r="Z302" i="1"/>
  <c r="BP316" i="1"/>
  <c r="BN316" i="1"/>
  <c r="Z316" i="1"/>
  <c r="BP323" i="1"/>
  <c r="BN323" i="1"/>
  <c r="Z323" i="1"/>
  <c r="BP338" i="1"/>
  <c r="BN338" i="1"/>
  <c r="Z338" i="1"/>
  <c r="BP344" i="1"/>
  <c r="BN344" i="1"/>
  <c r="Z344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X491" i="1"/>
  <c r="X493" i="1" s="1"/>
  <c r="X494" i="1"/>
  <c r="Z27" i="1"/>
  <c r="BN27" i="1"/>
  <c r="Z41" i="1"/>
  <c r="BN41" i="1"/>
  <c r="Y58" i="1"/>
  <c r="Z54" i="1"/>
  <c r="BN54" i="1"/>
  <c r="Z60" i="1"/>
  <c r="BN60" i="1"/>
  <c r="Z67" i="1"/>
  <c r="BN67" i="1"/>
  <c r="Z75" i="1"/>
  <c r="BN75" i="1"/>
  <c r="Y81" i="1"/>
  <c r="Z86" i="1"/>
  <c r="BN86" i="1"/>
  <c r="Z94" i="1"/>
  <c r="BN94" i="1"/>
  <c r="Z101" i="1"/>
  <c r="BN101" i="1"/>
  <c r="Z113" i="1"/>
  <c r="BN113" i="1"/>
  <c r="Z119" i="1"/>
  <c r="Z120" i="1" s="1"/>
  <c r="BN119" i="1"/>
  <c r="BP119" i="1"/>
  <c r="Y120" i="1"/>
  <c r="Z124" i="1"/>
  <c r="BN124" i="1"/>
  <c r="Z134" i="1"/>
  <c r="BN134" i="1"/>
  <c r="BP134" i="1"/>
  <c r="Z147" i="1"/>
  <c r="BN147" i="1"/>
  <c r="Z152" i="1"/>
  <c r="Z153" i="1" s="1"/>
  <c r="BN152" i="1"/>
  <c r="BP152" i="1"/>
  <c r="Y153" i="1"/>
  <c r="Z158" i="1"/>
  <c r="Z159" i="1" s="1"/>
  <c r="BN158" i="1"/>
  <c r="BP158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09" i="1"/>
  <c r="BN209" i="1"/>
  <c r="Z213" i="1"/>
  <c r="BN213" i="1"/>
  <c r="Z219" i="1"/>
  <c r="BN219" i="1"/>
  <c r="Z228" i="1"/>
  <c r="BN228" i="1"/>
  <c r="Z232" i="1"/>
  <c r="BN232" i="1"/>
  <c r="Z238" i="1"/>
  <c r="Z239" i="1" s="1"/>
  <c r="BN238" i="1"/>
  <c r="BP238" i="1"/>
  <c r="Y239" i="1"/>
  <c r="Z242" i="1"/>
  <c r="Z243" i="1" s="1"/>
  <c r="BN242" i="1"/>
  <c r="BP242" i="1"/>
  <c r="Y243" i="1"/>
  <c r="Z246" i="1"/>
  <c r="BN246" i="1"/>
  <c r="BP246" i="1"/>
  <c r="Z250" i="1"/>
  <c r="BN250" i="1"/>
  <c r="Y261" i="1"/>
  <c r="Z257" i="1"/>
  <c r="BN257" i="1"/>
  <c r="Z264" i="1"/>
  <c r="BN264" i="1"/>
  <c r="Z273" i="1"/>
  <c r="BN273" i="1"/>
  <c r="Z285" i="1"/>
  <c r="BN285" i="1"/>
  <c r="Z292" i="1"/>
  <c r="BN292" i="1"/>
  <c r="BP294" i="1"/>
  <c r="BN294" i="1"/>
  <c r="Z294" i="1"/>
  <c r="BP310" i="1"/>
  <c r="BN310" i="1"/>
  <c r="Z310" i="1"/>
  <c r="Y327" i="1"/>
  <c r="BP322" i="1"/>
  <c r="BN322" i="1"/>
  <c r="Z322" i="1"/>
  <c r="Y326" i="1"/>
  <c r="BP331" i="1"/>
  <c r="BN331" i="1"/>
  <c r="Z331" i="1"/>
  <c r="Y339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381" i="1"/>
  <c r="Y455" i="1"/>
  <c r="Y454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Z286" i="1" s="1"/>
  <c r="Y286" i="1"/>
  <c r="Z332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Y137" i="1"/>
  <c r="H500" i="1"/>
  <c r="Y143" i="1"/>
  <c r="BP140" i="1"/>
  <c r="BN140" i="1"/>
  <c r="Z140" i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Z319" i="1"/>
  <c r="BP317" i="1"/>
  <c r="BN317" i="1"/>
  <c r="Z317" i="1"/>
  <c r="Y319" i="1"/>
  <c r="BP345" i="1"/>
  <c r="BN345" i="1"/>
  <c r="Z345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Y251" i="1"/>
  <c r="BP256" i="1"/>
  <c r="BN256" i="1"/>
  <c r="Z256" i="1"/>
  <c r="Y260" i="1"/>
  <c r="BP265" i="1"/>
  <c r="BN265" i="1"/>
  <c r="Z265" i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Z326" i="1" s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Z376" i="1" l="1"/>
  <c r="Z268" i="1"/>
  <c r="Z260" i="1"/>
  <c r="Z251" i="1"/>
  <c r="Z221" i="1"/>
  <c r="Z143" i="1"/>
  <c r="Z136" i="1"/>
  <c r="Z88" i="1"/>
  <c r="Z76" i="1"/>
  <c r="Z178" i="1"/>
  <c r="Z463" i="1"/>
  <c r="Z216" i="1"/>
  <c r="Z204" i="1"/>
  <c r="Z103" i="1"/>
  <c r="Z395" i="1"/>
  <c r="Z296" i="1"/>
  <c r="Z412" i="1"/>
  <c r="Z351" i="1"/>
  <c r="Z439" i="1"/>
  <c r="Z448" i="1"/>
  <c r="Z433" i="1"/>
  <c r="Z306" i="1"/>
  <c r="Z235" i="1"/>
  <c r="Z57" i="1"/>
  <c r="Y492" i="1"/>
  <c r="Z149" i="1"/>
  <c r="Z69" i="1"/>
  <c r="Y490" i="1"/>
  <c r="Z313" i="1"/>
  <c r="Z172" i="1"/>
  <c r="Z43" i="1"/>
  <c r="Z31" i="1"/>
  <c r="Y494" i="1"/>
  <c r="Y491" i="1"/>
  <c r="Y493" i="1" s="1"/>
  <c r="Z275" i="1"/>
  <c r="Z116" i="1"/>
  <c r="Z95" i="1"/>
  <c r="Z495" i="1" l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<sst xmlns="http://schemas.openxmlformats.org/spreadsheetml/2006/main" count="2350" uniqueCount="771">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</sst>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7"/>
      <c r="F1" s="577"/>
      <c r="G1" s="12" t="s">
        <v>1</v>
      </c>
      <c r="H1" s="63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2" t="s">
        <v>8</v>
      </c>
      <c r="B5" s="644"/>
      <c r="C5" s="645"/>
      <c r="D5" s="635"/>
      <c r="E5" s="636"/>
      <c r="F5" s="833" t="s">
        <v>9</v>
      </c>
      <c r="G5" s="645"/>
      <c r="H5" s="635" t="s">
        <v>770</v>
      </c>
      <c r="I5" s="787"/>
      <c r="J5" s="787"/>
      <c r="K5" s="787"/>
      <c r="L5" s="787"/>
      <c r="M5" s="636"/>
      <c r="N5" s="58"/>
      <c r="P5" s="24" t="s">
        <v>10</v>
      </c>
      <c r="Q5" s="849">
        <v>45981</v>
      </c>
      <c r="R5" s="673"/>
      <c r="T5" s="716" t="s">
        <v>11</v>
      </c>
      <c r="U5" s="717"/>
      <c r="V5" s="718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82" t="s">
        <v>13</v>
      </c>
      <c r="B6" s="644"/>
      <c r="C6" s="645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6" t="s">
        <v>16</v>
      </c>
      <c r="U6" s="717"/>
      <c r="V6" s="771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54"/>
      <c r="U7" s="717"/>
      <c r="V7" s="772"/>
      <c r="W7" s="773"/>
      <c r="AB7" s="51"/>
      <c r="AC7" s="51"/>
      <c r="AD7" s="51"/>
      <c r="AE7" s="51"/>
    </row>
    <row r="8" spans="1:32" s="537" customFormat="1" ht="25.5" customHeight="1" x14ac:dyDescent="0.2">
      <c r="A8" s="869" t="s">
        <v>18</v>
      </c>
      <c r="B8" s="562"/>
      <c r="C8" s="563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8">
        <v>0.54166666666666663</v>
      </c>
      <c r="R8" s="611"/>
      <c r="T8" s="554"/>
      <c r="U8" s="717"/>
      <c r="V8" s="772"/>
      <c r="W8" s="773"/>
      <c r="AB8" s="51"/>
      <c r="AC8" s="51"/>
      <c r="AD8" s="51"/>
      <c r="AE8" s="51"/>
    </row>
    <row r="9" spans="1:32" s="53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7"/>
      <c r="E9" s="568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5"/>
      <c r="P9" s="26" t="s">
        <v>21</v>
      </c>
      <c r="Q9" s="669"/>
      <c r="R9" s="670"/>
      <c r="T9" s="554"/>
      <c r="U9" s="717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7"/>
      <c r="E10" s="568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88"/>
      <c r="R12" s="611"/>
      <c r="S12" s="23"/>
      <c r="U12" s="24"/>
      <c r="V12" s="577"/>
      <c r="W12" s="554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3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7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70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94" t="s">
        <v>38</v>
      </c>
      <c r="D17" s="587" t="s">
        <v>39</v>
      </c>
      <c r="E17" s="65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52"/>
      <c r="R17" s="652"/>
      <c r="S17" s="652"/>
      <c r="T17" s="653"/>
      <c r="U17" s="864" t="s">
        <v>51</v>
      </c>
      <c r="V17" s="645"/>
      <c r="W17" s="587" t="s">
        <v>52</v>
      </c>
      <c r="X17" s="587" t="s">
        <v>53</v>
      </c>
      <c r="Y17" s="861" t="s">
        <v>54</v>
      </c>
      <c r="Z17" s="78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54"/>
      <c r="E18" s="65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88"/>
      <c r="X18" s="588"/>
      <c r="Y18" s="862"/>
      <c r="Z18" s="783"/>
      <c r="AA18" s="757"/>
      <c r="AB18" s="757"/>
      <c r="AC18" s="757"/>
      <c r="AD18" s="830"/>
      <c r="AE18" s="831"/>
      <c r="AF18" s="832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0" t="s">
        <v>99</v>
      </c>
      <c r="B37" s="571"/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20</v>
      </c>
      <c r="Y52" s="544">
        <f t="shared" si="0"/>
        <v>21.6</v>
      </c>
      <c r="Z52" s="36">
        <f>IFERROR(IF(Y52=0,"",ROUNDUP(Y52/H52,0)*0.01898),"")</f>
        <v>3.7960000000000001E-2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20.75925925925926</v>
      </c>
      <c r="BN52" s="64">
        <f t="shared" si="2"/>
        <v>22.42</v>
      </c>
      <c r="BO52" s="64">
        <f t="shared" si="3"/>
        <v>2.8935185185185182E-2</v>
      </c>
      <c r="BP52" s="64">
        <f t="shared" si="4"/>
        <v>3.125E-2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1.8518518518518516</v>
      </c>
      <c r="Y57" s="545">
        <f>IFERROR(Y51/H51,"0")+IFERROR(Y52/H52,"0")+IFERROR(Y53/H53,"0")+IFERROR(Y54/H54,"0")+IFERROR(Y55/H55,"0")+IFERROR(Y56/H56,"0")</f>
        <v>2</v>
      </c>
      <c r="Z57" s="545">
        <f>IFERROR(IF(Z51="",0,Z51),"0")+IFERROR(IF(Z52="",0,Z52),"0")+IFERROR(IF(Z53="",0,Z53),"0")+IFERROR(IF(Z54="",0,Z54),"0")+IFERROR(IF(Z55="",0,Z55),"0")+IFERROR(IF(Z56="",0,Z56),"0")</f>
        <v>3.7960000000000001E-2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20</v>
      </c>
      <c r="Y58" s="545">
        <f>IFERROR(SUM(Y51:Y56),"0")</f>
        <v>21.6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40</v>
      </c>
      <c r="Y60" s="544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41.518518518518519</v>
      </c>
      <c r="BN60" s="64">
        <f>IFERROR(Y60*I60/H60,"0")</f>
        <v>44.84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3.7037037037037033</v>
      </c>
      <c r="Y63" s="545">
        <f>IFERROR(Y60/H60,"0")+IFERROR(Y61/H61,"0")+IFERROR(Y62/H62,"0")</f>
        <v>4</v>
      </c>
      <c r="Z63" s="545">
        <f>IFERROR(IF(Z60="",0,Z60),"0")+IFERROR(IF(Z61="",0,Z61),"0")+IFERROR(IF(Z62="",0,Z62),"0")</f>
        <v>7.5920000000000001E-2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40</v>
      </c>
      <c r="Y64" s="545">
        <f>IFERROR(SUM(Y60:Y62),"0")</f>
        <v>43.2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9"/>
      <c r="AB84" s="539"/>
      <c r="AC84" s="539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50</v>
      </c>
      <c r="Y85" s="544">
        <f>IFERROR(IF(X85="",0,CEILING((X85/$H85),1)*$H85),"")</f>
        <v>54</v>
      </c>
      <c r="Z85" s="36">
        <f>IFERROR(IF(Y85=0,"",ROUNDUP(Y85/H85,0)*0.01898),"")</f>
        <v>9.4899999999999998E-2</v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51.898148148148145</v>
      </c>
      <c r="BN85" s="64">
        <f>IFERROR(Y85*I85/H85,"0")</f>
        <v>56.05</v>
      </c>
      <c r="BO85" s="64">
        <f>IFERROR(1/J85*(X85/H85),"0")</f>
        <v>7.2337962962962965E-2</v>
      </c>
      <c r="BP85" s="64">
        <f>IFERROR(1/J85*(Y85/H85),"0")</f>
        <v>7.8125E-2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4.6296296296296298</v>
      </c>
      <c r="Y88" s="545">
        <f>IFERROR(Y85/H85,"0")+IFERROR(Y86/H86,"0")+IFERROR(Y87/H87,"0")</f>
        <v>5</v>
      </c>
      <c r="Z88" s="545">
        <f>IFERROR(IF(Z85="",0,Z85),"0")+IFERROR(IF(Z86="",0,Z86),"0")+IFERROR(IF(Z87="",0,Z87),"0")</f>
        <v>9.4899999999999998E-2</v>
      </c>
      <c r="AA88" s="546"/>
      <c r="AB88" s="546"/>
      <c r="AC88" s="546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50</v>
      </c>
      <c r="Y89" s="545">
        <f>IFERROR(SUM(Y85:Y87),"0")</f>
        <v>54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9"/>
      <c r="AB90" s="539"/>
      <c r="AC90" s="539"/>
    </row>
    <row r="91" spans="1:68" ht="16.5" hidden="1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9"/>
      <c r="AB111" s="539"/>
      <c r="AC111" s="539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9"/>
      <c r="AB145" s="539"/>
      <c r="AC145" s="539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70" t="s">
        <v>255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9"/>
      <c r="AB161" s="539"/>
      <c r="AC161" s="539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93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5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9"/>
      <c r="AB289" s="539"/>
      <c r="AC289" s="539"/>
    </row>
    <row r="290" spans="1:68" ht="27" hidden="1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130</v>
      </c>
      <c r="Y293" s="544">
        <f t="shared" si="26"/>
        <v>140.4</v>
      </c>
      <c r="Z293" s="36">
        <f>IFERROR(IF(Y293=0,"",ROUNDUP(Y293/H293,0)*0.01898),"")</f>
        <v>0.24674000000000001</v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134.93518518518519</v>
      </c>
      <c r="BN293" s="64">
        <f t="shared" si="28"/>
        <v>145.73000000000002</v>
      </c>
      <c r="BO293" s="64">
        <f t="shared" si="29"/>
        <v>0.18807870370370369</v>
      </c>
      <c r="BP293" s="64">
        <f t="shared" si="30"/>
        <v>0.203125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12.037037037037036</v>
      </c>
      <c r="Y296" s="545">
        <f>IFERROR(Y290/H290,"0")+IFERROR(Y291/H291,"0")+IFERROR(Y292/H292,"0")+IFERROR(Y293/H293,"0")+IFERROR(Y294/H294,"0")+IFERROR(Y295/H295,"0")</f>
        <v>13</v>
      </c>
      <c r="Z296" s="545">
        <f>IFERROR(IF(Z290="",0,Z290),"0")+IFERROR(IF(Z291="",0,Z291),"0")+IFERROR(IF(Z292="",0,Z292),"0")+IFERROR(IF(Z293="",0,Z293),"0")+IFERROR(IF(Z294="",0,Z294),"0")+IFERROR(IF(Z295="",0,Z295),"0")</f>
        <v>0.24674000000000001</v>
      </c>
      <c r="AA296" s="546"/>
      <c r="AB296" s="546"/>
      <c r="AC296" s="546"/>
    </row>
    <row r="297" spans="1:68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130</v>
      </c>
      <c r="Y297" s="545">
        <f>IFERROR(SUM(Y290:Y295),"0")</f>
        <v>140.4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9"/>
      <c r="AB298" s="539"/>
      <c r="AC298" s="539"/>
    </row>
    <row r="299" spans="1:68" ht="27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140</v>
      </c>
      <c r="Y299" s="544">
        <f t="shared" ref="Y299:Y305" si="31">IFERROR(IF(X299="",0,CEILING((X299/$H299),1)*$H299),"")</f>
        <v>142.80000000000001</v>
      </c>
      <c r="Z299" s="36">
        <f>IFERROR(IF(Y299=0,"",ROUNDUP(Y299/H299,0)*0.00902),"")</f>
        <v>0.30668000000000001</v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148.33333333333331</v>
      </c>
      <c r="BN299" s="64">
        <f t="shared" ref="BN299:BN305" si="33">IFERROR(Y299*I299/H299,"0")</f>
        <v>151.30000000000001</v>
      </c>
      <c r="BO299" s="64">
        <f t="shared" ref="BO299:BO305" si="34">IFERROR(1/J299*(X299/H299),"0")</f>
        <v>0.25252525252525249</v>
      </c>
      <c r="BP299" s="64">
        <f t="shared" ref="BP299:BP305" si="35">IFERROR(1/J299*(Y299/H299),"0")</f>
        <v>0.25757575757575757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33.333333333333329</v>
      </c>
      <c r="Y306" s="545">
        <f>IFERROR(Y299/H299,"0")+IFERROR(Y300/H300,"0")+IFERROR(Y301/H301,"0")+IFERROR(Y302/H302,"0")+IFERROR(Y303/H303,"0")+IFERROR(Y304/H304,"0")+IFERROR(Y305/H305,"0")</f>
        <v>34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0.30668000000000001</v>
      </c>
      <c r="AA306" s="546"/>
      <c r="AB306" s="546"/>
      <c r="AC306" s="546"/>
    </row>
    <row r="307" spans="1:68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140</v>
      </c>
      <c r="Y307" s="545">
        <f>IFERROR(SUM(Y299:Y305),"0")</f>
        <v>142.80000000000001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9"/>
      <c r="AB308" s="539"/>
      <c r="AC308" s="539"/>
    </row>
    <row r="309" spans="1:68" ht="27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1000</v>
      </c>
      <c r="Y309" s="544">
        <f>IFERROR(IF(X309="",0,CEILING((X309/$H309),1)*$H309),"")</f>
        <v>1006.1999999999999</v>
      </c>
      <c r="Z309" s="36">
        <f>IFERROR(IF(Y309=0,"",ROUNDUP(Y309/H309,0)*0.01898),"")</f>
        <v>2.44842</v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1062.5641025641025</v>
      </c>
      <c r="BN309" s="64">
        <f>IFERROR(Y309*I309/H309,"0")</f>
        <v>1069.152</v>
      </c>
      <c r="BO309" s="64">
        <f>IFERROR(1/J309*(X309/H309),"0")</f>
        <v>2.0032051282051282</v>
      </c>
      <c r="BP309" s="64">
        <f>IFERROR(1/J309*(Y309/H309),"0")</f>
        <v>2.015625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128.2051282051282</v>
      </c>
      <c r="Y313" s="545">
        <f>IFERROR(Y309/H309,"0")+IFERROR(Y310/H310,"0")+IFERROR(Y311/H311,"0")+IFERROR(Y312/H312,"0")</f>
        <v>129</v>
      </c>
      <c r="Z313" s="545">
        <f>IFERROR(IF(Z309="",0,Z309),"0")+IFERROR(IF(Z310="",0,Z310),"0")+IFERROR(IF(Z311="",0,Z311),"0")+IFERROR(IF(Z312="",0,Z312),"0")</f>
        <v>2.44842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1000</v>
      </c>
      <c r="Y314" s="545">
        <f>IFERROR(SUM(Y309:Y312),"0")</f>
        <v>1006.1999999999999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hidden="1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11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60</v>
      </c>
      <c r="Y336" s="544">
        <f>IFERROR(IF(X336="",0,CEILING((X336/$H336),1)*$H336),"")</f>
        <v>64.8</v>
      </c>
      <c r="Z336" s="36">
        <f>IFERROR(IF(Y336=0,"",ROUNDUP(Y336/H336,0)*0.01898),"")</f>
        <v>0.15184</v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63.659259259259258</v>
      </c>
      <c r="BN336" s="64">
        <f>IFERROR(Y336*I336/H336,"0")</f>
        <v>68.751999999999995</v>
      </c>
      <c r="BO336" s="64">
        <f>IFERROR(1/J336*(X336/H336),"0")</f>
        <v>0.11574074074074074</v>
      </c>
      <c r="BP336" s="64">
        <f>IFERROR(1/J336*(Y336/H336),"0")</f>
        <v>0.125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7.4074074074074074</v>
      </c>
      <c r="Y339" s="545">
        <f>IFERROR(Y336/H336,"0")+IFERROR(Y337/H337,"0")+IFERROR(Y338/H338,"0")</f>
        <v>8</v>
      </c>
      <c r="Z339" s="545">
        <f>IFERROR(IF(Z336="",0,Z336),"0")+IFERROR(IF(Z337="",0,Z337),"0")+IFERROR(IF(Z338="",0,Z338),"0")</f>
        <v>0.15184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60</v>
      </c>
      <c r="Y340" s="545">
        <f>IFERROR(SUM(Y336:Y338),"0")</f>
        <v>64.8</v>
      </c>
      <c r="Z340" s="37"/>
      <c r="AA340" s="546"/>
      <c r="AB340" s="546"/>
      <c r="AC340" s="546"/>
    </row>
    <row r="341" spans="1:68" ht="27.75" hidden="1" customHeight="1" x14ac:dyDescent="0.2">
      <c r="A341" s="570" t="s">
        <v>541</v>
      </c>
      <c r="B341" s="571"/>
      <c r="C341" s="571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571"/>
      <c r="X341" s="571"/>
      <c r="Y341" s="571"/>
      <c r="Z341" s="571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240</v>
      </c>
      <c r="Y344" s="544">
        <f t="shared" ref="Y344:Y350" si="36">IFERROR(IF(X344="",0,CEILING((X344/$H344),1)*$H344),"")</f>
        <v>240</v>
      </c>
      <c r="Z344" s="36">
        <f>IFERROR(IF(Y344=0,"",ROUNDUP(Y344/H344,0)*0.02175),"")</f>
        <v>0.34799999999999998</v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247.52</v>
      </c>
      <c r="BN344" s="64">
        <f t="shared" ref="BN344:BN350" si="38">IFERROR(Y344*I344/H344,"0")</f>
        <v>247.52</v>
      </c>
      <c r="BO344" s="64">
        <f t="shared" ref="BO344:BO350" si="39">IFERROR(1/J344*(X344/H344),"0")</f>
        <v>0.33333333333333331</v>
      </c>
      <c r="BP344" s="64">
        <f t="shared" ref="BP344:BP350" si="40">IFERROR(1/J344*(Y344/H344),"0")</f>
        <v>0.33333333333333331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105</v>
      </c>
      <c r="Y345" s="544">
        <f t="shared" si="36"/>
        <v>105</v>
      </c>
      <c r="Z345" s="36">
        <f>IFERROR(IF(Y345=0,"",ROUNDUP(Y345/H345,0)*0.02175),"")</f>
        <v>0.15225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108.29</v>
      </c>
      <c r="BN345" s="64">
        <f t="shared" si="38"/>
        <v>108.29</v>
      </c>
      <c r="BO345" s="64">
        <f t="shared" si="39"/>
        <v>0.14583333333333331</v>
      </c>
      <c r="BP345" s="64">
        <f t="shared" si="40"/>
        <v>0.14583333333333331</v>
      </c>
    </row>
    <row r="346" spans="1:68" ht="37.5" hidden="1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300</v>
      </c>
      <c r="Y347" s="544">
        <f t="shared" si="36"/>
        <v>300</v>
      </c>
      <c r="Z347" s="36">
        <f>IFERROR(IF(Y347=0,"",ROUNDUP(Y347/H347,0)*0.02175),"")</f>
        <v>0.43499999999999994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309.39999999999998</v>
      </c>
      <c r="BN347" s="64">
        <f t="shared" si="38"/>
        <v>309.39999999999998</v>
      </c>
      <c r="BO347" s="64">
        <f t="shared" si="39"/>
        <v>0.41666666666666663</v>
      </c>
      <c r="BP347" s="64">
        <f t="shared" si="40"/>
        <v>0.41666666666666663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43</v>
      </c>
      <c r="Y351" s="545">
        <f>IFERROR(Y344/H344,"0")+IFERROR(Y345/H345,"0")+IFERROR(Y346/H346,"0")+IFERROR(Y347/H347,"0")+IFERROR(Y348/H348,"0")+IFERROR(Y349/H349,"0")+IFERROR(Y350/H350,"0")</f>
        <v>43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0.93524999999999991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645</v>
      </c>
      <c r="Y352" s="545">
        <f>IFERROR(SUM(Y344:Y350),"0")</f>
        <v>645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900</v>
      </c>
      <c r="Y354" s="544">
        <f>IFERROR(IF(X354="",0,CEILING((X354/$H354),1)*$H354),"")</f>
        <v>900</v>
      </c>
      <c r="Z354" s="36">
        <f>IFERROR(IF(Y354=0,"",ROUNDUP(Y354/H354,0)*0.02175),"")</f>
        <v>1.3049999999999999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928.2</v>
      </c>
      <c r="BN354" s="64">
        <f>IFERROR(Y354*I354/H354,"0")</f>
        <v>928.2</v>
      </c>
      <c r="BO354" s="64">
        <f>IFERROR(1/J354*(X354/H354),"0")</f>
        <v>1.25</v>
      </c>
      <c r="BP354" s="64">
        <f>IFERROR(1/J354*(Y354/H354),"0")</f>
        <v>1.25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60</v>
      </c>
      <c r="Y356" s="545">
        <f>IFERROR(Y354/H354,"0")+IFERROR(Y355/H355,"0")</f>
        <v>60</v>
      </c>
      <c r="Z356" s="545">
        <f>IFERROR(IF(Z354="",0,Z354),"0")+IFERROR(IF(Z355="",0,Z355),"0")</f>
        <v>1.3049999999999999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900</v>
      </c>
      <c r="Y357" s="545">
        <f>IFERROR(SUM(Y354:Y355),"0")</f>
        <v>900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hidden="1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hidden="1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450</v>
      </c>
      <c r="Y379" s="544">
        <f>IFERROR(IF(X379="",0,CEILING((X379/$H379),1)*$H379),"")</f>
        <v>450</v>
      </c>
      <c r="Z379" s="36">
        <f>IFERROR(IF(Y379=0,"",ROUNDUP(Y379/H379,0)*0.01898),"")</f>
        <v>0.94900000000000007</v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474.70000000000005</v>
      </c>
      <c r="BN379" s="64">
        <f>IFERROR(Y379*I379/H379,"0")</f>
        <v>474.70000000000005</v>
      </c>
      <c r="BO379" s="64">
        <f>IFERROR(1/J379*(X379/H379),"0")</f>
        <v>0.78125</v>
      </c>
      <c r="BP379" s="64">
        <f>IFERROR(1/J379*(Y379/H379),"0")</f>
        <v>0.78125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50</v>
      </c>
      <c r="Y381" s="545">
        <f>IFERROR(Y379/H379,"0")+IFERROR(Y380/H380,"0")</f>
        <v>50</v>
      </c>
      <c r="Z381" s="545">
        <f>IFERROR(IF(Z379="",0,Z379),"0")+IFERROR(IF(Z380="",0,Z380),"0")</f>
        <v>0.94900000000000007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450</v>
      </c>
      <c r="Y382" s="545">
        <f>IFERROR(SUM(Y379:Y380),"0")</f>
        <v>450</v>
      </c>
      <c r="Z382" s="37"/>
      <c r="AA382" s="546"/>
      <c r="AB382" s="546"/>
      <c r="AC382" s="546"/>
    </row>
    <row r="383" spans="1:68" ht="27.75" hidden="1" customHeight="1" x14ac:dyDescent="0.2">
      <c r="A383" s="570" t="s">
        <v>593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hidden="1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16</v>
      </c>
      <c r="Y387" s="544">
        <f t="shared" si="41"/>
        <v>16.200000000000003</v>
      </c>
      <c r="Z387" s="36">
        <f>IFERROR(IF(Y387=0,"",ROUNDUP(Y387/H387,0)*0.00902),"")</f>
        <v>2.7060000000000001E-2</v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16.56296296296296</v>
      </c>
      <c r="BN387" s="64">
        <f t="shared" si="43"/>
        <v>16.77</v>
      </c>
      <c r="BO387" s="64">
        <f t="shared" si="44"/>
        <v>2.2446689113355778E-2</v>
      </c>
      <c r="BP387" s="64">
        <f t="shared" si="45"/>
        <v>2.2727272727272731E-2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2.9629629629629628</v>
      </c>
      <c r="Y395" s="545">
        <f>IFERROR(Y386/H386,"0")+IFERROR(Y387/H387,"0")+IFERROR(Y388/H388,"0")+IFERROR(Y389/H389,"0")+IFERROR(Y390/H390,"0")+IFERROR(Y391/H391,"0")+IFERROR(Y392/H392,"0")+IFERROR(Y393/H393,"0")+IFERROR(Y394/H394,"0")</f>
        <v>3.0000000000000004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2.7060000000000001E-2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16</v>
      </c>
      <c r="Y396" s="545">
        <f>IFERROR(SUM(Y386:Y394),"0")</f>
        <v>16.200000000000003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hidden="1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hidden="1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0" t="s">
        <v>644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hidden="1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60</v>
      </c>
      <c r="Y424" s="544">
        <f t="shared" si="47"/>
        <v>63.36</v>
      </c>
      <c r="Z424" s="36">
        <f t="shared" si="48"/>
        <v>0.14352000000000001</v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63.977272727272727</v>
      </c>
      <c r="BN424" s="64">
        <f t="shared" si="50"/>
        <v>67.559999999999988</v>
      </c>
      <c r="BO424" s="64">
        <f t="shared" si="51"/>
        <v>0.10926573426573427</v>
      </c>
      <c r="BP424" s="64">
        <f t="shared" si="52"/>
        <v>0.11538461538461539</v>
      </c>
    </row>
    <row r="425" spans="1:68" ht="27" hidden="1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120</v>
      </c>
      <c r="Y427" s="544">
        <f t="shared" si="47"/>
        <v>121.44000000000001</v>
      </c>
      <c r="Z427" s="36">
        <f t="shared" si="48"/>
        <v>0.27507999999999999</v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127.95454545454545</v>
      </c>
      <c r="BN427" s="64">
        <f t="shared" si="50"/>
        <v>129.49</v>
      </c>
      <c r="BO427" s="64">
        <f t="shared" si="51"/>
        <v>0.21853146853146854</v>
      </c>
      <c r="BP427" s="64">
        <f t="shared" si="52"/>
        <v>0.22115384615384617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34.090909090909093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35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0.41859999999999997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180</v>
      </c>
      <c r="Y434" s="545">
        <f>IFERROR(SUM(Y422:Y432),"0")</f>
        <v>184.8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50</v>
      </c>
      <c r="Y436" s="544">
        <f>IFERROR(IF(X436="",0,CEILING((X436/$H436),1)*$H436),"")</f>
        <v>52.800000000000004</v>
      </c>
      <c r="Z436" s="36">
        <f>IFERROR(IF(Y436=0,"",ROUNDUP(Y436/H436,0)*0.01196),"")</f>
        <v>0.1196</v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53.314393939393938</v>
      </c>
      <c r="BN436" s="64">
        <f>IFERROR(Y436*I436/H436,"0")</f>
        <v>56.3</v>
      </c>
      <c r="BO436" s="64">
        <f>IFERROR(1/J436*(X436/H436),"0")</f>
        <v>9.1054778554778545E-2</v>
      </c>
      <c r="BP436" s="64">
        <f>IFERROR(1/J436*(Y436/H436),"0")</f>
        <v>9.6153846153846159E-2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9.4696969696969688</v>
      </c>
      <c r="Y439" s="545">
        <f>IFERROR(Y436/H436,"0")+IFERROR(Y437/H437,"0")+IFERROR(Y438/H438,"0")</f>
        <v>10</v>
      </c>
      <c r="Z439" s="545">
        <f>IFERROR(IF(Z436="",0,Z436),"0")+IFERROR(IF(Z437="",0,Z437),"0")+IFERROR(IF(Z438="",0,Z438),"0")</f>
        <v>0.1196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50</v>
      </c>
      <c r="Y440" s="545">
        <f>IFERROR(SUM(Y436:Y438),"0")</f>
        <v>52.800000000000004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hidden="1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120</v>
      </c>
      <c r="Y444" s="544">
        <f t="shared" si="53"/>
        <v>121.44000000000001</v>
      </c>
      <c r="Z444" s="36">
        <f>IFERROR(IF(Y444=0,"",ROUNDUP(Y444/H444,0)*0.01196),"")</f>
        <v>0.27507999999999999</v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127.95454545454545</v>
      </c>
      <c r="BN444" s="64">
        <f t="shared" si="55"/>
        <v>129.49</v>
      </c>
      <c r="BO444" s="64">
        <f t="shared" si="56"/>
        <v>0.21853146853146854</v>
      </c>
      <c r="BP444" s="64">
        <f t="shared" si="57"/>
        <v>0.22115384615384617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22.727272727272727</v>
      </c>
      <c r="Y448" s="545">
        <f>IFERROR(Y442/H442,"0")+IFERROR(Y443/H443,"0")+IFERROR(Y444/H444,"0")+IFERROR(Y445/H445,"0")+IFERROR(Y446/H446,"0")+IFERROR(Y447/H447,"0")</f>
        <v>23</v>
      </c>
      <c r="Z448" s="545">
        <f>IFERROR(IF(Z442="",0,Z442),"0")+IFERROR(IF(Z443="",0,Z443),"0")+IFERROR(IF(Z444="",0,Z444),"0")+IFERROR(IF(Z445="",0,Z445),"0")+IFERROR(IF(Z446="",0,Z446),"0")+IFERROR(IF(Z447="",0,Z447),"0")</f>
        <v>0.27507999999999999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120</v>
      </c>
      <c r="Y449" s="545">
        <f>IFERROR(SUM(Y442:Y447),"0")</f>
        <v>121.44000000000001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70" t="s">
        <v>704</v>
      </c>
      <c r="B456" s="571"/>
      <c r="C456" s="571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  <c r="P456" s="571"/>
      <c r="Q456" s="571"/>
      <c r="R456" s="571"/>
      <c r="S456" s="571"/>
      <c r="T456" s="571"/>
      <c r="U456" s="571"/>
      <c r="V456" s="571"/>
      <c r="W456" s="571"/>
      <c r="X456" s="571"/>
      <c r="Y456" s="571"/>
      <c r="Z456" s="571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300</v>
      </c>
      <c r="Y461" s="544">
        <f>IFERROR(IF(X461="",0,CEILING((X461/$H461),1)*$H461),"")</f>
        <v>300</v>
      </c>
      <c r="Z461" s="36">
        <f>IFERROR(IF(Y461=0,"",ROUNDUP(Y461/H461,0)*0.01898),"")</f>
        <v>0.47450000000000003</v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310.25</v>
      </c>
      <c r="BN461" s="64">
        <f>IFERROR(Y461*I461/H461,"0")</f>
        <v>310.25</v>
      </c>
      <c r="BO461" s="64">
        <f>IFERROR(1/J461*(X461/H461),"0")</f>
        <v>0.390625</v>
      </c>
      <c r="BP461" s="64">
        <f>IFERROR(1/J461*(Y461/H461),"0")</f>
        <v>0.390625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25</v>
      </c>
      <c r="Y463" s="545">
        <f>IFERROR(Y459/H459,"0")+IFERROR(Y460/H460,"0")+IFERROR(Y461/H461,"0")+IFERROR(Y462/H462,"0")</f>
        <v>25</v>
      </c>
      <c r="Z463" s="545">
        <f>IFERROR(IF(Z459="",0,Z459),"0")+IFERROR(IF(Z460="",0,Z460),"0")+IFERROR(IF(Z461="",0,Z461),"0")+IFERROR(IF(Z462="",0,Z462),"0")</f>
        <v>0.47450000000000003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300</v>
      </c>
      <c r="Y464" s="545">
        <f>IFERROR(SUM(Y459:Y462),"0")</f>
        <v>300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hidden="1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16</v>
      </c>
      <c r="Y477" s="544">
        <f>IFERROR(IF(X477="",0,CEILING((X477/$H477),1)*$H477),"")</f>
        <v>18</v>
      </c>
      <c r="Z477" s="36">
        <f>IFERROR(IF(Y477=0,"",ROUNDUP(Y477/H477,0)*0.01898),"")</f>
        <v>3.7960000000000001E-2</v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16.87822222222222</v>
      </c>
      <c r="BN477" s="64">
        <f>IFERROR(Y477*I477/H477,"0")</f>
        <v>18.988</v>
      </c>
      <c r="BO477" s="64">
        <f>IFERROR(1/J477*(X477/H477),"0")</f>
        <v>2.7777777777777776E-2</v>
      </c>
      <c r="BP477" s="64">
        <f>IFERROR(1/J477*(Y477/H477),"0")</f>
        <v>3.125E-2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1.7777777777777777</v>
      </c>
      <c r="Y478" s="545">
        <f>IFERROR(Y477/H477,"0")</f>
        <v>2</v>
      </c>
      <c r="Z478" s="545">
        <f>IFERROR(IF(Z477="",0,Z477),"0")</f>
        <v>3.7960000000000001E-2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16</v>
      </c>
      <c r="Y479" s="545">
        <f>IFERROR(SUM(Y477:Y477),"0")</f>
        <v>18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7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4117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4161.24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7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4308.6697490287488</v>
      </c>
      <c r="Y491" s="545">
        <f>IFERROR(SUM(BN22:BN487),"0")</f>
        <v>4355.2020000000002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7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7</v>
      </c>
      <c r="Y492" s="38">
        <f>ROUNDUP(SUM(BP22:BP487),0)</f>
        <v>7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7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4483.6697490287488</v>
      </c>
      <c r="Y493" s="545">
        <f>GrossWeightTotalR+PalletQtyTotalR*25</f>
        <v>4530.2020000000002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7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440.1967106967108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446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7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7.9045099999999993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40" t="s">
        <v>644</v>
      </c>
      <c r="Y497" s="600" t="s">
        <v>704</v>
      </c>
      <c r="Z497" s="604"/>
      <c r="AB497" s="52"/>
      <c r="AC497" s="52"/>
      <c r="AF497" s="541"/>
    </row>
    <row r="498" spans="1:32" ht="14.25" customHeight="1" thickTop="1" x14ac:dyDescent="0.2">
      <c r="A498" s="617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41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41"/>
    </row>
    <row r="499" spans="1:32" ht="13.5" customHeight="1" thickBot="1" x14ac:dyDescent="0.25">
      <c r="A499" s="618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41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64.800000000000011</v>
      </c>
      <c r="E500" s="46">
        <f>IFERROR(Y85*1,"0")+IFERROR(Y86*1,"0")+IFERROR(Y87*1,"0")+IFERROR(Y91*1,"0")+IFERROR(Y92*1,"0")+IFERROR(Y93*1,"0")+IFERROR(Y94*1,"0")</f>
        <v>54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1289.4000000000001</v>
      </c>
      <c r="R500" s="46">
        <f>IFERROR(Y336*1,"0")+IFERROR(Y337*1,"0")+IFERROR(Y338*1,"0")</f>
        <v>64.8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1545</v>
      </c>
      <c r="T500" s="46">
        <f>IFERROR(Y369*1,"0")+IFERROR(Y370*1,"0")+IFERROR(Y374*1,"0")+IFERROR(Y375*1,"0")+IFERROR(Y379*1,"0")+IFERROR(Y380*1,"0")</f>
        <v>450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16.200000000000003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359.04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318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,78"/>
        <filter val="1,85"/>
        <filter val="105,00"/>
        <filter val="12,04"/>
        <filter val="120,00"/>
        <filter val="128,21"/>
        <filter val="130,00"/>
        <filter val="140,00"/>
        <filter val="16,00"/>
        <filter val="180,00"/>
        <filter val="2,96"/>
        <filter val="20,00"/>
        <filter val="22,73"/>
        <filter val="240,00"/>
        <filter val="25,00"/>
        <filter val="3,70"/>
        <filter val="300,00"/>
        <filter val="33,33"/>
        <filter val="34,09"/>
        <filter val="4 117,00"/>
        <filter val="4 308,67"/>
        <filter val="4 483,67"/>
        <filter val="4,63"/>
        <filter val="40,00"/>
        <filter val="43,00"/>
        <filter val="440,20"/>
        <filter val="450,00"/>
        <filter val="50,00"/>
        <filter val="60,00"/>
        <filter val="645,00"/>
        <filter val="7"/>
        <filter val="7,41"/>
        <filter val="9,47"/>
        <filter val="900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