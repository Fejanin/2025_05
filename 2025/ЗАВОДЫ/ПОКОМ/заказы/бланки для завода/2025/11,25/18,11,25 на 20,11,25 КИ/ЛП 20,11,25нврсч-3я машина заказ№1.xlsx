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7DA4D32-8E2A-4213-984D-0DE3CAF503C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Z500" i="1" s="1"/>
  <c r="P487" i="1"/>
  <c r="X484" i="1"/>
  <c r="X483" i="1"/>
  <c r="BO482" i="1"/>
  <c r="BM482" i="1"/>
  <c r="Y482" i="1"/>
  <c r="P482" i="1"/>
  <c r="BO481" i="1"/>
  <c r="BM481" i="1"/>
  <c r="Y481" i="1"/>
  <c r="Y483" i="1" s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Y469" i="1" s="1"/>
  <c r="P466" i="1"/>
  <c r="X464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O410" i="1"/>
  <c r="BM410" i="1"/>
  <c r="Y410" i="1"/>
  <c r="BP410" i="1" s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BP399" i="1" s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O388" i="1"/>
  <c r="BM388" i="1"/>
  <c r="Y388" i="1"/>
  <c r="P388" i="1"/>
  <c r="BO387" i="1"/>
  <c r="BM387" i="1"/>
  <c r="Y387" i="1"/>
  <c r="BP387" i="1" s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Y382" i="1" s="1"/>
  <c r="P379" i="1"/>
  <c r="X377" i="1"/>
  <c r="X376" i="1"/>
  <c r="BO375" i="1"/>
  <c r="BM375" i="1"/>
  <c r="Y375" i="1"/>
  <c r="BP375" i="1" s="1"/>
  <c r="P375" i="1"/>
  <c r="BP374" i="1"/>
  <c r="BO374" i="1"/>
  <c r="BN374" i="1"/>
  <c r="BM374" i="1"/>
  <c r="Z374" i="1"/>
  <c r="Y374" i="1"/>
  <c r="P374" i="1"/>
  <c r="X372" i="1"/>
  <c r="X371" i="1"/>
  <c r="BO370" i="1"/>
  <c r="BM370" i="1"/>
  <c r="Y370" i="1"/>
  <c r="P370" i="1"/>
  <c r="BO369" i="1"/>
  <c r="BM369" i="1"/>
  <c r="Y369" i="1"/>
  <c r="P369" i="1"/>
  <c r="X366" i="1"/>
  <c r="X365" i="1"/>
  <c r="BO364" i="1"/>
  <c r="BM364" i="1"/>
  <c r="Y364" i="1"/>
  <c r="Y365" i="1" s="1"/>
  <c r="P364" i="1"/>
  <c r="X362" i="1"/>
  <c r="X361" i="1"/>
  <c r="BO360" i="1"/>
  <c r="BM360" i="1"/>
  <c r="Y360" i="1"/>
  <c r="BP360" i="1" s="1"/>
  <c r="P360" i="1"/>
  <c r="BO359" i="1"/>
  <c r="BM359" i="1"/>
  <c r="Y359" i="1"/>
  <c r="P359" i="1"/>
  <c r="X357" i="1"/>
  <c r="X356" i="1"/>
  <c r="BO355" i="1"/>
  <c r="BM355" i="1"/>
  <c r="Y355" i="1"/>
  <c r="P355" i="1"/>
  <c r="BO354" i="1"/>
  <c r="BM354" i="1"/>
  <c r="Y354" i="1"/>
  <c r="Y357" i="1" s="1"/>
  <c r="P354" i="1"/>
  <c r="X352" i="1"/>
  <c r="X351" i="1"/>
  <c r="BO350" i="1"/>
  <c r="BM350" i="1"/>
  <c r="Y350" i="1"/>
  <c r="BP350" i="1" s="1"/>
  <c r="P350" i="1"/>
  <c r="BP349" i="1"/>
  <c r="BO349" i="1"/>
  <c r="BN349" i="1"/>
  <c r="BM349" i="1"/>
  <c r="Z349" i="1"/>
  <c r="Y349" i="1"/>
  <c r="P349" i="1"/>
  <c r="BO348" i="1"/>
  <c r="BM348" i="1"/>
  <c r="Y348" i="1"/>
  <c r="BP348" i="1" s="1"/>
  <c r="P348" i="1"/>
  <c r="BO347" i="1"/>
  <c r="BM347" i="1"/>
  <c r="Y347" i="1"/>
  <c r="BO346" i="1"/>
  <c r="BM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3" i="1"/>
  <c r="X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P329" i="1"/>
  <c r="X327" i="1"/>
  <c r="X326" i="1"/>
  <c r="BO325" i="1"/>
  <c r="BM325" i="1"/>
  <c r="Y325" i="1"/>
  <c r="BP325" i="1" s="1"/>
  <c r="P325" i="1"/>
  <c r="BO324" i="1"/>
  <c r="BM324" i="1"/>
  <c r="Y324" i="1"/>
  <c r="P324" i="1"/>
  <c r="BO323" i="1"/>
  <c r="BM323" i="1"/>
  <c r="Y323" i="1"/>
  <c r="BP323" i="1" s="1"/>
  <c r="BO322" i="1"/>
  <c r="BM322" i="1"/>
  <c r="Y322" i="1"/>
  <c r="P322" i="1"/>
  <c r="X320" i="1"/>
  <c r="X319" i="1"/>
  <c r="BO318" i="1"/>
  <c r="BM318" i="1"/>
  <c r="Y318" i="1"/>
  <c r="BP318" i="1" s="1"/>
  <c r="P318" i="1"/>
  <c r="BO317" i="1"/>
  <c r="BM317" i="1"/>
  <c r="Y317" i="1"/>
  <c r="P317" i="1"/>
  <c r="BO316" i="1"/>
  <c r="BM316" i="1"/>
  <c r="Y316" i="1"/>
  <c r="Y319" i="1" s="1"/>
  <c r="P316" i="1"/>
  <c r="X314" i="1"/>
  <c r="X313" i="1"/>
  <c r="BO312" i="1"/>
  <c r="BM312" i="1"/>
  <c r="Y312" i="1"/>
  <c r="BP312" i="1" s="1"/>
  <c r="P312" i="1"/>
  <c r="BO311" i="1"/>
  <c r="BM311" i="1"/>
  <c r="Y311" i="1"/>
  <c r="P311" i="1"/>
  <c r="BO310" i="1"/>
  <c r="BM310" i="1"/>
  <c r="Y310" i="1"/>
  <c r="BP310" i="1" s="1"/>
  <c r="P310" i="1"/>
  <c r="BO309" i="1"/>
  <c r="BM309" i="1"/>
  <c r="Y309" i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BP304" i="1" s="1"/>
  <c r="P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X297" i="1"/>
  <c r="X296" i="1"/>
  <c r="BO295" i="1"/>
  <c r="BM295" i="1"/>
  <c r="Y295" i="1"/>
  <c r="P295" i="1"/>
  <c r="BO294" i="1"/>
  <c r="BM294" i="1"/>
  <c r="Y294" i="1"/>
  <c r="BP294" i="1" s="1"/>
  <c r="P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BP285" i="1" s="1"/>
  <c r="P285" i="1"/>
  <c r="BO284" i="1"/>
  <c r="BM284" i="1"/>
  <c r="Y284" i="1"/>
  <c r="X282" i="1"/>
  <c r="X281" i="1"/>
  <c r="BO280" i="1"/>
  <c r="BM280" i="1"/>
  <c r="Y280" i="1"/>
  <c r="BP280" i="1" s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BP259" i="1" s="1"/>
  <c r="P259" i="1"/>
  <c r="BO258" i="1"/>
  <c r="BM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BP250" i="1" s="1"/>
  <c r="P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Y239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Y222" i="1" s="1"/>
  <c r="P219" i="1"/>
  <c r="X217" i="1"/>
  <c r="X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Y183" i="1" s="1"/>
  <c r="P181" i="1"/>
  <c r="X179" i="1"/>
  <c r="X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Y179" i="1" s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Y154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Z102" i="1"/>
  <c r="Y102" i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P92" i="1"/>
  <c r="BO91" i="1"/>
  <c r="BM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Y77" i="1" s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BO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X494" i="1" s="1"/>
  <c r="BO22" i="1"/>
  <c r="BM22" i="1"/>
  <c r="X491" i="1" s="1"/>
  <c r="Y22" i="1"/>
  <c r="P22" i="1"/>
  <c r="H10" i="1"/>
  <c r="A9" i="1"/>
  <c r="A10" i="1" s="1"/>
  <c r="D7" i="1"/>
  <c r="Q6" i="1"/>
  <c r="P2" i="1"/>
  <c r="BP93" i="1" l="1"/>
  <c r="BN93" i="1"/>
  <c r="Z93" i="1"/>
  <c r="BP125" i="1"/>
  <c r="BN125" i="1"/>
  <c r="Z125" i="1"/>
  <c r="BP164" i="1"/>
  <c r="BN164" i="1"/>
  <c r="Z164" i="1"/>
  <c r="BP200" i="1"/>
  <c r="BN200" i="1"/>
  <c r="Z200" i="1"/>
  <c r="BP227" i="1"/>
  <c r="BN227" i="1"/>
  <c r="Z227" i="1"/>
  <c r="BP265" i="1"/>
  <c r="BN265" i="1"/>
  <c r="Z265" i="1"/>
  <c r="BP284" i="1"/>
  <c r="BN284" i="1"/>
  <c r="Z284" i="1"/>
  <c r="BP311" i="1"/>
  <c r="BN311" i="1"/>
  <c r="Z311" i="1"/>
  <c r="BP359" i="1"/>
  <c r="BN359" i="1"/>
  <c r="Z359" i="1"/>
  <c r="BP394" i="1"/>
  <c r="BN394" i="1"/>
  <c r="Z394" i="1"/>
  <c r="BP428" i="1"/>
  <c r="BN428" i="1"/>
  <c r="Z428" i="1"/>
  <c r="BP452" i="1"/>
  <c r="BN452" i="1"/>
  <c r="Z452" i="1"/>
  <c r="Z41" i="1"/>
  <c r="BN41" i="1"/>
  <c r="D500" i="1"/>
  <c r="Z60" i="1"/>
  <c r="BN60" i="1"/>
  <c r="Y63" i="1"/>
  <c r="BP66" i="1"/>
  <c r="BN66" i="1"/>
  <c r="BP80" i="1"/>
  <c r="BN80" i="1"/>
  <c r="Z80" i="1"/>
  <c r="BP106" i="1"/>
  <c r="BN106" i="1"/>
  <c r="Z106" i="1"/>
  <c r="BP142" i="1"/>
  <c r="BN142" i="1"/>
  <c r="Z142" i="1"/>
  <c r="BP186" i="1"/>
  <c r="BN186" i="1"/>
  <c r="Z186" i="1"/>
  <c r="BP212" i="1"/>
  <c r="BN212" i="1"/>
  <c r="Z212" i="1"/>
  <c r="BP247" i="1"/>
  <c r="BN247" i="1"/>
  <c r="Z247" i="1"/>
  <c r="BP279" i="1"/>
  <c r="BN279" i="1"/>
  <c r="Z279" i="1"/>
  <c r="BP301" i="1"/>
  <c r="BN301" i="1"/>
  <c r="Z301" i="1"/>
  <c r="BP330" i="1"/>
  <c r="BN330" i="1"/>
  <c r="Z330" i="1"/>
  <c r="BP386" i="1"/>
  <c r="BN386" i="1"/>
  <c r="Z386" i="1"/>
  <c r="Y417" i="1"/>
  <c r="BP416" i="1"/>
  <c r="BN416" i="1"/>
  <c r="Z416" i="1"/>
  <c r="Z417" i="1" s="1"/>
  <c r="BP438" i="1"/>
  <c r="BN438" i="1"/>
  <c r="Z438" i="1"/>
  <c r="BP468" i="1"/>
  <c r="BN468" i="1"/>
  <c r="Z468" i="1"/>
  <c r="BP472" i="1"/>
  <c r="BN472" i="1"/>
  <c r="Z472" i="1"/>
  <c r="Y69" i="1"/>
  <c r="F500" i="1"/>
  <c r="Y109" i="1"/>
  <c r="T500" i="1"/>
  <c r="BP114" i="1"/>
  <c r="BN114" i="1"/>
  <c r="Z114" i="1"/>
  <c r="BP140" i="1"/>
  <c r="BN140" i="1"/>
  <c r="Z140" i="1"/>
  <c r="Y173" i="1"/>
  <c r="BP162" i="1"/>
  <c r="BN162" i="1"/>
  <c r="Z162" i="1"/>
  <c r="BP170" i="1"/>
  <c r="BN170" i="1"/>
  <c r="Z170" i="1"/>
  <c r="BP198" i="1"/>
  <c r="BN198" i="1"/>
  <c r="Z198" i="1"/>
  <c r="BP210" i="1"/>
  <c r="BN210" i="1"/>
  <c r="Z210" i="1"/>
  <c r="Y236" i="1"/>
  <c r="BP225" i="1"/>
  <c r="BN225" i="1"/>
  <c r="Z225" i="1"/>
  <c r="BP233" i="1"/>
  <c r="BN233" i="1"/>
  <c r="Z233" i="1"/>
  <c r="BP258" i="1"/>
  <c r="BN258" i="1"/>
  <c r="Z258" i="1"/>
  <c r="BP274" i="1"/>
  <c r="BN274" i="1"/>
  <c r="Z274" i="1"/>
  <c r="BP295" i="1"/>
  <c r="BN295" i="1"/>
  <c r="Z295" i="1"/>
  <c r="B500" i="1"/>
  <c r="X492" i="1"/>
  <c r="X493" i="1" s="1"/>
  <c r="X490" i="1"/>
  <c r="Y32" i="1"/>
  <c r="Z29" i="1"/>
  <c r="BN29" i="1"/>
  <c r="C500" i="1"/>
  <c r="Z52" i="1"/>
  <c r="BN52" i="1"/>
  <c r="Z56" i="1"/>
  <c r="BN56" i="1"/>
  <c r="Y64" i="1"/>
  <c r="Z62" i="1"/>
  <c r="BN62" i="1"/>
  <c r="Y70" i="1"/>
  <c r="Z68" i="1"/>
  <c r="BN68" i="1"/>
  <c r="Y76" i="1"/>
  <c r="Z74" i="1"/>
  <c r="BN74" i="1"/>
  <c r="Z85" i="1"/>
  <c r="BN85" i="1"/>
  <c r="Y88" i="1"/>
  <c r="Z91" i="1"/>
  <c r="BN91" i="1"/>
  <c r="BP91" i="1"/>
  <c r="Y96" i="1"/>
  <c r="Z100" i="1"/>
  <c r="BN100" i="1"/>
  <c r="BP102" i="1"/>
  <c r="BN102" i="1"/>
  <c r="BP108" i="1"/>
  <c r="BN108" i="1"/>
  <c r="Z108" i="1"/>
  <c r="Y131" i="1"/>
  <c r="BP129" i="1"/>
  <c r="BN129" i="1"/>
  <c r="Z129" i="1"/>
  <c r="Y150" i="1"/>
  <c r="BP146" i="1"/>
  <c r="BN146" i="1"/>
  <c r="Z146" i="1"/>
  <c r="BP166" i="1"/>
  <c r="BN166" i="1"/>
  <c r="Z166" i="1"/>
  <c r="BP192" i="1"/>
  <c r="BN192" i="1"/>
  <c r="Z192" i="1"/>
  <c r="BP202" i="1"/>
  <c r="BN202" i="1"/>
  <c r="Z202" i="1"/>
  <c r="BP214" i="1"/>
  <c r="BN214" i="1"/>
  <c r="Z214" i="1"/>
  <c r="BP229" i="1"/>
  <c r="BN229" i="1"/>
  <c r="Z229" i="1"/>
  <c r="BP249" i="1"/>
  <c r="BN249" i="1"/>
  <c r="Z249" i="1"/>
  <c r="BP267" i="1"/>
  <c r="BN267" i="1"/>
  <c r="Z267" i="1"/>
  <c r="Q500" i="1"/>
  <c r="BP291" i="1"/>
  <c r="BN291" i="1"/>
  <c r="Z291" i="1"/>
  <c r="BP303" i="1"/>
  <c r="BN303" i="1"/>
  <c r="Z303" i="1"/>
  <c r="BP317" i="1"/>
  <c r="BN317" i="1"/>
  <c r="Z317" i="1"/>
  <c r="BP337" i="1"/>
  <c r="BN337" i="1"/>
  <c r="Z337" i="1"/>
  <c r="BP338" i="1"/>
  <c r="BN338" i="1"/>
  <c r="Z338" i="1"/>
  <c r="BP347" i="1"/>
  <c r="BN347" i="1"/>
  <c r="Z347" i="1"/>
  <c r="BP370" i="1"/>
  <c r="BN370" i="1"/>
  <c r="Z370" i="1"/>
  <c r="BP388" i="1"/>
  <c r="BN388" i="1"/>
  <c r="Z388" i="1"/>
  <c r="Y400" i="1"/>
  <c r="BP398" i="1"/>
  <c r="BN398" i="1"/>
  <c r="Z398" i="1"/>
  <c r="X500" i="1"/>
  <c r="BP422" i="1"/>
  <c r="BN422" i="1"/>
  <c r="Z422" i="1"/>
  <c r="BP430" i="1"/>
  <c r="BN430" i="1"/>
  <c r="Z430" i="1"/>
  <c r="Y448" i="1"/>
  <c r="BP442" i="1"/>
  <c r="BN442" i="1"/>
  <c r="Z442" i="1"/>
  <c r="BP460" i="1"/>
  <c r="BN460" i="1"/>
  <c r="Z460" i="1"/>
  <c r="BP482" i="1"/>
  <c r="BN482" i="1"/>
  <c r="Z482" i="1"/>
  <c r="Y110" i="1"/>
  <c r="Y116" i="1"/>
  <c r="G500" i="1"/>
  <c r="Y132" i="1"/>
  <c r="Y143" i="1"/>
  <c r="Y149" i="1"/>
  <c r="I500" i="1"/>
  <c r="Y204" i="1"/>
  <c r="Y216" i="1"/>
  <c r="Y251" i="1"/>
  <c r="L500" i="1"/>
  <c r="M500" i="1"/>
  <c r="Y286" i="1"/>
  <c r="Y307" i="1"/>
  <c r="BP299" i="1"/>
  <c r="BN299" i="1"/>
  <c r="Z299" i="1"/>
  <c r="Y313" i="1"/>
  <c r="BP309" i="1"/>
  <c r="BN309" i="1"/>
  <c r="Z309" i="1"/>
  <c r="BP324" i="1"/>
  <c r="BN324" i="1"/>
  <c r="Z324" i="1"/>
  <c r="BP346" i="1"/>
  <c r="BN346" i="1"/>
  <c r="Z346" i="1"/>
  <c r="BP355" i="1"/>
  <c r="BN355" i="1"/>
  <c r="Z355" i="1"/>
  <c r="BP380" i="1"/>
  <c r="BN380" i="1"/>
  <c r="Z380" i="1"/>
  <c r="BP392" i="1"/>
  <c r="BN392" i="1"/>
  <c r="Z392" i="1"/>
  <c r="BP411" i="1"/>
  <c r="BN411" i="1"/>
  <c r="Z411" i="1"/>
  <c r="BP426" i="1"/>
  <c r="BN426" i="1"/>
  <c r="Z426" i="1"/>
  <c r="Y440" i="1"/>
  <c r="BP436" i="1"/>
  <c r="BN436" i="1"/>
  <c r="Z436" i="1"/>
  <c r="BP446" i="1"/>
  <c r="BN446" i="1"/>
  <c r="Z446" i="1"/>
  <c r="Y470" i="1"/>
  <c r="BP466" i="1"/>
  <c r="BN466" i="1"/>
  <c r="Z466" i="1"/>
  <c r="Z469" i="1" s="1"/>
  <c r="Y326" i="1"/>
  <c r="Y332" i="1"/>
  <c r="Y352" i="1"/>
  <c r="Y361" i="1"/>
  <c r="Y376" i="1"/>
  <c r="Y395" i="1"/>
  <c r="V500" i="1"/>
  <c r="Y413" i="1"/>
  <c r="Y433" i="1"/>
  <c r="Y455" i="1"/>
  <c r="Y474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BN61" i="1"/>
  <c r="BP61" i="1"/>
  <c r="Z67" i="1"/>
  <c r="Z69" i="1" s="1"/>
  <c r="BN67" i="1"/>
  <c r="BP67" i="1"/>
  <c r="Z73" i="1"/>
  <c r="BN73" i="1"/>
  <c r="BP73" i="1"/>
  <c r="Z75" i="1"/>
  <c r="BN75" i="1"/>
  <c r="Z79" i="1"/>
  <c r="Z81" i="1" s="1"/>
  <c r="BN79" i="1"/>
  <c r="BP79" i="1"/>
  <c r="Y82" i="1"/>
  <c r="E500" i="1"/>
  <c r="Z86" i="1"/>
  <c r="Z88" i="1" s="1"/>
  <c r="BN86" i="1"/>
  <c r="BP86" i="1"/>
  <c r="Y89" i="1"/>
  <c r="Z92" i="1"/>
  <c r="BN92" i="1"/>
  <c r="BP92" i="1"/>
  <c r="Z94" i="1"/>
  <c r="BN94" i="1"/>
  <c r="Z99" i="1"/>
  <c r="BN99" i="1"/>
  <c r="BP99" i="1"/>
  <c r="Z101" i="1"/>
  <c r="BN101" i="1"/>
  <c r="Y104" i="1"/>
  <c r="Z107" i="1"/>
  <c r="Z109" i="1" s="1"/>
  <c r="BN107" i="1"/>
  <c r="BP107" i="1"/>
  <c r="Z113" i="1"/>
  <c r="BN113" i="1"/>
  <c r="BP113" i="1"/>
  <c r="Z115" i="1"/>
  <c r="BN115" i="1"/>
  <c r="Z119" i="1"/>
  <c r="Z120" i="1" s="1"/>
  <c r="BN119" i="1"/>
  <c r="BP119" i="1"/>
  <c r="Y120" i="1"/>
  <c r="Z124" i="1"/>
  <c r="Z126" i="1" s="1"/>
  <c r="BN124" i="1"/>
  <c r="BP124" i="1"/>
  <c r="Y127" i="1"/>
  <c r="Z130" i="1"/>
  <c r="Z131" i="1" s="1"/>
  <c r="BN130" i="1"/>
  <c r="BP130" i="1"/>
  <c r="Z134" i="1"/>
  <c r="Z136" i="1" s="1"/>
  <c r="BN134" i="1"/>
  <c r="BP134" i="1"/>
  <c r="Y137" i="1"/>
  <c r="H500" i="1"/>
  <c r="Z141" i="1"/>
  <c r="Z143" i="1" s="1"/>
  <c r="BN141" i="1"/>
  <c r="BP141" i="1"/>
  <c r="Y144" i="1"/>
  <c r="Z147" i="1"/>
  <c r="Z149" i="1" s="1"/>
  <c r="BN147" i="1"/>
  <c r="BP147" i="1"/>
  <c r="Z152" i="1"/>
  <c r="Z153" i="1" s="1"/>
  <c r="BN152" i="1"/>
  <c r="BP152" i="1"/>
  <c r="Y153" i="1"/>
  <c r="Z158" i="1"/>
  <c r="Z159" i="1" s="1"/>
  <c r="BN158" i="1"/>
  <c r="BP158" i="1"/>
  <c r="Y159" i="1"/>
  <c r="Z163" i="1"/>
  <c r="BN163" i="1"/>
  <c r="Z165" i="1"/>
  <c r="BN165" i="1"/>
  <c r="Z167" i="1"/>
  <c r="BN167" i="1"/>
  <c r="Z169" i="1"/>
  <c r="BN169" i="1"/>
  <c r="Z171" i="1"/>
  <c r="BN171" i="1"/>
  <c r="Y172" i="1"/>
  <c r="Z175" i="1"/>
  <c r="BN175" i="1"/>
  <c r="BP175" i="1"/>
  <c r="Z177" i="1"/>
  <c r="BN177" i="1"/>
  <c r="Y178" i="1"/>
  <c r="Z181" i="1"/>
  <c r="Z182" i="1" s="1"/>
  <c r="BN181" i="1"/>
  <c r="BP181" i="1"/>
  <c r="Y182" i="1"/>
  <c r="BP187" i="1"/>
  <c r="BN187" i="1"/>
  <c r="Z187" i="1"/>
  <c r="Z188" i="1" s="1"/>
  <c r="Y189" i="1"/>
  <c r="Y194" i="1"/>
  <c r="BP191" i="1"/>
  <c r="BN191" i="1"/>
  <c r="Z191" i="1"/>
  <c r="BP199" i="1"/>
  <c r="BN199" i="1"/>
  <c r="Z199" i="1"/>
  <c r="BP203" i="1"/>
  <c r="BN203" i="1"/>
  <c r="Z203" i="1"/>
  <c r="H9" i="1"/>
  <c r="Y24" i="1"/>
  <c r="Y44" i="1"/>
  <c r="Y57" i="1"/>
  <c r="Y103" i="1"/>
  <c r="Y126" i="1"/>
  <c r="Y160" i="1"/>
  <c r="Z176" i="1"/>
  <c r="BN176" i="1"/>
  <c r="Y193" i="1"/>
  <c r="BP197" i="1"/>
  <c r="BN197" i="1"/>
  <c r="Z197" i="1"/>
  <c r="Y205" i="1"/>
  <c r="BP201" i="1"/>
  <c r="BN201" i="1"/>
  <c r="Z201" i="1"/>
  <c r="Z204" i="1" s="1"/>
  <c r="Y217" i="1"/>
  <c r="Y221" i="1"/>
  <c r="Y240" i="1"/>
  <c r="Y244" i="1"/>
  <c r="Y252" i="1"/>
  <c r="Y261" i="1"/>
  <c r="Y268" i="1"/>
  <c r="Y275" i="1"/>
  <c r="Y282" i="1"/>
  <c r="Y287" i="1"/>
  <c r="Y296" i="1"/>
  <c r="Y306" i="1"/>
  <c r="Y314" i="1"/>
  <c r="Y320" i="1"/>
  <c r="Y327" i="1"/>
  <c r="Y333" i="1"/>
  <c r="R500" i="1"/>
  <c r="Y340" i="1"/>
  <c r="Y339" i="1"/>
  <c r="BP345" i="1"/>
  <c r="BN345" i="1"/>
  <c r="Z345" i="1"/>
  <c r="J500" i="1"/>
  <c r="Y188" i="1"/>
  <c r="Z207" i="1"/>
  <c r="BN207" i="1"/>
  <c r="BP207" i="1"/>
  <c r="Z209" i="1"/>
  <c r="BN209" i="1"/>
  <c r="Z211" i="1"/>
  <c r="BN211" i="1"/>
  <c r="Z213" i="1"/>
  <c r="BN213" i="1"/>
  <c r="Z215" i="1"/>
  <c r="BN215" i="1"/>
  <c r="Z219" i="1"/>
  <c r="Z221" i="1" s="1"/>
  <c r="BN219" i="1"/>
  <c r="BP219" i="1"/>
  <c r="K500" i="1"/>
  <c r="Z226" i="1"/>
  <c r="BN226" i="1"/>
  <c r="Z228" i="1"/>
  <c r="BN228" i="1"/>
  <c r="Z230" i="1"/>
  <c r="BN230" i="1"/>
  <c r="Z232" i="1"/>
  <c r="BN232" i="1"/>
  <c r="Z234" i="1"/>
  <c r="BN234" i="1"/>
  <c r="Y235" i="1"/>
  <c r="Z238" i="1"/>
  <c r="Z239" i="1" s="1"/>
  <c r="BN238" i="1"/>
  <c r="BP238" i="1"/>
  <c r="Z242" i="1"/>
  <c r="Z243" i="1" s="1"/>
  <c r="BN242" i="1"/>
  <c r="BP242" i="1"/>
  <c r="Z246" i="1"/>
  <c r="BN246" i="1"/>
  <c r="BP246" i="1"/>
  <c r="Z248" i="1"/>
  <c r="BN248" i="1"/>
  <c r="Z250" i="1"/>
  <c r="BN250" i="1"/>
  <c r="Z255" i="1"/>
  <c r="BN255" i="1"/>
  <c r="BP255" i="1"/>
  <c r="Z257" i="1"/>
  <c r="BN257" i="1"/>
  <c r="Z259" i="1"/>
  <c r="BN259" i="1"/>
  <c r="Y260" i="1"/>
  <c r="Z264" i="1"/>
  <c r="BN264" i="1"/>
  <c r="BP264" i="1"/>
  <c r="Z266" i="1"/>
  <c r="BN266" i="1"/>
  <c r="Y269" i="1"/>
  <c r="O500" i="1"/>
  <c r="Z273" i="1"/>
  <c r="Z275" i="1" s="1"/>
  <c r="BN273" i="1"/>
  <c r="Y276" i="1"/>
  <c r="P500" i="1"/>
  <c r="Z280" i="1"/>
  <c r="Z281" i="1" s="1"/>
  <c r="BN280" i="1"/>
  <c r="Y281" i="1"/>
  <c r="Z285" i="1"/>
  <c r="Z286" i="1" s="1"/>
  <c r="BN285" i="1"/>
  <c r="Z290" i="1"/>
  <c r="BN290" i="1"/>
  <c r="BP290" i="1"/>
  <c r="Z292" i="1"/>
  <c r="BN292" i="1"/>
  <c r="Z294" i="1"/>
  <c r="BN294" i="1"/>
  <c r="Y297" i="1"/>
  <c r="Z300" i="1"/>
  <c r="BN300" i="1"/>
  <c r="Z302" i="1"/>
  <c r="BN302" i="1"/>
  <c r="Z304" i="1"/>
  <c r="BN304" i="1"/>
  <c r="Z310" i="1"/>
  <c r="BN310" i="1"/>
  <c r="Z312" i="1"/>
  <c r="BN312" i="1"/>
  <c r="Z316" i="1"/>
  <c r="BN316" i="1"/>
  <c r="BP316" i="1"/>
  <c r="Z318" i="1"/>
  <c r="BN318" i="1"/>
  <c r="Z322" i="1"/>
  <c r="BN322" i="1"/>
  <c r="BP322" i="1"/>
  <c r="Z323" i="1"/>
  <c r="BN323" i="1"/>
  <c r="Z325" i="1"/>
  <c r="BN325" i="1"/>
  <c r="Z329" i="1"/>
  <c r="BN329" i="1"/>
  <c r="BP329" i="1"/>
  <c r="Z331" i="1"/>
  <c r="BN331" i="1"/>
  <c r="Z336" i="1"/>
  <c r="BN336" i="1"/>
  <c r="BP336" i="1"/>
  <c r="Y356" i="1"/>
  <c r="Y362" i="1"/>
  <c r="Y366" i="1"/>
  <c r="Y371" i="1"/>
  <c r="Y377" i="1"/>
  <c r="Y381" i="1"/>
  <c r="Y401" i="1"/>
  <c r="Y406" i="1"/>
  <c r="Y412" i="1"/>
  <c r="BP425" i="1"/>
  <c r="BN425" i="1"/>
  <c r="Z425" i="1"/>
  <c r="BP429" i="1"/>
  <c r="BN429" i="1"/>
  <c r="Z429" i="1"/>
  <c r="BP437" i="1"/>
  <c r="BN437" i="1"/>
  <c r="Z437" i="1"/>
  <c r="Z439" i="1" s="1"/>
  <c r="BP445" i="1"/>
  <c r="BN445" i="1"/>
  <c r="Z445" i="1"/>
  <c r="BP453" i="1"/>
  <c r="BN453" i="1"/>
  <c r="Z453" i="1"/>
  <c r="Y500" i="1"/>
  <c r="Y464" i="1"/>
  <c r="BP459" i="1"/>
  <c r="BN459" i="1"/>
  <c r="Z459" i="1"/>
  <c r="Y463" i="1"/>
  <c r="BP467" i="1"/>
  <c r="BN467" i="1"/>
  <c r="Z467" i="1"/>
  <c r="S500" i="1"/>
  <c r="Z348" i="1"/>
  <c r="BN348" i="1"/>
  <c r="Z350" i="1"/>
  <c r="BN350" i="1"/>
  <c r="Y351" i="1"/>
  <c r="Z354" i="1"/>
  <c r="Z356" i="1" s="1"/>
  <c r="BN354" i="1"/>
  <c r="BP354" i="1"/>
  <c r="Z360" i="1"/>
  <c r="Z361" i="1" s="1"/>
  <c r="BN360" i="1"/>
  <c r="Z364" i="1"/>
  <c r="Z365" i="1" s="1"/>
  <c r="BN364" i="1"/>
  <c r="BP364" i="1"/>
  <c r="Z369" i="1"/>
  <c r="Z371" i="1" s="1"/>
  <c r="BN369" i="1"/>
  <c r="BP369" i="1"/>
  <c r="Y372" i="1"/>
  <c r="Z375" i="1"/>
  <c r="Z376" i="1" s="1"/>
  <c r="BN375" i="1"/>
  <c r="Z379" i="1"/>
  <c r="BN379" i="1"/>
  <c r="BP379" i="1"/>
  <c r="U500" i="1"/>
  <c r="Z387" i="1"/>
  <c r="BN387" i="1"/>
  <c r="Z389" i="1"/>
  <c r="BN389" i="1"/>
  <c r="Z391" i="1"/>
  <c r="BN391" i="1"/>
  <c r="Z393" i="1"/>
  <c r="BN393" i="1"/>
  <c r="Y396" i="1"/>
  <c r="Z399" i="1"/>
  <c r="Z400" i="1" s="1"/>
  <c r="BN399" i="1"/>
  <c r="Z404" i="1"/>
  <c r="Z405" i="1" s="1"/>
  <c r="BN404" i="1"/>
  <c r="BP404" i="1"/>
  <c r="Y405" i="1"/>
  <c r="Z408" i="1"/>
  <c r="BN408" i="1"/>
  <c r="BP408" i="1"/>
  <c r="Z410" i="1"/>
  <c r="BN410" i="1"/>
  <c r="W500" i="1"/>
  <c r="Y418" i="1"/>
  <c r="BP423" i="1"/>
  <c r="BN423" i="1"/>
  <c r="Z423" i="1"/>
  <c r="BP427" i="1"/>
  <c r="BN427" i="1"/>
  <c r="Z427" i="1"/>
  <c r="BP431" i="1"/>
  <c r="BN431" i="1"/>
  <c r="Z431" i="1"/>
  <c r="Y439" i="1"/>
  <c r="BP443" i="1"/>
  <c r="BN443" i="1"/>
  <c r="Z443" i="1"/>
  <c r="BP447" i="1"/>
  <c r="BN447" i="1"/>
  <c r="Z447" i="1"/>
  <c r="Y449" i="1"/>
  <c r="Y454" i="1"/>
  <c r="BP451" i="1"/>
  <c r="BN451" i="1"/>
  <c r="Z451" i="1"/>
  <c r="BP461" i="1"/>
  <c r="BN461" i="1"/>
  <c r="Z461" i="1"/>
  <c r="BP473" i="1"/>
  <c r="BN473" i="1"/>
  <c r="Z473" i="1"/>
  <c r="Z474" i="1" s="1"/>
  <c r="Y475" i="1"/>
  <c r="Y478" i="1"/>
  <c r="BP477" i="1"/>
  <c r="BN477" i="1"/>
  <c r="Z477" i="1"/>
  <c r="Z478" i="1" s="1"/>
  <c r="Y479" i="1"/>
  <c r="Y484" i="1"/>
  <c r="BP481" i="1"/>
  <c r="BN481" i="1"/>
  <c r="Z481" i="1"/>
  <c r="Z483" i="1" s="1"/>
  <c r="Y434" i="1"/>
  <c r="Y489" i="1"/>
  <c r="Z487" i="1"/>
  <c r="Z488" i="1" s="1"/>
  <c r="BN487" i="1"/>
  <c r="BP487" i="1"/>
  <c r="Y488" i="1"/>
  <c r="Z454" i="1" l="1"/>
  <c r="Z448" i="1"/>
  <c r="Z381" i="1"/>
  <c r="Z339" i="1"/>
  <c r="Z326" i="1"/>
  <c r="Z251" i="1"/>
  <c r="Z216" i="1"/>
  <c r="Z193" i="1"/>
  <c r="Z63" i="1"/>
  <c r="Z395" i="1"/>
  <c r="Z433" i="1"/>
  <c r="Z351" i="1"/>
  <c r="Z313" i="1"/>
  <c r="Z306" i="1"/>
  <c r="Z235" i="1"/>
  <c r="Z172" i="1"/>
  <c r="Z116" i="1"/>
  <c r="Z95" i="1"/>
  <c r="Z76" i="1"/>
  <c r="Z57" i="1"/>
  <c r="Z43" i="1"/>
  <c r="Z31" i="1"/>
  <c r="Z463" i="1"/>
  <c r="Y492" i="1"/>
  <c r="Z412" i="1"/>
  <c r="Z332" i="1"/>
  <c r="Z319" i="1"/>
  <c r="Z296" i="1"/>
  <c r="Z268" i="1"/>
  <c r="Z260" i="1"/>
  <c r="Y490" i="1"/>
  <c r="Z178" i="1"/>
  <c r="Z103" i="1"/>
  <c r="Y494" i="1"/>
  <c r="Y491" i="1"/>
  <c r="Y493" i="1" l="1"/>
  <c r="Z495" i="1"/>
</calcChain>
</file>

<file path=xl/sharedStrings.xml><?xml version="1.0" encoding="utf-8"?>
<sst xmlns="http://schemas.openxmlformats.org/spreadsheetml/2006/main" count="2350" uniqueCount="771">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</sst>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9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2" t="s">
        <v>0</v>
      </c>
      <c r="E1" s="577"/>
      <c r="F1" s="577"/>
      <c r="G1" s="12" t="s">
        <v>1</v>
      </c>
      <c r="H1" s="632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82" t="s">
        <v>8</v>
      </c>
      <c r="B5" s="644"/>
      <c r="C5" s="645"/>
      <c r="D5" s="635"/>
      <c r="E5" s="636"/>
      <c r="F5" s="833" t="s">
        <v>9</v>
      </c>
      <c r="G5" s="645"/>
      <c r="H5" s="635" t="s">
        <v>770</v>
      </c>
      <c r="I5" s="787"/>
      <c r="J5" s="787"/>
      <c r="K5" s="787"/>
      <c r="L5" s="787"/>
      <c r="M5" s="636"/>
      <c r="N5" s="58"/>
      <c r="P5" s="24" t="s">
        <v>10</v>
      </c>
      <c r="Q5" s="849">
        <v>45981</v>
      </c>
      <c r="R5" s="673"/>
      <c r="T5" s="716" t="s">
        <v>11</v>
      </c>
      <c r="U5" s="717"/>
      <c r="V5" s="718" t="s">
        <v>12</v>
      </c>
      <c r="W5" s="673"/>
      <c r="AB5" s="51"/>
      <c r="AC5" s="51"/>
      <c r="AD5" s="51"/>
      <c r="AE5" s="51"/>
    </row>
    <row r="6" spans="1:32" s="537" customFormat="1" ht="24" customHeight="1" x14ac:dyDescent="0.2">
      <c r="A6" s="682" t="s">
        <v>13</v>
      </c>
      <c r="B6" s="644"/>
      <c r="C6" s="645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73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Четверг</v>
      </c>
      <c r="R6" s="548"/>
      <c r="T6" s="726" t="s">
        <v>16</v>
      </c>
      <c r="U6" s="717"/>
      <c r="V6" s="771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54"/>
      <c r="U7" s="717"/>
      <c r="V7" s="772"/>
      <c r="W7" s="773"/>
      <c r="AB7" s="51"/>
      <c r="AC7" s="51"/>
      <c r="AD7" s="51"/>
      <c r="AE7" s="51"/>
    </row>
    <row r="8" spans="1:32" s="537" customFormat="1" ht="25.5" customHeight="1" x14ac:dyDescent="0.2">
      <c r="A8" s="869" t="s">
        <v>18</v>
      </c>
      <c r="B8" s="562"/>
      <c r="C8" s="563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8">
        <v>0.5</v>
      </c>
      <c r="R8" s="611"/>
      <c r="T8" s="554"/>
      <c r="U8" s="717"/>
      <c r="V8" s="772"/>
      <c r="W8" s="773"/>
      <c r="AB8" s="51"/>
      <c r="AC8" s="51"/>
      <c r="AD8" s="51"/>
      <c r="AE8" s="51"/>
    </row>
    <row r="9" spans="1:32" s="537" customFormat="1" ht="39.950000000000003" customHeight="1" x14ac:dyDescent="0.2">
      <c r="A9" s="6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77"/>
      <c r="E9" s="568"/>
      <c r="F9" s="6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5"/>
      <c r="P9" s="26" t="s">
        <v>21</v>
      </c>
      <c r="Q9" s="669"/>
      <c r="R9" s="670"/>
      <c r="T9" s="554"/>
      <c r="U9" s="717"/>
      <c r="V9" s="774"/>
      <c r="W9" s="775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77"/>
      <c r="E10" s="568"/>
      <c r="F10" s="6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8" t="str">
        <f>IFERROR(VLOOKUP($D$10,Proxy,2,FALSE),"")</f>
        <v/>
      </c>
      <c r="I10" s="554"/>
      <c r="J10" s="554"/>
      <c r="K10" s="554"/>
      <c r="L10" s="554"/>
      <c r="M10" s="554"/>
      <c r="N10" s="536"/>
      <c r="P10" s="26" t="s">
        <v>22</v>
      </c>
      <c r="Q10" s="727"/>
      <c r="R10" s="728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7" t="s">
        <v>29</v>
      </c>
      <c r="B12" s="644"/>
      <c r="C12" s="644"/>
      <c r="D12" s="644"/>
      <c r="E12" s="644"/>
      <c r="F12" s="644"/>
      <c r="G12" s="644"/>
      <c r="H12" s="644"/>
      <c r="I12" s="644"/>
      <c r="J12" s="644"/>
      <c r="K12" s="644"/>
      <c r="L12" s="644"/>
      <c r="M12" s="645"/>
      <c r="N12" s="62"/>
      <c r="P12" s="24" t="s">
        <v>30</v>
      </c>
      <c r="Q12" s="688"/>
      <c r="R12" s="611"/>
      <c r="S12" s="23"/>
      <c r="U12" s="24"/>
      <c r="V12" s="577"/>
      <c r="W12" s="554"/>
      <c r="AB12" s="51"/>
      <c r="AC12" s="51"/>
      <c r="AD12" s="51"/>
      <c r="AE12" s="51"/>
    </row>
    <row r="13" spans="1:32" s="537" customFormat="1" ht="23.25" customHeight="1" x14ac:dyDescent="0.2">
      <c r="A13" s="707" t="s">
        <v>31</v>
      </c>
      <c r="B13" s="644"/>
      <c r="C13" s="644"/>
      <c r="D13" s="644"/>
      <c r="E13" s="644"/>
      <c r="F13" s="644"/>
      <c r="G13" s="644"/>
      <c r="H13" s="644"/>
      <c r="I13" s="644"/>
      <c r="J13" s="644"/>
      <c r="K13" s="644"/>
      <c r="L13" s="644"/>
      <c r="M13" s="645"/>
      <c r="N13" s="62"/>
      <c r="O13" s="26"/>
      <c r="P13" s="26" t="s">
        <v>32</v>
      </c>
      <c r="Q13" s="803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7" t="s">
        <v>33</v>
      </c>
      <c r="B14" s="644"/>
      <c r="C14" s="644"/>
      <c r="D14" s="644"/>
      <c r="E14" s="644"/>
      <c r="F14" s="644"/>
      <c r="G14" s="644"/>
      <c r="H14" s="644"/>
      <c r="I14" s="644"/>
      <c r="J14" s="644"/>
      <c r="K14" s="644"/>
      <c r="L14" s="644"/>
      <c r="M14" s="64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7" t="s">
        <v>34</v>
      </c>
      <c r="B15" s="644"/>
      <c r="C15" s="644"/>
      <c r="D15" s="644"/>
      <c r="E15" s="644"/>
      <c r="F15" s="644"/>
      <c r="G15" s="644"/>
      <c r="H15" s="644"/>
      <c r="I15" s="644"/>
      <c r="J15" s="644"/>
      <c r="K15" s="644"/>
      <c r="L15" s="644"/>
      <c r="M15" s="645"/>
      <c r="N15" s="63"/>
      <c r="P15" s="700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94" t="s">
        <v>38</v>
      </c>
      <c r="D17" s="587" t="s">
        <v>39</v>
      </c>
      <c r="E17" s="653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52"/>
      <c r="R17" s="652"/>
      <c r="S17" s="652"/>
      <c r="T17" s="653"/>
      <c r="U17" s="864" t="s">
        <v>51</v>
      </c>
      <c r="V17" s="645"/>
      <c r="W17" s="587" t="s">
        <v>52</v>
      </c>
      <c r="X17" s="587" t="s">
        <v>53</v>
      </c>
      <c r="Y17" s="861" t="s">
        <v>54</v>
      </c>
      <c r="Z17" s="782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54"/>
      <c r="E18" s="656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88"/>
      <c r="X18" s="588"/>
      <c r="Y18" s="862"/>
      <c r="Z18" s="783"/>
      <c r="AA18" s="757"/>
      <c r="AB18" s="757"/>
      <c r="AC18" s="757"/>
      <c r="AD18" s="830"/>
      <c r="AE18" s="831"/>
      <c r="AF18" s="832"/>
      <c r="AG18" s="66"/>
      <c r="BD18" s="65"/>
    </row>
    <row r="19" spans="1:68" ht="27.75" hidden="1" customHeight="1" x14ac:dyDescent="0.2">
      <c r="A19" s="570" t="s">
        <v>63</v>
      </c>
      <c r="B19" s="571"/>
      <c r="C19" s="571"/>
      <c r="D19" s="571"/>
      <c r="E19" s="571"/>
      <c r="F19" s="571"/>
      <c r="G19" s="571"/>
      <c r="H19" s="571"/>
      <c r="I19" s="571"/>
      <c r="J19" s="571"/>
      <c r="K19" s="571"/>
      <c r="L19" s="571"/>
      <c r="M19" s="571"/>
      <c r="N19" s="571"/>
      <c r="O19" s="571"/>
      <c r="P19" s="571"/>
      <c r="Q19" s="571"/>
      <c r="R19" s="571"/>
      <c r="S19" s="571"/>
      <c r="T19" s="571"/>
      <c r="U19" s="571"/>
      <c r="V19" s="571"/>
      <c r="W19" s="571"/>
      <c r="X19" s="571"/>
      <c r="Y19" s="571"/>
      <c r="Z19" s="571"/>
      <c r="AA19" s="48"/>
      <c r="AB19" s="48"/>
      <c r="AC19" s="48"/>
    </row>
    <row r="20" spans="1:68" ht="16.5" hidden="1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8"/>
      <c r="AB20" s="538"/>
      <c r="AC20" s="538"/>
    </row>
    <row r="21" spans="1:68" ht="14.25" hidden="1" customHeight="1" x14ac:dyDescent="0.25">
      <c r="A21" s="559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71</v>
      </c>
      <c r="Q23" s="562"/>
      <c r="R23" s="562"/>
      <c r="S23" s="562"/>
      <c r="T23" s="562"/>
      <c r="U23" s="562"/>
      <c r="V23" s="563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71</v>
      </c>
      <c r="Q24" s="562"/>
      <c r="R24" s="562"/>
      <c r="S24" s="562"/>
      <c r="T24" s="562"/>
      <c r="U24" s="562"/>
      <c r="V24" s="563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59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71</v>
      </c>
      <c r="Q31" s="562"/>
      <c r="R31" s="562"/>
      <c r="S31" s="562"/>
      <c r="T31" s="562"/>
      <c r="U31" s="562"/>
      <c r="V31" s="563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71</v>
      </c>
      <c r="Q32" s="562"/>
      <c r="R32" s="562"/>
      <c r="S32" s="562"/>
      <c r="T32" s="562"/>
      <c r="U32" s="562"/>
      <c r="V32" s="563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59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71</v>
      </c>
      <c r="Q35" s="562"/>
      <c r="R35" s="562"/>
      <c r="S35" s="562"/>
      <c r="T35" s="562"/>
      <c r="U35" s="562"/>
      <c r="V35" s="563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71</v>
      </c>
      <c r="Q36" s="562"/>
      <c r="R36" s="562"/>
      <c r="S36" s="562"/>
      <c r="T36" s="562"/>
      <c r="U36" s="562"/>
      <c r="V36" s="563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70" t="s">
        <v>99</v>
      </c>
      <c r="B37" s="571"/>
      <c r="C37" s="571"/>
      <c r="D37" s="571"/>
      <c r="E37" s="571"/>
      <c r="F37" s="571"/>
      <c r="G37" s="571"/>
      <c r="H37" s="571"/>
      <c r="I37" s="571"/>
      <c r="J37" s="571"/>
      <c r="K37" s="571"/>
      <c r="L37" s="571"/>
      <c r="M37" s="571"/>
      <c r="N37" s="571"/>
      <c r="O37" s="571"/>
      <c r="P37" s="571"/>
      <c r="Q37" s="571"/>
      <c r="R37" s="571"/>
      <c r="S37" s="571"/>
      <c r="T37" s="571"/>
      <c r="U37" s="571"/>
      <c r="V37" s="571"/>
      <c r="W37" s="571"/>
      <c r="X37" s="571"/>
      <c r="Y37" s="571"/>
      <c r="Z37" s="571"/>
      <c r="AA37" s="48"/>
      <c r="AB37" s="48"/>
      <c r="AC37" s="48"/>
    </row>
    <row r="38" spans="1:68" ht="16.5" hidden="1" customHeight="1" x14ac:dyDescent="0.25">
      <c r="A38" s="558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8"/>
      <c r="AB38" s="538"/>
      <c r="AC38" s="538"/>
    </row>
    <row r="39" spans="1:68" ht="14.25" hidden="1" customHeight="1" x14ac:dyDescent="0.25">
      <c r="A39" s="559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60</v>
      </c>
      <c r="Y40" s="544">
        <f>IFERROR(IF(X40="",0,CEILING((X40/$H40),1)*$H40),"")</f>
        <v>64.800000000000011</v>
      </c>
      <c r="Z40" s="36">
        <f>IFERROR(IF(Y40=0,"",ROUNDUP(Y40/H40,0)*0.01898),"")</f>
        <v>0.11388000000000001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62.277777777777779</v>
      </c>
      <c r="BN40" s="64">
        <f>IFERROR(Y40*I40/H40,"0")</f>
        <v>67.260000000000005</v>
      </c>
      <c r="BO40" s="64">
        <f>IFERROR(1/J40*(X40/H40),"0")</f>
        <v>8.6805555555555552E-2</v>
      </c>
      <c r="BP40" s="64">
        <f>IFERROR(1/J40*(Y40/H40),"0")</f>
        <v>9.3750000000000014E-2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240</v>
      </c>
      <c r="Y41" s="544">
        <f>IFERROR(IF(X41="",0,CEILING((X41/$H41),1)*$H41),"")</f>
        <v>240</v>
      </c>
      <c r="Z41" s="36">
        <f>IFERROR(IF(Y41=0,"",ROUNDUP(Y41/H41,0)*0.00902),"")</f>
        <v>0.54120000000000001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251.40000000000003</v>
      </c>
      <c r="BN41" s="64">
        <f>IFERROR(Y41*I41/H41,"0")</f>
        <v>251.40000000000003</v>
      </c>
      <c r="BO41" s="64">
        <f>IFERROR(1/J41*(X41/H41),"0")</f>
        <v>0.45454545454545459</v>
      </c>
      <c r="BP41" s="64">
        <f>IFERROR(1/J41*(Y41/H41),"0")</f>
        <v>0.45454545454545459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71</v>
      </c>
      <c r="Q43" s="562"/>
      <c r="R43" s="562"/>
      <c r="S43" s="562"/>
      <c r="T43" s="562"/>
      <c r="U43" s="562"/>
      <c r="V43" s="563"/>
      <c r="W43" s="37" t="s">
        <v>72</v>
      </c>
      <c r="X43" s="545">
        <f>IFERROR(X40/H40,"0")+IFERROR(X41/H41,"0")+IFERROR(X42/H42,"0")</f>
        <v>65.555555555555557</v>
      </c>
      <c r="Y43" s="545">
        <f>IFERROR(Y40/H40,"0")+IFERROR(Y41/H41,"0")+IFERROR(Y42/H42,"0")</f>
        <v>66</v>
      </c>
      <c r="Z43" s="545">
        <f>IFERROR(IF(Z40="",0,Z40),"0")+IFERROR(IF(Z41="",0,Z41),"0")+IFERROR(IF(Z42="",0,Z42),"0")</f>
        <v>0.65508</v>
      </c>
      <c r="AA43" s="546"/>
      <c r="AB43" s="546"/>
      <c r="AC43" s="546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71</v>
      </c>
      <c r="Q44" s="562"/>
      <c r="R44" s="562"/>
      <c r="S44" s="562"/>
      <c r="T44" s="562"/>
      <c r="U44" s="562"/>
      <c r="V44" s="563"/>
      <c r="W44" s="37" t="s">
        <v>69</v>
      </c>
      <c r="X44" s="545">
        <f>IFERROR(SUM(X40:X42),"0")</f>
        <v>300</v>
      </c>
      <c r="Y44" s="545">
        <f>IFERROR(SUM(Y40:Y42),"0")</f>
        <v>304.8</v>
      </c>
      <c r="Z44" s="37"/>
      <c r="AA44" s="546"/>
      <c r="AB44" s="546"/>
      <c r="AC44" s="546"/>
    </row>
    <row r="45" spans="1:68" ht="14.25" hidden="1" customHeight="1" x14ac:dyDescent="0.25">
      <c r="A45" s="559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71</v>
      </c>
      <c r="Q47" s="562"/>
      <c r="R47" s="562"/>
      <c r="S47" s="562"/>
      <c r="T47" s="562"/>
      <c r="U47" s="562"/>
      <c r="V47" s="563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71</v>
      </c>
      <c r="Q48" s="562"/>
      <c r="R48" s="562"/>
      <c r="S48" s="562"/>
      <c r="T48" s="562"/>
      <c r="U48" s="562"/>
      <c r="V48" s="563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8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8"/>
      <c r="AB49" s="538"/>
      <c r="AC49" s="538"/>
    </row>
    <row r="50" spans="1:68" ht="14.25" hidden="1" customHeight="1" x14ac:dyDescent="0.25">
      <c r="A50" s="559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200</v>
      </c>
      <c r="Y52" s="544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8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6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327</v>
      </c>
      <c r="Y56" s="544">
        <f t="shared" si="0"/>
        <v>328.5</v>
      </c>
      <c r="Z56" s="36">
        <f>IFERROR(IF(Y56=0,"",ROUNDUP(Y56/H56,0)*0.00902),"")</f>
        <v>0.65846000000000005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340.80666666666667</v>
      </c>
      <c r="BN56" s="64">
        <f t="shared" si="2"/>
        <v>342.37000000000006</v>
      </c>
      <c r="BO56" s="64">
        <f t="shared" si="3"/>
        <v>0.55050505050505061</v>
      </c>
      <c r="BP56" s="64">
        <f t="shared" si="4"/>
        <v>0.55303030303030309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71</v>
      </c>
      <c r="Q57" s="562"/>
      <c r="R57" s="562"/>
      <c r="S57" s="562"/>
      <c r="T57" s="562"/>
      <c r="U57" s="562"/>
      <c r="V57" s="563"/>
      <c r="W57" s="37" t="s">
        <v>72</v>
      </c>
      <c r="X57" s="545">
        <f>IFERROR(X51/H51,"0")+IFERROR(X52/H52,"0")+IFERROR(X53/H53,"0")+IFERROR(X54/H54,"0")+IFERROR(X55/H55,"0")+IFERROR(X56/H56,"0")</f>
        <v>91.18518518518519</v>
      </c>
      <c r="Y57" s="545">
        <f>IFERROR(Y51/H51,"0")+IFERROR(Y52/H52,"0")+IFERROR(Y53/H53,"0")+IFERROR(Y54/H54,"0")+IFERROR(Y55/H55,"0")+IFERROR(Y56/H56,"0")</f>
        <v>92</v>
      </c>
      <c r="Z57" s="545">
        <f>IFERROR(IF(Z51="",0,Z51),"0")+IFERROR(IF(Z52="",0,Z52),"0")+IFERROR(IF(Z53="",0,Z53),"0")+IFERROR(IF(Z54="",0,Z54),"0")+IFERROR(IF(Z55="",0,Z55),"0")+IFERROR(IF(Z56="",0,Z56),"0")</f>
        <v>1.01908</v>
      </c>
      <c r="AA57" s="546"/>
      <c r="AB57" s="546"/>
      <c r="AC57" s="546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71</v>
      </c>
      <c r="Q58" s="562"/>
      <c r="R58" s="562"/>
      <c r="S58" s="562"/>
      <c r="T58" s="562"/>
      <c r="U58" s="562"/>
      <c r="V58" s="563"/>
      <c r="W58" s="37" t="s">
        <v>69</v>
      </c>
      <c r="X58" s="545">
        <f>IFERROR(SUM(X51:X56),"0")</f>
        <v>527</v>
      </c>
      <c r="Y58" s="545">
        <f>IFERROR(SUM(Y51:Y56),"0")</f>
        <v>533.70000000000005</v>
      </c>
      <c r="Z58" s="37"/>
      <c r="AA58" s="546"/>
      <c r="AB58" s="546"/>
      <c r="AC58" s="546"/>
    </row>
    <row r="59" spans="1:68" ht="14.25" hidden="1" customHeight="1" x14ac:dyDescent="0.25">
      <c r="A59" s="559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9"/>
      <c r="AB59" s="539"/>
      <c r="AC59" s="539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0</v>
      </c>
      <c r="Y60" s="544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202</v>
      </c>
      <c r="Y62" s="544">
        <f>IFERROR(IF(X62="",0,CEILING((X62/$H62),1)*$H62),"")</f>
        <v>202.5</v>
      </c>
      <c r="Z62" s="36">
        <f>IFERROR(IF(Y62=0,"",ROUNDUP(Y62/H62,0)*0.00651),"")</f>
        <v>0.48825000000000002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215.46666666666664</v>
      </c>
      <c r="BN62" s="64">
        <f>IFERROR(Y62*I62/H62,"0")</f>
        <v>215.99999999999997</v>
      </c>
      <c r="BO62" s="64">
        <f>IFERROR(1/J62*(X62/H62),"0")</f>
        <v>0.41107041107041109</v>
      </c>
      <c r="BP62" s="64">
        <f>IFERROR(1/J62*(Y62/H62),"0")</f>
        <v>0.41208791208791212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71</v>
      </c>
      <c r="Q63" s="562"/>
      <c r="R63" s="562"/>
      <c r="S63" s="562"/>
      <c r="T63" s="562"/>
      <c r="U63" s="562"/>
      <c r="V63" s="563"/>
      <c r="W63" s="37" t="s">
        <v>72</v>
      </c>
      <c r="X63" s="545">
        <f>IFERROR(X60/H60,"0")+IFERROR(X61/H61,"0")+IFERROR(X62/H62,"0")</f>
        <v>74.81481481481481</v>
      </c>
      <c r="Y63" s="545">
        <f>IFERROR(Y60/H60,"0")+IFERROR(Y61/H61,"0")+IFERROR(Y62/H62,"0")</f>
        <v>75</v>
      </c>
      <c r="Z63" s="545">
        <f>IFERROR(IF(Z60="",0,Z60),"0")+IFERROR(IF(Z61="",0,Z61),"0")+IFERROR(IF(Z62="",0,Z62),"0")</f>
        <v>0.48825000000000002</v>
      </c>
      <c r="AA63" s="546"/>
      <c r="AB63" s="546"/>
      <c r="AC63" s="546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71</v>
      </c>
      <c r="Q64" s="562"/>
      <c r="R64" s="562"/>
      <c r="S64" s="562"/>
      <c r="T64" s="562"/>
      <c r="U64" s="562"/>
      <c r="V64" s="563"/>
      <c r="W64" s="37" t="s">
        <v>69</v>
      </c>
      <c r="X64" s="545">
        <f>IFERROR(SUM(X60:X62),"0")</f>
        <v>202</v>
      </c>
      <c r="Y64" s="545">
        <f>IFERROR(SUM(Y60:Y62),"0")</f>
        <v>202.5</v>
      </c>
      <c r="Z64" s="37"/>
      <c r="AA64" s="546"/>
      <c r="AB64" s="546"/>
      <c r="AC64" s="546"/>
    </row>
    <row r="65" spans="1:68" ht="14.25" hidden="1" customHeight="1" x14ac:dyDescent="0.25">
      <c r="A65" s="559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71</v>
      </c>
      <c r="Q69" s="562"/>
      <c r="R69" s="562"/>
      <c r="S69" s="562"/>
      <c r="T69" s="562"/>
      <c r="U69" s="562"/>
      <c r="V69" s="563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71</v>
      </c>
      <c r="Q70" s="562"/>
      <c r="R70" s="562"/>
      <c r="S70" s="562"/>
      <c r="T70" s="562"/>
      <c r="U70" s="562"/>
      <c r="V70" s="563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59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9"/>
      <c r="AB71" s="539"/>
      <c r="AC71" s="539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61" t="s">
        <v>71</v>
      </c>
      <c r="Q76" s="562"/>
      <c r="R76" s="562"/>
      <c r="S76" s="562"/>
      <c r="T76" s="562"/>
      <c r="U76" s="562"/>
      <c r="V76" s="563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71</v>
      </c>
      <c r="Q77" s="562"/>
      <c r="R77" s="562"/>
      <c r="S77" s="562"/>
      <c r="T77" s="562"/>
      <c r="U77" s="562"/>
      <c r="V77" s="563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hidden="1" customHeight="1" x14ac:dyDescent="0.25">
      <c r="A78" s="559" t="s">
        <v>164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9"/>
      <c r="AB78" s="539"/>
      <c r="AC78" s="539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9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61" t="s">
        <v>71</v>
      </c>
      <c r="Q81" s="562"/>
      <c r="R81" s="562"/>
      <c r="S81" s="562"/>
      <c r="T81" s="562"/>
      <c r="U81" s="562"/>
      <c r="V81" s="563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71</v>
      </c>
      <c r="Q82" s="562"/>
      <c r="R82" s="562"/>
      <c r="S82" s="562"/>
      <c r="T82" s="562"/>
      <c r="U82" s="562"/>
      <c r="V82" s="563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hidden="1" customHeight="1" x14ac:dyDescent="0.25">
      <c r="A83" s="558" t="s">
        <v>171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8"/>
      <c r="AB83" s="538"/>
      <c r="AC83" s="538"/>
    </row>
    <row r="84" spans="1:68" ht="14.25" hidden="1" customHeight="1" x14ac:dyDescent="0.25">
      <c r="A84" s="559" t="s">
        <v>101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15</v>
      </c>
      <c r="Y85" s="544">
        <f>IFERROR(IF(X85="",0,CEILING((X85/$H85),1)*$H85),"")</f>
        <v>21.6</v>
      </c>
      <c r="Z85" s="36">
        <f>IFERROR(IF(Y85=0,"",ROUNDUP(Y85/H85,0)*0.01898),"")</f>
        <v>3.7960000000000001E-2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15.569444444444445</v>
      </c>
      <c r="BN85" s="64">
        <f>IFERROR(Y85*I85/H85,"0")</f>
        <v>22.42</v>
      </c>
      <c r="BO85" s="64">
        <f>IFERROR(1/J85*(X85/H85),"0")</f>
        <v>2.1701388888888888E-2</v>
      </c>
      <c r="BP85" s="64">
        <f>IFERROR(1/J85*(Y85/H85),"0")</f>
        <v>3.125E-2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304</v>
      </c>
      <c r="Y87" s="544">
        <f>IFERROR(IF(X87="",0,CEILING((X87/$H87),1)*$H87),"")</f>
        <v>306</v>
      </c>
      <c r="Z87" s="36">
        <f>IFERROR(IF(Y87=0,"",ROUNDUP(Y87/H87,0)*0.00902),"")</f>
        <v>0.61336000000000002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316.83555555555563</v>
      </c>
      <c r="BN87" s="64">
        <f>IFERROR(Y87*I87/H87,"0")</f>
        <v>318.92</v>
      </c>
      <c r="BO87" s="64">
        <f>IFERROR(1/J87*(X87/H87),"0")</f>
        <v>0.51178451178451179</v>
      </c>
      <c r="BP87" s="64">
        <f>IFERROR(1/J87*(Y87/H87),"0")</f>
        <v>0.51515151515151514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61" t="s">
        <v>71</v>
      </c>
      <c r="Q88" s="562"/>
      <c r="R88" s="562"/>
      <c r="S88" s="562"/>
      <c r="T88" s="562"/>
      <c r="U88" s="562"/>
      <c r="V88" s="563"/>
      <c r="W88" s="37" t="s">
        <v>72</v>
      </c>
      <c r="X88" s="545">
        <f>IFERROR(X85/H85,"0")+IFERROR(X86/H86,"0")+IFERROR(X87/H87,"0")</f>
        <v>68.944444444444443</v>
      </c>
      <c r="Y88" s="545">
        <f>IFERROR(Y85/H85,"0")+IFERROR(Y86/H86,"0")+IFERROR(Y87/H87,"0")</f>
        <v>70</v>
      </c>
      <c r="Z88" s="545">
        <f>IFERROR(IF(Z85="",0,Z85),"0")+IFERROR(IF(Z86="",0,Z86),"0")+IFERROR(IF(Z87="",0,Z87),"0")</f>
        <v>0.65132000000000001</v>
      </c>
      <c r="AA88" s="546"/>
      <c r="AB88" s="546"/>
      <c r="AC88" s="546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71</v>
      </c>
      <c r="Q89" s="562"/>
      <c r="R89" s="562"/>
      <c r="S89" s="562"/>
      <c r="T89" s="562"/>
      <c r="U89" s="562"/>
      <c r="V89" s="563"/>
      <c r="W89" s="37" t="s">
        <v>69</v>
      </c>
      <c r="X89" s="545">
        <f>IFERROR(SUM(X85:X87),"0")</f>
        <v>319</v>
      </c>
      <c r="Y89" s="545">
        <f>IFERROR(SUM(Y85:Y87),"0")</f>
        <v>327.60000000000002</v>
      </c>
      <c r="Z89" s="37"/>
      <c r="AA89" s="546"/>
      <c r="AB89" s="546"/>
      <c r="AC89" s="546"/>
    </row>
    <row r="90" spans="1:68" ht="14.25" hidden="1" customHeight="1" x14ac:dyDescent="0.25">
      <c r="A90" s="559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9"/>
      <c r="AB90" s="539"/>
      <c r="AC90" s="539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5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300</v>
      </c>
      <c r="Y91" s="544">
        <f>IFERROR(IF(X91="",0,CEILING((X91/$H91),1)*$H91),"")</f>
        <v>307.8</v>
      </c>
      <c r="Z91" s="36">
        <f>IFERROR(IF(Y91=0,"",ROUNDUP(Y91/H91,0)*0.01898),"")</f>
        <v>0.72123999999999999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318.2962962962963</v>
      </c>
      <c r="BN91" s="64">
        <f>IFERROR(Y91*I91/H91,"0")</f>
        <v>326.572</v>
      </c>
      <c r="BO91" s="64">
        <f>IFERROR(1/J91*(X91/H91),"0")</f>
        <v>0.57870370370370372</v>
      </c>
      <c r="BP91" s="64">
        <f>IFERROR(1/J91*(Y91/H91),"0")</f>
        <v>0.59375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180</v>
      </c>
      <c r="Y93" s="544">
        <f>IFERROR(IF(X93="",0,CEILING((X93/$H93),1)*$H93),"")</f>
        <v>180.9</v>
      </c>
      <c r="Z93" s="36">
        <f>IFERROR(IF(Y93=0,"",ROUNDUP(Y93/H93,0)*0.00651),"")</f>
        <v>0.43617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196.79999999999998</v>
      </c>
      <c r="BN93" s="64">
        <f>IFERROR(Y93*I93/H93,"0")</f>
        <v>197.78399999999999</v>
      </c>
      <c r="BO93" s="64">
        <f>IFERROR(1/J93*(X93/H93),"0")</f>
        <v>0.36630036630036628</v>
      </c>
      <c r="BP93" s="64">
        <f>IFERROR(1/J93*(Y93/H93),"0")</f>
        <v>0.36813186813186816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2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61" t="s">
        <v>71</v>
      </c>
      <c r="Q95" s="562"/>
      <c r="R95" s="562"/>
      <c r="S95" s="562"/>
      <c r="T95" s="562"/>
      <c r="U95" s="562"/>
      <c r="V95" s="563"/>
      <c r="W95" s="37" t="s">
        <v>72</v>
      </c>
      <c r="X95" s="545">
        <f>IFERROR(X91/H91,"0")+IFERROR(X92/H92,"0")+IFERROR(X93/H93,"0")+IFERROR(X94/H94,"0")</f>
        <v>103.7037037037037</v>
      </c>
      <c r="Y95" s="545">
        <f>IFERROR(Y91/H91,"0")+IFERROR(Y92/H92,"0")+IFERROR(Y93/H93,"0")+IFERROR(Y94/H94,"0")</f>
        <v>105</v>
      </c>
      <c r="Z95" s="545">
        <f>IFERROR(IF(Z91="",0,Z91),"0")+IFERROR(IF(Z92="",0,Z92),"0")+IFERROR(IF(Z93="",0,Z93),"0")+IFERROR(IF(Z94="",0,Z94),"0")</f>
        <v>1.15741</v>
      </c>
      <c r="AA95" s="546"/>
      <c r="AB95" s="546"/>
      <c r="AC95" s="546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71</v>
      </c>
      <c r="Q96" s="562"/>
      <c r="R96" s="562"/>
      <c r="S96" s="562"/>
      <c r="T96" s="562"/>
      <c r="U96" s="562"/>
      <c r="V96" s="563"/>
      <c r="W96" s="37" t="s">
        <v>69</v>
      </c>
      <c r="X96" s="545">
        <f>IFERROR(SUM(X91:X94),"0")</f>
        <v>480</v>
      </c>
      <c r="Y96" s="545">
        <f>IFERROR(SUM(Y91:Y94),"0")</f>
        <v>488.70000000000005</v>
      </c>
      <c r="Z96" s="37"/>
      <c r="AA96" s="546"/>
      <c r="AB96" s="546"/>
      <c r="AC96" s="546"/>
    </row>
    <row r="97" spans="1:68" ht="16.5" hidden="1" customHeight="1" x14ac:dyDescent="0.25">
      <c r="A97" s="558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8"/>
      <c r="AB97" s="538"/>
      <c r="AC97" s="538"/>
    </row>
    <row r="98" spans="1:68" ht="14.25" hidden="1" customHeight="1" x14ac:dyDescent="0.25">
      <c r="A98" s="559" t="s">
        <v>101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40</v>
      </c>
      <c r="Y99" s="544">
        <f>IFERROR(IF(X99="",0,CEILING((X99/$H99),1)*$H99),"")</f>
        <v>43.2</v>
      </c>
      <c r="Z99" s="36">
        <f>IFERROR(IF(Y99=0,"",ROUNDUP(Y99/H99,0)*0.01898),"")</f>
        <v>7.5920000000000001E-2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41.518518518518519</v>
      </c>
      <c r="BN99" s="64">
        <f>IFERROR(Y99*I99/H99,"0")</f>
        <v>44.84</v>
      </c>
      <c r="BO99" s="64">
        <f>IFERROR(1/J99*(X99/H99),"0")</f>
        <v>5.7870370370370364E-2</v>
      </c>
      <c r="BP99" s="64">
        <f>IFERROR(1/J99*(Y99/H99),"0")</f>
        <v>6.25E-2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144</v>
      </c>
      <c r="Y100" s="544">
        <f>IFERROR(IF(X100="",0,CEILING((X100/$H100),1)*$H100),"")</f>
        <v>146.25</v>
      </c>
      <c r="Z100" s="36">
        <f>IFERROR(IF(Y100=0,"",ROUNDUP(Y100/H100,0)*0.00902),"")</f>
        <v>0.35177999999999998</v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151.29599999999999</v>
      </c>
      <c r="BN100" s="64">
        <f>IFERROR(Y100*I100/H100,"0")</f>
        <v>153.66</v>
      </c>
      <c r="BO100" s="64">
        <f>IFERROR(1/J100*(X100/H100),"0")</f>
        <v>0.29090909090909089</v>
      </c>
      <c r="BP100" s="64">
        <f>IFERROR(1/J100*(Y100/H100),"0")</f>
        <v>0.29545454545454547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65</v>
      </c>
      <c r="Y101" s="544">
        <f>IFERROR(IF(X101="",0,CEILING((X101/$H101),1)*$H101),"")</f>
        <v>67.5</v>
      </c>
      <c r="Z101" s="36">
        <f>IFERROR(IF(Y101=0,"",ROUNDUP(Y101/H101,0)*0.00902),"")</f>
        <v>0.1353</v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67.744444444444454</v>
      </c>
      <c r="BN101" s="64">
        <f>IFERROR(Y101*I101/H101,"0")</f>
        <v>70.350000000000009</v>
      </c>
      <c r="BO101" s="64">
        <f>IFERROR(1/J101*(X101/H101),"0")</f>
        <v>0.10942760942760943</v>
      </c>
      <c r="BP101" s="64">
        <f>IFERROR(1/J101*(Y101/H101),"0")</f>
        <v>0.11363636363636365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61" t="s">
        <v>71</v>
      </c>
      <c r="Q103" s="562"/>
      <c r="R103" s="562"/>
      <c r="S103" s="562"/>
      <c r="T103" s="562"/>
      <c r="U103" s="562"/>
      <c r="V103" s="563"/>
      <c r="W103" s="37" t="s">
        <v>72</v>
      </c>
      <c r="X103" s="545">
        <f>IFERROR(X99/H99,"0")+IFERROR(X100/H100,"0")+IFERROR(X101/H101,"0")+IFERROR(X102/H102,"0")</f>
        <v>56.548148148148144</v>
      </c>
      <c r="Y103" s="545">
        <f>IFERROR(Y99/H99,"0")+IFERROR(Y100/H100,"0")+IFERROR(Y101/H101,"0")+IFERROR(Y102/H102,"0")</f>
        <v>58</v>
      </c>
      <c r="Z103" s="545">
        <f>IFERROR(IF(Z99="",0,Z99),"0")+IFERROR(IF(Z100="",0,Z100),"0")+IFERROR(IF(Z101="",0,Z101),"0")+IFERROR(IF(Z102="",0,Z102),"0")</f>
        <v>0.56299999999999994</v>
      </c>
      <c r="AA103" s="546"/>
      <c r="AB103" s="546"/>
      <c r="AC103" s="546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71</v>
      </c>
      <c r="Q104" s="562"/>
      <c r="R104" s="562"/>
      <c r="S104" s="562"/>
      <c r="T104" s="562"/>
      <c r="U104" s="562"/>
      <c r="V104" s="563"/>
      <c r="W104" s="37" t="s">
        <v>69</v>
      </c>
      <c r="X104" s="545">
        <f>IFERROR(SUM(X99:X102),"0")</f>
        <v>249</v>
      </c>
      <c r="Y104" s="545">
        <f>IFERROR(SUM(Y99:Y102),"0")</f>
        <v>256.95</v>
      </c>
      <c r="Z104" s="37"/>
      <c r="AA104" s="546"/>
      <c r="AB104" s="546"/>
      <c r="AC104" s="546"/>
    </row>
    <row r="105" spans="1:68" ht="14.25" hidden="1" customHeight="1" x14ac:dyDescent="0.25">
      <c r="A105" s="559" t="s">
        <v>136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9"/>
      <c r="AB105" s="539"/>
      <c r="AC105" s="539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15</v>
      </c>
      <c r="Y107" s="544">
        <f>IFERROR(IF(X107="",0,CEILING((X107/$H107),1)*$H107),"")</f>
        <v>16.8</v>
      </c>
      <c r="Z107" s="36">
        <f>IFERROR(IF(Y107=0,"",ROUNDUP(Y107/H107,0)*0.00502),"")</f>
        <v>3.5140000000000005E-2</v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15.625</v>
      </c>
      <c r="BN107" s="64">
        <f>IFERROR(Y107*I107/H107,"0")</f>
        <v>17.5</v>
      </c>
      <c r="BO107" s="64">
        <f>IFERROR(1/J107*(X107/H107),"0")</f>
        <v>2.6709401709401712E-2</v>
      </c>
      <c r="BP107" s="64">
        <f>IFERROR(1/J107*(Y107/H107),"0")</f>
        <v>2.9914529914529923E-2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61" t="s">
        <v>71</v>
      </c>
      <c r="Q109" s="562"/>
      <c r="R109" s="562"/>
      <c r="S109" s="562"/>
      <c r="T109" s="562"/>
      <c r="U109" s="562"/>
      <c r="V109" s="563"/>
      <c r="W109" s="37" t="s">
        <v>72</v>
      </c>
      <c r="X109" s="545">
        <f>IFERROR(X106/H106,"0")+IFERROR(X107/H107,"0")+IFERROR(X108/H108,"0")</f>
        <v>6.25</v>
      </c>
      <c r="Y109" s="545">
        <f>IFERROR(Y106/H106,"0")+IFERROR(Y107/H107,"0")+IFERROR(Y108/H108,"0")</f>
        <v>7.0000000000000009</v>
      </c>
      <c r="Z109" s="545">
        <f>IFERROR(IF(Z106="",0,Z106),"0")+IFERROR(IF(Z107="",0,Z107),"0")+IFERROR(IF(Z108="",0,Z108),"0")</f>
        <v>3.5140000000000005E-2</v>
      </c>
      <c r="AA109" s="546"/>
      <c r="AB109" s="546"/>
      <c r="AC109" s="546"/>
    </row>
    <row r="110" spans="1:68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71</v>
      </c>
      <c r="Q110" s="562"/>
      <c r="R110" s="562"/>
      <c r="S110" s="562"/>
      <c r="T110" s="562"/>
      <c r="U110" s="562"/>
      <c r="V110" s="563"/>
      <c r="W110" s="37" t="s">
        <v>69</v>
      </c>
      <c r="X110" s="545">
        <f>IFERROR(SUM(X106:X108),"0")</f>
        <v>15</v>
      </c>
      <c r="Y110" s="545">
        <f>IFERROR(SUM(Y106:Y108),"0")</f>
        <v>16.8</v>
      </c>
      <c r="Z110" s="37"/>
      <c r="AA110" s="546"/>
      <c r="AB110" s="546"/>
      <c r="AC110" s="546"/>
    </row>
    <row r="111" spans="1:68" ht="14.25" hidden="1" customHeight="1" x14ac:dyDescent="0.25">
      <c r="A111" s="559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8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3">
        <v>50</v>
      </c>
      <c r="Y112" s="544">
        <f>IFERROR(IF(X112="",0,CEILING((X112/$H112),1)*$H112),"")</f>
        <v>56.699999999999996</v>
      </c>
      <c r="Z112" s="36">
        <f>IFERROR(IF(Y112=0,"",ROUNDUP(Y112/H112,0)*0.01898),"")</f>
        <v>0.13286000000000001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53.012345679012348</v>
      </c>
      <c r="BN112" s="64">
        <f>IFERROR(Y112*I112/H112,"0")</f>
        <v>60.115999999999993</v>
      </c>
      <c r="BO112" s="64">
        <f>IFERROR(1/J112*(X112/H112),"0")</f>
        <v>9.6450617283950615E-2</v>
      </c>
      <c r="BP112" s="64">
        <f>IFERROR(1/J112*(Y112/H112),"0")</f>
        <v>0.109375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122</v>
      </c>
      <c r="Y113" s="544">
        <f>IFERROR(IF(X113="",0,CEILING((X113/$H113),1)*$H113),"")</f>
        <v>122.76</v>
      </c>
      <c r="Z113" s="36">
        <f>IFERROR(IF(Y113=0,"",ROUNDUP(Y113/H113,0)*0.00651),"")</f>
        <v>0.40362000000000003</v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137.15757575757576</v>
      </c>
      <c r="BN113" s="64">
        <f>IFERROR(Y113*I113/H113,"0")</f>
        <v>138.012</v>
      </c>
      <c r="BO113" s="64">
        <f>IFERROR(1/J113*(X113/H113),"0")</f>
        <v>0.33855033855033861</v>
      </c>
      <c r="BP113" s="64">
        <f>IFERROR(1/J113*(Y113/H113),"0")</f>
        <v>0.34065934065934067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45</v>
      </c>
      <c r="Y114" s="544">
        <f>IFERROR(IF(X114="",0,CEILING((X114/$H114),1)*$H114),"")</f>
        <v>45.900000000000006</v>
      </c>
      <c r="Z114" s="36">
        <f>IFERROR(IF(Y114=0,"",ROUNDUP(Y114/H114,0)*0.00651),"")</f>
        <v>0.11067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49.199999999999996</v>
      </c>
      <c r="BN114" s="64">
        <f>IFERROR(Y114*I114/H114,"0")</f>
        <v>50.183999999999997</v>
      </c>
      <c r="BO114" s="64">
        <f>IFERROR(1/J114*(X114/H114),"0")</f>
        <v>9.1575091575091569E-2</v>
      </c>
      <c r="BP114" s="64">
        <f>IFERROR(1/J114*(Y114/H114),"0")</f>
        <v>9.3406593406593408E-2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61" t="s">
        <v>71</v>
      </c>
      <c r="Q116" s="562"/>
      <c r="R116" s="562"/>
      <c r="S116" s="562"/>
      <c r="T116" s="562"/>
      <c r="U116" s="562"/>
      <c r="V116" s="563"/>
      <c r="W116" s="37" t="s">
        <v>72</v>
      </c>
      <c r="X116" s="545">
        <f>IFERROR(X112/H112,"0")+IFERROR(X113/H113,"0")+IFERROR(X114/H114,"0")+IFERROR(X115/H115,"0")</f>
        <v>84.455667789001126</v>
      </c>
      <c r="Y116" s="545">
        <f>IFERROR(Y112/H112,"0")+IFERROR(Y113/H113,"0")+IFERROR(Y114/H114,"0")+IFERROR(Y115/H115,"0")</f>
        <v>86</v>
      </c>
      <c r="Z116" s="545">
        <f>IFERROR(IF(Z112="",0,Z112),"0")+IFERROR(IF(Z113="",0,Z113),"0")+IFERROR(IF(Z114="",0,Z114),"0")+IFERROR(IF(Z115="",0,Z115),"0")</f>
        <v>0.64715000000000011</v>
      </c>
      <c r="AA116" s="546"/>
      <c r="AB116" s="546"/>
      <c r="AC116" s="546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71</v>
      </c>
      <c r="Q117" s="562"/>
      <c r="R117" s="562"/>
      <c r="S117" s="562"/>
      <c r="T117" s="562"/>
      <c r="U117" s="562"/>
      <c r="V117" s="563"/>
      <c r="W117" s="37" t="s">
        <v>69</v>
      </c>
      <c r="X117" s="545">
        <f>IFERROR(SUM(X112:X115),"0")</f>
        <v>217</v>
      </c>
      <c r="Y117" s="545">
        <f>IFERROR(SUM(Y112:Y115),"0")</f>
        <v>225.36</v>
      </c>
      <c r="Z117" s="37"/>
      <c r="AA117" s="546"/>
      <c r="AB117" s="546"/>
      <c r="AC117" s="546"/>
    </row>
    <row r="118" spans="1:68" ht="14.25" hidden="1" customHeight="1" x14ac:dyDescent="0.25">
      <c r="A118" s="559" t="s">
        <v>164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9"/>
      <c r="AB118" s="539"/>
      <c r="AC118" s="539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61" t="s">
        <v>71</v>
      </c>
      <c r="Q120" s="562"/>
      <c r="R120" s="562"/>
      <c r="S120" s="562"/>
      <c r="T120" s="562"/>
      <c r="U120" s="562"/>
      <c r="V120" s="563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71</v>
      </c>
      <c r="Q121" s="562"/>
      <c r="R121" s="562"/>
      <c r="S121" s="562"/>
      <c r="T121" s="562"/>
      <c r="U121" s="562"/>
      <c r="V121" s="563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hidden="1" customHeight="1" x14ac:dyDescent="0.25">
      <c r="A122" s="558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8"/>
      <c r="AB122" s="538"/>
      <c r="AC122" s="538"/>
    </row>
    <row r="123" spans="1:68" ht="14.25" hidden="1" customHeight="1" x14ac:dyDescent="0.25">
      <c r="A123" s="559" t="s">
        <v>101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0"/>
      <c r="R124" s="550"/>
      <c r="S124" s="550"/>
      <c r="T124" s="551"/>
      <c r="U124" s="34"/>
      <c r="V124" s="34"/>
      <c r="W124" s="35" t="s">
        <v>69</v>
      </c>
      <c r="X124" s="543">
        <v>80</v>
      </c>
      <c r="Y124" s="544">
        <f>IFERROR(IF(X124="",0,CEILING((X124/$H124),1)*$H124),"")</f>
        <v>80</v>
      </c>
      <c r="Z124" s="36">
        <f>IFERROR(IF(Y124=0,"",ROUNDUP(Y124/H124,0)*0.00651),"")</f>
        <v>0.16275000000000001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84.499999999999986</v>
      </c>
      <c r="BN124" s="64">
        <f>IFERROR(Y124*I124/H124,"0")</f>
        <v>84.499999999999986</v>
      </c>
      <c r="BO124" s="64">
        <f>IFERROR(1/J124*(X124/H124),"0")</f>
        <v>0.13736263736263737</v>
      </c>
      <c r="BP124" s="64">
        <f>IFERROR(1/J124*(Y124/H124),"0")</f>
        <v>0.13736263736263737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61" t="s">
        <v>71</v>
      </c>
      <c r="Q126" s="562"/>
      <c r="R126" s="562"/>
      <c r="S126" s="562"/>
      <c r="T126" s="562"/>
      <c r="U126" s="562"/>
      <c r="V126" s="563"/>
      <c r="W126" s="37" t="s">
        <v>72</v>
      </c>
      <c r="X126" s="545">
        <f>IFERROR(X124/H124,"0")+IFERROR(X125/H125,"0")</f>
        <v>25</v>
      </c>
      <c r="Y126" s="545">
        <f>IFERROR(Y124/H124,"0")+IFERROR(Y125/H125,"0")</f>
        <v>25</v>
      </c>
      <c r="Z126" s="545">
        <f>IFERROR(IF(Z124="",0,Z124),"0")+IFERROR(IF(Z125="",0,Z125),"0")</f>
        <v>0.16275000000000001</v>
      </c>
      <c r="AA126" s="546"/>
      <c r="AB126" s="546"/>
      <c r="AC126" s="546"/>
    </row>
    <row r="127" spans="1:68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71</v>
      </c>
      <c r="Q127" s="562"/>
      <c r="R127" s="562"/>
      <c r="S127" s="562"/>
      <c r="T127" s="562"/>
      <c r="U127" s="562"/>
      <c r="V127" s="563"/>
      <c r="W127" s="37" t="s">
        <v>69</v>
      </c>
      <c r="X127" s="545">
        <f>IFERROR(SUM(X124:X125),"0")</f>
        <v>80</v>
      </c>
      <c r="Y127" s="545">
        <f>IFERROR(SUM(Y124:Y125),"0")</f>
        <v>80</v>
      </c>
      <c r="Z127" s="37"/>
      <c r="AA127" s="546"/>
      <c r="AB127" s="546"/>
      <c r="AC127" s="546"/>
    </row>
    <row r="128" spans="1:68" ht="14.25" hidden="1" customHeight="1" x14ac:dyDescent="0.25">
      <c r="A128" s="559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9"/>
      <c r="AB128" s="539"/>
      <c r="AC128" s="539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5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0"/>
      <c r="R129" s="550"/>
      <c r="S129" s="550"/>
      <c r="T129" s="551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42</v>
      </c>
      <c r="Y130" s="544">
        <f>IFERROR(IF(X130="",0,CEILING((X130/$H130),1)*$H130),"")</f>
        <v>42</v>
      </c>
      <c r="Z130" s="36">
        <f>IFERROR(IF(Y130=0,"",ROUNDUP(Y130/H130,0)*0.00651),"")</f>
        <v>9.7650000000000001E-2</v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46.02</v>
      </c>
      <c r="BN130" s="64">
        <f>IFERROR(Y130*I130/H130,"0")</f>
        <v>46.02</v>
      </c>
      <c r="BO130" s="64">
        <f>IFERROR(1/J130*(X130/H130),"0")</f>
        <v>8.241758241758243E-2</v>
      </c>
      <c r="BP130" s="64">
        <f>IFERROR(1/J130*(Y130/H130),"0")</f>
        <v>8.241758241758243E-2</v>
      </c>
    </row>
    <row r="131" spans="1:68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61" t="s">
        <v>71</v>
      </c>
      <c r="Q131" s="562"/>
      <c r="R131" s="562"/>
      <c r="S131" s="562"/>
      <c r="T131" s="562"/>
      <c r="U131" s="562"/>
      <c r="V131" s="563"/>
      <c r="W131" s="37" t="s">
        <v>72</v>
      </c>
      <c r="X131" s="545">
        <f>IFERROR(X129/H129,"0")+IFERROR(X130/H130,"0")</f>
        <v>15.000000000000002</v>
      </c>
      <c r="Y131" s="545">
        <f>IFERROR(Y129/H129,"0")+IFERROR(Y130/H130,"0")</f>
        <v>15.000000000000002</v>
      </c>
      <c r="Z131" s="545">
        <f>IFERROR(IF(Z129="",0,Z129),"0")+IFERROR(IF(Z130="",0,Z130),"0")</f>
        <v>9.7650000000000001E-2</v>
      </c>
      <c r="AA131" s="546"/>
      <c r="AB131" s="546"/>
      <c r="AC131" s="546"/>
    </row>
    <row r="132" spans="1:68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71</v>
      </c>
      <c r="Q132" s="562"/>
      <c r="R132" s="562"/>
      <c r="S132" s="562"/>
      <c r="T132" s="562"/>
      <c r="U132" s="562"/>
      <c r="V132" s="563"/>
      <c r="W132" s="37" t="s">
        <v>69</v>
      </c>
      <c r="X132" s="545">
        <f>IFERROR(SUM(X129:X130),"0")</f>
        <v>42</v>
      </c>
      <c r="Y132" s="545">
        <f>IFERROR(SUM(Y129:Y130),"0")</f>
        <v>42</v>
      </c>
      <c r="Z132" s="37"/>
      <c r="AA132" s="546"/>
      <c r="AB132" s="546"/>
      <c r="AC132" s="546"/>
    </row>
    <row r="133" spans="1:68" ht="14.25" hidden="1" customHeight="1" x14ac:dyDescent="0.25">
      <c r="A133" s="559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9"/>
      <c r="AB133" s="539"/>
      <c r="AC133" s="539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0"/>
      <c r="R134" s="550"/>
      <c r="S134" s="550"/>
      <c r="T134" s="551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66</v>
      </c>
      <c r="Y135" s="544">
        <f>IFERROR(IF(X135="",0,CEILING((X135/$H135),1)*$H135),"")</f>
        <v>66</v>
      </c>
      <c r="Z135" s="36">
        <f>IFERROR(IF(Y135=0,"",ROUNDUP(Y135/H135,0)*0.00651),"")</f>
        <v>0.16275000000000001</v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72.699999999999989</v>
      </c>
      <c r="BN135" s="64">
        <f>IFERROR(Y135*I135/H135,"0")</f>
        <v>72.699999999999989</v>
      </c>
      <c r="BO135" s="64">
        <f>IFERROR(1/J135*(X135/H135),"0")</f>
        <v>0.13736263736263737</v>
      </c>
      <c r="BP135" s="64">
        <f>IFERROR(1/J135*(Y135/H135),"0")</f>
        <v>0.13736263736263737</v>
      </c>
    </row>
    <row r="136" spans="1:68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61" t="s">
        <v>71</v>
      </c>
      <c r="Q136" s="562"/>
      <c r="R136" s="562"/>
      <c r="S136" s="562"/>
      <c r="T136" s="562"/>
      <c r="U136" s="562"/>
      <c r="V136" s="563"/>
      <c r="W136" s="37" t="s">
        <v>72</v>
      </c>
      <c r="X136" s="545">
        <f>IFERROR(X134/H134,"0")+IFERROR(X135/H135,"0")</f>
        <v>25</v>
      </c>
      <c r="Y136" s="545">
        <f>IFERROR(Y134/H134,"0")+IFERROR(Y135/H135,"0")</f>
        <v>25</v>
      </c>
      <c r="Z136" s="545">
        <f>IFERROR(IF(Z134="",0,Z134),"0")+IFERROR(IF(Z135="",0,Z135),"0")</f>
        <v>0.16275000000000001</v>
      </c>
      <c r="AA136" s="546"/>
      <c r="AB136" s="546"/>
      <c r="AC136" s="546"/>
    </row>
    <row r="137" spans="1:68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71</v>
      </c>
      <c r="Q137" s="562"/>
      <c r="R137" s="562"/>
      <c r="S137" s="562"/>
      <c r="T137" s="562"/>
      <c r="U137" s="562"/>
      <c r="V137" s="563"/>
      <c r="W137" s="37" t="s">
        <v>69</v>
      </c>
      <c r="X137" s="545">
        <f>IFERROR(SUM(X134:X135),"0")</f>
        <v>66</v>
      </c>
      <c r="Y137" s="545">
        <f>IFERROR(SUM(Y134:Y135),"0")</f>
        <v>66</v>
      </c>
      <c r="Z137" s="37"/>
      <c r="AA137" s="546"/>
      <c r="AB137" s="546"/>
      <c r="AC137" s="546"/>
    </row>
    <row r="138" spans="1:68" ht="16.5" hidden="1" customHeight="1" x14ac:dyDescent="0.25">
      <c r="A138" s="558" t="s">
        <v>99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8"/>
      <c r="AB138" s="538"/>
      <c r="AC138" s="538"/>
    </row>
    <row r="139" spans="1:68" ht="14.25" hidden="1" customHeight="1" x14ac:dyDescent="0.25">
      <c r="A139" s="559" t="s">
        <v>101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9"/>
      <c r="AB139" s="539"/>
      <c r="AC139" s="539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2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0"/>
      <c r="R140" s="550"/>
      <c r="S140" s="550"/>
      <c r="T140" s="551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4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168</v>
      </c>
      <c r="Y141" s="544">
        <f>IFERROR(IF(X141="",0,CEILING((X141/$H141),1)*$H141),"")</f>
        <v>168</v>
      </c>
      <c r="Z141" s="36">
        <f>IFERROR(IF(Y141=0,"",ROUNDUP(Y141/H141,0)*0.00902),"")</f>
        <v>0.37884000000000001</v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175.98000000000002</v>
      </c>
      <c r="BN141" s="64">
        <f>IFERROR(Y141*I141/H141,"0")</f>
        <v>175.98000000000002</v>
      </c>
      <c r="BO141" s="64">
        <f>IFERROR(1/J141*(X141/H141),"0")</f>
        <v>0.31818181818181818</v>
      </c>
      <c r="BP141" s="64">
        <f>IFERROR(1/J141*(Y141/H141),"0")</f>
        <v>0.31818181818181818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7">
        <v>4680115886810</v>
      </c>
      <c r="E142" s="548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8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3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61" t="s">
        <v>71</v>
      </c>
      <c r="Q143" s="562"/>
      <c r="R143" s="562"/>
      <c r="S143" s="562"/>
      <c r="T143" s="562"/>
      <c r="U143" s="562"/>
      <c r="V143" s="563"/>
      <c r="W143" s="37" t="s">
        <v>72</v>
      </c>
      <c r="X143" s="545">
        <f>IFERROR(X140/H140,"0")+IFERROR(X141/H141,"0")+IFERROR(X142/H142,"0")</f>
        <v>42</v>
      </c>
      <c r="Y143" s="545">
        <f>IFERROR(Y140/H140,"0")+IFERROR(Y141/H141,"0")+IFERROR(Y142/H142,"0")</f>
        <v>42</v>
      </c>
      <c r="Z143" s="545">
        <f>IFERROR(IF(Z140="",0,Z140),"0")+IFERROR(IF(Z141="",0,Z141),"0")+IFERROR(IF(Z142="",0,Z142),"0")</f>
        <v>0.37884000000000001</v>
      </c>
      <c r="AA143" s="546"/>
      <c r="AB143" s="546"/>
      <c r="AC143" s="546"/>
    </row>
    <row r="144" spans="1:68" x14ac:dyDescent="0.2">
      <c r="A144" s="554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71</v>
      </c>
      <c r="Q144" s="562"/>
      <c r="R144" s="562"/>
      <c r="S144" s="562"/>
      <c r="T144" s="562"/>
      <c r="U144" s="562"/>
      <c r="V144" s="563"/>
      <c r="W144" s="37" t="s">
        <v>69</v>
      </c>
      <c r="X144" s="545">
        <f>IFERROR(SUM(X140:X142),"0")</f>
        <v>168</v>
      </c>
      <c r="Y144" s="545">
        <f>IFERROR(SUM(Y140:Y142),"0")</f>
        <v>168</v>
      </c>
      <c r="Z144" s="37"/>
      <c r="AA144" s="546"/>
      <c r="AB144" s="546"/>
      <c r="AC144" s="546"/>
    </row>
    <row r="145" spans="1:68" ht="14.25" hidden="1" customHeight="1" x14ac:dyDescent="0.25">
      <c r="A145" s="559" t="s">
        <v>64</v>
      </c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4"/>
      <c r="P145" s="554"/>
      <c r="Q145" s="554"/>
      <c r="R145" s="554"/>
      <c r="S145" s="554"/>
      <c r="T145" s="554"/>
      <c r="U145" s="554"/>
      <c r="V145" s="554"/>
      <c r="W145" s="554"/>
      <c r="X145" s="554"/>
      <c r="Y145" s="554"/>
      <c r="Z145" s="554"/>
      <c r="AA145" s="539"/>
      <c r="AB145" s="539"/>
      <c r="AC145" s="539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7">
        <v>4607091387667</v>
      </c>
      <c r="E146" s="548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1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20</v>
      </c>
      <c r="Y146" s="544">
        <f>IFERROR(IF(X146="",0,CEILING((X146/$H146),1)*$H146),"")</f>
        <v>27</v>
      </c>
      <c r="Z146" s="36">
        <f>IFERROR(IF(Y146=0,"",ROUNDUP(Y146/H146,0)*0.01898),"")</f>
        <v>5.6940000000000004E-2</v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21.244444444444447</v>
      </c>
      <c r="BN146" s="64">
        <f>IFERROR(Y146*I146/H146,"0")</f>
        <v>28.68</v>
      </c>
      <c r="BO146" s="64">
        <f>IFERROR(1/J146*(X146/H146),"0")</f>
        <v>3.4722222222222224E-2</v>
      </c>
      <c r="BP146" s="64">
        <f>IFERROR(1/J146*(Y146/H146),"0")</f>
        <v>4.6875E-2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7">
        <v>4607091387636</v>
      </c>
      <c r="E147" s="548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7">
        <v>4607091382426</v>
      </c>
      <c r="E148" s="548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3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3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61" t="s">
        <v>71</v>
      </c>
      <c r="Q149" s="562"/>
      <c r="R149" s="562"/>
      <c r="S149" s="562"/>
      <c r="T149" s="562"/>
      <c r="U149" s="562"/>
      <c r="V149" s="563"/>
      <c r="W149" s="37" t="s">
        <v>72</v>
      </c>
      <c r="X149" s="545">
        <f>IFERROR(X146/H146,"0")+IFERROR(X147/H147,"0")+IFERROR(X148/H148,"0")</f>
        <v>2.2222222222222223</v>
      </c>
      <c r="Y149" s="545">
        <f>IFERROR(Y146/H146,"0")+IFERROR(Y147/H147,"0")+IFERROR(Y148/H148,"0")</f>
        <v>3</v>
      </c>
      <c r="Z149" s="545">
        <f>IFERROR(IF(Z146="",0,Z146),"0")+IFERROR(IF(Z147="",0,Z147),"0")+IFERROR(IF(Z148="",0,Z148),"0")</f>
        <v>5.6940000000000004E-2</v>
      </c>
      <c r="AA149" s="546"/>
      <c r="AB149" s="546"/>
      <c r="AC149" s="546"/>
    </row>
    <row r="150" spans="1:68" x14ac:dyDescent="0.2">
      <c r="A150" s="554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71</v>
      </c>
      <c r="Q150" s="562"/>
      <c r="R150" s="562"/>
      <c r="S150" s="562"/>
      <c r="T150" s="562"/>
      <c r="U150" s="562"/>
      <c r="V150" s="563"/>
      <c r="W150" s="37" t="s">
        <v>69</v>
      </c>
      <c r="X150" s="545">
        <f>IFERROR(SUM(X146:X148),"0")</f>
        <v>20</v>
      </c>
      <c r="Y150" s="545">
        <f>IFERROR(SUM(Y146:Y148),"0")</f>
        <v>27</v>
      </c>
      <c r="Z150" s="37"/>
      <c r="AA150" s="546"/>
      <c r="AB150" s="546"/>
      <c r="AC150" s="546"/>
    </row>
    <row r="151" spans="1:68" ht="14.25" hidden="1" customHeight="1" x14ac:dyDescent="0.25">
      <c r="A151" s="559" t="s">
        <v>73</v>
      </c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S151" s="554"/>
      <c r="T151" s="554"/>
      <c r="U151" s="554"/>
      <c r="V151" s="554"/>
      <c r="W151" s="554"/>
      <c r="X151" s="554"/>
      <c r="Y151" s="554"/>
      <c r="Z151" s="554"/>
      <c r="AA151" s="539"/>
      <c r="AB151" s="539"/>
      <c r="AC151" s="539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7">
        <v>4680115887459</v>
      </c>
      <c r="E152" s="548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4" t="s">
        <v>252</v>
      </c>
      <c r="Q152" s="550"/>
      <c r="R152" s="550"/>
      <c r="S152" s="550"/>
      <c r="T152" s="551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3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61" t="s">
        <v>71</v>
      </c>
      <c r="Q153" s="562"/>
      <c r="R153" s="562"/>
      <c r="S153" s="562"/>
      <c r="T153" s="562"/>
      <c r="U153" s="562"/>
      <c r="V153" s="563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hidden="1" x14ac:dyDescent="0.2">
      <c r="A154" s="554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71</v>
      </c>
      <c r="Q154" s="562"/>
      <c r="R154" s="562"/>
      <c r="S154" s="562"/>
      <c r="T154" s="562"/>
      <c r="U154" s="562"/>
      <c r="V154" s="563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hidden="1" customHeight="1" x14ac:dyDescent="0.2">
      <c r="A155" s="570" t="s">
        <v>255</v>
      </c>
      <c r="B155" s="571"/>
      <c r="C155" s="571"/>
      <c r="D155" s="571"/>
      <c r="E155" s="571"/>
      <c r="F155" s="571"/>
      <c r="G155" s="571"/>
      <c r="H155" s="571"/>
      <c r="I155" s="571"/>
      <c r="J155" s="571"/>
      <c r="K155" s="571"/>
      <c r="L155" s="571"/>
      <c r="M155" s="571"/>
      <c r="N155" s="571"/>
      <c r="O155" s="571"/>
      <c r="P155" s="571"/>
      <c r="Q155" s="571"/>
      <c r="R155" s="571"/>
      <c r="S155" s="571"/>
      <c r="T155" s="571"/>
      <c r="U155" s="571"/>
      <c r="V155" s="571"/>
      <c r="W155" s="571"/>
      <c r="X155" s="571"/>
      <c r="Y155" s="571"/>
      <c r="Z155" s="571"/>
      <c r="AA155" s="48"/>
      <c r="AB155" s="48"/>
      <c r="AC155" s="48"/>
    </row>
    <row r="156" spans="1:68" ht="16.5" hidden="1" customHeight="1" x14ac:dyDescent="0.25">
      <c r="A156" s="558" t="s">
        <v>256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8"/>
      <c r="AB156" s="538"/>
      <c r="AC156" s="538"/>
    </row>
    <row r="157" spans="1:68" ht="14.25" hidden="1" customHeight="1" x14ac:dyDescent="0.25">
      <c r="A157" s="559" t="s">
        <v>136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9"/>
      <c r="AB157" s="539"/>
      <c r="AC157" s="539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7">
        <v>4680115886223</v>
      </c>
      <c r="E158" s="548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3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61" t="s">
        <v>71</v>
      </c>
      <c r="Q159" s="562"/>
      <c r="R159" s="562"/>
      <c r="S159" s="562"/>
      <c r="T159" s="562"/>
      <c r="U159" s="562"/>
      <c r="V159" s="563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hidden="1" x14ac:dyDescent="0.2">
      <c r="A160" s="554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71</v>
      </c>
      <c r="Q160" s="562"/>
      <c r="R160" s="562"/>
      <c r="S160" s="562"/>
      <c r="T160" s="562"/>
      <c r="U160" s="562"/>
      <c r="V160" s="563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hidden="1" customHeight="1" x14ac:dyDescent="0.25">
      <c r="A161" s="559" t="s">
        <v>64</v>
      </c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4"/>
      <c r="P161" s="554"/>
      <c r="Q161" s="554"/>
      <c r="R161" s="554"/>
      <c r="S161" s="554"/>
      <c r="T161" s="554"/>
      <c r="U161" s="554"/>
      <c r="V161" s="554"/>
      <c r="W161" s="554"/>
      <c r="X161" s="554"/>
      <c r="Y161" s="554"/>
      <c r="Z161" s="554"/>
      <c r="AA161" s="539"/>
      <c r="AB161" s="539"/>
      <c r="AC161" s="539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7">
        <v>4680115887213</v>
      </c>
      <c r="E162" s="548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93" t="s">
        <v>262</v>
      </c>
      <c r="Q162" s="550"/>
      <c r="R162" s="550"/>
      <c r="S162" s="550"/>
      <c r="T162" s="551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264</v>
      </c>
      <c r="B163" s="54" t="s">
        <v>265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1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191</v>
      </c>
      <c r="Y165" s="544">
        <f t="shared" si="5"/>
        <v>193.20000000000002</v>
      </c>
      <c r="Z165" s="36">
        <f>IFERROR(IF(Y165=0,"",ROUNDUP(Y165/H165,0)*0.00902),"")</f>
        <v>0.41492000000000001</v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199.64047619047616</v>
      </c>
      <c r="BN165" s="64">
        <f t="shared" si="7"/>
        <v>201.94</v>
      </c>
      <c r="BO165" s="64">
        <f t="shared" si="8"/>
        <v>0.3445165945165945</v>
      </c>
      <c r="BP165" s="64">
        <f t="shared" si="9"/>
        <v>0.34848484848484851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123</v>
      </c>
      <c r="Y166" s="544">
        <f t="shared" si="5"/>
        <v>123.9</v>
      </c>
      <c r="Z166" s="36">
        <f>IFERROR(IF(Y166=0,"",ROUNDUP(Y166/H166,0)*0.00502),"")</f>
        <v>0.29618</v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130.61428571428573</v>
      </c>
      <c r="BN166" s="64">
        <f t="shared" si="7"/>
        <v>131.57</v>
      </c>
      <c r="BO166" s="64">
        <f t="shared" si="8"/>
        <v>0.2503052503052503</v>
      </c>
      <c r="BP166" s="64">
        <f t="shared" si="9"/>
        <v>0.25213675213675218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68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117</v>
      </c>
      <c r="Y167" s="544">
        <f t="shared" si="5"/>
        <v>117.60000000000001</v>
      </c>
      <c r="Z167" s="36">
        <f>IFERROR(IF(Y167=0,"",ROUNDUP(Y167/H167,0)*0.00502),"")</f>
        <v>0.28112000000000004</v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124.24285714285715</v>
      </c>
      <c r="BN167" s="64">
        <f t="shared" si="7"/>
        <v>124.88</v>
      </c>
      <c r="BO167" s="64">
        <f t="shared" si="8"/>
        <v>0.23809523809523811</v>
      </c>
      <c r="BP167" s="64">
        <f t="shared" si="9"/>
        <v>0.23931623931623935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5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248</v>
      </c>
      <c r="Y169" s="544">
        <f t="shared" si="5"/>
        <v>249.9</v>
      </c>
      <c r="Z169" s="36">
        <f>IFERROR(IF(Y169=0,"",ROUNDUP(Y169/H169,0)*0.00502),"")</f>
        <v>0.59738000000000002</v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259.8095238095238</v>
      </c>
      <c r="BN169" s="64">
        <f t="shared" si="7"/>
        <v>261.8</v>
      </c>
      <c r="BO169" s="64">
        <f t="shared" si="8"/>
        <v>0.50468050468050474</v>
      </c>
      <c r="BP169" s="64">
        <f t="shared" si="9"/>
        <v>0.50854700854700863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71</v>
      </c>
      <c r="Q172" s="562"/>
      <c r="R172" s="562"/>
      <c r="S172" s="562"/>
      <c r="T172" s="562"/>
      <c r="U172" s="562"/>
      <c r="V172" s="563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277.85714285714283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280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1.5896000000000001</v>
      </c>
      <c r="AA172" s="546"/>
      <c r="AB172" s="546"/>
      <c r="AC172" s="546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71</v>
      </c>
      <c r="Q173" s="562"/>
      <c r="R173" s="562"/>
      <c r="S173" s="562"/>
      <c r="T173" s="562"/>
      <c r="U173" s="562"/>
      <c r="V173" s="563"/>
      <c r="W173" s="37" t="s">
        <v>69</v>
      </c>
      <c r="X173" s="545">
        <f>IFERROR(SUM(X162:X171),"0")</f>
        <v>679</v>
      </c>
      <c r="Y173" s="545">
        <f>IFERROR(SUM(Y162:Y171),"0")</f>
        <v>684.6</v>
      </c>
      <c r="Z173" s="37"/>
      <c r="AA173" s="546"/>
      <c r="AB173" s="546"/>
      <c r="AC173" s="546"/>
    </row>
    <row r="174" spans="1:68" ht="14.25" hidden="1" customHeight="1" x14ac:dyDescent="0.25">
      <c r="A174" s="559" t="s">
        <v>93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9"/>
      <c r="AB174" s="539"/>
      <c r="AC174" s="539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9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4</v>
      </c>
      <c r="Y175" s="544">
        <f>IFERROR(IF(X175="",0,CEILING((X175/$H175),1)*$H175),"")</f>
        <v>5.04</v>
      </c>
      <c r="Z175" s="36">
        <f>IFERROR(IF(Y175=0,"",ROUNDUP(Y175/H175,0)*0.0059),"")</f>
        <v>2.3599999999999999E-2</v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4.6031746031746028</v>
      </c>
      <c r="BN175" s="64">
        <f>IFERROR(Y175*I175/H175,"0")</f>
        <v>5.8</v>
      </c>
      <c r="BO175" s="64">
        <f>IFERROR(1/J175*(X175/H175),"0")</f>
        <v>1.469723691945914E-2</v>
      </c>
      <c r="BP175" s="64">
        <f>IFERROR(1/J175*(Y175/H175),"0")</f>
        <v>1.8518518518518517E-2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14</v>
      </c>
      <c r="Y176" s="544">
        <f>IFERROR(IF(X176="",0,CEILING((X176/$H176),1)*$H176),"")</f>
        <v>15.120000000000001</v>
      </c>
      <c r="Z176" s="36">
        <f>IFERROR(IF(Y176=0,"",ROUNDUP(Y176/H176,0)*0.0059),"")</f>
        <v>7.0800000000000002E-2</v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16.111111111111111</v>
      </c>
      <c r="BN176" s="64">
        <f>IFERROR(Y176*I176/H176,"0")</f>
        <v>17.399999999999999</v>
      </c>
      <c r="BO176" s="64">
        <f>IFERROR(1/J176*(X176/H176),"0")</f>
        <v>5.1440329218106991E-2</v>
      </c>
      <c r="BP176" s="64">
        <f>IFERROR(1/J176*(Y176/H176),"0")</f>
        <v>5.5555555555555552E-2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6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14</v>
      </c>
      <c r="Y177" s="544">
        <f>IFERROR(IF(X177="",0,CEILING((X177/$H177),1)*$H177),"")</f>
        <v>15.120000000000001</v>
      </c>
      <c r="Z177" s="36">
        <f>IFERROR(IF(Y177=0,"",ROUNDUP(Y177/H177,0)*0.0059),"")</f>
        <v>7.0800000000000002E-2</v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16.111111111111111</v>
      </c>
      <c r="BN177" s="64">
        <f>IFERROR(Y177*I177/H177,"0")</f>
        <v>17.399999999999999</v>
      </c>
      <c r="BO177" s="64">
        <f>IFERROR(1/J177*(X177/H177),"0")</f>
        <v>5.1440329218106991E-2</v>
      </c>
      <c r="BP177" s="64">
        <f>IFERROR(1/J177*(Y177/H177),"0")</f>
        <v>5.5555555555555552E-2</v>
      </c>
    </row>
    <row r="178" spans="1:68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71</v>
      </c>
      <c r="Q178" s="562"/>
      <c r="R178" s="562"/>
      <c r="S178" s="562"/>
      <c r="T178" s="562"/>
      <c r="U178" s="562"/>
      <c r="V178" s="563"/>
      <c r="W178" s="37" t="s">
        <v>72</v>
      </c>
      <c r="X178" s="545">
        <f>IFERROR(X175/H175,"0")+IFERROR(X176/H176,"0")+IFERROR(X177/H177,"0")</f>
        <v>25.396825396825395</v>
      </c>
      <c r="Y178" s="545">
        <f>IFERROR(Y175/H175,"0")+IFERROR(Y176/H176,"0")+IFERROR(Y177/H177,"0")</f>
        <v>28</v>
      </c>
      <c r="Z178" s="545">
        <f>IFERROR(IF(Z175="",0,Z175),"0")+IFERROR(IF(Z176="",0,Z176),"0")+IFERROR(IF(Z177="",0,Z177),"0")</f>
        <v>0.16520000000000001</v>
      </c>
      <c r="AA178" s="546"/>
      <c r="AB178" s="546"/>
      <c r="AC178" s="546"/>
    </row>
    <row r="179" spans="1:68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71</v>
      </c>
      <c r="Q179" s="562"/>
      <c r="R179" s="562"/>
      <c r="S179" s="562"/>
      <c r="T179" s="562"/>
      <c r="U179" s="562"/>
      <c r="V179" s="563"/>
      <c r="W179" s="37" t="s">
        <v>69</v>
      </c>
      <c r="X179" s="545">
        <f>IFERROR(SUM(X175:X177),"0")</f>
        <v>32</v>
      </c>
      <c r="Y179" s="545">
        <f>IFERROR(SUM(Y175:Y177),"0")</f>
        <v>35.28</v>
      </c>
      <c r="Z179" s="37"/>
      <c r="AA179" s="546"/>
      <c r="AB179" s="546"/>
      <c r="AC179" s="546"/>
    </row>
    <row r="180" spans="1:68" ht="14.25" hidden="1" customHeight="1" x14ac:dyDescent="0.25">
      <c r="A180" s="559" t="s">
        <v>298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9"/>
      <c r="AB180" s="539"/>
      <c r="AC180" s="539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4</v>
      </c>
      <c r="Y181" s="544">
        <f>IFERROR(IF(X181="",0,CEILING((X181/$H181),1)*$H181),"")</f>
        <v>5.04</v>
      </c>
      <c r="Z181" s="36">
        <f>IFERROR(IF(Y181=0,"",ROUNDUP(Y181/H181,0)*0.0059),"")</f>
        <v>2.3599999999999999E-2</v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4.6031746031746028</v>
      </c>
      <c r="BN181" s="64">
        <f>IFERROR(Y181*I181/H181,"0")</f>
        <v>5.8</v>
      </c>
      <c r="BO181" s="64">
        <f>IFERROR(1/J181*(X181/H181),"0")</f>
        <v>1.469723691945914E-2</v>
      </c>
      <c r="BP181" s="64">
        <f>IFERROR(1/J181*(Y181/H181),"0")</f>
        <v>1.8518518518518517E-2</v>
      </c>
    </row>
    <row r="182" spans="1:68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71</v>
      </c>
      <c r="Q182" s="562"/>
      <c r="R182" s="562"/>
      <c r="S182" s="562"/>
      <c r="T182" s="562"/>
      <c r="U182" s="562"/>
      <c r="V182" s="563"/>
      <c r="W182" s="37" t="s">
        <v>72</v>
      </c>
      <c r="X182" s="545">
        <f>IFERROR(X181/H181,"0")</f>
        <v>3.1746031746031744</v>
      </c>
      <c r="Y182" s="545">
        <f>IFERROR(Y181/H181,"0")</f>
        <v>4</v>
      </c>
      <c r="Z182" s="545">
        <f>IFERROR(IF(Z181="",0,Z181),"0")</f>
        <v>2.3599999999999999E-2</v>
      </c>
      <c r="AA182" s="546"/>
      <c r="AB182" s="546"/>
      <c r="AC182" s="546"/>
    </row>
    <row r="183" spans="1:68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71</v>
      </c>
      <c r="Q183" s="562"/>
      <c r="R183" s="562"/>
      <c r="S183" s="562"/>
      <c r="T183" s="562"/>
      <c r="U183" s="562"/>
      <c r="V183" s="563"/>
      <c r="W183" s="37" t="s">
        <v>69</v>
      </c>
      <c r="X183" s="545">
        <f>IFERROR(SUM(X181:X181),"0")</f>
        <v>4</v>
      </c>
      <c r="Y183" s="545">
        <f>IFERROR(SUM(Y181:Y181),"0")</f>
        <v>5.04</v>
      </c>
      <c r="Z183" s="37"/>
      <c r="AA183" s="546"/>
      <c r="AB183" s="546"/>
      <c r="AC183" s="546"/>
    </row>
    <row r="184" spans="1:68" ht="16.5" hidden="1" customHeight="1" x14ac:dyDescent="0.25">
      <c r="A184" s="558" t="s">
        <v>301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8"/>
      <c r="AB184" s="538"/>
      <c r="AC184" s="538"/>
    </row>
    <row r="185" spans="1:68" ht="14.25" hidden="1" customHeight="1" x14ac:dyDescent="0.25">
      <c r="A185" s="559" t="s">
        <v>101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9"/>
      <c r="AB185" s="539"/>
      <c r="AC185" s="539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56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71</v>
      </c>
      <c r="Q188" s="562"/>
      <c r="R188" s="562"/>
      <c r="S188" s="562"/>
      <c r="T188" s="562"/>
      <c r="U188" s="562"/>
      <c r="V188" s="563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71</v>
      </c>
      <c r="Q189" s="562"/>
      <c r="R189" s="562"/>
      <c r="S189" s="562"/>
      <c r="T189" s="562"/>
      <c r="U189" s="562"/>
      <c r="V189" s="563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59" t="s">
        <v>136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9"/>
      <c r="AB190" s="539"/>
      <c r="AC190" s="539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71</v>
      </c>
      <c r="Q193" s="562"/>
      <c r="R193" s="562"/>
      <c r="S193" s="562"/>
      <c r="T193" s="562"/>
      <c r="U193" s="562"/>
      <c r="V193" s="563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71</v>
      </c>
      <c r="Q194" s="562"/>
      <c r="R194" s="562"/>
      <c r="S194" s="562"/>
      <c r="T194" s="562"/>
      <c r="U194" s="562"/>
      <c r="V194" s="563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59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9"/>
      <c r="AB195" s="539"/>
      <c r="AC195" s="539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8</v>
      </c>
      <c r="Y196" s="544">
        <f t="shared" ref="Y196:Y203" si="10">IFERROR(IF(X196="",0,CEILING((X196/$H196),1)*$H196),"")</f>
        <v>10.8</v>
      </c>
      <c r="Z196" s="36">
        <f>IFERROR(IF(Y196=0,"",ROUNDUP(Y196/H196,0)*0.00902),"")</f>
        <v>1.804E-2</v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8.2814814814814799</v>
      </c>
      <c r="BN196" s="64">
        <f t="shared" ref="BN196:BN203" si="12">IFERROR(Y196*I196/H196,"0")</f>
        <v>11.18</v>
      </c>
      <c r="BO196" s="64">
        <f t="shared" ref="BO196:BO203" si="13">IFERROR(1/J196*(X196/H196),"0")</f>
        <v>1.1223344556677889E-2</v>
      </c>
      <c r="BP196" s="64">
        <f t="shared" ref="BP196:BP203" si="14">IFERROR(1/J196*(Y196/H196),"0")</f>
        <v>1.5151515151515152E-2</v>
      </c>
    </row>
    <row r="197" spans="1:68" ht="27" hidden="1" customHeight="1" x14ac:dyDescent="0.25">
      <c r="A197" s="54" t="s">
        <v>315</v>
      </c>
      <c r="B197" s="54" t="s">
        <v>316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321</v>
      </c>
      <c r="B199" s="54" t="s">
        <v>322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60</v>
      </c>
      <c r="Y200" s="544">
        <f t="shared" si="10"/>
        <v>61.2</v>
      </c>
      <c r="Z200" s="36">
        <f>IFERROR(IF(Y200=0,"",ROUNDUP(Y200/H200,0)*0.00502),"")</f>
        <v>0.17068</v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64.333333333333329</v>
      </c>
      <c r="BN200" s="64">
        <f t="shared" si="12"/>
        <v>65.62</v>
      </c>
      <c r="BO200" s="64">
        <f t="shared" si="13"/>
        <v>0.14245014245014248</v>
      </c>
      <c r="BP200" s="64">
        <f t="shared" si="14"/>
        <v>0.14529914529914531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83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18</v>
      </c>
      <c r="Y201" s="544">
        <f t="shared" si="10"/>
        <v>18</v>
      </c>
      <c r="Z201" s="36">
        <f>IFERROR(IF(Y201=0,"",ROUNDUP(Y201/H201,0)*0.00502),"")</f>
        <v>5.0200000000000002E-2</v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18.999999999999996</v>
      </c>
      <c r="BN201" s="64">
        <f t="shared" si="12"/>
        <v>18.999999999999996</v>
      </c>
      <c r="BO201" s="64">
        <f t="shared" si="13"/>
        <v>4.2735042735042736E-2</v>
      </c>
      <c r="BP201" s="64">
        <f t="shared" si="14"/>
        <v>4.2735042735042736E-2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50</v>
      </c>
      <c r="Y203" s="544">
        <f t="shared" si="10"/>
        <v>50.4</v>
      </c>
      <c r="Z203" s="36">
        <f>IFERROR(IF(Y203=0,"",ROUNDUP(Y203/H203,0)*0.00502),"")</f>
        <v>0.14056000000000002</v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52.777777777777779</v>
      </c>
      <c r="BN203" s="64">
        <f t="shared" si="12"/>
        <v>53.199999999999996</v>
      </c>
      <c r="BO203" s="64">
        <f t="shared" si="13"/>
        <v>0.11870845204178539</v>
      </c>
      <c r="BP203" s="64">
        <f t="shared" si="14"/>
        <v>0.11965811965811968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71</v>
      </c>
      <c r="Q204" s="562"/>
      <c r="R204" s="562"/>
      <c r="S204" s="562"/>
      <c r="T204" s="562"/>
      <c r="U204" s="562"/>
      <c r="V204" s="563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72.592592592592595</v>
      </c>
      <c r="Y204" s="545">
        <f>IFERROR(Y196/H196,"0")+IFERROR(Y197/H197,"0")+IFERROR(Y198/H198,"0")+IFERROR(Y199/H199,"0")+IFERROR(Y200/H200,"0")+IFERROR(Y201/H201,"0")+IFERROR(Y202/H202,"0")+IFERROR(Y203/H203,"0")</f>
        <v>74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0.37948000000000004</v>
      </c>
      <c r="AA204" s="546"/>
      <c r="AB204" s="546"/>
      <c r="AC204" s="546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71</v>
      </c>
      <c r="Q205" s="562"/>
      <c r="R205" s="562"/>
      <c r="S205" s="562"/>
      <c r="T205" s="562"/>
      <c r="U205" s="562"/>
      <c r="V205" s="563"/>
      <c r="W205" s="37" t="s">
        <v>69</v>
      </c>
      <c r="X205" s="545">
        <f>IFERROR(SUM(X196:X203),"0")</f>
        <v>136</v>
      </c>
      <c r="Y205" s="545">
        <f>IFERROR(SUM(Y196:Y203),"0")</f>
        <v>140.4</v>
      </c>
      <c r="Z205" s="37"/>
      <c r="AA205" s="546"/>
      <c r="AB205" s="546"/>
      <c r="AC205" s="546"/>
    </row>
    <row r="206" spans="1:68" ht="14.25" hidden="1" customHeight="1" x14ac:dyDescent="0.25">
      <c r="A206" s="559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9"/>
      <c r="AB206" s="539"/>
      <c r="AC206" s="539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124</v>
      </c>
      <c r="Y210" s="544">
        <f t="shared" si="15"/>
        <v>124.8</v>
      </c>
      <c r="Z210" s="36">
        <f t="shared" ref="Z210:Z215" si="20">IFERROR(IF(Y210=0,"",ROUNDUP(Y210/H210,0)*0.00651),"")</f>
        <v>0.33851999999999999</v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137.94999999999999</v>
      </c>
      <c r="BN210" s="64">
        <f t="shared" si="17"/>
        <v>138.84</v>
      </c>
      <c r="BO210" s="64">
        <f t="shared" si="18"/>
        <v>0.28388278388278393</v>
      </c>
      <c r="BP210" s="64">
        <f t="shared" si="19"/>
        <v>0.28571428571428575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200</v>
      </c>
      <c r="Y212" s="544">
        <f t="shared" si="15"/>
        <v>201.6</v>
      </c>
      <c r="Z212" s="36">
        <f t="shared" si="20"/>
        <v>0.54683999999999999</v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221</v>
      </c>
      <c r="BN212" s="64">
        <f t="shared" si="17"/>
        <v>222.768</v>
      </c>
      <c r="BO212" s="64">
        <f t="shared" si="18"/>
        <v>0.45787545787545797</v>
      </c>
      <c r="BP212" s="64">
        <f t="shared" si="19"/>
        <v>0.46153846153846156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210</v>
      </c>
      <c r="Y213" s="544">
        <f t="shared" si="15"/>
        <v>211.2</v>
      </c>
      <c r="Z213" s="36">
        <f t="shared" si="20"/>
        <v>0.57288000000000006</v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232.05000000000004</v>
      </c>
      <c r="BN213" s="64">
        <f t="shared" si="17"/>
        <v>233.376</v>
      </c>
      <c r="BO213" s="64">
        <f t="shared" si="18"/>
        <v>0.48076923076923078</v>
      </c>
      <c r="BP213" s="64">
        <f t="shared" si="19"/>
        <v>0.48351648351648358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0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120</v>
      </c>
      <c r="Y215" s="544">
        <f t="shared" si="15"/>
        <v>120</v>
      </c>
      <c r="Z215" s="36">
        <f t="shared" si="20"/>
        <v>0.32550000000000001</v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132.9</v>
      </c>
      <c r="BN215" s="64">
        <f t="shared" si="17"/>
        <v>132.9</v>
      </c>
      <c r="BO215" s="64">
        <f t="shared" si="18"/>
        <v>0.27472527472527475</v>
      </c>
      <c r="BP215" s="64">
        <f t="shared" si="19"/>
        <v>0.27472527472527475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71</v>
      </c>
      <c r="Q216" s="562"/>
      <c r="R216" s="562"/>
      <c r="S216" s="562"/>
      <c r="T216" s="562"/>
      <c r="U216" s="562"/>
      <c r="V216" s="563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272.5</v>
      </c>
      <c r="Y216" s="545">
        <f>IFERROR(Y207/H207,"0")+IFERROR(Y208/H208,"0")+IFERROR(Y209/H209,"0")+IFERROR(Y210/H210,"0")+IFERROR(Y211/H211,"0")+IFERROR(Y212/H212,"0")+IFERROR(Y213/H213,"0")+IFERROR(Y214/H214,"0")+IFERROR(Y215/H215,"0")</f>
        <v>274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1.7837399999999999</v>
      </c>
      <c r="AA216" s="546"/>
      <c r="AB216" s="546"/>
      <c r="AC216" s="546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71</v>
      </c>
      <c r="Q217" s="562"/>
      <c r="R217" s="562"/>
      <c r="S217" s="562"/>
      <c r="T217" s="562"/>
      <c r="U217" s="562"/>
      <c r="V217" s="563"/>
      <c r="W217" s="37" t="s">
        <v>69</v>
      </c>
      <c r="X217" s="545">
        <f>IFERROR(SUM(X207:X215),"0")</f>
        <v>654</v>
      </c>
      <c r="Y217" s="545">
        <f>IFERROR(SUM(Y207:Y215),"0")</f>
        <v>657.59999999999991</v>
      </c>
      <c r="Z217" s="37"/>
      <c r="AA217" s="546"/>
      <c r="AB217" s="546"/>
      <c r="AC217" s="546"/>
    </row>
    <row r="218" spans="1:68" ht="14.25" hidden="1" customHeight="1" x14ac:dyDescent="0.25">
      <c r="A218" s="559" t="s">
        <v>164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9"/>
      <c r="AB218" s="539"/>
      <c r="AC218" s="539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40</v>
      </c>
      <c r="Y220" s="544">
        <f>IFERROR(IF(X220="",0,CEILING((X220/$H220),1)*$H220),"")</f>
        <v>40.799999999999997</v>
      </c>
      <c r="Z220" s="36">
        <f>IFERROR(IF(Y220=0,"",ROUNDUP(Y220/H220,0)*0.00651),"")</f>
        <v>0.11067</v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44.20000000000001</v>
      </c>
      <c r="BN220" s="64">
        <f>IFERROR(Y220*I220/H220,"0")</f>
        <v>45.084000000000003</v>
      </c>
      <c r="BO220" s="64">
        <f>IFERROR(1/J220*(X220/H220),"0")</f>
        <v>9.1575091575091583E-2</v>
      </c>
      <c r="BP220" s="64">
        <f>IFERROR(1/J220*(Y220/H220),"0")</f>
        <v>9.3406593406593408E-2</v>
      </c>
    </row>
    <row r="221" spans="1:68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71</v>
      </c>
      <c r="Q221" s="562"/>
      <c r="R221" s="562"/>
      <c r="S221" s="562"/>
      <c r="T221" s="562"/>
      <c r="U221" s="562"/>
      <c r="V221" s="563"/>
      <c r="W221" s="37" t="s">
        <v>72</v>
      </c>
      <c r="X221" s="545">
        <f>IFERROR(X219/H219,"0")+IFERROR(X220/H220,"0")</f>
        <v>16.666666666666668</v>
      </c>
      <c r="Y221" s="545">
        <f>IFERROR(Y219/H219,"0")+IFERROR(Y220/H220,"0")</f>
        <v>17</v>
      </c>
      <c r="Z221" s="545">
        <f>IFERROR(IF(Z219="",0,Z219),"0")+IFERROR(IF(Z220="",0,Z220),"0")</f>
        <v>0.11067</v>
      </c>
      <c r="AA221" s="546"/>
      <c r="AB221" s="546"/>
      <c r="AC221" s="546"/>
    </row>
    <row r="222" spans="1:68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71</v>
      </c>
      <c r="Q222" s="562"/>
      <c r="R222" s="562"/>
      <c r="S222" s="562"/>
      <c r="T222" s="562"/>
      <c r="U222" s="562"/>
      <c r="V222" s="563"/>
      <c r="W222" s="37" t="s">
        <v>69</v>
      </c>
      <c r="X222" s="545">
        <f>IFERROR(SUM(X219:X220),"0")</f>
        <v>40</v>
      </c>
      <c r="Y222" s="545">
        <f>IFERROR(SUM(Y219:Y220),"0")</f>
        <v>40.799999999999997</v>
      </c>
      <c r="Z222" s="37"/>
      <c r="AA222" s="546"/>
      <c r="AB222" s="546"/>
      <c r="AC222" s="546"/>
    </row>
    <row r="223" spans="1:68" ht="16.5" hidden="1" customHeight="1" x14ac:dyDescent="0.25">
      <c r="A223" s="558" t="s">
        <v>361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8"/>
      <c r="AB223" s="538"/>
      <c r="AC223" s="538"/>
    </row>
    <row r="224" spans="1:68" ht="14.25" hidden="1" customHeight="1" x14ac:dyDescent="0.25">
      <c r="A224" s="559" t="s">
        <v>101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9"/>
      <c r="AB224" s="539"/>
      <c r="AC224" s="539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9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6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71</v>
      </c>
      <c r="Q235" s="562"/>
      <c r="R235" s="562"/>
      <c r="S235" s="562"/>
      <c r="T235" s="562"/>
      <c r="U235" s="562"/>
      <c r="V235" s="563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71</v>
      </c>
      <c r="Q236" s="562"/>
      <c r="R236" s="562"/>
      <c r="S236" s="562"/>
      <c r="T236" s="562"/>
      <c r="U236" s="562"/>
      <c r="V236" s="563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59" t="s">
        <v>136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9"/>
      <c r="AB237" s="539"/>
      <c r="AC237" s="539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71</v>
      </c>
      <c r="Q239" s="562"/>
      <c r="R239" s="562"/>
      <c r="S239" s="562"/>
      <c r="T239" s="562"/>
      <c r="U239" s="562"/>
      <c r="V239" s="563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71</v>
      </c>
      <c r="Q240" s="562"/>
      <c r="R240" s="562"/>
      <c r="S240" s="562"/>
      <c r="T240" s="562"/>
      <c r="U240" s="562"/>
      <c r="V240" s="563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59" t="s">
        <v>387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9"/>
      <c r="AB241" s="539"/>
      <c r="AC241" s="539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3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7</v>
      </c>
      <c r="Y242" s="544">
        <f>IFERROR(IF(X242="",0,CEILING((X242/$H242),1)*$H242),"")</f>
        <v>7.2</v>
      </c>
      <c r="Z242" s="36">
        <f>IFERROR(IF(Y242=0,"",ROUNDUP(Y242/H242,0)*0.0059),"")</f>
        <v>2.3599999999999999E-2</v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7.6805555555555562</v>
      </c>
      <c r="BN242" s="64">
        <f>IFERROR(Y242*I242/H242,"0")</f>
        <v>7.9</v>
      </c>
      <c r="BO242" s="64">
        <f>IFERROR(1/J242*(X242/H242),"0")</f>
        <v>1.8004115226337446E-2</v>
      </c>
      <c r="BP242" s="64">
        <f>IFERROR(1/J242*(Y242/H242),"0")</f>
        <v>1.8518518518518517E-2</v>
      </c>
    </row>
    <row r="243" spans="1:68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71</v>
      </c>
      <c r="Q243" s="562"/>
      <c r="R243" s="562"/>
      <c r="S243" s="562"/>
      <c r="T243" s="562"/>
      <c r="U243" s="562"/>
      <c r="V243" s="563"/>
      <c r="W243" s="37" t="s">
        <v>72</v>
      </c>
      <c r="X243" s="545">
        <f>IFERROR(X242/H242,"0")</f>
        <v>3.8888888888888888</v>
      </c>
      <c r="Y243" s="545">
        <f>IFERROR(Y242/H242,"0")</f>
        <v>4</v>
      </c>
      <c r="Z243" s="545">
        <f>IFERROR(IF(Z242="",0,Z242),"0")</f>
        <v>2.3599999999999999E-2</v>
      </c>
      <c r="AA243" s="546"/>
      <c r="AB243" s="546"/>
      <c r="AC243" s="546"/>
    </row>
    <row r="244" spans="1:68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71</v>
      </c>
      <c r="Q244" s="562"/>
      <c r="R244" s="562"/>
      <c r="S244" s="562"/>
      <c r="T244" s="562"/>
      <c r="U244" s="562"/>
      <c r="V244" s="563"/>
      <c r="W244" s="37" t="s">
        <v>69</v>
      </c>
      <c r="X244" s="545">
        <f>IFERROR(SUM(X242:X242),"0")</f>
        <v>7</v>
      </c>
      <c r="Y244" s="545">
        <f>IFERROR(SUM(Y242:Y242),"0")</f>
        <v>7.2</v>
      </c>
      <c r="Z244" s="37"/>
      <c r="AA244" s="546"/>
      <c r="AB244" s="546"/>
      <c r="AC244" s="546"/>
    </row>
    <row r="245" spans="1:68" ht="14.25" hidden="1" customHeight="1" x14ac:dyDescent="0.25">
      <c r="A245" s="559" t="s">
        <v>391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9"/>
      <c r="AB245" s="539"/>
      <c r="AC245" s="539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3</v>
      </c>
      <c r="Y246" s="544">
        <f>IFERROR(IF(X246="",0,CEILING((X246/$H246),1)*$H246),"")</f>
        <v>3.96</v>
      </c>
      <c r="Z246" s="36">
        <f>IFERROR(IF(Y246=0,"",ROUNDUP(Y246/H246,0)*0.0059),"")</f>
        <v>2.3599999999999999E-2</v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3.5757575757575757</v>
      </c>
      <c r="BN246" s="64">
        <f>IFERROR(Y246*I246/H246,"0")</f>
        <v>4.72</v>
      </c>
      <c r="BO246" s="64">
        <f>IFERROR(1/J246*(X246/H246),"0")</f>
        <v>1.4029180695847361E-2</v>
      </c>
      <c r="BP246" s="64">
        <f>IFERROR(1/J246*(Y246/H246),"0")</f>
        <v>1.8518518518518517E-2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4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8</v>
      </c>
      <c r="Y247" s="544">
        <f>IFERROR(IF(X247="",0,CEILING((X247/$H247),1)*$H247),"")</f>
        <v>9</v>
      </c>
      <c r="Z247" s="36">
        <f>IFERROR(IF(Y247=0,"",ROUNDUP(Y247/H247,0)*0.0059),"")</f>
        <v>2.9499999999999998E-2</v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8.7777777777777786</v>
      </c>
      <c r="BN247" s="64">
        <f>IFERROR(Y247*I247/H247,"0")</f>
        <v>9.8750000000000018</v>
      </c>
      <c r="BO247" s="64">
        <f>IFERROR(1/J247*(X247/H247),"0")</f>
        <v>2.0576131687242798E-2</v>
      </c>
      <c r="BP247" s="64">
        <f>IFERROR(1/J247*(Y247/H247),"0")</f>
        <v>2.3148148148148147E-2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4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3</v>
      </c>
      <c r="Y248" s="544">
        <f>IFERROR(IF(X248="",0,CEILING((X248/$H248),1)*$H248),"")</f>
        <v>3.6</v>
      </c>
      <c r="Z248" s="36">
        <f>IFERROR(IF(Y248=0,"",ROUNDUP(Y248/H248,0)*0.0059),"")</f>
        <v>2.3599999999999999E-2</v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3.6333333333333337</v>
      </c>
      <c r="BN248" s="64">
        <f>IFERROR(Y248*I248/H248,"0")</f>
        <v>4.3600000000000003</v>
      </c>
      <c r="BO248" s="64">
        <f>IFERROR(1/J248*(X248/H248),"0")</f>
        <v>1.5432098765432096E-2</v>
      </c>
      <c r="BP248" s="64">
        <f>IFERROR(1/J248*(Y248/H248),"0")</f>
        <v>1.8518518518518517E-2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6</v>
      </c>
      <c r="Y249" s="544">
        <f>IFERROR(IF(X249="",0,CEILING((X249/$H249),1)*$H249),"")</f>
        <v>6.93</v>
      </c>
      <c r="Z249" s="36">
        <f>IFERROR(IF(Y249=0,"",ROUNDUP(Y249/H249,0)*0.0059),"")</f>
        <v>4.1299999999999996E-2</v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7.1515151515151514</v>
      </c>
      <c r="BN249" s="64">
        <f>IFERROR(Y249*I249/H249,"0")</f>
        <v>8.259999999999998</v>
      </c>
      <c r="BO249" s="64">
        <f>IFERROR(1/J249*(X249/H249),"0")</f>
        <v>2.8058361391694722E-2</v>
      </c>
      <c r="BP249" s="64">
        <f>IFERROR(1/J249*(Y249/H249),"0")</f>
        <v>3.2407407407407406E-2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59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3</v>
      </c>
      <c r="Y250" s="544">
        <f>IFERROR(IF(X250="",0,CEILING((X250/$H250),1)*$H250),"")</f>
        <v>3.96</v>
      </c>
      <c r="Z250" s="36">
        <f>IFERROR(IF(Y250=0,"",ROUNDUP(Y250/H250,0)*0.0059),"")</f>
        <v>2.3599999999999999E-2</v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3.5757575757575757</v>
      </c>
      <c r="BN250" s="64">
        <f>IFERROR(Y250*I250/H250,"0")</f>
        <v>4.72</v>
      </c>
      <c r="BO250" s="64">
        <f>IFERROR(1/J250*(X250/H250),"0")</f>
        <v>1.4029180695847361E-2</v>
      </c>
      <c r="BP250" s="64">
        <f>IFERROR(1/J250*(Y250/H250),"0")</f>
        <v>1.8518518518518517E-2</v>
      </c>
    </row>
    <row r="251" spans="1:68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71</v>
      </c>
      <c r="Q251" s="562"/>
      <c r="R251" s="562"/>
      <c r="S251" s="562"/>
      <c r="T251" s="562"/>
      <c r="U251" s="562"/>
      <c r="V251" s="563"/>
      <c r="W251" s="37" t="s">
        <v>72</v>
      </c>
      <c r="X251" s="545">
        <f>IFERROR(X246/H246,"0")+IFERROR(X247/H247,"0")+IFERROR(X248/H248,"0")+IFERROR(X249/H249,"0")+IFERROR(X250/H250,"0")</f>
        <v>19.8989898989899</v>
      </c>
      <c r="Y251" s="545">
        <f>IFERROR(Y246/H246,"0")+IFERROR(Y247/H247,"0")+IFERROR(Y248/H248,"0")+IFERROR(Y249/H249,"0")+IFERROR(Y250/H250,"0")</f>
        <v>24</v>
      </c>
      <c r="Z251" s="545">
        <f>IFERROR(IF(Z246="",0,Z246),"0")+IFERROR(IF(Z247="",0,Z247),"0")+IFERROR(IF(Z248="",0,Z248),"0")+IFERROR(IF(Z249="",0,Z249),"0")+IFERROR(IF(Z250="",0,Z250),"0")</f>
        <v>0.1416</v>
      </c>
      <c r="AA251" s="546"/>
      <c r="AB251" s="546"/>
      <c r="AC251" s="546"/>
    </row>
    <row r="252" spans="1:68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71</v>
      </c>
      <c r="Q252" s="562"/>
      <c r="R252" s="562"/>
      <c r="S252" s="562"/>
      <c r="T252" s="562"/>
      <c r="U252" s="562"/>
      <c r="V252" s="563"/>
      <c r="W252" s="37" t="s">
        <v>69</v>
      </c>
      <c r="X252" s="545">
        <f>IFERROR(SUM(X246:X250),"0")</f>
        <v>23</v>
      </c>
      <c r="Y252" s="545">
        <f>IFERROR(SUM(Y246:Y250),"0")</f>
        <v>27.450000000000003</v>
      </c>
      <c r="Z252" s="37"/>
      <c r="AA252" s="546"/>
      <c r="AB252" s="546"/>
      <c r="AC252" s="546"/>
    </row>
    <row r="253" spans="1:68" ht="16.5" hidden="1" customHeight="1" x14ac:dyDescent="0.25">
      <c r="A253" s="558" t="s">
        <v>403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8"/>
      <c r="AB253" s="538"/>
      <c r="AC253" s="538"/>
    </row>
    <row r="254" spans="1:68" ht="14.25" hidden="1" customHeight="1" x14ac:dyDescent="0.25">
      <c r="A254" s="559" t="s">
        <v>101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9"/>
      <c r="AB254" s="539"/>
      <c r="AC254" s="539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7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150</v>
      </c>
      <c r="Y257" s="544">
        <f>IFERROR(IF(X257="",0,CEILING((X257/$H257),1)*$H257),"")</f>
        <v>151.20000000000002</v>
      </c>
      <c r="Z257" s="36">
        <f>IFERROR(IF(Y257=0,"",ROUNDUP(Y257/H257,0)*0.01898),"")</f>
        <v>0.26572000000000001</v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155.69444444444446</v>
      </c>
      <c r="BN257" s="64">
        <f>IFERROR(Y257*I257/H257,"0")</f>
        <v>156.94</v>
      </c>
      <c r="BO257" s="64">
        <f>IFERROR(1/J257*(X257/H257),"0")</f>
        <v>0.21701388888888887</v>
      </c>
      <c r="BP257" s="64">
        <f>IFERROR(1/J257*(Y257/H257),"0")</f>
        <v>0.21875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71</v>
      </c>
      <c r="Q260" s="562"/>
      <c r="R260" s="562"/>
      <c r="S260" s="562"/>
      <c r="T260" s="562"/>
      <c r="U260" s="562"/>
      <c r="V260" s="563"/>
      <c r="W260" s="37" t="s">
        <v>72</v>
      </c>
      <c r="X260" s="545">
        <f>IFERROR(X255/H255,"0")+IFERROR(X256/H256,"0")+IFERROR(X257/H257,"0")+IFERROR(X258/H258,"0")+IFERROR(X259/H259,"0")</f>
        <v>13.888888888888888</v>
      </c>
      <c r="Y260" s="545">
        <f>IFERROR(Y255/H255,"0")+IFERROR(Y256/H256,"0")+IFERROR(Y257/H257,"0")+IFERROR(Y258/H258,"0")+IFERROR(Y259/H259,"0")</f>
        <v>14</v>
      </c>
      <c r="Z260" s="545">
        <f>IFERROR(IF(Z255="",0,Z255),"0")+IFERROR(IF(Z256="",0,Z256),"0")+IFERROR(IF(Z257="",0,Z257),"0")+IFERROR(IF(Z258="",0,Z258),"0")+IFERROR(IF(Z259="",0,Z259),"0")</f>
        <v>0.26572000000000001</v>
      </c>
      <c r="AA260" s="546"/>
      <c r="AB260" s="546"/>
      <c r="AC260" s="546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71</v>
      </c>
      <c r="Q261" s="562"/>
      <c r="R261" s="562"/>
      <c r="S261" s="562"/>
      <c r="T261" s="562"/>
      <c r="U261" s="562"/>
      <c r="V261" s="563"/>
      <c r="W261" s="37" t="s">
        <v>69</v>
      </c>
      <c r="X261" s="545">
        <f>IFERROR(SUM(X255:X259),"0")</f>
        <v>150</v>
      </c>
      <c r="Y261" s="545">
        <f>IFERROR(SUM(Y255:Y259),"0")</f>
        <v>151.20000000000002</v>
      </c>
      <c r="Z261" s="37"/>
      <c r="AA261" s="546"/>
      <c r="AB261" s="546"/>
      <c r="AC261" s="546"/>
    </row>
    <row r="262" spans="1:68" ht="16.5" hidden="1" customHeight="1" x14ac:dyDescent="0.25">
      <c r="A262" s="558" t="s">
        <v>419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8"/>
      <c r="AB262" s="538"/>
      <c r="AC262" s="538"/>
    </row>
    <row r="263" spans="1:68" ht="14.25" hidden="1" customHeight="1" x14ac:dyDescent="0.25">
      <c r="A263" s="559" t="s">
        <v>101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9"/>
      <c r="AB263" s="539"/>
      <c r="AC263" s="539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6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71</v>
      </c>
      <c r="Q268" s="562"/>
      <c r="R268" s="562"/>
      <c r="S268" s="562"/>
      <c r="T268" s="562"/>
      <c r="U268" s="562"/>
      <c r="V268" s="563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71</v>
      </c>
      <c r="Q269" s="562"/>
      <c r="R269" s="562"/>
      <c r="S269" s="562"/>
      <c r="T269" s="562"/>
      <c r="U269" s="562"/>
      <c r="V269" s="563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8" t="s">
        <v>430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8"/>
      <c r="AB270" s="538"/>
      <c r="AC270" s="538"/>
    </row>
    <row r="271" spans="1:68" ht="14.25" hidden="1" customHeight="1" x14ac:dyDescent="0.25">
      <c r="A271" s="559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9"/>
      <c r="AB271" s="539"/>
      <c r="AC271" s="539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7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16</v>
      </c>
      <c r="Y273" s="544">
        <f>IFERROR(IF(X273="",0,CEILING((X273/$H273),1)*$H273),"")</f>
        <v>16.8</v>
      </c>
      <c r="Z273" s="36">
        <f>IFERROR(IF(Y273=0,"",ROUNDUP(Y273/H273,0)*0.00651),"")</f>
        <v>4.5569999999999999E-2</v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17.680000000000003</v>
      </c>
      <c r="BN273" s="64">
        <f>IFERROR(Y273*I273/H273,"0")</f>
        <v>18.564000000000004</v>
      </c>
      <c r="BO273" s="64">
        <f>IFERROR(1/J273*(X273/H273),"0")</f>
        <v>3.6630036630036632E-2</v>
      </c>
      <c r="BP273" s="64">
        <f>IFERROR(1/J273*(Y273/H273),"0")</f>
        <v>3.8461538461538471E-2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71</v>
      </c>
      <c r="Q275" s="562"/>
      <c r="R275" s="562"/>
      <c r="S275" s="562"/>
      <c r="T275" s="562"/>
      <c r="U275" s="562"/>
      <c r="V275" s="563"/>
      <c r="W275" s="37" t="s">
        <v>72</v>
      </c>
      <c r="X275" s="545">
        <f>IFERROR(X272/H272,"0")+IFERROR(X273/H273,"0")+IFERROR(X274/H274,"0")</f>
        <v>6.666666666666667</v>
      </c>
      <c r="Y275" s="545">
        <f>IFERROR(Y272/H272,"0")+IFERROR(Y273/H273,"0")+IFERROR(Y274/H274,"0")</f>
        <v>7.0000000000000009</v>
      </c>
      <c r="Z275" s="545">
        <f>IFERROR(IF(Z272="",0,Z272),"0")+IFERROR(IF(Z273="",0,Z273),"0")+IFERROR(IF(Z274="",0,Z274),"0")</f>
        <v>4.5569999999999999E-2</v>
      </c>
      <c r="AA275" s="546"/>
      <c r="AB275" s="546"/>
      <c r="AC275" s="546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71</v>
      </c>
      <c r="Q276" s="562"/>
      <c r="R276" s="562"/>
      <c r="S276" s="562"/>
      <c r="T276" s="562"/>
      <c r="U276" s="562"/>
      <c r="V276" s="563"/>
      <c r="W276" s="37" t="s">
        <v>69</v>
      </c>
      <c r="X276" s="545">
        <f>IFERROR(SUM(X272:X274),"0")</f>
        <v>16</v>
      </c>
      <c r="Y276" s="545">
        <f>IFERROR(SUM(Y272:Y274),"0")</f>
        <v>16.8</v>
      </c>
      <c r="Z276" s="37"/>
      <c r="AA276" s="546"/>
      <c r="AB276" s="546"/>
      <c r="AC276" s="546"/>
    </row>
    <row r="277" spans="1:68" ht="16.5" hidden="1" customHeight="1" x14ac:dyDescent="0.25">
      <c r="A277" s="558" t="s">
        <v>439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8"/>
      <c r="AB277" s="538"/>
      <c r="AC277" s="538"/>
    </row>
    <row r="278" spans="1:68" ht="14.25" hidden="1" customHeight="1" x14ac:dyDescent="0.25">
      <c r="A278" s="559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9"/>
      <c r="AB278" s="539"/>
      <c r="AC278" s="539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71</v>
      </c>
      <c r="Q281" s="562"/>
      <c r="R281" s="562"/>
      <c r="S281" s="562"/>
      <c r="T281" s="562"/>
      <c r="U281" s="562"/>
      <c r="V281" s="563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71</v>
      </c>
      <c r="Q282" s="562"/>
      <c r="R282" s="562"/>
      <c r="S282" s="562"/>
      <c r="T282" s="562"/>
      <c r="U282" s="562"/>
      <c r="V282" s="563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59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9"/>
      <c r="AB283" s="539"/>
      <c r="AC283" s="539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7">
        <v>4680115887114</v>
      </c>
      <c r="E284" s="548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50" t="s">
        <v>448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7">
        <v>4680115884618</v>
      </c>
      <c r="E285" s="548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0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50"/>
      <c r="R285" s="550"/>
      <c r="S285" s="550"/>
      <c r="T285" s="551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3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71</v>
      </c>
      <c r="Q286" s="562"/>
      <c r="R286" s="562"/>
      <c r="S286" s="562"/>
      <c r="T286" s="562"/>
      <c r="U286" s="562"/>
      <c r="V286" s="563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hidden="1" x14ac:dyDescent="0.2">
      <c r="A287" s="554"/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5"/>
      <c r="P287" s="561" t="s">
        <v>71</v>
      </c>
      <c r="Q287" s="562"/>
      <c r="R287" s="562"/>
      <c r="S287" s="562"/>
      <c r="T287" s="562"/>
      <c r="U287" s="562"/>
      <c r="V287" s="563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hidden="1" customHeight="1" x14ac:dyDescent="0.25">
      <c r="A288" s="558" t="s">
        <v>453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8"/>
      <c r="AB288" s="538"/>
      <c r="AC288" s="538"/>
    </row>
    <row r="289" spans="1:68" ht="14.25" hidden="1" customHeight="1" x14ac:dyDescent="0.25">
      <c r="A289" s="559" t="s">
        <v>101</v>
      </c>
      <c r="B289" s="554"/>
      <c r="C289" s="554"/>
      <c r="D289" s="554"/>
      <c r="E289" s="554"/>
      <c r="F289" s="554"/>
      <c r="G289" s="554"/>
      <c r="H289" s="554"/>
      <c r="I289" s="554"/>
      <c r="J289" s="554"/>
      <c r="K289" s="554"/>
      <c r="L289" s="554"/>
      <c r="M289" s="554"/>
      <c r="N289" s="554"/>
      <c r="O289" s="554"/>
      <c r="P289" s="554"/>
      <c r="Q289" s="554"/>
      <c r="R289" s="554"/>
      <c r="S289" s="554"/>
      <c r="T289" s="554"/>
      <c r="U289" s="554"/>
      <c r="V289" s="554"/>
      <c r="W289" s="554"/>
      <c r="X289" s="554"/>
      <c r="Y289" s="554"/>
      <c r="Z289" s="554"/>
      <c r="AA289" s="539"/>
      <c r="AB289" s="539"/>
      <c r="AC289" s="539"/>
    </row>
    <row r="290" spans="1:68" ht="27" hidden="1" customHeight="1" x14ac:dyDescent="0.25">
      <c r="A290" s="54" t="s">
        <v>454</v>
      </c>
      <c r="B290" s="54" t="s">
        <v>455</v>
      </c>
      <c r="C290" s="31">
        <v>4301012126</v>
      </c>
      <c r="D290" s="547">
        <v>4607091386004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8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hidden="1" customHeight="1" x14ac:dyDescent="0.25">
      <c r="A291" s="54" t="s">
        <v>457</v>
      </c>
      <c r="B291" s="54" t="s">
        <v>458</v>
      </c>
      <c r="C291" s="31">
        <v>4301012024</v>
      </c>
      <c r="D291" s="547">
        <v>4680115885615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customHeight="1" x14ac:dyDescent="0.25">
      <c r="A292" s="54" t="s">
        <v>460</v>
      </c>
      <c r="B292" s="54" t="s">
        <v>461</v>
      </c>
      <c r="C292" s="31">
        <v>4301011858</v>
      </c>
      <c r="D292" s="547">
        <v>4680115885646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85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75</v>
      </c>
      <c r="Y292" s="544">
        <f t="shared" si="26"/>
        <v>75.600000000000009</v>
      </c>
      <c r="Z292" s="36">
        <f>IFERROR(IF(Y292=0,"",ROUNDUP(Y292/H292,0)*0.01898),"")</f>
        <v>0.13286000000000001</v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77.847222222222229</v>
      </c>
      <c r="BN292" s="64">
        <f t="shared" si="28"/>
        <v>78.47</v>
      </c>
      <c r="BO292" s="64">
        <f t="shared" si="29"/>
        <v>0.10850694444444443</v>
      </c>
      <c r="BP292" s="64">
        <f t="shared" si="30"/>
        <v>0.109375</v>
      </c>
    </row>
    <row r="293" spans="1:68" ht="27" customHeight="1" x14ac:dyDescent="0.25">
      <c r="A293" s="54" t="s">
        <v>463</v>
      </c>
      <c r="B293" s="54" t="s">
        <v>464</v>
      </c>
      <c r="C293" s="31">
        <v>4301012016</v>
      </c>
      <c r="D293" s="547">
        <v>4680115885554</v>
      </c>
      <c r="E293" s="548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8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240</v>
      </c>
      <c r="Y293" s="544">
        <f t="shared" si="26"/>
        <v>248.4</v>
      </c>
      <c r="Z293" s="36">
        <f>IFERROR(IF(Y293=0,"",ROUNDUP(Y293/H293,0)*0.01898),"")</f>
        <v>0.43653999999999998</v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249.11111111111111</v>
      </c>
      <c r="BN293" s="64">
        <f t="shared" si="28"/>
        <v>257.83</v>
      </c>
      <c r="BO293" s="64">
        <f t="shared" si="29"/>
        <v>0.34722222222222221</v>
      </c>
      <c r="BP293" s="64">
        <f t="shared" si="30"/>
        <v>0.359375</v>
      </c>
    </row>
    <row r="294" spans="1:68" ht="27" customHeight="1" x14ac:dyDescent="0.25">
      <c r="A294" s="54" t="s">
        <v>466</v>
      </c>
      <c r="B294" s="54" t="s">
        <v>467</v>
      </c>
      <c r="C294" s="31">
        <v>4301011857</v>
      </c>
      <c r="D294" s="547">
        <v>4680115885622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24</v>
      </c>
      <c r="Y294" s="544">
        <f t="shared" si="26"/>
        <v>24</v>
      </c>
      <c r="Z294" s="36">
        <f>IFERROR(IF(Y294=0,"",ROUNDUP(Y294/H294,0)*0.00902),"")</f>
        <v>5.4120000000000001E-2</v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25.14</v>
      </c>
      <c r="BN294" s="64">
        <f t="shared" si="28"/>
        <v>25.14</v>
      </c>
      <c r="BO294" s="64">
        <f t="shared" si="29"/>
        <v>4.5454545454545456E-2</v>
      </c>
      <c r="BP294" s="64">
        <f t="shared" si="30"/>
        <v>4.5454545454545456E-2</v>
      </c>
    </row>
    <row r="295" spans="1:68" ht="27" customHeight="1" x14ac:dyDescent="0.25">
      <c r="A295" s="54" t="s">
        <v>468</v>
      </c>
      <c r="B295" s="54" t="s">
        <v>469</v>
      </c>
      <c r="C295" s="31">
        <v>4301011859</v>
      </c>
      <c r="D295" s="547">
        <v>4680115885608</v>
      </c>
      <c r="E295" s="548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8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3">
        <v>2</v>
      </c>
      <c r="Y295" s="544">
        <f t="shared" si="26"/>
        <v>4</v>
      </c>
      <c r="Z295" s="36">
        <f>IFERROR(IF(Y295=0,"",ROUNDUP(Y295/H295,0)*0.00902),"")</f>
        <v>9.0200000000000002E-3</v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2.0950000000000002</v>
      </c>
      <c r="BN295" s="64">
        <f t="shared" si="28"/>
        <v>4.1900000000000004</v>
      </c>
      <c r="BO295" s="64">
        <f t="shared" si="29"/>
        <v>3.787878787878788E-3</v>
      </c>
      <c r="BP295" s="64">
        <f t="shared" si="30"/>
        <v>7.575757575757576E-3</v>
      </c>
    </row>
    <row r="296" spans="1:68" x14ac:dyDescent="0.2">
      <c r="A296" s="553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5"/>
      <c r="P296" s="561" t="s">
        <v>71</v>
      </c>
      <c r="Q296" s="562"/>
      <c r="R296" s="562"/>
      <c r="S296" s="562"/>
      <c r="T296" s="562"/>
      <c r="U296" s="562"/>
      <c r="V296" s="563"/>
      <c r="W296" s="37" t="s">
        <v>72</v>
      </c>
      <c r="X296" s="545">
        <f>IFERROR(X290/H290,"0")+IFERROR(X291/H291,"0")+IFERROR(X292/H292,"0")+IFERROR(X293/H293,"0")+IFERROR(X294/H294,"0")+IFERROR(X295/H295,"0")</f>
        <v>35.666666666666664</v>
      </c>
      <c r="Y296" s="545">
        <f>IFERROR(Y290/H290,"0")+IFERROR(Y291/H291,"0")+IFERROR(Y292/H292,"0")+IFERROR(Y293/H293,"0")+IFERROR(Y294/H294,"0")+IFERROR(Y295/H295,"0")</f>
        <v>37</v>
      </c>
      <c r="Z296" s="545">
        <f>IFERROR(IF(Z290="",0,Z290),"0")+IFERROR(IF(Z291="",0,Z291),"0")+IFERROR(IF(Z292="",0,Z292),"0")+IFERROR(IF(Z293="",0,Z293),"0")+IFERROR(IF(Z294="",0,Z294),"0")+IFERROR(IF(Z295="",0,Z295),"0")</f>
        <v>0.6325400000000001</v>
      </c>
      <c r="AA296" s="546"/>
      <c r="AB296" s="546"/>
      <c r="AC296" s="546"/>
    </row>
    <row r="297" spans="1:68" x14ac:dyDescent="0.2">
      <c r="A297" s="554"/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5"/>
      <c r="P297" s="561" t="s">
        <v>71</v>
      </c>
      <c r="Q297" s="562"/>
      <c r="R297" s="562"/>
      <c r="S297" s="562"/>
      <c r="T297" s="562"/>
      <c r="U297" s="562"/>
      <c r="V297" s="563"/>
      <c r="W297" s="37" t="s">
        <v>69</v>
      </c>
      <c r="X297" s="545">
        <f>IFERROR(SUM(X290:X295),"0")</f>
        <v>341</v>
      </c>
      <c r="Y297" s="545">
        <f>IFERROR(SUM(Y290:Y295),"0")</f>
        <v>352</v>
      </c>
      <c r="Z297" s="37"/>
      <c r="AA297" s="546"/>
      <c r="AB297" s="546"/>
      <c r="AC297" s="546"/>
    </row>
    <row r="298" spans="1:68" ht="14.25" hidden="1" customHeight="1" x14ac:dyDescent="0.25">
      <c r="A298" s="559" t="s">
        <v>64</v>
      </c>
      <c r="B298" s="554"/>
      <c r="C298" s="554"/>
      <c r="D298" s="554"/>
      <c r="E298" s="554"/>
      <c r="F298" s="554"/>
      <c r="G298" s="554"/>
      <c r="H298" s="554"/>
      <c r="I298" s="554"/>
      <c r="J298" s="554"/>
      <c r="K298" s="554"/>
      <c r="L298" s="554"/>
      <c r="M298" s="554"/>
      <c r="N298" s="554"/>
      <c r="O298" s="554"/>
      <c r="P298" s="554"/>
      <c r="Q298" s="554"/>
      <c r="R298" s="554"/>
      <c r="S298" s="554"/>
      <c r="T298" s="554"/>
      <c r="U298" s="554"/>
      <c r="V298" s="554"/>
      <c r="W298" s="554"/>
      <c r="X298" s="554"/>
      <c r="Y298" s="554"/>
      <c r="Z298" s="554"/>
      <c r="AA298" s="539"/>
      <c r="AB298" s="539"/>
      <c r="AC298" s="539"/>
    </row>
    <row r="299" spans="1:68" ht="27" customHeight="1" x14ac:dyDescent="0.25">
      <c r="A299" s="54" t="s">
        <v>471</v>
      </c>
      <c r="B299" s="54" t="s">
        <v>472</v>
      </c>
      <c r="C299" s="31">
        <v>4301030878</v>
      </c>
      <c r="D299" s="547">
        <v>4607091387193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6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63</v>
      </c>
      <c r="Y299" s="544">
        <f t="shared" ref="Y299:Y305" si="31">IFERROR(IF(X299="",0,CEILING((X299/$H299),1)*$H299),"")</f>
        <v>63</v>
      </c>
      <c r="Z299" s="36">
        <f>IFERROR(IF(Y299=0,"",ROUNDUP(Y299/H299,0)*0.00902),"")</f>
        <v>0.1353</v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66.75</v>
      </c>
      <c r="BN299" s="64">
        <f t="shared" ref="BN299:BN305" si="33">IFERROR(Y299*I299/H299,"0")</f>
        <v>66.75</v>
      </c>
      <c r="BO299" s="64">
        <f t="shared" ref="BO299:BO305" si="34">IFERROR(1/J299*(X299/H299),"0")</f>
        <v>0.11363636363636365</v>
      </c>
      <c r="BP299" s="64">
        <f t="shared" ref="BP299:BP305" si="35">IFERROR(1/J299*(Y299/H299),"0")</f>
        <v>0.11363636363636365</v>
      </c>
    </row>
    <row r="300" spans="1:68" ht="27" customHeight="1" x14ac:dyDescent="0.25">
      <c r="A300" s="54" t="s">
        <v>474</v>
      </c>
      <c r="B300" s="54" t="s">
        <v>475</v>
      </c>
      <c r="C300" s="31">
        <v>4301031153</v>
      </c>
      <c r="D300" s="547">
        <v>4607091387230</v>
      </c>
      <c r="E300" s="548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69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600</v>
      </c>
      <c r="Y300" s="544">
        <f t="shared" si="31"/>
        <v>600.6</v>
      </c>
      <c r="Z300" s="36">
        <f>IFERROR(IF(Y300=0,"",ROUNDUP(Y300/H300,0)*0.00902),"")</f>
        <v>1.28986</v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635.71428571428567</v>
      </c>
      <c r="BN300" s="64">
        <f t="shared" si="33"/>
        <v>636.35</v>
      </c>
      <c r="BO300" s="64">
        <f t="shared" si="34"/>
        <v>1.0822510822510822</v>
      </c>
      <c r="BP300" s="64">
        <f t="shared" si="35"/>
        <v>1.0833333333333333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4301031154</v>
      </c>
      <c r="D301" s="547">
        <v>4607091387292</v>
      </c>
      <c r="E301" s="548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4301031152</v>
      </c>
      <c r="D302" s="547">
        <v>4607091387285</v>
      </c>
      <c r="E302" s="548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70</v>
      </c>
      <c r="Y302" s="544">
        <f t="shared" si="31"/>
        <v>71.400000000000006</v>
      </c>
      <c r="Z302" s="36">
        <f>IFERROR(IF(Y302=0,"",ROUNDUP(Y302/H302,0)*0.00502),"")</f>
        <v>0.17068</v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74.333333333333329</v>
      </c>
      <c r="BN302" s="64">
        <f t="shared" si="33"/>
        <v>75.820000000000007</v>
      </c>
      <c r="BO302" s="64">
        <f t="shared" si="34"/>
        <v>0.14245014245014245</v>
      </c>
      <c r="BP302" s="64">
        <f t="shared" si="35"/>
        <v>0.14529914529914531</v>
      </c>
    </row>
    <row r="303" spans="1:68" ht="27" customHeight="1" x14ac:dyDescent="0.25">
      <c r="A303" s="54" t="s">
        <v>482</v>
      </c>
      <c r="B303" s="54" t="s">
        <v>483</v>
      </c>
      <c r="C303" s="31">
        <v>4301031305</v>
      </c>
      <c r="D303" s="547">
        <v>4607091389845</v>
      </c>
      <c r="E303" s="548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6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46</v>
      </c>
      <c r="Y303" s="544">
        <f t="shared" si="31"/>
        <v>46.2</v>
      </c>
      <c r="Z303" s="36">
        <f>IFERROR(IF(Y303=0,"",ROUNDUP(Y303/H303,0)*0.00502),"")</f>
        <v>0.11044000000000001</v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48.19047619047619</v>
      </c>
      <c r="BN303" s="64">
        <f t="shared" si="33"/>
        <v>48.400000000000006</v>
      </c>
      <c r="BO303" s="64">
        <f t="shared" si="34"/>
        <v>9.361009361009362E-2</v>
      </c>
      <c r="BP303" s="64">
        <f t="shared" si="35"/>
        <v>9.401709401709403E-2</v>
      </c>
    </row>
    <row r="304" spans="1:68" ht="27" hidden="1" customHeight="1" x14ac:dyDescent="0.25">
      <c r="A304" s="54" t="s">
        <v>485</v>
      </c>
      <c r="B304" s="54" t="s">
        <v>486</v>
      </c>
      <c r="C304" s="31">
        <v>4301031306</v>
      </c>
      <c r="D304" s="547">
        <v>4680115882881</v>
      </c>
      <c r="E304" s="548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45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4301031066</v>
      </c>
      <c r="D305" s="547">
        <v>4607091383836</v>
      </c>
      <c r="E305" s="548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6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3">
        <v>66</v>
      </c>
      <c r="Y305" s="544">
        <f t="shared" si="31"/>
        <v>66.600000000000009</v>
      </c>
      <c r="Z305" s="36">
        <f>IFERROR(IF(Y305=0,"",ROUNDUP(Y305/H305,0)*0.00651),"")</f>
        <v>0.24087</v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74.36</v>
      </c>
      <c r="BN305" s="64">
        <f t="shared" si="33"/>
        <v>75.036000000000016</v>
      </c>
      <c r="BO305" s="64">
        <f t="shared" si="34"/>
        <v>0.20146520146520147</v>
      </c>
      <c r="BP305" s="64">
        <f t="shared" si="35"/>
        <v>0.20329670329670335</v>
      </c>
    </row>
    <row r="306" spans="1:68" x14ac:dyDescent="0.2">
      <c r="A306" s="553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5"/>
      <c r="P306" s="561" t="s">
        <v>71</v>
      </c>
      <c r="Q306" s="562"/>
      <c r="R306" s="562"/>
      <c r="S306" s="562"/>
      <c r="T306" s="562"/>
      <c r="U306" s="562"/>
      <c r="V306" s="563"/>
      <c r="W306" s="37" t="s">
        <v>72</v>
      </c>
      <c r="X306" s="545">
        <f>IFERROR(X299/H299,"0")+IFERROR(X300/H300,"0")+IFERROR(X301/H301,"0")+IFERROR(X302/H302,"0")+IFERROR(X303/H303,"0")+IFERROR(X304/H304,"0")+IFERROR(X305/H305,"0")</f>
        <v>249.76190476190476</v>
      </c>
      <c r="Y306" s="545">
        <f>IFERROR(Y299/H299,"0")+IFERROR(Y300/H300,"0")+IFERROR(Y301/H301,"0")+IFERROR(Y302/H302,"0")+IFERROR(Y303/H303,"0")+IFERROR(Y304/H304,"0")+IFERROR(Y305/H305,"0")</f>
        <v>251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1.9471499999999999</v>
      </c>
      <c r="AA306" s="546"/>
      <c r="AB306" s="546"/>
      <c r="AC306" s="546"/>
    </row>
    <row r="307" spans="1:68" x14ac:dyDescent="0.2">
      <c r="A307" s="554"/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5"/>
      <c r="P307" s="561" t="s">
        <v>71</v>
      </c>
      <c r="Q307" s="562"/>
      <c r="R307" s="562"/>
      <c r="S307" s="562"/>
      <c r="T307" s="562"/>
      <c r="U307" s="562"/>
      <c r="V307" s="563"/>
      <c r="W307" s="37" t="s">
        <v>69</v>
      </c>
      <c r="X307" s="545">
        <f>IFERROR(SUM(X299:X305),"0")</f>
        <v>845</v>
      </c>
      <c r="Y307" s="545">
        <f>IFERROR(SUM(Y299:Y305),"0")</f>
        <v>847.80000000000007</v>
      </c>
      <c r="Z307" s="37"/>
      <c r="AA307" s="546"/>
      <c r="AB307" s="546"/>
      <c r="AC307" s="546"/>
    </row>
    <row r="308" spans="1:68" ht="14.25" hidden="1" customHeight="1" x14ac:dyDescent="0.25">
      <c r="A308" s="559" t="s">
        <v>73</v>
      </c>
      <c r="B308" s="554"/>
      <c r="C308" s="554"/>
      <c r="D308" s="554"/>
      <c r="E308" s="554"/>
      <c r="F308" s="554"/>
      <c r="G308" s="554"/>
      <c r="H308" s="554"/>
      <c r="I308" s="554"/>
      <c r="J308" s="554"/>
      <c r="K308" s="554"/>
      <c r="L308" s="554"/>
      <c r="M308" s="554"/>
      <c r="N308" s="554"/>
      <c r="O308" s="554"/>
      <c r="P308" s="554"/>
      <c r="Q308" s="554"/>
      <c r="R308" s="554"/>
      <c r="S308" s="554"/>
      <c r="T308" s="554"/>
      <c r="U308" s="554"/>
      <c r="V308" s="554"/>
      <c r="W308" s="554"/>
      <c r="X308" s="554"/>
      <c r="Y308" s="554"/>
      <c r="Z308" s="554"/>
      <c r="AA308" s="539"/>
      <c r="AB308" s="539"/>
      <c r="AC308" s="539"/>
    </row>
    <row r="309" spans="1:68" ht="27" customHeight="1" x14ac:dyDescent="0.25">
      <c r="A309" s="54" t="s">
        <v>490</v>
      </c>
      <c r="B309" s="54" t="s">
        <v>491</v>
      </c>
      <c r="C309" s="31">
        <v>4301051100</v>
      </c>
      <c r="D309" s="547">
        <v>4607091387766</v>
      </c>
      <c r="E309" s="548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2000</v>
      </c>
      <c r="Y309" s="544">
        <f>IFERROR(IF(X309="",0,CEILING((X309/$H309),1)*$H309),"")</f>
        <v>2004.6</v>
      </c>
      <c r="Z309" s="36">
        <f>IFERROR(IF(Y309=0,"",ROUNDUP(Y309/H309,0)*0.01898),"")</f>
        <v>4.8778600000000001</v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2125.1282051282051</v>
      </c>
      <c r="BN309" s="64">
        <f>IFERROR(Y309*I309/H309,"0")</f>
        <v>2130.0160000000001</v>
      </c>
      <c r="BO309" s="64">
        <f>IFERROR(1/J309*(X309/H309),"0")</f>
        <v>4.0064102564102564</v>
      </c>
      <c r="BP309" s="64">
        <f>IFERROR(1/J309*(Y309/H309),"0")</f>
        <v>4.015625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4301051818</v>
      </c>
      <c r="D310" s="547">
        <v>4607091387957</v>
      </c>
      <c r="E310" s="548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4301051819</v>
      </c>
      <c r="D311" s="547">
        <v>4607091387964</v>
      </c>
      <c r="E311" s="548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499</v>
      </c>
      <c r="B312" s="54" t="s">
        <v>500</v>
      </c>
      <c r="C312" s="31">
        <v>4301051734</v>
      </c>
      <c r="D312" s="547">
        <v>4680115884588</v>
      </c>
      <c r="E312" s="548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67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160</v>
      </c>
      <c r="Y312" s="544">
        <f>IFERROR(IF(X312="",0,CEILING((X312/$H312),1)*$H312),"")</f>
        <v>162</v>
      </c>
      <c r="Z312" s="36">
        <f>IFERROR(IF(Y312=0,"",ROUNDUP(Y312/H312,0)*0.00651),"")</f>
        <v>0.35154000000000002</v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173.12</v>
      </c>
      <c r="BN312" s="64">
        <f>IFERROR(Y312*I312/H312,"0")</f>
        <v>175.28399999999999</v>
      </c>
      <c r="BO312" s="64">
        <f>IFERROR(1/J312*(X312/H312),"0")</f>
        <v>0.29304029304029305</v>
      </c>
      <c r="BP312" s="64">
        <f>IFERROR(1/J312*(Y312/H312),"0")</f>
        <v>0.2967032967032967</v>
      </c>
    </row>
    <row r="313" spans="1:68" x14ac:dyDescent="0.2">
      <c r="A313" s="553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71</v>
      </c>
      <c r="Q313" s="562"/>
      <c r="R313" s="562"/>
      <c r="S313" s="562"/>
      <c r="T313" s="562"/>
      <c r="U313" s="562"/>
      <c r="V313" s="563"/>
      <c r="W313" s="37" t="s">
        <v>72</v>
      </c>
      <c r="X313" s="545">
        <f>IFERROR(X309/H309,"0")+IFERROR(X310/H310,"0")+IFERROR(X311/H311,"0")+IFERROR(X312/H312,"0")</f>
        <v>309.74358974358972</v>
      </c>
      <c r="Y313" s="545">
        <f>IFERROR(Y309/H309,"0")+IFERROR(Y310/H310,"0")+IFERROR(Y311/H311,"0")+IFERROR(Y312/H312,"0")</f>
        <v>311</v>
      </c>
      <c r="Z313" s="545">
        <f>IFERROR(IF(Z309="",0,Z309),"0")+IFERROR(IF(Z310="",0,Z310),"0")+IFERROR(IF(Z311="",0,Z311),"0")+IFERROR(IF(Z312="",0,Z312),"0")</f>
        <v>5.2294</v>
      </c>
      <c r="AA313" s="546"/>
      <c r="AB313" s="546"/>
      <c r="AC313" s="546"/>
    </row>
    <row r="314" spans="1:68" x14ac:dyDescent="0.2">
      <c r="A314" s="554"/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5"/>
      <c r="P314" s="561" t="s">
        <v>71</v>
      </c>
      <c r="Q314" s="562"/>
      <c r="R314" s="562"/>
      <c r="S314" s="562"/>
      <c r="T314" s="562"/>
      <c r="U314" s="562"/>
      <c r="V314" s="563"/>
      <c r="W314" s="37" t="s">
        <v>69</v>
      </c>
      <c r="X314" s="545">
        <f>IFERROR(SUM(X309:X312),"0")</f>
        <v>2160</v>
      </c>
      <c r="Y314" s="545">
        <f>IFERROR(SUM(Y309:Y312),"0")</f>
        <v>2166.6</v>
      </c>
      <c r="Z314" s="37"/>
      <c r="AA314" s="546"/>
      <c r="AB314" s="546"/>
      <c r="AC314" s="546"/>
    </row>
    <row r="315" spans="1:68" ht="14.25" hidden="1" customHeight="1" x14ac:dyDescent="0.25">
      <c r="A315" s="559" t="s">
        <v>164</v>
      </c>
      <c r="B315" s="554"/>
      <c r="C315" s="554"/>
      <c r="D315" s="554"/>
      <c r="E315" s="554"/>
      <c r="F315" s="554"/>
      <c r="G315" s="554"/>
      <c r="H315" s="554"/>
      <c r="I315" s="554"/>
      <c r="J315" s="554"/>
      <c r="K315" s="554"/>
      <c r="L315" s="554"/>
      <c r="M315" s="554"/>
      <c r="N315" s="554"/>
      <c r="O315" s="554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39"/>
      <c r="AB315" s="539"/>
      <c r="AC315" s="539"/>
    </row>
    <row r="316" spans="1:68" ht="27" customHeight="1" x14ac:dyDescent="0.25">
      <c r="A316" s="54" t="s">
        <v>502</v>
      </c>
      <c r="B316" s="54" t="s">
        <v>503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200</v>
      </c>
      <c r="Y316" s="544">
        <f>IFERROR(IF(X316="",0,CEILING((X316/$H316),1)*$H316),"")</f>
        <v>201.60000000000002</v>
      </c>
      <c r="Z316" s="36">
        <f>IFERROR(IF(Y316=0,"",ROUNDUP(Y316/H316,0)*0.01898),"")</f>
        <v>0.45552000000000004</v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211.76190476190476</v>
      </c>
      <c r="BN316" s="64">
        <f>IFERROR(Y316*I316/H316,"0")</f>
        <v>213.45600000000002</v>
      </c>
      <c r="BO316" s="64">
        <f>IFERROR(1/J316*(X316/H316),"0")</f>
        <v>0.37202380952380953</v>
      </c>
      <c r="BP316" s="64">
        <f>IFERROR(1/J316*(Y316/H316),"0")</f>
        <v>0.375</v>
      </c>
    </row>
    <row r="317" spans="1:68" ht="27" customHeight="1" x14ac:dyDescent="0.25">
      <c r="A317" s="54" t="s">
        <v>505</v>
      </c>
      <c r="B317" s="54" t="s">
        <v>506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80</v>
      </c>
      <c r="Y317" s="544">
        <f>IFERROR(IF(X317="",0,CEILING((X317/$H317),1)*$H317),"")</f>
        <v>85.8</v>
      </c>
      <c r="Z317" s="36">
        <f>IFERROR(IF(Y317=0,"",ROUNDUP(Y317/H317,0)*0.01898),"")</f>
        <v>0.20877999999999999</v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85.066666666666663</v>
      </c>
      <c r="BN317" s="64">
        <f>IFERROR(Y317*I317/H317,"0")</f>
        <v>91.234000000000009</v>
      </c>
      <c r="BO317" s="64">
        <f>IFERROR(1/J317*(X317/H317),"0")</f>
        <v>0.16025641025641027</v>
      </c>
      <c r="BP317" s="64">
        <f>IFERROR(1/J317*(Y317/H317),"0")</f>
        <v>0.171875</v>
      </c>
    </row>
    <row r="318" spans="1:68" ht="16.5" customHeight="1" x14ac:dyDescent="0.25">
      <c r="A318" s="54" t="s">
        <v>508</v>
      </c>
      <c r="B318" s="54" t="s">
        <v>509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188</v>
      </c>
      <c r="Y318" s="544">
        <f>IFERROR(IF(X318="",0,CEILING((X318/$H318),1)*$H318),"")</f>
        <v>193.20000000000002</v>
      </c>
      <c r="Z318" s="36">
        <f>IFERROR(IF(Y318=0,"",ROUNDUP(Y318/H318,0)*0.01898),"")</f>
        <v>0.43653999999999998</v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199.05619047619049</v>
      </c>
      <c r="BN318" s="64">
        <f>IFERROR(Y318*I318/H318,"0")</f>
        <v>204.56200000000001</v>
      </c>
      <c r="BO318" s="64">
        <f>IFERROR(1/J318*(X318/H318),"0")</f>
        <v>0.34970238095238093</v>
      </c>
      <c r="BP318" s="64">
        <f>IFERROR(1/J318*(Y318/H318),"0")</f>
        <v>0.359375</v>
      </c>
    </row>
    <row r="319" spans="1:68" x14ac:dyDescent="0.2">
      <c r="A319" s="553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71</v>
      </c>
      <c r="Q319" s="562"/>
      <c r="R319" s="562"/>
      <c r="S319" s="562"/>
      <c r="T319" s="562"/>
      <c r="U319" s="562"/>
      <c r="V319" s="563"/>
      <c r="W319" s="37" t="s">
        <v>72</v>
      </c>
      <c r="X319" s="545">
        <f>IFERROR(X316/H316,"0")+IFERROR(X317/H317,"0")+IFERROR(X318/H318,"0")</f>
        <v>56.446886446886445</v>
      </c>
      <c r="Y319" s="545">
        <f>IFERROR(Y316/H316,"0")+IFERROR(Y317/H317,"0")+IFERROR(Y318/H318,"0")</f>
        <v>58</v>
      </c>
      <c r="Z319" s="545">
        <f>IFERROR(IF(Z316="",0,Z316),"0")+IFERROR(IF(Z317="",0,Z317),"0")+IFERROR(IF(Z318="",0,Z318),"0")</f>
        <v>1.10084</v>
      </c>
      <c r="AA319" s="546"/>
      <c r="AB319" s="546"/>
      <c r="AC319" s="546"/>
    </row>
    <row r="320" spans="1:68" x14ac:dyDescent="0.2">
      <c r="A320" s="554"/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5"/>
      <c r="P320" s="561" t="s">
        <v>71</v>
      </c>
      <c r="Q320" s="562"/>
      <c r="R320" s="562"/>
      <c r="S320" s="562"/>
      <c r="T320" s="562"/>
      <c r="U320" s="562"/>
      <c r="V320" s="563"/>
      <c r="W320" s="37" t="s">
        <v>69</v>
      </c>
      <c r="X320" s="545">
        <f>IFERROR(SUM(X316:X318),"0")</f>
        <v>468</v>
      </c>
      <c r="Y320" s="545">
        <f>IFERROR(SUM(Y316:Y318),"0")</f>
        <v>480.6</v>
      </c>
      <c r="Z320" s="37"/>
      <c r="AA320" s="546"/>
      <c r="AB320" s="546"/>
      <c r="AC320" s="546"/>
    </row>
    <row r="321" spans="1:68" ht="14.25" hidden="1" customHeight="1" x14ac:dyDescent="0.25">
      <c r="A321" s="559" t="s">
        <v>93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39"/>
      <c r="AB321" s="539"/>
      <c r="AC321" s="539"/>
    </row>
    <row r="322" spans="1:68" ht="27" hidden="1" customHeight="1" x14ac:dyDescent="0.25">
      <c r="A322" s="54" t="s">
        <v>511</v>
      </c>
      <c r="B322" s="54" t="s">
        <v>512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11" t="s">
        <v>516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26</v>
      </c>
      <c r="Y324" s="544">
        <f>IFERROR(IF(X324="",0,CEILING((X324/$H324),1)*$H324),"")</f>
        <v>28.049999999999997</v>
      </c>
      <c r="Z324" s="36">
        <f>IFERROR(IF(Y324=0,"",ROUNDUP(Y324/H324,0)*0.00651),"")</f>
        <v>7.1610000000000007E-2</v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30.129411764705885</v>
      </c>
      <c r="BN324" s="64">
        <f>IFERROR(Y324*I324/H324,"0")</f>
        <v>32.505000000000003</v>
      </c>
      <c r="BO324" s="64">
        <f>IFERROR(1/J324*(X324/H324),"0")</f>
        <v>5.6022408963585443E-2</v>
      </c>
      <c r="BP324" s="64">
        <f>IFERROR(1/J324*(Y324/H324),"0")</f>
        <v>6.0439560439560447E-2</v>
      </c>
    </row>
    <row r="325" spans="1:68" ht="27" customHeight="1" x14ac:dyDescent="0.25">
      <c r="A325" s="54" t="s">
        <v>520</v>
      </c>
      <c r="B325" s="54" t="s">
        <v>521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34</v>
      </c>
      <c r="Y325" s="544">
        <f>IFERROR(IF(X325="",0,CEILING((X325/$H325),1)*$H325),"")</f>
        <v>35.699999999999996</v>
      </c>
      <c r="Z325" s="36">
        <f>IFERROR(IF(Y325=0,"",ROUNDUP(Y325/H325,0)*0.00651),"")</f>
        <v>9.1139999999999999E-2</v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38.400000000000006</v>
      </c>
      <c r="BN325" s="64">
        <f>IFERROR(Y325*I325/H325,"0")</f>
        <v>40.32</v>
      </c>
      <c r="BO325" s="64">
        <f>IFERROR(1/J325*(X325/H325),"0")</f>
        <v>7.3260073260073263E-2</v>
      </c>
      <c r="BP325" s="64">
        <f>IFERROR(1/J325*(Y325/H325),"0")</f>
        <v>7.6923076923076927E-2</v>
      </c>
    </row>
    <row r="326" spans="1:68" x14ac:dyDescent="0.2">
      <c r="A326" s="553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71</v>
      </c>
      <c r="Q326" s="562"/>
      <c r="R326" s="562"/>
      <c r="S326" s="562"/>
      <c r="T326" s="562"/>
      <c r="U326" s="562"/>
      <c r="V326" s="563"/>
      <c r="W326" s="37" t="s">
        <v>72</v>
      </c>
      <c r="X326" s="545">
        <f>IFERROR(X322/H322,"0")+IFERROR(X323/H323,"0")+IFERROR(X324/H324,"0")+IFERROR(X325/H325,"0")</f>
        <v>23.529411764705884</v>
      </c>
      <c r="Y326" s="545">
        <f>IFERROR(Y322/H322,"0")+IFERROR(Y323/H323,"0")+IFERROR(Y324/H324,"0")+IFERROR(Y325/H325,"0")</f>
        <v>25</v>
      </c>
      <c r="Z326" s="545">
        <f>IFERROR(IF(Z322="",0,Z322),"0")+IFERROR(IF(Z323="",0,Z323),"0")+IFERROR(IF(Z324="",0,Z324),"0")+IFERROR(IF(Z325="",0,Z325),"0")</f>
        <v>0.16275000000000001</v>
      </c>
      <c r="AA326" s="546"/>
      <c r="AB326" s="546"/>
      <c r="AC326" s="546"/>
    </row>
    <row r="327" spans="1:68" x14ac:dyDescent="0.2">
      <c r="A327" s="554"/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5"/>
      <c r="P327" s="561" t="s">
        <v>71</v>
      </c>
      <c r="Q327" s="562"/>
      <c r="R327" s="562"/>
      <c r="S327" s="562"/>
      <c r="T327" s="562"/>
      <c r="U327" s="562"/>
      <c r="V327" s="563"/>
      <c r="W327" s="37" t="s">
        <v>69</v>
      </c>
      <c r="X327" s="545">
        <f>IFERROR(SUM(X322:X325),"0")</f>
        <v>60</v>
      </c>
      <c r="Y327" s="545">
        <f>IFERROR(SUM(Y322:Y325),"0")</f>
        <v>63.749999999999993</v>
      </c>
      <c r="Z327" s="37"/>
      <c r="AA327" s="546"/>
      <c r="AB327" s="546"/>
      <c r="AC327" s="546"/>
    </row>
    <row r="328" spans="1:68" ht="14.25" hidden="1" customHeight="1" x14ac:dyDescent="0.25">
      <c r="A328" s="559" t="s">
        <v>522</v>
      </c>
      <c r="B328" s="554"/>
      <c r="C328" s="554"/>
      <c r="D328" s="554"/>
      <c r="E328" s="554"/>
      <c r="F328" s="554"/>
      <c r="G328" s="554"/>
      <c r="H328" s="554"/>
      <c r="I328" s="554"/>
      <c r="J328" s="554"/>
      <c r="K328" s="554"/>
      <c r="L328" s="554"/>
      <c r="M328" s="554"/>
      <c r="N328" s="554"/>
      <c r="O328" s="554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39"/>
      <c r="AB328" s="539"/>
      <c r="AC328" s="539"/>
    </row>
    <row r="329" spans="1:68" ht="16.5" hidden="1" customHeight="1" x14ac:dyDescent="0.25">
      <c r="A329" s="54" t="s">
        <v>523</v>
      </c>
      <c r="B329" s="54" t="s">
        <v>524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6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527</v>
      </c>
      <c r="B330" s="54" t="s">
        <v>528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6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529</v>
      </c>
      <c r="B331" s="54" t="s">
        <v>530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62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53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71</v>
      </c>
      <c r="Q332" s="562"/>
      <c r="R332" s="562"/>
      <c r="S332" s="562"/>
      <c r="T332" s="562"/>
      <c r="U332" s="562"/>
      <c r="V332" s="563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hidden="1" x14ac:dyDescent="0.2">
      <c r="A333" s="554"/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5"/>
      <c r="P333" s="561" t="s">
        <v>71</v>
      </c>
      <c r="Q333" s="562"/>
      <c r="R333" s="562"/>
      <c r="S333" s="562"/>
      <c r="T333" s="562"/>
      <c r="U333" s="562"/>
      <c r="V333" s="563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hidden="1" customHeight="1" x14ac:dyDescent="0.25">
      <c r="A334" s="558" t="s">
        <v>531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8"/>
      <c r="AB334" s="538"/>
      <c r="AC334" s="538"/>
    </row>
    <row r="335" spans="1:68" ht="14.25" hidden="1" customHeight="1" x14ac:dyDescent="0.25">
      <c r="A335" s="559" t="s">
        <v>73</v>
      </c>
      <c r="B335" s="554"/>
      <c r="C335" s="554"/>
      <c r="D335" s="554"/>
      <c r="E335" s="554"/>
      <c r="F335" s="554"/>
      <c r="G335" s="554"/>
      <c r="H335" s="554"/>
      <c r="I335" s="554"/>
      <c r="J335" s="554"/>
      <c r="K335" s="554"/>
      <c r="L335" s="554"/>
      <c r="M335" s="554"/>
      <c r="N335" s="554"/>
      <c r="O335" s="554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39"/>
      <c r="AB335" s="539"/>
      <c r="AC335" s="539"/>
    </row>
    <row r="336" spans="1:68" ht="27" hidden="1" customHeight="1" x14ac:dyDescent="0.25">
      <c r="A336" s="54" t="s">
        <v>532</v>
      </c>
      <c r="B336" s="54" t="s">
        <v>533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377</v>
      </c>
      <c r="Y337" s="544">
        <f>IFERROR(IF(X337="",0,CEILING((X337/$H337),1)*$H337),"")</f>
        <v>378</v>
      </c>
      <c r="Z337" s="36">
        <f>IFERROR(IF(Y337=0,"",ROUNDUP(Y337/H337,0)*0.00651),"")</f>
        <v>1.1718</v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422.23999999999995</v>
      </c>
      <c r="BN337" s="64">
        <f>IFERROR(Y337*I337/H337,"0")</f>
        <v>423.35999999999996</v>
      </c>
      <c r="BO337" s="64">
        <f>IFERROR(1/J337*(X337/H337),"0")</f>
        <v>0.98639455782312935</v>
      </c>
      <c r="BP337" s="64">
        <f>IFERROR(1/J337*(Y337/H337),"0")</f>
        <v>0.98901098901098905</v>
      </c>
    </row>
    <row r="338" spans="1:68" ht="27" customHeight="1" x14ac:dyDescent="0.25">
      <c r="A338" s="54" t="s">
        <v>538</v>
      </c>
      <c r="B338" s="54" t="s">
        <v>539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115</v>
      </c>
      <c r="Y338" s="544">
        <f>IFERROR(IF(X338="",0,CEILING((X338/$H338),1)*$H338),"")</f>
        <v>115.5</v>
      </c>
      <c r="Z338" s="36">
        <f>IFERROR(IF(Y338=0,"",ROUNDUP(Y338/H338,0)*0.00651),"")</f>
        <v>0.35805000000000003</v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128.14285714285711</v>
      </c>
      <c r="BN338" s="64">
        <f>IFERROR(Y338*I338/H338,"0")</f>
        <v>128.69999999999999</v>
      </c>
      <c r="BO338" s="64">
        <f>IFERROR(1/J338*(X338/H338),"0")</f>
        <v>0.30088958660387233</v>
      </c>
      <c r="BP338" s="64">
        <f>IFERROR(1/J338*(Y338/H338),"0")</f>
        <v>0.30219780219780223</v>
      </c>
    </row>
    <row r="339" spans="1:68" x14ac:dyDescent="0.2">
      <c r="A339" s="553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71</v>
      </c>
      <c r="Q339" s="562"/>
      <c r="R339" s="562"/>
      <c r="S339" s="562"/>
      <c r="T339" s="562"/>
      <c r="U339" s="562"/>
      <c r="V339" s="563"/>
      <c r="W339" s="37" t="s">
        <v>72</v>
      </c>
      <c r="X339" s="545">
        <f>IFERROR(X336/H336,"0")+IFERROR(X337/H337,"0")+IFERROR(X338/H338,"0")</f>
        <v>234.28571428571428</v>
      </c>
      <c r="Y339" s="545">
        <f>IFERROR(Y336/H336,"0")+IFERROR(Y337/H337,"0")+IFERROR(Y338/H338,"0")</f>
        <v>235</v>
      </c>
      <c r="Z339" s="545">
        <f>IFERROR(IF(Z336="",0,Z336),"0")+IFERROR(IF(Z337="",0,Z337),"0")+IFERROR(IF(Z338="",0,Z338),"0")</f>
        <v>1.5298499999999999</v>
      </c>
      <c r="AA339" s="546"/>
      <c r="AB339" s="546"/>
      <c r="AC339" s="546"/>
    </row>
    <row r="340" spans="1:68" x14ac:dyDescent="0.2">
      <c r="A340" s="554"/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5"/>
      <c r="P340" s="561" t="s">
        <v>71</v>
      </c>
      <c r="Q340" s="562"/>
      <c r="R340" s="562"/>
      <c r="S340" s="562"/>
      <c r="T340" s="562"/>
      <c r="U340" s="562"/>
      <c r="V340" s="563"/>
      <c r="W340" s="37" t="s">
        <v>69</v>
      </c>
      <c r="X340" s="545">
        <f>IFERROR(SUM(X336:X338),"0")</f>
        <v>492</v>
      </c>
      <c r="Y340" s="545">
        <f>IFERROR(SUM(Y336:Y338),"0")</f>
        <v>493.5</v>
      </c>
      <c r="Z340" s="37"/>
      <c r="AA340" s="546"/>
      <c r="AB340" s="546"/>
      <c r="AC340" s="546"/>
    </row>
    <row r="341" spans="1:68" ht="27.75" hidden="1" customHeight="1" x14ac:dyDescent="0.2">
      <c r="A341" s="570" t="s">
        <v>541</v>
      </c>
      <c r="B341" s="571"/>
      <c r="C341" s="571"/>
      <c r="D341" s="571"/>
      <c r="E341" s="571"/>
      <c r="F341" s="571"/>
      <c r="G341" s="571"/>
      <c r="H341" s="571"/>
      <c r="I341" s="571"/>
      <c r="J341" s="571"/>
      <c r="K341" s="571"/>
      <c r="L341" s="571"/>
      <c r="M341" s="571"/>
      <c r="N341" s="571"/>
      <c r="O341" s="571"/>
      <c r="P341" s="571"/>
      <c r="Q341" s="571"/>
      <c r="R341" s="571"/>
      <c r="S341" s="571"/>
      <c r="T341" s="571"/>
      <c r="U341" s="571"/>
      <c r="V341" s="571"/>
      <c r="W341" s="571"/>
      <c r="X341" s="571"/>
      <c r="Y341" s="571"/>
      <c r="Z341" s="571"/>
      <c r="AA341" s="48"/>
      <c r="AB341" s="48"/>
      <c r="AC341" s="48"/>
    </row>
    <row r="342" spans="1:68" ht="16.5" hidden="1" customHeight="1" x14ac:dyDescent="0.25">
      <c r="A342" s="558" t="s">
        <v>542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8"/>
      <c r="AB342" s="538"/>
      <c r="AC342" s="538"/>
    </row>
    <row r="343" spans="1:68" ht="14.25" hidden="1" customHeight="1" x14ac:dyDescent="0.25">
      <c r="A343" s="559" t="s">
        <v>101</v>
      </c>
      <c r="B343" s="554"/>
      <c r="C343" s="554"/>
      <c r="D343" s="554"/>
      <c r="E343" s="554"/>
      <c r="F343" s="554"/>
      <c r="G343" s="554"/>
      <c r="H343" s="554"/>
      <c r="I343" s="554"/>
      <c r="J343" s="554"/>
      <c r="K343" s="554"/>
      <c r="L343" s="554"/>
      <c r="M343" s="554"/>
      <c r="N343" s="554"/>
      <c r="O343" s="554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39"/>
      <c r="AB343" s="539"/>
      <c r="AC343" s="539"/>
    </row>
    <row r="344" spans="1:68" ht="37.5" customHeight="1" x14ac:dyDescent="0.25">
      <c r="A344" s="54" t="s">
        <v>543</v>
      </c>
      <c r="B344" s="54" t="s">
        <v>544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79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300</v>
      </c>
      <c r="Y344" s="544">
        <f t="shared" ref="Y344:Y350" si="36">IFERROR(IF(X344="",0,CEILING((X344/$H344),1)*$H344),"")</f>
        <v>300</v>
      </c>
      <c r="Z344" s="36">
        <f>IFERROR(IF(Y344=0,"",ROUNDUP(Y344/H344,0)*0.02175),"")</f>
        <v>0.43499999999999994</v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309.39999999999998</v>
      </c>
      <c r="BN344" s="64">
        <f t="shared" ref="BN344:BN350" si="38">IFERROR(Y344*I344/H344,"0")</f>
        <v>309.39999999999998</v>
      </c>
      <c r="BO344" s="64">
        <f t="shared" ref="BO344:BO350" si="39">IFERROR(1/J344*(X344/H344),"0")</f>
        <v>0.41666666666666663</v>
      </c>
      <c r="BP344" s="64">
        <f t="shared" ref="BP344:BP350" si="40">IFERROR(1/J344*(Y344/H344),"0")</f>
        <v>0.41666666666666663</v>
      </c>
    </row>
    <row r="345" spans="1:68" ht="27" customHeight="1" x14ac:dyDescent="0.25">
      <c r="A345" s="54" t="s">
        <v>546</v>
      </c>
      <c r="B345" s="54" t="s">
        <v>547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400</v>
      </c>
      <c r="Y345" s="544">
        <f t="shared" si="36"/>
        <v>405</v>
      </c>
      <c r="Z345" s="36">
        <f>IFERROR(IF(Y345=0,"",ROUNDUP(Y345/H345,0)*0.02175),"")</f>
        <v>0.58724999999999994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412.53333333333336</v>
      </c>
      <c r="BN345" s="64">
        <f t="shared" si="38"/>
        <v>417.69</v>
      </c>
      <c r="BO345" s="64">
        <f t="shared" si="39"/>
        <v>0.55555555555555558</v>
      </c>
      <c r="BP345" s="64">
        <f t="shared" si="40"/>
        <v>0.5625</v>
      </c>
    </row>
    <row r="346" spans="1:68" ht="37.5" hidden="1" customHeight="1" x14ac:dyDescent="0.25">
      <c r="A346" s="54" t="s">
        <v>549</v>
      </c>
      <c r="B346" s="54" t="s">
        <v>550</v>
      </c>
      <c r="C346" s="31">
        <v>4301011867</v>
      </c>
      <c r="D346" s="547">
        <v>4680115884830</v>
      </c>
      <c r="E346" s="548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8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4301012215</v>
      </c>
      <c r="D347" s="547">
        <v>4680115887046</v>
      </c>
      <c r="E347" s="548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821" t="s">
        <v>554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1165</v>
      </c>
      <c r="Y347" s="544">
        <f t="shared" si="36"/>
        <v>1170</v>
      </c>
      <c r="Z347" s="36">
        <f>IFERROR(IF(Y347=0,"",ROUNDUP(Y347/H347,0)*0.02175),"")</f>
        <v>1.6964999999999999</v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1201.5033333333333</v>
      </c>
      <c r="BN347" s="64">
        <f t="shared" si="38"/>
        <v>1206.6600000000001</v>
      </c>
      <c r="BO347" s="64">
        <f t="shared" si="39"/>
        <v>1.6180555555555556</v>
      </c>
      <c r="BP347" s="64">
        <f t="shared" si="40"/>
        <v>1.625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559</v>
      </c>
      <c r="B349" s="54" t="s">
        <v>560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50</v>
      </c>
      <c r="Y349" s="544">
        <f t="shared" si="36"/>
        <v>50</v>
      </c>
      <c r="Z349" s="36">
        <f>IFERROR(IF(Y349=0,"",ROUNDUP(Y349/H349,0)*0.00902),"")</f>
        <v>9.0200000000000002E-2</v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51.9</v>
      </c>
      <c r="BN349" s="64">
        <f t="shared" si="38"/>
        <v>51.9</v>
      </c>
      <c r="BO349" s="64">
        <f t="shared" si="39"/>
        <v>7.575757575757576E-2</v>
      </c>
      <c r="BP349" s="64">
        <f t="shared" si="40"/>
        <v>7.575757575757576E-2</v>
      </c>
    </row>
    <row r="350" spans="1:68" ht="37.5" customHeight="1" x14ac:dyDescent="0.25">
      <c r="A350" s="54" t="s">
        <v>561</v>
      </c>
      <c r="B350" s="54" t="s">
        <v>562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100</v>
      </c>
      <c r="Y350" s="544">
        <f t="shared" si="36"/>
        <v>100</v>
      </c>
      <c r="Z350" s="36">
        <f>IFERROR(IF(Y350=0,"",ROUNDUP(Y350/H350,0)*0.00902),"")</f>
        <v>0.1804</v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103.8</v>
      </c>
      <c r="BN350" s="64">
        <f t="shared" si="38"/>
        <v>103.8</v>
      </c>
      <c r="BO350" s="64">
        <f t="shared" si="39"/>
        <v>0.15151515151515152</v>
      </c>
      <c r="BP350" s="64">
        <f t="shared" si="40"/>
        <v>0.15151515151515152</v>
      </c>
    </row>
    <row r="351" spans="1:68" x14ac:dyDescent="0.2">
      <c r="A351" s="553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71</v>
      </c>
      <c r="Q351" s="562"/>
      <c r="R351" s="562"/>
      <c r="S351" s="562"/>
      <c r="T351" s="562"/>
      <c r="U351" s="562"/>
      <c r="V351" s="563"/>
      <c r="W351" s="37" t="s">
        <v>72</v>
      </c>
      <c r="X351" s="545">
        <f>IFERROR(X344/H344,"0")+IFERROR(X345/H345,"0")+IFERROR(X346/H346,"0")+IFERROR(X347/H347,"0")+IFERROR(X348/H348,"0")+IFERROR(X349/H349,"0")+IFERROR(X350/H350,"0")</f>
        <v>154.33333333333334</v>
      </c>
      <c r="Y351" s="545">
        <f>IFERROR(Y344/H344,"0")+IFERROR(Y345/H345,"0")+IFERROR(Y346/H346,"0")+IFERROR(Y347/H347,"0")+IFERROR(Y348/H348,"0")+IFERROR(Y349/H349,"0")+IFERROR(Y350/H350,"0")</f>
        <v>155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2.98935</v>
      </c>
      <c r="AA351" s="546"/>
      <c r="AB351" s="546"/>
      <c r="AC351" s="546"/>
    </row>
    <row r="352" spans="1:68" x14ac:dyDescent="0.2">
      <c r="A352" s="554"/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5"/>
      <c r="P352" s="561" t="s">
        <v>71</v>
      </c>
      <c r="Q352" s="562"/>
      <c r="R352" s="562"/>
      <c r="S352" s="562"/>
      <c r="T352" s="562"/>
      <c r="U352" s="562"/>
      <c r="V352" s="563"/>
      <c r="W352" s="37" t="s">
        <v>69</v>
      </c>
      <c r="X352" s="545">
        <f>IFERROR(SUM(X344:X350),"0")</f>
        <v>2015</v>
      </c>
      <c r="Y352" s="545">
        <f>IFERROR(SUM(Y344:Y350),"0")</f>
        <v>2025</v>
      </c>
      <c r="Z352" s="37"/>
      <c r="AA352" s="546"/>
      <c r="AB352" s="546"/>
      <c r="AC352" s="546"/>
    </row>
    <row r="353" spans="1:68" ht="14.25" hidden="1" customHeight="1" x14ac:dyDescent="0.25">
      <c r="A353" s="559" t="s">
        <v>136</v>
      </c>
      <c r="B353" s="554"/>
      <c r="C353" s="554"/>
      <c r="D353" s="554"/>
      <c r="E353" s="554"/>
      <c r="F353" s="554"/>
      <c r="G353" s="554"/>
      <c r="H353" s="554"/>
      <c r="I353" s="554"/>
      <c r="J353" s="554"/>
      <c r="K353" s="554"/>
      <c r="L353" s="554"/>
      <c r="M353" s="554"/>
      <c r="N353" s="554"/>
      <c r="O353" s="554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39"/>
      <c r="AB353" s="539"/>
      <c r="AC353" s="539"/>
    </row>
    <row r="354" spans="1:68" ht="27" customHeight="1" x14ac:dyDescent="0.25">
      <c r="A354" s="54" t="s">
        <v>563</v>
      </c>
      <c r="B354" s="54" t="s">
        <v>564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1000</v>
      </c>
      <c r="Y354" s="544">
        <f>IFERROR(IF(X354="",0,CEILING((X354/$H354),1)*$H354),"")</f>
        <v>1005</v>
      </c>
      <c r="Z354" s="36">
        <f>IFERROR(IF(Y354=0,"",ROUNDUP(Y354/H354,0)*0.02175),"")</f>
        <v>1.4572499999999999</v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1031.3333333333333</v>
      </c>
      <c r="BN354" s="64">
        <f>IFERROR(Y354*I354/H354,"0")</f>
        <v>1036.49</v>
      </c>
      <c r="BO354" s="64">
        <f>IFERROR(1/J354*(X354/H354),"0")</f>
        <v>1.3888888888888888</v>
      </c>
      <c r="BP354" s="64">
        <f>IFERROR(1/J354*(Y354/H354),"0")</f>
        <v>1.3958333333333333</v>
      </c>
    </row>
    <row r="355" spans="1:68" ht="16.5" hidden="1" customHeight="1" x14ac:dyDescent="0.25">
      <c r="A355" s="54" t="s">
        <v>566</v>
      </c>
      <c r="B355" s="54" t="s">
        <v>567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3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71</v>
      </c>
      <c r="Q356" s="562"/>
      <c r="R356" s="562"/>
      <c r="S356" s="562"/>
      <c r="T356" s="562"/>
      <c r="U356" s="562"/>
      <c r="V356" s="563"/>
      <c r="W356" s="37" t="s">
        <v>72</v>
      </c>
      <c r="X356" s="545">
        <f>IFERROR(X354/H354,"0")+IFERROR(X355/H355,"0")</f>
        <v>66.666666666666671</v>
      </c>
      <c r="Y356" s="545">
        <f>IFERROR(Y354/H354,"0")+IFERROR(Y355/H355,"0")</f>
        <v>67</v>
      </c>
      <c r="Z356" s="545">
        <f>IFERROR(IF(Z354="",0,Z354),"0")+IFERROR(IF(Z355="",0,Z355),"0")</f>
        <v>1.4572499999999999</v>
      </c>
      <c r="AA356" s="546"/>
      <c r="AB356" s="546"/>
      <c r="AC356" s="546"/>
    </row>
    <row r="357" spans="1:68" x14ac:dyDescent="0.2">
      <c r="A357" s="554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5"/>
      <c r="P357" s="561" t="s">
        <v>71</v>
      </c>
      <c r="Q357" s="562"/>
      <c r="R357" s="562"/>
      <c r="S357" s="562"/>
      <c r="T357" s="562"/>
      <c r="U357" s="562"/>
      <c r="V357" s="563"/>
      <c r="W357" s="37" t="s">
        <v>69</v>
      </c>
      <c r="X357" s="545">
        <f>IFERROR(SUM(X354:X355),"0")</f>
        <v>1000</v>
      </c>
      <c r="Y357" s="545">
        <f>IFERROR(SUM(Y354:Y355),"0")</f>
        <v>1005</v>
      </c>
      <c r="Z357" s="37"/>
      <c r="AA357" s="546"/>
      <c r="AB357" s="546"/>
      <c r="AC357" s="546"/>
    </row>
    <row r="358" spans="1:68" ht="14.25" hidden="1" customHeight="1" x14ac:dyDescent="0.25">
      <c r="A358" s="559" t="s">
        <v>73</v>
      </c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39"/>
      <c r="AB358" s="539"/>
      <c r="AC358" s="539"/>
    </row>
    <row r="359" spans="1:68" ht="27" hidden="1" customHeight="1" x14ac:dyDescent="0.25">
      <c r="A359" s="54" t="s">
        <v>568</v>
      </c>
      <c r="B359" s="54" t="s">
        <v>569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571</v>
      </c>
      <c r="B360" s="54" t="s">
        <v>572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3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553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71</v>
      </c>
      <c r="Q361" s="562"/>
      <c r="R361" s="562"/>
      <c r="S361" s="562"/>
      <c r="T361" s="562"/>
      <c r="U361" s="562"/>
      <c r="V361" s="563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hidden="1" x14ac:dyDescent="0.2">
      <c r="A362" s="554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5"/>
      <c r="P362" s="561" t="s">
        <v>71</v>
      </c>
      <c r="Q362" s="562"/>
      <c r="R362" s="562"/>
      <c r="S362" s="562"/>
      <c r="T362" s="562"/>
      <c r="U362" s="562"/>
      <c r="V362" s="563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hidden="1" customHeight="1" x14ac:dyDescent="0.25">
      <c r="A363" s="559" t="s">
        <v>164</v>
      </c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39"/>
      <c r="AB363" s="539"/>
      <c r="AC363" s="539"/>
    </row>
    <row r="364" spans="1:68" ht="16.5" hidden="1" customHeight="1" x14ac:dyDescent="0.25">
      <c r="A364" s="54" t="s">
        <v>574</v>
      </c>
      <c r="B364" s="54" t="s">
        <v>575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53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71</v>
      </c>
      <c r="Q365" s="562"/>
      <c r="R365" s="562"/>
      <c r="S365" s="562"/>
      <c r="T365" s="562"/>
      <c r="U365" s="562"/>
      <c r="V365" s="563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hidden="1" x14ac:dyDescent="0.2">
      <c r="A366" s="554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5"/>
      <c r="P366" s="561" t="s">
        <v>71</v>
      </c>
      <c r="Q366" s="562"/>
      <c r="R366" s="562"/>
      <c r="S366" s="562"/>
      <c r="T366" s="562"/>
      <c r="U366" s="562"/>
      <c r="V366" s="563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hidden="1" customHeight="1" x14ac:dyDescent="0.25">
      <c r="A367" s="558" t="s">
        <v>577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8"/>
      <c r="AB367" s="538"/>
      <c r="AC367" s="538"/>
    </row>
    <row r="368" spans="1:68" ht="14.25" hidden="1" customHeight="1" x14ac:dyDescent="0.25">
      <c r="A368" s="559" t="s">
        <v>101</v>
      </c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39"/>
      <c r="AB368" s="539"/>
      <c r="AC368" s="539"/>
    </row>
    <row r="369" spans="1:68" ht="37.5" hidden="1" customHeight="1" x14ac:dyDescent="0.25">
      <c r="A369" s="54" t="s">
        <v>578</v>
      </c>
      <c r="B369" s="54" t="s">
        <v>579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hidden="1" customHeight="1" x14ac:dyDescent="0.25">
      <c r="A370" s="54" t="s">
        <v>581</v>
      </c>
      <c r="B370" s="54" t="s">
        <v>582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53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71</v>
      </c>
      <c r="Q371" s="562"/>
      <c r="R371" s="562"/>
      <c r="S371" s="562"/>
      <c r="T371" s="562"/>
      <c r="U371" s="562"/>
      <c r="V371" s="563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hidden="1" x14ac:dyDescent="0.2">
      <c r="A372" s="554"/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5"/>
      <c r="P372" s="561" t="s">
        <v>71</v>
      </c>
      <c r="Q372" s="562"/>
      <c r="R372" s="562"/>
      <c r="S372" s="562"/>
      <c r="T372" s="562"/>
      <c r="U372" s="562"/>
      <c r="V372" s="563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hidden="1" customHeight="1" x14ac:dyDescent="0.25">
      <c r="A373" s="559" t="s">
        <v>64</v>
      </c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39"/>
      <c r="AB373" s="539"/>
      <c r="AC373" s="539"/>
    </row>
    <row r="374" spans="1:68" ht="27" hidden="1" customHeight="1" x14ac:dyDescent="0.25">
      <c r="A374" s="54" t="s">
        <v>583</v>
      </c>
      <c r="B374" s="54" t="s">
        <v>584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583</v>
      </c>
      <c r="B375" s="54" t="s">
        <v>586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4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53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71</v>
      </c>
      <c r="Q376" s="562"/>
      <c r="R376" s="562"/>
      <c r="S376" s="562"/>
      <c r="T376" s="562"/>
      <c r="U376" s="562"/>
      <c r="V376" s="563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hidden="1" x14ac:dyDescent="0.2">
      <c r="A377" s="554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5"/>
      <c r="P377" s="561" t="s">
        <v>71</v>
      </c>
      <c r="Q377" s="562"/>
      <c r="R377" s="562"/>
      <c r="S377" s="562"/>
      <c r="T377" s="562"/>
      <c r="U377" s="562"/>
      <c r="V377" s="563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hidden="1" customHeight="1" x14ac:dyDescent="0.25">
      <c r="A378" s="559" t="s">
        <v>73</v>
      </c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39"/>
      <c r="AB378" s="539"/>
      <c r="AC378" s="539"/>
    </row>
    <row r="379" spans="1:68" ht="27" customHeight="1" x14ac:dyDescent="0.25">
      <c r="A379" s="54" t="s">
        <v>588</v>
      </c>
      <c r="B379" s="54" t="s">
        <v>589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95</v>
      </c>
      <c r="Y379" s="544">
        <f>IFERROR(IF(X379="",0,CEILING((X379/$H379),1)*$H379),"")</f>
        <v>99</v>
      </c>
      <c r="Z379" s="36">
        <f>IFERROR(IF(Y379=0,"",ROUNDUP(Y379/H379,0)*0.01898),"")</f>
        <v>0.20877999999999999</v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100.21444444444444</v>
      </c>
      <c r="BN379" s="64">
        <f>IFERROR(Y379*I379/H379,"0")</f>
        <v>104.434</v>
      </c>
      <c r="BO379" s="64">
        <f>IFERROR(1/J379*(X379/H379),"0")</f>
        <v>0.16493055555555555</v>
      </c>
      <c r="BP379" s="64">
        <f>IFERROR(1/J379*(Y379/H379),"0")</f>
        <v>0.171875</v>
      </c>
    </row>
    <row r="380" spans="1:68" ht="27" customHeight="1" x14ac:dyDescent="0.25">
      <c r="A380" s="54" t="s">
        <v>591</v>
      </c>
      <c r="B380" s="54" t="s">
        <v>592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72</v>
      </c>
      <c r="Y380" s="544">
        <f>IFERROR(IF(X380="",0,CEILING((X380/$H380),1)*$H380),"")</f>
        <v>72</v>
      </c>
      <c r="Z380" s="36">
        <f>IFERROR(IF(Y380=0,"",ROUNDUP(Y380/H380,0)*0.00651),"")</f>
        <v>0.1953</v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79.920000000000016</v>
      </c>
      <c r="BN380" s="64">
        <f>IFERROR(Y380*I380/H380,"0")</f>
        <v>79.920000000000016</v>
      </c>
      <c r="BO380" s="64">
        <f>IFERROR(1/J380*(X380/H380),"0")</f>
        <v>0.16483516483516486</v>
      </c>
      <c r="BP380" s="64">
        <f>IFERROR(1/J380*(Y380/H380),"0")</f>
        <v>0.16483516483516486</v>
      </c>
    </row>
    <row r="381" spans="1:68" x14ac:dyDescent="0.2">
      <c r="A381" s="553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71</v>
      </c>
      <c r="Q381" s="562"/>
      <c r="R381" s="562"/>
      <c r="S381" s="562"/>
      <c r="T381" s="562"/>
      <c r="U381" s="562"/>
      <c r="V381" s="563"/>
      <c r="W381" s="37" t="s">
        <v>72</v>
      </c>
      <c r="X381" s="545">
        <f>IFERROR(X379/H379,"0")+IFERROR(X380/H380,"0")</f>
        <v>40.555555555555557</v>
      </c>
      <c r="Y381" s="545">
        <f>IFERROR(Y379/H379,"0")+IFERROR(Y380/H380,"0")</f>
        <v>41</v>
      </c>
      <c r="Z381" s="545">
        <f>IFERROR(IF(Z379="",0,Z379),"0")+IFERROR(IF(Z380="",0,Z380),"0")</f>
        <v>0.40407999999999999</v>
      </c>
      <c r="AA381" s="546"/>
      <c r="AB381" s="546"/>
      <c r="AC381" s="546"/>
    </row>
    <row r="382" spans="1:68" x14ac:dyDescent="0.2">
      <c r="A382" s="554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5"/>
      <c r="P382" s="561" t="s">
        <v>71</v>
      </c>
      <c r="Q382" s="562"/>
      <c r="R382" s="562"/>
      <c r="S382" s="562"/>
      <c r="T382" s="562"/>
      <c r="U382" s="562"/>
      <c r="V382" s="563"/>
      <c r="W382" s="37" t="s">
        <v>69</v>
      </c>
      <c r="X382" s="545">
        <f>IFERROR(SUM(X379:X380),"0")</f>
        <v>167</v>
      </c>
      <c r="Y382" s="545">
        <f>IFERROR(SUM(Y379:Y380),"0")</f>
        <v>171</v>
      </c>
      <c r="Z382" s="37"/>
      <c r="AA382" s="546"/>
      <c r="AB382" s="546"/>
      <c r="AC382" s="546"/>
    </row>
    <row r="383" spans="1:68" ht="27.75" hidden="1" customHeight="1" x14ac:dyDescent="0.2">
      <c r="A383" s="570" t="s">
        <v>593</v>
      </c>
      <c r="B383" s="571"/>
      <c r="C383" s="571"/>
      <c r="D383" s="571"/>
      <c r="E383" s="571"/>
      <c r="F383" s="571"/>
      <c r="G383" s="571"/>
      <c r="H383" s="571"/>
      <c r="I383" s="571"/>
      <c r="J383" s="571"/>
      <c r="K383" s="571"/>
      <c r="L383" s="571"/>
      <c r="M383" s="571"/>
      <c r="N383" s="571"/>
      <c r="O383" s="571"/>
      <c r="P383" s="571"/>
      <c r="Q383" s="571"/>
      <c r="R383" s="571"/>
      <c r="S383" s="571"/>
      <c r="T383" s="571"/>
      <c r="U383" s="571"/>
      <c r="V383" s="571"/>
      <c r="W383" s="571"/>
      <c r="X383" s="571"/>
      <c r="Y383" s="571"/>
      <c r="Z383" s="571"/>
      <c r="AA383" s="48"/>
      <c r="AB383" s="48"/>
      <c r="AC383" s="48"/>
    </row>
    <row r="384" spans="1:68" ht="16.5" hidden="1" customHeight="1" x14ac:dyDescent="0.25">
      <c r="A384" s="558" t="s">
        <v>594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8"/>
      <c r="AB384" s="538"/>
      <c r="AC384" s="538"/>
    </row>
    <row r="385" spans="1:68" ht="14.25" hidden="1" customHeight="1" x14ac:dyDescent="0.25">
      <c r="A385" s="559" t="s">
        <v>64</v>
      </c>
      <c r="B385" s="554"/>
      <c r="C385" s="554"/>
      <c r="D385" s="554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39"/>
      <c r="AB385" s="539"/>
      <c r="AC385" s="539"/>
    </row>
    <row r="386" spans="1:68" ht="27" hidden="1" customHeight="1" x14ac:dyDescent="0.25">
      <c r="A386" s="54" t="s">
        <v>595</v>
      </c>
      <c r="B386" s="54" t="s">
        <v>596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604</v>
      </c>
      <c r="B389" s="54" t="s">
        <v>605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606</v>
      </c>
      <c r="B390" s="54" t="s">
        <v>607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7</v>
      </c>
      <c r="Y390" s="544">
        <f t="shared" si="41"/>
        <v>8.4</v>
      </c>
      <c r="Z390" s="36">
        <f t="shared" si="46"/>
        <v>2.0080000000000001E-2</v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7.4333333333333327</v>
      </c>
      <c r="BN390" s="64">
        <f t="shared" si="43"/>
        <v>8.92</v>
      </c>
      <c r="BO390" s="64">
        <f t="shared" si="44"/>
        <v>1.4245014245014245E-2</v>
      </c>
      <c r="BP390" s="64">
        <f t="shared" si="45"/>
        <v>1.7094017094017096E-2</v>
      </c>
    </row>
    <row r="391" spans="1:68" ht="37.5" hidden="1" customHeight="1" x14ac:dyDescent="0.25">
      <c r="A391" s="54" t="s">
        <v>608</v>
      </c>
      <c r="B391" s="54" t="s">
        <v>609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614</v>
      </c>
      <c r="B393" s="54" t="s">
        <v>615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66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617</v>
      </c>
      <c r="B394" s="54" t="s">
        <v>618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3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71</v>
      </c>
      <c r="Q395" s="562"/>
      <c r="R395" s="562"/>
      <c r="S395" s="562"/>
      <c r="T395" s="562"/>
      <c r="U395" s="562"/>
      <c r="V395" s="563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3.333333333333333</v>
      </c>
      <c r="Y395" s="545">
        <f>IFERROR(Y386/H386,"0")+IFERROR(Y387/H387,"0")+IFERROR(Y388/H388,"0")+IFERROR(Y389/H389,"0")+IFERROR(Y390/H390,"0")+IFERROR(Y391/H391,"0")+IFERROR(Y392/H392,"0")+IFERROR(Y393/H393,"0")+IFERROR(Y394/H394,"0")</f>
        <v>4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2.0080000000000001E-2</v>
      </c>
      <c r="AA395" s="546"/>
      <c r="AB395" s="546"/>
      <c r="AC395" s="546"/>
    </row>
    <row r="396" spans="1:68" x14ac:dyDescent="0.2">
      <c r="A396" s="554"/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5"/>
      <c r="P396" s="561" t="s">
        <v>71</v>
      </c>
      <c r="Q396" s="562"/>
      <c r="R396" s="562"/>
      <c r="S396" s="562"/>
      <c r="T396" s="562"/>
      <c r="U396" s="562"/>
      <c r="V396" s="563"/>
      <c r="W396" s="37" t="s">
        <v>69</v>
      </c>
      <c r="X396" s="545">
        <f>IFERROR(SUM(X386:X394),"0")</f>
        <v>7</v>
      </c>
      <c r="Y396" s="545">
        <f>IFERROR(SUM(Y386:Y394),"0")</f>
        <v>8.4</v>
      </c>
      <c r="Z396" s="37"/>
      <c r="AA396" s="546"/>
      <c r="AB396" s="546"/>
      <c r="AC396" s="546"/>
    </row>
    <row r="397" spans="1:68" ht="14.25" hidden="1" customHeight="1" x14ac:dyDescent="0.25">
      <c r="A397" s="559" t="s">
        <v>73</v>
      </c>
      <c r="B397" s="554"/>
      <c r="C397" s="554"/>
      <c r="D397" s="554"/>
      <c r="E397" s="554"/>
      <c r="F397" s="554"/>
      <c r="G397" s="554"/>
      <c r="H397" s="554"/>
      <c r="I397" s="554"/>
      <c r="J397" s="554"/>
      <c r="K397" s="554"/>
      <c r="L397" s="554"/>
      <c r="M397" s="554"/>
      <c r="N397" s="554"/>
      <c r="O397" s="554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39"/>
      <c r="AB397" s="539"/>
      <c r="AC397" s="539"/>
    </row>
    <row r="398" spans="1:68" ht="27" hidden="1" customHeight="1" x14ac:dyDescent="0.25">
      <c r="A398" s="54" t="s">
        <v>619</v>
      </c>
      <c r="B398" s="54" t="s">
        <v>620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622</v>
      </c>
      <c r="B399" s="54" t="s">
        <v>623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53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71</v>
      </c>
      <c r="Q400" s="562"/>
      <c r="R400" s="562"/>
      <c r="S400" s="562"/>
      <c r="T400" s="562"/>
      <c r="U400" s="562"/>
      <c r="V400" s="563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4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5"/>
      <c r="P401" s="561" t="s">
        <v>71</v>
      </c>
      <c r="Q401" s="562"/>
      <c r="R401" s="562"/>
      <c r="S401" s="562"/>
      <c r="T401" s="562"/>
      <c r="U401" s="562"/>
      <c r="V401" s="563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8" t="s">
        <v>625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8"/>
      <c r="AB402" s="538"/>
      <c r="AC402" s="538"/>
    </row>
    <row r="403" spans="1:68" ht="14.25" hidden="1" customHeight="1" x14ac:dyDescent="0.25">
      <c r="A403" s="559" t="s">
        <v>136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39"/>
      <c r="AB403" s="539"/>
      <c r="AC403" s="539"/>
    </row>
    <row r="404" spans="1:68" ht="27" hidden="1" customHeight="1" x14ac:dyDescent="0.25">
      <c r="A404" s="54" t="s">
        <v>626</v>
      </c>
      <c r="B404" s="54" t="s">
        <v>627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3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71</v>
      </c>
      <c r="Q405" s="562"/>
      <c r="R405" s="562"/>
      <c r="S405" s="562"/>
      <c r="T405" s="562"/>
      <c r="U405" s="562"/>
      <c r="V405" s="563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4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5"/>
      <c r="P406" s="561" t="s">
        <v>71</v>
      </c>
      <c r="Q406" s="562"/>
      <c r="R406" s="562"/>
      <c r="S406" s="562"/>
      <c r="T406" s="562"/>
      <c r="U406" s="562"/>
      <c r="V406" s="563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59" t="s">
        <v>64</v>
      </c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54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39"/>
      <c r="AB407" s="539"/>
      <c r="AC407" s="539"/>
    </row>
    <row r="408" spans="1:68" ht="27" hidden="1" customHeight="1" x14ac:dyDescent="0.25">
      <c r="A408" s="54" t="s">
        <v>629</v>
      </c>
      <c r="B408" s="54" t="s">
        <v>630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3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638</v>
      </c>
      <c r="B411" s="54" t="s">
        <v>639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53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71</v>
      </c>
      <c r="Q412" s="562"/>
      <c r="R412" s="562"/>
      <c r="S412" s="562"/>
      <c r="T412" s="562"/>
      <c r="U412" s="562"/>
      <c r="V412" s="563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4"/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5"/>
      <c r="P413" s="561" t="s">
        <v>71</v>
      </c>
      <c r="Q413" s="562"/>
      <c r="R413" s="562"/>
      <c r="S413" s="562"/>
      <c r="T413" s="562"/>
      <c r="U413" s="562"/>
      <c r="V413" s="563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58" t="s">
        <v>640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8"/>
      <c r="AB414" s="538"/>
      <c r="AC414" s="538"/>
    </row>
    <row r="415" spans="1:68" ht="14.25" hidden="1" customHeight="1" x14ac:dyDescent="0.25">
      <c r="A415" s="559" t="s">
        <v>64</v>
      </c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54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39"/>
      <c r="AB415" s="539"/>
      <c r="AC415" s="539"/>
    </row>
    <row r="416" spans="1:68" ht="27" hidden="1" customHeight="1" x14ac:dyDescent="0.25">
      <c r="A416" s="54" t="s">
        <v>641</v>
      </c>
      <c r="B416" s="54" t="s">
        <v>642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8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53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71</v>
      </c>
      <c r="Q417" s="562"/>
      <c r="R417" s="562"/>
      <c r="S417" s="562"/>
      <c r="T417" s="562"/>
      <c r="U417" s="562"/>
      <c r="V417" s="563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4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5"/>
      <c r="P418" s="561" t="s">
        <v>71</v>
      </c>
      <c r="Q418" s="562"/>
      <c r="R418" s="562"/>
      <c r="S418" s="562"/>
      <c r="T418" s="562"/>
      <c r="U418" s="562"/>
      <c r="V418" s="563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70" t="s">
        <v>644</v>
      </c>
      <c r="B419" s="571"/>
      <c r="C419" s="571"/>
      <c r="D419" s="571"/>
      <c r="E419" s="571"/>
      <c r="F419" s="571"/>
      <c r="G419" s="571"/>
      <c r="H419" s="571"/>
      <c r="I419" s="571"/>
      <c r="J419" s="571"/>
      <c r="K419" s="571"/>
      <c r="L419" s="571"/>
      <c r="M419" s="571"/>
      <c r="N419" s="571"/>
      <c r="O419" s="571"/>
      <c r="P419" s="571"/>
      <c r="Q419" s="571"/>
      <c r="R419" s="571"/>
      <c r="S419" s="571"/>
      <c r="T419" s="571"/>
      <c r="U419" s="571"/>
      <c r="V419" s="571"/>
      <c r="W419" s="571"/>
      <c r="X419" s="571"/>
      <c r="Y419" s="571"/>
      <c r="Z419" s="571"/>
      <c r="AA419" s="48"/>
      <c r="AB419" s="48"/>
      <c r="AC419" s="48"/>
    </row>
    <row r="420" spans="1:68" ht="16.5" hidden="1" customHeight="1" x14ac:dyDescent="0.25">
      <c r="A420" s="558" t="s">
        <v>644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8"/>
      <c r="AB420" s="538"/>
      <c r="AC420" s="538"/>
    </row>
    <row r="421" spans="1:68" ht="14.25" hidden="1" customHeight="1" x14ac:dyDescent="0.25">
      <c r="A421" s="559" t="s">
        <v>101</v>
      </c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39"/>
      <c r="AB421" s="539"/>
      <c r="AC421" s="539"/>
    </row>
    <row r="422" spans="1:68" ht="27" customHeight="1" x14ac:dyDescent="0.25">
      <c r="A422" s="54" t="s">
        <v>645</v>
      </c>
      <c r="B422" s="54" t="s">
        <v>646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47</v>
      </c>
      <c r="Y422" s="544">
        <f t="shared" ref="Y422:Y432" si="47">IFERROR(IF(X422="",0,CEILING((X422/$H422),1)*$H422),"")</f>
        <v>47.52</v>
      </c>
      <c r="Z422" s="36">
        <f t="shared" ref="Z422:Z427" si="48">IFERROR(IF(Y422=0,"",ROUNDUP(Y422/H422,0)*0.01196),"")</f>
        <v>0.10764</v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50.115530303030305</v>
      </c>
      <c r="BN422" s="64">
        <f t="shared" ref="BN422:BN432" si="50">IFERROR(Y422*I422/H422,"0")</f>
        <v>50.669999999999995</v>
      </c>
      <c r="BO422" s="64">
        <f t="shared" ref="BO422:BO432" si="51">IFERROR(1/J422*(X422/H422),"0")</f>
        <v>8.559149184149184E-2</v>
      </c>
      <c r="BP422" s="64">
        <f t="shared" ref="BP422:BP432" si="52">IFERROR(1/J422*(Y422/H422),"0")</f>
        <v>8.6538461538461536E-2</v>
      </c>
    </row>
    <row r="423" spans="1:68" ht="27" hidden="1" customHeight="1" x14ac:dyDescent="0.25">
      <c r="A423" s="54" t="s">
        <v>647</v>
      </c>
      <c r="B423" s="54" t="s">
        <v>648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5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1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653</v>
      </c>
      <c r="B425" s="54" t="s">
        <v>654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2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hidden="1" customHeight="1" x14ac:dyDescent="0.25">
      <c r="A426" s="54" t="s">
        <v>656</v>
      </c>
      <c r="B426" s="54" t="s">
        <v>657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659</v>
      </c>
      <c r="B427" s="54" t="s">
        <v>660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60</v>
      </c>
      <c r="Y427" s="544">
        <f t="shared" si="47"/>
        <v>63.36</v>
      </c>
      <c r="Z427" s="36">
        <f t="shared" si="48"/>
        <v>0.14352000000000001</v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63.977272727272727</v>
      </c>
      <c r="BN427" s="64">
        <f t="shared" si="50"/>
        <v>67.559999999999988</v>
      </c>
      <c r="BO427" s="64">
        <f t="shared" si="51"/>
        <v>0.10926573426573427</v>
      </c>
      <c r="BP427" s="64">
        <f t="shared" si="52"/>
        <v>0.11538461538461539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664</v>
      </c>
      <c r="B429" s="54" t="s">
        <v>665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15</v>
      </c>
      <c r="Y429" s="544">
        <f t="shared" si="47"/>
        <v>19.2</v>
      </c>
      <c r="Z429" s="36">
        <f>IFERROR(IF(Y429=0,"",ROUNDUP(Y429/H429,0)*0.00902),"")</f>
        <v>3.6080000000000001E-2</v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21.593750000000004</v>
      </c>
      <c r="BN429" s="64">
        <f t="shared" si="50"/>
        <v>27.64</v>
      </c>
      <c r="BO429" s="64">
        <f t="shared" si="51"/>
        <v>2.3674242424242424E-2</v>
      </c>
      <c r="BP429" s="64">
        <f t="shared" si="52"/>
        <v>3.0303030303030304E-2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9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8</v>
      </c>
      <c r="Y431" s="544">
        <f t="shared" si="47"/>
        <v>9.6</v>
      </c>
      <c r="Z431" s="36">
        <f>IFERROR(IF(Y431=0,"",ROUNDUP(Y431/H431,0)*0.00651),"")</f>
        <v>2.6040000000000001E-2</v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8.6000000000000014</v>
      </c>
      <c r="BN431" s="64">
        <f t="shared" si="50"/>
        <v>10.32</v>
      </c>
      <c r="BO431" s="64">
        <f t="shared" si="51"/>
        <v>1.8315018315018316E-2</v>
      </c>
      <c r="BP431" s="64">
        <f t="shared" si="52"/>
        <v>2.197802197802198E-2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3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71</v>
      </c>
      <c r="Q433" s="562"/>
      <c r="R433" s="562"/>
      <c r="S433" s="562"/>
      <c r="T433" s="562"/>
      <c r="U433" s="562"/>
      <c r="V433" s="563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26.723484848484848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29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0.31328</v>
      </c>
      <c r="AA433" s="546"/>
      <c r="AB433" s="546"/>
      <c r="AC433" s="546"/>
    </row>
    <row r="434" spans="1:68" x14ac:dyDescent="0.2">
      <c r="A434" s="554"/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5"/>
      <c r="P434" s="561" t="s">
        <v>71</v>
      </c>
      <c r="Q434" s="562"/>
      <c r="R434" s="562"/>
      <c r="S434" s="562"/>
      <c r="T434" s="562"/>
      <c r="U434" s="562"/>
      <c r="V434" s="563"/>
      <c r="W434" s="37" t="s">
        <v>69</v>
      </c>
      <c r="X434" s="545">
        <f>IFERROR(SUM(X422:X432),"0")</f>
        <v>130</v>
      </c>
      <c r="Y434" s="545">
        <f>IFERROR(SUM(Y422:Y432),"0")</f>
        <v>139.67999999999998</v>
      </c>
      <c r="Z434" s="37"/>
      <c r="AA434" s="546"/>
      <c r="AB434" s="546"/>
      <c r="AC434" s="546"/>
    </row>
    <row r="435" spans="1:68" ht="14.25" hidden="1" customHeight="1" x14ac:dyDescent="0.25">
      <c r="A435" s="559" t="s">
        <v>136</v>
      </c>
      <c r="B435" s="554"/>
      <c r="C435" s="554"/>
      <c r="D435" s="554"/>
      <c r="E435" s="554"/>
      <c r="F435" s="554"/>
      <c r="G435" s="554"/>
      <c r="H435" s="554"/>
      <c r="I435" s="554"/>
      <c r="J435" s="554"/>
      <c r="K435" s="554"/>
      <c r="L435" s="554"/>
      <c r="M435" s="554"/>
      <c r="N435" s="554"/>
      <c r="O435" s="554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39"/>
      <c r="AB435" s="539"/>
      <c r="AC435" s="539"/>
    </row>
    <row r="436" spans="1:68" ht="16.5" customHeight="1" x14ac:dyDescent="0.25">
      <c r="A436" s="54" t="s">
        <v>673</v>
      </c>
      <c r="B436" s="54" t="s">
        <v>674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50</v>
      </c>
      <c r="Y436" s="544">
        <f>IFERROR(IF(X436="",0,CEILING((X436/$H436),1)*$H436),"")</f>
        <v>52.800000000000004</v>
      </c>
      <c r="Z436" s="36">
        <f>IFERROR(IF(Y436=0,"",ROUNDUP(Y436/H436,0)*0.01196),"")</f>
        <v>0.1196</v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53.314393939393938</v>
      </c>
      <c r="BN436" s="64">
        <f>IFERROR(Y436*I436/H436,"0")</f>
        <v>56.3</v>
      </c>
      <c r="BO436" s="64">
        <f>IFERROR(1/J436*(X436/H436),"0")</f>
        <v>9.1054778554778545E-2</v>
      </c>
      <c r="BP436" s="64">
        <f>IFERROR(1/J436*(Y436/H436),"0")</f>
        <v>9.6153846153846159E-2</v>
      </c>
    </row>
    <row r="437" spans="1:68" ht="16.5" hidden="1" customHeight="1" x14ac:dyDescent="0.25">
      <c r="A437" s="54" t="s">
        <v>676</v>
      </c>
      <c r="B437" s="54" t="s">
        <v>677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678</v>
      </c>
      <c r="B438" s="54" t="s">
        <v>679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3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71</v>
      </c>
      <c r="Q439" s="562"/>
      <c r="R439" s="562"/>
      <c r="S439" s="562"/>
      <c r="T439" s="562"/>
      <c r="U439" s="562"/>
      <c r="V439" s="563"/>
      <c r="W439" s="37" t="s">
        <v>72</v>
      </c>
      <c r="X439" s="545">
        <f>IFERROR(X436/H436,"0")+IFERROR(X437/H437,"0")+IFERROR(X438/H438,"0")</f>
        <v>9.4696969696969688</v>
      </c>
      <c r="Y439" s="545">
        <f>IFERROR(Y436/H436,"0")+IFERROR(Y437/H437,"0")+IFERROR(Y438/H438,"0")</f>
        <v>10</v>
      </c>
      <c r="Z439" s="545">
        <f>IFERROR(IF(Z436="",0,Z436),"0")+IFERROR(IF(Z437="",0,Z437),"0")+IFERROR(IF(Z438="",0,Z438),"0")</f>
        <v>0.1196</v>
      </c>
      <c r="AA439" s="546"/>
      <c r="AB439" s="546"/>
      <c r="AC439" s="546"/>
    </row>
    <row r="440" spans="1:68" x14ac:dyDescent="0.2">
      <c r="A440" s="554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5"/>
      <c r="P440" s="561" t="s">
        <v>71</v>
      </c>
      <c r="Q440" s="562"/>
      <c r="R440" s="562"/>
      <c r="S440" s="562"/>
      <c r="T440" s="562"/>
      <c r="U440" s="562"/>
      <c r="V440" s="563"/>
      <c r="W440" s="37" t="s">
        <v>69</v>
      </c>
      <c r="X440" s="545">
        <f>IFERROR(SUM(X436:X438),"0")</f>
        <v>50</v>
      </c>
      <c r="Y440" s="545">
        <f>IFERROR(SUM(Y436:Y438),"0")</f>
        <v>52.800000000000004</v>
      </c>
      <c r="Z440" s="37"/>
      <c r="AA440" s="546"/>
      <c r="AB440" s="546"/>
      <c r="AC440" s="546"/>
    </row>
    <row r="441" spans="1:68" ht="14.25" hidden="1" customHeight="1" x14ac:dyDescent="0.25">
      <c r="A441" s="559" t="s">
        <v>64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39"/>
      <c r="AB441" s="539"/>
      <c r="AC441" s="539"/>
    </row>
    <row r="442" spans="1:68" ht="27" customHeight="1" x14ac:dyDescent="0.25">
      <c r="A442" s="54" t="s">
        <v>680</v>
      </c>
      <c r="B442" s="54" t="s">
        <v>681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29</v>
      </c>
      <c r="Y442" s="544">
        <f t="shared" ref="Y442:Y447" si="53">IFERROR(IF(X442="",0,CEILING((X442/$H442),1)*$H442),"")</f>
        <v>31.68</v>
      </c>
      <c r="Z442" s="36">
        <f>IFERROR(IF(Y442=0,"",ROUNDUP(Y442/H442,0)*0.01196),"")</f>
        <v>7.1760000000000004E-2</v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30.922348484848484</v>
      </c>
      <c r="BN442" s="64">
        <f t="shared" ref="BN442:BN447" si="55">IFERROR(Y442*I442/H442,"0")</f>
        <v>33.779999999999994</v>
      </c>
      <c r="BO442" s="64">
        <f t="shared" ref="BO442:BO447" si="56">IFERROR(1/J442*(X442/H442),"0")</f>
        <v>5.281177156177156E-2</v>
      </c>
      <c r="BP442" s="64">
        <f t="shared" ref="BP442:BP447" si="57">IFERROR(1/J442*(Y442/H442),"0")</f>
        <v>5.7692307692307696E-2</v>
      </c>
    </row>
    <row r="443" spans="1:68" ht="27" hidden="1" customHeight="1" x14ac:dyDescent="0.25">
      <c r="A443" s="54" t="s">
        <v>683</v>
      </c>
      <c r="B443" s="54" t="s">
        <v>684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60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686</v>
      </c>
      <c r="B444" s="54" t="s">
        <v>687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6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30</v>
      </c>
      <c r="Y444" s="544">
        <f t="shared" si="53"/>
        <v>31.68</v>
      </c>
      <c r="Z444" s="36">
        <f>IFERROR(IF(Y444=0,"",ROUNDUP(Y444/H444,0)*0.01196),"")</f>
        <v>7.1760000000000004E-2</v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31.988636363636363</v>
      </c>
      <c r="BN444" s="64">
        <f t="shared" si="55"/>
        <v>33.779999999999994</v>
      </c>
      <c r="BO444" s="64">
        <f t="shared" si="56"/>
        <v>5.4632867132867136E-2</v>
      </c>
      <c r="BP444" s="64">
        <f t="shared" si="57"/>
        <v>5.7692307692307696E-2</v>
      </c>
    </row>
    <row r="445" spans="1:68" ht="27" customHeight="1" x14ac:dyDescent="0.25">
      <c r="A445" s="54" t="s">
        <v>689</v>
      </c>
      <c r="B445" s="54" t="s">
        <v>690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18</v>
      </c>
      <c r="Y445" s="544">
        <f t="shared" si="53"/>
        <v>19.2</v>
      </c>
      <c r="Z445" s="36">
        <f>IFERROR(IF(Y445=0,"",ROUNDUP(Y445/H445,0)*0.00902),"")</f>
        <v>3.6080000000000001E-2</v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25.912500000000001</v>
      </c>
      <c r="BN445" s="64">
        <f t="shared" si="55"/>
        <v>27.64</v>
      </c>
      <c r="BO445" s="64">
        <f t="shared" si="56"/>
        <v>2.8409090909090912E-2</v>
      </c>
      <c r="BP445" s="64">
        <f t="shared" si="57"/>
        <v>3.0303030303030304E-2</v>
      </c>
    </row>
    <row r="446" spans="1:68" ht="27" hidden="1" customHeight="1" x14ac:dyDescent="0.25">
      <c r="A446" s="54" t="s">
        <v>691</v>
      </c>
      <c r="B446" s="54" t="s">
        <v>692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693</v>
      </c>
      <c r="B447" s="54" t="s">
        <v>694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13</v>
      </c>
      <c r="Y447" s="544">
        <f t="shared" si="53"/>
        <v>14.399999999999999</v>
      </c>
      <c r="Z447" s="36">
        <f>IFERROR(IF(Y447=0,"",ROUNDUP(Y447/H447,0)*0.00902),"")</f>
        <v>2.7060000000000001E-2</v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18.064583333333331</v>
      </c>
      <c r="BN447" s="64">
        <f t="shared" si="55"/>
        <v>20.009999999999998</v>
      </c>
      <c r="BO447" s="64">
        <f t="shared" si="56"/>
        <v>2.0517676767676768E-2</v>
      </c>
      <c r="BP447" s="64">
        <f t="shared" si="57"/>
        <v>2.2727272727272728E-2</v>
      </c>
    </row>
    <row r="448" spans="1:68" x14ac:dyDescent="0.2">
      <c r="A448" s="553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71</v>
      </c>
      <c r="Q448" s="562"/>
      <c r="R448" s="562"/>
      <c r="S448" s="562"/>
      <c r="T448" s="562"/>
      <c r="U448" s="562"/>
      <c r="V448" s="563"/>
      <c r="W448" s="37" t="s">
        <v>72</v>
      </c>
      <c r="X448" s="545">
        <f>IFERROR(X442/H442,"0")+IFERROR(X443/H443,"0")+IFERROR(X444/H444,"0")+IFERROR(X445/H445,"0")+IFERROR(X446/H446,"0")+IFERROR(X447/H447,"0")</f>
        <v>17.632575757575758</v>
      </c>
      <c r="Y448" s="545">
        <f>IFERROR(Y442/H442,"0")+IFERROR(Y443/H443,"0")+IFERROR(Y444/H444,"0")+IFERROR(Y445/H445,"0")+IFERROR(Y446/H446,"0")+IFERROR(Y447/H447,"0")</f>
        <v>19</v>
      </c>
      <c r="Z448" s="545">
        <f>IFERROR(IF(Z442="",0,Z442),"0")+IFERROR(IF(Z443="",0,Z443),"0")+IFERROR(IF(Z444="",0,Z444),"0")+IFERROR(IF(Z445="",0,Z445),"0")+IFERROR(IF(Z446="",0,Z446),"0")+IFERROR(IF(Z447="",0,Z447),"0")</f>
        <v>0.20666000000000001</v>
      </c>
      <c r="AA448" s="546"/>
      <c r="AB448" s="546"/>
      <c r="AC448" s="546"/>
    </row>
    <row r="449" spans="1:68" x14ac:dyDescent="0.2">
      <c r="A449" s="554"/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5"/>
      <c r="P449" s="561" t="s">
        <v>71</v>
      </c>
      <c r="Q449" s="562"/>
      <c r="R449" s="562"/>
      <c r="S449" s="562"/>
      <c r="T449" s="562"/>
      <c r="U449" s="562"/>
      <c r="V449" s="563"/>
      <c r="W449" s="37" t="s">
        <v>69</v>
      </c>
      <c r="X449" s="545">
        <f>IFERROR(SUM(X442:X447),"0")</f>
        <v>90</v>
      </c>
      <c r="Y449" s="545">
        <f>IFERROR(SUM(Y442:Y447),"0")</f>
        <v>96.960000000000008</v>
      </c>
      <c r="Z449" s="37"/>
      <c r="AA449" s="546"/>
      <c r="AB449" s="546"/>
      <c r="AC449" s="546"/>
    </row>
    <row r="450" spans="1:68" ht="14.25" hidden="1" customHeight="1" x14ac:dyDescent="0.25">
      <c r="A450" s="559" t="s">
        <v>73</v>
      </c>
      <c r="B450" s="554"/>
      <c r="C450" s="554"/>
      <c r="D450" s="554"/>
      <c r="E450" s="554"/>
      <c r="F450" s="554"/>
      <c r="G450" s="554"/>
      <c r="H450" s="554"/>
      <c r="I450" s="554"/>
      <c r="J450" s="554"/>
      <c r="K450" s="554"/>
      <c r="L450" s="554"/>
      <c r="M450" s="554"/>
      <c r="N450" s="554"/>
      <c r="O450" s="554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39"/>
      <c r="AB450" s="539"/>
      <c r="AC450" s="539"/>
    </row>
    <row r="451" spans="1:68" ht="16.5" hidden="1" customHeight="1" x14ac:dyDescent="0.25">
      <c r="A451" s="54" t="s">
        <v>695</v>
      </c>
      <c r="B451" s="54" t="s">
        <v>696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3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698</v>
      </c>
      <c r="B452" s="54" t="s">
        <v>699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6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701</v>
      </c>
      <c r="B453" s="54" t="s">
        <v>702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3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71</v>
      </c>
      <c r="Q454" s="562"/>
      <c r="R454" s="562"/>
      <c r="S454" s="562"/>
      <c r="T454" s="562"/>
      <c r="U454" s="562"/>
      <c r="V454" s="563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4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5"/>
      <c r="P455" s="561" t="s">
        <v>71</v>
      </c>
      <c r="Q455" s="562"/>
      <c r="R455" s="562"/>
      <c r="S455" s="562"/>
      <c r="T455" s="562"/>
      <c r="U455" s="562"/>
      <c r="V455" s="563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70" t="s">
        <v>704</v>
      </c>
      <c r="B456" s="571"/>
      <c r="C456" s="571"/>
      <c r="D456" s="571"/>
      <c r="E456" s="571"/>
      <c r="F456" s="571"/>
      <c r="G456" s="571"/>
      <c r="H456" s="571"/>
      <c r="I456" s="571"/>
      <c r="J456" s="571"/>
      <c r="K456" s="571"/>
      <c r="L456" s="571"/>
      <c r="M456" s="571"/>
      <c r="N456" s="571"/>
      <c r="O456" s="571"/>
      <c r="P456" s="571"/>
      <c r="Q456" s="571"/>
      <c r="R456" s="571"/>
      <c r="S456" s="571"/>
      <c r="T456" s="571"/>
      <c r="U456" s="571"/>
      <c r="V456" s="571"/>
      <c r="W456" s="571"/>
      <c r="X456" s="571"/>
      <c r="Y456" s="571"/>
      <c r="Z456" s="571"/>
      <c r="AA456" s="48"/>
      <c r="AB456" s="48"/>
      <c r="AC456" s="48"/>
    </row>
    <row r="457" spans="1:68" ht="16.5" hidden="1" customHeight="1" x14ac:dyDescent="0.25">
      <c r="A457" s="558" t="s">
        <v>704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8"/>
      <c r="AB457" s="538"/>
      <c r="AC457" s="538"/>
    </row>
    <row r="458" spans="1:68" ht="14.25" hidden="1" customHeight="1" x14ac:dyDescent="0.25">
      <c r="A458" s="559" t="s">
        <v>101</v>
      </c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39"/>
      <c r="AB458" s="539"/>
      <c r="AC458" s="539"/>
    </row>
    <row r="459" spans="1:68" ht="27" hidden="1" customHeight="1" x14ac:dyDescent="0.25">
      <c r="A459" s="54" t="s">
        <v>705</v>
      </c>
      <c r="B459" s="54" t="s">
        <v>706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20</v>
      </c>
      <c r="Y461" s="544">
        <f>IFERROR(IF(X461="",0,CEILING((X461/$H461),1)*$H461),"")</f>
        <v>24</v>
      </c>
      <c r="Z461" s="36">
        <f>IFERROR(IF(Y461=0,"",ROUNDUP(Y461/H461,0)*0.01898),"")</f>
        <v>3.7960000000000001E-2</v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20.683333333333334</v>
      </c>
      <c r="BN461" s="64">
        <f>IFERROR(Y461*I461/H461,"0")</f>
        <v>24.820000000000004</v>
      </c>
      <c r="BO461" s="64">
        <f>IFERROR(1/J461*(X461/H461),"0")</f>
        <v>2.6041666666666668E-2</v>
      </c>
      <c r="BP461" s="64">
        <f>IFERROR(1/J461*(Y461/H461),"0")</f>
        <v>3.125E-2</v>
      </c>
    </row>
    <row r="462" spans="1:68" ht="27" hidden="1" customHeight="1" x14ac:dyDescent="0.25">
      <c r="A462" s="54" t="s">
        <v>714</v>
      </c>
      <c r="B462" s="54" t="s">
        <v>715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3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71</v>
      </c>
      <c r="Q463" s="562"/>
      <c r="R463" s="562"/>
      <c r="S463" s="562"/>
      <c r="T463" s="562"/>
      <c r="U463" s="562"/>
      <c r="V463" s="563"/>
      <c r="W463" s="37" t="s">
        <v>72</v>
      </c>
      <c r="X463" s="545">
        <f>IFERROR(X459/H459,"0")+IFERROR(X460/H460,"0")+IFERROR(X461/H461,"0")+IFERROR(X462/H462,"0")</f>
        <v>1.6666666666666667</v>
      </c>
      <c r="Y463" s="545">
        <f>IFERROR(Y459/H459,"0")+IFERROR(Y460/H460,"0")+IFERROR(Y461/H461,"0")+IFERROR(Y462/H462,"0")</f>
        <v>2</v>
      </c>
      <c r="Z463" s="545">
        <f>IFERROR(IF(Z459="",0,Z459),"0")+IFERROR(IF(Z460="",0,Z460),"0")+IFERROR(IF(Z461="",0,Z461),"0")+IFERROR(IF(Z462="",0,Z462),"0")</f>
        <v>3.7960000000000001E-2</v>
      </c>
      <c r="AA463" s="546"/>
      <c r="AB463" s="546"/>
      <c r="AC463" s="546"/>
    </row>
    <row r="464" spans="1:68" x14ac:dyDescent="0.2">
      <c r="A464" s="554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5"/>
      <c r="P464" s="561" t="s">
        <v>71</v>
      </c>
      <c r="Q464" s="562"/>
      <c r="R464" s="562"/>
      <c r="S464" s="562"/>
      <c r="T464" s="562"/>
      <c r="U464" s="562"/>
      <c r="V464" s="563"/>
      <c r="W464" s="37" t="s">
        <v>69</v>
      </c>
      <c r="X464" s="545">
        <f>IFERROR(SUM(X459:X462),"0")</f>
        <v>20</v>
      </c>
      <c r="Y464" s="545">
        <f>IFERROR(SUM(Y459:Y462),"0")</f>
        <v>24</v>
      </c>
      <c r="Z464" s="37"/>
      <c r="AA464" s="546"/>
      <c r="AB464" s="546"/>
      <c r="AC464" s="546"/>
    </row>
    <row r="465" spans="1:68" ht="14.25" hidden="1" customHeight="1" x14ac:dyDescent="0.25">
      <c r="A465" s="559" t="s">
        <v>136</v>
      </c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54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39"/>
      <c r="AB465" s="539"/>
      <c r="AC465" s="539"/>
    </row>
    <row r="466" spans="1:68" ht="27" hidden="1" customHeight="1" x14ac:dyDescent="0.25">
      <c r="A466" s="54" t="s">
        <v>716</v>
      </c>
      <c r="B466" s="54" t="s">
        <v>717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722</v>
      </c>
      <c r="B468" s="54" t="s">
        <v>723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3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71</v>
      </c>
      <c r="Q469" s="562"/>
      <c r="R469" s="562"/>
      <c r="S469" s="562"/>
      <c r="T469" s="562"/>
      <c r="U469" s="562"/>
      <c r="V469" s="563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4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5"/>
      <c r="P470" s="561" t="s">
        <v>71</v>
      </c>
      <c r="Q470" s="562"/>
      <c r="R470" s="562"/>
      <c r="S470" s="562"/>
      <c r="T470" s="562"/>
      <c r="U470" s="562"/>
      <c r="V470" s="563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59" t="s">
        <v>64</v>
      </c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39"/>
      <c r="AB471" s="539"/>
      <c r="AC471" s="539"/>
    </row>
    <row r="472" spans="1:68" ht="27" customHeight="1" x14ac:dyDescent="0.25">
      <c r="A472" s="54" t="s">
        <v>725</v>
      </c>
      <c r="B472" s="54" t="s">
        <v>726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50</v>
      </c>
      <c r="Y472" s="544">
        <f>IFERROR(IF(X472="",0,CEILING((X472/$H472),1)*$H472),"")</f>
        <v>50.400000000000006</v>
      </c>
      <c r="Z472" s="36">
        <f>IFERROR(IF(Y472=0,"",ROUNDUP(Y472/H472,0)*0.00902),"")</f>
        <v>0.10824</v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52.976190476190474</v>
      </c>
      <c r="BN472" s="64">
        <f>IFERROR(Y472*I472/H472,"0")</f>
        <v>53.400000000000006</v>
      </c>
      <c r="BO472" s="64">
        <f>IFERROR(1/J472*(X472/H472),"0")</f>
        <v>9.0187590187590191E-2</v>
      </c>
      <c r="BP472" s="64">
        <f>IFERROR(1/J472*(Y472/H472),"0")</f>
        <v>9.0909090909090912E-2</v>
      </c>
    </row>
    <row r="473" spans="1:68" ht="27" customHeight="1" x14ac:dyDescent="0.25">
      <c r="A473" s="54" t="s">
        <v>728</v>
      </c>
      <c r="B473" s="54" t="s">
        <v>729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50</v>
      </c>
      <c r="Y473" s="544">
        <f>IFERROR(IF(X473="",0,CEILING((X473/$H473),1)*$H473),"")</f>
        <v>50.400000000000006</v>
      </c>
      <c r="Z473" s="36">
        <f>IFERROR(IF(Y473=0,"",ROUNDUP(Y473/H473,0)*0.00902),"")</f>
        <v>0.10824</v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52.976190476190474</v>
      </c>
      <c r="BN473" s="64">
        <f>IFERROR(Y473*I473/H473,"0")</f>
        <v>53.400000000000006</v>
      </c>
      <c r="BO473" s="64">
        <f>IFERROR(1/J473*(X473/H473),"0")</f>
        <v>9.0187590187590191E-2</v>
      </c>
      <c r="BP473" s="64">
        <f>IFERROR(1/J473*(Y473/H473),"0")</f>
        <v>9.0909090909090912E-2</v>
      </c>
    </row>
    <row r="474" spans="1:68" x14ac:dyDescent="0.2">
      <c r="A474" s="553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71</v>
      </c>
      <c r="Q474" s="562"/>
      <c r="R474" s="562"/>
      <c r="S474" s="562"/>
      <c r="T474" s="562"/>
      <c r="U474" s="562"/>
      <c r="V474" s="563"/>
      <c r="W474" s="37" t="s">
        <v>72</v>
      </c>
      <c r="X474" s="545">
        <f>IFERROR(X472/H472,"0")+IFERROR(X473/H473,"0")</f>
        <v>23.80952380952381</v>
      </c>
      <c r="Y474" s="545">
        <f>IFERROR(Y472/H472,"0")+IFERROR(Y473/H473,"0")</f>
        <v>24</v>
      </c>
      <c r="Z474" s="545">
        <f>IFERROR(IF(Z472="",0,Z472),"0")+IFERROR(IF(Z473="",0,Z473),"0")</f>
        <v>0.21648000000000001</v>
      </c>
      <c r="AA474" s="546"/>
      <c r="AB474" s="546"/>
      <c r="AC474" s="546"/>
    </row>
    <row r="475" spans="1:68" x14ac:dyDescent="0.2">
      <c r="A475" s="554"/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5"/>
      <c r="P475" s="561" t="s">
        <v>71</v>
      </c>
      <c r="Q475" s="562"/>
      <c r="R475" s="562"/>
      <c r="S475" s="562"/>
      <c r="T475" s="562"/>
      <c r="U475" s="562"/>
      <c r="V475" s="563"/>
      <c r="W475" s="37" t="s">
        <v>69</v>
      </c>
      <c r="X475" s="545">
        <f>IFERROR(SUM(X472:X473),"0")</f>
        <v>100</v>
      </c>
      <c r="Y475" s="545">
        <f>IFERROR(SUM(Y472:Y473),"0")</f>
        <v>100.80000000000001</v>
      </c>
      <c r="Z475" s="37"/>
      <c r="AA475" s="546"/>
      <c r="AB475" s="546"/>
      <c r="AC475" s="546"/>
    </row>
    <row r="476" spans="1:68" ht="14.25" hidden="1" customHeight="1" x14ac:dyDescent="0.25">
      <c r="A476" s="559" t="s">
        <v>73</v>
      </c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54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39"/>
      <c r="AB476" s="539"/>
      <c r="AC476" s="539"/>
    </row>
    <row r="477" spans="1:68" ht="27" hidden="1" customHeight="1" x14ac:dyDescent="0.25">
      <c r="A477" s="54" t="s">
        <v>731</v>
      </c>
      <c r="B477" s="54" t="s">
        <v>732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53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71</v>
      </c>
      <c r="Q478" s="562"/>
      <c r="R478" s="562"/>
      <c r="S478" s="562"/>
      <c r="T478" s="562"/>
      <c r="U478" s="562"/>
      <c r="V478" s="563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4"/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5"/>
      <c r="P479" s="561" t="s">
        <v>71</v>
      </c>
      <c r="Q479" s="562"/>
      <c r="R479" s="562"/>
      <c r="S479" s="562"/>
      <c r="T479" s="562"/>
      <c r="U479" s="562"/>
      <c r="V479" s="563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59" t="s">
        <v>164</v>
      </c>
      <c r="B480" s="554"/>
      <c r="C480" s="554"/>
      <c r="D480" s="554"/>
      <c r="E480" s="554"/>
      <c r="F480" s="554"/>
      <c r="G480" s="554"/>
      <c r="H480" s="554"/>
      <c r="I480" s="554"/>
      <c r="J480" s="554"/>
      <c r="K480" s="554"/>
      <c r="L480" s="554"/>
      <c r="M480" s="554"/>
      <c r="N480" s="554"/>
      <c r="O480" s="554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39"/>
      <c r="AB480" s="539"/>
      <c r="AC480" s="539"/>
    </row>
    <row r="481" spans="1:68" ht="27" hidden="1" customHeight="1" x14ac:dyDescent="0.25">
      <c r="A481" s="54" t="s">
        <v>734</v>
      </c>
      <c r="B481" s="54" t="s">
        <v>735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737</v>
      </c>
      <c r="B482" s="54" t="s">
        <v>738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3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71</v>
      </c>
      <c r="Q483" s="562"/>
      <c r="R483" s="562"/>
      <c r="S483" s="562"/>
      <c r="T483" s="562"/>
      <c r="U483" s="562"/>
      <c r="V483" s="563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4"/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5"/>
      <c r="P484" s="561" t="s">
        <v>71</v>
      </c>
      <c r="Q484" s="562"/>
      <c r="R484" s="562"/>
      <c r="S484" s="562"/>
      <c r="T484" s="562"/>
      <c r="U484" s="562"/>
      <c r="V484" s="563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8" t="s">
        <v>740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8"/>
      <c r="AB485" s="538"/>
      <c r="AC485" s="538"/>
    </row>
    <row r="486" spans="1:68" ht="14.25" hidden="1" customHeight="1" x14ac:dyDescent="0.25">
      <c r="A486" s="559" t="s">
        <v>136</v>
      </c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54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39"/>
      <c r="AB486" s="539"/>
      <c r="AC486" s="539"/>
    </row>
    <row r="487" spans="1:68" ht="27" hidden="1" customHeight="1" x14ac:dyDescent="0.25">
      <c r="A487" s="54" t="s">
        <v>741</v>
      </c>
      <c r="B487" s="54" t="s">
        <v>742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71</v>
      </c>
      <c r="Q488" s="562"/>
      <c r="R488" s="562"/>
      <c r="S488" s="562"/>
      <c r="T488" s="562"/>
      <c r="U488" s="562"/>
      <c r="V488" s="563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55"/>
      <c r="P489" s="561" t="s">
        <v>71</v>
      </c>
      <c r="Q489" s="562"/>
      <c r="R489" s="562"/>
      <c r="S489" s="562"/>
      <c r="T489" s="562"/>
      <c r="U489" s="562"/>
      <c r="V489" s="563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9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17"/>
      <c r="P490" s="643" t="s">
        <v>744</v>
      </c>
      <c r="Q490" s="644"/>
      <c r="R490" s="644"/>
      <c r="S490" s="644"/>
      <c r="T490" s="644"/>
      <c r="U490" s="644"/>
      <c r="V490" s="645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12371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12533.669999999998</v>
      </c>
      <c r="Z490" s="37"/>
      <c r="AA490" s="546"/>
      <c r="AB490" s="546"/>
      <c r="AC490" s="546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17"/>
      <c r="P491" s="643" t="s">
        <v>745</v>
      </c>
      <c r="Q491" s="644"/>
      <c r="R491" s="644"/>
      <c r="S491" s="644"/>
      <c r="T491" s="644"/>
      <c r="U491" s="644"/>
      <c r="V491" s="645"/>
      <c r="W491" s="37" t="s">
        <v>69</v>
      </c>
      <c r="X491" s="545">
        <f>IFERROR(SUM(BM22:BM487),"0")</f>
        <v>13112.789948863407</v>
      </c>
      <c r="Y491" s="545">
        <f>IFERROR(SUM(BN22:BN487),"0")</f>
        <v>13288.111999999997</v>
      </c>
      <c r="Z491" s="37"/>
      <c r="AA491" s="546"/>
      <c r="AB491" s="546"/>
      <c r="AC491" s="546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17"/>
      <c r="P492" s="643" t="s">
        <v>746</v>
      </c>
      <c r="Q492" s="644"/>
      <c r="R492" s="644"/>
      <c r="S492" s="644"/>
      <c r="T492" s="644"/>
      <c r="U492" s="644"/>
      <c r="V492" s="645"/>
      <c r="W492" s="37" t="s">
        <v>747</v>
      </c>
      <c r="X492" s="38">
        <f>ROUNDUP(SUM(BO22:BO487),0)</f>
        <v>23</v>
      </c>
      <c r="Y492" s="38">
        <f>ROUNDUP(SUM(BP22:BP487),0)</f>
        <v>24</v>
      </c>
      <c r="Z492" s="37"/>
      <c r="AA492" s="546"/>
      <c r="AB492" s="546"/>
      <c r="AC492" s="546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17"/>
      <c r="P493" s="643" t="s">
        <v>748</v>
      </c>
      <c r="Q493" s="644"/>
      <c r="R493" s="644"/>
      <c r="S493" s="644"/>
      <c r="T493" s="644"/>
      <c r="U493" s="644"/>
      <c r="V493" s="645"/>
      <c r="W493" s="37" t="s">
        <v>69</v>
      </c>
      <c r="X493" s="545">
        <f>GrossWeightTotal+PalletQtyTotal*25</f>
        <v>13687.789948863407</v>
      </c>
      <c r="Y493" s="545">
        <f>GrossWeightTotalR+PalletQtyTotalR*25</f>
        <v>13888.111999999997</v>
      </c>
      <c r="Z493" s="37"/>
      <c r="AA493" s="546"/>
      <c r="AB493" s="546"/>
      <c r="AC493" s="546"/>
    </row>
    <row r="494" spans="1:68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17"/>
      <c r="P494" s="643" t="s">
        <v>749</v>
      </c>
      <c r="Q494" s="644"/>
      <c r="R494" s="644"/>
      <c r="S494" s="644"/>
      <c r="T494" s="644"/>
      <c r="U494" s="644"/>
      <c r="V494" s="645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2626.836017504646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2663</v>
      </c>
      <c r="Z494" s="37"/>
      <c r="AA494" s="546"/>
      <c r="AB494" s="546"/>
      <c r="AC494" s="546"/>
    </row>
    <row r="495" spans="1:68" ht="14.25" hidden="1" customHeight="1" x14ac:dyDescent="0.2">
      <c r="A495" s="554"/>
      <c r="B495" s="554"/>
      <c r="C495" s="554"/>
      <c r="D495" s="554"/>
      <c r="E495" s="554"/>
      <c r="F495" s="554"/>
      <c r="G495" s="554"/>
      <c r="H495" s="554"/>
      <c r="I495" s="554"/>
      <c r="J495" s="554"/>
      <c r="K495" s="554"/>
      <c r="L495" s="554"/>
      <c r="M495" s="554"/>
      <c r="N495" s="554"/>
      <c r="O495" s="717"/>
      <c r="P495" s="643" t="s">
        <v>750</v>
      </c>
      <c r="Q495" s="644"/>
      <c r="R495" s="644"/>
      <c r="S495" s="644"/>
      <c r="T495" s="644"/>
      <c r="U495" s="644"/>
      <c r="V495" s="645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26.971409999999995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40" t="s">
        <v>63</v>
      </c>
      <c r="C497" s="600" t="s">
        <v>99</v>
      </c>
      <c r="D497" s="603"/>
      <c r="E497" s="603"/>
      <c r="F497" s="603"/>
      <c r="G497" s="603"/>
      <c r="H497" s="604"/>
      <c r="I497" s="600" t="s">
        <v>255</v>
      </c>
      <c r="J497" s="603"/>
      <c r="K497" s="603"/>
      <c r="L497" s="603"/>
      <c r="M497" s="603"/>
      <c r="N497" s="603"/>
      <c r="O497" s="603"/>
      <c r="P497" s="603"/>
      <c r="Q497" s="603"/>
      <c r="R497" s="604"/>
      <c r="S497" s="600" t="s">
        <v>541</v>
      </c>
      <c r="T497" s="604"/>
      <c r="U497" s="600" t="s">
        <v>593</v>
      </c>
      <c r="V497" s="603"/>
      <c r="W497" s="604"/>
      <c r="X497" s="540" t="s">
        <v>644</v>
      </c>
      <c r="Y497" s="600" t="s">
        <v>704</v>
      </c>
      <c r="Z497" s="604"/>
      <c r="AB497" s="52"/>
      <c r="AC497" s="52"/>
      <c r="AF497" s="541"/>
    </row>
    <row r="498" spans="1:32" ht="14.25" customHeight="1" thickTop="1" x14ac:dyDescent="0.2">
      <c r="A498" s="617" t="s">
        <v>753</v>
      </c>
      <c r="B498" s="600" t="s">
        <v>63</v>
      </c>
      <c r="C498" s="600" t="s">
        <v>100</v>
      </c>
      <c r="D498" s="600" t="s">
        <v>117</v>
      </c>
      <c r="E498" s="600" t="s">
        <v>171</v>
      </c>
      <c r="F498" s="600" t="s">
        <v>190</v>
      </c>
      <c r="G498" s="600" t="s">
        <v>220</v>
      </c>
      <c r="H498" s="600" t="s">
        <v>99</v>
      </c>
      <c r="I498" s="600" t="s">
        <v>256</v>
      </c>
      <c r="J498" s="600" t="s">
        <v>301</v>
      </c>
      <c r="K498" s="600" t="s">
        <v>361</v>
      </c>
      <c r="L498" s="600" t="s">
        <v>403</v>
      </c>
      <c r="M498" s="600" t="s">
        <v>419</v>
      </c>
      <c r="N498" s="541"/>
      <c r="O498" s="600" t="s">
        <v>430</v>
      </c>
      <c r="P498" s="600" t="s">
        <v>439</v>
      </c>
      <c r="Q498" s="600" t="s">
        <v>453</v>
      </c>
      <c r="R498" s="600" t="s">
        <v>531</v>
      </c>
      <c r="S498" s="600" t="s">
        <v>542</v>
      </c>
      <c r="T498" s="600" t="s">
        <v>577</v>
      </c>
      <c r="U498" s="600" t="s">
        <v>594</v>
      </c>
      <c r="V498" s="600" t="s">
        <v>625</v>
      </c>
      <c r="W498" s="600" t="s">
        <v>640</v>
      </c>
      <c r="X498" s="600" t="s">
        <v>644</v>
      </c>
      <c r="Y498" s="600" t="s">
        <v>704</v>
      </c>
      <c r="Z498" s="600" t="s">
        <v>740</v>
      </c>
      <c r="AB498" s="52"/>
      <c r="AC498" s="52"/>
      <c r="AF498" s="541"/>
    </row>
    <row r="499" spans="1:32" ht="13.5" customHeight="1" thickBot="1" x14ac:dyDescent="0.25">
      <c r="A499" s="618"/>
      <c r="B499" s="601"/>
      <c r="C499" s="601"/>
      <c r="D499" s="601"/>
      <c r="E499" s="601"/>
      <c r="F499" s="601"/>
      <c r="G499" s="601"/>
      <c r="H499" s="601"/>
      <c r="I499" s="601"/>
      <c r="J499" s="601"/>
      <c r="K499" s="601"/>
      <c r="L499" s="601"/>
      <c r="M499" s="601"/>
      <c r="N499" s="541"/>
      <c r="O499" s="601"/>
      <c r="P499" s="601"/>
      <c r="Q499" s="601"/>
      <c r="R499" s="601"/>
      <c r="S499" s="601"/>
      <c r="T499" s="601"/>
      <c r="U499" s="601"/>
      <c r="V499" s="601"/>
      <c r="W499" s="601"/>
      <c r="X499" s="601"/>
      <c r="Y499" s="601"/>
      <c r="Z499" s="601"/>
      <c r="AB499" s="52"/>
      <c r="AC499" s="52"/>
      <c r="AF499" s="541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304.8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736.2</v>
      </c>
      <c r="E500" s="46">
        <f>IFERROR(Y85*1,"0")+IFERROR(Y86*1,"0")+IFERROR(Y87*1,"0")+IFERROR(Y91*1,"0")+IFERROR(Y92*1,"0")+IFERROR(Y93*1,"0")+IFERROR(Y94*1,"0")</f>
        <v>816.30000000000007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499.11</v>
      </c>
      <c r="G500" s="46">
        <f>IFERROR(Y124*1,"0")+IFERROR(Y125*1,"0")+IFERROR(Y129*1,"0")+IFERROR(Y130*1,"0")+IFERROR(Y134*1,"0")+IFERROR(Y135*1,"0")</f>
        <v>188</v>
      </c>
      <c r="H500" s="46">
        <f>IFERROR(Y140*1,"0")+IFERROR(Y141*1,"0")+IFERROR(Y142*1,"0")+IFERROR(Y146*1,"0")+IFERROR(Y147*1,"0")+IFERROR(Y148*1,"0")+IFERROR(Y152*1,"0")</f>
        <v>195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724.92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838.8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34.65</v>
      </c>
      <c r="L500" s="46">
        <f>IFERROR(Y255*1,"0")+IFERROR(Y256*1,"0")+IFERROR(Y257*1,"0")+IFERROR(Y258*1,"0")+IFERROR(Y259*1,"0")</f>
        <v>151.20000000000002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16.8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3910.7499999999995</v>
      </c>
      <c r="R500" s="46">
        <f>IFERROR(Y336*1,"0")+IFERROR(Y337*1,"0")+IFERROR(Y338*1,"0")</f>
        <v>493.5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3030</v>
      </c>
      <c r="T500" s="46">
        <f>IFERROR(Y369*1,"0")+IFERROR(Y370*1,"0")+IFERROR(Y374*1,"0")+IFERROR(Y375*1,"0")+IFERROR(Y379*1,"0")+IFERROR(Y380*1,"0")</f>
        <v>171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8.4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289.44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124.80000000000001</v>
      </c>
      <c r="Z500" s="46">
        <f>IFERROR(Y487*1,"0")</f>
        <v>0</v>
      </c>
      <c r="AB500" s="52"/>
      <c r="AC500" s="52"/>
      <c r="AF500" s="54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65,00"/>
        <filter val="1,67"/>
        <filter val="100,00"/>
        <filter val="103,70"/>
        <filter val="115,00"/>
        <filter val="117,00"/>
        <filter val="12 371,00"/>
        <filter val="120,00"/>
        <filter val="122,00"/>
        <filter val="123,00"/>
        <filter val="124,00"/>
        <filter val="13 112,79"/>
        <filter val="13 687,79"/>
        <filter val="13,00"/>
        <filter val="13,89"/>
        <filter val="130,00"/>
        <filter val="136,00"/>
        <filter val="14,00"/>
        <filter val="144,00"/>
        <filter val="15,00"/>
        <filter val="150,00"/>
        <filter val="154,33"/>
        <filter val="16,00"/>
        <filter val="16,67"/>
        <filter val="160,00"/>
        <filter val="167,00"/>
        <filter val="168,00"/>
        <filter val="17,63"/>
        <filter val="18,00"/>
        <filter val="180,00"/>
        <filter val="188,00"/>
        <filter val="19,90"/>
        <filter val="191,00"/>
        <filter val="2 000,00"/>
        <filter val="2 015,00"/>
        <filter val="2 160,00"/>
        <filter val="2 626,84"/>
        <filter val="2,00"/>
        <filter val="2,22"/>
        <filter val="20,00"/>
        <filter val="200,00"/>
        <filter val="202,00"/>
        <filter val="210,00"/>
        <filter val="217,00"/>
        <filter val="23"/>
        <filter val="23,00"/>
        <filter val="23,53"/>
        <filter val="23,81"/>
        <filter val="234,29"/>
        <filter val="24,00"/>
        <filter val="240,00"/>
        <filter val="248,00"/>
        <filter val="249,00"/>
        <filter val="249,76"/>
        <filter val="25,00"/>
        <filter val="25,40"/>
        <filter val="26,00"/>
        <filter val="26,72"/>
        <filter val="272,50"/>
        <filter val="277,86"/>
        <filter val="29,00"/>
        <filter val="3,00"/>
        <filter val="3,17"/>
        <filter val="3,33"/>
        <filter val="3,89"/>
        <filter val="30,00"/>
        <filter val="300,00"/>
        <filter val="304,00"/>
        <filter val="309,74"/>
        <filter val="319,00"/>
        <filter val="32,00"/>
        <filter val="327,00"/>
        <filter val="34,00"/>
        <filter val="341,00"/>
        <filter val="35,67"/>
        <filter val="377,00"/>
        <filter val="4,00"/>
        <filter val="40,00"/>
        <filter val="40,56"/>
        <filter val="400,00"/>
        <filter val="42,00"/>
        <filter val="45,00"/>
        <filter val="46,00"/>
        <filter val="468,00"/>
        <filter val="47,00"/>
        <filter val="480,00"/>
        <filter val="492,00"/>
        <filter val="50,00"/>
        <filter val="527,00"/>
        <filter val="56,45"/>
        <filter val="56,55"/>
        <filter val="6,00"/>
        <filter val="6,25"/>
        <filter val="6,67"/>
        <filter val="60,00"/>
        <filter val="600,00"/>
        <filter val="63,00"/>
        <filter val="65,00"/>
        <filter val="65,56"/>
        <filter val="654,00"/>
        <filter val="66,00"/>
        <filter val="66,67"/>
        <filter val="679,00"/>
        <filter val="68,94"/>
        <filter val="7,00"/>
        <filter val="70,00"/>
        <filter val="72,00"/>
        <filter val="72,59"/>
        <filter val="74,81"/>
        <filter val="75,00"/>
        <filter val="8,00"/>
        <filter val="80,00"/>
        <filter val="84,46"/>
        <filter val="845,00"/>
        <filter val="9,47"/>
        <filter val="90,00"/>
        <filter val="91,19"/>
        <filter val="95,00"/>
      </filters>
    </filterColumn>
    <filterColumn colId="29" showButton="0"/>
    <filterColumn colId="30" showButton="0"/>
  </autoFilter>
  <mergeCells count="876"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A103:O104"/>
    <mergeCell ref="M17:M18"/>
    <mergeCell ref="O17:O18"/>
    <mergeCell ref="P114:T114"/>
    <mergeCell ref="P70:V70"/>
    <mergeCell ref="D86:E86"/>
    <mergeCell ref="P101:T101"/>
    <mergeCell ref="A136:O137"/>
    <mergeCell ref="A254:Z254"/>
    <mergeCell ref="P181:T181"/>
    <mergeCell ref="F17:F18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P492:V492"/>
    <mergeCell ref="P286:V286"/>
    <mergeCell ref="P479:V479"/>
    <mergeCell ref="A339:O340"/>
    <mergeCell ref="D318:E318"/>
    <mergeCell ref="D389:E389"/>
    <mergeCell ref="P201:T201"/>
    <mergeCell ref="P176:T176"/>
    <mergeCell ref="P247:T247"/>
    <mergeCell ref="A328:Z328"/>
    <mergeCell ref="A157:Z157"/>
    <mergeCell ref="D447:E447"/>
    <mergeCell ref="P301:T301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A156:Z156"/>
    <mergeCell ref="P116:V116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D436:E436"/>
    <mergeCell ref="D292:E292"/>
    <mergeCell ref="P346:T346"/>
    <mergeCell ref="A243:O244"/>
    <mergeCell ref="D227:E227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P295:T295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J9:M9"/>
    <mergeCell ref="A296:O297"/>
    <mergeCell ref="D112:E112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A138:Z138"/>
    <mergeCell ref="P307:V307"/>
    <mergeCell ref="P380:T380"/>
    <mergeCell ref="P58:V58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419:Z419"/>
    <mergeCell ref="D477:E477"/>
    <mergeCell ref="A153:O154"/>
    <mergeCell ref="A133:Z133"/>
    <mergeCell ref="P375:T375"/>
    <mergeCell ref="D125:E125"/>
    <mergeCell ref="P446:T446"/>
    <mergeCell ref="P207:T207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P15:T16"/>
    <mergeCell ref="A275:O276"/>
    <mergeCell ref="P219:T219"/>
    <mergeCell ref="A335:Z335"/>
    <mergeCell ref="D162:E162"/>
    <mergeCell ref="P272:T272"/>
    <mergeCell ref="D460:E460"/>
    <mergeCell ref="P210:T210"/>
    <mergeCell ref="P439:V439"/>
    <mergeCell ref="D398:E398"/>
    <mergeCell ref="D91:E91"/>
    <mergeCell ref="P433:V433"/>
    <mergeCell ref="A69:O70"/>
    <mergeCell ref="D106:E106"/>
    <mergeCell ref="D416:E416"/>
    <mergeCell ref="P427:T427"/>
    <mergeCell ref="D264:E264"/>
    <mergeCell ref="D93:E93"/>
    <mergeCell ref="D391:E391"/>
    <mergeCell ref="D220:E220"/>
    <mergeCell ref="A195:Z195"/>
    <mergeCell ref="P297:V297"/>
    <mergeCell ref="P285:T285"/>
    <mergeCell ref="P136:V136"/>
    <mergeCell ref="A483:O484"/>
    <mergeCell ref="D169:E169"/>
    <mergeCell ref="P204:V204"/>
    <mergeCell ref="P82:V82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P429:T429"/>
    <mergeCell ref="P258:T258"/>
    <mergeCell ref="D369:E369"/>
    <mergeCell ref="P423:T423"/>
    <mergeCell ref="A182:O183"/>
    <mergeCell ref="P52:T52"/>
    <mergeCell ref="D108:E108"/>
    <mergeCell ref="P350:T350"/>
    <mergeCell ref="D267:E267"/>
    <mergeCell ref="D425:E425"/>
    <mergeCell ref="D359:E359"/>
    <mergeCell ref="P56:T56"/>
    <mergeCell ref="P344:T344"/>
    <mergeCell ref="A400:O401"/>
    <mergeCell ref="D257:E257"/>
    <mergeCell ref="P214:T214"/>
    <mergeCell ref="D213:E213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482:T482"/>
    <mergeCell ref="D354:E354"/>
    <mergeCell ref="A332:O333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A498:A499"/>
    <mergeCell ref="P265:T265"/>
    <mergeCell ref="P94:T94"/>
    <mergeCell ref="D379:E379"/>
    <mergeCell ref="D208:E208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T498:T499"/>
    <mergeCell ref="P443:T443"/>
    <mergeCell ref="D197:E197"/>
    <mergeCell ref="D53:E53"/>
    <mergeCell ref="A84:Z84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V10:W10"/>
    <mergeCell ref="P379:T379"/>
    <mergeCell ref="D360:E360"/>
    <mergeCell ref="D431:E431"/>
    <mergeCell ref="P99:T99"/>
    <mergeCell ref="P170:T170"/>
    <mergeCell ref="P468:T468"/>
    <mergeCell ref="P316:T316"/>
    <mergeCell ref="D66:E66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329:E329"/>
    <mergeCell ref="D158:E158"/>
    <mergeCell ref="A402:Z402"/>
    <mergeCell ref="D229:E229"/>
    <mergeCell ref="P79:T7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A83:Z83"/>
    <mergeCell ref="D410:E410"/>
    <mergeCell ref="A441:Z441"/>
    <mergeCell ref="A270:Z270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P187:T187"/>
    <mergeCell ref="D375:E37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2025-11-18T10:06:27Z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