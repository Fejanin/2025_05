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CE7C49B-D025-41DF-8D3D-137EB07837F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Y400" i="1" s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X327" i="1"/>
  <c r="X326" i="1"/>
  <c r="BP325" i="1"/>
  <c r="BO325" i="1"/>
  <c r="BN325" i="1"/>
  <c r="BM325" i="1"/>
  <c r="Z325" i="1"/>
  <c r="Y325" i="1"/>
  <c r="P325" i="1"/>
  <c r="BO324" i="1"/>
  <c r="BM324" i="1"/>
  <c r="Y324" i="1"/>
  <c r="P324" i="1"/>
  <c r="BO323" i="1"/>
  <c r="BM323" i="1"/>
  <c r="Y323" i="1"/>
  <c r="BO322" i="1"/>
  <c r="BM322" i="1"/>
  <c r="Y322" i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X297" i="1"/>
  <c r="X296" i="1"/>
  <c r="BO295" i="1"/>
  <c r="BM295" i="1"/>
  <c r="Y295" i="1"/>
  <c r="P295" i="1"/>
  <c r="BO294" i="1"/>
  <c r="BM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X282" i="1"/>
  <c r="X281" i="1"/>
  <c r="BO280" i="1"/>
  <c r="BM280" i="1"/>
  <c r="Y280" i="1"/>
  <c r="P280" i="1"/>
  <c r="BO279" i="1"/>
  <c r="BM279" i="1"/>
  <c r="Y279" i="1"/>
  <c r="Y281" i="1" s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O163" i="1"/>
  <c r="BM163" i="1"/>
  <c r="Y163" i="1"/>
  <c r="P163" i="1"/>
  <c r="BO162" i="1"/>
  <c r="BM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Y58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F10" i="1" s="1"/>
  <c r="D7" i="1"/>
  <c r="Q6" i="1"/>
  <c r="P2" i="1"/>
  <c r="Y154" i="1" l="1"/>
  <c r="Y153" i="1"/>
  <c r="BP152" i="1"/>
  <c r="BN152" i="1"/>
  <c r="Z152" i="1"/>
  <c r="Z153" i="1" s="1"/>
  <c r="Y159" i="1"/>
  <c r="BP158" i="1"/>
  <c r="BN158" i="1"/>
  <c r="Z158" i="1"/>
  <c r="Z159" i="1" s="1"/>
  <c r="BP169" i="1"/>
  <c r="BN169" i="1"/>
  <c r="Z169" i="1"/>
  <c r="BP202" i="1"/>
  <c r="BN202" i="1"/>
  <c r="Z202" i="1"/>
  <c r="BP228" i="1"/>
  <c r="BN228" i="1"/>
  <c r="Z228" i="1"/>
  <c r="BP257" i="1"/>
  <c r="BN257" i="1"/>
  <c r="Z257" i="1"/>
  <c r="BP285" i="1"/>
  <c r="BN285" i="1"/>
  <c r="Z285" i="1"/>
  <c r="BP312" i="1"/>
  <c r="BN312" i="1"/>
  <c r="Z312" i="1"/>
  <c r="BP346" i="1"/>
  <c r="BN346" i="1"/>
  <c r="Z346" i="1"/>
  <c r="BP379" i="1"/>
  <c r="BN379" i="1"/>
  <c r="Z379" i="1"/>
  <c r="BP425" i="1"/>
  <c r="BN425" i="1"/>
  <c r="Z425" i="1"/>
  <c r="BP451" i="1"/>
  <c r="BN451" i="1"/>
  <c r="Z451" i="1"/>
  <c r="X491" i="1"/>
  <c r="X494" i="1"/>
  <c r="Z27" i="1"/>
  <c r="BN27" i="1"/>
  <c r="Z54" i="1"/>
  <c r="BN54" i="1"/>
  <c r="Z67" i="1"/>
  <c r="BN67" i="1"/>
  <c r="Z86" i="1"/>
  <c r="BN86" i="1"/>
  <c r="Z101" i="1"/>
  <c r="BN101" i="1"/>
  <c r="Z119" i="1"/>
  <c r="Z120" i="1" s="1"/>
  <c r="BN119" i="1"/>
  <c r="BP119" i="1"/>
  <c r="Y120" i="1"/>
  <c r="Z124" i="1"/>
  <c r="BN124" i="1"/>
  <c r="BP147" i="1"/>
  <c r="BN147" i="1"/>
  <c r="Z147" i="1"/>
  <c r="Y183" i="1"/>
  <c r="Y182" i="1"/>
  <c r="BP181" i="1"/>
  <c r="BN181" i="1"/>
  <c r="Z181" i="1"/>
  <c r="Z182" i="1" s="1"/>
  <c r="BP186" i="1"/>
  <c r="BN186" i="1"/>
  <c r="Z186" i="1"/>
  <c r="BP213" i="1"/>
  <c r="BN213" i="1"/>
  <c r="Z213" i="1"/>
  <c r="Y240" i="1"/>
  <c r="Y239" i="1"/>
  <c r="BP238" i="1"/>
  <c r="BN238" i="1"/>
  <c r="Z238" i="1"/>
  <c r="Z239" i="1" s="1"/>
  <c r="Y244" i="1"/>
  <c r="Y243" i="1"/>
  <c r="BP242" i="1"/>
  <c r="BN242" i="1"/>
  <c r="Z242" i="1"/>
  <c r="Z243" i="1" s="1"/>
  <c r="BP246" i="1"/>
  <c r="BN246" i="1"/>
  <c r="Z246" i="1"/>
  <c r="BP273" i="1"/>
  <c r="BN273" i="1"/>
  <c r="Z273" i="1"/>
  <c r="BP300" i="1"/>
  <c r="BN300" i="1"/>
  <c r="Z300" i="1"/>
  <c r="BP329" i="1"/>
  <c r="BN329" i="1"/>
  <c r="Z329" i="1"/>
  <c r="BP347" i="1"/>
  <c r="BN347" i="1"/>
  <c r="Z347" i="1"/>
  <c r="BP393" i="1"/>
  <c r="BN393" i="1"/>
  <c r="Z393" i="1"/>
  <c r="BP437" i="1"/>
  <c r="BN437" i="1"/>
  <c r="Z437" i="1"/>
  <c r="BP473" i="1"/>
  <c r="BN473" i="1"/>
  <c r="Z473" i="1"/>
  <c r="Y339" i="1"/>
  <c r="Y81" i="1"/>
  <c r="BP79" i="1"/>
  <c r="BN79" i="1"/>
  <c r="BP92" i="1"/>
  <c r="BN92" i="1"/>
  <c r="Z92" i="1"/>
  <c r="BP107" i="1"/>
  <c r="BN107" i="1"/>
  <c r="Z107" i="1"/>
  <c r="BP130" i="1"/>
  <c r="BN130" i="1"/>
  <c r="Z130" i="1"/>
  <c r="BP163" i="1"/>
  <c r="BN163" i="1"/>
  <c r="Z163" i="1"/>
  <c r="BP171" i="1"/>
  <c r="BN171" i="1"/>
  <c r="Z171" i="1"/>
  <c r="BP192" i="1"/>
  <c r="BN192" i="1"/>
  <c r="Z192" i="1"/>
  <c r="BP196" i="1"/>
  <c r="BN196" i="1"/>
  <c r="Z196" i="1"/>
  <c r="BP207" i="1"/>
  <c r="BN207" i="1"/>
  <c r="Z207" i="1"/>
  <c r="BP215" i="1"/>
  <c r="BN215" i="1"/>
  <c r="Z215" i="1"/>
  <c r="BP230" i="1"/>
  <c r="BN230" i="1"/>
  <c r="Z230" i="1"/>
  <c r="BP248" i="1"/>
  <c r="BN248" i="1"/>
  <c r="Z248" i="1"/>
  <c r="BP259" i="1"/>
  <c r="BN259" i="1"/>
  <c r="Z259" i="1"/>
  <c r="BP280" i="1"/>
  <c r="BN280" i="1"/>
  <c r="Z280" i="1"/>
  <c r="BP290" i="1"/>
  <c r="BN290" i="1"/>
  <c r="Z290" i="1"/>
  <c r="B500" i="1"/>
  <c r="X492" i="1"/>
  <c r="Y31" i="1"/>
  <c r="Z29" i="1"/>
  <c r="BN29" i="1"/>
  <c r="C500" i="1"/>
  <c r="Z52" i="1"/>
  <c r="BN52" i="1"/>
  <c r="Z56" i="1"/>
  <c r="BN56" i="1"/>
  <c r="Z62" i="1"/>
  <c r="BN62" i="1"/>
  <c r="Z73" i="1"/>
  <c r="BN73" i="1"/>
  <c r="Z79" i="1"/>
  <c r="BP99" i="1"/>
  <c r="BN99" i="1"/>
  <c r="Z99" i="1"/>
  <c r="BP115" i="1"/>
  <c r="BN115" i="1"/>
  <c r="Z115" i="1"/>
  <c r="BP141" i="1"/>
  <c r="BN141" i="1"/>
  <c r="Z141" i="1"/>
  <c r="BP167" i="1"/>
  <c r="BN167" i="1"/>
  <c r="Z167" i="1"/>
  <c r="BP177" i="1"/>
  <c r="BN177" i="1"/>
  <c r="Z177" i="1"/>
  <c r="BP200" i="1"/>
  <c r="BN200" i="1"/>
  <c r="Z200" i="1"/>
  <c r="BP211" i="1"/>
  <c r="BN211" i="1"/>
  <c r="Z211" i="1"/>
  <c r="BP226" i="1"/>
  <c r="BN226" i="1"/>
  <c r="Z226" i="1"/>
  <c r="BP234" i="1"/>
  <c r="BN234" i="1"/>
  <c r="Z234" i="1"/>
  <c r="Y261" i="1"/>
  <c r="BP255" i="1"/>
  <c r="BN255" i="1"/>
  <c r="Z255" i="1"/>
  <c r="BP266" i="1"/>
  <c r="BN266" i="1"/>
  <c r="Z266" i="1"/>
  <c r="BP294" i="1"/>
  <c r="BN294" i="1"/>
  <c r="Z294" i="1"/>
  <c r="BP310" i="1"/>
  <c r="BN310" i="1"/>
  <c r="Z310" i="1"/>
  <c r="Y327" i="1"/>
  <c r="BP322" i="1"/>
  <c r="BN322" i="1"/>
  <c r="Z322" i="1"/>
  <c r="Y326" i="1"/>
  <c r="BP331" i="1"/>
  <c r="BN331" i="1"/>
  <c r="Z331" i="1"/>
  <c r="BP349" i="1"/>
  <c r="BN349" i="1"/>
  <c r="Z349" i="1"/>
  <c r="BP387" i="1"/>
  <c r="BN387" i="1"/>
  <c r="Z387" i="1"/>
  <c r="BP399" i="1"/>
  <c r="BN399" i="1"/>
  <c r="Z399" i="1"/>
  <c r="Y405" i="1"/>
  <c r="BP404" i="1"/>
  <c r="BN404" i="1"/>
  <c r="Z404" i="1"/>
  <c r="Z405" i="1" s="1"/>
  <c r="BP408" i="1"/>
  <c r="BN408" i="1"/>
  <c r="Z408" i="1"/>
  <c r="BP427" i="1"/>
  <c r="BN427" i="1"/>
  <c r="Z427" i="1"/>
  <c r="BP443" i="1"/>
  <c r="BN443" i="1"/>
  <c r="Z443" i="1"/>
  <c r="BP453" i="1"/>
  <c r="BN453" i="1"/>
  <c r="Z453" i="1"/>
  <c r="BP459" i="1"/>
  <c r="BN459" i="1"/>
  <c r="Z459" i="1"/>
  <c r="Y479" i="1"/>
  <c r="Y478" i="1"/>
  <c r="BP477" i="1"/>
  <c r="BN477" i="1"/>
  <c r="Z477" i="1"/>
  <c r="Z478" i="1" s="1"/>
  <c r="Y483" i="1"/>
  <c r="BP481" i="1"/>
  <c r="BN481" i="1"/>
  <c r="Z481" i="1"/>
  <c r="Y136" i="1"/>
  <c r="Y252" i="1"/>
  <c r="BP302" i="1"/>
  <c r="BN302" i="1"/>
  <c r="Z302" i="1"/>
  <c r="BP316" i="1"/>
  <c r="BN316" i="1"/>
  <c r="Z316" i="1"/>
  <c r="BP323" i="1"/>
  <c r="BN323" i="1"/>
  <c r="Z323" i="1"/>
  <c r="BP338" i="1"/>
  <c r="BN338" i="1"/>
  <c r="Z338" i="1"/>
  <c r="BP344" i="1"/>
  <c r="BN344" i="1"/>
  <c r="Z344" i="1"/>
  <c r="BP375" i="1"/>
  <c r="BN375" i="1"/>
  <c r="Z375" i="1"/>
  <c r="BP391" i="1"/>
  <c r="BN391" i="1"/>
  <c r="Z391" i="1"/>
  <c r="BP423" i="1"/>
  <c r="BN423" i="1"/>
  <c r="Z423" i="1"/>
  <c r="BP431" i="1"/>
  <c r="BN431" i="1"/>
  <c r="Z431" i="1"/>
  <c r="BP447" i="1"/>
  <c r="BN447" i="1"/>
  <c r="Z447" i="1"/>
  <c r="BP467" i="1"/>
  <c r="BN467" i="1"/>
  <c r="Z467" i="1"/>
  <c r="Y381" i="1"/>
  <c r="Y455" i="1"/>
  <c r="Y454" i="1"/>
  <c r="H9" i="1"/>
  <c r="A10" i="1"/>
  <c r="Y24" i="1"/>
  <c r="Y32" i="1"/>
  <c r="Y36" i="1"/>
  <c r="Y44" i="1"/>
  <c r="Y48" i="1"/>
  <c r="Y57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Y127" i="1"/>
  <c r="Y132" i="1"/>
  <c r="BP129" i="1"/>
  <c r="BN129" i="1"/>
  <c r="Z129" i="1"/>
  <c r="Z131" i="1" s="1"/>
  <c r="BP142" i="1"/>
  <c r="BN142" i="1"/>
  <c r="Z142" i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BP197" i="1"/>
  <c r="BN197" i="1"/>
  <c r="Z197" i="1"/>
  <c r="BP201" i="1"/>
  <c r="BN201" i="1"/>
  <c r="Z201" i="1"/>
  <c r="BP249" i="1"/>
  <c r="BN249" i="1"/>
  <c r="Z249" i="1"/>
  <c r="BP267" i="1"/>
  <c r="BN267" i="1"/>
  <c r="Z267" i="1"/>
  <c r="Y269" i="1"/>
  <c r="O500" i="1"/>
  <c r="Y275" i="1"/>
  <c r="BP272" i="1"/>
  <c r="BN272" i="1"/>
  <c r="Z272" i="1"/>
  <c r="Y276" i="1"/>
  <c r="Y287" i="1"/>
  <c r="BP284" i="1"/>
  <c r="BN284" i="1"/>
  <c r="Z284" i="1"/>
  <c r="Y286" i="1"/>
  <c r="BP330" i="1"/>
  <c r="BN330" i="1"/>
  <c r="Z330" i="1"/>
  <c r="Z332" i="1" s="1"/>
  <c r="Y332" i="1"/>
  <c r="D500" i="1"/>
  <c r="F9" i="1"/>
  <c r="J9" i="1"/>
  <c r="Z22" i="1"/>
  <c r="Z23" i="1" s="1"/>
  <c r="BN22" i="1"/>
  <c r="BP22" i="1"/>
  <c r="Y23" i="1"/>
  <c r="X490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63" i="1"/>
  <c r="Z61" i="1"/>
  <c r="BN61" i="1"/>
  <c r="BP68" i="1"/>
  <c r="BN68" i="1"/>
  <c r="Z68" i="1"/>
  <c r="Y70" i="1"/>
  <c r="Y77" i="1"/>
  <c r="BP72" i="1"/>
  <c r="BN72" i="1"/>
  <c r="Z72" i="1"/>
  <c r="Y76" i="1"/>
  <c r="BP80" i="1"/>
  <c r="BN80" i="1"/>
  <c r="Z80" i="1"/>
  <c r="Z81" i="1" s="1"/>
  <c r="Y82" i="1"/>
  <c r="E500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Y131" i="1"/>
  <c r="BP135" i="1"/>
  <c r="BN135" i="1"/>
  <c r="Z135" i="1"/>
  <c r="Z136" i="1" s="1"/>
  <c r="Y137" i="1"/>
  <c r="H500" i="1"/>
  <c r="Y143" i="1"/>
  <c r="BP140" i="1"/>
  <c r="BN140" i="1"/>
  <c r="Z140" i="1"/>
  <c r="BP148" i="1"/>
  <c r="BN148" i="1"/>
  <c r="Z148" i="1"/>
  <c r="Y15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Y189" i="1"/>
  <c r="Y194" i="1"/>
  <c r="BP191" i="1"/>
  <c r="BN191" i="1"/>
  <c r="Z191" i="1"/>
  <c r="BP199" i="1"/>
  <c r="BN199" i="1"/>
  <c r="Z199" i="1"/>
  <c r="BP203" i="1"/>
  <c r="BN203" i="1"/>
  <c r="Z203" i="1"/>
  <c r="BP208" i="1"/>
  <c r="BN208" i="1"/>
  <c r="Z208" i="1"/>
  <c r="BP212" i="1"/>
  <c r="BN212" i="1"/>
  <c r="Z212" i="1"/>
  <c r="Y216" i="1"/>
  <c r="BP220" i="1"/>
  <c r="BN220" i="1"/>
  <c r="Z220" i="1"/>
  <c r="Z221" i="1" s="1"/>
  <c r="Y222" i="1"/>
  <c r="K500" i="1"/>
  <c r="Y236" i="1"/>
  <c r="BP225" i="1"/>
  <c r="BN225" i="1"/>
  <c r="Z225" i="1"/>
  <c r="Y235" i="1"/>
  <c r="BP229" i="1"/>
  <c r="BN229" i="1"/>
  <c r="Z229" i="1"/>
  <c r="BP233" i="1"/>
  <c r="BN233" i="1"/>
  <c r="Z233" i="1"/>
  <c r="BP258" i="1"/>
  <c r="BN258" i="1"/>
  <c r="Z258" i="1"/>
  <c r="Q500" i="1"/>
  <c r="BP293" i="1"/>
  <c r="BN293" i="1"/>
  <c r="Z293" i="1"/>
  <c r="BP301" i="1"/>
  <c r="BN301" i="1"/>
  <c r="Z301" i="1"/>
  <c r="BP305" i="1"/>
  <c r="BN305" i="1"/>
  <c r="Z305" i="1"/>
  <c r="Y307" i="1"/>
  <c r="Y314" i="1"/>
  <c r="BP309" i="1"/>
  <c r="BN309" i="1"/>
  <c r="Z309" i="1"/>
  <c r="Y313" i="1"/>
  <c r="BP317" i="1"/>
  <c r="BN317" i="1"/>
  <c r="Z317" i="1"/>
  <c r="Z319" i="1" s="1"/>
  <c r="Y319" i="1"/>
  <c r="BP345" i="1"/>
  <c r="BN345" i="1"/>
  <c r="Z345" i="1"/>
  <c r="BP350" i="1"/>
  <c r="BN350" i="1"/>
  <c r="Z350" i="1"/>
  <c r="Y352" i="1"/>
  <c r="Y356" i="1"/>
  <c r="Y357" i="1"/>
  <c r="BP354" i="1"/>
  <c r="BN354" i="1"/>
  <c r="Z354" i="1"/>
  <c r="Z356" i="1" s="1"/>
  <c r="BP388" i="1"/>
  <c r="BN388" i="1"/>
  <c r="Z388" i="1"/>
  <c r="BP392" i="1"/>
  <c r="BN392" i="1"/>
  <c r="Z392" i="1"/>
  <c r="BP409" i="1"/>
  <c r="BN409" i="1"/>
  <c r="Z409" i="1"/>
  <c r="Y413" i="1"/>
  <c r="BP424" i="1"/>
  <c r="BN424" i="1"/>
  <c r="Z424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F500" i="1"/>
  <c r="Y103" i="1"/>
  <c r="G500" i="1"/>
  <c r="Y126" i="1"/>
  <c r="I500" i="1"/>
  <c r="Y160" i="1"/>
  <c r="J500" i="1"/>
  <c r="Y188" i="1"/>
  <c r="Y205" i="1"/>
  <c r="Y204" i="1"/>
  <c r="Y217" i="1"/>
  <c r="BP210" i="1"/>
  <c r="BN210" i="1"/>
  <c r="Z210" i="1"/>
  <c r="BP214" i="1"/>
  <c r="BN214" i="1"/>
  <c r="Z214" i="1"/>
  <c r="Y221" i="1"/>
  <c r="BP227" i="1"/>
  <c r="BN227" i="1"/>
  <c r="Z227" i="1"/>
  <c r="BP231" i="1"/>
  <c r="BN231" i="1"/>
  <c r="Z231" i="1"/>
  <c r="BP247" i="1"/>
  <c r="BN247" i="1"/>
  <c r="Z247" i="1"/>
  <c r="Z251" i="1" s="1"/>
  <c r="Y251" i="1"/>
  <c r="BP256" i="1"/>
  <c r="BN256" i="1"/>
  <c r="Z256" i="1"/>
  <c r="Z260" i="1" s="1"/>
  <c r="Y260" i="1"/>
  <c r="BP265" i="1"/>
  <c r="BN265" i="1"/>
  <c r="Z265" i="1"/>
  <c r="Z268" i="1" s="1"/>
  <c r="BP274" i="1"/>
  <c r="BN274" i="1"/>
  <c r="Z274" i="1"/>
  <c r="P500" i="1"/>
  <c r="Y282" i="1"/>
  <c r="BP279" i="1"/>
  <c r="BN279" i="1"/>
  <c r="Z279" i="1"/>
  <c r="Z281" i="1" s="1"/>
  <c r="BP291" i="1"/>
  <c r="BN291" i="1"/>
  <c r="Z291" i="1"/>
  <c r="BP295" i="1"/>
  <c r="BN295" i="1"/>
  <c r="Z295" i="1"/>
  <c r="Y297" i="1"/>
  <c r="Y306" i="1"/>
  <c r="BP299" i="1"/>
  <c r="BN299" i="1"/>
  <c r="Z299" i="1"/>
  <c r="BP303" i="1"/>
  <c r="BN303" i="1"/>
  <c r="Z303" i="1"/>
  <c r="BP311" i="1"/>
  <c r="BN311" i="1"/>
  <c r="Z311" i="1"/>
  <c r="Y320" i="1"/>
  <c r="BP324" i="1"/>
  <c r="BN324" i="1"/>
  <c r="Z324" i="1"/>
  <c r="Y333" i="1"/>
  <c r="BP337" i="1"/>
  <c r="BN337" i="1"/>
  <c r="Z337" i="1"/>
  <c r="Z339" i="1" s="1"/>
  <c r="BP348" i="1"/>
  <c r="BN348" i="1"/>
  <c r="Z348" i="1"/>
  <c r="BP370" i="1"/>
  <c r="BN370" i="1"/>
  <c r="Z370" i="1"/>
  <c r="Z371" i="1" s="1"/>
  <c r="Y372" i="1"/>
  <c r="Y377" i="1"/>
  <c r="BP374" i="1"/>
  <c r="BN374" i="1"/>
  <c r="Z374" i="1"/>
  <c r="Y376" i="1"/>
  <c r="L500" i="1"/>
  <c r="M500" i="1"/>
  <c r="Y268" i="1"/>
  <c r="Y296" i="1"/>
  <c r="R500" i="1"/>
  <c r="Y340" i="1"/>
  <c r="S500" i="1"/>
  <c r="Y351" i="1"/>
  <c r="Y362" i="1"/>
  <c r="BP359" i="1"/>
  <c r="BN359" i="1"/>
  <c r="Z359" i="1"/>
  <c r="Z361" i="1" s="1"/>
  <c r="BP380" i="1"/>
  <c r="BN380" i="1"/>
  <c r="Z380" i="1"/>
  <c r="Z381" i="1" s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BP452" i="1"/>
  <c r="BN452" i="1"/>
  <c r="Z452" i="1"/>
  <c r="Z454" i="1" s="1"/>
  <c r="Y463" i="1"/>
  <c r="BP462" i="1"/>
  <c r="BN462" i="1"/>
  <c r="Z462" i="1"/>
  <c r="Y469" i="1"/>
  <c r="BP466" i="1"/>
  <c r="BN466" i="1"/>
  <c r="Z466" i="1"/>
  <c r="Z469" i="1" s="1"/>
  <c r="BP482" i="1"/>
  <c r="BN482" i="1"/>
  <c r="Z482" i="1"/>
  <c r="Y484" i="1"/>
  <c r="Z500" i="1"/>
  <c r="Y488" i="1"/>
  <c r="BP487" i="1"/>
  <c r="BN487" i="1"/>
  <c r="Z487" i="1"/>
  <c r="Z488" i="1" s="1"/>
  <c r="Y489" i="1"/>
  <c r="Z326" i="1" l="1"/>
  <c r="Z188" i="1"/>
  <c r="Z109" i="1"/>
  <c r="Z63" i="1"/>
  <c r="Z286" i="1"/>
  <c r="Z126" i="1"/>
  <c r="Z103" i="1"/>
  <c r="X493" i="1"/>
  <c r="Z463" i="1"/>
  <c r="Z216" i="1"/>
  <c r="Z204" i="1"/>
  <c r="Z483" i="1"/>
  <c r="Z376" i="1"/>
  <c r="Z296" i="1"/>
  <c r="Z412" i="1"/>
  <c r="Z351" i="1"/>
  <c r="Z193" i="1"/>
  <c r="Z143" i="1"/>
  <c r="Z76" i="1"/>
  <c r="Z43" i="1"/>
  <c r="Z31" i="1"/>
  <c r="Z178" i="1"/>
  <c r="Z395" i="1"/>
  <c r="Z439" i="1"/>
  <c r="Z448" i="1"/>
  <c r="Z433" i="1"/>
  <c r="Z306" i="1"/>
  <c r="Z235" i="1"/>
  <c r="Z57" i="1"/>
  <c r="Y492" i="1"/>
  <c r="Z149" i="1"/>
  <c r="Z69" i="1"/>
  <c r="Y490" i="1"/>
  <c r="Z313" i="1"/>
  <c r="Z172" i="1"/>
  <c r="Y494" i="1"/>
  <c r="Y491" i="1"/>
  <c r="Z275" i="1"/>
  <c r="Z116" i="1"/>
  <c r="Z95" i="1"/>
  <c r="Z495" i="1" l="1"/>
  <c r="Y493" i="1"/>
</calcChain>
</file>

<file path=xl/sharedStrings.xml><?xml version="1.0" encoding="utf-8"?>
<sst xmlns="http://schemas.openxmlformats.org/spreadsheetml/2006/main" count="2350" uniqueCount="771">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</sst>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0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9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32" t="s">
        <v>0</v>
      </c>
      <c r="E1" s="577"/>
      <c r="F1" s="577"/>
      <c r="G1" s="12" t="s">
        <v>1</v>
      </c>
      <c r="H1" s="632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576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82" t="s">
        <v>8</v>
      </c>
      <c r="B5" s="644"/>
      <c r="C5" s="645"/>
      <c r="D5" s="635"/>
      <c r="E5" s="636"/>
      <c r="F5" s="833" t="s">
        <v>9</v>
      </c>
      <c r="G5" s="645"/>
      <c r="H5" s="635" t="s">
        <v>770</v>
      </c>
      <c r="I5" s="787"/>
      <c r="J5" s="787"/>
      <c r="K5" s="787"/>
      <c r="L5" s="787"/>
      <c r="M5" s="636"/>
      <c r="N5" s="58"/>
      <c r="P5" s="24" t="s">
        <v>10</v>
      </c>
      <c r="Q5" s="849">
        <v>45981</v>
      </c>
      <c r="R5" s="673"/>
      <c r="T5" s="716" t="s">
        <v>11</v>
      </c>
      <c r="U5" s="717"/>
      <c r="V5" s="718" t="s">
        <v>12</v>
      </c>
      <c r="W5" s="673"/>
      <c r="AB5" s="51"/>
      <c r="AC5" s="51"/>
      <c r="AD5" s="51"/>
      <c r="AE5" s="51"/>
    </row>
    <row r="6" spans="1:32" s="537" customFormat="1" ht="24" customHeight="1" x14ac:dyDescent="0.2">
      <c r="A6" s="682" t="s">
        <v>13</v>
      </c>
      <c r="B6" s="644"/>
      <c r="C6" s="645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73"/>
      <c r="N6" s="59"/>
      <c r="P6" s="24" t="s">
        <v>15</v>
      </c>
      <c r="Q6" s="854" t="str">
        <f>IF(Q5=0," ",CHOOSE(WEEKDAY(Q5,2),"Понедельник","Вторник","Среда","Четверг","Пятница","Суббота","Воскресенье"))</f>
        <v>Четверг</v>
      </c>
      <c r="R6" s="548"/>
      <c r="T6" s="726" t="s">
        <v>16</v>
      </c>
      <c r="U6" s="717"/>
      <c r="V6" s="771" t="s">
        <v>17</v>
      </c>
      <c r="W6" s="590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54"/>
      <c r="U7" s="717"/>
      <c r="V7" s="772"/>
      <c r="W7" s="773"/>
      <c r="AB7" s="51"/>
      <c r="AC7" s="51"/>
      <c r="AD7" s="51"/>
      <c r="AE7" s="51"/>
    </row>
    <row r="8" spans="1:32" s="537" customFormat="1" ht="25.5" customHeight="1" x14ac:dyDescent="0.2">
      <c r="A8" s="869" t="s">
        <v>18</v>
      </c>
      <c r="B8" s="562"/>
      <c r="C8" s="563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8">
        <v>0.54166666666666663</v>
      </c>
      <c r="R8" s="611"/>
      <c r="T8" s="554"/>
      <c r="U8" s="717"/>
      <c r="V8" s="772"/>
      <c r="W8" s="773"/>
      <c r="AB8" s="51"/>
      <c r="AC8" s="51"/>
      <c r="AD8" s="51"/>
      <c r="AE8" s="51"/>
    </row>
    <row r="9" spans="1:32" s="537" customFormat="1" ht="39.950000000000003" customHeight="1" x14ac:dyDescent="0.2">
      <c r="A9" s="6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77"/>
      <c r="E9" s="568"/>
      <c r="F9" s="6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5"/>
      <c r="P9" s="26" t="s">
        <v>21</v>
      </c>
      <c r="Q9" s="669"/>
      <c r="R9" s="670"/>
      <c r="T9" s="554"/>
      <c r="U9" s="717"/>
      <c r="V9" s="774"/>
      <c r="W9" s="775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77"/>
      <c r="E10" s="568"/>
      <c r="F10" s="6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8" t="str">
        <f>IFERROR(VLOOKUP($D$10,Proxy,2,FALSE),"")</f>
        <v/>
      </c>
      <c r="I10" s="554"/>
      <c r="J10" s="554"/>
      <c r="K10" s="554"/>
      <c r="L10" s="554"/>
      <c r="M10" s="554"/>
      <c r="N10" s="536"/>
      <c r="P10" s="26" t="s">
        <v>22</v>
      </c>
      <c r="Q10" s="727"/>
      <c r="R10" s="728"/>
      <c r="U10" s="24" t="s">
        <v>23</v>
      </c>
      <c r="V10" s="589" t="s">
        <v>24</v>
      </c>
      <c r="W10" s="590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3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7" t="s">
        <v>29</v>
      </c>
      <c r="B12" s="644"/>
      <c r="C12" s="644"/>
      <c r="D12" s="644"/>
      <c r="E12" s="644"/>
      <c r="F12" s="644"/>
      <c r="G12" s="644"/>
      <c r="H12" s="644"/>
      <c r="I12" s="644"/>
      <c r="J12" s="644"/>
      <c r="K12" s="644"/>
      <c r="L12" s="644"/>
      <c r="M12" s="645"/>
      <c r="N12" s="62"/>
      <c r="P12" s="24" t="s">
        <v>30</v>
      </c>
      <c r="Q12" s="688"/>
      <c r="R12" s="611"/>
      <c r="S12" s="23"/>
      <c r="U12" s="24"/>
      <c r="V12" s="577"/>
      <c r="W12" s="554"/>
      <c r="AB12" s="51"/>
      <c r="AC12" s="51"/>
      <c r="AD12" s="51"/>
      <c r="AE12" s="51"/>
    </row>
    <row r="13" spans="1:32" s="537" customFormat="1" ht="23.25" customHeight="1" x14ac:dyDescent="0.2">
      <c r="A13" s="707" t="s">
        <v>31</v>
      </c>
      <c r="B13" s="644"/>
      <c r="C13" s="644"/>
      <c r="D13" s="644"/>
      <c r="E13" s="644"/>
      <c r="F13" s="644"/>
      <c r="G13" s="644"/>
      <c r="H13" s="644"/>
      <c r="I13" s="644"/>
      <c r="J13" s="644"/>
      <c r="K13" s="644"/>
      <c r="L13" s="644"/>
      <c r="M13" s="645"/>
      <c r="N13" s="62"/>
      <c r="O13" s="26"/>
      <c r="P13" s="26" t="s">
        <v>32</v>
      </c>
      <c r="Q13" s="803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7" t="s">
        <v>33</v>
      </c>
      <c r="B14" s="644"/>
      <c r="C14" s="644"/>
      <c r="D14" s="644"/>
      <c r="E14" s="644"/>
      <c r="F14" s="644"/>
      <c r="G14" s="644"/>
      <c r="H14" s="644"/>
      <c r="I14" s="644"/>
      <c r="J14" s="644"/>
      <c r="K14" s="644"/>
      <c r="L14" s="644"/>
      <c r="M14" s="64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7" t="s">
        <v>34</v>
      </c>
      <c r="B15" s="644"/>
      <c r="C15" s="644"/>
      <c r="D15" s="644"/>
      <c r="E15" s="644"/>
      <c r="F15" s="644"/>
      <c r="G15" s="644"/>
      <c r="H15" s="644"/>
      <c r="I15" s="644"/>
      <c r="J15" s="644"/>
      <c r="K15" s="644"/>
      <c r="L15" s="644"/>
      <c r="M15" s="645"/>
      <c r="N15" s="63"/>
      <c r="P15" s="700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7" t="s">
        <v>36</v>
      </c>
      <c r="B17" s="587" t="s">
        <v>37</v>
      </c>
      <c r="C17" s="694" t="s">
        <v>38</v>
      </c>
      <c r="D17" s="587" t="s">
        <v>39</v>
      </c>
      <c r="E17" s="653"/>
      <c r="F17" s="587" t="s">
        <v>40</v>
      </c>
      <c r="G17" s="587" t="s">
        <v>41</v>
      </c>
      <c r="H17" s="587" t="s">
        <v>42</v>
      </c>
      <c r="I17" s="587" t="s">
        <v>43</v>
      </c>
      <c r="J17" s="587" t="s">
        <v>44</v>
      </c>
      <c r="K17" s="587" t="s">
        <v>45</v>
      </c>
      <c r="L17" s="587" t="s">
        <v>46</v>
      </c>
      <c r="M17" s="587" t="s">
        <v>47</v>
      </c>
      <c r="N17" s="587" t="s">
        <v>48</v>
      </c>
      <c r="O17" s="587" t="s">
        <v>49</v>
      </c>
      <c r="P17" s="587" t="s">
        <v>50</v>
      </c>
      <c r="Q17" s="652"/>
      <c r="R17" s="652"/>
      <c r="S17" s="652"/>
      <c r="T17" s="653"/>
      <c r="U17" s="864" t="s">
        <v>51</v>
      </c>
      <c r="V17" s="645"/>
      <c r="W17" s="587" t="s">
        <v>52</v>
      </c>
      <c r="X17" s="587" t="s">
        <v>53</v>
      </c>
      <c r="Y17" s="861" t="s">
        <v>54</v>
      </c>
      <c r="Z17" s="782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88"/>
      <c r="B18" s="588"/>
      <c r="C18" s="588"/>
      <c r="D18" s="654"/>
      <c r="E18" s="656"/>
      <c r="F18" s="588"/>
      <c r="G18" s="588"/>
      <c r="H18" s="588"/>
      <c r="I18" s="588"/>
      <c r="J18" s="588"/>
      <c r="K18" s="588"/>
      <c r="L18" s="588"/>
      <c r="M18" s="588"/>
      <c r="N18" s="588"/>
      <c r="O18" s="588"/>
      <c r="P18" s="654"/>
      <c r="Q18" s="655"/>
      <c r="R18" s="655"/>
      <c r="S18" s="655"/>
      <c r="T18" s="656"/>
      <c r="U18" s="67" t="s">
        <v>61</v>
      </c>
      <c r="V18" s="67" t="s">
        <v>62</v>
      </c>
      <c r="W18" s="588"/>
      <c r="X18" s="588"/>
      <c r="Y18" s="862"/>
      <c r="Z18" s="783"/>
      <c r="AA18" s="757"/>
      <c r="AB18" s="757"/>
      <c r="AC18" s="757"/>
      <c r="AD18" s="830"/>
      <c r="AE18" s="831"/>
      <c r="AF18" s="832"/>
      <c r="AG18" s="66"/>
      <c r="BD18" s="65"/>
    </row>
    <row r="19" spans="1:68" ht="27.75" hidden="1" customHeight="1" x14ac:dyDescent="0.2">
      <c r="A19" s="570" t="s">
        <v>63</v>
      </c>
      <c r="B19" s="571"/>
      <c r="C19" s="571"/>
      <c r="D19" s="571"/>
      <c r="E19" s="571"/>
      <c r="F19" s="571"/>
      <c r="G19" s="571"/>
      <c r="H19" s="571"/>
      <c r="I19" s="571"/>
      <c r="J19" s="571"/>
      <c r="K19" s="571"/>
      <c r="L19" s="571"/>
      <c r="M19" s="571"/>
      <c r="N19" s="571"/>
      <c r="O19" s="571"/>
      <c r="P19" s="571"/>
      <c r="Q19" s="571"/>
      <c r="R19" s="571"/>
      <c r="S19" s="571"/>
      <c r="T19" s="571"/>
      <c r="U19" s="571"/>
      <c r="V19" s="571"/>
      <c r="W19" s="571"/>
      <c r="X19" s="571"/>
      <c r="Y19" s="571"/>
      <c r="Z19" s="571"/>
      <c r="AA19" s="48"/>
      <c r="AB19" s="48"/>
      <c r="AC19" s="48"/>
    </row>
    <row r="20" spans="1:68" ht="16.5" hidden="1" customHeight="1" x14ac:dyDescent="0.25">
      <c r="A20" s="558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8"/>
      <c r="AB20" s="538"/>
      <c r="AC20" s="538"/>
    </row>
    <row r="21" spans="1:68" ht="14.25" hidden="1" customHeight="1" x14ac:dyDescent="0.25">
      <c r="A21" s="559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1" t="s">
        <v>71</v>
      </c>
      <c r="Q23" s="562"/>
      <c r="R23" s="562"/>
      <c r="S23" s="562"/>
      <c r="T23" s="562"/>
      <c r="U23" s="562"/>
      <c r="V23" s="563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1" t="s">
        <v>71</v>
      </c>
      <c r="Q24" s="562"/>
      <c r="R24" s="562"/>
      <c r="S24" s="562"/>
      <c r="T24" s="562"/>
      <c r="U24" s="562"/>
      <c r="V24" s="563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hidden="1" customHeight="1" x14ac:dyDescent="0.25">
      <c r="A25" s="559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9"/>
      <c r="AB25" s="539"/>
      <c r="AC25" s="539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2.52</v>
      </c>
      <c r="Y27" s="544">
        <f>IFERROR(IF(X27="",0,CEILING((X27/$H27),1)*$H27),"")</f>
        <v>2.52</v>
      </c>
      <c r="Z27" s="36">
        <f>IFERROR(IF(Y27=0,"",ROUNDUP(Y27/H27,0)*0.00651),"")</f>
        <v>6.5100000000000002E-3</v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2.766</v>
      </c>
      <c r="BN27" s="64">
        <f>IFERROR(Y27*I27/H27,"0")</f>
        <v>2.766</v>
      </c>
      <c r="BO27" s="64">
        <f>IFERROR(1/J27*(X27/H27),"0")</f>
        <v>5.4945054945054949E-3</v>
      </c>
      <c r="BP27" s="64">
        <f>IFERROR(1/J27*(Y27/H27),"0")</f>
        <v>5.4945054945054949E-3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2.52</v>
      </c>
      <c r="Y30" s="544">
        <f>IFERROR(IF(X30="",0,CEILING((X30/$H30),1)*$H30),"")</f>
        <v>2.52</v>
      </c>
      <c r="Z30" s="36">
        <f>IFERROR(IF(Y30=0,"",ROUNDUP(Y30/H30,0)*0.00651),"")</f>
        <v>6.5100000000000002E-3</v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2.766</v>
      </c>
      <c r="BN30" s="64">
        <f>IFERROR(Y30*I30/H30,"0")</f>
        <v>2.766</v>
      </c>
      <c r="BO30" s="64">
        <f>IFERROR(1/J30*(X30/H30),"0")</f>
        <v>5.4945054945054949E-3</v>
      </c>
      <c r="BP30" s="64">
        <f>IFERROR(1/J30*(Y30/H30),"0")</f>
        <v>5.4945054945054949E-3</v>
      </c>
    </row>
    <row r="31" spans="1:68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1" t="s">
        <v>71</v>
      </c>
      <c r="Q31" s="562"/>
      <c r="R31" s="562"/>
      <c r="S31" s="562"/>
      <c r="T31" s="562"/>
      <c r="U31" s="562"/>
      <c r="V31" s="563"/>
      <c r="W31" s="37" t="s">
        <v>72</v>
      </c>
      <c r="X31" s="545">
        <f>IFERROR(X26/H26,"0")+IFERROR(X27/H27,"0")+IFERROR(X28/H28,"0")+IFERROR(X29/H29,"0")+IFERROR(X30/H30,"0")</f>
        <v>2</v>
      </c>
      <c r="Y31" s="545">
        <f>IFERROR(Y26/H26,"0")+IFERROR(Y27/H27,"0")+IFERROR(Y28/H28,"0")+IFERROR(Y29/H29,"0")+IFERROR(Y30/H30,"0")</f>
        <v>2</v>
      </c>
      <c r="Z31" s="545">
        <f>IFERROR(IF(Z26="",0,Z26),"0")+IFERROR(IF(Z27="",0,Z27),"0")+IFERROR(IF(Z28="",0,Z28),"0")+IFERROR(IF(Z29="",0,Z29),"0")+IFERROR(IF(Z30="",0,Z30),"0")</f>
        <v>1.302E-2</v>
      </c>
      <c r="AA31" s="546"/>
      <c r="AB31" s="546"/>
      <c r="AC31" s="546"/>
    </row>
    <row r="32" spans="1:68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1" t="s">
        <v>71</v>
      </c>
      <c r="Q32" s="562"/>
      <c r="R32" s="562"/>
      <c r="S32" s="562"/>
      <c r="T32" s="562"/>
      <c r="U32" s="562"/>
      <c r="V32" s="563"/>
      <c r="W32" s="37" t="s">
        <v>69</v>
      </c>
      <c r="X32" s="545">
        <f>IFERROR(SUM(X26:X30),"0")</f>
        <v>5.04</v>
      </c>
      <c r="Y32" s="545">
        <f>IFERROR(SUM(Y26:Y30),"0")</f>
        <v>5.04</v>
      </c>
      <c r="Z32" s="37"/>
      <c r="AA32" s="546"/>
      <c r="AB32" s="546"/>
      <c r="AC32" s="546"/>
    </row>
    <row r="33" spans="1:68" ht="14.25" hidden="1" customHeight="1" x14ac:dyDescent="0.25">
      <c r="A33" s="559" t="s">
        <v>93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9"/>
      <c r="AB33" s="539"/>
      <c r="AC33" s="539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0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1" t="s">
        <v>71</v>
      </c>
      <c r="Q35" s="562"/>
      <c r="R35" s="562"/>
      <c r="S35" s="562"/>
      <c r="T35" s="562"/>
      <c r="U35" s="562"/>
      <c r="V35" s="563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1" t="s">
        <v>71</v>
      </c>
      <c r="Q36" s="562"/>
      <c r="R36" s="562"/>
      <c r="S36" s="562"/>
      <c r="T36" s="562"/>
      <c r="U36" s="562"/>
      <c r="V36" s="563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570" t="s">
        <v>99</v>
      </c>
      <c r="B37" s="571"/>
      <c r="C37" s="571"/>
      <c r="D37" s="571"/>
      <c r="E37" s="571"/>
      <c r="F37" s="571"/>
      <c r="G37" s="571"/>
      <c r="H37" s="571"/>
      <c r="I37" s="571"/>
      <c r="J37" s="571"/>
      <c r="K37" s="571"/>
      <c r="L37" s="571"/>
      <c r="M37" s="571"/>
      <c r="N37" s="571"/>
      <c r="O37" s="571"/>
      <c r="P37" s="571"/>
      <c r="Q37" s="571"/>
      <c r="R37" s="571"/>
      <c r="S37" s="571"/>
      <c r="T37" s="571"/>
      <c r="U37" s="571"/>
      <c r="V37" s="571"/>
      <c r="W37" s="571"/>
      <c r="X37" s="571"/>
      <c r="Y37" s="571"/>
      <c r="Z37" s="571"/>
      <c r="AA37" s="48"/>
      <c r="AB37" s="48"/>
      <c r="AC37" s="48"/>
    </row>
    <row r="38" spans="1:68" ht="16.5" hidden="1" customHeight="1" x14ac:dyDescent="0.25">
      <c r="A38" s="558" t="s">
        <v>100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8"/>
      <c r="AB38" s="538"/>
      <c r="AC38" s="538"/>
    </row>
    <row r="39" spans="1:68" ht="14.25" hidden="1" customHeight="1" x14ac:dyDescent="0.25">
      <c r="A39" s="559" t="s">
        <v>101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54</v>
      </c>
      <c r="Y40" s="544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56.05</v>
      </c>
      <c r="BN40" s="64">
        <f>IFERROR(Y40*I40/H40,"0")</f>
        <v>56.05</v>
      </c>
      <c r="BO40" s="64">
        <f>IFERROR(1/J40*(X40/H40),"0")</f>
        <v>7.8125E-2</v>
      </c>
      <c r="BP40" s="64">
        <f>IFERROR(1/J40*(Y40/H40),"0")</f>
        <v>7.8125E-2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12</v>
      </c>
      <c r="Y41" s="544">
        <f>IFERROR(IF(X41="",0,CEILING((X41/$H41),1)*$H41),"")</f>
        <v>12</v>
      </c>
      <c r="Z41" s="36">
        <f>IFERROR(IF(Y41=0,"",ROUNDUP(Y41/H41,0)*0.00902),"")</f>
        <v>2.7060000000000001E-2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12.57</v>
      </c>
      <c r="BN41" s="64">
        <f>IFERROR(Y41*I41/H41,"0")</f>
        <v>12.57</v>
      </c>
      <c r="BO41" s="64">
        <f>IFERROR(1/J41*(X41/H41),"0")</f>
        <v>2.2727272727272728E-2</v>
      </c>
      <c r="BP41" s="64">
        <f>IFERROR(1/J41*(Y41/H41),"0")</f>
        <v>2.2727272727272728E-2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1" t="s">
        <v>71</v>
      </c>
      <c r="Q43" s="562"/>
      <c r="R43" s="562"/>
      <c r="S43" s="562"/>
      <c r="T43" s="562"/>
      <c r="U43" s="562"/>
      <c r="V43" s="563"/>
      <c r="W43" s="37" t="s">
        <v>72</v>
      </c>
      <c r="X43" s="545">
        <f>IFERROR(X40/H40,"0")+IFERROR(X41/H41,"0")+IFERROR(X42/H42,"0")</f>
        <v>8</v>
      </c>
      <c r="Y43" s="545">
        <f>IFERROR(Y40/H40,"0")+IFERROR(Y41/H41,"0")+IFERROR(Y42/H42,"0")</f>
        <v>8</v>
      </c>
      <c r="Z43" s="545">
        <f>IFERROR(IF(Z40="",0,Z40),"0")+IFERROR(IF(Z41="",0,Z41),"0")+IFERROR(IF(Z42="",0,Z42),"0")</f>
        <v>0.12196</v>
      </c>
      <c r="AA43" s="546"/>
      <c r="AB43" s="546"/>
      <c r="AC43" s="546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1" t="s">
        <v>71</v>
      </c>
      <c r="Q44" s="562"/>
      <c r="R44" s="562"/>
      <c r="S44" s="562"/>
      <c r="T44" s="562"/>
      <c r="U44" s="562"/>
      <c r="V44" s="563"/>
      <c r="W44" s="37" t="s">
        <v>69</v>
      </c>
      <c r="X44" s="545">
        <f>IFERROR(SUM(X40:X42),"0")</f>
        <v>66</v>
      </c>
      <c r="Y44" s="545">
        <f>IFERROR(SUM(Y40:Y42),"0")</f>
        <v>66</v>
      </c>
      <c r="Z44" s="37"/>
      <c r="AA44" s="546"/>
      <c r="AB44" s="546"/>
      <c r="AC44" s="546"/>
    </row>
    <row r="45" spans="1:68" ht="14.25" hidden="1" customHeight="1" x14ac:dyDescent="0.25">
      <c r="A45" s="559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9"/>
      <c r="AB45" s="539"/>
      <c r="AC45" s="539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6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1" t="s">
        <v>71</v>
      </c>
      <c r="Q47" s="562"/>
      <c r="R47" s="562"/>
      <c r="S47" s="562"/>
      <c r="T47" s="562"/>
      <c r="U47" s="562"/>
      <c r="V47" s="563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1" t="s">
        <v>71</v>
      </c>
      <c r="Q48" s="562"/>
      <c r="R48" s="562"/>
      <c r="S48" s="562"/>
      <c r="T48" s="562"/>
      <c r="U48" s="562"/>
      <c r="V48" s="563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hidden="1" customHeight="1" x14ac:dyDescent="0.25">
      <c r="A49" s="558" t="s">
        <v>117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8"/>
      <c r="AB49" s="538"/>
      <c r="AC49" s="538"/>
    </row>
    <row r="50" spans="1:68" ht="14.25" hidden="1" customHeight="1" x14ac:dyDescent="0.25">
      <c r="A50" s="559" t="s">
        <v>101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9"/>
      <c r="AB50" s="539"/>
      <c r="AC50" s="539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0</v>
      </c>
      <c r="Y52" s="544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8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66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22.5</v>
      </c>
      <c r="Y56" s="544">
        <f t="shared" si="0"/>
        <v>22.5</v>
      </c>
      <c r="Z56" s="36">
        <f>IFERROR(IF(Y56=0,"",ROUNDUP(Y56/H56,0)*0.00902),"")</f>
        <v>4.5100000000000001E-2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23.450000000000003</v>
      </c>
      <c r="BN56" s="64">
        <f t="shared" si="2"/>
        <v>23.450000000000003</v>
      </c>
      <c r="BO56" s="64">
        <f t="shared" si="3"/>
        <v>3.787878787878788E-2</v>
      </c>
      <c r="BP56" s="64">
        <f t="shared" si="4"/>
        <v>3.787878787878788E-2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1" t="s">
        <v>71</v>
      </c>
      <c r="Q57" s="562"/>
      <c r="R57" s="562"/>
      <c r="S57" s="562"/>
      <c r="T57" s="562"/>
      <c r="U57" s="562"/>
      <c r="V57" s="563"/>
      <c r="W57" s="37" t="s">
        <v>72</v>
      </c>
      <c r="X57" s="545">
        <f>IFERROR(X51/H51,"0")+IFERROR(X52/H52,"0")+IFERROR(X53/H53,"0")+IFERROR(X54/H54,"0")+IFERROR(X55/H55,"0")+IFERROR(X56/H56,"0")</f>
        <v>5</v>
      </c>
      <c r="Y57" s="545">
        <f>IFERROR(Y51/H51,"0")+IFERROR(Y52/H52,"0")+IFERROR(Y53/H53,"0")+IFERROR(Y54/H54,"0")+IFERROR(Y55/H55,"0")+IFERROR(Y56/H56,"0")</f>
        <v>5</v>
      </c>
      <c r="Z57" s="545">
        <f>IFERROR(IF(Z51="",0,Z51),"0")+IFERROR(IF(Z52="",0,Z52),"0")+IFERROR(IF(Z53="",0,Z53),"0")+IFERROR(IF(Z54="",0,Z54),"0")+IFERROR(IF(Z55="",0,Z55),"0")+IFERROR(IF(Z56="",0,Z56),"0")</f>
        <v>4.5100000000000001E-2</v>
      </c>
      <c r="AA57" s="546"/>
      <c r="AB57" s="546"/>
      <c r="AC57" s="546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1" t="s">
        <v>71</v>
      </c>
      <c r="Q58" s="562"/>
      <c r="R58" s="562"/>
      <c r="S58" s="562"/>
      <c r="T58" s="562"/>
      <c r="U58" s="562"/>
      <c r="V58" s="563"/>
      <c r="W58" s="37" t="s">
        <v>69</v>
      </c>
      <c r="X58" s="545">
        <f>IFERROR(SUM(X51:X56),"0")</f>
        <v>22.5</v>
      </c>
      <c r="Y58" s="545">
        <f>IFERROR(SUM(Y51:Y56),"0")</f>
        <v>22.5</v>
      </c>
      <c r="Z58" s="37"/>
      <c r="AA58" s="546"/>
      <c r="AB58" s="546"/>
      <c r="AC58" s="546"/>
    </row>
    <row r="59" spans="1:68" ht="14.25" hidden="1" customHeight="1" x14ac:dyDescent="0.25">
      <c r="A59" s="559" t="s">
        <v>136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54</v>
      </c>
      <c r="Y60" s="544">
        <f>IFERROR(IF(X60="",0,CEILING((X60/$H60),1)*$H60),"")</f>
        <v>54</v>
      </c>
      <c r="Z60" s="36">
        <f>IFERROR(IF(Y60=0,"",ROUNDUP(Y60/H60,0)*0.01898),"")</f>
        <v>9.4899999999999998E-2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56.05</v>
      </c>
      <c r="BN60" s="64">
        <f>IFERROR(Y60*I60/H60,"0")</f>
        <v>56.05</v>
      </c>
      <c r="BO60" s="64">
        <f>IFERROR(1/J60*(X60/H60),"0")</f>
        <v>7.8125E-2</v>
      </c>
      <c r="BP60" s="64">
        <f>IFERROR(1/J60*(Y60/H60),"0")</f>
        <v>7.8125E-2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6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13.5</v>
      </c>
      <c r="Y62" s="544">
        <f>IFERROR(IF(X62="",0,CEILING((X62/$H62),1)*$H62),"")</f>
        <v>13.5</v>
      </c>
      <c r="Z62" s="36">
        <f>IFERROR(IF(Y62=0,"",ROUNDUP(Y62/H62,0)*0.00651),"")</f>
        <v>3.2550000000000003E-2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14.399999999999997</v>
      </c>
      <c r="BN62" s="64">
        <f>IFERROR(Y62*I62/H62,"0")</f>
        <v>14.399999999999997</v>
      </c>
      <c r="BO62" s="64">
        <f>IFERROR(1/J62*(X62/H62),"0")</f>
        <v>2.7472527472527476E-2</v>
      </c>
      <c r="BP62" s="64">
        <f>IFERROR(1/J62*(Y62/H62),"0")</f>
        <v>2.7472527472527476E-2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1" t="s">
        <v>71</v>
      </c>
      <c r="Q63" s="562"/>
      <c r="R63" s="562"/>
      <c r="S63" s="562"/>
      <c r="T63" s="562"/>
      <c r="U63" s="562"/>
      <c r="V63" s="563"/>
      <c r="W63" s="37" t="s">
        <v>72</v>
      </c>
      <c r="X63" s="545">
        <f>IFERROR(X60/H60,"0")+IFERROR(X61/H61,"0")+IFERROR(X62/H62,"0")</f>
        <v>10</v>
      </c>
      <c r="Y63" s="545">
        <f>IFERROR(Y60/H60,"0")+IFERROR(Y61/H61,"0")+IFERROR(Y62/H62,"0")</f>
        <v>10</v>
      </c>
      <c r="Z63" s="545">
        <f>IFERROR(IF(Z60="",0,Z60),"0")+IFERROR(IF(Z61="",0,Z61),"0")+IFERROR(IF(Z62="",0,Z62),"0")</f>
        <v>0.12745000000000001</v>
      </c>
      <c r="AA63" s="546"/>
      <c r="AB63" s="546"/>
      <c r="AC63" s="546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1" t="s">
        <v>71</v>
      </c>
      <c r="Q64" s="562"/>
      <c r="R64" s="562"/>
      <c r="S64" s="562"/>
      <c r="T64" s="562"/>
      <c r="U64" s="562"/>
      <c r="V64" s="563"/>
      <c r="W64" s="37" t="s">
        <v>69</v>
      </c>
      <c r="X64" s="545">
        <f>IFERROR(SUM(X60:X62),"0")</f>
        <v>67.5</v>
      </c>
      <c r="Y64" s="545">
        <f>IFERROR(SUM(Y60:Y62),"0")</f>
        <v>67.5</v>
      </c>
      <c r="Z64" s="37"/>
      <c r="AA64" s="546"/>
      <c r="AB64" s="546"/>
      <c r="AC64" s="546"/>
    </row>
    <row r="65" spans="1:68" ht="14.25" hidden="1" customHeight="1" x14ac:dyDescent="0.25">
      <c r="A65" s="559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5.4</v>
      </c>
      <c r="Y66" s="544">
        <f>IFERROR(IF(X66="",0,CEILING((X66/$H66),1)*$H66),"")</f>
        <v>5.4</v>
      </c>
      <c r="Z66" s="36">
        <f>IFERROR(IF(Y66=0,"",ROUNDUP(Y66/H66,0)*0.00502),"")</f>
        <v>1.506E-2</v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5.7</v>
      </c>
      <c r="BN66" s="64">
        <f>IFERROR(Y66*I66/H66,"0")</f>
        <v>5.7</v>
      </c>
      <c r="BO66" s="64">
        <f>IFERROR(1/J66*(X66/H66),"0")</f>
        <v>1.2820512820512822E-2</v>
      </c>
      <c r="BP66" s="64">
        <f>IFERROR(1/J66*(Y66/H66),"0")</f>
        <v>1.2820512820512822E-2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5.4</v>
      </c>
      <c r="Y67" s="544">
        <f>IFERROR(IF(X67="",0,CEILING((X67/$H67),1)*$H67),"")</f>
        <v>5.4</v>
      </c>
      <c r="Z67" s="36">
        <f>IFERROR(IF(Y67=0,"",ROUNDUP(Y67/H67,0)*0.00502),"")</f>
        <v>1.506E-2</v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5.7</v>
      </c>
      <c r="BN67" s="64">
        <f>IFERROR(Y67*I67/H67,"0")</f>
        <v>5.7</v>
      </c>
      <c r="BO67" s="64">
        <f>IFERROR(1/J67*(X67/H67),"0")</f>
        <v>1.2820512820512822E-2</v>
      </c>
      <c r="BP67" s="64">
        <f>IFERROR(1/J67*(Y67/H67),"0")</f>
        <v>1.2820512820512822E-2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6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5.4</v>
      </c>
      <c r="Y68" s="544">
        <f>IFERROR(IF(X68="",0,CEILING((X68/$H68),1)*$H68),"")</f>
        <v>5.4</v>
      </c>
      <c r="Z68" s="36">
        <f>IFERROR(IF(Y68=0,"",ROUNDUP(Y68/H68,0)*0.00502),"")</f>
        <v>1.506E-2</v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5.7</v>
      </c>
      <c r="BN68" s="64">
        <f>IFERROR(Y68*I68/H68,"0")</f>
        <v>5.7</v>
      </c>
      <c r="BO68" s="64">
        <f>IFERROR(1/J68*(X68/H68),"0")</f>
        <v>1.2820512820512822E-2</v>
      </c>
      <c r="BP68" s="64">
        <f>IFERROR(1/J68*(Y68/H68),"0")</f>
        <v>1.2820512820512822E-2</v>
      </c>
    </row>
    <row r="69" spans="1:68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1" t="s">
        <v>71</v>
      </c>
      <c r="Q69" s="562"/>
      <c r="R69" s="562"/>
      <c r="S69" s="562"/>
      <c r="T69" s="562"/>
      <c r="U69" s="562"/>
      <c r="V69" s="563"/>
      <c r="W69" s="37" t="s">
        <v>72</v>
      </c>
      <c r="X69" s="545">
        <f>IFERROR(X66/H66,"0")+IFERROR(X67/H67,"0")+IFERROR(X68/H68,"0")</f>
        <v>9</v>
      </c>
      <c r="Y69" s="545">
        <f>IFERROR(Y66/H66,"0")+IFERROR(Y67/H67,"0")+IFERROR(Y68/H68,"0")</f>
        <v>9</v>
      </c>
      <c r="Z69" s="545">
        <f>IFERROR(IF(Z66="",0,Z66),"0")+IFERROR(IF(Z67="",0,Z67),"0")+IFERROR(IF(Z68="",0,Z68),"0")</f>
        <v>4.5179999999999998E-2</v>
      </c>
      <c r="AA69" s="546"/>
      <c r="AB69" s="546"/>
      <c r="AC69" s="546"/>
    </row>
    <row r="70" spans="1:68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1" t="s">
        <v>71</v>
      </c>
      <c r="Q70" s="562"/>
      <c r="R70" s="562"/>
      <c r="S70" s="562"/>
      <c r="T70" s="562"/>
      <c r="U70" s="562"/>
      <c r="V70" s="563"/>
      <c r="W70" s="37" t="s">
        <v>69</v>
      </c>
      <c r="X70" s="545">
        <f>IFERROR(SUM(X66:X68),"0")</f>
        <v>16.200000000000003</v>
      </c>
      <c r="Y70" s="545">
        <f>IFERROR(SUM(Y66:Y68),"0")</f>
        <v>16.200000000000003</v>
      </c>
      <c r="Z70" s="37"/>
      <c r="AA70" s="546"/>
      <c r="AB70" s="546"/>
      <c r="AC70" s="546"/>
    </row>
    <row r="71" spans="1:68" ht="14.25" hidden="1" customHeight="1" x14ac:dyDescent="0.25">
      <c r="A71" s="559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9"/>
      <c r="AB71" s="539"/>
      <c r="AC71" s="539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47">
        <v>4680115885769</v>
      </c>
      <c r="E72" s="548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16.8</v>
      </c>
      <c r="Y72" s="544">
        <f>IFERROR(IF(X72="",0,CEILING((X72/$H72),1)*$H72),"")</f>
        <v>16.8</v>
      </c>
      <c r="Z72" s="36">
        <f>IFERROR(IF(Y72=0,"",ROUNDUP(Y72/H72,0)*0.01898),"")</f>
        <v>3.7960000000000001E-2</v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17.62</v>
      </c>
      <c r="BN72" s="64">
        <f>IFERROR(Y72*I72/H72,"0")</f>
        <v>17.62</v>
      </c>
      <c r="BO72" s="64">
        <f>IFERROR(1/J72*(X72/H72),"0")</f>
        <v>3.125E-2</v>
      </c>
      <c r="BP72" s="64">
        <f>IFERROR(1/J72*(Y72/H72),"0")</f>
        <v>3.125E-2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47">
        <v>4680115884311</v>
      </c>
      <c r="E73" s="548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47">
        <v>4680115885929</v>
      </c>
      <c r="E74" s="548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47">
        <v>4680115884403</v>
      </c>
      <c r="E75" s="548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61" t="s">
        <v>71</v>
      </c>
      <c r="Q76" s="562"/>
      <c r="R76" s="562"/>
      <c r="S76" s="562"/>
      <c r="T76" s="562"/>
      <c r="U76" s="562"/>
      <c r="V76" s="563"/>
      <c r="W76" s="37" t="s">
        <v>72</v>
      </c>
      <c r="X76" s="545">
        <f>IFERROR(X72/H72,"0")+IFERROR(X73/H73,"0")+IFERROR(X74/H74,"0")+IFERROR(X75/H75,"0")</f>
        <v>2</v>
      </c>
      <c r="Y76" s="545">
        <f>IFERROR(Y72/H72,"0")+IFERROR(Y73/H73,"0")+IFERROR(Y74/H74,"0")+IFERROR(Y75/H75,"0")</f>
        <v>2</v>
      </c>
      <c r="Z76" s="545">
        <f>IFERROR(IF(Z72="",0,Z72),"0")+IFERROR(IF(Z73="",0,Z73),"0")+IFERROR(IF(Z74="",0,Z74),"0")+IFERROR(IF(Z75="",0,Z75),"0")</f>
        <v>3.7960000000000001E-2</v>
      </c>
      <c r="AA76" s="546"/>
      <c r="AB76" s="546"/>
      <c r="AC76" s="546"/>
    </row>
    <row r="77" spans="1:68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1" t="s">
        <v>71</v>
      </c>
      <c r="Q77" s="562"/>
      <c r="R77" s="562"/>
      <c r="S77" s="562"/>
      <c r="T77" s="562"/>
      <c r="U77" s="562"/>
      <c r="V77" s="563"/>
      <c r="W77" s="37" t="s">
        <v>69</v>
      </c>
      <c r="X77" s="545">
        <f>IFERROR(SUM(X72:X75),"0")</f>
        <v>16.8</v>
      </c>
      <c r="Y77" s="545">
        <f>IFERROR(SUM(Y72:Y75),"0")</f>
        <v>16.8</v>
      </c>
      <c r="Z77" s="37"/>
      <c r="AA77" s="546"/>
      <c r="AB77" s="546"/>
      <c r="AC77" s="546"/>
    </row>
    <row r="78" spans="1:68" ht="14.25" hidden="1" customHeight="1" x14ac:dyDescent="0.25">
      <c r="A78" s="559" t="s">
        <v>164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9"/>
      <c r="AB78" s="539"/>
      <c r="AC78" s="539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47">
        <v>4680115881532</v>
      </c>
      <c r="E79" s="548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9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47">
        <v>4680115881464</v>
      </c>
      <c r="E80" s="548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61" t="s">
        <v>71</v>
      </c>
      <c r="Q81" s="562"/>
      <c r="R81" s="562"/>
      <c r="S81" s="562"/>
      <c r="T81" s="562"/>
      <c r="U81" s="562"/>
      <c r="V81" s="563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1" t="s">
        <v>71</v>
      </c>
      <c r="Q82" s="562"/>
      <c r="R82" s="562"/>
      <c r="S82" s="562"/>
      <c r="T82" s="562"/>
      <c r="U82" s="562"/>
      <c r="V82" s="563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hidden="1" customHeight="1" x14ac:dyDescent="0.25">
      <c r="A83" s="558" t="s">
        <v>171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8"/>
      <c r="AB83" s="538"/>
      <c r="AC83" s="538"/>
    </row>
    <row r="84" spans="1:68" ht="14.25" hidden="1" customHeight="1" x14ac:dyDescent="0.25">
      <c r="A84" s="559" t="s">
        <v>101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9"/>
      <c r="AB84" s="539"/>
      <c r="AC84" s="539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547">
        <v>4680115881327</v>
      </c>
      <c r="E85" s="548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0"/>
      <c r="R85" s="550"/>
      <c r="S85" s="550"/>
      <c r="T85" s="551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47">
        <v>4680115881518</v>
      </c>
      <c r="E86" s="548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7">
        <v>4680115881303</v>
      </c>
      <c r="E87" s="548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22.5</v>
      </c>
      <c r="Y87" s="544">
        <f>IFERROR(IF(X87="",0,CEILING((X87/$H87),1)*$H87),"")</f>
        <v>22.5</v>
      </c>
      <c r="Z87" s="36">
        <f>IFERROR(IF(Y87=0,"",ROUNDUP(Y87/H87,0)*0.00902),"")</f>
        <v>4.5100000000000001E-2</v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23.450000000000003</v>
      </c>
      <c r="BN87" s="64">
        <f>IFERROR(Y87*I87/H87,"0")</f>
        <v>23.450000000000003</v>
      </c>
      <c r="BO87" s="64">
        <f>IFERROR(1/J87*(X87/H87),"0")</f>
        <v>3.787878787878788E-2</v>
      </c>
      <c r="BP87" s="64">
        <f>IFERROR(1/J87*(Y87/H87),"0")</f>
        <v>3.787878787878788E-2</v>
      </c>
    </row>
    <row r="88" spans="1:68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61" t="s">
        <v>71</v>
      </c>
      <c r="Q88" s="562"/>
      <c r="R88" s="562"/>
      <c r="S88" s="562"/>
      <c r="T88" s="562"/>
      <c r="U88" s="562"/>
      <c r="V88" s="563"/>
      <c r="W88" s="37" t="s">
        <v>72</v>
      </c>
      <c r="X88" s="545">
        <f>IFERROR(X85/H85,"0")+IFERROR(X86/H86,"0")+IFERROR(X87/H87,"0")</f>
        <v>5</v>
      </c>
      <c r="Y88" s="545">
        <f>IFERROR(Y85/H85,"0")+IFERROR(Y86/H86,"0")+IFERROR(Y87/H87,"0")</f>
        <v>5</v>
      </c>
      <c r="Z88" s="545">
        <f>IFERROR(IF(Z85="",0,Z85),"0")+IFERROR(IF(Z86="",0,Z86),"0")+IFERROR(IF(Z87="",0,Z87),"0")</f>
        <v>4.5100000000000001E-2</v>
      </c>
      <c r="AA88" s="546"/>
      <c r="AB88" s="546"/>
      <c r="AC88" s="546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1" t="s">
        <v>71</v>
      </c>
      <c r="Q89" s="562"/>
      <c r="R89" s="562"/>
      <c r="S89" s="562"/>
      <c r="T89" s="562"/>
      <c r="U89" s="562"/>
      <c r="V89" s="563"/>
      <c r="W89" s="37" t="s">
        <v>69</v>
      </c>
      <c r="X89" s="545">
        <f>IFERROR(SUM(X85:X87),"0")</f>
        <v>22.5</v>
      </c>
      <c r="Y89" s="545">
        <f>IFERROR(SUM(Y85:Y87),"0")</f>
        <v>22.5</v>
      </c>
      <c r="Z89" s="37"/>
      <c r="AA89" s="546"/>
      <c r="AB89" s="546"/>
      <c r="AC89" s="546"/>
    </row>
    <row r="90" spans="1:68" ht="14.25" hidden="1" customHeight="1" x14ac:dyDescent="0.25">
      <c r="A90" s="559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9"/>
      <c r="AB90" s="539"/>
      <c r="AC90" s="539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47">
        <v>4607091386967</v>
      </c>
      <c r="E91" s="548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5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3">
        <v>40.5</v>
      </c>
      <c r="Y91" s="544">
        <f>IFERROR(IF(X91="",0,CEILING((X91/$H91),1)*$H91),"")</f>
        <v>40.5</v>
      </c>
      <c r="Z91" s="36">
        <f>IFERROR(IF(Y91=0,"",ROUNDUP(Y91/H91,0)*0.01898),"")</f>
        <v>9.4899999999999998E-2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42.97</v>
      </c>
      <c r="BN91" s="64">
        <f>IFERROR(Y91*I91/H91,"0")</f>
        <v>42.97</v>
      </c>
      <c r="BO91" s="64">
        <f>IFERROR(1/J91*(X91/H91),"0")</f>
        <v>7.8125E-2</v>
      </c>
      <c r="BP91" s="64">
        <f>IFERROR(1/J91*(Y91/H91),"0")</f>
        <v>7.8125E-2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47">
        <v>4680115884953</v>
      </c>
      <c r="E92" s="548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47">
        <v>4607091385731</v>
      </c>
      <c r="E93" s="548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7">
        <v>4680115880894</v>
      </c>
      <c r="E94" s="548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2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61" t="s">
        <v>71</v>
      </c>
      <c r="Q95" s="562"/>
      <c r="R95" s="562"/>
      <c r="S95" s="562"/>
      <c r="T95" s="562"/>
      <c r="U95" s="562"/>
      <c r="V95" s="563"/>
      <c r="W95" s="37" t="s">
        <v>72</v>
      </c>
      <c r="X95" s="545">
        <f>IFERROR(X91/H91,"0")+IFERROR(X92/H92,"0")+IFERROR(X93/H93,"0")+IFERROR(X94/H94,"0")</f>
        <v>5</v>
      </c>
      <c r="Y95" s="545">
        <f>IFERROR(Y91/H91,"0")+IFERROR(Y92/H92,"0")+IFERROR(Y93/H93,"0")+IFERROR(Y94/H94,"0")</f>
        <v>5</v>
      </c>
      <c r="Z95" s="545">
        <f>IFERROR(IF(Z91="",0,Z91),"0")+IFERROR(IF(Z92="",0,Z92),"0")+IFERROR(IF(Z93="",0,Z93),"0")+IFERROR(IF(Z94="",0,Z94),"0")</f>
        <v>9.4899999999999998E-2</v>
      </c>
      <c r="AA95" s="546"/>
      <c r="AB95" s="546"/>
      <c r="AC95" s="546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1" t="s">
        <v>71</v>
      </c>
      <c r="Q96" s="562"/>
      <c r="R96" s="562"/>
      <c r="S96" s="562"/>
      <c r="T96" s="562"/>
      <c r="U96" s="562"/>
      <c r="V96" s="563"/>
      <c r="W96" s="37" t="s">
        <v>69</v>
      </c>
      <c r="X96" s="545">
        <f>IFERROR(SUM(X91:X94),"0")</f>
        <v>40.5</v>
      </c>
      <c r="Y96" s="545">
        <f>IFERROR(SUM(Y91:Y94),"0")</f>
        <v>40.5</v>
      </c>
      <c r="Z96" s="37"/>
      <c r="AA96" s="546"/>
      <c r="AB96" s="546"/>
      <c r="AC96" s="546"/>
    </row>
    <row r="97" spans="1:68" ht="16.5" hidden="1" customHeight="1" x14ac:dyDescent="0.25">
      <c r="A97" s="558" t="s">
        <v>190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8"/>
      <c r="AB97" s="538"/>
      <c r="AC97" s="538"/>
    </row>
    <row r="98" spans="1:68" ht="14.25" hidden="1" customHeight="1" x14ac:dyDescent="0.25">
      <c r="A98" s="559" t="s">
        <v>101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9"/>
      <c r="AB98" s="539"/>
      <c r="AC98" s="539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7">
        <v>4680115882133</v>
      </c>
      <c r="E99" s="548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7">
        <v>4680115880269</v>
      </c>
      <c r="E100" s="548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7">
        <v>4680115880429</v>
      </c>
      <c r="E101" s="548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6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22.5</v>
      </c>
      <c r="Y101" s="544">
        <f>IFERROR(IF(X101="",0,CEILING((X101/$H101),1)*$H101),"")</f>
        <v>22.5</v>
      </c>
      <c r="Z101" s="36">
        <f>IFERROR(IF(Y101=0,"",ROUNDUP(Y101/H101,0)*0.00902),"")</f>
        <v>4.5100000000000001E-2</v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23.450000000000003</v>
      </c>
      <c r="BN101" s="64">
        <f>IFERROR(Y101*I101/H101,"0")</f>
        <v>23.450000000000003</v>
      </c>
      <c r="BO101" s="64">
        <f>IFERROR(1/J101*(X101/H101),"0")</f>
        <v>3.787878787878788E-2</v>
      </c>
      <c r="BP101" s="64">
        <f>IFERROR(1/J101*(Y101/H101),"0")</f>
        <v>3.787878787878788E-2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7">
        <v>4680115881457</v>
      </c>
      <c r="E102" s="548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1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9</v>
      </c>
      <c r="Y102" s="544">
        <f>IFERROR(IF(X102="",0,CEILING((X102/$H102),1)*$H102),"")</f>
        <v>9</v>
      </c>
      <c r="Z102" s="36">
        <f>IFERROR(IF(Y102=0,"",ROUNDUP(Y102/H102,0)*0.00902),"")</f>
        <v>1.804E-2</v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9.3800000000000008</v>
      </c>
      <c r="BN102" s="64">
        <f>IFERROR(Y102*I102/H102,"0")</f>
        <v>9.3800000000000008</v>
      </c>
      <c r="BO102" s="64">
        <f>IFERROR(1/J102*(X102/H102),"0")</f>
        <v>1.5151515151515152E-2</v>
      </c>
      <c r="BP102" s="64">
        <f>IFERROR(1/J102*(Y102/H102),"0")</f>
        <v>1.5151515151515152E-2</v>
      </c>
    </row>
    <row r="103" spans="1:68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61" t="s">
        <v>71</v>
      </c>
      <c r="Q103" s="562"/>
      <c r="R103" s="562"/>
      <c r="S103" s="562"/>
      <c r="T103" s="562"/>
      <c r="U103" s="562"/>
      <c r="V103" s="563"/>
      <c r="W103" s="37" t="s">
        <v>72</v>
      </c>
      <c r="X103" s="545">
        <f>IFERROR(X99/H99,"0")+IFERROR(X100/H100,"0")+IFERROR(X101/H101,"0")+IFERROR(X102/H102,"0")</f>
        <v>7</v>
      </c>
      <c r="Y103" s="545">
        <f>IFERROR(Y99/H99,"0")+IFERROR(Y100/H100,"0")+IFERROR(Y101/H101,"0")+IFERROR(Y102/H102,"0")</f>
        <v>7</v>
      </c>
      <c r="Z103" s="545">
        <f>IFERROR(IF(Z99="",0,Z99),"0")+IFERROR(IF(Z100="",0,Z100),"0")+IFERROR(IF(Z101="",0,Z101),"0")+IFERROR(IF(Z102="",0,Z102),"0")</f>
        <v>6.3140000000000002E-2</v>
      </c>
      <c r="AA103" s="546"/>
      <c r="AB103" s="546"/>
      <c r="AC103" s="546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1" t="s">
        <v>71</v>
      </c>
      <c r="Q104" s="562"/>
      <c r="R104" s="562"/>
      <c r="S104" s="562"/>
      <c r="T104" s="562"/>
      <c r="U104" s="562"/>
      <c r="V104" s="563"/>
      <c r="W104" s="37" t="s">
        <v>69</v>
      </c>
      <c r="X104" s="545">
        <f>IFERROR(SUM(X99:X102),"0")</f>
        <v>31.5</v>
      </c>
      <c r="Y104" s="545">
        <f>IFERROR(SUM(Y99:Y102),"0")</f>
        <v>31.5</v>
      </c>
      <c r="Z104" s="37"/>
      <c r="AA104" s="546"/>
      <c r="AB104" s="546"/>
      <c r="AC104" s="546"/>
    </row>
    <row r="105" spans="1:68" ht="14.25" hidden="1" customHeight="1" x14ac:dyDescent="0.25">
      <c r="A105" s="559" t="s">
        <v>136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9"/>
      <c r="AB105" s="539"/>
      <c r="AC105" s="539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7">
        <v>4680115881488</v>
      </c>
      <c r="E106" s="548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0"/>
      <c r="R106" s="550"/>
      <c r="S106" s="550"/>
      <c r="T106" s="551"/>
      <c r="U106" s="34"/>
      <c r="V106" s="34"/>
      <c r="W106" s="35" t="s">
        <v>69</v>
      </c>
      <c r="X106" s="543">
        <v>21.6</v>
      </c>
      <c r="Y106" s="544">
        <f>IFERROR(IF(X106="",0,CEILING((X106/$H106),1)*$H106),"")</f>
        <v>21.6</v>
      </c>
      <c r="Z106" s="36">
        <f>IFERROR(IF(Y106=0,"",ROUNDUP(Y106/H106,0)*0.01898),"")</f>
        <v>3.7960000000000001E-2</v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22.42</v>
      </c>
      <c r="BN106" s="64">
        <f>IFERROR(Y106*I106/H106,"0")</f>
        <v>22.42</v>
      </c>
      <c r="BO106" s="64">
        <f>IFERROR(1/J106*(X106/H106),"0")</f>
        <v>3.125E-2</v>
      </c>
      <c r="BP106" s="64">
        <f>IFERROR(1/J106*(Y106/H106),"0")</f>
        <v>3.125E-2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7">
        <v>4680115882775</v>
      </c>
      <c r="E107" s="548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0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7">
        <v>4680115880658</v>
      </c>
      <c r="E108" s="548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4.8</v>
      </c>
      <c r="Y108" s="544">
        <f>IFERROR(IF(X108="",0,CEILING((X108/$H108),1)*$H108),"")</f>
        <v>4.8</v>
      </c>
      <c r="Z108" s="36">
        <f>IFERROR(IF(Y108=0,"",ROUNDUP(Y108/H108,0)*0.00651),"")</f>
        <v>1.302E-2</v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5.16</v>
      </c>
      <c r="BN108" s="64">
        <f>IFERROR(Y108*I108/H108,"0")</f>
        <v>5.16</v>
      </c>
      <c r="BO108" s="64">
        <f>IFERROR(1/J108*(X108/H108),"0")</f>
        <v>1.098901098901099E-2</v>
      </c>
      <c r="BP108" s="64">
        <f>IFERROR(1/J108*(Y108/H108),"0")</f>
        <v>1.098901098901099E-2</v>
      </c>
    </row>
    <row r="109" spans="1:68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61" t="s">
        <v>71</v>
      </c>
      <c r="Q109" s="562"/>
      <c r="R109" s="562"/>
      <c r="S109" s="562"/>
      <c r="T109" s="562"/>
      <c r="U109" s="562"/>
      <c r="V109" s="563"/>
      <c r="W109" s="37" t="s">
        <v>72</v>
      </c>
      <c r="X109" s="545">
        <f>IFERROR(X106/H106,"0")+IFERROR(X107/H107,"0")+IFERROR(X108/H108,"0")</f>
        <v>4</v>
      </c>
      <c r="Y109" s="545">
        <f>IFERROR(Y106/H106,"0")+IFERROR(Y107/H107,"0")+IFERROR(Y108/H108,"0")</f>
        <v>4</v>
      </c>
      <c r="Z109" s="545">
        <f>IFERROR(IF(Z106="",0,Z106),"0")+IFERROR(IF(Z107="",0,Z107),"0")+IFERROR(IF(Z108="",0,Z108),"0")</f>
        <v>5.0979999999999998E-2</v>
      </c>
      <c r="AA109" s="546"/>
      <c r="AB109" s="546"/>
      <c r="AC109" s="546"/>
    </row>
    <row r="110" spans="1:68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1" t="s">
        <v>71</v>
      </c>
      <c r="Q110" s="562"/>
      <c r="R110" s="562"/>
      <c r="S110" s="562"/>
      <c r="T110" s="562"/>
      <c r="U110" s="562"/>
      <c r="V110" s="563"/>
      <c r="W110" s="37" t="s">
        <v>69</v>
      </c>
      <c r="X110" s="545">
        <f>IFERROR(SUM(X106:X108),"0")</f>
        <v>26.400000000000002</v>
      </c>
      <c r="Y110" s="545">
        <f>IFERROR(SUM(Y106:Y108),"0")</f>
        <v>26.400000000000002</v>
      </c>
      <c r="Z110" s="37"/>
      <c r="AA110" s="546"/>
      <c r="AB110" s="546"/>
      <c r="AC110" s="546"/>
    </row>
    <row r="111" spans="1:68" ht="14.25" hidden="1" customHeight="1" x14ac:dyDescent="0.25">
      <c r="A111" s="559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9"/>
      <c r="AB111" s="539"/>
      <c r="AC111" s="539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7">
        <v>4607091385168</v>
      </c>
      <c r="E112" s="548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8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3">
        <v>24.3</v>
      </c>
      <c r="Y112" s="544">
        <f>IFERROR(IF(X112="",0,CEILING((X112/$H112),1)*$H112),"")</f>
        <v>24.299999999999997</v>
      </c>
      <c r="Z112" s="36">
        <f>IFERROR(IF(Y112=0,"",ROUNDUP(Y112/H112,0)*0.01898),"")</f>
        <v>5.6940000000000004E-2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25.763999999999999</v>
      </c>
      <c r="BN112" s="64">
        <f>IFERROR(Y112*I112/H112,"0")</f>
        <v>25.763999999999996</v>
      </c>
      <c r="BO112" s="64">
        <f>IFERROR(1/J112*(X112/H112),"0")</f>
        <v>4.6875E-2</v>
      </c>
      <c r="BP112" s="64">
        <f>IFERROR(1/J112*(Y112/H112),"0")</f>
        <v>4.6875E-2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7">
        <v>4607091383256</v>
      </c>
      <c r="E113" s="548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7">
        <v>4607091385748</v>
      </c>
      <c r="E114" s="548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6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7">
        <v>4680115884533</v>
      </c>
      <c r="E115" s="548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61" t="s">
        <v>71</v>
      </c>
      <c r="Q116" s="562"/>
      <c r="R116" s="562"/>
      <c r="S116" s="562"/>
      <c r="T116" s="562"/>
      <c r="U116" s="562"/>
      <c r="V116" s="563"/>
      <c r="W116" s="37" t="s">
        <v>72</v>
      </c>
      <c r="X116" s="545">
        <f>IFERROR(X112/H112,"0")+IFERROR(X113/H113,"0")+IFERROR(X114/H114,"0")+IFERROR(X115/H115,"0")</f>
        <v>3</v>
      </c>
      <c r="Y116" s="545">
        <f>IFERROR(Y112/H112,"0")+IFERROR(Y113/H113,"0")+IFERROR(Y114/H114,"0")+IFERROR(Y115/H115,"0")</f>
        <v>3</v>
      </c>
      <c r="Z116" s="545">
        <f>IFERROR(IF(Z112="",0,Z112),"0")+IFERROR(IF(Z113="",0,Z113),"0")+IFERROR(IF(Z114="",0,Z114),"0")+IFERROR(IF(Z115="",0,Z115),"0")</f>
        <v>5.6940000000000004E-2</v>
      </c>
      <c r="AA116" s="546"/>
      <c r="AB116" s="546"/>
      <c r="AC116" s="546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1" t="s">
        <v>71</v>
      </c>
      <c r="Q117" s="562"/>
      <c r="R117" s="562"/>
      <c r="S117" s="562"/>
      <c r="T117" s="562"/>
      <c r="U117" s="562"/>
      <c r="V117" s="563"/>
      <c r="W117" s="37" t="s">
        <v>69</v>
      </c>
      <c r="X117" s="545">
        <f>IFERROR(SUM(X112:X115),"0")</f>
        <v>24.3</v>
      </c>
      <c r="Y117" s="545">
        <f>IFERROR(SUM(Y112:Y115),"0")</f>
        <v>24.299999999999997</v>
      </c>
      <c r="Z117" s="37"/>
      <c r="AA117" s="546"/>
      <c r="AB117" s="546"/>
      <c r="AC117" s="546"/>
    </row>
    <row r="118" spans="1:68" ht="14.25" hidden="1" customHeight="1" x14ac:dyDescent="0.25">
      <c r="A118" s="559" t="s">
        <v>164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9"/>
      <c r="AB118" s="539"/>
      <c r="AC118" s="539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7">
        <v>4680115880238</v>
      </c>
      <c r="E119" s="548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61" t="s">
        <v>71</v>
      </c>
      <c r="Q120" s="562"/>
      <c r="R120" s="562"/>
      <c r="S120" s="562"/>
      <c r="T120" s="562"/>
      <c r="U120" s="562"/>
      <c r="V120" s="563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1" t="s">
        <v>71</v>
      </c>
      <c r="Q121" s="562"/>
      <c r="R121" s="562"/>
      <c r="S121" s="562"/>
      <c r="T121" s="562"/>
      <c r="U121" s="562"/>
      <c r="V121" s="563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hidden="1" customHeight="1" x14ac:dyDescent="0.25">
      <c r="A122" s="558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8"/>
      <c r="AB122" s="538"/>
      <c r="AC122" s="538"/>
    </row>
    <row r="123" spans="1:68" ht="14.25" hidden="1" customHeight="1" x14ac:dyDescent="0.25">
      <c r="A123" s="559" t="s">
        <v>101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9"/>
      <c r="AB123" s="539"/>
      <c r="AC123" s="539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7">
        <v>4680115882577</v>
      </c>
      <c r="E124" s="548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0"/>
      <c r="R124" s="550"/>
      <c r="S124" s="550"/>
      <c r="T124" s="551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61" t="s">
        <v>71</v>
      </c>
      <c r="Q126" s="562"/>
      <c r="R126" s="562"/>
      <c r="S126" s="562"/>
      <c r="T126" s="562"/>
      <c r="U126" s="562"/>
      <c r="V126" s="563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1" t="s">
        <v>71</v>
      </c>
      <c r="Q127" s="562"/>
      <c r="R127" s="562"/>
      <c r="S127" s="562"/>
      <c r="T127" s="562"/>
      <c r="U127" s="562"/>
      <c r="V127" s="563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hidden="1" customHeight="1" x14ac:dyDescent="0.25">
      <c r="A128" s="559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9"/>
      <c r="AB128" s="539"/>
      <c r="AC128" s="539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7">
        <v>4680115883444</v>
      </c>
      <c r="E129" s="548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5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0"/>
      <c r="R129" s="550"/>
      <c r="S129" s="550"/>
      <c r="T129" s="551"/>
      <c r="U129" s="34"/>
      <c r="V129" s="34"/>
      <c r="W129" s="35" t="s">
        <v>69</v>
      </c>
      <c r="X129" s="543">
        <v>8.4</v>
      </c>
      <c r="Y129" s="544">
        <f>IFERROR(IF(X129="",0,CEILING((X129/$H129),1)*$H129),"")</f>
        <v>8.3999999999999986</v>
      </c>
      <c r="Z129" s="36">
        <f>IFERROR(IF(Y129=0,"",ROUNDUP(Y129/H129,0)*0.00651),"")</f>
        <v>1.9529999999999999E-2</v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9.2040000000000006</v>
      </c>
      <c r="BN129" s="64">
        <f>IFERROR(Y129*I129/H129,"0")</f>
        <v>9.2039999999999988</v>
      </c>
      <c r="BO129" s="64">
        <f>IFERROR(1/J129*(X129/H129),"0")</f>
        <v>1.6483516483516487E-2</v>
      </c>
      <c r="BP129" s="64">
        <f>IFERROR(1/J129*(Y129/H129),"0")</f>
        <v>1.6483516483516484E-2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61" t="s">
        <v>71</v>
      </c>
      <c r="Q131" s="562"/>
      <c r="R131" s="562"/>
      <c r="S131" s="562"/>
      <c r="T131" s="562"/>
      <c r="U131" s="562"/>
      <c r="V131" s="563"/>
      <c r="W131" s="37" t="s">
        <v>72</v>
      </c>
      <c r="X131" s="545">
        <f>IFERROR(X129/H129,"0")+IFERROR(X130/H130,"0")</f>
        <v>3.0000000000000004</v>
      </c>
      <c r="Y131" s="545">
        <f>IFERROR(Y129/H129,"0")+IFERROR(Y130/H130,"0")</f>
        <v>2.9999999999999996</v>
      </c>
      <c r="Z131" s="545">
        <f>IFERROR(IF(Z129="",0,Z129),"0")+IFERROR(IF(Z130="",0,Z130),"0")</f>
        <v>1.9529999999999999E-2</v>
      </c>
      <c r="AA131" s="546"/>
      <c r="AB131" s="546"/>
      <c r="AC131" s="546"/>
    </row>
    <row r="132" spans="1:68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1" t="s">
        <v>71</v>
      </c>
      <c r="Q132" s="562"/>
      <c r="R132" s="562"/>
      <c r="S132" s="562"/>
      <c r="T132" s="562"/>
      <c r="U132" s="562"/>
      <c r="V132" s="563"/>
      <c r="W132" s="37" t="s">
        <v>69</v>
      </c>
      <c r="X132" s="545">
        <f>IFERROR(SUM(X129:X130),"0")</f>
        <v>8.4</v>
      </c>
      <c r="Y132" s="545">
        <f>IFERROR(SUM(Y129:Y130),"0")</f>
        <v>8.3999999999999986</v>
      </c>
      <c r="Z132" s="37"/>
      <c r="AA132" s="546"/>
      <c r="AB132" s="546"/>
      <c r="AC132" s="546"/>
    </row>
    <row r="133" spans="1:68" ht="14.25" hidden="1" customHeight="1" x14ac:dyDescent="0.25">
      <c r="A133" s="559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9"/>
      <c r="AB133" s="539"/>
      <c r="AC133" s="539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7">
        <v>4680115882584</v>
      </c>
      <c r="E134" s="548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0"/>
      <c r="R134" s="550"/>
      <c r="S134" s="550"/>
      <c r="T134" s="551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61" t="s">
        <v>71</v>
      </c>
      <c r="Q136" s="562"/>
      <c r="R136" s="562"/>
      <c r="S136" s="562"/>
      <c r="T136" s="562"/>
      <c r="U136" s="562"/>
      <c r="V136" s="563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1" t="s">
        <v>71</v>
      </c>
      <c r="Q137" s="562"/>
      <c r="R137" s="562"/>
      <c r="S137" s="562"/>
      <c r="T137" s="562"/>
      <c r="U137" s="562"/>
      <c r="V137" s="563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hidden="1" customHeight="1" x14ac:dyDescent="0.25">
      <c r="A138" s="558" t="s">
        <v>99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8"/>
      <c r="AB138" s="538"/>
      <c r="AC138" s="538"/>
    </row>
    <row r="139" spans="1:68" ht="14.25" hidden="1" customHeight="1" x14ac:dyDescent="0.25">
      <c r="A139" s="559" t="s">
        <v>101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9"/>
      <c r="AB139" s="539"/>
      <c r="AC139" s="539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7">
        <v>4680115887374</v>
      </c>
      <c r="E140" s="548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2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0"/>
      <c r="R140" s="550"/>
      <c r="S140" s="550"/>
      <c r="T140" s="551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7">
        <v>4607091384604</v>
      </c>
      <c r="E141" s="548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4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12</v>
      </c>
      <c r="Y141" s="544">
        <f>IFERROR(IF(X141="",0,CEILING((X141/$H141),1)*$H141),"")</f>
        <v>12</v>
      </c>
      <c r="Z141" s="36">
        <f>IFERROR(IF(Y141=0,"",ROUNDUP(Y141/H141,0)*0.00902),"")</f>
        <v>2.7060000000000001E-2</v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12.57</v>
      </c>
      <c r="BN141" s="64">
        <f>IFERROR(Y141*I141/H141,"0")</f>
        <v>12.57</v>
      </c>
      <c r="BO141" s="64">
        <f>IFERROR(1/J141*(X141/H141),"0")</f>
        <v>2.2727272727272728E-2</v>
      </c>
      <c r="BP141" s="64">
        <f>IFERROR(1/J141*(Y141/H141),"0")</f>
        <v>2.2727272727272728E-2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7">
        <v>4680115886810</v>
      </c>
      <c r="E142" s="548"/>
      <c r="F142" s="542">
        <v>0.3</v>
      </c>
      <c r="G142" s="32">
        <v>10</v>
      </c>
      <c r="H142" s="542">
        <v>3</v>
      </c>
      <c r="I142" s="542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8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3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61" t="s">
        <v>71</v>
      </c>
      <c r="Q143" s="562"/>
      <c r="R143" s="562"/>
      <c r="S143" s="562"/>
      <c r="T143" s="562"/>
      <c r="U143" s="562"/>
      <c r="V143" s="563"/>
      <c r="W143" s="37" t="s">
        <v>72</v>
      </c>
      <c r="X143" s="545">
        <f>IFERROR(X140/H140,"0")+IFERROR(X141/H141,"0")+IFERROR(X142/H142,"0")</f>
        <v>3</v>
      </c>
      <c r="Y143" s="545">
        <f>IFERROR(Y140/H140,"0")+IFERROR(Y141/H141,"0")+IFERROR(Y142/H142,"0")</f>
        <v>3</v>
      </c>
      <c r="Z143" s="545">
        <f>IFERROR(IF(Z140="",0,Z140),"0")+IFERROR(IF(Z141="",0,Z141),"0")+IFERROR(IF(Z142="",0,Z142),"0")</f>
        <v>2.7060000000000001E-2</v>
      </c>
      <c r="AA143" s="546"/>
      <c r="AB143" s="546"/>
      <c r="AC143" s="546"/>
    </row>
    <row r="144" spans="1:68" x14ac:dyDescent="0.2">
      <c r="A144" s="554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1" t="s">
        <v>71</v>
      </c>
      <c r="Q144" s="562"/>
      <c r="R144" s="562"/>
      <c r="S144" s="562"/>
      <c r="T144" s="562"/>
      <c r="U144" s="562"/>
      <c r="V144" s="563"/>
      <c r="W144" s="37" t="s">
        <v>69</v>
      </c>
      <c r="X144" s="545">
        <f>IFERROR(SUM(X140:X142),"0")</f>
        <v>12</v>
      </c>
      <c r="Y144" s="545">
        <f>IFERROR(SUM(Y140:Y142),"0")</f>
        <v>12</v>
      </c>
      <c r="Z144" s="37"/>
      <c r="AA144" s="546"/>
      <c r="AB144" s="546"/>
      <c r="AC144" s="546"/>
    </row>
    <row r="145" spans="1:68" ht="14.25" hidden="1" customHeight="1" x14ac:dyDescent="0.25">
      <c r="A145" s="559" t="s">
        <v>64</v>
      </c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4"/>
      <c r="P145" s="554"/>
      <c r="Q145" s="554"/>
      <c r="R145" s="554"/>
      <c r="S145" s="554"/>
      <c r="T145" s="554"/>
      <c r="U145" s="554"/>
      <c r="V145" s="554"/>
      <c r="W145" s="554"/>
      <c r="X145" s="554"/>
      <c r="Y145" s="554"/>
      <c r="Z145" s="554"/>
      <c r="AA145" s="539"/>
      <c r="AB145" s="539"/>
      <c r="AC145" s="539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7">
        <v>4607091387667</v>
      </c>
      <c r="E146" s="548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1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7">
        <v>4607091387636</v>
      </c>
      <c r="E147" s="548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12.6</v>
      </c>
      <c r="Y147" s="544">
        <f>IFERROR(IF(X147="",0,CEILING((X147/$H147),1)*$H147),"")</f>
        <v>12.600000000000001</v>
      </c>
      <c r="Z147" s="36">
        <f>IFERROR(IF(Y147=0,"",ROUNDUP(Y147/H147,0)*0.00651),"")</f>
        <v>1.9529999999999999E-2</v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13.409999999999998</v>
      </c>
      <c r="BN147" s="64">
        <f>IFERROR(Y147*I147/H147,"0")</f>
        <v>13.41</v>
      </c>
      <c r="BO147" s="64">
        <f>IFERROR(1/J147*(X147/H147),"0")</f>
        <v>1.6483516483516484E-2</v>
      </c>
      <c r="BP147" s="64">
        <f>IFERROR(1/J147*(Y147/H147),"0")</f>
        <v>1.6483516483516484E-2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7">
        <v>4607091382426</v>
      </c>
      <c r="E148" s="548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3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3">
        <v>18</v>
      </c>
      <c r="Y148" s="544">
        <f>IFERROR(IF(X148="",0,CEILING((X148/$H148),1)*$H148),"")</f>
        <v>18</v>
      </c>
      <c r="Z148" s="36">
        <f>IFERROR(IF(Y148=0,"",ROUNDUP(Y148/H148,0)*0.01898),"")</f>
        <v>3.7960000000000001E-2</v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19.12</v>
      </c>
      <c r="BN148" s="64">
        <f>IFERROR(Y148*I148/H148,"0")</f>
        <v>19.12</v>
      </c>
      <c r="BO148" s="64">
        <f>IFERROR(1/J148*(X148/H148),"0")</f>
        <v>3.125E-2</v>
      </c>
      <c r="BP148" s="64">
        <f>IFERROR(1/J148*(Y148/H148),"0")</f>
        <v>3.125E-2</v>
      </c>
    </row>
    <row r="149" spans="1:68" x14ac:dyDescent="0.2">
      <c r="A149" s="553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61" t="s">
        <v>71</v>
      </c>
      <c r="Q149" s="562"/>
      <c r="R149" s="562"/>
      <c r="S149" s="562"/>
      <c r="T149" s="562"/>
      <c r="U149" s="562"/>
      <c r="V149" s="563"/>
      <c r="W149" s="37" t="s">
        <v>72</v>
      </c>
      <c r="X149" s="545">
        <f>IFERROR(X146/H146,"0")+IFERROR(X147/H147,"0")+IFERROR(X148/H148,"0")</f>
        <v>5</v>
      </c>
      <c r="Y149" s="545">
        <f>IFERROR(Y146/H146,"0")+IFERROR(Y147/H147,"0")+IFERROR(Y148/H148,"0")</f>
        <v>5</v>
      </c>
      <c r="Z149" s="545">
        <f>IFERROR(IF(Z146="",0,Z146),"0")+IFERROR(IF(Z147="",0,Z147),"0")+IFERROR(IF(Z148="",0,Z148),"0")</f>
        <v>5.7489999999999999E-2</v>
      </c>
      <c r="AA149" s="546"/>
      <c r="AB149" s="546"/>
      <c r="AC149" s="546"/>
    </row>
    <row r="150" spans="1:68" x14ac:dyDescent="0.2">
      <c r="A150" s="554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1" t="s">
        <v>71</v>
      </c>
      <c r="Q150" s="562"/>
      <c r="R150" s="562"/>
      <c r="S150" s="562"/>
      <c r="T150" s="562"/>
      <c r="U150" s="562"/>
      <c r="V150" s="563"/>
      <c r="W150" s="37" t="s">
        <v>69</v>
      </c>
      <c r="X150" s="545">
        <f>IFERROR(SUM(X146:X148),"0")</f>
        <v>30.6</v>
      </c>
      <c r="Y150" s="545">
        <f>IFERROR(SUM(Y146:Y148),"0")</f>
        <v>30.6</v>
      </c>
      <c r="Z150" s="37"/>
      <c r="AA150" s="546"/>
      <c r="AB150" s="546"/>
      <c r="AC150" s="546"/>
    </row>
    <row r="151" spans="1:68" ht="14.25" hidden="1" customHeight="1" x14ac:dyDescent="0.25">
      <c r="A151" s="559" t="s">
        <v>73</v>
      </c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4"/>
      <c r="P151" s="554"/>
      <c r="Q151" s="554"/>
      <c r="R151" s="554"/>
      <c r="S151" s="554"/>
      <c r="T151" s="554"/>
      <c r="U151" s="554"/>
      <c r="V151" s="554"/>
      <c r="W151" s="554"/>
      <c r="X151" s="554"/>
      <c r="Y151" s="554"/>
      <c r="Z151" s="554"/>
      <c r="AA151" s="539"/>
      <c r="AB151" s="539"/>
      <c r="AC151" s="539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7">
        <v>4680115887459</v>
      </c>
      <c r="E152" s="548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4" t="s">
        <v>252</v>
      </c>
      <c r="Q152" s="550"/>
      <c r="R152" s="550"/>
      <c r="S152" s="550"/>
      <c r="T152" s="551"/>
      <c r="U152" s="34"/>
      <c r="V152" s="34"/>
      <c r="W152" s="35" t="s">
        <v>69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3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61" t="s">
        <v>71</v>
      </c>
      <c r="Q153" s="562"/>
      <c r="R153" s="562"/>
      <c r="S153" s="562"/>
      <c r="T153" s="562"/>
      <c r="U153" s="562"/>
      <c r="V153" s="563"/>
      <c r="W153" s="37" t="s">
        <v>72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hidden="1" x14ac:dyDescent="0.2">
      <c r="A154" s="554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1" t="s">
        <v>71</v>
      </c>
      <c r="Q154" s="562"/>
      <c r="R154" s="562"/>
      <c r="S154" s="562"/>
      <c r="T154" s="562"/>
      <c r="U154" s="562"/>
      <c r="V154" s="563"/>
      <c r="W154" s="37" t="s">
        <v>69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hidden="1" customHeight="1" x14ac:dyDescent="0.2">
      <c r="A155" s="570" t="s">
        <v>255</v>
      </c>
      <c r="B155" s="571"/>
      <c r="C155" s="571"/>
      <c r="D155" s="571"/>
      <c r="E155" s="571"/>
      <c r="F155" s="571"/>
      <c r="G155" s="571"/>
      <c r="H155" s="571"/>
      <c r="I155" s="571"/>
      <c r="J155" s="571"/>
      <c r="K155" s="571"/>
      <c r="L155" s="571"/>
      <c r="M155" s="571"/>
      <c r="N155" s="571"/>
      <c r="O155" s="571"/>
      <c r="P155" s="571"/>
      <c r="Q155" s="571"/>
      <c r="R155" s="571"/>
      <c r="S155" s="571"/>
      <c r="T155" s="571"/>
      <c r="U155" s="571"/>
      <c r="V155" s="571"/>
      <c r="W155" s="571"/>
      <c r="X155" s="571"/>
      <c r="Y155" s="571"/>
      <c r="Z155" s="571"/>
      <c r="AA155" s="48"/>
      <c r="AB155" s="48"/>
      <c r="AC155" s="48"/>
    </row>
    <row r="156" spans="1:68" ht="16.5" hidden="1" customHeight="1" x14ac:dyDescent="0.25">
      <c r="A156" s="558" t="s">
        <v>256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8"/>
      <c r="AB156" s="538"/>
      <c r="AC156" s="538"/>
    </row>
    <row r="157" spans="1:68" ht="14.25" hidden="1" customHeight="1" x14ac:dyDescent="0.25">
      <c r="A157" s="559" t="s">
        <v>136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9"/>
      <c r="AB157" s="539"/>
      <c r="AC157" s="539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7">
        <v>4680115886223</v>
      </c>
      <c r="E158" s="548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0"/>
      <c r="R158" s="550"/>
      <c r="S158" s="550"/>
      <c r="T158" s="551"/>
      <c r="U158" s="34"/>
      <c r="V158" s="34"/>
      <c r="W158" s="35" t="s">
        <v>69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3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61" t="s">
        <v>71</v>
      </c>
      <c r="Q159" s="562"/>
      <c r="R159" s="562"/>
      <c r="S159" s="562"/>
      <c r="T159" s="562"/>
      <c r="U159" s="562"/>
      <c r="V159" s="563"/>
      <c r="W159" s="37" t="s">
        <v>72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hidden="1" x14ac:dyDescent="0.2">
      <c r="A160" s="554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1" t="s">
        <v>71</v>
      </c>
      <c r="Q160" s="562"/>
      <c r="R160" s="562"/>
      <c r="S160" s="562"/>
      <c r="T160" s="562"/>
      <c r="U160" s="562"/>
      <c r="V160" s="563"/>
      <c r="W160" s="37" t="s">
        <v>69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hidden="1" customHeight="1" x14ac:dyDescent="0.25">
      <c r="A161" s="559" t="s">
        <v>64</v>
      </c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4"/>
      <c r="P161" s="554"/>
      <c r="Q161" s="554"/>
      <c r="R161" s="554"/>
      <c r="S161" s="554"/>
      <c r="T161" s="554"/>
      <c r="U161" s="554"/>
      <c r="V161" s="554"/>
      <c r="W161" s="554"/>
      <c r="X161" s="554"/>
      <c r="Y161" s="554"/>
      <c r="Z161" s="554"/>
      <c r="AA161" s="539"/>
      <c r="AB161" s="539"/>
      <c r="AC161" s="539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47">
        <v>4680115887213</v>
      </c>
      <c r="E162" s="548"/>
      <c r="F162" s="542">
        <v>0.3</v>
      </c>
      <c r="G162" s="32">
        <v>6</v>
      </c>
      <c r="H162" s="542">
        <v>1.8</v>
      </c>
      <c r="I162" s="542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93" t="s">
        <v>262</v>
      </c>
      <c r="Q162" s="550"/>
      <c r="R162" s="550"/>
      <c r="S162" s="550"/>
      <c r="T162" s="551"/>
      <c r="U162" s="34"/>
      <c r="V162" s="34"/>
      <c r="W162" s="35" t="s">
        <v>69</v>
      </c>
      <c r="X162" s="543">
        <v>7.2</v>
      </c>
      <c r="Y162" s="544">
        <f t="shared" ref="Y162:Y171" si="5">IFERROR(IF(X162="",0,CEILING((X162/$H162),1)*$H162),"")</f>
        <v>7.2</v>
      </c>
      <c r="Z162" s="36">
        <f>IFERROR(IF(Y162=0,"",ROUNDUP(Y162/H162,0)*0.00502),"")</f>
        <v>2.0080000000000001E-2</v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7.6</v>
      </c>
      <c r="BN162" s="64">
        <f t="shared" ref="BN162:BN171" si="7">IFERROR(Y162*I162/H162,"0")</f>
        <v>7.6</v>
      </c>
      <c r="BO162" s="64">
        <f t="shared" ref="BO162:BO171" si="8">IFERROR(1/J162*(X162/H162),"0")</f>
        <v>1.7094017094017096E-2</v>
      </c>
      <c r="BP162" s="64">
        <f t="shared" ref="BP162:BP171" si="9">IFERROR(1/J162*(Y162/H162),"0")</f>
        <v>1.7094017094017096E-2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7">
        <v>4680115880993</v>
      </c>
      <c r="E163" s="548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1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25.2</v>
      </c>
      <c r="Y163" s="544">
        <f t="shared" si="5"/>
        <v>25.200000000000003</v>
      </c>
      <c r="Z163" s="36">
        <f>IFERROR(IF(Y163=0,"",ROUNDUP(Y163/H163,0)*0.00902),"")</f>
        <v>5.4120000000000001E-2</v>
      </c>
      <c r="AA163" s="56"/>
      <c r="AB163" s="57"/>
      <c r="AC163" s="195" t="s">
        <v>266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26.7</v>
      </c>
      <c r="BN163" s="64">
        <f t="shared" si="7"/>
        <v>26.700000000000003</v>
      </c>
      <c r="BO163" s="64">
        <f t="shared" si="8"/>
        <v>4.5454545454545456E-2</v>
      </c>
      <c r="BP163" s="64">
        <f t="shared" si="9"/>
        <v>4.5454545454545456E-2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47">
        <v>4680115881761</v>
      </c>
      <c r="E164" s="548"/>
      <c r="F164" s="542">
        <v>0.7</v>
      </c>
      <c r="G164" s="32">
        <v>6</v>
      </c>
      <c r="H164" s="542">
        <v>4.2</v>
      </c>
      <c r="I164" s="542">
        <v>4.45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21</v>
      </c>
      <c r="Y164" s="544">
        <f t="shared" si="5"/>
        <v>21</v>
      </c>
      <c r="Z164" s="36">
        <f>IFERROR(IF(Y164=0,"",ROUNDUP(Y164/H164,0)*0.00902),"")</f>
        <v>4.5100000000000001E-2</v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22.25</v>
      </c>
      <c r="BN164" s="64">
        <f t="shared" si="7"/>
        <v>22.25</v>
      </c>
      <c r="BO164" s="64">
        <f t="shared" si="8"/>
        <v>3.787878787878788E-2</v>
      </c>
      <c r="BP164" s="64">
        <f t="shared" si="9"/>
        <v>3.787878787878788E-2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7">
        <v>4680115881563</v>
      </c>
      <c r="E165" s="548"/>
      <c r="F165" s="542">
        <v>0.7</v>
      </c>
      <c r="G165" s="32">
        <v>6</v>
      </c>
      <c r="H165" s="542">
        <v>4.2</v>
      </c>
      <c r="I165" s="542">
        <v>4.3899999999999997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25.2</v>
      </c>
      <c r="Y165" s="544">
        <f t="shared" si="5"/>
        <v>25.200000000000003</v>
      </c>
      <c r="Z165" s="36">
        <f>IFERROR(IF(Y165=0,"",ROUNDUP(Y165/H165,0)*0.00902),"")</f>
        <v>5.4120000000000001E-2</v>
      </c>
      <c r="AA165" s="56"/>
      <c r="AB165" s="57"/>
      <c r="AC165" s="199" t="s">
        <v>272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26.339999999999996</v>
      </c>
      <c r="BN165" s="64">
        <f t="shared" si="7"/>
        <v>26.34</v>
      </c>
      <c r="BO165" s="64">
        <f t="shared" si="8"/>
        <v>4.5454545454545456E-2</v>
      </c>
      <c r="BP165" s="64">
        <f t="shared" si="9"/>
        <v>4.5454545454545456E-2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7">
        <v>4680115880986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10.5</v>
      </c>
      <c r="Y166" s="544">
        <f t="shared" si="5"/>
        <v>10.5</v>
      </c>
      <c r="Z166" s="36">
        <f>IFERROR(IF(Y166=0,"",ROUNDUP(Y166/H166,0)*0.00502),"")</f>
        <v>2.5100000000000001E-2</v>
      </c>
      <c r="AA166" s="56"/>
      <c r="AB166" s="57"/>
      <c r="AC166" s="201" t="s">
        <v>266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11.149999999999999</v>
      </c>
      <c r="BN166" s="64">
        <f t="shared" si="7"/>
        <v>11.149999999999999</v>
      </c>
      <c r="BO166" s="64">
        <f t="shared" si="8"/>
        <v>2.1367521367521368E-2</v>
      </c>
      <c r="BP166" s="64">
        <f t="shared" si="9"/>
        <v>2.1367521367521368E-2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275</v>
      </c>
      <c r="M167" s="33" t="s">
        <v>68</v>
      </c>
      <c r="N167" s="33"/>
      <c r="O167" s="32">
        <v>40</v>
      </c>
      <c r="P167" s="68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10.5</v>
      </c>
      <c r="Y167" s="544">
        <f t="shared" si="5"/>
        <v>10.5</v>
      </c>
      <c r="Z167" s="36">
        <f>IFERROR(IF(Y167=0,"",ROUNDUP(Y167/H167,0)*0.00502),"")</f>
        <v>2.5100000000000001E-2</v>
      </c>
      <c r="AA167" s="56"/>
      <c r="AB167" s="57"/>
      <c r="AC167" s="203" t="s">
        <v>269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11.149999999999999</v>
      </c>
      <c r="BN167" s="64">
        <f t="shared" si="7"/>
        <v>11.149999999999999</v>
      </c>
      <c r="BO167" s="64">
        <f t="shared" si="8"/>
        <v>2.1367521367521368E-2</v>
      </c>
      <c r="BP167" s="64">
        <f t="shared" si="9"/>
        <v>2.1367521367521368E-2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59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9</v>
      </c>
      <c r="Y168" s="544">
        <f t="shared" si="5"/>
        <v>9</v>
      </c>
      <c r="Z168" s="36">
        <f>IFERROR(IF(Y168=0,"",ROUNDUP(Y168/H168,0)*0.00502),"")</f>
        <v>2.5100000000000001E-2</v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9.65</v>
      </c>
      <c r="BN168" s="64">
        <f t="shared" si="7"/>
        <v>9.65</v>
      </c>
      <c r="BO168" s="64">
        <f t="shared" si="8"/>
        <v>2.1367521367521368E-2</v>
      </c>
      <c r="BP168" s="64">
        <f t="shared" si="9"/>
        <v>2.1367521367521368E-2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8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10.5</v>
      </c>
      <c r="Y169" s="544">
        <f t="shared" si="5"/>
        <v>10.5</v>
      </c>
      <c r="Z169" s="36">
        <f>IFERROR(IF(Y169=0,"",ROUNDUP(Y169/H169,0)*0.00502),"")</f>
        <v>2.5100000000000001E-2</v>
      </c>
      <c r="AA169" s="56"/>
      <c r="AB169" s="57"/>
      <c r="AC169" s="207" t="s">
        <v>272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11</v>
      </c>
      <c r="BN169" s="64">
        <f t="shared" si="7"/>
        <v>11</v>
      </c>
      <c r="BO169" s="64">
        <f t="shared" si="8"/>
        <v>2.1367521367521368E-2</v>
      </c>
      <c r="BP169" s="64">
        <f t="shared" si="9"/>
        <v>2.1367521367521368E-2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69</v>
      </c>
      <c r="X171" s="543">
        <v>8.4</v>
      </c>
      <c r="Y171" s="544">
        <f t="shared" si="5"/>
        <v>8.4</v>
      </c>
      <c r="Z171" s="36">
        <f>IFERROR(IF(Y171=0,"",ROUNDUP(Y171/H171,0)*0.00502),"")</f>
        <v>2.5100000000000001E-2</v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8.9000000000000021</v>
      </c>
      <c r="BN171" s="64">
        <f t="shared" si="7"/>
        <v>8.9000000000000021</v>
      </c>
      <c r="BO171" s="64">
        <f t="shared" si="8"/>
        <v>2.1367521367521368E-2</v>
      </c>
      <c r="BP171" s="64">
        <f t="shared" si="9"/>
        <v>2.1367521367521368E-2</v>
      </c>
    </row>
    <row r="172" spans="1:68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1" t="s">
        <v>71</v>
      </c>
      <c r="Q172" s="562"/>
      <c r="R172" s="562"/>
      <c r="S172" s="562"/>
      <c r="T172" s="562"/>
      <c r="U172" s="562"/>
      <c r="V172" s="563"/>
      <c r="W172" s="37" t="s">
        <v>72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46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46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0.29892000000000007</v>
      </c>
      <c r="AA172" s="546"/>
      <c r="AB172" s="546"/>
      <c r="AC172" s="546"/>
    </row>
    <row r="173" spans="1:68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1" t="s">
        <v>71</v>
      </c>
      <c r="Q173" s="562"/>
      <c r="R173" s="562"/>
      <c r="S173" s="562"/>
      <c r="T173" s="562"/>
      <c r="U173" s="562"/>
      <c r="V173" s="563"/>
      <c r="W173" s="37" t="s">
        <v>69</v>
      </c>
      <c r="X173" s="545">
        <f>IFERROR(SUM(X162:X171),"0")</f>
        <v>127.5</v>
      </c>
      <c r="Y173" s="545">
        <f>IFERROR(SUM(Y162:Y171),"0")</f>
        <v>127.50000000000001</v>
      </c>
      <c r="Z173" s="37"/>
      <c r="AA173" s="546"/>
      <c r="AB173" s="546"/>
      <c r="AC173" s="546"/>
    </row>
    <row r="174" spans="1:68" ht="14.25" hidden="1" customHeight="1" x14ac:dyDescent="0.25">
      <c r="A174" s="559" t="s">
        <v>93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9"/>
      <c r="AB174" s="539"/>
      <c r="AC174" s="539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9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293</v>
      </c>
      <c r="B176" s="54" t="s">
        <v>294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6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1" t="s">
        <v>71</v>
      </c>
      <c r="Q178" s="562"/>
      <c r="R178" s="562"/>
      <c r="S178" s="562"/>
      <c r="T178" s="562"/>
      <c r="U178" s="562"/>
      <c r="V178" s="563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hidden="1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1" t="s">
        <v>71</v>
      </c>
      <c r="Q179" s="562"/>
      <c r="R179" s="562"/>
      <c r="S179" s="562"/>
      <c r="T179" s="562"/>
      <c r="U179" s="562"/>
      <c r="V179" s="563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hidden="1" customHeight="1" x14ac:dyDescent="0.25">
      <c r="A180" s="559" t="s">
        <v>298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9"/>
      <c r="AB180" s="539"/>
      <c r="AC180" s="539"/>
    </row>
    <row r="181" spans="1:68" ht="27" hidden="1" customHeight="1" x14ac:dyDescent="0.25">
      <c r="A181" s="54" t="s">
        <v>299</v>
      </c>
      <c r="B181" s="54" t="s">
        <v>300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6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1" t="s">
        <v>71</v>
      </c>
      <c r="Q182" s="562"/>
      <c r="R182" s="562"/>
      <c r="S182" s="562"/>
      <c r="T182" s="562"/>
      <c r="U182" s="562"/>
      <c r="V182" s="563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hidden="1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1" t="s">
        <v>71</v>
      </c>
      <c r="Q183" s="562"/>
      <c r="R183" s="562"/>
      <c r="S183" s="562"/>
      <c r="T183" s="562"/>
      <c r="U183" s="562"/>
      <c r="V183" s="563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hidden="1" customHeight="1" x14ac:dyDescent="0.25">
      <c r="A184" s="558" t="s">
        <v>301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8"/>
      <c r="AB184" s="538"/>
      <c r="AC184" s="538"/>
    </row>
    <row r="185" spans="1:68" ht="14.25" hidden="1" customHeight="1" x14ac:dyDescent="0.25">
      <c r="A185" s="559" t="s">
        <v>101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9"/>
      <c r="AB185" s="539"/>
      <c r="AC185" s="539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56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1" t="s">
        <v>71</v>
      </c>
      <c r="Q188" s="562"/>
      <c r="R188" s="562"/>
      <c r="S188" s="562"/>
      <c r="T188" s="562"/>
      <c r="U188" s="562"/>
      <c r="V188" s="563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1" t="s">
        <v>71</v>
      </c>
      <c r="Q189" s="562"/>
      <c r="R189" s="562"/>
      <c r="S189" s="562"/>
      <c r="T189" s="562"/>
      <c r="U189" s="562"/>
      <c r="V189" s="563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hidden="1" customHeight="1" x14ac:dyDescent="0.25">
      <c r="A190" s="559" t="s">
        <v>136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9"/>
      <c r="AB190" s="539"/>
      <c r="AC190" s="539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1" t="s">
        <v>71</v>
      </c>
      <c r="Q193" s="562"/>
      <c r="R193" s="562"/>
      <c r="S193" s="562"/>
      <c r="T193" s="562"/>
      <c r="U193" s="562"/>
      <c r="V193" s="563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1" t="s">
        <v>71</v>
      </c>
      <c r="Q194" s="562"/>
      <c r="R194" s="562"/>
      <c r="S194" s="562"/>
      <c r="T194" s="562"/>
      <c r="U194" s="562"/>
      <c r="V194" s="563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59" t="s">
        <v>64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9"/>
      <c r="AB195" s="539"/>
      <c r="AC195" s="539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27</v>
      </c>
      <c r="Y196" s="544">
        <f t="shared" ref="Y196:Y203" si="10">IFERROR(IF(X196="",0,CEILING((X196/$H196),1)*$H196),"")</f>
        <v>27</v>
      </c>
      <c r="Z196" s="36">
        <f>IFERROR(IF(Y196=0,"",ROUNDUP(Y196/H196,0)*0.00902),"")</f>
        <v>4.5100000000000001E-2</v>
      </c>
      <c r="AA196" s="56"/>
      <c r="AB196" s="57"/>
      <c r="AC196" s="229" t="s">
        <v>314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27.95</v>
      </c>
      <c r="BN196" s="64">
        <f t="shared" ref="BN196:BN203" si="12">IFERROR(Y196*I196/H196,"0")</f>
        <v>27.95</v>
      </c>
      <c r="BO196" s="64">
        <f t="shared" ref="BO196:BO203" si="13">IFERROR(1/J196*(X196/H196),"0")</f>
        <v>3.787878787878788E-2</v>
      </c>
      <c r="BP196" s="64">
        <f t="shared" ref="BP196:BP203" si="14">IFERROR(1/J196*(Y196/H196),"0")</f>
        <v>3.787878787878788E-2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27</v>
      </c>
      <c r="Y197" s="544">
        <f t="shared" si="10"/>
        <v>27</v>
      </c>
      <c r="Z197" s="36">
        <f>IFERROR(IF(Y197=0,"",ROUNDUP(Y197/H197,0)*0.00902),"")</f>
        <v>4.5100000000000001E-2</v>
      </c>
      <c r="AA197" s="56"/>
      <c r="AB197" s="57"/>
      <c r="AC197" s="231" t="s">
        <v>317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27.95</v>
      </c>
      <c r="BN197" s="64">
        <f t="shared" si="12"/>
        <v>27.95</v>
      </c>
      <c r="BO197" s="64">
        <f t="shared" si="13"/>
        <v>3.787878787878788E-2</v>
      </c>
      <c r="BP197" s="64">
        <f t="shared" si="14"/>
        <v>3.787878787878788E-2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27</v>
      </c>
      <c r="Y198" s="544">
        <f t="shared" si="10"/>
        <v>27</v>
      </c>
      <c r="Z198" s="36">
        <f>IFERROR(IF(Y198=0,"",ROUNDUP(Y198/H198,0)*0.00902),"")</f>
        <v>4.5100000000000001E-2</v>
      </c>
      <c r="AA198" s="56"/>
      <c r="AB198" s="57"/>
      <c r="AC198" s="233" t="s">
        <v>320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27.95</v>
      </c>
      <c r="BN198" s="64">
        <f t="shared" si="12"/>
        <v>27.95</v>
      </c>
      <c r="BO198" s="64">
        <f t="shared" si="13"/>
        <v>3.787878787878788E-2</v>
      </c>
      <c r="BP198" s="64">
        <f t="shared" si="14"/>
        <v>3.787878787878788E-2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27</v>
      </c>
      <c r="Y199" s="544">
        <f t="shared" si="10"/>
        <v>27</v>
      </c>
      <c r="Z199" s="36">
        <f>IFERROR(IF(Y199=0,"",ROUNDUP(Y199/H199,0)*0.00902),"")</f>
        <v>4.5100000000000001E-2</v>
      </c>
      <c r="AA199" s="56"/>
      <c r="AB199" s="57"/>
      <c r="AC199" s="235" t="s">
        <v>323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27.95</v>
      </c>
      <c r="BN199" s="64">
        <f t="shared" si="12"/>
        <v>27.95</v>
      </c>
      <c r="BO199" s="64">
        <f t="shared" si="13"/>
        <v>3.787878787878788E-2</v>
      </c>
      <c r="BP199" s="64">
        <f t="shared" si="14"/>
        <v>3.787878787878788E-2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7.2</v>
      </c>
      <c r="Y200" s="544">
        <f t="shared" si="10"/>
        <v>7.2</v>
      </c>
      <c r="Z200" s="36">
        <f>IFERROR(IF(Y200=0,"",ROUNDUP(Y200/H200,0)*0.00502),"")</f>
        <v>2.0080000000000001E-2</v>
      </c>
      <c r="AA200" s="56"/>
      <c r="AB200" s="57"/>
      <c r="AC200" s="237" t="s">
        <v>314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7.7199999999999989</v>
      </c>
      <c r="BN200" s="64">
        <f t="shared" si="12"/>
        <v>7.7199999999999989</v>
      </c>
      <c r="BO200" s="64">
        <f t="shared" si="13"/>
        <v>1.7094017094017096E-2</v>
      </c>
      <c r="BP200" s="64">
        <f t="shared" si="14"/>
        <v>1.7094017094017096E-2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83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7.2</v>
      </c>
      <c r="Y201" s="544">
        <f t="shared" si="10"/>
        <v>7.2</v>
      </c>
      <c r="Z201" s="36">
        <f>IFERROR(IF(Y201=0,"",ROUNDUP(Y201/H201,0)*0.00502),"")</f>
        <v>2.0080000000000001E-2</v>
      </c>
      <c r="AA201" s="56"/>
      <c r="AB201" s="57"/>
      <c r="AC201" s="239" t="s">
        <v>317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7.6</v>
      </c>
      <c r="BN201" s="64">
        <f t="shared" si="12"/>
        <v>7.6</v>
      </c>
      <c r="BO201" s="64">
        <f t="shared" si="13"/>
        <v>1.7094017094017096E-2</v>
      </c>
      <c r="BP201" s="64">
        <f t="shared" si="14"/>
        <v>1.7094017094017096E-2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7.2</v>
      </c>
      <c r="Y202" s="544">
        <f t="shared" si="10"/>
        <v>7.2</v>
      </c>
      <c r="Z202" s="36">
        <f>IFERROR(IF(Y202=0,"",ROUNDUP(Y202/H202,0)*0.00502),"")</f>
        <v>2.0080000000000001E-2</v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7.6</v>
      </c>
      <c r="BN202" s="64">
        <f t="shared" si="12"/>
        <v>7.6</v>
      </c>
      <c r="BO202" s="64">
        <f t="shared" si="13"/>
        <v>1.7094017094017096E-2</v>
      </c>
      <c r="BP202" s="64">
        <f t="shared" si="14"/>
        <v>1.7094017094017096E-2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3">
        <v>7.2</v>
      </c>
      <c r="Y203" s="544">
        <f t="shared" si="10"/>
        <v>7.2</v>
      </c>
      <c r="Z203" s="36">
        <f>IFERROR(IF(Y203=0,"",ROUNDUP(Y203/H203,0)*0.00502),"")</f>
        <v>2.0080000000000001E-2</v>
      </c>
      <c r="AA203" s="56"/>
      <c r="AB203" s="57"/>
      <c r="AC203" s="243" t="s">
        <v>323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7.6</v>
      </c>
      <c r="BN203" s="64">
        <f t="shared" si="12"/>
        <v>7.6</v>
      </c>
      <c r="BO203" s="64">
        <f t="shared" si="13"/>
        <v>1.7094017094017096E-2</v>
      </c>
      <c r="BP203" s="64">
        <f t="shared" si="14"/>
        <v>1.7094017094017096E-2</v>
      </c>
    </row>
    <row r="204" spans="1:68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1" t="s">
        <v>71</v>
      </c>
      <c r="Q204" s="562"/>
      <c r="R204" s="562"/>
      <c r="S204" s="562"/>
      <c r="T204" s="562"/>
      <c r="U204" s="562"/>
      <c r="V204" s="563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36</v>
      </c>
      <c r="Y204" s="545">
        <f>IFERROR(Y196/H196,"0")+IFERROR(Y197/H197,"0")+IFERROR(Y198/H198,"0")+IFERROR(Y199/H199,"0")+IFERROR(Y200/H200,"0")+IFERROR(Y201/H201,"0")+IFERROR(Y202/H202,"0")+IFERROR(Y203/H203,"0")</f>
        <v>36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0.26071999999999995</v>
      </c>
      <c r="AA204" s="546"/>
      <c r="AB204" s="546"/>
      <c r="AC204" s="546"/>
    </row>
    <row r="205" spans="1:68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1" t="s">
        <v>71</v>
      </c>
      <c r="Q205" s="562"/>
      <c r="R205" s="562"/>
      <c r="S205" s="562"/>
      <c r="T205" s="562"/>
      <c r="U205" s="562"/>
      <c r="V205" s="563"/>
      <c r="W205" s="37" t="s">
        <v>69</v>
      </c>
      <c r="X205" s="545">
        <f>IFERROR(SUM(X196:X203),"0")</f>
        <v>136.79999999999998</v>
      </c>
      <c r="Y205" s="545">
        <f>IFERROR(SUM(Y196:Y203),"0")</f>
        <v>136.79999999999998</v>
      </c>
      <c r="Z205" s="37"/>
      <c r="AA205" s="546"/>
      <c r="AB205" s="546"/>
      <c r="AC205" s="546"/>
    </row>
    <row r="206" spans="1:68" ht="14.25" hidden="1" customHeight="1" x14ac:dyDescent="0.25">
      <c r="A206" s="559" t="s">
        <v>73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9"/>
      <c r="AB206" s="539"/>
      <c r="AC206" s="539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16.2</v>
      </c>
      <c r="Y207" s="544">
        <f t="shared" ref="Y207:Y215" si="15">IFERROR(IF(X207="",0,CEILING((X207/$H207),1)*$H207),"")</f>
        <v>16.2</v>
      </c>
      <c r="Z207" s="36">
        <f>IFERROR(IF(Y207=0,"",ROUNDUP(Y207/H207,0)*0.01898),"")</f>
        <v>3.7960000000000001E-2</v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17.187999999999999</v>
      </c>
      <c r="BN207" s="64">
        <f t="shared" ref="BN207:BN215" si="17">IFERROR(Y207*I207/H207,"0")</f>
        <v>17.187999999999999</v>
      </c>
      <c r="BO207" s="64">
        <f t="shared" ref="BO207:BO215" si="18">IFERROR(1/J207*(X207/H207),"0")</f>
        <v>3.125E-2</v>
      </c>
      <c r="BP207" s="64">
        <f t="shared" ref="BP207:BP215" si="19">IFERROR(1/J207*(Y207/H207),"0")</f>
        <v>3.125E-2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16.2</v>
      </c>
      <c r="Y208" s="544">
        <f t="shared" si="15"/>
        <v>16.2</v>
      </c>
      <c r="Z208" s="36">
        <f>IFERROR(IF(Y208=0,"",ROUNDUP(Y208/H208,0)*0.01898),"")</f>
        <v>3.7960000000000001E-2</v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17.152000000000001</v>
      </c>
      <c r="BN208" s="64">
        <f t="shared" si="17"/>
        <v>17.152000000000001</v>
      </c>
      <c r="BO208" s="64">
        <f t="shared" si="18"/>
        <v>3.125E-2</v>
      </c>
      <c r="BP208" s="64">
        <f t="shared" si="19"/>
        <v>3.125E-2</v>
      </c>
    </row>
    <row r="209" spans="1:68" ht="27" hidden="1" customHeight="1" x14ac:dyDescent="0.25">
      <c r="A209" s="54" t="s">
        <v>338</v>
      </c>
      <c r="B209" s="54" t="s">
        <v>339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6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341</v>
      </c>
      <c r="B210" s="54" t="s">
        <v>342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346</v>
      </c>
      <c r="B212" s="54" t="s">
        <v>347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340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348</v>
      </c>
      <c r="B213" s="54" t="s">
        <v>349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340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350</v>
      </c>
      <c r="B214" s="54" t="s">
        <v>351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80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1" t="s">
        <v>71</v>
      </c>
      <c r="Q216" s="562"/>
      <c r="R216" s="562"/>
      <c r="S216" s="562"/>
      <c r="T216" s="562"/>
      <c r="U216" s="562"/>
      <c r="V216" s="563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4</v>
      </c>
      <c r="Y216" s="545">
        <f>IFERROR(Y207/H207,"0")+IFERROR(Y208/H208,"0")+IFERROR(Y209/H209,"0")+IFERROR(Y210/H210,"0")+IFERROR(Y211/H211,"0")+IFERROR(Y212/H212,"0")+IFERROR(Y213/H213,"0")+IFERROR(Y214/H214,"0")+IFERROR(Y215/H215,"0")</f>
        <v>4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7.5920000000000001E-2</v>
      </c>
      <c r="AA216" s="546"/>
      <c r="AB216" s="546"/>
      <c r="AC216" s="546"/>
    </row>
    <row r="217" spans="1:68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1" t="s">
        <v>71</v>
      </c>
      <c r="Q217" s="562"/>
      <c r="R217" s="562"/>
      <c r="S217" s="562"/>
      <c r="T217" s="562"/>
      <c r="U217" s="562"/>
      <c r="V217" s="563"/>
      <c r="W217" s="37" t="s">
        <v>69</v>
      </c>
      <c r="X217" s="545">
        <f>IFERROR(SUM(X207:X215),"0")</f>
        <v>32.4</v>
      </c>
      <c r="Y217" s="545">
        <f>IFERROR(SUM(Y207:Y215),"0")</f>
        <v>32.4</v>
      </c>
      <c r="Z217" s="37"/>
      <c r="AA217" s="546"/>
      <c r="AB217" s="546"/>
      <c r="AC217" s="546"/>
    </row>
    <row r="218" spans="1:68" ht="14.25" hidden="1" customHeight="1" x14ac:dyDescent="0.25">
      <c r="A218" s="559" t="s">
        <v>164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9"/>
      <c r="AB218" s="539"/>
      <c r="AC218" s="539"/>
    </row>
    <row r="219" spans="1:68" ht="27" hidden="1" customHeight="1" x14ac:dyDescent="0.25">
      <c r="A219" s="54" t="s">
        <v>355</v>
      </c>
      <c r="B219" s="54" t="s">
        <v>356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7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358</v>
      </c>
      <c r="B220" s="54" t="s">
        <v>359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1" t="s">
        <v>71</v>
      </c>
      <c r="Q221" s="562"/>
      <c r="R221" s="562"/>
      <c r="S221" s="562"/>
      <c r="T221" s="562"/>
      <c r="U221" s="562"/>
      <c r="V221" s="563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hidden="1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1" t="s">
        <v>71</v>
      </c>
      <c r="Q222" s="562"/>
      <c r="R222" s="562"/>
      <c r="S222" s="562"/>
      <c r="T222" s="562"/>
      <c r="U222" s="562"/>
      <c r="V222" s="563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hidden="1" customHeight="1" x14ac:dyDescent="0.25">
      <c r="A223" s="558" t="s">
        <v>361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8"/>
      <c r="AB223" s="538"/>
      <c r="AC223" s="538"/>
    </row>
    <row r="224" spans="1:68" ht="14.25" hidden="1" customHeight="1" x14ac:dyDescent="0.25">
      <c r="A224" s="559" t="s">
        <v>101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9"/>
      <c r="AB224" s="539"/>
      <c r="AC224" s="539"/>
    </row>
    <row r="225" spans="1:68" ht="27" hidden="1" customHeight="1" x14ac:dyDescent="0.25">
      <c r="A225" s="54" t="s">
        <v>362</v>
      </c>
      <c r="B225" s="54" t="s">
        <v>363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9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371</v>
      </c>
      <c r="B228" s="54" t="s">
        <v>372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66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1" t="s">
        <v>71</v>
      </c>
      <c r="Q235" s="562"/>
      <c r="R235" s="562"/>
      <c r="S235" s="562"/>
      <c r="T235" s="562"/>
      <c r="U235" s="562"/>
      <c r="V235" s="563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hidden="1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1" t="s">
        <v>71</v>
      </c>
      <c r="Q236" s="562"/>
      <c r="R236" s="562"/>
      <c r="S236" s="562"/>
      <c r="T236" s="562"/>
      <c r="U236" s="562"/>
      <c r="V236" s="563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hidden="1" customHeight="1" x14ac:dyDescent="0.25">
      <c r="A237" s="559" t="s">
        <v>136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9"/>
      <c r="AB237" s="539"/>
      <c r="AC237" s="539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1" t="s">
        <v>71</v>
      </c>
      <c r="Q239" s="562"/>
      <c r="R239" s="562"/>
      <c r="S239" s="562"/>
      <c r="T239" s="562"/>
      <c r="U239" s="562"/>
      <c r="V239" s="563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1" t="s">
        <v>71</v>
      </c>
      <c r="Q240" s="562"/>
      <c r="R240" s="562"/>
      <c r="S240" s="562"/>
      <c r="T240" s="562"/>
      <c r="U240" s="562"/>
      <c r="V240" s="563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59" t="s">
        <v>387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9"/>
      <c r="AB241" s="539"/>
      <c r="AC241" s="539"/>
    </row>
    <row r="242" spans="1:68" ht="27" hidden="1" customHeight="1" x14ac:dyDescent="0.25">
      <c r="A242" s="54" t="s">
        <v>388</v>
      </c>
      <c r="B242" s="54" t="s">
        <v>389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3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1" t="s">
        <v>71</v>
      </c>
      <c r="Q243" s="562"/>
      <c r="R243" s="562"/>
      <c r="S243" s="562"/>
      <c r="T243" s="562"/>
      <c r="U243" s="562"/>
      <c r="V243" s="563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hidden="1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1" t="s">
        <v>71</v>
      </c>
      <c r="Q244" s="562"/>
      <c r="R244" s="562"/>
      <c r="S244" s="562"/>
      <c r="T244" s="562"/>
      <c r="U244" s="562"/>
      <c r="V244" s="563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hidden="1" customHeight="1" x14ac:dyDescent="0.25">
      <c r="A245" s="559" t="s">
        <v>391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9"/>
      <c r="AB245" s="539"/>
      <c r="AC245" s="539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4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397</v>
      </c>
      <c r="B248" s="54" t="s">
        <v>398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4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399</v>
      </c>
      <c r="B249" s="54" t="s">
        <v>400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401</v>
      </c>
      <c r="B250" s="54" t="s">
        <v>402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59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1" t="s">
        <v>71</v>
      </c>
      <c r="Q251" s="562"/>
      <c r="R251" s="562"/>
      <c r="S251" s="562"/>
      <c r="T251" s="562"/>
      <c r="U251" s="562"/>
      <c r="V251" s="563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hidden="1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1" t="s">
        <v>71</v>
      </c>
      <c r="Q252" s="562"/>
      <c r="R252" s="562"/>
      <c r="S252" s="562"/>
      <c r="T252" s="562"/>
      <c r="U252" s="562"/>
      <c r="V252" s="563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hidden="1" customHeight="1" x14ac:dyDescent="0.25">
      <c r="A253" s="558" t="s">
        <v>403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8"/>
      <c r="AB253" s="538"/>
      <c r="AC253" s="538"/>
    </row>
    <row r="254" spans="1:68" ht="14.25" hidden="1" customHeight="1" x14ac:dyDescent="0.25">
      <c r="A254" s="559" t="s">
        <v>101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9"/>
      <c r="AB254" s="539"/>
      <c r="AC254" s="539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54</v>
      </c>
      <c r="Y255" s="544">
        <f>IFERROR(IF(X255="",0,CEILING((X255/$H255),1)*$H255),"")</f>
        <v>54</v>
      </c>
      <c r="Z255" s="36">
        <f>IFERROR(IF(Y255=0,"",ROUNDUP(Y255/H255,0)*0.01898),"")</f>
        <v>9.4899999999999998E-2</v>
      </c>
      <c r="AA255" s="56"/>
      <c r="AB255" s="57"/>
      <c r="AC255" s="301" t="s">
        <v>406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56.05</v>
      </c>
      <c r="BN255" s="64">
        <f>IFERROR(Y255*I255/H255,"0")</f>
        <v>56.05</v>
      </c>
      <c r="BO255" s="64">
        <f>IFERROR(1/J255*(X255/H255),"0")</f>
        <v>7.8125E-2</v>
      </c>
      <c r="BP255" s="64">
        <f>IFERROR(1/J255*(Y255/H255),"0")</f>
        <v>7.8125E-2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7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54</v>
      </c>
      <c r="Y256" s="544">
        <f>IFERROR(IF(X256="",0,CEILING((X256/$H256),1)*$H256),"")</f>
        <v>54</v>
      </c>
      <c r="Z256" s="36">
        <f>IFERROR(IF(Y256=0,"",ROUNDUP(Y256/H256,0)*0.01898),"")</f>
        <v>9.4899999999999998E-2</v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56.05</v>
      </c>
      <c r="BN256" s="64">
        <f>IFERROR(Y256*I256/H256,"0")</f>
        <v>56.05</v>
      </c>
      <c r="BO256" s="64">
        <f>IFERROR(1/J256*(X256/H256),"0")</f>
        <v>7.8125E-2</v>
      </c>
      <c r="BP256" s="64">
        <f>IFERROR(1/J256*(Y256/H256),"0")</f>
        <v>7.8125E-2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108</v>
      </c>
      <c r="Y257" s="544">
        <f>IFERROR(IF(X257="",0,CEILING((X257/$H257),1)*$H257),"")</f>
        <v>108</v>
      </c>
      <c r="Z257" s="36">
        <f>IFERROR(IF(Y257=0,"",ROUNDUP(Y257/H257,0)*0.01898),"")</f>
        <v>0.1898</v>
      </c>
      <c r="AA257" s="56"/>
      <c r="AB257" s="57"/>
      <c r="AC257" s="305" t="s">
        <v>412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112.1</v>
      </c>
      <c r="BN257" s="64">
        <f>IFERROR(Y257*I257/H257,"0")</f>
        <v>112.1</v>
      </c>
      <c r="BO257" s="64">
        <f>IFERROR(1/J257*(X257/H257),"0")</f>
        <v>0.15625</v>
      </c>
      <c r="BP257" s="64">
        <f>IFERROR(1/J257*(Y257/H257),"0")</f>
        <v>0.15625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12</v>
      </c>
      <c r="Y258" s="544">
        <f>IFERROR(IF(X258="",0,CEILING((X258/$H258),1)*$H258),"")</f>
        <v>12</v>
      </c>
      <c r="Z258" s="36">
        <f>IFERROR(IF(Y258=0,"",ROUNDUP(Y258/H258,0)*0.00902),"")</f>
        <v>2.7060000000000001E-2</v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12.57</v>
      </c>
      <c r="BN258" s="64">
        <f>IFERROR(Y258*I258/H258,"0")</f>
        <v>12.57</v>
      </c>
      <c r="BO258" s="64">
        <f>IFERROR(1/J258*(X258/H258),"0")</f>
        <v>2.2727272727272728E-2</v>
      </c>
      <c r="BP258" s="64">
        <f>IFERROR(1/J258*(Y258/H258),"0")</f>
        <v>2.2727272727272728E-2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3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3">
        <v>8</v>
      </c>
      <c r="Y259" s="544">
        <f>IFERROR(IF(X259="",0,CEILING((X259/$H259),1)*$H259),"")</f>
        <v>8</v>
      </c>
      <c r="Z259" s="36">
        <f>IFERROR(IF(Y259=0,"",ROUNDUP(Y259/H259,0)*0.00902),"")</f>
        <v>1.804E-2</v>
      </c>
      <c r="AA259" s="56"/>
      <c r="AB259" s="57"/>
      <c r="AC259" s="309" t="s">
        <v>418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8.3800000000000008</v>
      </c>
      <c r="BN259" s="64">
        <f>IFERROR(Y259*I259/H259,"0")</f>
        <v>8.3800000000000008</v>
      </c>
      <c r="BO259" s="64">
        <f>IFERROR(1/J259*(X259/H259),"0")</f>
        <v>1.5151515151515152E-2</v>
      </c>
      <c r="BP259" s="64">
        <f>IFERROR(1/J259*(Y259/H259),"0")</f>
        <v>1.5151515151515152E-2</v>
      </c>
    </row>
    <row r="260" spans="1:68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1" t="s">
        <v>71</v>
      </c>
      <c r="Q260" s="562"/>
      <c r="R260" s="562"/>
      <c r="S260" s="562"/>
      <c r="T260" s="562"/>
      <c r="U260" s="562"/>
      <c r="V260" s="563"/>
      <c r="W260" s="37" t="s">
        <v>72</v>
      </c>
      <c r="X260" s="545">
        <f>IFERROR(X255/H255,"0")+IFERROR(X256/H256,"0")+IFERROR(X257/H257,"0")+IFERROR(X258/H258,"0")+IFERROR(X259/H259,"0")</f>
        <v>25</v>
      </c>
      <c r="Y260" s="545">
        <f>IFERROR(Y255/H255,"0")+IFERROR(Y256/H256,"0")+IFERROR(Y257/H257,"0")+IFERROR(Y258/H258,"0")+IFERROR(Y259/H259,"0")</f>
        <v>25</v>
      </c>
      <c r="Z260" s="545">
        <f>IFERROR(IF(Z255="",0,Z255),"0")+IFERROR(IF(Z256="",0,Z256),"0")+IFERROR(IF(Z257="",0,Z257),"0")+IFERROR(IF(Z258="",0,Z258),"0")+IFERROR(IF(Z259="",0,Z259),"0")</f>
        <v>0.42470000000000002</v>
      </c>
      <c r="AA260" s="546"/>
      <c r="AB260" s="546"/>
      <c r="AC260" s="546"/>
    </row>
    <row r="261" spans="1:68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1" t="s">
        <v>71</v>
      </c>
      <c r="Q261" s="562"/>
      <c r="R261" s="562"/>
      <c r="S261" s="562"/>
      <c r="T261" s="562"/>
      <c r="U261" s="562"/>
      <c r="V261" s="563"/>
      <c r="W261" s="37" t="s">
        <v>69</v>
      </c>
      <c r="X261" s="545">
        <f>IFERROR(SUM(X255:X259),"0")</f>
        <v>236</v>
      </c>
      <c r="Y261" s="545">
        <f>IFERROR(SUM(Y255:Y259),"0")</f>
        <v>236</v>
      </c>
      <c r="Z261" s="37"/>
      <c r="AA261" s="546"/>
      <c r="AB261" s="546"/>
      <c r="AC261" s="546"/>
    </row>
    <row r="262" spans="1:68" ht="16.5" hidden="1" customHeight="1" x14ac:dyDescent="0.25">
      <c r="A262" s="558" t="s">
        <v>419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8"/>
      <c r="AB262" s="538"/>
      <c r="AC262" s="538"/>
    </row>
    <row r="263" spans="1:68" ht="14.25" hidden="1" customHeight="1" x14ac:dyDescent="0.25">
      <c r="A263" s="559" t="s">
        <v>101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9"/>
      <c r="AB263" s="539"/>
      <c r="AC263" s="539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6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2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2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1" t="s">
        <v>71</v>
      </c>
      <c r="Q268" s="562"/>
      <c r="R268" s="562"/>
      <c r="S268" s="562"/>
      <c r="T268" s="562"/>
      <c r="U268" s="562"/>
      <c r="V268" s="563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1" t="s">
        <v>71</v>
      </c>
      <c r="Q269" s="562"/>
      <c r="R269" s="562"/>
      <c r="S269" s="562"/>
      <c r="T269" s="562"/>
      <c r="U269" s="562"/>
      <c r="V269" s="563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58" t="s">
        <v>430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8"/>
      <c r="AB270" s="538"/>
      <c r="AC270" s="538"/>
    </row>
    <row r="271" spans="1:68" ht="14.25" hidden="1" customHeight="1" x14ac:dyDescent="0.25">
      <c r="A271" s="559" t="s">
        <v>73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9"/>
      <c r="AB271" s="539"/>
      <c r="AC271" s="539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7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9.6</v>
      </c>
      <c r="Y273" s="544">
        <f>IFERROR(IF(X273="",0,CEILING((X273/$H273),1)*$H273),"")</f>
        <v>9.6</v>
      </c>
      <c r="Z273" s="36">
        <f>IFERROR(IF(Y273=0,"",ROUNDUP(Y273/H273,0)*0.00651),"")</f>
        <v>2.6040000000000001E-2</v>
      </c>
      <c r="AA273" s="56"/>
      <c r="AB273" s="57"/>
      <c r="AC273" s="321" t="s">
        <v>436</v>
      </c>
      <c r="AG273" s="64"/>
      <c r="AJ273" s="68"/>
      <c r="AK273" s="68">
        <v>0</v>
      </c>
      <c r="BB273" s="322" t="s">
        <v>1</v>
      </c>
      <c r="BM273" s="64">
        <f>IFERROR(X273*I273/H273,"0")</f>
        <v>10.608000000000001</v>
      </c>
      <c r="BN273" s="64">
        <f>IFERROR(Y273*I273/H273,"0")</f>
        <v>10.608000000000001</v>
      </c>
      <c r="BO273" s="64">
        <f>IFERROR(1/J273*(X273/H273),"0")</f>
        <v>2.197802197802198E-2</v>
      </c>
      <c r="BP273" s="64">
        <f>IFERROR(1/J273*(Y273/H273),"0")</f>
        <v>2.197802197802198E-2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69</v>
      </c>
      <c r="X274" s="543">
        <v>9.6</v>
      </c>
      <c r="Y274" s="544">
        <f>IFERROR(IF(X274="",0,CEILING((X274/$H274),1)*$H274),"")</f>
        <v>9.6</v>
      </c>
      <c r="Z274" s="36">
        <f>IFERROR(IF(Y274=0,"",ROUNDUP(Y274/H274,0)*0.00651),"")</f>
        <v>2.6040000000000001E-2</v>
      </c>
      <c r="AA274" s="56"/>
      <c r="AB274" s="57"/>
      <c r="AC274" s="323" t="s">
        <v>433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10.32</v>
      </c>
      <c r="BN274" s="64">
        <f>IFERROR(Y274*I274/H274,"0")</f>
        <v>10.32</v>
      </c>
      <c r="BO274" s="64">
        <f>IFERROR(1/J274*(X274/H274),"0")</f>
        <v>2.197802197802198E-2</v>
      </c>
      <c r="BP274" s="64">
        <f>IFERROR(1/J274*(Y274/H274),"0")</f>
        <v>2.197802197802198E-2</v>
      </c>
    </row>
    <row r="275" spans="1:68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1" t="s">
        <v>71</v>
      </c>
      <c r="Q275" s="562"/>
      <c r="R275" s="562"/>
      <c r="S275" s="562"/>
      <c r="T275" s="562"/>
      <c r="U275" s="562"/>
      <c r="V275" s="563"/>
      <c r="W275" s="37" t="s">
        <v>72</v>
      </c>
      <c r="X275" s="545">
        <f>IFERROR(X272/H272,"0")+IFERROR(X273/H273,"0")+IFERROR(X274/H274,"0")</f>
        <v>8</v>
      </c>
      <c r="Y275" s="545">
        <f>IFERROR(Y272/H272,"0")+IFERROR(Y273/H273,"0")+IFERROR(Y274/H274,"0")</f>
        <v>8</v>
      </c>
      <c r="Z275" s="545">
        <f>IFERROR(IF(Z272="",0,Z272),"0")+IFERROR(IF(Z273="",0,Z273),"0")+IFERROR(IF(Z274="",0,Z274),"0")</f>
        <v>5.2080000000000001E-2</v>
      </c>
      <c r="AA275" s="546"/>
      <c r="AB275" s="546"/>
      <c r="AC275" s="546"/>
    </row>
    <row r="276" spans="1:68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1" t="s">
        <v>71</v>
      </c>
      <c r="Q276" s="562"/>
      <c r="R276" s="562"/>
      <c r="S276" s="562"/>
      <c r="T276" s="562"/>
      <c r="U276" s="562"/>
      <c r="V276" s="563"/>
      <c r="W276" s="37" t="s">
        <v>69</v>
      </c>
      <c r="X276" s="545">
        <f>IFERROR(SUM(X272:X274),"0")</f>
        <v>19.2</v>
      </c>
      <c r="Y276" s="545">
        <f>IFERROR(SUM(Y272:Y274),"0")</f>
        <v>19.2</v>
      </c>
      <c r="Z276" s="37"/>
      <c r="AA276" s="546"/>
      <c r="AB276" s="546"/>
      <c r="AC276" s="546"/>
    </row>
    <row r="277" spans="1:68" ht="16.5" hidden="1" customHeight="1" x14ac:dyDescent="0.25">
      <c r="A277" s="558" t="s">
        <v>439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8"/>
      <c r="AB277" s="538"/>
      <c r="AC277" s="538"/>
    </row>
    <row r="278" spans="1:68" ht="14.25" hidden="1" customHeight="1" x14ac:dyDescent="0.25">
      <c r="A278" s="559" t="s">
        <v>64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9"/>
      <c r="AB278" s="539"/>
      <c r="AC278" s="539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8.4</v>
      </c>
      <c r="Y279" s="544">
        <f>IFERROR(IF(X279="",0,CEILING((X279/$H279),1)*$H279),"")</f>
        <v>8.4</v>
      </c>
      <c r="Z279" s="36">
        <f>IFERROR(IF(Y279=0,"",ROUNDUP(Y279/H279,0)*0.00502),"")</f>
        <v>2.5100000000000001E-2</v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8.9000000000000021</v>
      </c>
      <c r="BN279" s="64">
        <f>IFERROR(Y279*I279/H279,"0")</f>
        <v>8.9000000000000021</v>
      </c>
      <c r="BO279" s="64">
        <f>IFERROR(1/J279*(X279/H279),"0")</f>
        <v>2.1367521367521368E-2</v>
      </c>
      <c r="BP279" s="64">
        <f>IFERROR(1/J279*(Y279/H279),"0")</f>
        <v>2.1367521367521368E-2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69</v>
      </c>
      <c r="X280" s="543">
        <v>12</v>
      </c>
      <c r="Y280" s="544">
        <f>IFERROR(IF(X280="",0,CEILING((X280/$H280),1)*$H280),"")</f>
        <v>12</v>
      </c>
      <c r="Z280" s="36">
        <f>IFERROR(IF(Y280=0,"",ROUNDUP(Y280/H280,0)*0.00651),"")</f>
        <v>3.2550000000000003E-2</v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12.9</v>
      </c>
      <c r="BN280" s="64">
        <f>IFERROR(Y280*I280/H280,"0")</f>
        <v>12.9</v>
      </c>
      <c r="BO280" s="64">
        <f>IFERROR(1/J280*(X280/H280),"0")</f>
        <v>2.7472527472527476E-2</v>
      </c>
      <c r="BP280" s="64">
        <f>IFERROR(1/J280*(Y280/H280),"0")</f>
        <v>2.7472527472527476E-2</v>
      </c>
    </row>
    <row r="281" spans="1:68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1" t="s">
        <v>71</v>
      </c>
      <c r="Q281" s="562"/>
      <c r="R281" s="562"/>
      <c r="S281" s="562"/>
      <c r="T281" s="562"/>
      <c r="U281" s="562"/>
      <c r="V281" s="563"/>
      <c r="W281" s="37" t="s">
        <v>72</v>
      </c>
      <c r="X281" s="545">
        <f>IFERROR(X279/H279,"0")+IFERROR(X280/H280,"0")</f>
        <v>10</v>
      </c>
      <c r="Y281" s="545">
        <f>IFERROR(Y279/H279,"0")+IFERROR(Y280/H280,"0")</f>
        <v>10</v>
      </c>
      <c r="Z281" s="545">
        <f>IFERROR(IF(Z279="",0,Z279),"0")+IFERROR(IF(Z280="",0,Z280),"0")</f>
        <v>5.7650000000000007E-2</v>
      </c>
      <c r="AA281" s="546"/>
      <c r="AB281" s="546"/>
      <c r="AC281" s="546"/>
    </row>
    <row r="282" spans="1:68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1" t="s">
        <v>71</v>
      </c>
      <c r="Q282" s="562"/>
      <c r="R282" s="562"/>
      <c r="S282" s="562"/>
      <c r="T282" s="562"/>
      <c r="U282" s="562"/>
      <c r="V282" s="563"/>
      <c r="W282" s="37" t="s">
        <v>69</v>
      </c>
      <c r="X282" s="545">
        <f>IFERROR(SUM(X279:X280),"0")</f>
        <v>20.399999999999999</v>
      </c>
      <c r="Y282" s="545">
        <f>IFERROR(SUM(Y279:Y280),"0")</f>
        <v>20.399999999999999</v>
      </c>
      <c r="Z282" s="37"/>
      <c r="AA282" s="546"/>
      <c r="AB282" s="546"/>
      <c r="AC282" s="546"/>
    </row>
    <row r="283" spans="1:68" ht="14.25" hidden="1" customHeight="1" x14ac:dyDescent="0.25">
      <c r="A283" s="559" t="s">
        <v>73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9"/>
      <c r="AB283" s="539"/>
      <c r="AC283" s="539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7">
        <v>4680115887114</v>
      </c>
      <c r="E284" s="548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50" t="s">
        <v>448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7">
        <v>4680115884618</v>
      </c>
      <c r="E285" s="548"/>
      <c r="F285" s="542">
        <v>0.6</v>
      </c>
      <c r="G285" s="32">
        <v>6</v>
      </c>
      <c r="H285" s="542">
        <v>3.6</v>
      </c>
      <c r="I285" s="542">
        <v>3.79</v>
      </c>
      <c r="J285" s="32">
        <v>132</v>
      </c>
      <c r="K285" s="32" t="s">
        <v>110</v>
      </c>
      <c r="L285" s="32" t="s">
        <v>111</v>
      </c>
      <c r="M285" s="33" t="s">
        <v>77</v>
      </c>
      <c r="N285" s="33"/>
      <c r="O285" s="32">
        <v>45</v>
      </c>
      <c r="P285" s="70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50"/>
      <c r="R285" s="550"/>
      <c r="S285" s="550"/>
      <c r="T285" s="551"/>
      <c r="U285" s="34"/>
      <c r="V285" s="34"/>
      <c r="W285" s="35" t="s">
        <v>69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 t="s">
        <v>90</v>
      </c>
      <c r="AK285" s="68">
        <v>43.2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3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1" t="s">
        <v>71</v>
      </c>
      <c r="Q286" s="562"/>
      <c r="R286" s="562"/>
      <c r="S286" s="562"/>
      <c r="T286" s="562"/>
      <c r="U286" s="562"/>
      <c r="V286" s="563"/>
      <c r="W286" s="37" t="s">
        <v>72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hidden="1" x14ac:dyDescent="0.2">
      <c r="A287" s="554"/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5"/>
      <c r="P287" s="561" t="s">
        <v>71</v>
      </c>
      <c r="Q287" s="562"/>
      <c r="R287" s="562"/>
      <c r="S287" s="562"/>
      <c r="T287" s="562"/>
      <c r="U287" s="562"/>
      <c r="V287" s="563"/>
      <c r="W287" s="37" t="s">
        <v>69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hidden="1" customHeight="1" x14ac:dyDescent="0.25">
      <c r="A288" s="558" t="s">
        <v>453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8"/>
      <c r="AB288" s="538"/>
      <c r="AC288" s="538"/>
    </row>
    <row r="289" spans="1:68" ht="14.25" hidden="1" customHeight="1" x14ac:dyDescent="0.25">
      <c r="A289" s="559" t="s">
        <v>101</v>
      </c>
      <c r="B289" s="554"/>
      <c r="C289" s="554"/>
      <c r="D289" s="554"/>
      <c r="E289" s="554"/>
      <c r="F289" s="554"/>
      <c r="G289" s="554"/>
      <c r="H289" s="554"/>
      <c r="I289" s="554"/>
      <c r="J289" s="554"/>
      <c r="K289" s="554"/>
      <c r="L289" s="554"/>
      <c r="M289" s="554"/>
      <c r="N289" s="554"/>
      <c r="O289" s="554"/>
      <c r="P289" s="554"/>
      <c r="Q289" s="554"/>
      <c r="R289" s="554"/>
      <c r="S289" s="554"/>
      <c r="T289" s="554"/>
      <c r="U289" s="554"/>
      <c r="V289" s="554"/>
      <c r="W289" s="554"/>
      <c r="X289" s="554"/>
      <c r="Y289" s="554"/>
      <c r="Z289" s="554"/>
      <c r="AA289" s="539"/>
      <c r="AB289" s="539"/>
      <c r="AC289" s="539"/>
    </row>
    <row r="290" spans="1:68" ht="27" customHeight="1" x14ac:dyDescent="0.25">
      <c r="A290" s="54" t="s">
        <v>454</v>
      </c>
      <c r="B290" s="54" t="s">
        <v>455</v>
      </c>
      <c r="C290" s="31">
        <v>4301012126</v>
      </c>
      <c r="D290" s="547">
        <v>4607091386004</v>
      </c>
      <c r="E290" s="548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/>
      <c r="M290" s="33" t="s">
        <v>106</v>
      </c>
      <c r="N290" s="33"/>
      <c r="O290" s="32">
        <v>55</v>
      </c>
      <c r="P290" s="58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324</v>
      </c>
      <c r="Y290" s="544">
        <f t="shared" ref="Y290:Y295" si="26">IFERROR(IF(X290="",0,CEILING((X290/$H290),1)*$H290),"")</f>
        <v>324</v>
      </c>
      <c r="Z290" s="36">
        <f>IFERROR(IF(Y290=0,"",ROUNDUP(Y290/H290,0)*0.01898),"")</f>
        <v>0.56940000000000002</v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336.3</v>
      </c>
      <c r="BN290" s="64">
        <f t="shared" ref="BN290:BN295" si="28">IFERROR(Y290*I290/H290,"0")</f>
        <v>336.3</v>
      </c>
      <c r="BO290" s="64">
        <f t="shared" ref="BO290:BO295" si="29">IFERROR(1/J290*(X290/H290),"0")</f>
        <v>0.46874999999999994</v>
      </c>
      <c r="BP290" s="64">
        <f t="shared" ref="BP290:BP295" si="30">IFERROR(1/J290*(Y290/H290),"0")</f>
        <v>0.46874999999999994</v>
      </c>
    </row>
    <row r="291" spans="1:68" ht="27" customHeight="1" x14ac:dyDescent="0.25">
      <c r="A291" s="54" t="s">
        <v>457</v>
      </c>
      <c r="B291" s="54" t="s">
        <v>458</v>
      </c>
      <c r="C291" s="31">
        <v>4301012024</v>
      </c>
      <c r="D291" s="547">
        <v>4680115885615</v>
      </c>
      <c r="E291" s="548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77</v>
      </c>
      <c r="N291" s="33"/>
      <c r="O291" s="32">
        <v>55</v>
      </c>
      <c r="P291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108</v>
      </c>
      <c r="Y291" s="544">
        <f t="shared" si="26"/>
        <v>108</v>
      </c>
      <c r="Z291" s="36">
        <f>IFERROR(IF(Y291=0,"",ROUNDUP(Y291/H291,0)*0.01898),"")</f>
        <v>0.1898</v>
      </c>
      <c r="AA291" s="56"/>
      <c r="AB291" s="57"/>
      <c r="AC291" s="335" t="s">
        <v>459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112.1</v>
      </c>
      <c r="BN291" s="64">
        <f t="shared" si="28"/>
        <v>112.1</v>
      </c>
      <c r="BO291" s="64">
        <f t="shared" si="29"/>
        <v>0.15625</v>
      </c>
      <c r="BP291" s="64">
        <f t="shared" si="30"/>
        <v>0.15625</v>
      </c>
    </row>
    <row r="292" spans="1:68" ht="37.5" hidden="1" customHeight="1" x14ac:dyDescent="0.25">
      <c r="A292" s="54" t="s">
        <v>460</v>
      </c>
      <c r="B292" s="54" t="s">
        <v>461</v>
      </c>
      <c r="C292" s="31">
        <v>4301011858</v>
      </c>
      <c r="D292" s="547">
        <v>4680115885646</v>
      </c>
      <c r="E292" s="548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 t="s">
        <v>105</v>
      </c>
      <c r="M292" s="33" t="s">
        <v>106</v>
      </c>
      <c r="N292" s="33"/>
      <c r="O292" s="32">
        <v>55</v>
      </c>
      <c r="P292" s="85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 t="s">
        <v>90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4301012016</v>
      </c>
      <c r="D293" s="547">
        <v>4680115885554</v>
      </c>
      <c r="E293" s="548"/>
      <c r="F293" s="542">
        <v>1.35</v>
      </c>
      <c r="G293" s="32">
        <v>8</v>
      </c>
      <c r="H293" s="542">
        <v>10.8</v>
      </c>
      <c r="I293" s="542">
        <v>11.21</v>
      </c>
      <c r="J293" s="32">
        <v>64</v>
      </c>
      <c r="K293" s="32" t="s">
        <v>104</v>
      </c>
      <c r="L293" s="32"/>
      <c r="M293" s="33" t="s">
        <v>77</v>
      </c>
      <c r="N293" s="33"/>
      <c r="O293" s="32">
        <v>55</v>
      </c>
      <c r="P293" s="8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465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466</v>
      </c>
      <c r="B294" s="54" t="s">
        <v>467</v>
      </c>
      <c r="C294" s="31">
        <v>4301011857</v>
      </c>
      <c r="D294" s="547">
        <v>4680115885622</v>
      </c>
      <c r="E294" s="548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12</v>
      </c>
      <c r="Y294" s="544">
        <f t="shared" si="26"/>
        <v>12</v>
      </c>
      <c r="Z294" s="36">
        <f>IFERROR(IF(Y294=0,"",ROUNDUP(Y294/H294,0)*0.00902),"")</f>
        <v>2.7060000000000001E-2</v>
      </c>
      <c r="AA294" s="56"/>
      <c r="AB294" s="57"/>
      <c r="AC294" s="341" t="s">
        <v>459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12.57</v>
      </c>
      <c r="BN294" s="64">
        <f t="shared" si="28"/>
        <v>12.57</v>
      </c>
      <c r="BO294" s="64">
        <f t="shared" si="29"/>
        <v>2.2727272727272728E-2</v>
      </c>
      <c r="BP294" s="64">
        <f t="shared" si="30"/>
        <v>2.2727272727272728E-2</v>
      </c>
    </row>
    <row r="295" spans="1:68" ht="27" customHeight="1" x14ac:dyDescent="0.25">
      <c r="A295" s="54" t="s">
        <v>468</v>
      </c>
      <c r="B295" s="54" t="s">
        <v>469</v>
      </c>
      <c r="C295" s="31">
        <v>4301011859</v>
      </c>
      <c r="D295" s="547">
        <v>4680115885608</v>
      </c>
      <c r="E295" s="548"/>
      <c r="F295" s="542">
        <v>0.4</v>
      </c>
      <c r="G295" s="32">
        <v>10</v>
      </c>
      <c r="H295" s="542">
        <v>4</v>
      </c>
      <c r="I295" s="542">
        <v>4.1900000000000004</v>
      </c>
      <c r="J295" s="32">
        <v>132</v>
      </c>
      <c r="K295" s="32" t="s">
        <v>110</v>
      </c>
      <c r="L295" s="32" t="s">
        <v>111</v>
      </c>
      <c r="M295" s="33" t="s">
        <v>106</v>
      </c>
      <c r="N295" s="33"/>
      <c r="O295" s="32">
        <v>55</v>
      </c>
      <c r="P295" s="8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3">
        <v>12</v>
      </c>
      <c r="Y295" s="544">
        <f t="shared" si="26"/>
        <v>12</v>
      </c>
      <c r="Z295" s="36">
        <f>IFERROR(IF(Y295=0,"",ROUNDUP(Y295/H295,0)*0.00902),"")</f>
        <v>2.7060000000000001E-2</v>
      </c>
      <c r="AA295" s="56"/>
      <c r="AB295" s="57"/>
      <c r="AC295" s="343" t="s">
        <v>470</v>
      </c>
      <c r="AG295" s="64"/>
      <c r="AJ295" s="68" t="s">
        <v>90</v>
      </c>
      <c r="AK295" s="68">
        <v>48</v>
      </c>
      <c r="BB295" s="344" t="s">
        <v>1</v>
      </c>
      <c r="BM295" s="64">
        <f t="shared" si="27"/>
        <v>12.57</v>
      </c>
      <c r="BN295" s="64">
        <f t="shared" si="28"/>
        <v>12.57</v>
      </c>
      <c r="BO295" s="64">
        <f t="shared" si="29"/>
        <v>2.2727272727272728E-2</v>
      </c>
      <c r="BP295" s="64">
        <f t="shared" si="30"/>
        <v>2.2727272727272728E-2</v>
      </c>
    </row>
    <row r="296" spans="1:68" x14ac:dyDescent="0.2">
      <c r="A296" s="553"/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5"/>
      <c r="P296" s="561" t="s">
        <v>71</v>
      </c>
      <c r="Q296" s="562"/>
      <c r="R296" s="562"/>
      <c r="S296" s="562"/>
      <c r="T296" s="562"/>
      <c r="U296" s="562"/>
      <c r="V296" s="563"/>
      <c r="W296" s="37" t="s">
        <v>72</v>
      </c>
      <c r="X296" s="545">
        <f>IFERROR(X290/H290,"0")+IFERROR(X291/H291,"0")+IFERROR(X292/H292,"0")+IFERROR(X293/H293,"0")+IFERROR(X294/H294,"0")+IFERROR(X295/H295,"0")</f>
        <v>46</v>
      </c>
      <c r="Y296" s="545">
        <f>IFERROR(Y290/H290,"0")+IFERROR(Y291/H291,"0")+IFERROR(Y292/H292,"0")+IFERROR(Y293/H293,"0")+IFERROR(Y294/H294,"0")+IFERROR(Y295/H295,"0")</f>
        <v>46</v>
      </c>
      <c r="Z296" s="545">
        <f>IFERROR(IF(Z290="",0,Z290),"0")+IFERROR(IF(Z291="",0,Z291),"0")+IFERROR(IF(Z292="",0,Z292),"0")+IFERROR(IF(Z293="",0,Z293),"0")+IFERROR(IF(Z294="",0,Z294),"0")+IFERROR(IF(Z295="",0,Z295),"0")</f>
        <v>0.81331999999999993</v>
      </c>
      <c r="AA296" s="546"/>
      <c r="AB296" s="546"/>
      <c r="AC296" s="546"/>
    </row>
    <row r="297" spans="1:68" x14ac:dyDescent="0.2">
      <c r="A297" s="554"/>
      <c r="B297" s="554"/>
      <c r="C297" s="554"/>
      <c r="D297" s="554"/>
      <c r="E297" s="554"/>
      <c r="F297" s="554"/>
      <c r="G297" s="554"/>
      <c r="H297" s="554"/>
      <c r="I297" s="554"/>
      <c r="J297" s="554"/>
      <c r="K297" s="554"/>
      <c r="L297" s="554"/>
      <c r="M297" s="554"/>
      <c r="N297" s="554"/>
      <c r="O297" s="555"/>
      <c r="P297" s="561" t="s">
        <v>71</v>
      </c>
      <c r="Q297" s="562"/>
      <c r="R297" s="562"/>
      <c r="S297" s="562"/>
      <c r="T297" s="562"/>
      <c r="U297" s="562"/>
      <c r="V297" s="563"/>
      <c r="W297" s="37" t="s">
        <v>69</v>
      </c>
      <c r="X297" s="545">
        <f>IFERROR(SUM(X290:X295),"0")</f>
        <v>456</v>
      </c>
      <c r="Y297" s="545">
        <f>IFERROR(SUM(Y290:Y295),"0")</f>
        <v>456</v>
      </c>
      <c r="Z297" s="37"/>
      <c r="AA297" s="546"/>
      <c r="AB297" s="546"/>
      <c r="AC297" s="546"/>
    </row>
    <row r="298" spans="1:68" ht="14.25" hidden="1" customHeight="1" x14ac:dyDescent="0.25">
      <c r="A298" s="559" t="s">
        <v>64</v>
      </c>
      <c r="B298" s="554"/>
      <c r="C298" s="554"/>
      <c r="D298" s="554"/>
      <c r="E298" s="554"/>
      <c r="F298" s="554"/>
      <c r="G298" s="554"/>
      <c r="H298" s="554"/>
      <c r="I298" s="554"/>
      <c r="J298" s="554"/>
      <c r="K298" s="554"/>
      <c r="L298" s="554"/>
      <c r="M298" s="554"/>
      <c r="N298" s="554"/>
      <c r="O298" s="554"/>
      <c r="P298" s="554"/>
      <c r="Q298" s="554"/>
      <c r="R298" s="554"/>
      <c r="S298" s="554"/>
      <c r="T298" s="554"/>
      <c r="U298" s="554"/>
      <c r="V298" s="554"/>
      <c r="W298" s="554"/>
      <c r="X298" s="554"/>
      <c r="Y298" s="554"/>
      <c r="Z298" s="554"/>
      <c r="AA298" s="539"/>
      <c r="AB298" s="539"/>
      <c r="AC298" s="539"/>
    </row>
    <row r="299" spans="1:68" ht="27" customHeight="1" x14ac:dyDescent="0.25">
      <c r="A299" s="54" t="s">
        <v>471</v>
      </c>
      <c r="B299" s="54" t="s">
        <v>472</v>
      </c>
      <c r="C299" s="31">
        <v>4301030878</v>
      </c>
      <c r="D299" s="547">
        <v>4607091387193</v>
      </c>
      <c r="E299" s="548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35</v>
      </c>
      <c r="P299" s="6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126</v>
      </c>
      <c r="Y299" s="544">
        <f t="shared" ref="Y299:Y305" si="31">IFERROR(IF(X299="",0,CEILING((X299/$H299),1)*$H299),"")</f>
        <v>126</v>
      </c>
      <c r="Z299" s="36">
        <f>IFERROR(IF(Y299=0,"",ROUNDUP(Y299/H299,0)*0.00902),"")</f>
        <v>0.27060000000000001</v>
      </c>
      <c r="AA299" s="56"/>
      <c r="AB299" s="57"/>
      <c r="AC299" s="345" t="s">
        <v>473</v>
      </c>
      <c r="AG299" s="64"/>
      <c r="AJ299" s="68" t="s">
        <v>90</v>
      </c>
      <c r="AK299" s="68">
        <v>50.4</v>
      </c>
      <c r="BB299" s="346" t="s">
        <v>1</v>
      </c>
      <c r="BM299" s="64">
        <f t="shared" ref="BM299:BM305" si="32">IFERROR(X299*I299/H299,"0")</f>
        <v>133.5</v>
      </c>
      <c r="BN299" s="64">
        <f t="shared" ref="BN299:BN305" si="33">IFERROR(Y299*I299/H299,"0")</f>
        <v>133.5</v>
      </c>
      <c r="BO299" s="64">
        <f t="shared" ref="BO299:BO305" si="34">IFERROR(1/J299*(X299/H299),"0")</f>
        <v>0.22727272727272729</v>
      </c>
      <c r="BP299" s="64">
        <f t="shared" ref="BP299:BP305" si="35">IFERROR(1/J299*(Y299/H299),"0")</f>
        <v>0.22727272727272729</v>
      </c>
    </row>
    <row r="300" spans="1:68" ht="27" customHeight="1" x14ac:dyDescent="0.25">
      <c r="A300" s="54" t="s">
        <v>474</v>
      </c>
      <c r="B300" s="54" t="s">
        <v>475</v>
      </c>
      <c r="C300" s="31">
        <v>4301031153</v>
      </c>
      <c r="D300" s="547">
        <v>4607091387230</v>
      </c>
      <c r="E300" s="548"/>
      <c r="F300" s="542">
        <v>0.7</v>
      </c>
      <c r="G300" s="32">
        <v>6</v>
      </c>
      <c r="H300" s="542">
        <v>4.2</v>
      </c>
      <c r="I300" s="542">
        <v>4.45</v>
      </c>
      <c r="J300" s="32">
        <v>132</v>
      </c>
      <c r="K300" s="32" t="s">
        <v>110</v>
      </c>
      <c r="L300" s="32" t="s">
        <v>111</v>
      </c>
      <c r="M300" s="33" t="s">
        <v>68</v>
      </c>
      <c r="N300" s="33"/>
      <c r="O300" s="32">
        <v>40</v>
      </c>
      <c r="P300" s="69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84</v>
      </c>
      <c r="Y300" s="544">
        <f t="shared" si="31"/>
        <v>84</v>
      </c>
      <c r="Z300" s="36">
        <f>IFERROR(IF(Y300=0,"",ROUNDUP(Y300/H300,0)*0.00902),"")</f>
        <v>0.1804</v>
      </c>
      <c r="AA300" s="56"/>
      <c r="AB300" s="57"/>
      <c r="AC300" s="347" t="s">
        <v>476</v>
      </c>
      <c r="AG300" s="64"/>
      <c r="AJ300" s="68" t="s">
        <v>90</v>
      </c>
      <c r="AK300" s="68">
        <v>50.4</v>
      </c>
      <c r="BB300" s="348" t="s">
        <v>1</v>
      </c>
      <c r="BM300" s="64">
        <f t="shared" si="32"/>
        <v>89</v>
      </c>
      <c r="BN300" s="64">
        <f t="shared" si="33"/>
        <v>89</v>
      </c>
      <c r="BO300" s="64">
        <f t="shared" si="34"/>
        <v>0.15151515151515152</v>
      </c>
      <c r="BP300" s="64">
        <f t="shared" si="35"/>
        <v>0.15151515151515152</v>
      </c>
    </row>
    <row r="301" spans="1:68" ht="27" customHeight="1" x14ac:dyDescent="0.25">
      <c r="A301" s="54" t="s">
        <v>477</v>
      </c>
      <c r="B301" s="54" t="s">
        <v>478</v>
      </c>
      <c r="C301" s="31">
        <v>4301031154</v>
      </c>
      <c r="D301" s="547">
        <v>4607091387292</v>
      </c>
      <c r="E301" s="548"/>
      <c r="F301" s="542">
        <v>0.73</v>
      </c>
      <c r="G301" s="32">
        <v>6</v>
      </c>
      <c r="H301" s="542">
        <v>4.38</v>
      </c>
      <c r="I301" s="542">
        <v>4.63</v>
      </c>
      <c r="J301" s="32">
        <v>132</v>
      </c>
      <c r="K301" s="32" t="s">
        <v>110</v>
      </c>
      <c r="L301" s="32"/>
      <c r="M301" s="33" t="s">
        <v>68</v>
      </c>
      <c r="N301" s="33"/>
      <c r="O301" s="32">
        <v>45</v>
      </c>
      <c r="P301" s="8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21.9</v>
      </c>
      <c r="Y301" s="544">
        <f t="shared" si="31"/>
        <v>21.9</v>
      </c>
      <c r="Z301" s="36">
        <f>IFERROR(IF(Y301=0,"",ROUNDUP(Y301/H301,0)*0.00902),"")</f>
        <v>4.5100000000000001E-2</v>
      </c>
      <c r="AA301" s="56"/>
      <c r="AB301" s="57"/>
      <c r="AC301" s="349" t="s">
        <v>479</v>
      </c>
      <c r="AG301" s="64"/>
      <c r="AJ301" s="68"/>
      <c r="AK301" s="68">
        <v>0</v>
      </c>
      <c r="BB301" s="350" t="s">
        <v>1</v>
      </c>
      <c r="BM301" s="64">
        <f t="shared" si="32"/>
        <v>23.15</v>
      </c>
      <c r="BN301" s="64">
        <f t="shared" si="33"/>
        <v>23.15</v>
      </c>
      <c r="BO301" s="64">
        <f t="shared" si="34"/>
        <v>3.787878787878788E-2</v>
      </c>
      <c r="BP301" s="64">
        <f t="shared" si="35"/>
        <v>3.787878787878788E-2</v>
      </c>
    </row>
    <row r="302" spans="1:68" ht="27" customHeight="1" x14ac:dyDescent="0.25">
      <c r="A302" s="54" t="s">
        <v>480</v>
      </c>
      <c r="B302" s="54" t="s">
        <v>481</v>
      </c>
      <c r="C302" s="31">
        <v>4301031152</v>
      </c>
      <c r="D302" s="547">
        <v>4607091387285</v>
      </c>
      <c r="E302" s="548"/>
      <c r="F302" s="542">
        <v>0.35</v>
      </c>
      <c r="G302" s="32">
        <v>6</v>
      </c>
      <c r="H302" s="542">
        <v>2.1</v>
      </c>
      <c r="I302" s="542">
        <v>2.23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10.5</v>
      </c>
      <c r="Y302" s="544">
        <f t="shared" si="31"/>
        <v>10.5</v>
      </c>
      <c r="Z302" s="36">
        <f>IFERROR(IF(Y302=0,"",ROUNDUP(Y302/H302,0)*0.00502),"")</f>
        <v>2.5100000000000001E-2</v>
      </c>
      <c r="AA302" s="56"/>
      <c r="AB302" s="57"/>
      <c r="AC302" s="351" t="s">
        <v>476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11.149999999999999</v>
      </c>
      <c r="BN302" s="64">
        <f t="shared" si="33"/>
        <v>11.149999999999999</v>
      </c>
      <c r="BO302" s="64">
        <f t="shared" si="34"/>
        <v>2.1367521367521368E-2</v>
      </c>
      <c r="BP302" s="64">
        <f t="shared" si="35"/>
        <v>2.1367521367521368E-2</v>
      </c>
    </row>
    <row r="303" spans="1:68" ht="27" customHeight="1" x14ac:dyDescent="0.25">
      <c r="A303" s="54" t="s">
        <v>482</v>
      </c>
      <c r="B303" s="54" t="s">
        <v>483</v>
      </c>
      <c r="C303" s="31">
        <v>4301031305</v>
      </c>
      <c r="D303" s="547">
        <v>4607091389845</v>
      </c>
      <c r="E303" s="548"/>
      <c r="F303" s="542">
        <v>0.35</v>
      </c>
      <c r="G303" s="32">
        <v>6</v>
      </c>
      <c r="H303" s="542">
        <v>2.1</v>
      </c>
      <c r="I303" s="542">
        <v>2.2000000000000002</v>
      </c>
      <c r="J303" s="32">
        <v>234</v>
      </c>
      <c r="K303" s="32" t="s">
        <v>67</v>
      </c>
      <c r="L303" s="32" t="s">
        <v>275</v>
      </c>
      <c r="M303" s="33" t="s">
        <v>68</v>
      </c>
      <c r="N303" s="33"/>
      <c r="O303" s="32">
        <v>40</v>
      </c>
      <c r="P303" s="69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10.5</v>
      </c>
      <c r="Y303" s="544">
        <f t="shared" si="31"/>
        <v>10.5</v>
      </c>
      <c r="Z303" s="36">
        <f>IFERROR(IF(Y303=0,"",ROUNDUP(Y303/H303,0)*0.00502),"")</f>
        <v>2.5100000000000001E-2</v>
      </c>
      <c r="AA303" s="56"/>
      <c r="AB303" s="57"/>
      <c r="AC303" s="353" t="s">
        <v>484</v>
      </c>
      <c r="AG303" s="64"/>
      <c r="AJ303" s="68" t="s">
        <v>90</v>
      </c>
      <c r="AK303" s="68">
        <v>37.799999999999997</v>
      </c>
      <c r="BB303" s="354" t="s">
        <v>1</v>
      </c>
      <c r="BM303" s="64">
        <f t="shared" si="32"/>
        <v>11</v>
      </c>
      <c r="BN303" s="64">
        <f t="shared" si="33"/>
        <v>11</v>
      </c>
      <c r="BO303" s="64">
        <f t="shared" si="34"/>
        <v>2.1367521367521368E-2</v>
      </c>
      <c r="BP303" s="64">
        <f t="shared" si="35"/>
        <v>2.1367521367521368E-2</v>
      </c>
    </row>
    <row r="304" spans="1:68" ht="27" hidden="1" customHeight="1" x14ac:dyDescent="0.25">
      <c r="A304" s="54" t="s">
        <v>485</v>
      </c>
      <c r="B304" s="54" t="s">
        <v>486</v>
      </c>
      <c r="C304" s="31">
        <v>4301031306</v>
      </c>
      <c r="D304" s="547">
        <v>4680115882881</v>
      </c>
      <c r="E304" s="548"/>
      <c r="F304" s="542">
        <v>0.28000000000000003</v>
      </c>
      <c r="G304" s="32">
        <v>6</v>
      </c>
      <c r="H304" s="542">
        <v>1.68</v>
      </c>
      <c r="I304" s="542">
        <v>1.81</v>
      </c>
      <c r="J304" s="32">
        <v>234</v>
      </c>
      <c r="K304" s="32" t="s">
        <v>67</v>
      </c>
      <c r="L304" s="32"/>
      <c r="M304" s="33" t="s">
        <v>68</v>
      </c>
      <c r="N304" s="33"/>
      <c r="O304" s="32">
        <v>40</v>
      </c>
      <c r="P304" s="745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IFERROR(IF(Y304=0,"",ROUNDUP(Y304/H304,0)*0.00502),"")</f>
        <v/>
      </c>
      <c r="AA304" s="56"/>
      <c r="AB304" s="57"/>
      <c r="AC304" s="355" t="s">
        <v>484</v>
      </c>
      <c r="AG304" s="64"/>
      <c r="AJ304" s="68"/>
      <c r="AK304" s="68">
        <v>0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4301031066</v>
      </c>
      <c r="D305" s="547">
        <v>4607091383836</v>
      </c>
      <c r="E305" s="548"/>
      <c r="F305" s="542">
        <v>0.3</v>
      </c>
      <c r="G305" s="32">
        <v>6</v>
      </c>
      <c r="H305" s="542">
        <v>1.8</v>
      </c>
      <c r="I305" s="542">
        <v>2.028</v>
      </c>
      <c r="J305" s="32">
        <v>182</v>
      </c>
      <c r="K305" s="32" t="s">
        <v>76</v>
      </c>
      <c r="L305" s="32" t="s">
        <v>88</v>
      </c>
      <c r="M305" s="33" t="s">
        <v>68</v>
      </c>
      <c r="N305" s="33"/>
      <c r="O305" s="32">
        <v>40</v>
      </c>
      <c r="P305" s="69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3">
        <v>0</v>
      </c>
      <c r="Y305" s="544">
        <f t="shared" si="31"/>
        <v>0</v>
      </c>
      <c r="Z305" s="36" t="str">
        <f>IFERROR(IF(Y305=0,"",ROUNDUP(Y305/H305,0)*0.00651),"")</f>
        <v/>
      </c>
      <c r="AA305" s="56"/>
      <c r="AB305" s="57"/>
      <c r="AC305" s="357" t="s">
        <v>489</v>
      </c>
      <c r="AG305" s="64"/>
      <c r="AJ305" s="68" t="s">
        <v>90</v>
      </c>
      <c r="AK305" s="68">
        <v>25.2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x14ac:dyDescent="0.2">
      <c r="A306" s="553"/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5"/>
      <c r="P306" s="561" t="s">
        <v>71</v>
      </c>
      <c r="Q306" s="562"/>
      <c r="R306" s="562"/>
      <c r="S306" s="562"/>
      <c r="T306" s="562"/>
      <c r="U306" s="562"/>
      <c r="V306" s="563"/>
      <c r="W306" s="37" t="s">
        <v>72</v>
      </c>
      <c r="X306" s="545">
        <f>IFERROR(X299/H299,"0")+IFERROR(X300/H300,"0")+IFERROR(X301/H301,"0")+IFERROR(X302/H302,"0")+IFERROR(X303/H303,"0")+IFERROR(X304/H304,"0")+IFERROR(X305/H305,"0")</f>
        <v>65</v>
      </c>
      <c r="Y306" s="545">
        <f>IFERROR(Y299/H299,"0")+IFERROR(Y300/H300,"0")+IFERROR(Y301/H301,"0")+IFERROR(Y302/H302,"0")+IFERROR(Y303/H303,"0")+IFERROR(Y304/H304,"0")+IFERROR(Y305/H305,"0")</f>
        <v>65</v>
      </c>
      <c r="Z306" s="545">
        <f>IFERROR(IF(Z299="",0,Z299),"0")+IFERROR(IF(Z300="",0,Z300),"0")+IFERROR(IF(Z301="",0,Z301),"0")+IFERROR(IF(Z302="",0,Z302),"0")+IFERROR(IF(Z303="",0,Z303),"0")+IFERROR(IF(Z304="",0,Z304),"0")+IFERROR(IF(Z305="",0,Z305),"0")</f>
        <v>0.54630000000000001</v>
      </c>
      <c r="AA306" s="546"/>
      <c r="AB306" s="546"/>
      <c r="AC306" s="546"/>
    </row>
    <row r="307" spans="1:68" x14ac:dyDescent="0.2">
      <c r="A307" s="554"/>
      <c r="B307" s="554"/>
      <c r="C307" s="554"/>
      <c r="D307" s="554"/>
      <c r="E307" s="554"/>
      <c r="F307" s="554"/>
      <c r="G307" s="554"/>
      <c r="H307" s="554"/>
      <c r="I307" s="554"/>
      <c r="J307" s="554"/>
      <c r="K307" s="554"/>
      <c r="L307" s="554"/>
      <c r="M307" s="554"/>
      <c r="N307" s="554"/>
      <c r="O307" s="555"/>
      <c r="P307" s="561" t="s">
        <v>71</v>
      </c>
      <c r="Q307" s="562"/>
      <c r="R307" s="562"/>
      <c r="S307" s="562"/>
      <c r="T307" s="562"/>
      <c r="U307" s="562"/>
      <c r="V307" s="563"/>
      <c r="W307" s="37" t="s">
        <v>69</v>
      </c>
      <c r="X307" s="545">
        <f>IFERROR(SUM(X299:X305),"0")</f>
        <v>252.9</v>
      </c>
      <c r="Y307" s="545">
        <f>IFERROR(SUM(Y299:Y305),"0")</f>
        <v>252.9</v>
      </c>
      <c r="Z307" s="37"/>
      <c r="AA307" s="546"/>
      <c r="AB307" s="546"/>
      <c r="AC307" s="546"/>
    </row>
    <row r="308" spans="1:68" ht="14.25" hidden="1" customHeight="1" x14ac:dyDescent="0.25">
      <c r="A308" s="559" t="s">
        <v>73</v>
      </c>
      <c r="B308" s="554"/>
      <c r="C308" s="554"/>
      <c r="D308" s="554"/>
      <c r="E308" s="554"/>
      <c r="F308" s="554"/>
      <c r="G308" s="554"/>
      <c r="H308" s="554"/>
      <c r="I308" s="554"/>
      <c r="J308" s="554"/>
      <c r="K308" s="554"/>
      <c r="L308" s="554"/>
      <c r="M308" s="554"/>
      <c r="N308" s="554"/>
      <c r="O308" s="554"/>
      <c r="P308" s="554"/>
      <c r="Q308" s="554"/>
      <c r="R308" s="554"/>
      <c r="S308" s="554"/>
      <c r="T308" s="554"/>
      <c r="U308" s="554"/>
      <c r="V308" s="554"/>
      <c r="W308" s="554"/>
      <c r="X308" s="554"/>
      <c r="Y308" s="554"/>
      <c r="Z308" s="554"/>
      <c r="AA308" s="539"/>
      <c r="AB308" s="539"/>
      <c r="AC308" s="539"/>
    </row>
    <row r="309" spans="1:68" ht="27" customHeight="1" x14ac:dyDescent="0.25">
      <c r="A309" s="54" t="s">
        <v>490</v>
      </c>
      <c r="B309" s="54" t="s">
        <v>491</v>
      </c>
      <c r="C309" s="31">
        <v>4301051100</v>
      </c>
      <c r="D309" s="547">
        <v>4607091387766</v>
      </c>
      <c r="E309" s="548"/>
      <c r="F309" s="542">
        <v>1.3</v>
      </c>
      <c r="G309" s="32">
        <v>6</v>
      </c>
      <c r="H309" s="542">
        <v>7.8</v>
      </c>
      <c r="I309" s="542">
        <v>8.2880000000000003</v>
      </c>
      <c r="J309" s="32">
        <v>64</v>
      </c>
      <c r="K309" s="32" t="s">
        <v>104</v>
      </c>
      <c r="L309" s="32" t="s">
        <v>105</v>
      </c>
      <c r="M309" s="33" t="s">
        <v>77</v>
      </c>
      <c r="N309" s="33"/>
      <c r="O309" s="32">
        <v>40</v>
      </c>
      <c r="P309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780</v>
      </c>
      <c r="Y309" s="544">
        <f>IFERROR(IF(X309="",0,CEILING((X309/$H309),1)*$H309),"")</f>
        <v>780</v>
      </c>
      <c r="Z309" s="36">
        <f>IFERROR(IF(Y309=0,"",ROUNDUP(Y309/H309,0)*0.01898),"")</f>
        <v>1.8980000000000001</v>
      </c>
      <c r="AA309" s="56"/>
      <c r="AB309" s="57"/>
      <c r="AC309" s="359" t="s">
        <v>492</v>
      </c>
      <c r="AG309" s="64"/>
      <c r="AJ309" s="68" t="s">
        <v>90</v>
      </c>
      <c r="AK309" s="68">
        <v>62.4</v>
      </c>
      <c r="BB309" s="360" t="s">
        <v>1</v>
      </c>
      <c r="BM309" s="64">
        <f>IFERROR(X309*I309/H309,"0")</f>
        <v>828.80000000000007</v>
      </c>
      <c r="BN309" s="64">
        <f>IFERROR(Y309*I309/H309,"0")</f>
        <v>828.80000000000007</v>
      </c>
      <c r="BO309" s="64">
        <f>IFERROR(1/J309*(X309/H309),"0")</f>
        <v>1.5625</v>
      </c>
      <c r="BP309" s="64">
        <f>IFERROR(1/J309*(Y309/H309),"0")</f>
        <v>1.5625</v>
      </c>
    </row>
    <row r="310" spans="1:68" ht="27" customHeight="1" x14ac:dyDescent="0.25">
      <c r="A310" s="54" t="s">
        <v>493</v>
      </c>
      <c r="B310" s="54" t="s">
        <v>494</v>
      </c>
      <c r="C310" s="31">
        <v>4301051818</v>
      </c>
      <c r="D310" s="547">
        <v>4607091387957</v>
      </c>
      <c r="E310" s="548"/>
      <c r="F310" s="542">
        <v>1.3</v>
      </c>
      <c r="G310" s="32">
        <v>6</v>
      </c>
      <c r="H310" s="542">
        <v>7.8</v>
      </c>
      <c r="I310" s="542">
        <v>8.2940000000000005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15.6</v>
      </c>
      <c r="Y310" s="544">
        <f>IFERROR(IF(X310="",0,CEILING((X310/$H310),1)*$H310),"")</f>
        <v>15.6</v>
      </c>
      <c r="Z310" s="36">
        <f>IFERROR(IF(Y310=0,"",ROUNDUP(Y310/H310,0)*0.01898),"")</f>
        <v>3.7960000000000001E-2</v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16.588000000000001</v>
      </c>
      <c r="BN310" s="64">
        <f>IFERROR(Y310*I310/H310,"0")</f>
        <v>16.588000000000001</v>
      </c>
      <c r="BO310" s="64">
        <f>IFERROR(1/J310*(X310/H310),"0")</f>
        <v>3.125E-2</v>
      </c>
      <c r="BP310" s="64">
        <f>IFERROR(1/J310*(Y310/H310),"0")</f>
        <v>3.125E-2</v>
      </c>
    </row>
    <row r="311" spans="1:68" ht="27" customHeight="1" x14ac:dyDescent="0.25">
      <c r="A311" s="54" t="s">
        <v>496</v>
      </c>
      <c r="B311" s="54" t="s">
        <v>497</v>
      </c>
      <c r="C311" s="31">
        <v>4301051819</v>
      </c>
      <c r="D311" s="547">
        <v>4607091387964</v>
      </c>
      <c r="E311" s="548"/>
      <c r="F311" s="542">
        <v>1.35</v>
      </c>
      <c r="G311" s="32">
        <v>6</v>
      </c>
      <c r="H311" s="542">
        <v>8.1</v>
      </c>
      <c r="I311" s="542">
        <v>8.5760000000000005</v>
      </c>
      <c r="J311" s="32">
        <v>64</v>
      </c>
      <c r="K311" s="32" t="s">
        <v>104</v>
      </c>
      <c r="L311" s="32"/>
      <c r="M311" s="33" t="s">
        <v>77</v>
      </c>
      <c r="N311" s="33"/>
      <c r="O311" s="32">
        <v>40</v>
      </c>
      <c r="P311" s="7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16.2</v>
      </c>
      <c r="Y311" s="544">
        <f>IFERROR(IF(X311="",0,CEILING((X311/$H311),1)*$H311),"")</f>
        <v>16.2</v>
      </c>
      <c r="Z311" s="36">
        <f>IFERROR(IF(Y311=0,"",ROUNDUP(Y311/H311,0)*0.01898),"")</f>
        <v>3.7960000000000001E-2</v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17.152000000000001</v>
      </c>
      <c r="BN311" s="64">
        <f>IFERROR(Y311*I311/H311,"0")</f>
        <v>17.152000000000001</v>
      </c>
      <c r="BO311" s="64">
        <f>IFERROR(1/J311*(X311/H311),"0")</f>
        <v>3.125E-2</v>
      </c>
      <c r="BP311" s="64">
        <f>IFERROR(1/J311*(Y311/H311),"0")</f>
        <v>3.125E-2</v>
      </c>
    </row>
    <row r="312" spans="1:68" ht="27" hidden="1" customHeight="1" x14ac:dyDescent="0.25">
      <c r="A312" s="54" t="s">
        <v>499</v>
      </c>
      <c r="B312" s="54" t="s">
        <v>500</v>
      </c>
      <c r="C312" s="31">
        <v>4301051734</v>
      </c>
      <c r="D312" s="547">
        <v>4680115884588</v>
      </c>
      <c r="E312" s="548"/>
      <c r="F312" s="542">
        <v>0.5</v>
      </c>
      <c r="G312" s="32">
        <v>6</v>
      </c>
      <c r="H312" s="542">
        <v>3</v>
      </c>
      <c r="I312" s="542">
        <v>3.246</v>
      </c>
      <c r="J312" s="32">
        <v>182</v>
      </c>
      <c r="K312" s="32" t="s">
        <v>76</v>
      </c>
      <c r="L312" s="32" t="s">
        <v>88</v>
      </c>
      <c r="M312" s="33" t="s">
        <v>77</v>
      </c>
      <c r="N312" s="33"/>
      <c r="O312" s="32">
        <v>40</v>
      </c>
      <c r="P312" s="67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2" s="550"/>
      <c r="R312" s="550"/>
      <c r="S312" s="550"/>
      <c r="T312" s="551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501</v>
      </c>
      <c r="AG312" s="64"/>
      <c r="AJ312" s="68" t="s">
        <v>90</v>
      </c>
      <c r="AK312" s="68">
        <v>42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53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1" t="s">
        <v>71</v>
      </c>
      <c r="Q313" s="562"/>
      <c r="R313" s="562"/>
      <c r="S313" s="562"/>
      <c r="T313" s="562"/>
      <c r="U313" s="562"/>
      <c r="V313" s="563"/>
      <c r="W313" s="37" t="s">
        <v>72</v>
      </c>
      <c r="X313" s="545">
        <f>IFERROR(X309/H309,"0")+IFERROR(X310/H310,"0")+IFERROR(X311/H311,"0")+IFERROR(X312/H312,"0")</f>
        <v>104</v>
      </c>
      <c r="Y313" s="545">
        <f>IFERROR(Y309/H309,"0")+IFERROR(Y310/H310,"0")+IFERROR(Y311/H311,"0")+IFERROR(Y312/H312,"0")</f>
        <v>104</v>
      </c>
      <c r="Z313" s="545">
        <f>IFERROR(IF(Z309="",0,Z309),"0")+IFERROR(IF(Z310="",0,Z310),"0")+IFERROR(IF(Z311="",0,Z311),"0")+IFERROR(IF(Z312="",0,Z312),"0")</f>
        <v>1.9739200000000001</v>
      </c>
      <c r="AA313" s="546"/>
      <c r="AB313" s="546"/>
      <c r="AC313" s="546"/>
    </row>
    <row r="314" spans="1:68" x14ac:dyDescent="0.2">
      <c r="A314" s="554"/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5"/>
      <c r="P314" s="561" t="s">
        <v>71</v>
      </c>
      <c r="Q314" s="562"/>
      <c r="R314" s="562"/>
      <c r="S314" s="562"/>
      <c r="T314" s="562"/>
      <c r="U314" s="562"/>
      <c r="V314" s="563"/>
      <c r="W314" s="37" t="s">
        <v>69</v>
      </c>
      <c r="X314" s="545">
        <f>IFERROR(SUM(X309:X312),"0")</f>
        <v>811.80000000000007</v>
      </c>
      <c r="Y314" s="545">
        <f>IFERROR(SUM(Y309:Y312),"0")</f>
        <v>811.80000000000007</v>
      </c>
      <c r="Z314" s="37"/>
      <c r="AA314" s="546"/>
      <c r="AB314" s="546"/>
      <c r="AC314" s="546"/>
    </row>
    <row r="315" spans="1:68" ht="14.25" hidden="1" customHeight="1" x14ac:dyDescent="0.25">
      <c r="A315" s="559" t="s">
        <v>164</v>
      </c>
      <c r="B315" s="554"/>
      <c r="C315" s="554"/>
      <c r="D315" s="554"/>
      <c r="E315" s="554"/>
      <c r="F315" s="554"/>
      <c r="G315" s="554"/>
      <c r="H315" s="554"/>
      <c r="I315" s="554"/>
      <c r="J315" s="554"/>
      <c r="K315" s="554"/>
      <c r="L315" s="554"/>
      <c r="M315" s="554"/>
      <c r="N315" s="554"/>
      <c r="O315" s="554"/>
      <c r="P315" s="554"/>
      <c r="Q315" s="554"/>
      <c r="R315" s="554"/>
      <c r="S315" s="554"/>
      <c r="T315" s="554"/>
      <c r="U315" s="554"/>
      <c r="V315" s="554"/>
      <c r="W315" s="554"/>
      <c r="X315" s="554"/>
      <c r="Y315" s="554"/>
      <c r="Z315" s="554"/>
      <c r="AA315" s="539"/>
      <c r="AB315" s="539"/>
      <c r="AC315" s="539"/>
    </row>
    <row r="316" spans="1:68" ht="27" customHeight="1" x14ac:dyDescent="0.25">
      <c r="A316" s="54" t="s">
        <v>502</v>
      </c>
      <c r="B316" s="54" t="s">
        <v>503</v>
      </c>
      <c r="C316" s="31">
        <v>4301060387</v>
      </c>
      <c r="D316" s="547">
        <v>4607091380880</v>
      </c>
      <c r="E316" s="548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25.2</v>
      </c>
      <c r="Y316" s="544">
        <f>IFERROR(IF(X316="",0,CEILING((X316/$H316),1)*$H316),"")</f>
        <v>25.200000000000003</v>
      </c>
      <c r="Z316" s="36">
        <f>IFERROR(IF(Y316=0,"",ROUNDUP(Y316/H316,0)*0.01898),"")</f>
        <v>5.6940000000000004E-2</v>
      </c>
      <c r="AA316" s="56"/>
      <c r="AB316" s="57"/>
      <c r="AC316" s="367" t="s">
        <v>504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26.681999999999999</v>
      </c>
      <c r="BN316" s="64">
        <f>IFERROR(Y316*I316/H316,"0")</f>
        <v>26.682000000000002</v>
      </c>
      <c r="BO316" s="64">
        <f>IFERROR(1/J316*(X316/H316),"0")</f>
        <v>4.6875E-2</v>
      </c>
      <c r="BP316" s="64">
        <f>IFERROR(1/J316*(Y316/H316),"0")</f>
        <v>4.6875E-2</v>
      </c>
    </row>
    <row r="317" spans="1:68" ht="27" customHeight="1" x14ac:dyDescent="0.25">
      <c r="A317" s="54" t="s">
        <v>505</v>
      </c>
      <c r="B317" s="54" t="s">
        <v>506</v>
      </c>
      <c r="C317" s="31">
        <v>4301060406</v>
      </c>
      <c r="D317" s="547">
        <v>4607091384482</v>
      </c>
      <c r="E317" s="548"/>
      <c r="F317" s="542">
        <v>1.3</v>
      </c>
      <c r="G317" s="32">
        <v>6</v>
      </c>
      <c r="H317" s="542">
        <v>7.8</v>
      </c>
      <c r="I317" s="542">
        <v>8.2940000000000005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23.4</v>
      </c>
      <c r="Y317" s="544">
        <f>IFERROR(IF(X317="",0,CEILING((X317/$H317),1)*$H317),"")</f>
        <v>23.4</v>
      </c>
      <c r="Z317" s="36">
        <f>IFERROR(IF(Y317=0,"",ROUNDUP(Y317/H317,0)*0.01898),"")</f>
        <v>5.6940000000000004E-2</v>
      </c>
      <c r="AA317" s="56"/>
      <c r="AB317" s="57"/>
      <c r="AC317" s="369" t="s">
        <v>507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24.882000000000001</v>
      </c>
      <c r="BN317" s="64">
        <f>IFERROR(Y317*I317/H317,"0")</f>
        <v>24.882000000000001</v>
      </c>
      <c r="BO317" s="64">
        <f>IFERROR(1/J317*(X317/H317),"0")</f>
        <v>4.6875E-2</v>
      </c>
      <c r="BP317" s="64">
        <f>IFERROR(1/J317*(Y317/H317),"0")</f>
        <v>4.6875E-2</v>
      </c>
    </row>
    <row r="318" spans="1:68" ht="16.5" customHeight="1" x14ac:dyDescent="0.25">
      <c r="A318" s="54" t="s">
        <v>508</v>
      </c>
      <c r="B318" s="54" t="s">
        <v>509</v>
      </c>
      <c r="C318" s="31">
        <v>4301060484</v>
      </c>
      <c r="D318" s="547">
        <v>4607091380897</v>
      </c>
      <c r="E318" s="548"/>
      <c r="F318" s="542">
        <v>1.4</v>
      </c>
      <c r="G318" s="32">
        <v>6</v>
      </c>
      <c r="H318" s="542">
        <v>8.4</v>
      </c>
      <c r="I318" s="542">
        <v>8.8940000000000001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3">
        <v>58.8</v>
      </c>
      <c r="Y318" s="544">
        <f>IFERROR(IF(X318="",0,CEILING((X318/$H318),1)*$H318),"")</f>
        <v>58.800000000000004</v>
      </c>
      <c r="Z318" s="36">
        <f>IFERROR(IF(Y318=0,"",ROUNDUP(Y318/H318,0)*0.01898),"")</f>
        <v>0.13286000000000001</v>
      </c>
      <c r="AA318" s="56"/>
      <c r="AB318" s="57"/>
      <c r="AC318" s="371" t="s">
        <v>510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62.257999999999988</v>
      </c>
      <c r="BN318" s="64">
        <f>IFERROR(Y318*I318/H318,"0")</f>
        <v>62.258000000000003</v>
      </c>
      <c r="BO318" s="64">
        <f>IFERROR(1/J318*(X318/H318),"0")</f>
        <v>0.10937499999999999</v>
      </c>
      <c r="BP318" s="64">
        <f>IFERROR(1/J318*(Y318/H318),"0")</f>
        <v>0.109375</v>
      </c>
    </row>
    <row r="319" spans="1:68" x14ac:dyDescent="0.2">
      <c r="A319" s="553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1" t="s">
        <v>71</v>
      </c>
      <c r="Q319" s="562"/>
      <c r="R319" s="562"/>
      <c r="S319" s="562"/>
      <c r="T319" s="562"/>
      <c r="U319" s="562"/>
      <c r="V319" s="563"/>
      <c r="W319" s="37" t="s">
        <v>72</v>
      </c>
      <c r="X319" s="545">
        <f>IFERROR(X316/H316,"0")+IFERROR(X317/H317,"0")+IFERROR(X318/H318,"0")</f>
        <v>13</v>
      </c>
      <c r="Y319" s="545">
        <f>IFERROR(Y316/H316,"0")+IFERROR(Y317/H317,"0")+IFERROR(Y318/H318,"0")</f>
        <v>13</v>
      </c>
      <c r="Z319" s="545">
        <f>IFERROR(IF(Z316="",0,Z316),"0")+IFERROR(IF(Z317="",0,Z317),"0")+IFERROR(IF(Z318="",0,Z318),"0")</f>
        <v>0.24674000000000001</v>
      </c>
      <c r="AA319" s="546"/>
      <c r="AB319" s="546"/>
      <c r="AC319" s="546"/>
    </row>
    <row r="320" spans="1:68" x14ac:dyDescent="0.2">
      <c r="A320" s="554"/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5"/>
      <c r="P320" s="561" t="s">
        <v>71</v>
      </c>
      <c r="Q320" s="562"/>
      <c r="R320" s="562"/>
      <c r="S320" s="562"/>
      <c r="T320" s="562"/>
      <c r="U320" s="562"/>
      <c r="V320" s="563"/>
      <c r="W320" s="37" t="s">
        <v>69</v>
      </c>
      <c r="X320" s="545">
        <f>IFERROR(SUM(X316:X318),"0")</f>
        <v>107.39999999999999</v>
      </c>
      <c r="Y320" s="545">
        <f>IFERROR(SUM(Y316:Y318),"0")</f>
        <v>107.4</v>
      </c>
      <c r="Z320" s="37"/>
      <c r="AA320" s="546"/>
      <c r="AB320" s="546"/>
      <c r="AC320" s="546"/>
    </row>
    <row r="321" spans="1:68" ht="14.25" hidden="1" customHeight="1" x14ac:dyDescent="0.25">
      <c r="A321" s="559" t="s">
        <v>93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539"/>
      <c r="AB321" s="539"/>
      <c r="AC321" s="539"/>
    </row>
    <row r="322" spans="1:68" ht="27" customHeight="1" x14ac:dyDescent="0.25">
      <c r="A322" s="54" t="s">
        <v>511</v>
      </c>
      <c r="B322" s="54" t="s">
        <v>512</v>
      </c>
      <c r="C322" s="31">
        <v>4301030235</v>
      </c>
      <c r="D322" s="547">
        <v>4607091388381</v>
      </c>
      <c r="E322" s="548"/>
      <c r="F322" s="542">
        <v>0.38</v>
      </c>
      <c r="G322" s="32">
        <v>8</v>
      </c>
      <c r="H322" s="542">
        <v>3.04</v>
      </c>
      <c r="I322" s="542">
        <v>3.31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3.04</v>
      </c>
      <c r="Y322" s="544">
        <f>IFERROR(IF(X322="",0,CEILING((X322/$H322),1)*$H322),"")</f>
        <v>3.04</v>
      </c>
      <c r="Z322" s="36">
        <f>IFERROR(IF(Y322=0,"",ROUNDUP(Y322/H322,0)*0.00902),"")</f>
        <v>9.0200000000000002E-3</v>
      </c>
      <c r="AA322" s="56"/>
      <c r="AB322" s="57"/>
      <c r="AC322" s="373" t="s">
        <v>513</v>
      </c>
      <c r="AG322" s="64"/>
      <c r="AJ322" s="68"/>
      <c r="AK322" s="68">
        <v>0</v>
      </c>
      <c r="BB322" s="374" t="s">
        <v>1</v>
      </c>
      <c r="BM322" s="64">
        <f>IFERROR(X322*I322/H322,"0")</f>
        <v>3.31</v>
      </c>
      <c r="BN322" s="64">
        <f>IFERROR(Y322*I322/H322,"0")</f>
        <v>3.31</v>
      </c>
      <c r="BO322" s="64">
        <f>IFERROR(1/J322*(X322/H322),"0")</f>
        <v>7.575757575757576E-3</v>
      </c>
      <c r="BP322" s="64">
        <f>IFERROR(1/J322*(Y322/H322),"0")</f>
        <v>7.575757575757576E-3</v>
      </c>
    </row>
    <row r="323" spans="1:68" ht="27" hidden="1" customHeight="1" x14ac:dyDescent="0.25">
      <c r="A323" s="54" t="s">
        <v>514</v>
      </c>
      <c r="B323" s="54" t="s">
        <v>515</v>
      </c>
      <c r="C323" s="31">
        <v>4301030232</v>
      </c>
      <c r="D323" s="547">
        <v>4607091388374</v>
      </c>
      <c r="E323" s="548"/>
      <c r="F323" s="542">
        <v>0.38</v>
      </c>
      <c r="G323" s="32">
        <v>8</v>
      </c>
      <c r="H323" s="542">
        <v>3.04</v>
      </c>
      <c r="I323" s="542">
        <v>3.27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11" t="s">
        <v>516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4301032015</v>
      </c>
      <c r="D324" s="547">
        <v>4607091383102</v>
      </c>
      <c r="E324" s="548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2.5499999999999998</v>
      </c>
      <c r="Y324" s="544">
        <f>IFERROR(IF(X324="",0,CEILING((X324/$H324),1)*$H324),"")</f>
        <v>2.5499999999999998</v>
      </c>
      <c r="Z324" s="36">
        <f>IFERROR(IF(Y324=0,"",ROUNDUP(Y324/H324,0)*0.00651),"")</f>
        <v>6.5100000000000002E-3</v>
      </c>
      <c r="AA324" s="56"/>
      <c r="AB324" s="57"/>
      <c r="AC324" s="377" t="s">
        <v>519</v>
      </c>
      <c r="AG324" s="64"/>
      <c r="AJ324" s="68"/>
      <c r="AK324" s="68">
        <v>0</v>
      </c>
      <c r="BB324" s="378" t="s">
        <v>1</v>
      </c>
      <c r="BM324" s="64">
        <f>IFERROR(X324*I324/H324,"0")</f>
        <v>2.9550000000000001</v>
      </c>
      <c r="BN324" s="64">
        <f>IFERROR(Y324*I324/H324,"0")</f>
        <v>2.9550000000000001</v>
      </c>
      <c r="BO324" s="64">
        <f>IFERROR(1/J324*(X324/H324),"0")</f>
        <v>5.4945054945054949E-3</v>
      </c>
      <c r="BP324" s="64">
        <f>IFERROR(1/J324*(Y324/H324),"0")</f>
        <v>5.4945054945054949E-3</v>
      </c>
    </row>
    <row r="325" spans="1:68" ht="27" customHeight="1" x14ac:dyDescent="0.25">
      <c r="A325" s="54" t="s">
        <v>520</v>
      </c>
      <c r="B325" s="54" t="s">
        <v>521</v>
      </c>
      <c r="C325" s="31">
        <v>4301030233</v>
      </c>
      <c r="D325" s="547">
        <v>4607091388404</v>
      </c>
      <c r="E325" s="548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3">
        <v>2.5499999999999998</v>
      </c>
      <c r="Y325" s="544">
        <f>IFERROR(IF(X325="",0,CEILING((X325/$H325),1)*$H325),"")</f>
        <v>2.5499999999999998</v>
      </c>
      <c r="Z325" s="36">
        <f>IFERROR(IF(Y325=0,"",ROUNDUP(Y325/H325,0)*0.00651),"")</f>
        <v>6.5100000000000002E-3</v>
      </c>
      <c r="AA325" s="56"/>
      <c r="AB325" s="57"/>
      <c r="AC325" s="379" t="s">
        <v>513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2.88</v>
      </c>
      <c r="BN325" s="64">
        <f>IFERROR(Y325*I325/H325,"0")</f>
        <v>2.88</v>
      </c>
      <c r="BO325" s="64">
        <f>IFERROR(1/J325*(X325/H325),"0")</f>
        <v>5.4945054945054949E-3</v>
      </c>
      <c r="BP325" s="64">
        <f>IFERROR(1/J325*(Y325/H325),"0")</f>
        <v>5.4945054945054949E-3</v>
      </c>
    </row>
    <row r="326" spans="1:68" x14ac:dyDescent="0.2">
      <c r="A326" s="553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1" t="s">
        <v>71</v>
      </c>
      <c r="Q326" s="562"/>
      <c r="R326" s="562"/>
      <c r="S326" s="562"/>
      <c r="T326" s="562"/>
      <c r="U326" s="562"/>
      <c r="V326" s="563"/>
      <c r="W326" s="37" t="s">
        <v>72</v>
      </c>
      <c r="X326" s="545">
        <f>IFERROR(X322/H322,"0")+IFERROR(X323/H323,"0")+IFERROR(X324/H324,"0")+IFERROR(X325/H325,"0")</f>
        <v>3</v>
      </c>
      <c r="Y326" s="545">
        <f>IFERROR(Y322/H322,"0")+IFERROR(Y323/H323,"0")+IFERROR(Y324/H324,"0")+IFERROR(Y325/H325,"0")</f>
        <v>3</v>
      </c>
      <c r="Z326" s="545">
        <f>IFERROR(IF(Z322="",0,Z322),"0")+IFERROR(IF(Z323="",0,Z323),"0")+IFERROR(IF(Z324="",0,Z324),"0")+IFERROR(IF(Z325="",0,Z325),"0")</f>
        <v>2.2040000000000001E-2</v>
      </c>
      <c r="AA326" s="546"/>
      <c r="AB326" s="546"/>
      <c r="AC326" s="546"/>
    </row>
    <row r="327" spans="1:68" x14ac:dyDescent="0.2">
      <c r="A327" s="554"/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5"/>
      <c r="P327" s="561" t="s">
        <v>71</v>
      </c>
      <c r="Q327" s="562"/>
      <c r="R327" s="562"/>
      <c r="S327" s="562"/>
      <c r="T327" s="562"/>
      <c r="U327" s="562"/>
      <c r="V327" s="563"/>
      <c r="W327" s="37" t="s">
        <v>69</v>
      </c>
      <c r="X327" s="545">
        <f>IFERROR(SUM(X322:X325),"0")</f>
        <v>8.14</v>
      </c>
      <c r="Y327" s="545">
        <f>IFERROR(SUM(Y322:Y325),"0")</f>
        <v>8.14</v>
      </c>
      <c r="Z327" s="37"/>
      <c r="AA327" s="546"/>
      <c r="AB327" s="546"/>
      <c r="AC327" s="546"/>
    </row>
    <row r="328" spans="1:68" ht="14.25" hidden="1" customHeight="1" x14ac:dyDescent="0.25">
      <c r="A328" s="559" t="s">
        <v>522</v>
      </c>
      <c r="B328" s="554"/>
      <c r="C328" s="554"/>
      <c r="D328" s="554"/>
      <c r="E328" s="554"/>
      <c r="F328" s="554"/>
      <c r="G328" s="554"/>
      <c r="H328" s="554"/>
      <c r="I328" s="554"/>
      <c r="J328" s="554"/>
      <c r="K328" s="554"/>
      <c r="L328" s="554"/>
      <c r="M328" s="554"/>
      <c r="N328" s="554"/>
      <c r="O328" s="554"/>
      <c r="P328" s="554"/>
      <c r="Q328" s="554"/>
      <c r="R328" s="554"/>
      <c r="S328" s="554"/>
      <c r="T328" s="554"/>
      <c r="U328" s="554"/>
      <c r="V328" s="554"/>
      <c r="W328" s="554"/>
      <c r="X328" s="554"/>
      <c r="Y328" s="554"/>
      <c r="Z328" s="554"/>
      <c r="AA328" s="539"/>
      <c r="AB328" s="539"/>
      <c r="AC328" s="539"/>
    </row>
    <row r="329" spans="1:68" ht="16.5" hidden="1" customHeight="1" x14ac:dyDescent="0.25">
      <c r="A329" s="54" t="s">
        <v>523</v>
      </c>
      <c r="B329" s="54" t="s">
        <v>524</v>
      </c>
      <c r="C329" s="31">
        <v>4301180007</v>
      </c>
      <c r="D329" s="547">
        <v>4680115881808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525</v>
      </c>
      <c r="N329" s="33"/>
      <c r="O329" s="32">
        <v>730</v>
      </c>
      <c r="P329" s="6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527</v>
      </c>
      <c r="B330" s="54" t="s">
        <v>528</v>
      </c>
      <c r="C330" s="31">
        <v>4301180006</v>
      </c>
      <c r="D330" s="547">
        <v>4680115881822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525</v>
      </c>
      <c r="N330" s="33"/>
      <c r="O330" s="32">
        <v>730</v>
      </c>
      <c r="P330" s="6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529</v>
      </c>
      <c r="B331" s="54" t="s">
        <v>530</v>
      </c>
      <c r="C331" s="31">
        <v>4301180001</v>
      </c>
      <c r="D331" s="547">
        <v>4680115880016</v>
      </c>
      <c r="E331" s="548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525</v>
      </c>
      <c r="N331" s="33"/>
      <c r="O331" s="32">
        <v>730</v>
      </c>
      <c r="P331" s="62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0"/>
      <c r="R331" s="550"/>
      <c r="S331" s="550"/>
      <c r="T331" s="551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53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1" t="s">
        <v>71</v>
      </c>
      <c r="Q332" s="562"/>
      <c r="R332" s="562"/>
      <c r="S332" s="562"/>
      <c r="T332" s="562"/>
      <c r="U332" s="562"/>
      <c r="V332" s="563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hidden="1" x14ac:dyDescent="0.2">
      <c r="A333" s="554"/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5"/>
      <c r="P333" s="561" t="s">
        <v>71</v>
      </c>
      <c r="Q333" s="562"/>
      <c r="R333" s="562"/>
      <c r="S333" s="562"/>
      <c r="T333" s="562"/>
      <c r="U333" s="562"/>
      <c r="V333" s="563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hidden="1" customHeight="1" x14ac:dyDescent="0.25">
      <c r="A334" s="558" t="s">
        <v>531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8"/>
      <c r="AB334" s="538"/>
      <c r="AC334" s="538"/>
    </row>
    <row r="335" spans="1:68" ht="14.25" hidden="1" customHeight="1" x14ac:dyDescent="0.25">
      <c r="A335" s="559" t="s">
        <v>73</v>
      </c>
      <c r="B335" s="554"/>
      <c r="C335" s="554"/>
      <c r="D335" s="554"/>
      <c r="E335" s="554"/>
      <c r="F335" s="554"/>
      <c r="G335" s="554"/>
      <c r="H335" s="554"/>
      <c r="I335" s="554"/>
      <c r="J335" s="554"/>
      <c r="K335" s="554"/>
      <c r="L335" s="554"/>
      <c r="M335" s="554"/>
      <c r="N335" s="554"/>
      <c r="O335" s="554"/>
      <c r="P335" s="554"/>
      <c r="Q335" s="554"/>
      <c r="R335" s="554"/>
      <c r="S335" s="554"/>
      <c r="T335" s="554"/>
      <c r="U335" s="554"/>
      <c r="V335" s="554"/>
      <c r="W335" s="554"/>
      <c r="X335" s="554"/>
      <c r="Y335" s="554"/>
      <c r="Z335" s="554"/>
      <c r="AA335" s="539"/>
      <c r="AB335" s="539"/>
      <c r="AC335" s="539"/>
    </row>
    <row r="336" spans="1:68" ht="27" customHeight="1" x14ac:dyDescent="0.25">
      <c r="A336" s="54" t="s">
        <v>532</v>
      </c>
      <c r="B336" s="54" t="s">
        <v>533</v>
      </c>
      <c r="C336" s="31">
        <v>4301051489</v>
      </c>
      <c r="D336" s="547">
        <v>4607091387919</v>
      </c>
      <c r="E336" s="548"/>
      <c r="F336" s="542">
        <v>1.35</v>
      </c>
      <c r="G336" s="32">
        <v>6</v>
      </c>
      <c r="H336" s="542">
        <v>8.1</v>
      </c>
      <c r="I336" s="542">
        <v>8.5939999999999994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81</v>
      </c>
      <c r="Y336" s="544">
        <f>IFERROR(IF(X336="",0,CEILING((X336/$H336),1)*$H336),"")</f>
        <v>81</v>
      </c>
      <c r="Z336" s="36">
        <f>IFERROR(IF(Y336=0,"",ROUNDUP(Y336/H336,0)*0.01898),"")</f>
        <v>0.1898</v>
      </c>
      <c r="AA336" s="56"/>
      <c r="AB336" s="57"/>
      <c r="AC336" s="387" t="s">
        <v>534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85.94</v>
      </c>
      <c r="BN336" s="64">
        <f>IFERROR(Y336*I336/H336,"0")</f>
        <v>85.94</v>
      </c>
      <c r="BO336" s="64">
        <f>IFERROR(1/J336*(X336/H336),"0")</f>
        <v>0.15625</v>
      </c>
      <c r="BP336" s="64">
        <f>IFERROR(1/J336*(Y336/H336),"0")</f>
        <v>0.15625</v>
      </c>
    </row>
    <row r="337" spans="1:68" ht="27" customHeight="1" x14ac:dyDescent="0.25">
      <c r="A337" s="54" t="s">
        <v>535</v>
      </c>
      <c r="B337" s="54" t="s">
        <v>536</v>
      </c>
      <c r="C337" s="31">
        <v>4301051461</v>
      </c>
      <c r="D337" s="547">
        <v>4680115883604</v>
      </c>
      <c r="E337" s="548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6.3</v>
      </c>
      <c r="Y337" s="544">
        <f>IFERROR(IF(X337="",0,CEILING((X337/$H337),1)*$H337),"")</f>
        <v>6.3000000000000007</v>
      </c>
      <c r="Z337" s="36">
        <f>IFERROR(IF(Y337=0,"",ROUNDUP(Y337/H337,0)*0.00651),"")</f>
        <v>1.9529999999999999E-2</v>
      </c>
      <c r="AA337" s="56"/>
      <c r="AB337" s="57"/>
      <c r="AC337" s="389" t="s">
        <v>537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7.0559999999999992</v>
      </c>
      <c r="BN337" s="64">
        <f>IFERROR(Y337*I337/H337,"0")</f>
        <v>7.056</v>
      </c>
      <c r="BO337" s="64">
        <f>IFERROR(1/J337*(X337/H337),"0")</f>
        <v>1.6483516483516484E-2</v>
      </c>
      <c r="BP337" s="64">
        <f>IFERROR(1/J337*(Y337/H337),"0")</f>
        <v>1.6483516483516484E-2</v>
      </c>
    </row>
    <row r="338" spans="1:68" ht="27" customHeight="1" x14ac:dyDescent="0.25">
      <c r="A338" s="54" t="s">
        <v>538</v>
      </c>
      <c r="B338" s="54" t="s">
        <v>539</v>
      </c>
      <c r="C338" s="31">
        <v>4301051864</v>
      </c>
      <c r="D338" s="547">
        <v>4680115883567</v>
      </c>
      <c r="E338" s="548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7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0"/>
      <c r="R338" s="550"/>
      <c r="S338" s="550"/>
      <c r="T338" s="551"/>
      <c r="U338" s="34"/>
      <c r="V338" s="34"/>
      <c r="W338" s="35" t="s">
        <v>69</v>
      </c>
      <c r="X338" s="543">
        <v>6.3</v>
      </c>
      <c r="Y338" s="544">
        <f>IFERROR(IF(X338="",0,CEILING((X338/$H338),1)*$H338),"")</f>
        <v>6.3000000000000007</v>
      </c>
      <c r="Z338" s="36">
        <f>IFERROR(IF(Y338=0,"",ROUNDUP(Y338/H338,0)*0.00651),"")</f>
        <v>1.9529999999999999E-2</v>
      </c>
      <c r="AA338" s="56"/>
      <c r="AB338" s="57"/>
      <c r="AC338" s="391" t="s">
        <v>540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7.02</v>
      </c>
      <c r="BN338" s="64">
        <f>IFERROR(Y338*I338/H338,"0")</f>
        <v>7.0200000000000005</v>
      </c>
      <c r="BO338" s="64">
        <f>IFERROR(1/J338*(X338/H338),"0")</f>
        <v>1.6483516483516484E-2</v>
      </c>
      <c r="BP338" s="64">
        <f>IFERROR(1/J338*(Y338/H338),"0")</f>
        <v>1.6483516483516484E-2</v>
      </c>
    </row>
    <row r="339" spans="1:68" x14ac:dyDescent="0.2">
      <c r="A339" s="553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1" t="s">
        <v>71</v>
      </c>
      <c r="Q339" s="562"/>
      <c r="R339" s="562"/>
      <c r="S339" s="562"/>
      <c r="T339" s="562"/>
      <c r="U339" s="562"/>
      <c r="V339" s="563"/>
      <c r="W339" s="37" t="s">
        <v>72</v>
      </c>
      <c r="X339" s="545">
        <f>IFERROR(X336/H336,"0")+IFERROR(X337/H337,"0")+IFERROR(X338/H338,"0")</f>
        <v>16</v>
      </c>
      <c r="Y339" s="545">
        <f>IFERROR(Y336/H336,"0")+IFERROR(Y337/H337,"0")+IFERROR(Y338/H338,"0")</f>
        <v>16</v>
      </c>
      <c r="Z339" s="545">
        <f>IFERROR(IF(Z336="",0,Z336),"0")+IFERROR(IF(Z337="",0,Z337),"0")+IFERROR(IF(Z338="",0,Z338),"0")</f>
        <v>0.22885999999999998</v>
      </c>
      <c r="AA339" s="546"/>
      <c r="AB339" s="546"/>
      <c r="AC339" s="546"/>
    </row>
    <row r="340" spans="1:68" x14ac:dyDescent="0.2">
      <c r="A340" s="554"/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5"/>
      <c r="P340" s="561" t="s">
        <v>71</v>
      </c>
      <c r="Q340" s="562"/>
      <c r="R340" s="562"/>
      <c r="S340" s="562"/>
      <c r="T340" s="562"/>
      <c r="U340" s="562"/>
      <c r="V340" s="563"/>
      <c r="W340" s="37" t="s">
        <v>69</v>
      </c>
      <c r="X340" s="545">
        <f>IFERROR(SUM(X336:X338),"0")</f>
        <v>93.6</v>
      </c>
      <c r="Y340" s="545">
        <f>IFERROR(SUM(Y336:Y338),"0")</f>
        <v>93.6</v>
      </c>
      <c r="Z340" s="37"/>
      <c r="AA340" s="546"/>
      <c r="AB340" s="546"/>
      <c r="AC340" s="546"/>
    </row>
    <row r="341" spans="1:68" ht="27.75" hidden="1" customHeight="1" x14ac:dyDescent="0.2">
      <c r="A341" s="570" t="s">
        <v>541</v>
      </c>
      <c r="B341" s="571"/>
      <c r="C341" s="571"/>
      <c r="D341" s="571"/>
      <c r="E341" s="571"/>
      <c r="F341" s="571"/>
      <c r="G341" s="571"/>
      <c r="H341" s="571"/>
      <c r="I341" s="571"/>
      <c r="J341" s="571"/>
      <c r="K341" s="571"/>
      <c r="L341" s="571"/>
      <c r="M341" s="571"/>
      <c r="N341" s="571"/>
      <c r="O341" s="571"/>
      <c r="P341" s="571"/>
      <c r="Q341" s="571"/>
      <c r="R341" s="571"/>
      <c r="S341" s="571"/>
      <c r="T341" s="571"/>
      <c r="U341" s="571"/>
      <c r="V341" s="571"/>
      <c r="W341" s="571"/>
      <c r="X341" s="571"/>
      <c r="Y341" s="571"/>
      <c r="Z341" s="571"/>
      <c r="AA341" s="48"/>
      <c r="AB341" s="48"/>
      <c r="AC341" s="48"/>
    </row>
    <row r="342" spans="1:68" ht="16.5" hidden="1" customHeight="1" x14ac:dyDescent="0.25">
      <c r="A342" s="558" t="s">
        <v>542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8"/>
      <c r="AB342" s="538"/>
      <c r="AC342" s="538"/>
    </row>
    <row r="343" spans="1:68" ht="14.25" hidden="1" customHeight="1" x14ac:dyDescent="0.25">
      <c r="A343" s="559" t="s">
        <v>101</v>
      </c>
      <c r="B343" s="554"/>
      <c r="C343" s="554"/>
      <c r="D343" s="554"/>
      <c r="E343" s="554"/>
      <c r="F343" s="554"/>
      <c r="G343" s="554"/>
      <c r="H343" s="554"/>
      <c r="I343" s="554"/>
      <c r="J343" s="554"/>
      <c r="K343" s="554"/>
      <c r="L343" s="554"/>
      <c r="M343" s="554"/>
      <c r="N343" s="554"/>
      <c r="O343" s="554"/>
      <c r="P343" s="554"/>
      <c r="Q343" s="554"/>
      <c r="R343" s="554"/>
      <c r="S343" s="554"/>
      <c r="T343" s="554"/>
      <c r="U343" s="554"/>
      <c r="V343" s="554"/>
      <c r="W343" s="554"/>
      <c r="X343" s="554"/>
      <c r="Y343" s="554"/>
      <c r="Z343" s="554"/>
      <c r="AA343" s="539"/>
      <c r="AB343" s="539"/>
      <c r="AC343" s="539"/>
    </row>
    <row r="344" spans="1:68" ht="37.5" hidden="1" customHeight="1" x14ac:dyDescent="0.25">
      <c r="A344" s="54" t="s">
        <v>543</v>
      </c>
      <c r="B344" s="54" t="s">
        <v>544</v>
      </c>
      <c r="C344" s="31">
        <v>4301011869</v>
      </c>
      <c r="D344" s="547">
        <v>4680115884847</v>
      </c>
      <c r="E344" s="548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79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0</v>
      </c>
      <c r="Y344" s="544">
        <f t="shared" ref="Y344:Y350" si="36">IFERROR(IF(X344="",0,CEILING((X344/$H344),1)*$H344),"")</f>
        <v>0</v>
      </c>
      <c r="Z344" s="36" t="str">
        <f>IFERROR(IF(Y344=0,"",ROUNDUP(Y344/H344,0)*0.02175),"")</f>
        <v/>
      </c>
      <c r="AA344" s="56"/>
      <c r="AB344" s="57"/>
      <c r="AC344" s="393" t="s">
        <v>545</v>
      </c>
      <c r="AG344" s="64"/>
      <c r="AJ344" s="68"/>
      <c r="AK344" s="68">
        <v>0</v>
      </c>
      <c r="BB344" s="394" t="s">
        <v>1</v>
      </c>
      <c r="BM344" s="64">
        <f t="shared" ref="BM344:BM350" si="37">IFERROR(X344*I344/H344,"0")</f>
        <v>0</v>
      </c>
      <c r="BN344" s="64">
        <f t="shared" ref="BN344:BN350" si="38">IFERROR(Y344*I344/H344,"0")</f>
        <v>0</v>
      </c>
      <c r="BO344" s="64">
        <f t="shared" ref="BO344:BO350" si="39">IFERROR(1/J344*(X344/H344),"0")</f>
        <v>0</v>
      </c>
      <c r="BP344" s="64">
        <f t="shared" ref="BP344:BP350" si="40">IFERROR(1/J344*(Y344/H344),"0")</f>
        <v>0</v>
      </c>
    </row>
    <row r="345" spans="1:68" ht="27" hidden="1" customHeight="1" x14ac:dyDescent="0.25">
      <c r="A345" s="54" t="s">
        <v>546</v>
      </c>
      <c r="B345" s="54" t="s">
        <v>547</v>
      </c>
      <c r="C345" s="31">
        <v>4301011870</v>
      </c>
      <c r="D345" s="547">
        <v>4680115884854</v>
      </c>
      <c r="E345" s="548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37.5" hidden="1" customHeight="1" x14ac:dyDescent="0.25">
      <c r="A346" s="54" t="s">
        <v>549</v>
      </c>
      <c r="B346" s="54" t="s">
        <v>550</v>
      </c>
      <c r="C346" s="31">
        <v>4301011867</v>
      </c>
      <c r="D346" s="547">
        <v>4680115884830</v>
      </c>
      <c r="E346" s="548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68</v>
      </c>
      <c r="N346" s="33"/>
      <c r="O346" s="32">
        <v>60</v>
      </c>
      <c r="P346" s="80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552</v>
      </c>
      <c r="B347" s="54" t="s">
        <v>553</v>
      </c>
      <c r="C347" s="31">
        <v>4301012215</v>
      </c>
      <c r="D347" s="547">
        <v>4680115887046</v>
      </c>
      <c r="E347" s="548"/>
      <c r="F347" s="542">
        <v>2.5</v>
      </c>
      <c r="G347" s="32">
        <v>6</v>
      </c>
      <c r="H347" s="542">
        <v>15</v>
      </c>
      <c r="I347" s="542">
        <v>15.47</v>
      </c>
      <c r="J347" s="32">
        <v>48</v>
      </c>
      <c r="K347" s="32" t="s">
        <v>104</v>
      </c>
      <c r="L347" s="32"/>
      <c r="M347" s="33" t="s">
        <v>84</v>
      </c>
      <c r="N347" s="33"/>
      <c r="O347" s="32">
        <v>60</v>
      </c>
      <c r="P347" s="821" t="s">
        <v>554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720</v>
      </c>
      <c r="Y347" s="544">
        <f t="shared" si="36"/>
        <v>720</v>
      </c>
      <c r="Z347" s="36">
        <f>IFERROR(IF(Y347=0,"",ROUNDUP(Y347/H347,0)*0.02175),"")</f>
        <v>1.044</v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7"/>
        <v>742.56</v>
      </c>
      <c r="BN347" s="64">
        <f t="shared" si="38"/>
        <v>742.56</v>
      </c>
      <c r="BO347" s="64">
        <f t="shared" si="39"/>
        <v>1</v>
      </c>
      <c r="BP347" s="64">
        <f t="shared" si="40"/>
        <v>1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4301011433</v>
      </c>
      <c r="D348" s="547">
        <v>4680115882638</v>
      </c>
      <c r="E348" s="548"/>
      <c r="F348" s="542">
        <v>0.4</v>
      </c>
      <c r="G348" s="32">
        <v>10</v>
      </c>
      <c r="H348" s="542">
        <v>4</v>
      </c>
      <c r="I348" s="542">
        <v>4.1900000000000004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hidden="1" customHeight="1" x14ac:dyDescent="0.25">
      <c r="A349" s="54" t="s">
        <v>559</v>
      </c>
      <c r="B349" s="54" t="s">
        <v>560</v>
      </c>
      <c r="C349" s="31">
        <v>4301011952</v>
      </c>
      <c r="D349" s="547">
        <v>4680115884922</v>
      </c>
      <c r="E349" s="548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hidden="1" customHeight="1" x14ac:dyDescent="0.25">
      <c r="A350" s="54" t="s">
        <v>561</v>
      </c>
      <c r="B350" s="54" t="s">
        <v>562</v>
      </c>
      <c r="C350" s="31">
        <v>4301011868</v>
      </c>
      <c r="D350" s="547">
        <v>4680115884861</v>
      </c>
      <c r="E350" s="548"/>
      <c r="F350" s="542">
        <v>0.5</v>
      </c>
      <c r="G350" s="32">
        <v>10</v>
      </c>
      <c r="H350" s="542">
        <v>5</v>
      </c>
      <c r="I350" s="542">
        <v>5.19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3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1" t="s">
        <v>71</v>
      </c>
      <c r="Q351" s="562"/>
      <c r="R351" s="562"/>
      <c r="S351" s="562"/>
      <c r="T351" s="562"/>
      <c r="U351" s="562"/>
      <c r="V351" s="563"/>
      <c r="W351" s="37" t="s">
        <v>72</v>
      </c>
      <c r="X351" s="545">
        <f>IFERROR(X344/H344,"0")+IFERROR(X345/H345,"0")+IFERROR(X346/H346,"0")+IFERROR(X347/H347,"0")+IFERROR(X348/H348,"0")+IFERROR(X349/H349,"0")+IFERROR(X350/H350,"0")</f>
        <v>48</v>
      </c>
      <c r="Y351" s="545">
        <f>IFERROR(Y344/H344,"0")+IFERROR(Y345/H345,"0")+IFERROR(Y346/H346,"0")+IFERROR(Y347/H347,"0")+IFERROR(Y348/H348,"0")+IFERROR(Y349/H349,"0")+IFERROR(Y350/H350,"0")</f>
        <v>48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1.044</v>
      </c>
      <c r="AA351" s="546"/>
      <c r="AB351" s="546"/>
      <c r="AC351" s="546"/>
    </row>
    <row r="352" spans="1:68" x14ac:dyDescent="0.2">
      <c r="A352" s="554"/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5"/>
      <c r="P352" s="561" t="s">
        <v>71</v>
      </c>
      <c r="Q352" s="562"/>
      <c r="R352" s="562"/>
      <c r="S352" s="562"/>
      <c r="T352" s="562"/>
      <c r="U352" s="562"/>
      <c r="V352" s="563"/>
      <c r="W352" s="37" t="s">
        <v>69</v>
      </c>
      <c r="X352" s="545">
        <f>IFERROR(SUM(X344:X350),"0")</f>
        <v>720</v>
      </c>
      <c r="Y352" s="545">
        <f>IFERROR(SUM(Y344:Y350),"0")</f>
        <v>720</v>
      </c>
      <c r="Z352" s="37"/>
      <c r="AA352" s="546"/>
      <c r="AB352" s="546"/>
      <c r="AC352" s="546"/>
    </row>
    <row r="353" spans="1:68" ht="14.25" hidden="1" customHeight="1" x14ac:dyDescent="0.25">
      <c r="A353" s="559" t="s">
        <v>136</v>
      </c>
      <c r="B353" s="554"/>
      <c r="C353" s="554"/>
      <c r="D353" s="554"/>
      <c r="E353" s="554"/>
      <c r="F353" s="554"/>
      <c r="G353" s="554"/>
      <c r="H353" s="554"/>
      <c r="I353" s="554"/>
      <c r="J353" s="554"/>
      <c r="K353" s="554"/>
      <c r="L353" s="554"/>
      <c r="M353" s="554"/>
      <c r="N353" s="554"/>
      <c r="O353" s="554"/>
      <c r="P353" s="554"/>
      <c r="Q353" s="554"/>
      <c r="R353" s="554"/>
      <c r="S353" s="554"/>
      <c r="T353" s="554"/>
      <c r="U353" s="554"/>
      <c r="V353" s="554"/>
      <c r="W353" s="554"/>
      <c r="X353" s="554"/>
      <c r="Y353" s="554"/>
      <c r="Z353" s="554"/>
      <c r="AA353" s="539"/>
      <c r="AB353" s="539"/>
      <c r="AC353" s="539"/>
    </row>
    <row r="354" spans="1:68" ht="27" customHeight="1" x14ac:dyDescent="0.25">
      <c r="A354" s="54" t="s">
        <v>563</v>
      </c>
      <c r="B354" s="54" t="s">
        <v>564</v>
      </c>
      <c r="C354" s="31">
        <v>4301020178</v>
      </c>
      <c r="D354" s="547">
        <v>4607091383980</v>
      </c>
      <c r="E354" s="548"/>
      <c r="F354" s="542">
        <v>2.5</v>
      </c>
      <c r="G354" s="32">
        <v>6</v>
      </c>
      <c r="H354" s="542">
        <v>15</v>
      </c>
      <c r="I354" s="542">
        <v>15.47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720</v>
      </c>
      <c r="Y354" s="544">
        <f>IFERROR(IF(X354="",0,CEILING((X354/$H354),1)*$H354),"")</f>
        <v>720</v>
      </c>
      <c r="Z354" s="36">
        <f>IFERROR(IF(Y354=0,"",ROUNDUP(Y354/H354,0)*0.02175),"")</f>
        <v>1.044</v>
      </c>
      <c r="AA354" s="56"/>
      <c r="AB354" s="57"/>
      <c r="AC354" s="407" t="s">
        <v>565</v>
      </c>
      <c r="AG354" s="64"/>
      <c r="AJ354" s="68"/>
      <c r="AK354" s="68">
        <v>0</v>
      </c>
      <c r="BB354" s="408" t="s">
        <v>1</v>
      </c>
      <c r="BM354" s="64">
        <f>IFERROR(X354*I354/H354,"0")</f>
        <v>742.56</v>
      </c>
      <c r="BN354" s="64">
        <f>IFERROR(Y354*I354/H354,"0")</f>
        <v>742.56</v>
      </c>
      <c r="BO354" s="64">
        <f>IFERROR(1/J354*(X354/H354),"0")</f>
        <v>1</v>
      </c>
      <c r="BP354" s="64">
        <f>IFERROR(1/J354*(Y354/H354),"0")</f>
        <v>1</v>
      </c>
    </row>
    <row r="355" spans="1:68" ht="16.5" hidden="1" customHeight="1" x14ac:dyDescent="0.25">
      <c r="A355" s="54" t="s">
        <v>566</v>
      </c>
      <c r="B355" s="54" t="s">
        <v>567</v>
      </c>
      <c r="C355" s="31">
        <v>4301020179</v>
      </c>
      <c r="D355" s="547">
        <v>4607091384178</v>
      </c>
      <c r="E355" s="548"/>
      <c r="F355" s="542">
        <v>0.4</v>
      </c>
      <c r="G355" s="32">
        <v>10</v>
      </c>
      <c r="H355" s="542">
        <v>4</v>
      </c>
      <c r="I355" s="542">
        <v>4.1900000000000004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0"/>
      <c r="R355" s="550"/>
      <c r="S355" s="550"/>
      <c r="T355" s="551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565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3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1" t="s">
        <v>71</v>
      </c>
      <c r="Q356" s="562"/>
      <c r="R356" s="562"/>
      <c r="S356" s="562"/>
      <c r="T356" s="562"/>
      <c r="U356" s="562"/>
      <c r="V356" s="563"/>
      <c r="W356" s="37" t="s">
        <v>72</v>
      </c>
      <c r="X356" s="545">
        <f>IFERROR(X354/H354,"0")+IFERROR(X355/H355,"0")</f>
        <v>48</v>
      </c>
      <c r="Y356" s="545">
        <f>IFERROR(Y354/H354,"0")+IFERROR(Y355/H355,"0")</f>
        <v>48</v>
      </c>
      <c r="Z356" s="545">
        <f>IFERROR(IF(Z354="",0,Z354),"0")+IFERROR(IF(Z355="",0,Z355),"0")</f>
        <v>1.044</v>
      </c>
      <c r="AA356" s="546"/>
      <c r="AB356" s="546"/>
      <c r="AC356" s="546"/>
    </row>
    <row r="357" spans="1:68" x14ac:dyDescent="0.2">
      <c r="A357" s="554"/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5"/>
      <c r="P357" s="561" t="s">
        <v>71</v>
      </c>
      <c r="Q357" s="562"/>
      <c r="R357" s="562"/>
      <c r="S357" s="562"/>
      <c r="T357" s="562"/>
      <c r="U357" s="562"/>
      <c r="V357" s="563"/>
      <c r="W357" s="37" t="s">
        <v>69</v>
      </c>
      <c r="X357" s="545">
        <f>IFERROR(SUM(X354:X355),"0")</f>
        <v>720</v>
      </c>
      <c r="Y357" s="545">
        <f>IFERROR(SUM(Y354:Y355),"0")</f>
        <v>720</v>
      </c>
      <c r="Z357" s="37"/>
      <c r="AA357" s="546"/>
      <c r="AB357" s="546"/>
      <c r="AC357" s="546"/>
    </row>
    <row r="358" spans="1:68" ht="14.25" hidden="1" customHeight="1" x14ac:dyDescent="0.25">
      <c r="A358" s="559" t="s">
        <v>73</v>
      </c>
      <c r="B358" s="554"/>
      <c r="C358" s="554"/>
      <c r="D358" s="554"/>
      <c r="E358" s="554"/>
      <c r="F358" s="554"/>
      <c r="G358" s="554"/>
      <c r="H358" s="554"/>
      <c r="I358" s="554"/>
      <c r="J358" s="554"/>
      <c r="K358" s="554"/>
      <c r="L358" s="554"/>
      <c r="M358" s="554"/>
      <c r="N358" s="554"/>
      <c r="O358" s="554"/>
      <c r="P358" s="554"/>
      <c r="Q358" s="554"/>
      <c r="R358" s="554"/>
      <c r="S358" s="554"/>
      <c r="T358" s="554"/>
      <c r="U358" s="554"/>
      <c r="V358" s="554"/>
      <c r="W358" s="554"/>
      <c r="X358" s="554"/>
      <c r="Y358" s="554"/>
      <c r="Z358" s="554"/>
      <c r="AA358" s="539"/>
      <c r="AB358" s="539"/>
      <c r="AC358" s="539"/>
    </row>
    <row r="359" spans="1:68" ht="27" customHeight="1" x14ac:dyDescent="0.25">
      <c r="A359" s="54" t="s">
        <v>568</v>
      </c>
      <c r="B359" s="54" t="s">
        <v>569</v>
      </c>
      <c r="C359" s="31">
        <v>4301051903</v>
      </c>
      <c r="D359" s="547">
        <v>4607091383928</v>
      </c>
      <c r="E359" s="548"/>
      <c r="F359" s="542">
        <v>1.5</v>
      </c>
      <c r="G359" s="32">
        <v>6</v>
      </c>
      <c r="H359" s="542">
        <v>9</v>
      </c>
      <c r="I359" s="542">
        <v>9.5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27</v>
      </c>
      <c r="Y359" s="544">
        <f>IFERROR(IF(X359="",0,CEILING((X359/$H359),1)*$H359),"")</f>
        <v>27</v>
      </c>
      <c r="Z359" s="36">
        <f>IFERROR(IF(Y359=0,"",ROUNDUP(Y359/H359,0)*0.01898),"")</f>
        <v>5.6940000000000004E-2</v>
      </c>
      <c r="AA359" s="56"/>
      <c r="AB359" s="57"/>
      <c r="AC359" s="411" t="s">
        <v>570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28.5</v>
      </c>
      <c r="BN359" s="64">
        <f>IFERROR(Y359*I359/H359,"0")</f>
        <v>28.5</v>
      </c>
      <c r="BO359" s="64">
        <f>IFERROR(1/J359*(X359/H359),"0")</f>
        <v>4.6875E-2</v>
      </c>
      <c r="BP359" s="64">
        <f>IFERROR(1/J359*(Y359/H359),"0")</f>
        <v>4.6875E-2</v>
      </c>
    </row>
    <row r="360" spans="1:68" ht="27" hidden="1" customHeight="1" x14ac:dyDescent="0.25">
      <c r="A360" s="54" t="s">
        <v>571</v>
      </c>
      <c r="B360" s="54" t="s">
        <v>572</v>
      </c>
      <c r="C360" s="31">
        <v>4301051897</v>
      </c>
      <c r="D360" s="547">
        <v>4607091384260</v>
      </c>
      <c r="E360" s="548"/>
      <c r="F360" s="542">
        <v>1.5</v>
      </c>
      <c r="G360" s="32">
        <v>6</v>
      </c>
      <c r="H360" s="542">
        <v>9</v>
      </c>
      <c r="I360" s="542">
        <v>9.4939999999999998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3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0"/>
      <c r="R360" s="550"/>
      <c r="S360" s="550"/>
      <c r="T360" s="551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573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53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1" t="s">
        <v>71</v>
      </c>
      <c r="Q361" s="562"/>
      <c r="R361" s="562"/>
      <c r="S361" s="562"/>
      <c r="T361" s="562"/>
      <c r="U361" s="562"/>
      <c r="V361" s="563"/>
      <c r="W361" s="37" t="s">
        <v>72</v>
      </c>
      <c r="X361" s="545">
        <f>IFERROR(X359/H359,"0")+IFERROR(X360/H360,"0")</f>
        <v>3</v>
      </c>
      <c r="Y361" s="545">
        <f>IFERROR(Y359/H359,"0")+IFERROR(Y360/H360,"0")</f>
        <v>3</v>
      </c>
      <c r="Z361" s="545">
        <f>IFERROR(IF(Z359="",0,Z359),"0")+IFERROR(IF(Z360="",0,Z360),"0")</f>
        <v>5.6940000000000004E-2</v>
      </c>
      <c r="AA361" s="546"/>
      <c r="AB361" s="546"/>
      <c r="AC361" s="546"/>
    </row>
    <row r="362" spans="1:68" x14ac:dyDescent="0.2">
      <c r="A362" s="554"/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5"/>
      <c r="P362" s="561" t="s">
        <v>71</v>
      </c>
      <c r="Q362" s="562"/>
      <c r="R362" s="562"/>
      <c r="S362" s="562"/>
      <c r="T362" s="562"/>
      <c r="U362" s="562"/>
      <c r="V362" s="563"/>
      <c r="W362" s="37" t="s">
        <v>69</v>
      </c>
      <c r="X362" s="545">
        <f>IFERROR(SUM(X359:X360),"0")</f>
        <v>27</v>
      </c>
      <c r="Y362" s="545">
        <f>IFERROR(SUM(Y359:Y360),"0")</f>
        <v>27</v>
      </c>
      <c r="Z362" s="37"/>
      <c r="AA362" s="546"/>
      <c r="AB362" s="546"/>
      <c r="AC362" s="546"/>
    </row>
    <row r="363" spans="1:68" ht="14.25" hidden="1" customHeight="1" x14ac:dyDescent="0.25">
      <c r="A363" s="559" t="s">
        <v>164</v>
      </c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4"/>
      <c r="P363" s="554"/>
      <c r="Q363" s="554"/>
      <c r="R363" s="554"/>
      <c r="S363" s="554"/>
      <c r="T363" s="554"/>
      <c r="U363" s="554"/>
      <c r="V363" s="554"/>
      <c r="W363" s="554"/>
      <c r="X363" s="554"/>
      <c r="Y363" s="554"/>
      <c r="Z363" s="554"/>
      <c r="AA363" s="539"/>
      <c r="AB363" s="539"/>
      <c r="AC363" s="539"/>
    </row>
    <row r="364" spans="1:68" ht="16.5" hidden="1" customHeight="1" x14ac:dyDescent="0.25">
      <c r="A364" s="54" t="s">
        <v>574</v>
      </c>
      <c r="B364" s="54" t="s">
        <v>575</v>
      </c>
      <c r="C364" s="31">
        <v>4301060524</v>
      </c>
      <c r="D364" s="547">
        <v>4607091384673</v>
      </c>
      <c r="E364" s="548"/>
      <c r="F364" s="542">
        <v>1.5</v>
      </c>
      <c r="G364" s="32">
        <v>6</v>
      </c>
      <c r="H364" s="542">
        <v>9</v>
      </c>
      <c r="I364" s="542">
        <v>9.4939999999999998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576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53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1" t="s">
        <v>71</v>
      </c>
      <c r="Q365" s="562"/>
      <c r="R365" s="562"/>
      <c r="S365" s="562"/>
      <c r="T365" s="562"/>
      <c r="U365" s="562"/>
      <c r="V365" s="563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hidden="1" x14ac:dyDescent="0.2">
      <c r="A366" s="554"/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5"/>
      <c r="P366" s="561" t="s">
        <v>71</v>
      </c>
      <c r="Q366" s="562"/>
      <c r="R366" s="562"/>
      <c r="S366" s="562"/>
      <c r="T366" s="562"/>
      <c r="U366" s="562"/>
      <c r="V366" s="563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hidden="1" customHeight="1" x14ac:dyDescent="0.25">
      <c r="A367" s="558" t="s">
        <v>577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8"/>
      <c r="AB367" s="538"/>
      <c r="AC367" s="538"/>
    </row>
    <row r="368" spans="1:68" ht="14.25" hidden="1" customHeight="1" x14ac:dyDescent="0.25">
      <c r="A368" s="559" t="s">
        <v>101</v>
      </c>
      <c r="B368" s="554"/>
      <c r="C368" s="554"/>
      <c r="D368" s="554"/>
      <c r="E368" s="554"/>
      <c r="F368" s="554"/>
      <c r="G368" s="554"/>
      <c r="H368" s="554"/>
      <c r="I368" s="554"/>
      <c r="J368" s="554"/>
      <c r="K368" s="554"/>
      <c r="L368" s="554"/>
      <c r="M368" s="554"/>
      <c r="N368" s="554"/>
      <c r="O368" s="554"/>
      <c r="P368" s="554"/>
      <c r="Q368" s="554"/>
      <c r="R368" s="554"/>
      <c r="S368" s="554"/>
      <c r="T368" s="554"/>
      <c r="U368" s="554"/>
      <c r="V368" s="554"/>
      <c r="W368" s="554"/>
      <c r="X368" s="554"/>
      <c r="Y368" s="554"/>
      <c r="Z368" s="554"/>
      <c r="AA368" s="539"/>
      <c r="AB368" s="539"/>
      <c r="AC368" s="539"/>
    </row>
    <row r="369" spans="1:68" ht="37.5" hidden="1" customHeight="1" x14ac:dyDescent="0.25">
      <c r="A369" s="54" t="s">
        <v>578</v>
      </c>
      <c r="B369" s="54" t="s">
        <v>579</v>
      </c>
      <c r="C369" s="31">
        <v>4301011875</v>
      </c>
      <c r="D369" s="547">
        <v>4680115884885</v>
      </c>
      <c r="E369" s="548"/>
      <c r="F369" s="542">
        <v>0.8</v>
      </c>
      <c r="G369" s="32">
        <v>15</v>
      </c>
      <c r="H369" s="542">
        <v>12</v>
      </c>
      <c r="I369" s="542">
        <v>12.41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580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hidden="1" customHeight="1" x14ac:dyDescent="0.25">
      <c r="A370" s="54" t="s">
        <v>581</v>
      </c>
      <c r="B370" s="54" t="s">
        <v>582</v>
      </c>
      <c r="C370" s="31">
        <v>4301011871</v>
      </c>
      <c r="D370" s="547">
        <v>4680115884908</v>
      </c>
      <c r="E370" s="548"/>
      <c r="F370" s="542">
        <v>0.4</v>
      </c>
      <c r="G370" s="32">
        <v>10</v>
      </c>
      <c r="H370" s="542">
        <v>4</v>
      </c>
      <c r="I370" s="542">
        <v>4.1900000000000004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0"/>
      <c r="R370" s="550"/>
      <c r="S370" s="550"/>
      <c r="T370" s="551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580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53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1" t="s">
        <v>71</v>
      </c>
      <c r="Q371" s="562"/>
      <c r="R371" s="562"/>
      <c r="S371" s="562"/>
      <c r="T371" s="562"/>
      <c r="U371" s="562"/>
      <c r="V371" s="563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hidden="1" x14ac:dyDescent="0.2">
      <c r="A372" s="554"/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5"/>
      <c r="P372" s="561" t="s">
        <v>71</v>
      </c>
      <c r="Q372" s="562"/>
      <c r="R372" s="562"/>
      <c r="S372" s="562"/>
      <c r="T372" s="562"/>
      <c r="U372" s="562"/>
      <c r="V372" s="563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hidden="1" customHeight="1" x14ac:dyDescent="0.25">
      <c r="A373" s="559" t="s">
        <v>64</v>
      </c>
      <c r="B373" s="554"/>
      <c r="C373" s="554"/>
      <c r="D373" s="554"/>
      <c r="E373" s="554"/>
      <c r="F373" s="554"/>
      <c r="G373" s="554"/>
      <c r="H373" s="554"/>
      <c r="I373" s="554"/>
      <c r="J373" s="554"/>
      <c r="K373" s="554"/>
      <c r="L373" s="554"/>
      <c r="M373" s="554"/>
      <c r="N373" s="554"/>
      <c r="O373" s="554"/>
      <c r="P373" s="554"/>
      <c r="Q373" s="554"/>
      <c r="R373" s="554"/>
      <c r="S373" s="554"/>
      <c r="T373" s="554"/>
      <c r="U373" s="554"/>
      <c r="V373" s="554"/>
      <c r="W373" s="554"/>
      <c r="X373" s="554"/>
      <c r="Y373" s="554"/>
      <c r="Z373" s="554"/>
      <c r="AA373" s="539"/>
      <c r="AB373" s="539"/>
      <c r="AC373" s="539"/>
    </row>
    <row r="374" spans="1:68" ht="27" customHeight="1" x14ac:dyDescent="0.25">
      <c r="A374" s="54" t="s">
        <v>583</v>
      </c>
      <c r="B374" s="54" t="s">
        <v>584</v>
      </c>
      <c r="C374" s="31">
        <v>4301031303</v>
      </c>
      <c r="D374" s="547">
        <v>4607091384802</v>
      </c>
      <c r="E374" s="548"/>
      <c r="F374" s="542">
        <v>0.73</v>
      </c>
      <c r="G374" s="32">
        <v>6</v>
      </c>
      <c r="H374" s="542">
        <v>4.38</v>
      </c>
      <c r="I374" s="542">
        <v>4.63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13.14</v>
      </c>
      <c r="Y374" s="544">
        <f>IFERROR(IF(X374="",0,CEILING((X374/$H374),1)*$H374),"")</f>
        <v>13.14</v>
      </c>
      <c r="Z374" s="36">
        <f>IFERROR(IF(Y374=0,"",ROUNDUP(Y374/H374,0)*0.00902),"")</f>
        <v>2.7060000000000001E-2</v>
      </c>
      <c r="AA374" s="56"/>
      <c r="AB374" s="57"/>
      <c r="AC374" s="421" t="s">
        <v>585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13.89</v>
      </c>
      <c r="BN374" s="64">
        <f>IFERROR(Y374*I374/H374,"0")</f>
        <v>13.89</v>
      </c>
      <c r="BO374" s="64">
        <f>IFERROR(1/J374*(X374/H374),"0")</f>
        <v>2.2727272727272728E-2</v>
      </c>
      <c r="BP374" s="64">
        <f>IFERROR(1/J374*(Y374/H374),"0")</f>
        <v>2.2727272727272728E-2</v>
      </c>
    </row>
    <row r="375" spans="1:68" ht="27" hidden="1" customHeight="1" x14ac:dyDescent="0.25">
      <c r="A375" s="54" t="s">
        <v>583</v>
      </c>
      <c r="B375" s="54" t="s">
        <v>586</v>
      </c>
      <c r="C375" s="31">
        <v>4301031457</v>
      </c>
      <c r="D375" s="547">
        <v>4607091384802</v>
      </c>
      <c r="E375" s="548"/>
      <c r="F375" s="542">
        <v>0.7</v>
      </c>
      <c r="G375" s="32">
        <v>6</v>
      </c>
      <c r="H375" s="542">
        <v>4.2</v>
      </c>
      <c r="I375" s="542">
        <v>4.45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4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0"/>
      <c r="R375" s="550"/>
      <c r="S375" s="550"/>
      <c r="T375" s="551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587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3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1" t="s">
        <v>71</v>
      </c>
      <c r="Q376" s="562"/>
      <c r="R376" s="562"/>
      <c r="S376" s="562"/>
      <c r="T376" s="562"/>
      <c r="U376" s="562"/>
      <c r="V376" s="563"/>
      <c r="W376" s="37" t="s">
        <v>72</v>
      </c>
      <c r="X376" s="545">
        <f>IFERROR(X374/H374,"0")+IFERROR(X375/H375,"0")</f>
        <v>3</v>
      </c>
      <c r="Y376" s="545">
        <f>IFERROR(Y374/H374,"0")+IFERROR(Y375/H375,"0")</f>
        <v>3</v>
      </c>
      <c r="Z376" s="545">
        <f>IFERROR(IF(Z374="",0,Z374),"0")+IFERROR(IF(Z375="",0,Z375),"0")</f>
        <v>2.7060000000000001E-2</v>
      </c>
      <c r="AA376" s="546"/>
      <c r="AB376" s="546"/>
      <c r="AC376" s="546"/>
    </row>
    <row r="377" spans="1:68" x14ac:dyDescent="0.2">
      <c r="A377" s="554"/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5"/>
      <c r="P377" s="561" t="s">
        <v>71</v>
      </c>
      <c r="Q377" s="562"/>
      <c r="R377" s="562"/>
      <c r="S377" s="562"/>
      <c r="T377" s="562"/>
      <c r="U377" s="562"/>
      <c r="V377" s="563"/>
      <c r="W377" s="37" t="s">
        <v>69</v>
      </c>
      <c r="X377" s="545">
        <f>IFERROR(SUM(X374:X375),"0")</f>
        <v>13.14</v>
      </c>
      <c r="Y377" s="545">
        <f>IFERROR(SUM(Y374:Y375),"0")</f>
        <v>13.14</v>
      </c>
      <c r="Z377" s="37"/>
      <c r="AA377" s="546"/>
      <c r="AB377" s="546"/>
      <c r="AC377" s="546"/>
    </row>
    <row r="378" spans="1:68" ht="14.25" hidden="1" customHeight="1" x14ac:dyDescent="0.25">
      <c r="A378" s="559" t="s">
        <v>73</v>
      </c>
      <c r="B378" s="554"/>
      <c r="C378" s="554"/>
      <c r="D378" s="554"/>
      <c r="E378" s="554"/>
      <c r="F378" s="554"/>
      <c r="G378" s="554"/>
      <c r="H378" s="554"/>
      <c r="I378" s="554"/>
      <c r="J378" s="554"/>
      <c r="K378" s="554"/>
      <c r="L378" s="554"/>
      <c r="M378" s="554"/>
      <c r="N378" s="554"/>
      <c r="O378" s="554"/>
      <c r="P378" s="554"/>
      <c r="Q378" s="554"/>
      <c r="R378" s="554"/>
      <c r="S378" s="554"/>
      <c r="T378" s="554"/>
      <c r="U378" s="554"/>
      <c r="V378" s="554"/>
      <c r="W378" s="554"/>
      <c r="X378" s="554"/>
      <c r="Y378" s="554"/>
      <c r="Z378" s="554"/>
      <c r="AA378" s="539"/>
      <c r="AB378" s="539"/>
      <c r="AC378" s="539"/>
    </row>
    <row r="379" spans="1:68" ht="27" customHeight="1" x14ac:dyDescent="0.25">
      <c r="A379" s="54" t="s">
        <v>588</v>
      </c>
      <c r="B379" s="54" t="s">
        <v>589</v>
      </c>
      <c r="C379" s="31">
        <v>4301051899</v>
      </c>
      <c r="D379" s="547">
        <v>4607091384246</v>
      </c>
      <c r="E379" s="548"/>
      <c r="F379" s="542">
        <v>1.5</v>
      </c>
      <c r="G379" s="32">
        <v>6</v>
      </c>
      <c r="H379" s="542">
        <v>9</v>
      </c>
      <c r="I379" s="542">
        <v>9.4939999999999998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18</v>
      </c>
      <c r="Y379" s="544">
        <f>IFERROR(IF(X379="",0,CEILING((X379/$H379),1)*$H379),"")</f>
        <v>18</v>
      </c>
      <c r="Z379" s="36">
        <f>IFERROR(IF(Y379=0,"",ROUNDUP(Y379/H379,0)*0.01898),"")</f>
        <v>3.7960000000000001E-2</v>
      </c>
      <c r="AA379" s="56"/>
      <c r="AB379" s="57"/>
      <c r="AC379" s="425" t="s">
        <v>590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18.988</v>
      </c>
      <c r="BN379" s="64">
        <f>IFERROR(Y379*I379/H379,"0")</f>
        <v>18.988</v>
      </c>
      <c r="BO379" s="64">
        <f>IFERROR(1/J379*(X379/H379),"0")</f>
        <v>3.125E-2</v>
      </c>
      <c r="BP379" s="64">
        <f>IFERROR(1/J379*(Y379/H379),"0")</f>
        <v>3.125E-2</v>
      </c>
    </row>
    <row r="380" spans="1:68" ht="27" hidden="1" customHeight="1" x14ac:dyDescent="0.25">
      <c r="A380" s="54" t="s">
        <v>591</v>
      </c>
      <c r="B380" s="54" t="s">
        <v>592</v>
      </c>
      <c r="C380" s="31">
        <v>4301051660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590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3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1" t="s">
        <v>71</v>
      </c>
      <c r="Q381" s="562"/>
      <c r="R381" s="562"/>
      <c r="S381" s="562"/>
      <c r="T381" s="562"/>
      <c r="U381" s="562"/>
      <c r="V381" s="563"/>
      <c r="W381" s="37" t="s">
        <v>72</v>
      </c>
      <c r="X381" s="545">
        <f>IFERROR(X379/H379,"0")+IFERROR(X380/H380,"0")</f>
        <v>2</v>
      </c>
      <c r="Y381" s="545">
        <f>IFERROR(Y379/H379,"0")+IFERROR(Y380/H380,"0")</f>
        <v>2</v>
      </c>
      <c r="Z381" s="545">
        <f>IFERROR(IF(Z379="",0,Z379),"0")+IFERROR(IF(Z380="",0,Z380),"0")</f>
        <v>3.7960000000000001E-2</v>
      </c>
      <c r="AA381" s="546"/>
      <c r="AB381" s="546"/>
      <c r="AC381" s="546"/>
    </row>
    <row r="382" spans="1:68" x14ac:dyDescent="0.2">
      <c r="A382" s="554"/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5"/>
      <c r="P382" s="561" t="s">
        <v>71</v>
      </c>
      <c r="Q382" s="562"/>
      <c r="R382" s="562"/>
      <c r="S382" s="562"/>
      <c r="T382" s="562"/>
      <c r="U382" s="562"/>
      <c r="V382" s="563"/>
      <c r="W382" s="37" t="s">
        <v>69</v>
      </c>
      <c r="X382" s="545">
        <f>IFERROR(SUM(X379:X380),"0")</f>
        <v>18</v>
      </c>
      <c r="Y382" s="545">
        <f>IFERROR(SUM(Y379:Y380),"0")</f>
        <v>18</v>
      </c>
      <c r="Z382" s="37"/>
      <c r="AA382" s="546"/>
      <c r="AB382" s="546"/>
      <c r="AC382" s="546"/>
    </row>
    <row r="383" spans="1:68" ht="27.75" hidden="1" customHeight="1" x14ac:dyDescent="0.2">
      <c r="A383" s="570" t="s">
        <v>593</v>
      </c>
      <c r="B383" s="571"/>
      <c r="C383" s="571"/>
      <c r="D383" s="571"/>
      <c r="E383" s="571"/>
      <c r="F383" s="571"/>
      <c r="G383" s="571"/>
      <c r="H383" s="571"/>
      <c r="I383" s="571"/>
      <c r="J383" s="571"/>
      <c r="K383" s="571"/>
      <c r="L383" s="571"/>
      <c r="M383" s="571"/>
      <c r="N383" s="571"/>
      <c r="O383" s="571"/>
      <c r="P383" s="571"/>
      <c r="Q383" s="571"/>
      <c r="R383" s="571"/>
      <c r="S383" s="571"/>
      <c r="T383" s="571"/>
      <c r="U383" s="571"/>
      <c r="V383" s="571"/>
      <c r="W383" s="571"/>
      <c r="X383" s="571"/>
      <c r="Y383" s="571"/>
      <c r="Z383" s="571"/>
      <c r="AA383" s="48"/>
      <c r="AB383" s="48"/>
      <c r="AC383" s="48"/>
    </row>
    <row r="384" spans="1:68" ht="16.5" hidden="1" customHeight="1" x14ac:dyDescent="0.25">
      <c r="A384" s="558" t="s">
        <v>594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8"/>
      <c r="AB384" s="538"/>
      <c r="AC384" s="538"/>
    </row>
    <row r="385" spans="1:68" ht="14.25" hidden="1" customHeight="1" x14ac:dyDescent="0.25">
      <c r="A385" s="559" t="s">
        <v>64</v>
      </c>
      <c r="B385" s="554"/>
      <c r="C385" s="554"/>
      <c r="D385" s="554"/>
      <c r="E385" s="554"/>
      <c r="F385" s="554"/>
      <c r="G385" s="554"/>
      <c r="H385" s="554"/>
      <c r="I385" s="554"/>
      <c r="J385" s="554"/>
      <c r="K385" s="554"/>
      <c r="L385" s="554"/>
      <c r="M385" s="554"/>
      <c r="N385" s="554"/>
      <c r="O385" s="554"/>
      <c r="P385" s="554"/>
      <c r="Q385" s="554"/>
      <c r="R385" s="554"/>
      <c r="S385" s="554"/>
      <c r="T385" s="554"/>
      <c r="U385" s="554"/>
      <c r="V385" s="554"/>
      <c r="W385" s="554"/>
      <c r="X385" s="554"/>
      <c r="Y385" s="554"/>
      <c r="Z385" s="554"/>
      <c r="AA385" s="539"/>
      <c r="AB385" s="539"/>
      <c r="AC385" s="539"/>
    </row>
    <row r="386" spans="1:68" ht="27" customHeight="1" x14ac:dyDescent="0.25">
      <c r="A386" s="54" t="s">
        <v>595</v>
      </c>
      <c r="B386" s="54" t="s">
        <v>596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16.2</v>
      </c>
      <c r="Y386" s="544">
        <f t="shared" ref="Y386:Y394" si="41">IFERROR(IF(X386="",0,CEILING((X386/$H386),1)*$H386),"")</f>
        <v>16.200000000000003</v>
      </c>
      <c r="Z386" s="36">
        <f>IFERROR(IF(Y386=0,"",ROUNDUP(Y386/H386,0)*0.00902),"")</f>
        <v>2.7060000000000001E-2</v>
      </c>
      <c r="AA386" s="56"/>
      <c r="AB386" s="57"/>
      <c r="AC386" s="429" t="s">
        <v>597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16.769999999999996</v>
      </c>
      <c r="BN386" s="64">
        <f t="shared" ref="BN386:BN394" si="43">IFERROR(Y386*I386/H386,"0")</f>
        <v>16.77</v>
      </c>
      <c r="BO386" s="64">
        <f t="shared" ref="BO386:BO394" si="44">IFERROR(1/J386*(X386/H386),"0")</f>
        <v>2.2727272727272724E-2</v>
      </c>
      <c r="BP386" s="64">
        <f t="shared" ref="BP386:BP394" si="45">IFERROR(1/J386*(Y386/H386),"0")</f>
        <v>2.2727272727272731E-2</v>
      </c>
    </row>
    <row r="387" spans="1:68" ht="27" customHeight="1" x14ac:dyDescent="0.25">
      <c r="A387" s="54" t="s">
        <v>598</v>
      </c>
      <c r="B387" s="54" t="s">
        <v>599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16.2</v>
      </c>
      <c r="Y387" s="544">
        <f t="shared" si="41"/>
        <v>16.200000000000003</v>
      </c>
      <c r="Z387" s="36">
        <f>IFERROR(IF(Y387=0,"",ROUNDUP(Y387/H387,0)*0.00902),"")</f>
        <v>2.7060000000000001E-2</v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42"/>
        <v>16.769999999999996</v>
      </c>
      <c r="BN387" s="64">
        <f t="shared" si="43"/>
        <v>16.77</v>
      </c>
      <c r="BO387" s="64">
        <f t="shared" si="44"/>
        <v>2.2727272727272724E-2</v>
      </c>
      <c r="BP387" s="64">
        <f t="shared" si="45"/>
        <v>2.2727272727272731E-2</v>
      </c>
    </row>
    <row r="388" spans="1:68" ht="27" customHeight="1" x14ac:dyDescent="0.25">
      <c r="A388" s="54" t="s">
        <v>601</v>
      </c>
      <c r="B388" s="54" t="s">
        <v>602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16.2</v>
      </c>
      <c r="Y388" s="544">
        <f t="shared" si="41"/>
        <v>16.200000000000003</v>
      </c>
      <c r="Z388" s="36">
        <f>IFERROR(IF(Y388=0,"",ROUNDUP(Y388/H388,0)*0.00902),"")</f>
        <v>2.7060000000000001E-2</v>
      </c>
      <c r="AA388" s="56"/>
      <c r="AB388" s="57"/>
      <c r="AC388" s="433" t="s">
        <v>603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16.769999999999996</v>
      </c>
      <c r="BN388" s="64">
        <f t="shared" si="43"/>
        <v>16.77</v>
      </c>
      <c r="BO388" s="64">
        <f t="shared" si="44"/>
        <v>2.2727272727272724E-2</v>
      </c>
      <c r="BP388" s="64">
        <f t="shared" si="45"/>
        <v>2.2727272727272731E-2</v>
      </c>
    </row>
    <row r="389" spans="1:68" ht="27" hidden="1" customHeight="1" x14ac:dyDescent="0.25">
      <c r="A389" s="54" t="s">
        <v>604</v>
      </c>
      <c r="B389" s="54" t="s">
        <v>605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597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606</v>
      </c>
      <c r="B390" s="54" t="s">
        <v>607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10.5</v>
      </c>
      <c r="Y390" s="544">
        <f t="shared" si="41"/>
        <v>10.5</v>
      </c>
      <c r="Z390" s="36">
        <f t="shared" si="46"/>
        <v>2.5100000000000001E-2</v>
      </c>
      <c r="AA390" s="56"/>
      <c r="AB390" s="57"/>
      <c r="AC390" s="437" t="s">
        <v>597</v>
      </c>
      <c r="AG390" s="64"/>
      <c r="AJ390" s="68"/>
      <c r="AK390" s="68">
        <v>0</v>
      </c>
      <c r="BB390" s="438" t="s">
        <v>1</v>
      </c>
      <c r="BM390" s="64">
        <f t="shared" si="42"/>
        <v>11.149999999999999</v>
      </c>
      <c r="BN390" s="64">
        <f t="shared" si="43"/>
        <v>11.149999999999999</v>
      </c>
      <c r="BO390" s="64">
        <f t="shared" si="44"/>
        <v>2.1367521367521368E-2</v>
      </c>
      <c r="BP390" s="64">
        <f t="shared" si="45"/>
        <v>2.1367521367521368E-2</v>
      </c>
    </row>
    <row r="391" spans="1:68" ht="37.5" customHeight="1" x14ac:dyDescent="0.25">
      <c r="A391" s="54" t="s">
        <v>608</v>
      </c>
      <c r="B391" s="54" t="s">
        <v>609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10.5</v>
      </c>
      <c r="Y391" s="544">
        <f t="shared" si="41"/>
        <v>10.5</v>
      </c>
      <c r="Z391" s="36">
        <f t="shared" si="46"/>
        <v>2.5100000000000001E-2</v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42"/>
        <v>11.149999999999999</v>
      </c>
      <c r="BN391" s="64">
        <f t="shared" si="43"/>
        <v>11.149999999999999</v>
      </c>
      <c r="BO391" s="64">
        <f t="shared" si="44"/>
        <v>2.1367521367521368E-2</v>
      </c>
      <c r="BP391" s="64">
        <f t="shared" si="45"/>
        <v>2.1367521367521368E-2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614</v>
      </c>
      <c r="B393" s="54" t="s">
        <v>615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66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10.5</v>
      </c>
      <c r="Y393" s="544">
        <f t="shared" si="41"/>
        <v>10.5</v>
      </c>
      <c r="Z393" s="36">
        <f t="shared" si="46"/>
        <v>2.5100000000000001E-2</v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si="42"/>
        <v>11.149999999999999</v>
      </c>
      <c r="BN393" s="64">
        <f t="shared" si="43"/>
        <v>11.149999999999999</v>
      </c>
      <c r="BO393" s="64">
        <f t="shared" si="44"/>
        <v>2.1367521367521368E-2</v>
      </c>
      <c r="BP393" s="64">
        <f t="shared" si="45"/>
        <v>2.1367521367521368E-2</v>
      </c>
    </row>
    <row r="394" spans="1:68" ht="37.5" customHeight="1" x14ac:dyDescent="0.25">
      <c r="A394" s="54" t="s">
        <v>617</v>
      </c>
      <c r="B394" s="54" t="s">
        <v>618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10.5</v>
      </c>
      <c r="Y394" s="544">
        <f t="shared" si="41"/>
        <v>10.5</v>
      </c>
      <c r="Z394" s="36">
        <f t="shared" si="46"/>
        <v>2.5100000000000001E-2</v>
      </c>
      <c r="AA394" s="56"/>
      <c r="AB394" s="57"/>
      <c r="AC394" s="445" t="s">
        <v>613</v>
      </c>
      <c r="AG394" s="64"/>
      <c r="AJ394" s="68"/>
      <c r="AK394" s="68">
        <v>0</v>
      </c>
      <c r="BB394" s="446" t="s">
        <v>1</v>
      </c>
      <c r="BM394" s="64">
        <f t="shared" si="42"/>
        <v>11.149999999999999</v>
      </c>
      <c r="BN394" s="64">
        <f t="shared" si="43"/>
        <v>11.149999999999999</v>
      </c>
      <c r="BO394" s="64">
        <f t="shared" si="44"/>
        <v>2.1367521367521368E-2</v>
      </c>
      <c r="BP394" s="64">
        <f t="shared" si="45"/>
        <v>2.1367521367521368E-2</v>
      </c>
    </row>
    <row r="395" spans="1:68" x14ac:dyDescent="0.2">
      <c r="A395" s="553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1" t="s">
        <v>71</v>
      </c>
      <c r="Q395" s="562"/>
      <c r="R395" s="562"/>
      <c r="S395" s="562"/>
      <c r="T395" s="562"/>
      <c r="U395" s="562"/>
      <c r="V395" s="563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29</v>
      </c>
      <c r="Y395" s="545">
        <f>IFERROR(Y386/H386,"0")+IFERROR(Y387/H387,"0")+IFERROR(Y388/H388,"0")+IFERROR(Y389/H389,"0")+IFERROR(Y390/H390,"0")+IFERROR(Y391/H391,"0")+IFERROR(Y392/H392,"0")+IFERROR(Y393/H393,"0")+IFERROR(Y394/H394,"0")</f>
        <v>29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0.18158000000000002</v>
      </c>
      <c r="AA395" s="546"/>
      <c r="AB395" s="546"/>
      <c r="AC395" s="546"/>
    </row>
    <row r="396" spans="1:68" x14ac:dyDescent="0.2">
      <c r="A396" s="554"/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5"/>
      <c r="P396" s="561" t="s">
        <v>71</v>
      </c>
      <c r="Q396" s="562"/>
      <c r="R396" s="562"/>
      <c r="S396" s="562"/>
      <c r="T396" s="562"/>
      <c r="U396" s="562"/>
      <c r="V396" s="563"/>
      <c r="W396" s="37" t="s">
        <v>69</v>
      </c>
      <c r="X396" s="545">
        <f>IFERROR(SUM(X386:X394),"0")</f>
        <v>90.6</v>
      </c>
      <c r="Y396" s="545">
        <f>IFERROR(SUM(Y386:Y394),"0")</f>
        <v>90.600000000000009</v>
      </c>
      <c r="Z396" s="37"/>
      <c r="AA396" s="546"/>
      <c r="AB396" s="546"/>
      <c r="AC396" s="546"/>
    </row>
    <row r="397" spans="1:68" ht="14.25" hidden="1" customHeight="1" x14ac:dyDescent="0.25">
      <c r="A397" s="559" t="s">
        <v>73</v>
      </c>
      <c r="B397" s="554"/>
      <c r="C397" s="554"/>
      <c r="D397" s="554"/>
      <c r="E397" s="554"/>
      <c r="F397" s="554"/>
      <c r="G397" s="554"/>
      <c r="H397" s="554"/>
      <c r="I397" s="554"/>
      <c r="J397" s="554"/>
      <c r="K397" s="554"/>
      <c r="L397" s="554"/>
      <c r="M397" s="554"/>
      <c r="N397" s="554"/>
      <c r="O397" s="554"/>
      <c r="P397" s="554"/>
      <c r="Q397" s="554"/>
      <c r="R397" s="554"/>
      <c r="S397" s="554"/>
      <c r="T397" s="554"/>
      <c r="U397" s="554"/>
      <c r="V397" s="554"/>
      <c r="W397" s="554"/>
      <c r="X397" s="554"/>
      <c r="Y397" s="554"/>
      <c r="Z397" s="554"/>
      <c r="AA397" s="539"/>
      <c r="AB397" s="539"/>
      <c r="AC397" s="539"/>
    </row>
    <row r="398" spans="1:68" ht="27" customHeight="1" x14ac:dyDescent="0.25">
      <c r="A398" s="54" t="s">
        <v>619</v>
      </c>
      <c r="B398" s="54" t="s">
        <v>620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4.8</v>
      </c>
      <c r="Y398" s="544">
        <f>IFERROR(IF(X398="",0,CEILING((X398/$H398),1)*$H398),"")</f>
        <v>4.8</v>
      </c>
      <c r="Z398" s="36">
        <f>IFERROR(IF(Y398=0,"",ROUNDUP(Y398/H398,0)*0.00902),"")</f>
        <v>1.804E-2</v>
      </c>
      <c r="AA398" s="56"/>
      <c r="AB398" s="57"/>
      <c r="AC398" s="447" t="s">
        <v>621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5.2519999999999998</v>
      </c>
      <c r="BN398" s="64">
        <f>IFERROR(Y398*I398/H398,"0")</f>
        <v>5.2519999999999998</v>
      </c>
      <c r="BO398" s="64">
        <f>IFERROR(1/J398*(X398/H398),"0")</f>
        <v>1.5151515151515152E-2</v>
      </c>
      <c r="BP398" s="64">
        <f>IFERROR(1/J398*(Y398/H398),"0")</f>
        <v>1.5151515151515152E-2</v>
      </c>
    </row>
    <row r="399" spans="1:68" ht="27" hidden="1" customHeight="1" x14ac:dyDescent="0.25">
      <c r="A399" s="54" t="s">
        <v>622</v>
      </c>
      <c r="B399" s="54" t="s">
        <v>623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624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53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1" t="s">
        <v>71</v>
      </c>
      <c r="Q400" s="562"/>
      <c r="R400" s="562"/>
      <c r="S400" s="562"/>
      <c r="T400" s="562"/>
      <c r="U400" s="562"/>
      <c r="V400" s="563"/>
      <c r="W400" s="37" t="s">
        <v>72</v>
      </c>
      <c r="X400" s="545">
        <f>IFERROR(X398/H398,"0")+IFERROR(X399/H399,"0")</f>
        <v>2</v>
      </c>
      <c r="Y400" s="545">
        <f>IFERROR(Y398/H398,"0")+IFERROR(Y399/H399,"0")</f>
        <v>2</v>
      </c>
      <c r="Z400" s="545">
        <f>IFERROR(IF(Z398="",0,Z398),"0")+IFERROR(IF(Z399="",0,Z399),"0")</f>
        <v>1.804E-2</v>
      </c>
      <c r="AA400" s="546"/>
      <c r="AB400" s="546"/>
      <c r="AC400" s="546"/>
    </row>
    <row r="401" spans="1:68" x14ac:dyDescent="0.2">
      <c r="A401" s="554"/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5"/>
      <c r="P401" s="561" t="s">
        <v>71</v>
      </c>
      <c r="Q401" s="562"/>
      <c r="R401" s="562"/>
      <c r="S401" s="562"/>
      <c r="T401" s="562"/>
      <c r="U401" s="562"/>
      <c r="V401" s="563"/>
      <c r="W401" s="37" t="s">
        <v>69</v>
      </c>
      <c r="X401" s="545">
        <f>IFERROR(SUM(X398:X399),"0")</f>
        <v>4.8</v>
      </c>
      <c r="Y401" s="545">
        <f>IFERROR(SUM(Y398:Y399),"0")</f>
        <v>4.8</v>
      </c>
      <c r="Z401" s="37"/>
      <c r="AA401" s="546"/>
      <c r="AB401" s="546"/>
      <c r="AC401" s="546"/>
    </row>
    <row r="402" spans="1:68" ht="16.5" hidden="1" customHeight="1" x14ac:dyDescent="0.25">
      <c r="A402" s="558" t="s">
        <v>625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8"/>
      <c r="AB402" s="538"/>
      <c r="AC402" s="538"/>
    </row>
    <row r="403" spans="1:68" ht="14.25" hidden="1" customHeight="1" x14ac:dyDescent="0.25">
      <c r="A403" s="559" t="s">
        <v>136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539"/>
      <c r="AB403" s="539"/>
      <c r="AC403" s="539"/>
    </row>
    <row r="404" spans="1:68" ht="27" hidden="1" customHeight="1" x14ac:dyDescent="0.25">
      <c r="A404" s="54" t="s">
        <v>626</v>
      </c>
      <c r="B404" s="54" t="s">
        <v>627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628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53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1" t="s">
        <v>71</v>
      </c>
      <c r="Q405" s="562"/>
      <c r="R405" s="562"/>
      <c r="S405" s="562"/>
      <c r="T405" s="562"/>
      <c r="U405" s="562"/>
      <c r="V405" s="563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4"/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5"/>
      <c r="P406" s="561" t="s">
        <v>71</v>
      </c>
      <c r="Q406" s="562"/>
      <c r="R406" s="562"/>
      <c r="S406" s="562"/>
      <c r="T406" s="562"/>
      <c r="U406" s="562"/>
      <c r="V406" s="563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hidden="1" customHeight="1" x14ac:dyDescent="0.25">
      <c r="A407" s="559" t="s">
        <v>64</v>
      </c>
      <c r="B407" s="554"/>
      <c r="C407" s="554"/>
      <c r="D407" s="554"/>
      <c r="E407" s="554"/>
      <c r="F407" s="554"/>
      <c r="G407" s="554"/>
      <c r="H407" s="554"/>
      <c r="I407" s="554"/>
      <c r="J407" s="554"/>
      <c r="K407" s="554"/>
      <c r="L407" s="554"/>
      <c r="M407" s="554"/>
      <c r="N407" s="554"/>
      <c r="O407" s="554"/>
      <c r="P407" s="554"/>
      <c r="Q407" s="554"/>
      <c r="R407" s="554"/>
      <c r="S407" s="554"/>
      <c r="T407" s="554"/>
      <c r="U407" s="554"/>
      <c r="V407" s="554"/>
      <c r="W407" s="554"/>
      <c r="X407" s="554"/>
      <c r="Y407" s="554"/>
      <c r="Z407" s="554"/>
      <c r="AA407" s="539"/>
      <c r="AB407" s="539"/>
      <c r="AC407" s="539"/>
    </row>
    <row r="408" spans="1:68" ht="27" customHeight="1" x14ac:dyDescent="0.25">
      <c r="A408" s="54" t="s">
        <v>629</v>
      </c>
      <c r="B408" s="54" t="s">
        <v>630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3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27</v>
      </c>
      <c r="Y408" s="544">
        <f>IFERROR(IF(X408="",0,CEILING((X408/$H408),1)*$H408),"")</f>
        <v>27</v>
      </c>
      <c r="Z408" s="36">
        <f>IFERROR(IF(Y408=0,"",ROUNDUP(Y408/H408,0)*0.00902),"")</f>
        <v>4.5100000000000001E-2</v>
      </c>
      <c r="AA408" s="56"/>
      <c r="AB408" s="57"/>
      <c r="AC408" s="453" t="s">
        <v>631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27.95</v>
      </c>
      <c r="BN408" s="64">
        <f>IFERROR(Y408*I408/H408,"0")</f>
        <v>27.95</v>
      </c>
      <c r="BO408" s="64">
        <f>IFERROR(1/J408*(X408/H408),"0")</f>
        <v>3.787878787878788E-2</v>
      </c>
      <c r="BP408" s="64">
        <f>IFERROR(1/J408*(Y408/H408),"0")</f>
        <v>3.787878787878788E-2</v>
      </c>
    </row>
    <row r="409" spans="1:68" ht="27" customHeight="1" x14ac:dyDescent="0.25">
      <c r="A409" s="54" t="s">
        <v>632</v>
      </c>
      <c r="B409" s="54" t="s">
        <v>633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6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6.3</v>
      </c>
      <c r="Y409" s="544">
        <f>IFERROR(IF(X409="",0,CEILING((X409/$H409),1)*$H409),"")</f>
        <v>6.3000000000000007</v>
      </c>
      <c r="Z409" s="36">
        <f>IFERROR(IF(Y409=0,"",ROUNDUP(Y409/H409,0)*0.00502),"")</f>
        <v>1.506E-2</v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6.6899999999999995</v>
      </c>
      <c r="BN409" s="64">
        <f>IFERROR(Y409*I409/H409,"0")</f>
        <v>6.69</v>
      </c>
      <c r="BO409" s="64">
        <f>IFERROR(1/J409*(X409/H409),"0")</f>
        <v>1.2820512820512822E-2</v>
      </c>
      <c r="BP409" s="64">
        <f>IFERROR(1/J409*(Y409/H409),"0")</f>
        <v>1.2820512820512822E-2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637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638</v>
      </c>
      <c r="B411" s="54" t="s">
        <v>639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6.3</v>
      </c>
      <c r="Y411" s="544">
        <f>IFERROR(IF(X411="",0,CEILING((X411/$H411),1)*$H411),"")</f>
        <v>6.3000000000000007</v>
      </c>
      <c r="Z411" s="36">
        <f>IFERROR(IF(Y411=0,"",ROUNDUP(Y411/H411,0)*0.00502),"")</f>
        <v>1.506E-2</v>
      </c>
      <c r="AA411" s="56"/>
      <c r="AB411" s="57"/>
      <c r="AC411" s="459" t="s">
        <v>637</v>
      </c>
      <c r="AG411" s="64"/>
      <c r="AJ411" s="68"/>
      <c r="AK411" s="68">
        <v>0</v>
      </c>
      <c r="BB411" s="460" t="s">
        <v>1</v>
      </c>
      <c r="BM411" s="64">
        <f>IFERROR(X411*I411/H411,"0")</f>
        <v>6.6899999999999995</v>
      </c>
      <c r="BN411" s="64">
        <f>IFERROR(Y411*I411/H411,"0")</f>
        <v>6.69</v>
      </c>
      <c r="BO411" s="64">
        <f>IFERROR(1/J411*(X411/H411),"0")</f>
        <v>1.2820512820512822E-2</v>
      </c>
      <c r="BP411" s="64">
        <f>IFERROR(1/J411*(Y411/H411),"0")</f>
        <v>1.2820512820512822E-2</v>
      </c>
    </row>
    <row r="412" spans="1:68" x14ac:dyDescent="0.2">
      <c r="A412" s="553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1" t="s">
        <v>71</v>
      </c>
      <c r="Q412" s="562"/>
      <c r="R412" s="562"/>
      <c r="S412" s="562"/>
      <c r="T412" s="562"/>
      <c r="U412" s="562"/>
      <c r="V412" s="563"/>
      <c r="W412" s="37" t="s">
        <v>72</v>
      </c>
      <c r="X412" s="545">
        <f>IFERROR(X408/H408,"0")+IFERROR(X409/H409,"0")+IFERROR(X410/H410,"0")+IFERROR(X411/H411,"0")</f>
        <v>11</v>
      </c>
      <c r="Y412" s="545">
        <f>IFERROR(Y408/H408,"0")+IFERROR(Y409/H409,"0")+IFERROR(Y410/H410,"0")+IFERROR(Y411/H411,"0")</f>
        <v>11</v>
      </c>
      <c r="Z412" s="545">
        <f>IFERROR(IF(Z408="",0,Z408),"0")+IFERROR(IF(Z409="",0,Z409),"0")+IFERROR(IF(Z410="",0,Z410),"0")+IFERROR(IF(Z411="",0,Z411),"0")</f>
        <v>7.5220000000000009E-2</v>
      </c>
      <c r="AA412" s="546"/>
      <c r="AB412" s="546"/>
      <c r="AC412" s="546"/>
    </row>
    <row r="413" spans="1:68" x14ac:dyDescent="0.2">
      <c r="A413" s="554"/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5"/>
      <c r="P413" s="561" t="s">
        <v>71</v>
      </c>
      <c r="Q413" s="562"/>
      <c r="R413" s="562"/>
      <c r="S413" s="562"/>
      <c r="T413" s="562"/>
      <c r="U413" s="562"/>
      <c r="V413" s="563"/>
      <c r="W413" s="37" t="s">
        <v>69</v>
      </c>
      <c r="X413" s="545">
        <f>IFERROR(SUM(X408:X411),"0")</f>
        <v>39.599999999999994</v>
      </c>
      <c r="Y413" s="545">
        <f>IFERROR(SUM(Y408:Y411),"0")</f>
        <v>39.599999999999994</v>
      </c>
      <c r="Z413" s="37"/>
      <c r="AA413" s="546"/>
      <c r="AB413" s="546"/>
      <c r="AC413" s="546"/>
    </row>
    <row r="414" spans="1:68" ht="16.5" hidden="1" customHeight="1" x14ac:dyDescent="0.25">
      <c r="A414" s="558" t="s">
        <v>640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8"/>
      <c r="AB414" s="538"/>
      <c r="AC414" s="538"/>
    </row>
    <row r="415" spans="1:68" ht="14.25" hidden="1" customHeight="1" x14ac:dyDescent="0.25">
      <c r="A415" s="559" t="s">
        <v>64</v>
      </c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54"/>
      <c r="P415" s="554"/>
      <c r="Q415" s="554"/>
      <c r="R415" s="554"/>
      <c r="S415" s="554"/>
      <c r="T415" s="554"/>
      <c r="U415" s="554"/>
      <c r="V415" s="554"/>
      <c r="W415" s="554"/>
      <c r="X415" s="554"/>
      <c r="Y415" s="554"/>
      <c r="Z415" s="554"/>
      <c r="AA415" s="539"/>
      <c r="AB415" s="539"/>
      <c r="AC415" s="539"/>
    </row>
    <row r="416" spans="1:68" ht="27" hidden="1" customHeight="1" x14ac:dyDescent="0.25">
      <c r="A416" s="54" t="s">
        <v>641</v>
      </c>
      <c r="B416" s="54" t="s">
        <v>642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8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643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53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1" t="s">
        <v>71</v>
      </c>
      <c r="Q417" s="562"/>
      <c r="R417" s="562"/>
      <c r="S417" s="562"/>
      <c r="T417" s="562"/>
      <c r="U417" s="562"/>
      <c r="V417" s="563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4"/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5"/>
      <c r="P418" s="561" t="s">
        <v>71</v>
      </c>
      <c r="Q418" s="562"/>
      <c r="R418" s="562"/>
      <c r="S418" s="562"/>
      <c r="T418" s="562"/>
      <c r="U418" s="562"/>
      <c r="V418" s="563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hidden="1" customHeight="1" x14ac:dyDescent="0.2">
      <c r="A419" s="570" t="s">
        <v>644</v>
      </c>
      <c r="B419" s="571"/>
      <c r="C419" s="571"/>
      <c r="D419" s="571"/>
      <c r="E419" s="571"/>
      <c r="F419" s="571"/>
      <c r="G419" s="571"/>
      <c r="H419" s="571"/>
      <c r="I419" s="571"/>
      <c r="J419" s="571"/>
      <c r="K419" s="571"/>
      <c r="L419" s="571"/>
      <c r="M419" s="571"/>
      <c r="N419" s="571"/>
      <c r="O419" s="571"/>
      <c r="P419" s="571"/>
      <c r="Q419" s="571"/>
      <c r="R419" s="571"/>
      <c r="S419" s="571"/>
      <c r="T419" s="571"/>
      <c r="U419" s="571"/>
      <c r="V419" s="571"/>
      <c r="W419" s="571"/>
      <c r="X419" s="571"/>
      <c r="Y419" s="571"/>
      <c r="Z419" s="571"/>
      <c r="AA419" s="48"/>
      <c r="AB419" s="48"/>
      <c r="AC419" s="48"/>
    </row>
    <row r="420" spans="1:68" ht="16.5" hidden="1" customHeight="1" x14ac:dyDescent="0.25">
      <c r="A420" s="558" t="s">
        <v>644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8"/>
      <c r="AB420" s="538"/>
      <c r="AC420" s="538"/>
    </row>
    <row r="421" spans="1:68" ht="14.25" hidden="1" customHeight="1" x14ac:dyDescent="0.25">
      <c r="A421" s="559" t="s">
        <v>101</v>
      </c>
      <c r="B421" s="554"/>
      <c r="C421" s="554"/>
      <c r="D421" s="554"/>
      <c r="E421" s="554"/>
      <c r="F421" s="554"/>
      <c r="G421" s="554"/>
      <c r="H421" s="554"/>
      <c r="I421" s="554"/>
      <c r="J421" s="554"/>
      <c r="K421" s="554"/>
      <c r="L421" s="554"/>
      <c r="M421" s="554"/>
      <c r="N421" s="554"/>
      <c r="O421" s="554"/>
      <c r="P421" s="554"/>
      <c r="Q421" s="554"/>
      <c r="R421" s="554"/>
      <c r="S421" s="554"/>
      <c r="T421" s="554"/>
      <c r="U421" s="554"/>
      <c r="V421" s="554"/>
      <c r="W421" s="554"/>
      <c r="X421" s="554"/>
      <c r="Y421" s="554"/>
      <c r="Z421" s="554"/>
      <c r="AA421" s="539"/>
      <c r="AB421" s="539"/>
      <c r="AC421" s="539"/>
    </row>
    <row r="422" spans="1:68" ht="27" hidden="1" customHeight="1" x14ac:dyDescent="0.25">
      <c r="A422" s="54" t="s">
        <v>645</v>
      </c>
      <c r="B422" s="54" t="s">
        <v>646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4301011961</v>
      </c>
      <c r="D423" s="547">
        <v>4680115885271</v>
      </c>
      <c r="E423" s="548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5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10.56</v>
      </c>
      <c r="Y423" s="544">
        <f t="shared" si="47"/>
        <v>10.56</v>
      </c>
      <c r="Z423" s="36">
        <f t="shared" si="48"/>
        <v>2.392E-2</v>
      </c>
      <c r="AA423" s="56"/>
      <c r="AB423" s="57"/>
      <c r="AC423" s="465" t="s">
        <v>649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11.26</v>
      </c>
      <c r="BN423" s="64">
        <f t="shared" si="50"/>
        <v>11.26</v>
      </c>
      <c r="BO423" s="64">
        <f t="shared" si="51"/>
        <v>1.9230769230769232E-2</v>
      </c>
      <c r="BP423" s="64">
        <f t="shared" si="52"/>
        <v>1.9230769230769232E-2</v>
      </c>
    </row>
    <row r="424" spans="1:68" ht="27" customHeight="1" x14ac:dyDescent="0.25">
      <c r="A424" s="54" t="s">
        <v>650</v>
      </c>
      <c r="B424" s="54" t="s">
        <v>651</v>
      </c>
      <c r="C424" s="31">
        <v>4301011376</v>
      </c>
      <c r="D424" s="547">
        <v>4680115885226</v>
      </c>
      <c r="E424" s="548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1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10.56</v>
      </c>
      <c r="Y424" s="544">
        <f t="shared" si="47"/>
        <v>10.56</v>
      </c>
      <c r="Z424" s="36">
        <f t="shared" si="48"/>
        <v>2.392E-2</v>
      </c>
      <c r="AA424" s="56"/>
      <c r="AB424" s="57"/>
      <c r="AC424" s="467" t="s">
        <v>652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11.26</v>
      </c>
      <c r="BN424" s="64">
        <f t="shared" si="50"/>
        <v>11.26</v>
      </c>
      <c r="BO424" s="64">
        <f t="shared" si="51"/>
        <v>1.9230769230769232E-2</v>
      </c>
      <c r="BP424" s="64">
        <f t="shared" si="52"/>
        <v>1.9230769230769232E-2</v>
      </c>
    </row>
    <row r="425" spans="1:68" ht="27" customHeight="1" x14ac:dyDescent="0.25">
      <c r="A425" s="54" t="s">
        <v>653</v>
      </c>
      <c r="B425" s="54" t="s">
        <v>654</v>
      </c>
      <c r="C425" s="31">
        <v>4301012145</v>
      </c>
      <c r="D425" s="547">
        <v>4607091383522</v>
      </c>
      <c r="E425" s="548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2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10.56</v>
      </c>
      <c r="Y425" s="544">
        <f t="shared" si="47"/>
        <v>10.56</v>
      </c>
      <c r="Z425" s="36">
        <f t="shared" si="48"/>
        <v>2.392E-2</v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9"/>
        <v>11.26</v>
      </c>
      <c r="BN425" s="64">
        <f t="shared" si="50"/>
        <v>11.26</v>
      </c>
      <c r="BO425" s="64">
        <f t="shared" si="51"/>
        <v>1.9230769230769232E-2</v>
      </c>
      <c r="BP425" s="64">
        <f t="shared" si="52"/>
        <v>1.9230769230769232E-2</v>
      </c>
    </row>
    <row r="426" spans="1:68" ht="16.5" hidden="1" customHeight="1" x14ac:dyDescent="0.25">
      <c r="A426" s="54" t="s">
        <v>656</v>
      </c>
      <c r="B426" s="54" t="s">
        <v>657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658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659</v>
      </c>
      <c r="B427" s="54" t="s">
        <v>660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10.56</v>
      </c>
      <c r="Y427" s="544">
        <f t="shared" si="47"/>
        <v>10.56</v>
      </c>
      <c r="Z427" s="36">
        <f t="shared" si="48"/>
        <v>2.392E-2</v>
      </c>
      <c r="AA427" s="56"/>
      <c r="AB427" s="57"/>
      <c r="AC427" s="473" t="s">
        <v>661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11.26</v>
      </c>
      <c r="BN427" s="64">
        <f t="shared" si="50"/>
        <v>11.26</v>
      </c>
      <c r="BO427" s="64">
        <f t="shared" si="51"/>
        <v>1.9230769230769232E-2</v>
      </c>
      <c r="BP427" s="64">
        <f t="shared" si="52"/>
        <v>1.9230769230769232E-2</v>
      </c>
    </row>
    <row r="428" spans="1:68" ht="27" hidden="1" customHeight="1" x14ac:dyDescent="0.25">
      <c r="A428" s="54" t="s">
        <v>662</v>
      </c>
      <c r="B428" s="54" t="s">
        <v>663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664</v>
      </c>
      <c r="B429" s="54" t="s">
        <v>665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9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670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661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3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1" t="s">
        <v>71</v>
      </c>
      <c r="Q433" s="562"/>
      <c r="R433" s="562"/>
      <c r="S433" s="562"/>
      <c r="T433" s="562"/>
      <c r="U433" s="562"/>
      <c r="V433" s="563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8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8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9.5680000000000001E-2</v>
      </c>
      <c r="AA433" s="546"/>
      <c r="AB433" s="546"/>
      <c r="AC433" s="546"/>
    </row>
    <row r="434" spans="1:68" x14ac:dyDescent="0.2">
      <c r="A434" s="554"/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5"/>
      <c r="P434" s="561" t="s">
        <v>71</v>
      </c>
      <c r="Q434" s="562"/>
      <c r="R434" s="562"/>
      <c r="S434" s="562"/>
      <c r="T434" s="562"/>
      <c r="U434" s="562"/>
      <c r="V434" s="563"/>
      <c r="W434" s="37" t="s">
        <v>69</v>
      </c>
      <c r="X434" s="545">
        <f>IFERROR(SUM(X422:X432),"0")</f>
        <v>42.24</v>
      </c>
      <c r="Y434" s="545">
        <f>IFERROR(SUM(Y422:Y432),"0")</f>
        <v>42.24</v>
      </c>
      <c r="Z434" s="37"/>
      <c r="AA434" s="546"/>
      <c r="AB434" s="546"/>
      <c r="AC434" s="546"/>
    </row>
    <row r="435" spans="1:68" ht="14.25" hidden="1" customHeight="1" x14ac:dyDescent="0.25">
      <c r="A435" s="559" t="s">
        <v>136</v>
      </c>
      <c r="B435" s="554"/>
      <c r="C435" s="554"/>
      <c r="D435" s="554"/>
      <c r="E435" s="554"/>
      <c r="F435" s="554"/>
      <c r="G435" s="554"/>
      <c r="H435" s="554"/>
      <c r="I435" s="554"/>
      <c r="J435" s="554"/>
      <c r="K435" s="554"/>
      <c r="L435" s="554"/>
      <c r="M435" s="554"/>
      <c r="N435" s="554"/>
      <c r="O435" s="554"/>
      <c r="P435" s="554"/>
      <c r="Q435" s="554"/>
      <c r="R435" s="554"/>
      <c r="S435" s="554"/>
      <c r="T435" s="554"/>
      <c r="U435" s="554"/>
      <c r="V435" s="554"/>
      <c r="W435" s="554"/>
      <c r="X435" s="554"/>
      <c r="Y435" s="554"/>
      <c r="Z435" s="554"/>
      <c r="AA435" s="539"/>
      <c r="AB435" s="539"/>
      <c r="AC435" s="539"/>
    </row>
    <row r="436" spans="1:68" ht="16.5" customHeight="1" x14ac:dyDescent="0.25">
      <c r="A436" s="54" t="s">
        <v>673</v>
      </c>
      <c r="B436" s="54" t="s">
        <v>674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4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10.56</v>
      </c>
      <c r="Y436" s="544">
        <f>IFERROR(IF(X436="",0,CEILING((X436/$H436),1)*$H436),"")</f>
        <v>10.56</v>
      </c>
      <c r="Z436" s="36">
        <f>IFERROR(IF(Y436=0,"",ROUNDUP(Y436/H436,0)*0.01196),"")</f>
        <v>2.392E-2</v>
      </c>
      <c r="AA436" s="56"/>
      <c r="AB436" s="57"/>
      <c r="AC436" s="485" t="s">
        <v>675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11.26</v>
      </c>
      <c r="BN436" s="64">
        <f>IFERROR(Y436*I436/H436,"0")</f>
        <v>11.26</v>
      </c>
      <c r="BO436" s="64">
        <f>IFERROR(1/J436*(X436/H436),"0")</f>
        <v>1.9230769230769232E-2</v>
      </c>
      <c r="BP436" s="64">
        <f>IFERROR(1/J436*(Y436/H436),"0")</f>
        <v>1.9230769230769232E-2</v>
      </c>
    </row>
    <row r="437" spans="1:68" ht="16.5" hidden="1" customHeight="1" x14ac:dyDescent="0.25">
      <c r="A437" s="54" t="s">
        <v>676</v>
      </c>
      <c r="B437" s="54" t="s">
        <v>677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678</v>
      </c>
      <c r="B438" s="54" t="s">
        <v>679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2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675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3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1" t="s">
        <v>71</v>
      </c>
      <c r="Q439" s="562"/>
      <c r="R439" s="562"/>
      <c r="S439" s="562"/>
      <c r="T439" s="562"/>
      <c r="U439" s="562"/>
      <c r="V439" s="563"/>
      <c r="W439" s="37" t="s">
        <v>72</v>
      </c>
      <c r="X439" s="545">
        <f>IFERROR(X436/H436,"0")+IFERROR(X437/H437,"0")+IFERROR(X438/H438,"0")</f>
        <v>2</v>
      </c>
      <c r="Y439" s="545">
        <f>IFERROR(Y436/H436,"0")+IFERROR(Y437/H437,"0")+IFERROR(Y438/H438,"0")</f>
        <v>2</v>
      </c>
      <c r="Z439" s="545">
        <f>IFERROR(IF(Z436="",0,Z436),"0")+IFERROR(IF(Z437="",0,Z437),"0")+IFERROR(IF(Z438="",0,Z438),"0")</f>
        <v>2.392E-2</v>
      </c>
      <c r="AA439" s="546"/>
      <c r="AB439" s="546"/>
      <c r="AC439" s="546"/>
    </row>
    <row r="440" spans="1:68" x14ac:dyDescent="0.2">
      <c r="A440" s="554"/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5"/>
      <c r="P440" s="561" t="s">
        <v>71</v>
      </c>
      <c r="Q440" s="562"/>
      <c r="R440" s="562"/>
      <c r="S440" s="562"/>
      <c r="T440" s="562"/>
      <c r="U440" s="562"/>
      <c r="V440" s="563"/>
      <c r="W440" s="37" t="s">
        <v>69</v>
      </c>
      <c r="X440" s="545">
        <f>IFERROR(SUM(X436:X438),"0")</f>
        <v>10.56</v>
      </c>
      <c r="Y440" s="545">
        <f>IFERROR(SUM(Y436:Y438),"0")</f>
        <v>10.56</v>
      </c>
      <c r="Z440" s="37"/>
      <c r="AA440" s="546"/>
      <c r="AB440" s="546"/>
      <c r="AC440" s="546"/>
    </row>
    <row r="441" spans="1:68" ht="14.25" hidden="1" customHeight="1" x14ac:dyDescent="0.25">
      <c r="A441" s="559" t="s">
        <v>64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539"/>
      <c r="AB441" s="539"/>
      <c r="AC441" s="539"/>
    </row>
    <row r="442" spans="1:68" ht="27" customHeight="1" x14ac:dyDescent="0.25">
      <c r="A442" s="54" t="s">
        <v>680</v>
      </c>
      <c r="B442" s="54" t="s">
        <v>681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10.56</v>
      </c>
      <c r="Y442" s="544">
        <f t="shared" ref="Y442:Y447" si="53">IFERROR(IF(X442="",0,CEILING((X442/$H442),1)*$H442),"")</f>
        <v>10.56</v>
      </c>
      <c r="Z442" s="36">
        <f>IFERROR(IF(Y442=0,"",ROUNDUP(Y442/H442,0)*0.01196),"")</f>
        <v>2.392E-2</v>
      </c>
      <c r="AA442" s="56"/>
      <c r="AB442" s="57"/>
      <c r="AC442" s="491" t="s">
        <v>682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11.26</v>
      </c>
      <c r="BN442" s="64">
        <f t="shared" ref="BN442:BN447" si="55">IFERROR(Y442*I442/H442,"0")</f>
        <v>11.26</v>
      </c>
      <c r="BO442" s="64">
        <f t="shared" ref="BO442:BO447" si="56">IFERROR(1/J442*(X442/H442),"0")</f>
        <v>1.9230769230769232E-2</v>
      </c>
      <c r="BP442" s="64">
        <f t="shared" ref="BP442:BP447" si="57">IFERROR(1/J442*(Y442/H442),"0")</f>
        <v>1.9230769230769232E-2</v>
      </c>
    </row>
    <row r="443" spans="1:68" ht="27" customHeight="1" x14ac:dyDescent="0.25">
      <c r="A443" s="54" t="s">
        <v>683</v>
      </c>
      <c r="B443" s="54" t="s">
        <v>684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60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10.56</v>
      </c>
      <c r="Y443" s="544">
        <f t="shared" si="53"/>
        <v>10.56</v>
      </c>
      <c r="Z443" s="36">
        <f>IFERROR(IF(Y443=0,"",ROUNDUP(Y443/H443,0)*0.01196),"")</f>
        <v>2.392E-2</v>
      </c>
      <c r="AA443" s="56"/>
      <c r="AB443" s="57"/>
      <c r="AC443" s="493" t="s">
        <v>685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11.26</v>
      </c>
      <c r="BN443" s="64">
        <f t="shared" si="55"/>
        <v>11.26</v>
      </c>
      <c r="BO443" s="64">
        <f t="shared" si="56"/>
        <v>1.9230769230769232E-2</v>
      </c>
      <c r="BP443" s="64">
        <f t="shared" si="57"/>
        <v>1.9230769230769232E-2</v>
      </c>
    </row>
    <row r="444" spans="1:68" ht="27" customHeight="1" x14ac:dyDescent="0.25">
      <c r="A444" s="54" t="s">
        <v>686</v>
      </c>
      <c r="B444" s="54" t="s">
        <v>687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6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10.56</v>
      </c>
      <c r="Y444" s="544">
        <f t="shared" si="53"/>
        <v>10.56</v>
      </c>
      <c r="Z444" s="36">
        <f>IFERROR(IF(Y444=0,"",ROUNDUP(Y444/H444,0)*0.01196),"")</f>
        <v>2.392E-2</v>
      </c>
      <c r="AA444" s="56"/>
      <c r="AB444" s="57"/>
      <c r="AC444" s="495" t="s">
        <v>688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11.26</v>
      </c>
      <c r="BN444" s="64">
        <f t="shared" si="55"/>
        <v>11.26</v>
      </c>
      <c r="BO444" s="64">
        <f t="shared" si="56"/>
        <v>1.9230769230769232E-2</v>
      </c>
      <c r="BP444" s="64">
        <f t="shared" si="57"/>
        <v>1.9230769230769232E-2</v>
      </c>
    </row>
    <row r="445" spans="1:68" ht="27" hidden="1" customHeight="1" x14ac:dyDescent="0.25">
      <c r="A445" s="54" t="s">
        <v>689</v>
      </c>
      <c r="B445" s="54" t="s">
        <v>690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691</v>
      </c>
      <c r="B446" s="54" t="s">
        <v>692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693</v>
      </c>
      <c r="B447" s="54" t="s">
        <v>694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688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3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1" t="s">
        <v>71</v>
      </c>
      <c r="Q448" s="562"/>
      <c r="R448" s="562"/>
      <c r="S448" s="562"/>
      <c r="T448" s="562"/>
      <c r="U448" s="562"/>
      <c r="V448" s="563"/>
      <c r="W448" s="37" t="s">
        <v>72</v>
      </c>
      <c r="X448" s="545">
        <f>IFERROR(X442/H442,"0")+IFERROR(X443/H443,"0")+IFERROR(X444/H444,"0")+IFERROR(X445/H445,"0")+IFERROR(X446/H446,"0")+IFERROR(X447/H447,"0")</f>
        <v>6</v>
      </c>
      <c r="Y448" s="545">
        <f>IFERROR(Y442/H442,"0")+IFERROR(Y443/H443,"0")+IFERROR(Y444/H444,"0")+IFERROR(Y445/H445,"0")+IFERROR(Y446/H446,"0")+IFERROR(Y447/H447,"0")</f>
        <v>6</v>
      </c>
      <c r="Z448" s="545">
        <f>IFERROR(IF(Z442="",0,Z442),"0")+IFERROR(IF(Z443="",0,Z443),"0")+IFERROR(IF(Z444="",0,Z444),"0")+IFERROR(IF(Z445="",0,Z445),"0")+IFERROR(IF(Z446="",0,Z446),"0")+IFERROR(IF(Z447="",0,Z447),"0")</f>
        <v>7.1760000000000004E-2</v>
      </c>
      <c r="AA448" s="546"/>
      <c r="AB448" s="546"/>
      <c r="AC448" s="546"/>
    </row>
    <row r="449" spans="1:68" x14ac:dyDescent="0.2">
      <c r="A449" s="554"/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5"/>
      <c r="P449" s="561" t="s">
        <v>71</v>
      </c>
      <c r="Q449" s="562"/>
      <c r="R449" s="562"/>
      <c r="S449" s="562"/>
      <c r="T449" s="562"/>
      <c r="U449" s="562"/>
      <c r="V449" s="563"/>
      <c r="W449" s="37" t="s">
        <v>69</v>
      </c>
      <c r="X449" s="545">
        <f>IFERROR(SUM(X442:X447),"0")</f>
        <v>31.68</v>
      </c>
      <c r="Y449" s="545">
        <f>IFERROR(SUM(Y442:Y447),"0")</f>
        <v>31.68</v>
      </c>
      <c r="Z449" s="37"/>
      <c r="AA449" s="546"/>
      <c r="AB449" s="546"/>
      <c r="AC449" s="546"/>
    </row>
    <row r="450" spans="1:68" ht="14.25" hidden="1" customHeight="1" x14ac:dyDescent="0.25">
      <c r="A450" s="559" t="s">
        <v>73</v>
      </c>
      <c r="B450" s="554"/>
      <c r="C450" s="554"/>
      <c r="D450" s="554"/>
      <c r="E450" s="554"/>
      <c r="F450" s="554"/>
      <c r="G450" s="554"/>
      <c r="H450" s="554"/>
      <c r="I450" s="554"/>
      <c r="J450" s="554"/>
      <c r="K450" s="554"/>
      <c r="L450" s="554"/>
      <c r="M450" s="554"/>
      <c r="N450" s="554"/>
      <c r="O450" s="554"/>
      <c r="P450" s="554"/>
      <c r="Q450" s="554"/>
      <c r="R450" s="554"/>
      <c r="S450" s="554"/>
      <c r="T450" s="554"/>
      <c r="U450" s="554"/>
      <c r="V450" s="554"/>
      <c r="W450" s="554"/>
      <c r="X450" s="554"/>
      <c r="Y450" s="554"/>
      <c r="Z450" s="554"/>
      <c r="AA450" s="539"/>
      <c r="AB450" s="539"/>
      <c r="AC450" s="539"/>
    </row>
    <row r="451" spans="1:68" ht="16.5" customHeight="1" x14ac:dyDescent="0.25">
      <c r="A451" s="54" t="s">
        <v>695</v>
      </c>
      <c r="B451" s="54" t="s">
        <v>696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3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7.8</v>
      </c>
      <c r="Y451" s="544">
        <f>IFERROR(IF(X451="",0,CEILING((X451/$H451),1)*$H451),"")</f>
        <v>7.8</v>
      </c>
      <c r="Z451" s="36">
        <f>IFERROR(IF(Y451=0,"",ROUNDUP(Y451/H451,0)*0.01898),"")</f>
        <v>1.898E-2</v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8.2759999999999998</v>
      </c>
      <c r="BN451" s="64">
        <f>IFERROR(Y451*I451/H451,"0")</f>
        <v>8.2759999999999998</v>
      </c>
      <c r="BO451" s="64">
        <f>IFERROR(1/J451*(X451/H451),"0")</f>
        <v>1.5625E-2</v>
      </c>
      <c r="BP451" s="64">
        <f>IFERROR(1/J451*(Y451/H451),"0")</f>
        <v>1.5625E-2</v>
      </c>
    </row>
    <row r="452" spans="1:68" ht="16.5" customHeight="1" x14ac:dyDescent="0.25">
      <c r="A452" s="54" t="s">
        <v>698</v>
      </c>
      <c r="B452" s="54" t="s">
        <v>699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6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7.8</v>
      </c>
      <c r="Y452" s="544">
        <f>IFERROR(IF(X452="",0,CEILING((X452/$H452),1)*$H452),"")</f>
        <v>7.8</v>
      </c>
      <c r="Z452" s="36">
        <f>IFERROR(IF(Y452=0,"",ROUNDUP(Y452/H452,0)*0.01898),"")</f>
        <v>1.898E-2</v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8.2759999999999998</v>
      </c>
      <c r="BN452" s="64">
        <f>IFERROR(Y452*I452/H452,"0")</f>
        <v>8.2759999999999998</v>
      </c>
      <c r="BO452" s="64">
        <f>IFERROR(1/J452*(X452/H452),"0")</f>
        <v>1.5625E-2</v>
      </c>
      <c r="BP452" s="64">
        <f>IFERROR(1/J452*(Y452/H452),"0")</f>
        <v>1.5625E-2</v>
      </c>
    </row>
    <row r="453" spans="1:68" ht="27" hidden="1" customHeight="1" x14ac:dyDescent="0.25">
      <c r="A453" s="54" t="s">
        <v>701</v>
      </c>
      <c r="B453" s="54" t="s">
        <v>702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703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53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1" t="s">
        <v>71</v>
      </c>
      <c r="Q454" s="562"/>
      <c r="R454" s="562"/>
      <c r="S454" s="562"/>
      <c r="T454" s="562"/>
      <c r="U454" s="562"/>
      <c r="V454" s="563"/>
      <c r="W454" s="37" t="s">
        <v>72</v>
      </c>
      <c r="X454" s="545">
        <f>IFERROR(X451/H451,"0")+IFERROR(X452/H452,"0")+IFERROR(X453/H453,"0")</f>
        <v>2</v>
      </c>
      <c r="Y454" s="545">
        <f>IFERROR(Y451/H451,"0")+IFERROR(Y452/H452,"0")+IFERROR(Y453/H453,"0")</f>
        <v>2</v>
      </c>
      <c r="Z454" s="545">
        <f>IFERROR(IF(Z451="",0,Z451),"0")+IFERROR(IF(Z452="",0,Z452),"0")+IFERROR(IF(Z453="",0,Z453),"0")</f>
        <v>3.7960000000000001E-2</v>
      </c>
      <c r="AA454" s="546"/>
      <c r="AB454" s="546"/>
      <c r="AC454" s="546"/>
    </row>
    <row r="455" spans="1:68" x14ac:dyDescent="0.2">
      <c r="A455" s="554"/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5"/>
      <c r="P455" s="561" t="s">
        <v>71</v>
      </c>
      <c r="Q455" s="562"/>
      <c r="R455" s="562"/>
      <c r="S455" s="562"/>
      <c r="T455" s="562"/>
      <c r="U455" s="562"/>
      <c r="V455" s="563"/>
      <c r="W455" s="37" t="s">
        <v>69</v>
      </c>
      <c r="X455" s="545">
        <f>IFERROR(SUM(X451:X453),"0")</f>
        <v>15.6</v>
      </c>
      <c r="Y455" s="545">
        <f>IFERROR(SUM(Y451:Y453),"0")</f>
        <v>15.6</v>
      </c>
      <c r="Z455" s="37"/>
      <c r="AA455" s="546"/>
      <c r="AB455" s="546"/>
      <c r="AC455" s="546"/>
    </row>
    <row r="456" spans="1:68" ht="27.75" hidden="1" customHeight="1" x14ac:dyDescent="0.2">
      <c r="A456" s="570" t="s">
        <v>704</v>
      </c>
      <c r="B456" s="571"/>
      <c r="C456" s="571"/>
      <c r="D456" s="571"/>
      <c r="E456" s="571"/>
      <c r="F456" s="571"/>
      <c r="G456" s="571"/>
      <c r="H456" s="571"/>
      <c r="I456" s="571"/>
      <c r="J456" s="571"/>
      <c r="K456" s="571"/>
      <c r="L456" s="571"/>
      <c r="M456" s="571"/>
      <c r="N456" s="571"/>
      <c r="O456" s="571"/>
      <c r="P456" s="571"/>
      <c r="Q456" s="571"/>
      <c r="R456" s="571"/>
      <c r="S456" s="571"/>
      <c r="T456" s="571"/>
      <c r="U456" s="571"/>
      <c r="V456" s="571"/>
      <c r="W456" s="571"/>
      <c r="X456" s="571"/>
      <c r="Y456" s="571"/>
      <c r="Z456" s="571"/>
      <c r="AA456" s="48"/>
      <c r="AB456" s="48"/>
      <c r="AC456" s="48"/>
    </row>
    <row r="457" spans="1:68" ht="16.5" hidden="1" customHeight="1" x14ac:dyDescent="0.25">
      <c r="A457" s="558" t="s">
        <v>704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8"/>
      <c r="AB457" s="538"/>
      <c r="AC457" s="538"/>
    </row>
    <row r="458" spans="1:68" ht="14.25" hidden="1" customHeight="1" x14ac:dyDescent="0.25">
      <c r="A458" s="559" t="s">
        <v>101</v>
      </c>
      <c r="B458" s="554"/>
      <c r="C458" s="554"/>
      <c r="D458" s="554"/>
      <c r="E458" s="554"/>
      <c r="F458" s="554"/>
      <c r="G458" s="554"/>
      <c r="H458" s="554"/>
      <c r="I458" s="554"/>
      <c r="J458" s="554"/>
      <c r="K458" s="554"/>
      <c r="L458" s="554"/>
      <c r="M458" s="554"/>
      <c r="N458" s="554"/>
      <c r="O458" s="554"/>
      <c r="P458" s="554"/>
      <c r="Q458" s="554"/>
      <c r="R458" s="554"/>
      <c r="S458" s="554"/>
      <c r="T458" s="554"/>
      <c r="U458" s="554"/>
      <c r="V458" s="554"/>
      <c r="W458" s="554"/>
      <c r="X458" s="554"/>
      <c r="Y458" s="554"/>
      <c r="Z458" s="554"/>
      <c r="AA458" s="539"/>
      <c r="AB458" s="539"/>
      <c r="AC458" s="539"/>
    </row>
    <row r="459" spans="1:68" ht="27" hidden="1" customHeight="1" x14ac:dyDescent="0.25">
      <c r="A459" s="54" t="s">
        <v>705</v>
      </c>
      <c r="B459" s="54" t="s">
        <v>706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711</v>
      </c>
      <c r="B461" s="54" t="s">
        <v>712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713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714</v>
      </c>
      <c r="B462" s="54" t="s">
        <v>715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707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53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1" t="s">
        <v>71</v>
      </c>
      <c r="Q463" s="562"/>
      <c r="R463" s="562"/>
      <c r="S463" s="562"/>
      <c r="T463" s="562"/>
      <c r="U463" s="562"/>
      <c r="V463" s="563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hidden="1" x14ac:dyDescent="0.2">
      <c r="A464" s="554"/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5"/>
      <c r="P464" s="561" t="s">
        <v>71</v>
      </c>
      <c r="Q464" s="562"/>
      <c r="R464" s="562"/>
      <c r="S464" s="562"/>
      <c r="T464" s="562"/>
      <c r="U464" s="562"/>
      <c r="V464" s="563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hidden="1" customHeight="1" x14ac:dyDescent="0.25">
      <c r="A465" s="559" t="s">
        <v>136</v>
      </c>
      <c r="B465" s="554"/>
      <c r="C465" s="554"/>
      <c r="D465" s="554"/>
      <c r="E465" s="554"/>
      <c r="F465" s="554"/>
      <c r="G465" s="554"/>
      <c r="H465" s="554"/>
      <c r="I465" s="554"/>
      <c r="J465" s="554"/>
      <c r="K465" s="554"/>
      <c r="L465" s="554"/>
      <c r="M465" s="554"/>
      <c r="N465" s="554"/>
      <c r="O465" s="554"/>
      <c r="P465" s="554"/>
      <c r="Q465" s="554"/>
      <c r="R465" s="554"/>
      <c r="S465" s="554"/>
      <c r="T465" s="554"/>
      <c r="U465" s="554"/>
      <c r="V465" s="554"/>
      <c r="W465" s="554"/>
      <c r="X465" s="554"/>
      <c r="Y465" s="554"/>
      <c r="Z465" s="554"/>
      <c r="AA465" s="539"/>
      <c r="AB465" s="539"/>
      <c r="AC465" s="539"/>
    </row>
    <row r="466" spans="1:68" ht="27" hidden="1" customHeight="1" x14ac:dyDescent="0.25">
      <c r="A466" s="54" t="s">
        <v>716</v>
      </c>
      <c r="B466" s="54" t="s">
        <v>717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722</v>
      </c>
      <c r="B468" s="54" t="s">
        <v>723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724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53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1" t="s">
        <v>71</v>
      </c>
      <c r="Q469" s="562"/>
      <c r="R469" s="562"/>
      <c r="S469" s="562"/>
      <c r="T469" s="562"/>
      <c r="U469" s="562"/>
      <c r="V469" s="563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4"/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5"/>
      <c r="P470" s="561" t="s">
        <v>71</v>
      </c>
      <c r="Q470" s="562"/>
      <c r="R470" s="562"/>
      <c r="S470" s="562"/>
      <c r="T470" s="562"/>
      <c r="U470" s="562"/>
      <c r="V470" s="563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59" t="s">
        <v>64</v>
      </c>
      <c r="B471" s="554"/>
      <c r="C471" s="554"/>
      <c r="D471" s="554"/>
      <c r="E471" s="554"/>
      <c r="F471" s="554"/>
      <c r="G471" s="554"/>
      <c r="H471" s="554"/>
      <c r="I471" s="554"/>
      <c r="J471" s="554"/>
      <c r="K471" s="554"/>
      <c r="L471" s="554"/>
      <c r="M471" s="554"/>
      <c r="N471" s="554"/>
      <c r="O471" s="554"/>
      <c r="P471" s="554"/>
      <c r="Q471" s="554"/>
      <c r="R471" s="554"/>
      <c r="S471" s="554"/>
      <c r="T471" s="554"/>
      <c r="U471" s="554"/>
      <c r="V471" s="554"/>
      <c r="W471" s="554"/>
      <c r="X471" s="554"/>
      <c r="Y471" s="554"/>
      <c r="Z471" s="554"/>
      <c r="AA471" s="539"/>
      <c r="AB471" s="539"/>
      <c r="AC471" s="539"/>
    </row>
    <row r="472" spans="1:68" ht="27" customHeight="1" x14ac:dyDescent="0.25">
      <c r="A472" s="54" t="s">
        <v>725</v>
      </c>
      <c r="B472" s="54" t="s">
        <v>726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6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42</v>
      </c>
      <c r="Y472" s="544">
        <f>IFERROR(IF(X472="",0,CEILING((X472/$H472),1)*$H472),"")</f>
        <v>42</v>
      </c>
      <c r="Z472" s="36">
        <f>IFERROR(IF(Y472=0,"",ROUNDUP(Y472/H472,0)*0.00902),"")</f>
        <v>9.0200000000000002E-2</v>
      </c>
      <c r="AA472" s="56"/>
      <c r="AB472" s="57"/>
      <c r="AC472" s="523" t="s">
        <v>727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44.5</v>
      </c>
      <c r="BN472" s="64">
        <f>IFERROR(Y472*I472/H472,"0")</f>
        <v>44.5</v>
      </c>
      <c r="BO472" s="64">
        <f>IFERROR(1/J472*(X472/H472),"0")</f>
        <v>7.575757575757576E-2</v>
      </c>
      <c r="BP472" s="64">
        <f>IFERROR(1/J472*(Y472/H472),"0")</f>
        <v>7.575757575757576E-2</v>
      </c>
    </row>
    <row r="473" spans="1:68" ht="27" customHeight="1" x14ac:dyDescent="0.25">
      <c r="A473" s="54" t="s">
        <v>728</v>
      </c>
      <c r="B473" s="54" t="s">
        <v>729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42</v>
      </c>
      <c r="Y473" s="544">
        <f>IFERROR(IF(X473="",0,CEILING((X473/$H473),1)*$H473),"")</f>
        <v>42</v>
      </c>
      <c r="Z473" s="36">
        <f>IFERROR(IF(Y473=0,"",ROUNDUP(Y473/H473,0)*0.00902),"")</f>
        <v>9.0200000000000002E-2</v>
      </c>
      <c r="AA473" s="56"/>
      <c r="AB473" s="57"/>
      <c r="AC473" s="525" t="s">
        <v>730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44.5</v>
      </c>
      <c r="BN473" s="64">
        <f>IFERROR(Y473*I473/H473,"0")</f>
        <v>44.5</v>
      </c>
      <c r="BO473" s="64">
        <f>IFERROR(1/J473*(X473/H473),"0")</f>
        <v>7.575757575757576E-2</v>
      </c>
      <c r="BP473" s="64">
        <f>IFERROR(1/J473*(Y473/H473),"0")</f>
        <v>7.575757575757576E-2</v>
      </c>
    </row>
    <row r="474" spans="1:68" x14ac:dyDescent="0.2">
      <c r="A474" s="553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1" t="s">
        <v>71</v>
      </c>
      <c r="Q474" s="562"/>
      <c r="R474" s="562"/>
      <c r="S474" s="562"/>
      <c r="T474" s="562"/>
      <c r="U474" s="562"/>
      <c r="V474" s="563"/>
      <c r="W474" s="37" t="s">
        <v>72</v>
      </c>
      <c r="X474" s="545">
        <f>IFERROR(X472/H472,"0")+IFERROR(X473/H473,"0")</f>
        <v>20</v>
      </c>
      <c r="Y474" s="545">
        <f>IFERROR(Y472/H472,"0")+IFERROR(Y473/H473,"0")</f>
        <v>20</v>
      </c>
      <c r="Z474" s="545">
        <f>IFERROR(IF(Z472="",0,Z472),"0")+IFERROR(IF(Z473="",0,Z473),"0")</f>
        <v>0.1804</v>
      </c>
      <c r="AA474" s="546"/>
      <c r="AB474" s="546"/>
      <c r="AC474" s="546"/>
    </row>
    <row r="475" spans="1:68" x14ac:dyDescent="0.2">
      <c r="A475" s="554"/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5"/>
      <c r="P475" s="561" t="s">
        <v>71</v>
      </c>
      <c r="Q475" s="562"/>
      <c r="R475" s="562"/>
      <c r="S475" s="562"/>
      <c r="T475" s="562"/>
      <c r="U475" s="562"/>
      <c r="V475" s="563"/>
      <c r="W475" s="37" t="s">
        <v>69</v>
      </c>
      <c r="X475" s="545">
        <f>IFERROR(SUM(X472:X473),"0")</f>
        <v>84</v>
      </c>
      <c r="Y475" s="545">
        <f>IFERROR(SUM(Y472:Y473),"0")</f>
        <v>84</v>
      </c>
      <c r="Z475" s="37"/>
      <c r="AA475" s="546"/>
      <c r="AB475" s="546"/>
      <c r="AC475" s="546"/>
    </row>
    <row r="476" spans="1:68" ht="14.25" hidden="1" customHeight="1" x14ac:dyDescent="0.25">
      <c r="A476" s="559" t="s">
        <v>73</v>
      </c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54"/>
      <c r="P476" s="554"/>
      <c r="Q476" s="554"/>
      <c r="R476" s="554"/>
      <c r="S476" s="554"/>
      <c r="T476" s="554"/>
      <c r="U476" s="554"/>
      <c r="V476" s="554"/>
      <c r="W476" s="554"/>
      <c r="X476" s="554"/>
      <c r="Y476" s="554"/>
      <c r="Z476" s="554"/>
      <c r="AA476" s="539"/>
      <c r="AB476" s="539"/>
      <c r="AC476" s="539"/>
    </row>
    <row r="477" spans="1:68" ht="27" customHeight="1" x14ac:dyDescent="0.25">
      <c r="A477" s="54" t="s">
        <v>731</v>
      </c>
      <c r="B477" s="54" t="s">
        <v>732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27</v>
      </c>
      <c r="Y477" s="544">
        <f>IFERROR(IF(X477="",0,CEILING((X477/$H477),1)*$H477),"")</f>
        <v>27</v>
      </c>
      <c r="Z477" s="36">
        <f>IFERROR(IF(Y477=0,"",ROUNDUP(Y477/H477,0)*0.01898),"")</f>
        <v>5.6940000000000004E-2</v>
      </c>
      <c r="AA477" s="56"/>
      <c r="AB477" s="57"/>
      <c r="AC477" s="527" t="s">
        <v>733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28.481999999999996</v>
      </c>
      <c r="BN477" s="64">
        <f>IFERROR(Y477*I477/H477,"0")</f>
        <v>28.481999999999996</v>
      </c>
      <c r="BO477" s="64">
        <f>IFERROR(1/J477*(X477/H477),"0")</f>
        <v>4.6875E-2</v>
      </c>
      <c r="BP477" s="64">
        <f>IFERROR(1/J477*(Y477/H477),"0")</f>
        <v>4.6875E-2</v>
      </c>
    </row>
    <row r="478" spans="1:68" x14ac:dyDescent="0.2">
      <c r="A478" s="553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1" t="s">
        <v>71</v>
      </c>
      <c r="Q478" s="562"/>
      <c r="R478" s="562"/>
      <c r="S478" s="562"/>
      <c r="T478" s="562"/>
      <c r="U478" s="562"/>
      <c r="V478" s="563"/>
      <c r="W478" s="37" t="s">
        <v>72</v>
      </c>
      <c r="X478" s="545">
        <f>IFERROR(X477/H477,"0")</f>
        <v>3</v>
      </c>
      <c r="Y478" s="545">
        <f>IFERROR(Y477/H477,"0")</f>
        <v>3</v>
      </c>
      <c r="Z478" s="545">
        <f>IFERROR(IF(Z477="",0,Z477),"0")</f>
        <v>5.6940000000000004E-2</v>
      </c>
      <c r="AA478" s="546"/>
      <c r="AB478" s="546"/>
      <c r="AC478" s="546"/>
    </row>
    <row r="479" spans="1:68" x14ac:dyDescent="0.2">
      <c r="A479" s="554"/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5"/>
      <c r="P479" s="561" t="s">
        <v>71</v>
      </c>
      <c r="Q479" s="562"/>
      <c r="R479" s="562"/>
      <c r="S479" s="562"/>
      <c r="T479" s="562"/>
      <c r="U479" s="562"/>
      <c r="V479" s="563"/>
      <c r="W479" s="37" t="s">
        <v>69</v>
      </c>
      <c r="X479" s="545">
        <f>IFERROR(SUM(X477:X477),"0")</f>
        <v>27</v>
      </c>
      <c r="Y479" s="545">
        <f>IFERROR(SUM(Y477:Y477),"0")</f>
        <v>27</v>
      </c>
      <c r="Z479" s="37"/>
      <c r="AA479" s="546"/>
      <c r="AB479" s="546"/>
      <c r="AC479" s="546"/>
    </row>
    <row r="480" spans="1:68" ht="14.25" hidden="1" customHeight="1" x14ac:dyDescent="0.25">
      <c r="A480" s="559" t="s">
        <v>164</v>
      </c>
      <c r="B480" s="554"/>
      <c r="C480" s="554"/>
      <c r="D480" s="554"/>
      <c r="E480" s="554"/>
      <c r="F480" s="554"/>
      <c r="G480" s="554"/>
      <c r="H480" s="554"/>
      <c r="I480" s="554"/>
      <c r="J480" s="554"/>
      <c r="K480" s="554"/>
      <c r="L480" s="554"/>
      <c r="M480" s="554"/>
      <c r="N480" s="554"/>
      <c r="O480" s="554"/>
      <c r="P480" s="554"/>
      <c r="Q480" s="554"/>
      <c r="R480" s="554"/>
      <c r="S480" s="554"/>
      <c r="T480" s="554"/>
      <c r="U480" s="554"/>
      <c r="V480" s="554"/>
      <c r="W480" s="554"/>
      <c r="X480" s="554"/>
      <c r="Y480" s="554"/>
      <c r="Z480" s="554"/>
      <c r="AA480" s="539"/>
      <c r="AB480" s="539"/>
      <c r="AC480" s="539"/>
    </row>
    <row r="481" spans="1:68" ht="27" customHeight="1" x14ac:dyDescent="0.25">
      <c r="A481" s="54" t="s">
        <v>734</v>
      </c>
      <c r="B481" s="54" t="s">
        <v>735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9</v>
      </c>
      <c r="Y481" s="544">
        <f>IFERROR(IF(X481="",0,CEILING((X481/$H481),1)*$H481),"")</f>
        <v>9</v>
      </c>
      <c r="Z481" s="36">
        <f>IFERROR(IF(Y481=0,"",ROUNDUP(Y481/H481,0)*0.01898),"")</f>
        <v>1.898E-2</v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9.41</v>
      </c>
      <c r="BN481" s="64">
        <f>IFERROR(Y481*I481/H481,"0")</f>
        <v>9.41</v>
      </c>
      <c r="BO481" s="64">
        <f>IFERROR(1/J481*(X481/H481),"0")</f>
        <v>1.5625E-2</v>
      </c>
      <c r="BP481" s="64">
        <f>IFERROR(1/J481*(Y481/H481),"0")</f>
        <v>1.5625E-2</v>
      </c>
    </row>
    <row r="482" spans="1:68" ht="27" customHeight="1" x14ac:dyDescent="0.25">
      <c r="A482" s="54" t="s">
        <v>737</v>
      </c>
      <c r="B482" s="54" t="s">
        <v>738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9</v>
      </c>
      <c r="Y482" s="544">
        <f>IFERROR(IF(X482="",0,CEILING((X482/$H482),1)*$H482),"")</f>
        <v>9</v>
      </c>
      <c r="Z482" s="36">
        <f>IFERROR(IF(Y482=0,"",ROUNDUP(Y482/H482,0)*0.01898),"")</f>
        <v>1.898E-2</v>
      </c>
      <c r="AA482" s="56"/>
      <c r="AB482" s="57"/>
      <c r="AC482" s="531" t="s">
        <v>739</v>
      </c>
      <c r="AG482" s="64"/>
      <c r="AJ482" s="68"/>
      <c r="AK482" s="68">
        <v>0</v>
      </c>
      <c r="BB482" s="532" t="s">
        <v>1</v>
      </c>
      <c r="BM482" s="64">
        <f>IFERROR(X482*I482/H482,"0")</f>
        <v>9.41</v>
      </c>
      <c r="BN482" s="64">
        <f>IFERROR(Y482*I482/H482,"0")</f>
        <v>9.41</v>
      </c>
      <c r="BO482" s="64">
        <f>IFERROR(1/J482*(X482/H482),"0")</f>
        <v>1.5625E-2</v>
      </c>
      <c r="BP482" s="64">
        <f>IFERROR(1/J482*(Y482/H482),"0")</f>
        <v>1.5625E-2</v>
      </c>
    </row>
    <row r="483" spans="1:68" x14ac:dyDescent="0.2">
      <c r="A483" s="553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1" t="s">
        <v>71</v>
      </c>
      <c r="Q483" s="562"/>
      <c r="R483" s="562"/>
      <c r="S483" s="562"/>
      <c r="T483" s="562"/>
      <c r="U483" s="562"/>
      <c r="V483" s="563"/>
      <c r="W483" s="37" t="s">
        <v>72</v>
      </c>
      <c r="X483" s="545">
        <f>IFERROR(X481/H481,"0")+IFERROR(X482/H482,"0")</f>
        <v>2</v>
      </c>
      <c r="Y483" s="545">
        <f>IFERROR(Y481/H481,"0")+IFERROR(Y482/H482,"0")</f>
        <v>2</v>
      </c>
      <c r="Z483" s="545">
        <f>IFERROR(IF(Z481="",0,Z481),"0")+IFERROR(IF(Z482="",0,Z482),"0")</f>
        <v>3.7960000000000001E-2</v>
      </c>
      <c r="AA483" s="546"/>
      <c r="AB483" s="546"/>
      <c r="AC483" s="546"/>
    </row>
    <row r="484" spans="1:68" x14ac:dyDescent="0.2">
      <c r="A484" s="554"/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5"/>
      <c r="P484" s="561" t="s">
        <v>71</v>
      </c>
      <c r="Q484" s="562"/>
      <c r="R484" s="562"/>
      <c r="S484" s="562"/>
      <c r="T484" s="562"/>
      <c r="U484" s="562"/>
      <c r="V484" s="563"/>
      <c r="W484" s="37" t="s">
        <v>69</v>
      </c>
      <c r="X484" s="545">
        <f>IFERROR(SUM(X481:X482),"0")</f>
        <v>18</v>
      </c>
      <c r="Y484" s="545">
        <f>IFERROR(SUM(Y481:Y482),"0")</f>
        <v>18</v>
      </c>
      <c r="Z484" s="37"/>
      <c r="AA484" s="546"/>
      <c r="AB484" s="546"/>
      <c r="AC484" s="546"/>
    </row>
    <row r="485" spans="1:68" ht="16.5" hidden="1" customHeight="1" x14ac:dyDescent="0.25">
      <c r="A485" s="558" t="s">
        <v>740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8"/>
      <c r="AB485" s="538"/>
      <c r="AC485" s="538"/>
    </row>
    <row r="486" spans="1:68" ht="14.25" hidden="1" customHeight="1" x14ac:dyDescent="0.25">
      <c r="A486" s="559" t="s">
        <v>136</v>
      </c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54"/>
      <c r="P486" s="554"/>
      <c r="Q486" s="554"/>
      <c r="R486" s="554"/>
      <c r="S486" s="554"/>
      <c r="T486" s="554"/>
      <c r="U486" s="554"/>
      <c r="V486" s="554"/>
      <c r="W486" s="554"/>
      <c r="X486" s="554"/>
      <c r="Y486" s="554"/>
      <c r="Z486" s="554"/>
      <c r="AA486" s="539"/>
      <c r="AB486" s="539"/>
      <c r="AC486" s="539"/>
    </row>
    <row r="487" spans="1:68" ht="27" hidden="1" customHeight="1" x14ac:dyDescent="0.25">
      <c r="A487" s="54" t="s">
        <v>741</v>
      </c>
      <c r="B487" s="54" t="s">
        <v>742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743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5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1" t="s">
        <v>71</v>
      </c>
      <c r="Q488" s="562"/>
      <c r="R488" s="562"/>
      <c r="S488" s="562"/>
      <c r="T488" s="562"/>
      <c r="U488" s="562"/>
      <c r="V488" s="563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555"/>
      <c r="P489" s="561" t="s">
        <v>71</v>
      </c>
      <c r="Q489" s="562"/>
      <c r="R489" s="562"/>
      <c r="S489" s="562"/>
      <c r="T489" s="562"/>
      <c r="U489" s="562"/>
      <c r="V489" s="563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9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17"/>
      <c r="P490" s="643" t="s">
        <v>744</v>
      </c>
      <c r="Q490" s="644"/>
      <c r="R490" s="644"/>
      <c r="S490" s="644"/>
      <c r="T490" s="644"/>
      <c r="U490" s="644"/>
      <c r="V490" s="645"/>
      <c r="W490" s="37" t="s">
        <v>69</v>
      </c>
      <c r="X490" s="545">
        <f>IFERROR(X24+X32+X36+X44+X48+X58+X64+X70+X77+X82+X89+X96+X104+X110+X117+X121+X127+X132+X137+X144+X150+X154+X160+X173+X179+X183+X189+X194+X205+X217+X222+X236+X240+X244+X252+X261+X269+X276+X282+X287+X297+X307+X314+X320+X327+X333+X340+X352+X357+X362+X366+X372+X377+X382+X396+X401+X406+X413+X418+X434+X440+X449+X455+X464+X470+X475+X479+X484+X489,"0")</f>
        <v>4554.6000000000022</v>
      </c>
      <c r="Y490" s="545">
        <f>IFERROR(Y24+Y32+Y36+Y44+Y48+Y58+Y64+Y70+Y77+Y82+Y89+Y96+Y104+Y110+Y117+Y121+Y127+Y132+Y137+Y144+Y150+Y154+Y160+Y173+Y179+Y183+Y189+Y194+Y205+Y217+Y222+Y236+Y240+Y244+Y252+Y261+Y269+Y276+Y282+Y287+Y297+Y307+Y314+Y320+Y327+Y333+Y340+Y352+Y357+Y362+Y366+Y372+Y377+Y382+Y396+Y401+Y406+Y413+Y418+Y434+Y440+Y449+Y455+Y464+Y470+Y475+Y479+Y484+Y489,"0")</f>
        <v>4554.6000000000022</v>
      </c>
      <c r="Z490" s="37"/>
      <c r="AA490" s="546"/>
      <c r="AB490" s="546"/>
      <c r="AC490" s="546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17"/>
      <c r="P491" s="643" t="s">
        <v>745</v>
      </c>
      <c r="Q491" s="644"/>
      <c r="R491" s="644"/>
      <c r="S491" s="644"/>
      <c r="T491" s="644"/>
      <c r="U491" s="644"/>
      <c r="V491" s="645"/>
      <c r="W491" s="37" t="s">
        <v>69</v>
      </c>
      <c r="X491" s="545">
        <f>IFERROR(SUM(BM22:BM487),"0")</f>
        <v>4766.7350000000015</v>
      </c>
      <c r="Y491" s="545">
        <f>IFERROR(SUM(BN22:BN487),"0")</f>
        <v>4766.7350000000015</v>
      </c>
      <c r="Z491" s="37"/>
      <c r="AA491" s="546"/>
      <c r="AB491" s="546"/>
      <c r="AC491" s="546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17"/>
      <c r="P492" s="643" t="s">
        <v>746</v>
      </c>
      <c r="Q492" s="644"/>
      <c r="R492" s="644"/>
      <c r="S492" s="644"/>
      <c r="T492" s="644"/>
      <c r="U492" s="644"/>
      <c r="V492" s="645"/>
      <c r="W492" s="37" t="s">
        <v>747</v>
      </c>
      <c r="X492" s="38">
        <f>ROUNDUP(SUM(BO22:BO487),0)</f>
        <v>8</v>
      </c>
      <c r="Y492" s="38">
        <f>ROUNDUP(SUM(BP22:BP487),0)</f>
        <v>8</v>
      </c>
      <c r="Z492" s="37"/>
      <c r="AA492" s="546"/>
      <c r="AB492" s="546"/>
      <c r="AC492" s="546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17"/>
      <c r="P493" s="643" t="s">
        <v>748</v>
      </c>
      <c r="Q493" s="644"/>
      <c r="R493" s="644"/>
      <c r="S493" s="644"/>
      <c r="T493" s="644"/>
      <c r="U493" s="644"/>
      <c r="V493" s="645"/>
      <c r="W493" s="37" t="s">
        <v>69</v>
      </c>
      <c r="X493" s="545">
        <f>GrossWeightTotal+PalletQtyTotal*25</f>
        <v>4966.7350000000015</v>
      </c>
      <c r="Y493" s="545">
        <f>GrossWeightTotalR+PalletQtyTotalR*25</f>
        <v>4966.7350000000015</v>
      </c>
      <c r="Z493" s="37"/>
      <c r="AA493" s="546"/>
      <c r="AB493" s="546"/>
      <c r="AC493" s="546"/>
    </row>
    <row r="494" spans="1:68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17"/>
      <c r="P494" s="643" t="s">
        <v>749</v>
      </c>
      <c r="Q494" s="644"/>
      <c r="R494" s="644"/>
      <c r="S494" s="644"/>
      <c r="T494" s="644"/>
      <c r="U494" s="644"/>
      <c r="V494" s="645"/>
      <c r="W494" s="37" t="s">
        <v>747</v>
      </c>
      <c r="X494" s="545">
        <f>IFERROR(X23+X31+X35+X43+X47+X57+X63+X69+X76+X81+X88+X95+X103+X109+X116+X120+X126+X131+X136+X143+X149+X153+X159+X172+X178+X182+X188+X193+X204+X216+X221+X235+X239+X243+X251+X260+X268+X275+X281+X286+X296+X306+X313+X319+X326+X332+X339+X351+X356+X361+X365+X371+X376+X381+X395+X400+X405+X412+X417+X433+X439+X448+X454+X463+X469+X474+X478+X483+X488,"0")</f>
        <v>636</v>
      </c>
      <c r="Y494" s="545">
        <f>IFERROR(Y23+Y31+Y35+Y43+Y47+Y57+Y63+Y69+Y76+Y81+Y88+Y95+Y103+Y109+Y116+Y120+Y126+Y131+Y136+Y143+Y149+Y153+Y159+Y172+Y178+Y182+Y188+Y193+Y204+Y216+Y221+Y235+Y239+Y243+Y251+Y260+Y268+Y275+Y281+Y286+Y296+Y306+Y313+Y319+Y326+Y332+Y339+Y351+Y356+Y361+Y365+Y371+Y376+Y381+Y395+Y400+Y405+Y412+Y417+Y433+Y439+Y448+Y454+Y463+Y469+Y474+Y478+Y483+Y488,"0")</f>
        <v>636</v>
      </c>
      <c r="Z494" s="37"/>
      <c r="AA494" s="546"/>
      <c r="AB494" s="546"/>
      <c r="AC494" s="546"/>
    </row>
    <row r="495" spans="1:68" ht="14.25" hidden="1" customHeight="1" x14ac:dyDescent="0.2">
      <c r="A495" s="554"/>
      <c r="B495" s="554"/>
      <c r="C495" s="554"/>
      <c r="D495" s="554"/>
      <c r="E495" s="554"/>
      <c r="F495" s="554"/>
      <c r="G495" s="554"/>
      <c r="H495" s="554"/>
      <c r="I495" s="554"/>
      <c r="J495" s="554"/>
      <c r="K495" s="554"/>
      <c r="L495" s="554"/>
      <c r="M495" s="554"/>
      <c r="N495" s="554"/>
      <c r="O495" s="717"/>
      <c r="P495" s="643" t="s">
        <v>750</v>
      </c>
      <c r="Q495" s="644"/>
      <c r="R495" s="644"/>
      <c r="S495" s="644"/>
      <c r="T495" s="644"/>
      <c r="U495" s="644"/>
      <c r="V495" s="645"/>
      <c r="W495" s="39" t="s">
        <v>751</v>
      </c>
      <c r="X495" s="37"/>
      <c r="Y495" s="37"/>
      <c r="Z495" s="37">
        <f>IFERROR(Z23+Z31+Z35+Z43+Z47+Z57+Z63+Z69+Z76+Z81+Z88+Z95+Z103+Z109+Z116+Z120+Z126+Z131+Z136+Z143+Z149+Z153+Z159+Z172+Z178+Z182+Z188+Z193+Z204+Z216+Z221+Z235+Z239+Z243+Z251+Z260+Z268+Z275+Z281+Z286+Z296+Z306+Z313+Z319+Z326+Z332+Z339+Z351+Z356+Z361+Z365+Z371+Z376+Z381+Z395+Z400+Z405+Z412+Z417+Z433+Z439+Z448+Z454+Z463+Z469+Z474+Z478+Z483+Z488,"0")</f>
        <v>8.7964000000000002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752</v>
      </c>
      <c r="B497" s="540" t="s">
        <v>63</v>
      </c>
      <c r="C497" s="600" t="s">
        <v>99</v>
      </c>
      <c r="D497" s="603"/>
      <c r="E497" s="603"/>
      <c r="F497" s="603"/>
      <c r="G497" s="603"/>
      <c r="H497" s="604"/>
      <c r="I497" s="600" t="s">
        <v>255</v>
      </c>
      <c r="J497" s="603"/>
      <c r="K497" s="603"/>
      <c r="L497" s="603"/>
      <c r="M497" s="603"/>
      <c r="N497" s="603"/>
      <c r="O497" s="603"/>
      <c r="P497" s="603"/>
      <c r="Q497" s="603"/>
      <c r="R497" s="604"/>
      <c r="S497" s="600" t="s">
        <v>541</v>
      </c>
      <c r="T497" s="604"/>
      <c r="U497" s="600" t="s">
        <v>593</v>
      </c>
      <c r="V497" s="603"/>
      <c r="W497" s="604"/>
      <c r="X497" s="540" t="s">
        <v>644</v>
      </c>
      <c r="Y497" s="600" t="s">
        <v>704</v>
      </c>
      <c r="Z497" s="604"/>
      <c r="AB497" s="52"/>
      <c r="AC497" s="52"/>
      <c r="AF497" s="541"/>
    </row>
    <row r="498" spans="1:32" ht="14.25" customHeight="1" thickTop="1" x14ac:dyDescent="0.2">
      <c r="A498" s="617" t="s">
        <v>753</v>
      </c>
      <c r="B498" s="600" t="s">
        <v>63</v>
      </c>
      <c r="C498" s="600" t="s">
        <v>100</v>
      </c>
      <c r="D498" s="600" t="s">
        <v>117</v>
      </c>
      <c r="E498" s="600" t="s">
        <v>171</v>
      </c>
      <c r="F498" s="600" t="s">
        <v>190</v>
      </c>
      <c r="G498" s="600" t="s">
        <v>220</v>
      </c>
      <c r="H498" s="600" t="s">
        <v>99</v>
      </c>
      <c r="I498" s="600" t="s">
        <v>256</v>
      </c>
      <c r="J498" s="600" t="s">
        <v>301</v>
      </c>
      <c r="K498" s="600" t="s">
        <v>361</v>
      </c>
      <c r="L498" s="600" t="s">
        <v>403</v>
      </c>
      <c r="M498" s="600" t="s">
        <v>419</v>
      </c>
      <c r="N498" s="541"/>
      <c r="O498" s="600" t="s">
        <v>430</v>
      </c>
      <c r="P498" s="600" t="s">
        <v>439</v>
      </c>
      <c r="Q498" s="600" t="s">
        <v>453</v>
      </c>
      <c r="R498" s="600" t="s">
        <v>531</v>
      </c>
      <c r="S498" s="600" t="s">
        <v>542</v>
      </c>
      <c r="T498" s="600" t="s">
        <v>577</v>
      </c>
      <c r="U498" s="600" t="s">
        <v>594</v>
      </c>
      <c r="V498" s="600" t="s">
        <v>625</v>
      </c>
      <c r="W498" s="600" t="s">
        <v>640</v>
      </c>
      <c r="X498" s="600" t="s">
        <v>644</v>
      </c>
      <c r="Y498" s="600" t="s">
        <v>704</v>
      </c>
      <c r="Z498" s="600" t="s">
        <v>740</v>
      </c>
      <c r="AB498" s="52"/>
      <c r="AC498" s="52"/>
      <c r="AF498" s="541"/>
    </row>
    <row r="499" spans="1:32" ht="13.5" customHeight="1" thickBot="1" x14ac:dyDescent="0.25">
      <c r="A499" s="618"/>
      <c r="B499" s="601"/>
      <c r="C499" s="601"/>
      <c r="D499" s="601"/>
      <c r="E499" s="601"/>
      <c r="F499" s="601"/>
      <c r="G499" s="601"/>
      <c r="H499" s="601"/>
      <c r="I499" s="601"/>
      <c r="J499" s="601"/>
      <c r="K499" s="601"/>
      <c r="L499" s="601"/>
      <c r="M499" s="601"/>
      <c r="N499" s="541"/>
      <c r="O499" s="601"/>
      <c r="P499" s="601"/>
      <c r="Q499" s="601"/>
      <c r="R499" s="601"/>
      <c r="S499" s="601"/>
      <c r="T499" s="601"/>
      <c r="U499" s="601"/>
      <c r="V499" s="601"/>
      <c r="W499" s="601"/>
      <c r="X499" s="601"/>
      <c r="Y499" s="601"/>
      <c r="Z499" s="601"/>
      <c r="AB499" s="52"/>
      <c r="AC499" s="52"/>
      <c r="AF499" s="541"/>
    </row>
    <row r="500" spans="1:32" ht="18" customHeight="1" thickTop="1" thickBot="1" x14ac:dyDescent="0.25">
      <c r="A500" s="40" t="s">
        <v>754</v>
      </c>
      <c r="B500" s="46">
        <f>IFERROR(Y22*1,"0")+IFERROR(Y26*1,"0")+IFERROR(Y27*1,"0")+IFERROR(Y28*1,"0")+IFERROR(Y29*1,"0")+IFERROR(Y30*1,"0")+IFERROR(Y34*1,"0")</f>
        <v>5.04</v>
      </c>
      <c r="C500" s="46">
        <f>IFERROR(Y40*1,"0")+IFERROR(Y41*1,"0")+IFERROR(Y42*1,"0")+IFERROR(Y46*1,"0")</f>
        <v>66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123.00000000000001</v>
      </c>
      <c r="E500" s="46">
        <f>IFERROR(Y85*1,"0")+IFERROR(Y86*1,"0")+IFERROR(Y87*1,"0")+IFERROR(Y91*1,"0")+IFERROR(Y92*1,"0")+IFERROR(Y93*1,"0")+IFERROR(Y94*1,"0")</f>
        <v>63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82.199999999999989</v>
      </c>
      <c r="G500" s="46">
        <f>IFERROR(Y124*1,"0")+IFERROR(Y125*1,"0")+IFERROR(Y129*1,"0")+IFERROR(Y130*1,"0")+IFERROR(Y134*1,"0")+IFERROR(Y135*1,"0")</f>
        <v>8.3999999999999986</v>
      </c>
      <c r="H500" s="46">
        <f>IFERROR(Y140*1,"0")+IFERROR(Y141*1,"0")+IFERROR(Y142*1,"0")+IFERROR(Y146*1,"0")+IFERROR(Y147*1,"0")+IFERROR(Y148*1,"0")+IFERROR(Y152*1,"0")</f>
        <v>42.6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127.50000000000001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169.19999999999996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236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19.2</v>
      </c>
      <c r="P500" s="46">
        <f>IFERROR(Y279*1,"0")+IFERROR(Y280*1,"0")+IFERROR(Y284*1,"0")+IFERROR(Y285*1,"0")</f>
        <v>20.399999999999999</v>
      </c>
      <c r="Q500" s="46">
        <f>IFERROR(Y290*1,"0")+IFERROR(Y291*1,"0")+IFERROR(Y292*1,"0")+IFERROR(Y293*1,"0")+IFERROR(Y294*1,"0")+IFERROR(Y295*1,"0")+IFERROR(Y299*1,"0")+IFERROR(Y300*1,"0")+IFERROR(Y301*1,"0")+IFERROR(Y302*1,"0")+IFERROR(Y303*1,"0")+IFERROR(Y304*1,"0")+IFERROR(Y305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1636.24</v>
      </c>
      <c r="R500" s="46">
        <f>IFERROR(Y336*1,"0")+IFERROR(Y337*1,"0")+IFERROR(Y338*1,"0")</f>
        <v>93.6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1467</v>
      </c>
      <c r="T500" s="46">
        <f>IFERROR(Y369*1,"0")+IFERROR(Y370*1,"0")+IFERROR(Y374*1,"0")+IFERROR(Y375*1,"0")+IFERROR(Y379*1,"0")+IFERROR(Y380*1,"0")</f>
        <v>31.14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95.4</v>
      </c>
      <c r="V500" s="46">
        <f>IFERROR(Y404*1,"0")+IFERROR(Y408*1,"0")+IFERROR(Y409*1,"0")+IFERROR(Y410*1,"0")+IFERROR(Y411*1,"0")</f>
        <v>39.599999999999994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100.08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129</v>
      </c>
      <c r="Z500" s="46">
        <f>IFERROR(Y487*1,"0")</f>
        <v>0</v>
      </c>
      <c r="AB500" s="52"/>
      <c r="AC500" s="52"/>
      <c r="AF500" s="541"/>
    </row>
  </sheetData>
  <sheetProtection algorithmName="SHA-512" hashValue="hK0N+qEEgGj8vDV5GDdE9jMERQF/AlvO+L2y4gJUOuRM2fPhLZ8Gd7XG8fKZE+JS04AbtHY/uRL3xHJDiFo5IA==" saltValue="fIJzR0R2D+4i/tOIfgbJhw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0,50"/>
        <filter val="10,56"/>
        <filter val="104,00"/>
        <filter val="107,40"/>
        <filter val="108,00"/>
        <filter val="11,00"/>
        <filter val="12,00"/>
        <filter val="12,60"/>
        <filter val="126,00"/>
        <filter val="127,50"/>
        <filter val="13,00"/>
        <filter val="13,14"/>
        <filter val="13,50"/>
        <filter val="136,80"/>
        <filter val="15,60"/>
        <filter val="16,00"/>
        <filter val="16,20"/>
        <filter val="16,80"/>
        <filter val="18,00"/>
        <filter val="19,20"/>
        <filter val="2,00"/>
        <filter val="2,52"/>
        <filter val="2,55"/>
        <filter val="20,00"/>
        <filter val="20,40"/>
        <filter val="21,00"/>
        <filter val="21,60"/>
        <filter val="21,90"/>
        <filter val="22,50"/>
        <filter val="23,40"/>
        <filter val="236,00"/>
        <filter val="24,30"/>
        <filter val="25,00"/>
        <filter val="25,20"/>
        <filter val="252,90"/>
        <filter val="26,40"/>
        <filter val="27,00"/>
        <filter val="29,00"/>
        <filter val="3,00"/>
        <filter val="3,04"/>
        <filter val="30,60"/>
        <filter val="31,50"/>
        <filter val="31,68"/>
        <filter val="32,40"/>
        <filter val="324,00"/>
        <filter val="36,00"/>
        <filter val="39,60"/>
        <filter val="4 554,60"/>
        <filter val="4 766,74"/>
        <filter val="4 966,74"/>
        <filter val="4,00"/>
        <filter val="4,80"/>
        <filter val="40,50"/>
        <filter val="42,00"/>
        <filter val="42,24"/>
        <filter val="456,00"/>
        <filter val="46,00"/>
        <filter val="48,00"/>
        <filter val="5,00"/>
        <filter val="5,04"/>
        <filter val="5,40"/>
        <filter val="54,00"/>
        <filter val="58,80"/>
        <filter val="6,00"/>
        <filter val="6,30"/>
        <filter val="636,00"/>
        <filter val="65,00"/>
        <filter val="66,00"/>
        <filter val="67,50"/>
        <filter val="7,00"/>
        <filter val="7,20"/>
        <filter val="7,80"/>
        <filter val="720,00"/>
        <filter val="780,00"/>
        <filter val="8"/>
        <filter val="8,00"/>
        <filter val="8,14"/>
        <filter val="8,40"/>
        <filter val="81,00"/>
        <filter val="811,80"/>
        <filter val="84,00"/>
        <filter val="9,00"/>
        <filter val="9,60"/>
        <filter val="90,60"/>
        <filter val="93,60"/>
      </filters>
    </filterColumn>
    <filterColumn colId="29" showButton="0"/>
    <filterColumn colId="30" showButton="0"/>
  </autoFilter>
  <mergeCells count="876">
    <mergeCell ref="L498:L499"/>
    <mergeCell ref="P444:T444"/>
    <mergeCell ref="D250:E250"/>
    <mergeCell ref="A188:O189"/>
    <mergeCell ref="X17:X18"/>
    <mergeCell ref="D408:E408"/>
    <mergeCell ref="P216:V216"/>
    <mergeCell ref="A8:C8"/>
    <mergeCell ref="P76:V76"/>
    <mergeCell ref="A128:Z128"/>
    <mergeCell ref="A268:O269"/>
    <mergeCell ref="A10:C10"/>
    <mergeCell ref="P361:V361"/>
    <mergeCell ref="P69:V69"/>
    <mergeCell ref="A21:Z21"/>
    <mergeCell ref="A415:Z415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V12:W12"/>
    <mergeCell ref="D191:E191"/>
    <mergeCell ref="A245:Z245"/>
    <mergeCell ref="P43:V43"/>
    <mergeCell ref="A39:Z39"/>
    <mergeCell ref="P85:T85"/>
    <mergeCell ref="P60:T60"/>
    <mergeCell ref="D291:E291"/>
    <mergeCell ref="D266:E266"/>
    <mergeCell ref="Y17:Y18"/>
    <mergeCell ref="A260:O261"/>
    <mergeCell ref="P124:T124"/>
    <mergeCell ref="U17:V17"/>
    <mergeCell ref="A103:O104"/>
    <mergeCell ref="M17:M18"/>
    <mergeCell ref="O17:O18"/>
    <mergeCell ref="P114:T114"/>
    <mergeCell ref="P70:V70"/>
    <mergeCell ref="D86:E86"/>
    <mergeCell ref="P101:T101"/>
    <mergeCell ref="A136:O137"/>
    <mergeCell ref="A254:Z254"/>
    <mergeCell ref="P181:T181"/>
    <mergeCell ref="F17:F18"/>
    <mergeCell ref="Q5:R5"/>
    <mergeCell ref="D107:E107"/>
    <mergeCell ref="P291:T291"/>
    <mergeCell ref="D163:E163"/>
    <mergeCell ref="D234:E234"/>
    <mergeCell ref="P228:T228"/>
    <mergeCell ref="D171:E171"/>
    <mergeCell ref="P355:T355"/>
    <mergeCell ref="D336:E336"/>
    <mergeCell ref="P293:T293"/>
    <mergeCell ref="A149:O150"/>
    <mergeCell ref="Q6:R6"/>
    <mergeCell ref="P200:T200"/>
    <mergeCell ref="P134:T134"/>
    <mergeCell ref="A251:O252"/>
    <mergeCell ref="P292:T292"/>
    <mergeCell ref="D102:E102"/>
    <mergeCell ref="P81:V81"/>
    <mergeCell ref="A33:Z33"/>
    <mergeCell ref="D196:E196"/>
    <mergeCell ref="A126:O127"/>
    <mergeCell ref="P294:T294"/>
    <mergeCell ref="P23:V23"/>
    <mergeCell ref="A206:Z206"/>
    <mergeCell ref="M498:M499"/>
    <mergeCell ref="O498:O499"/>
    <mergeCell ref="D249:E249"/>
    <mergeCell ref="A476:Z476"/>
    <mergeCell ref="D170:E170"/>
    <mergeCell ref="D468:E468"/>
    <mergeCell ref="P132:V132"/>
    <mergeCell ref="P72:T72"/>
    <mergeCell ref="A31:O32"/>
    <mergeCell ref="P370:T370"/>
    <mergeCell ref="D242:E242"/>
    <mergeCell ref="A315:Z315"/>
    <mergeCell ref="P199:T199"/>
    <mergeCell ref="P436:T436"/>
    <mergeCell ref="U497:W497"/>
    <mergeCell ref="P381:V381"/>
    <mergeCell ref="A262:Z262"/>
    <mergeCell ref="D54:E54"/>
    <mergeCell ref="P160:V160"/>
    <mergeCell ref="P447:T447"/>
    <mergeCell ref="P410:T410"/>
    <mergeCell ref="P372:V372"/>
    <mergeCell ref="D331:E331"/>
    <mergeCell ref="D355:E355"/>
    <mergeCell ref="P493:V493"/>
    <mergeCell ref="D452:E452"/>
    <mergeCell ref="P371:V371"/>
    <mergeCell ref="P408:T408"/>
    <mergeCell ref="P137:V137"/>
    <mergeCell ref="D247:E247"/>
    <mergeCell ref="P495:V495"/>
    <mergeCell ref="P351:V351"/>
    <mergeCell ref="P239:V239"/>
    <mergeCell ref="D293:E293"/>
    <mergeCell ref="P360:T360"/>
    <mergeCell ref="P492:V492"/>
    <mergeCell ref="P286:V286"/>
    <mergeCell ref="P479:V479"/>
    <mergeCell ref="A339:O340"/>
    <mergeCell ref="D318:E318"/>
    <mergeCell ref="D389:E389"/>
    <mergeCell ref="P201:T201"/>
    <mergeCell ref="P176:T176"/>
    <mergeCell ref="P247:T247"/>
    <mergeCell ref="A328:Z328"/>
    <mergeCell ref="A157:Z157"/>
    <mergeCell ref="D447:E447"/>
    <mergeCell ref="P301:T301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F5:G5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V11:W11"/>
    <mergeCell ref="A326:O327"/>
    <mergeCell ref="D165:E165"/>
    <mergeCell ref="P75:T75"/>
    <mergeCell ref="P2:W3"/>
    <mergeCell ref="A57:O58"/>
    <mergeCell ref="D437:E437"/>
    <mergeCell ref="P369:T369"/>
    <mergeCell ref="P198:T198"/>
    <mergeCell ref="P347:T347"/>
    <mergeCell ref="P54:T54"/>
    <mergeCell ref="A371:O372"/>
    <mergeCell ref="D228:E228"/>
    <mergeCell ref="D404:E404"/>
    <mergeCell ref="A289:Z289"/>
    <mergeCell ref="A23:O24"/>
    <mergeCell ref="D10:E10"/>
    <mergeCell ref="P135:T135"/>
    <mergeCell ref="P191:T191"/>
    <mergeCell ref="D34:E34"/>
    <mergeCell ref="D305:E305"/>
    <mergeCell ref="F10:G10"/>
    <mergeCell ref="P349:T349"/>
    <mergeCell ref="D99:E99"/>
    <mergeCell ref="P406:V406"/>
    <mergeCell ref="P317:T317"/>
    <mergeCell ref="D323:E323"/>
    <mergeCell ref="D152:E152"/>
    <mergeCell ref="C498:C499"/>
    <mergeCell ref="P336:T336"/>
    <mergeCell ref="P131:V131"/>
    <mergeCell ref="E498:E499"/>
    <mergeCell ref="P494:V494"/>
    <mergeCell ref="P430:T430"/>
    <mergeCell ref="P102:T102"/>
    <mergeCell ref="P189:V189"/>
    <mergeCell ref="A185:Z185"/>
    <mergeCell ref="P196:T196"/>
    <mergeCell ref="P287:V287"/>
    <mergeCell ref="D177:E177"/>
    <mergeCell ref="A313:O314"/>
    <mergeCell ref="P354:T354"/>
    <mergeCell ref="P352:V352"/>
    <mergeCell ref="P281:V281"/>
    <mergeCell ref="D226:E226"/>
    <mergeCell ref="X498:X499"/>
    <mergeCell ref="P474:V474"/>
    <mergeCell ref="P103:V103"/>
    <mergeCell ref="A155:Z155"/>
    <mergeCell ref="P401:V401"/>
    <mergeCell ref="P268:V268"/>
    <mergeCell ref="P339:V339"/>
    <mergeCell ref="A457:Z457"/>
    <mergeCell ref="P107:T107"/>
    <mergeCell ref="A478:O479"/>
    <mergeCell ref="P348:T348"/>
    <mergeCell ref="D294:E294"/>
    <mergeCell ref="A298:Z298"/>
    <mergeCell ref="P323:T323"/>
    <mergeCell ref="A414:Z414"/>
    <mergeCell ref="D231:E231"/>
    <mergeCell ref="A156:Z156"/>
    <mergeCell ref="P116:V116"/>
    <mergeCell ref="D386:E386"/>
    <mergeCell ref="D215:E215"/>
    <mergeCell ref="P194:V194"/>
    <mergeCell ref="D164:E164"/>
    <mergeCell ref="D462:E462"/>
    <mergeCell ref="D394:E394"/>
    <mergeCell ref="D279:E279"/>
    <mergeCell ref="P146:T146"/>
    <mergeCell ref="D436:E436"/>
    <mergeCell ref="D292:E292"/>
    <mergeCell ref="P346:T346"/>
    <mergeCell ref="A243:O244"/>
    <mergeCell ref="D227:E227"/>
    <mergeCell ref="A463:O464"/>
    <mergeCell ref="A9:C9"/>
    <mergeCell ref="P125:T125"/>
    <mergeCell ref="D202:E202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P62:T62"/>
    <mergeCell ref="D29:E29"/>
    <mergeCell ref="D265:E265"/>
    <mergeCell ref="A20:Z20"/>
    <mergeCell ref="N17:N18"/>
    <mergeCell ref="P295:T295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P120:V120"/>
    <mergeCell ref="D299:E299"/>
    <mergeCell ref="D370:E370"/>
    <mergeCell ref="P405:V405"/>
    <mergeCell ref="P399:T399"/>
    <mergeCell ref="P413:V413"/>
    <mergeCell ref="A403:Z403"/>
    <mergeCell ref="P121:V121"/>
    <mergeCell ref="P382:V382"/>
    <mergeCell ref="P357:V357"/>
    <mergeCell ref="D459:E459"/>
    <mergeCell ref="P130:T130"/>
    <mergeCell ref="A271:Z271"/>
    <mergeCell ref="P240:V240"/>
    <mergeCell ref="Y498:Y499"/>
    <mergeCell ref="A412:O413"/>
    <mergeCell ref="P498:P499"/>
    <mergeCell ref="AB17:AB18"/>
    <mergeCell ref="I497:R497"/>
    <mergeCell ref="A90:Z90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A278:Z278"/>
    <mergeCell ref="P487:T487"/>
    <mergeCell ref="A235:O236"/>
    <mergeCell ref="A288:Z288"/>
    <mergeCell ref="P318:T318"/>
    <mergeCell ref="P256:T256"/>
    <mergeCell ref="V6:W9"/>
    <mergeCell ref="D199:E199"/>
    <mergeCell ref="D364:E364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460:T460"/>
    <mergeCell ref="P398:T398"/>
    <mergeCell ref="P227:T227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A224:Z224"/>
    <mergeCell ref="P108:T108"/>
    <mergeCell ref="A435:Z435"/>
    <mergeCell ref="P106:T106"/>
    <mergeCell ref="P177:T177"/>
    <mergeCell ref="P93:T93"/>
    <mergeCell ref="D85:E85"/>
    <mergeCell ref="A81:O82"/>
    <mergeCell ref="P57:V57"/>
    <mergeCell ref="G17:G18"/>
    <mergeCell ref="D80:E80"/>
    <mergeCell ref="P46:T46"/>
    <mergeCell ref="D225:E225"/>
    <mergeCell ref="P409:T409"/>
    <mergeCell ref="D461:E461"/>
    <mergeCell ref="P61:T61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P483:V483"/>
    <mergeCell ref="D181:E181"/>
    <mergeCell ref="A221:O222"/>
    <mergeCell ref="P91:T91"/>
    <mergeCell ref="A286:O287"/>
    <mergeCell ref="D273:E273"/>
    <mergeCell ref="P252:V252"/>
    <mergeCell ref="P366:V366"/>
    <mergeCell ref="P212:T212"/>
    <mergeCell ref="D200:E200"/>
    <mergeCell ref="P359:T359"/>
    <mergeCell ref="A178:O179"/>
    <mergeCell ref="J9:M9"/>
    <mergeCell ref="A296:O297"/>
    <mergeCell ref="D112:E112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285:E285"/>
    <mergeCell ref="D176:E176"/>
    <mergeCell ref="D114:E114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A138:Z138"/>
    <mergeCell ref="P307:V307"/>
    <mergeCell ref="P380:T380"/>
    <mergeCell ref="P58:V58"/>
    <mergeCell ref="A13:M13"/>
    <mergeCell ref="P244:V244"/>
    <mergeCell ref="A367:Z367"/>
    <mergeCell ref="P115:T115"/>
    <mergeCell ref="D61:E61"/>
    <mergeCell ref="A15:M15"/>
    <mergeCell ref="P238:T238"/>
    <mergeCell ref="A88:O89"/>
    <mergeCell ref="D346:E346"/>
    <mergeCell ref="P229:T229"/>
    <mergeCell ref="A419:Z419"/>
    <mergeCell ref="D477:E477"/>
    <mergeCell ref="A153:O154"/>
    <mergeCell ref="A133:Z133"/>
    <mergeCell ref="P375:T375"/>
    <mergeCell ref="D125:E125"/>
    <mergeCell ref="P446:T446"/>
    <mergeCell ref="P207:T207"/>
    <mergeCell ref="Q10:R10"/>
    <mergeCell ref="D41:E41"/>
    <mergeCell ref="A490:O495"/>
    <mergeCell ref="A37:Z37"/>
    <mergeCell ref="P320:V320"/>
    <mergeCell ref="A145:Z145"/>
    <mergeCell ref="P149:V149"/>
    <mergeCell ref="P314:V314"/>
    <mergeCell ref="P387:T387"/>
    <mergeCell ref="A139:Z139"/>
    <mergeCell ref="D422:E422"/>
    <mergeCell ref="D74:E74"/>
    <mergeCell ref="D130:E130"/>
    <mergeCell ref="P87:T87"/>
    <mergeCell ref="P451:T451"/>
    <mergeCell ref="P449:V449"/>
    <mergeCell ref="D201:E201"/>
    <mergeCell ref="A204:O205"/>
    <mergeCell ref="D68:E68"/>
    <mergeCell ref="P126:V126"/>
    <mergeCell ref="D424:E424"/>
    <mergeCell ref="P322:T322"/>
    <mergeCell ref="P211:T211"/>
    <mergeCell ref="D399:E399"/>
    <mergeCell ref="T5:U5"/>
    <mergeCell ref="D119:E119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D233:E233"/>
    <mergeCell ref="D338:E338"/>
    <mergeCell ref="D409:E409"/>
    <mergeCell ref="Q8:R8"/>
    <mergeCell ref="P311:T311"/>
    <mergeCell ref="P140:T140"/>
    <mergeCell ref="P438:T438"/>
    <mergeCell ref="D444:E444"/>
    <mergeCell ref="P267:T267"/>
    <mergeCell ref="D248:E248"/>
    <mergeCell ref="D219:E219"/>
    <mergeCell ref="P425:T425"/>
    <mergeCell ref="T6:U9"/>
    <mergeCell ref="P319:V319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P163:T163"/>
    <mergeCell ref="A353:Z353"/>
    <mergeCell ref="A111:Z111"/>
    <mergeCell ref="A480:Z480"/>
    <mergeCell ref="D467:E467"/>
    <mergeCell ref="P424:T424"/>
    <mergeCell ref="D345:E345"/>
    <mergeCell ref="A439:O440"/>
    <mergeCell ref="P309:T309"/>
    <mergeCell ref="D295:E295"/>
    <mergeCell ref="P51:T51"/>
    <mergeCell ref="P26:T26"/>
    <mergeCell ref="P324:T324"/>
    <mergeCell ref="A143:O144"/>
    <mergeCell ref="P15:T16"/>
    <mergeCell ref="A275:O276"/>
    <mergeCell ref="P219:T219"/>
    <mergeCell ref="A335:Z335"/>
    <mergeCell ref="D162:E162"/>
    <mergeCell ref="P272:T272"/>
    <mergeCell ref="D460:E460"/>
    <mergeCell ref="P210:T210"/>
    <mergeCell ref="P439:V439"/>
    <mergeCell ref="D398:E398"/>
    <mergeCell ref="D91:E91"/>
    <mergeCell ref="P433:V433"/>
    <mergeCell ref="A69:O70"/>
    <mergeCell ref="D106:E106"/>
    <mergeCell ref="D416:E416"/>
    <mergeCell ref="P427:T427"/>
    <mergeCell ref="D264:E264"/>
    <mergeCell ref="D93:E93"/>
    <mergeCell ref="D391:E391"/>
    <mergeCell ref="D220:E220"/>
    <mergeCell ref="A195:Z195"/>
    <mergeCell ref="P297:V297"/>
    <mergeCell ref="P285:T285"/>
    <mergeCell ref="P136:V136"/>
    <mergeCell ref="A483:O484"/>
    <mergeCell ref="D169:E169"/>
    <mergeCell ref="P204:V204"/>
    <mergeCell ref="P82:V82"/>
    <mergeCell ref="P440:V440"/>
    <mergeCell ref="P303:T303"/>
    <mergeCell ref="D330:E330"/>
    <mergeCell ref="P305:T305"/>
    <mergeCell ref="A421:Z421"/>
    <mergeCell ref="A98:Z98"/>
    <mergeCell ref="P306:V306"/>
    <mergeCell ref="D350:E350"/>
    <mergeCell ref="P110:V110"/>
    <mergeCell ref="D325:E325"/>
    <mergeCell ref="P208:T208"/>
    <mergeCell ref="P484:V484"/>
    <mergeCell ref="P434:V434"/>
    <mergeCell ref="A433:O434"/>
    <mergeCell ref="A253:Z253"/>
    <mergeCell ref="A131:O132"/>
    <mergeCell ref="P299:T299"/>
    <mergeCell ref="P172:V172"/>
    <mergeCell ref="P150:V150"/>
    <mergeCell ref="P221:V221"/>
    <mergeCell ref="P491:V491"/>
    <mergeCell ref="P127:V127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A118:Z118"/>
    <mergeCell ref="P300:T300"/>
    <mergeCell ref="A17:A18"/>
    <mergeCell ref="C17:C18"/>
    <mergeCell ref="K17:K18"/>
    <mergeCell ref="P431:T431"/>
    <mergeCell ref="A488:O489"/>
    <mergeCell ref="D230:E230"/>
    <mergeCell ref="D168:E168"/>
    <mergeCell ref="D466:E466"/>
    <mergeCell ref="K498:K499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26:E26"/>
    <mergeCell ref="D324:E324"/>
    <mergeCell ref="D311:E311"/>
    <mergeCell ref="D115:E115"/>
    <mergeCell ref="P55:T55"/>
    <mergeCell ref="P417:V417"/>
    <mergeCell ref="P280:T280"/>
    <mergeCell ref="Q12:R12"/>
    <mergeCell ref="P169:T169"/>
    <mergeCell ref="P411:T411"/>
    <mergeCell ref="P467:T467"/>
    <mergeCell ref="P442:T442"/>
    <mergeCell ref="P489:V489"/>
    <mergeCell ref="D388:E388"/>
    <mergeCell ref="Q9:R9"/>
    <mergeCell ref="P312:T312"/>
    <mergeCell ref="D451:E451"/>
    <mergeCell ref="D255:E255"/>
    <mergeCell ref="P36:V36"/>
    <mergeCell ref="P478:V478"/>
    <mergeCell ref="A97:Z97"/>
    <mergeCell ref="D322:E322"/>
    <mergeCell ref="Q11:R11"/>
    <mergeCell ref="P119:T119"/>
    <mergeCell ref="P183:V183"/>
    <mergeCell ref="P246:T246"/>
    <mergeCell ref="A43:O44"/>
    <mergeCell ref="D390:E390"/>
    <mergeCell ref="A123:Z123"/>
    <mergeCell ref="P66:T66"/>
    <mergeCell ref="D9:E9"/>
    <mergeCell ref="P197:T197"/>
    <mergeCell ref="F9:G9"/>
    <mergeCell ref="P53:T53"/>
    <mergeCell ref="D167:E167"/>
    <mergeCell ref="P422:T422"/>
    <mergeCell ref="D232:E232"/>
    <mergeCell ref="A263:Z263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178:V178"/>
    <mergeCell ref="P276:V276"/>
    <mergeCell ref="P463:V463"/>
    <mergeCell ref="P264:T264"/>
    <mergeCell ref="P68:T68"/>
    <mergeCell ref="A356:O357"/>
    <mergeCell ref="D52:E52"/>
    <mergeCell ref="D27:E27"/>
    <mergeCell ref="P326:V326"/>
    <mergeCell ref="P393:T393"/>
    <mergeCell ref="D374:E374"/>
    <mergeCell ref="D203:E203"/>
    <mergeCell ref="P232:T232"/>
    <mergeCell ref="P330:T330"/>
    <mergeCell ref="D140:E140"/>
    <mergeCell ref="D438:E438"/>
    <mergeCell ref="P429:T429"/>
    <mergeCell ref="P258:T258"/>
    <mergeCell ref="D369:E369"/>
    <mergeCell ref="P423:T423"/>
    <mergeCell ref="A182:O183"/>
    <mergeCell ref="P52:T52"/>
    <mergeCell ref="D108:E108"/>
    <mergeCell ref="P350:T350"/>
    <mergeCell ref="D267:E267"/>
    <mergeCell ref="D425:E425"/>
    <mergeCell ref="D359:E359"/>
    <mergeCell ref="P56:T56"/>
    <mergeCell ref="P344:T344"/>
    <mergeCell ref="A400:O401"/>
    <mergeCell ref="D257:E257"/>
    <mergeCell ref="P214:T214"/>
    <mergeCell ref="D213:E213"/>
    <mergeCell ref="D1:F1"/>
    <mergeCell ref="P466:T466"/>
    <mergeCell ref="A71:Z71"/>
    <mergeCell ref="P488:V488"/>
    <mergeCell ref="P282:V282"/>
    <mergeCell ref="J17:J18"/>
    <mergeCell ref="L17:L18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A308:Z308"/>
    <mergeCell ref="A116:O117"/>
    <mergeCell ref="P428:T428"/>
    <mergeCell ref="D100:E100"/>
    <mergeCell ref="P284:T284"/>
    <mergeCell ref="P113:T113"/>
    <mergeCell ref="P17:T18"/>
    <mergeCell ref="A471:Z471"/>
    <mergeCell ref="P482:T482"/>
    <mergeCell ref="D354:E354"/>
    <mergeCell ref="A332:O333"/>
    <mergeCell ref="U498:U499"/>
    <mergeCell ref="P475:V475"/>
    <mergeCell ref="W498:W499"/>
    <mergeCell ref="P269:V269"/>
    <mergeCell ref="A45:Z45"/>
    <mergeCell ref="A458:Z458"/>
    <mergeCell ref="A343:Z343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80:E380"/>
    <mergeCell ref="P337:T337"/>
    <mergeCell ref="D209:E209"/>
    <mergeCell ref="P188:V188"/>
    <mergeCell ref="P166:T166"/>
    <mergeCell ref="D445:E445"/>
    <mergeCell ref="H1:Q1"/>
    <mergeCell ref="A448:O449"/>
    <mergeCell ref="P109:V109"/>
    <mergeCell ref="A397:Z397"/>
    <mergeCell ref="D214:E214"/>
    <mergeCell ref="D284:E284"/>
    <mergeCell ref="P222:V222"/>
    <mergeCell ref="P193:V193"/>
    <mergeCell ref="D259:E259"/>
    <mergeCell ref="D28:E28"/>
    <mergeCell ref="D432:E432"/>
    <mergeCell ref="P171:T171"/>
    <mergeCell ref="P340:V340"/>
    <mergeCell ref="A239:O240"/>
    <mergeCell ref="P242:T242"/>
    <mergeCell ref="A95:O96"/>
    <mergeCell ref="D92:E92"/>
    <mergeCell ref="D55:E55"/>
    <mergeCell ref="D30:E30"/>
    <mergeCell ref="D67:E67"/>
    <mergeCell ref="D5:E5"/>
    <mergeCell ref="D303:E303"/>
    <mergeCell ref="P42:T42"/>
    <mergeCell ref="D290:E290"/>
    <mergeCell ref="A498:A499"/>
    <mergeCell ref="P265:T265"/>
    <mergeCell ref="P94:T94"/>
    <mergeCell ref="D379:E379"/>
    <mergeCell ref="D208:E208"/>
    <mergeCell ref="D8:M8"/>
    <mergeCell ref="D300:E300"/>
    <mergeCell ref="P473:T473"/>
    <mergeCell ref="P329:T329"/>
    <mergeCell ref="P158:T158"/>
    <mergeCell ref="P251:V251"/>
    <mergeCell ref="A241:Z241"/>
    <mergeCell ref="P266:T266"/>
    <mergeCell ref="P331:T331"/>
    <mergeCell ref="P182:V182"/>
    <mergeCell ref="S497:T497"/>
    <mergeCell ref="V498:V499"/>
    <mergeCell ref="P453:T453"/>
    <mergeCell ref="A474:O475"/>
    <mergeCell ref="D94:E94"/>
    <mergeCell ref="P396:V396"/>
    <mergeCell ref="A395:O396"/>
    <mergeCell ref="P259:T259"/>
    <mergeCell ref="P148:T148"/>
    <mergeCell ref="D7:M7"/>
    <mergeCell ref="A373:Z373"/>
    <mergeCell ref="A405:O406"/>
    <mergeCell ref="D79:E79"/>
    <mergeCell ref="P327:V327"/>
    <mergeCell ref="P92:T92"/>
    <mergeCell ref="A450:Z450"/>
    <mergeCell ref="P394:T394"/>
    <mergeCell ref="D442:E442"/>
    <mergeCell ref="D302:E302"/>
    <mergeCell ref="D429:E429"/>
    <mergeCell ref="A159:O160"/>
    <mergeCell ref="P29:T29"/>
    <mergeCell ref="P100:T100"/>
    <mergeCell ref="A109:O110"/>
    <mergeCell ref="A47:O48"/>
    <mergeCell ref="P35:V35"/>
    <mergeCell ref="D274:E274"/>
    <mergeCell ref="D301:E301"/>
    <mergeCell ref="D147:E147"/>
    <mergeCell ref="D87:E87"/>
    <mergeCell ref="A105:Z105"/>
    <mergeCell ref="P230:T230"/>
    <mergeCell ref="D211:E211"/>
    <mergeCell ref="T498:T499"/>
    <mergeCell ref="P443:T443"/>
    <mergeCell ref="D197:E197"/>
    <mergeCell ref="D53:E53"/>
    <mergeCell ref="A84:Z84"/>
    <mergeCell ref="D411:E411"/>
    <mergeCell ref="P159:V15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P96:V96"/>
    <mergeCell ref="P261:V261"/>
    <mergeCell ref="P332:V332"/>
    <mergeCell ref="P217:V217"/>
    <mergeCell ref="A384:Z384"/>
    <mergeCell ref="A151:Z151"/>
    <mergeCell ref="A306:O307"/>
    <mergeCell ref="A376:O377"/>
    <mergeCell ref="P234:T234"/>
    <mergeCell ref="V10:W10"/>
    <mergeCell ref="P379:T379"/>
    <mergeCell ref="D360:E360"/>
    <mergeCell ref="D431:E431"/>
    <mergeCell ref="P99:T99"/>
    <mergeCell ref="P170:T170"/>
    <mergeCell ref="P468:T468"/>
    <mergeCell ref="P316:T316"/>
    <mergeCell ref="D66:E66"/>
    <mergeCell ref="A50:Z50"/>
    <mergeCell ref="W17:W18"/>
    <mergeCell ref="P154:V154"/>
    <mergeCell ref="A321:Z321"/>
    <mergeCell ref="D142:E142"/>
    <mergeCell ref="A120:O121"/>
    <mergeCell ref="D129:E129"/>
    <mergeCell ref="P168:T168"/>
    <mergeCell ref="P129:T129"/>
    <mergeCell ref="P250:T250"/>
    <mergeCell ref="D329:E329"/>
    <mergeCell ref="D158:E158"/>
    <mergeCell ref="A402:Z402"/>
    <mergeCell ref="D229:E229"/>
    <mergeCell ref="P79:T79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P152:T152"/>
    <mergeCell ref="P77:V77"/>
    <mergeCell ref="D73:E73"/>
    <mergeCell ref="A76:O77"/>
    <mergeCell ref="P30:T30"/>
    <mergeCell ref="P179:V179"/>
    <mergeCell ref="P290:T290"/>
    <mergeCell ref="P377:V377"/>
    <mergeCell ref="A63:O64"/>
    <mergeCell ref="B17:B18"/>
    <mergeCell ref="P143:V143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88:V88"/>
    <mergeCell ref="A78:Z78"/>
    <mergeCell ref="P153:V153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D134:E134"/>
    <mergeCell ref="P249:T249"/>
    <mergeCell ref="D124:E124"/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A83:Z83"/>
    <mergeCell ref="D410:E410"/>
    <mergeCell ref="A441:Z441"/>
    <mergeCell ref="A270:Z270"/>
    <mergeCell ref="A368:Z368"/>
    <mergeCell ref="P391:T391"/>
    <mergeCell ref="D426:E426"/>
    <mergeCell ref="P464:V464"/>
    <mergeCell ref="P452:T452"/>
    <mergeCell ref="P448:V448"/>
    <mergeCell ref="P404:T404"/>
    <mergeCell ref="A469:O470"/>
    <mergeCell ref="P187:T187"/>
    <mergeCell ref="D375:E37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6 X148 X163 X165:X167 X169 X187 X196:X201 X203 X209:X215 X219 X228 X233 X255 X257 X259 X274 X285 X291:X292 X294:X295 X299:X300 X302:X303 X305 X309 X312 X316:X318 X325 X336:X338 X350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1lXh5x9XODygI25+U9roULaDsKxCpw1fobLDg8o+lyu82uvuDW0oswV60STYeVOUDSj80dt7RhfVt1Zs6z7RWA==" saltValue="hM04euvJzjFOABa+vZTgD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2025-11-18T10:13:48Z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