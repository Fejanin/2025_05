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055D25-D6F2-4B99-BBEC-365238C9CE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326" i="1" l="1"/>
  <c r="Z188" i="1"/>
  <c r="Z109" i="1"/>
  <c r="Z63" i="1"/>
  <c r="Z286" i="1"/>
  <c r="Z126" i="1"/>
  <c r="Z103" i="1"/>
  <c r="X493" i="1"/>
  <c r="Z463" i="1"/>
  <c r="Z216" i="1"/>
  <c r="Z204" i="1"/>
  <c r="Z483" i="1"/>
  <c r="Z395" i="1"/>
  <c r="Z376" i="1"/>
  <c r="Z296" i="1"/>
  <c r="Z412" i="1"/>
  <c r="Z351" i="1"/>
  <c r="Z193" i="1"/>
  <c r="Z143" i="1"/>
  <c r="Z76" i="1"/>
  <c r="Z43" i="1"/>
  <c r="Z31" i="1"/>
  <c r="Z178" i="1"/>
  <c r="Z439" i="1"/>
  <c r="Z448" i="1"/>
  <c r="Z433" i="1"/>
  <c r="Z306" i="1"/>
  <c r="Z235" i="1"/>
  <c r="Z57" i="1"/>
  <c r="Y492" i="1"/>
  <c r="Z149" i="1"/>
  <c r="Z69" i="1"/>
  <c r="Y490" i="1"/>
  <c r="Z313" i="1"/>
  <c r="Z172" i="1"/>
  <c r="Y494" i="1"/>
  <c r="Y491" i="1"/>
  <c r="Z275" i="1"/>
  <c r="Z116" i="1"/>
  <c r="Z95" i="1"/>
  <c r="Y493" i="1" l="1"/>
  <c r="Z495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<sst xmlns="http://schemas.openxmlformats.org/spreadsheetml/2006/main" count="2350" uniqueCount="771">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</sst>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0.45833333333333331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144</v>
      </c>
      <c r="Y41" s="544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36</v>
      </c>
      <c r="Y43" s="545">
        <f>IFERROR(Y40/H40,"0")+IFERROR(Y41/H41,"0")+IFERROR(Y42/H42,"0")</f>
        <v>36</v>
      </c>
      <c r="Z43" s="545">
        <f>IFERROR(IF(Z40="",0,Z40),"0")+IFERROR(IF(Z41="",0,Z41),"0")+IFERROR(IF(Z42="",0,Z42),"0")</f>
        <v>0.32472000000000001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144</v>
      </c>
      <c r="Y44" s="545">
        <f>IFERROR(SUM(Y40:Y42),"0")</f>
        <v>144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700</v>
      </c>
      <c r="Y52" s="544">
        <f t="shared" si="0"/>
        <v>702</v>
      </c>
      <c r="Z52" s="36">
        <f>IFERROR(IF(Y52=0,"",ROUNDUP(Y52/H52,0)*0.01898),"")</f>
        <v>1.2337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726.57407407407413</v>
      </c>
      <c r="BN52" s="64">
        <f t="shared" si="2"/>
        <v>728.65000000000009</v>
      </c>
      <c r="BO52" s="64">
        <f t="shared" si="3"/>
        <v>1.0127314814814814</v>
      </c>
      <c r="BP52" s="64">
        <f t="shared" si="4"/>
        <v>1.015625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594</v>
      </c>
      <c r="Y56" s="544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619.08000000000004</v>
      </c>
      <c r="BN56" s="64">
        <f t="shared" si="2"/>
        <v>619.08000000000004</v>
      </c>
      <c r="BO56" s="64">
        <f t="shared" si="3"/>
        <v>1</v>
      </c>
      <c r="BP56" s="64">
        <f t="shared" si="4"/>
        <v>1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196.81481481481481</v>
      </c>
      <c r="Y57" s="545">
        <f>IFERROR(Y51/H51,"0")+IFERROR(Y52/H52,"0")+IFERROR(Y53/H53,"0")+IFERROR(Y54/H54,"0")+IFERROR(Y55/H55,"0")+IFERROR(Y56/H56,"0")</f>
        <v>197</v>
      </c>
      <c r="Z57" s="545">
        <f>IFERROR(IF(Z51="",0,Z51),"0")+IFERROR(IF(Z52="",0,Z52),"0")+IFERROR(IF(Z53="",0,Z53),"0")+IFERROR(IF(Z54="",0,Z54),"0")+IFERROR(IF(Z55="",0,Z55),"0")+IFERROR(IF(Z56="",0,Z56),"0")</f>
        <v>2.4243399999999999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1294</v>
      </c>
      <c r="Y58" s="545">
        <f>IFERROR(SUM(Y51:Y56),"0")</f>
        <v>1296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1050</v>
      </c>
      <c r="Y60" s="544">
        <f>IFERROR(IF(X60="",0,CEILING((X60/$H60),1)*$H60),"")</f>
        <v>1058.4000000000001</v>
      </c>
      <c r="Z60" s="36">
        <f>IFERROR(IF(Y60=0,"",ROUNDUP(Y60/H60,0)*0.01898),"")</f>
        <v>1.8600400000000001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1089.8611111111111</v>
      </c>
      <c r="BN60" s="64">
        <f>IFERROR(Y60*I60/H60,"0")</f>
        <v>1098.5800000000002</v>
      </c>
      <c r="BO60" s="64">
        <f>IFERROR(1/J60*(X60/H60),"0")</f>
        <v>1.5190972222222221</v>
      </c>
      <c r="BP60" s="64">
        <f>IFERROR(1/J60*(Y60/H60),"0")</f>
        <v>1.53125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491</v>
      </c>
      <c r="Y62" s="544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279.07407407407408</v>
      </c>
      <c r="Y63" s="545">
        <f>IFERROR(Y60/H60,"0")+IFERROR(Y61/H61,"0")+IFERROR(Y62/H62,"0")</f>
        <v>280</v>
      </c>
      <c r="Z63" s="545">
        <f>IFERROR(IF(Z60="",0,Z60),"0")+IFERROR(IF(Z61="",0,Z61),"0")+IFERROR(IF(Z62="",0,Z62),"0")</f>
        <v>3.0448599999999999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1541</v>
      </c>
      <c r="Y64" s="545">
        <f>IFERROR(SUM(Y60:Y62),"0")</f>
        <v>1549.8000000000002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600</v>
      </c>
      <c r="Y85" s="544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225</v>
      </c>
      <c r="Y87" s="544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105.55555555555554</v>
      </c>
      <c r="Y88" s="545">
        <f>IFERROR(Y85/H85,"0")+IFERROR(Y86/H86,"0")+IFERROR(Y87/H87,"0")</f>
        <v>106</v>
      </c>
      <c r="Z88" s="545">
        <f>IFERROR(IF(Z85="",0,Z85),"0")+IFERROR(IF(Z86="",0,Z86),"0")+IFERROR(IF(Z87="",0,Z87),"0")</f>
        <v>1.5138800000000001</v>
      </c>
      <c r="AA88" s="546"/>
      <c r="AB88" s="546"/>
      <c r="AC88" s="546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825</v>
      </c>
      <c r="Y89" s="545">
        <f>IFERROR(SUM(Y85:Y87),"0")</f>
        <v>829.80000000000007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200</v>
      </c>
      <c r="Y91" s="544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24.691358024691358</v>
      </c>
      <c r="Y95" s="545">
        <f>IFERROR(Y91/H91,"0")+IFERROR(Y92/H92,"0")+IFERROR(Y93/H93,"0")+IFERROR(Y94/H94,"0")</f>
        <v>25</v>
      </c>
      <c r="Z95" s="545">
        <f>IFERROR(IF(Z91="",0,Z91),"0")+IFERROR(IF(Z92="",0,Z92),"0")+IFERROR(IF(Z93="",0,Z93),"0")+IFERROR(IF(Z94="",0,Z94),"0")</f>
        <v>0.47450000000000003</v>
      </c>
      <c r="AA95" s="546"/>
      <c r="AB95" s="546"/>
      <c r="AC95" s="546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200</v>
      </c>
      <c r="Y96" s="545">
        <f>IFERROR(SUM(Y91:Y94),"0")</f>
        <v>202.5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100</v>
      </c>
      <c r="Y99" s="544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9.2592592592592595</v>
      </c>
      <c r="Y103" s="545">
        <f>IFERROR(Y99/H99,"0")+IFERROR(Y100/H100,"0")+IFERROR(Y101/H101,"0")+IFERROR(Y102/H102,"0")</f>
        <v>10</v>
      </c>
      <c r="Z103" s="545">
        <f>IFERROR(IF(Z99="",0,Z99),"0")+IFERROR(IF(Z100="",0,Z100),"0")+IFERROR(IF(Z101="",0,Z101),"0")+IFERROR(IF(Z102="",0,Z102),"0")</f>
        <v>0.1898</v>
      </c>
      <c r="AA103" s="546"/>
      <c r="AB103" s="546"/>
      <c r="AC103" s="546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100</v>
      </c>
      <c r="Y104" s="545">
        <f>IFERROR(SUM(Y99:Y102),"0")</f>
        <v>108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500</v>
      </c>
      <c r="Y112" s="544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61.728395061728399</v>
      </c>
      <c r="Y116" s="545">
        <f>IFERROR(Y112/H112,"0")+IFERROR(Y113/H113,"0")+IFERROR(Y114/H114,"0")+IFERROR(Y115/H115,"0")</f>
        <v>62</v>
      </c>
      <c r="Z116" s="545">
        <f>IFERROR(IF(Z112="",0,Z112),"0")+IFERROR(IF(Z113="",0,Z113),"0")+IFERROR(IF(Z114="",0,Z114),"0")+IFERROR(IF(Z115="",0,Z115),"0")</f>
        <v>1.17676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500</v>
      </c>
      <c r="Y117" s="545">
        <f>IFERROR(SUM(Y112:Y115),"0")</f>
        <v>502.2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60</v>
      </c>
      <c r="Y146" s="544">
        <f>IFERROR(IF(X146="",0,CEILING((X146/$H146),1)*$H146),"")</f>
        <v>63</v>
      </c>
      <c r="Z146" s="36">
        <f>IFERROR(IF(Y146=0,"",ROUNDUP(Y146/H146,0)*0.01898),"")</f>
        <v>0.13286000000000001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63.733333333333334</v>
      </c>
      <c r="BN146" s="64">
        <f>IFERROR(Y146*I146/H146,"0")</f>
        <v>66.920000000000016</v>
      </c>
      <c r="BO146" s="64">
        <f>IFERROR(1/J146*(X146/H146),"0")</f>
        <v>0.10416666666666667</v>
      </c>
      <c r="BP146" s="64">
        <f>IFERROR(1/J146*(Y146/H146),"0")</f>
        <v>0.109375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100</v>
      </c>
      <c r="Y148" s="544">
        <f>IFERROR(IF(X148="",0,CEILING((X148/$H148),1)*$H148),"")</f>
        <v>108</v>
      </c>
      <c r="Z148" s="36">
        <f>IFERROR(IF(Y148=0,"",ROUNDUP(Y148/H148,0)*0.01898),"")</f>
        <v>0.22776000000000002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106.22222222222223</v>
      </c>
      <c r="BN148" s="64">
        <f>IFERROR(Y148*I148/H148,"0")</f>
        <v>114.72</v>
      </c>
      <c r="BO148" s="64">
        <f>IFERROR(1/J148*(X148/H148),"0")</f>
        <v>0.1736111111111111</v>
      </c>
      <c r="BP148" s="64">
        <f>IFERROR(1/J148*(Y148/H148),"0")</f>
        <v>0.1875</v>
      </c>
    </row>
    <row r="149" spans="1:68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17.777777777777779</v>
      </c>
      <c r="Y149" s="545">
        <f>IFERROR(Y146/H146,"0")+IFERROR(Y147/H147,"0")+IFERROR(Y148/H148,"0")</f>
        <v>19</v>
      </c>
      <c r="Z149" s="545">
        <f>IFERROR(IF(Z146="",0,Z146),"0")+IFERROR(IF(Z147="",0,Z147),"0")+IFERROR(IF(Z148="",0,Z148),"0")</f>
        <v>0.36062000000000005</v>
      </c>
      <c r="AA149" s="546"/>
      <c r="AB149" s="546"/>
      <c r="AC149" s="546"/>
    </row>
    <row r="150" spans="1:68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160</v>
      </c>
      <c r="Y150" s="545">
        <f>IFERROR(SUM(Y146:Y148),"0")</f>
        <v>171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100</v>
      </c>
      <c r="Y196" s="544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55.555555555555557</v>
      </c>
      <c r="Y204" s="545">
        <f>IFERROR(Y196/H196,"0")+IFERROR(Y197/H197,"0")+IFERROR(Y198/H198,"0")+IFERROR(Y199/H199,"0")+IFERROR(Y200/H200,"0")+IFERROR(Y201/H201,"0")+IFERROR(Y202/H202,"0")+IFERROR(Y203/H203,"0")</f>
        <v>57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0.51414000000000004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300</v>
      </c>
      <c r="Y205" s="545">
        <f>IFERROR(SUM(Y196:Y203),"0")</f>
        <v>307.8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100</v>
      </c>
      <c r="Y255" s="544">
        <f>IFERROR(IF(X255="",0,CEILING((X255/$H255),1)*$H255),"")</f>
        <v>108</v>
      </c>
      <c r="Z255" s="36">
        <f>IFERROR(IF(Y255=0,"",ROUNDUP(Y255/H255,0)*0.01898),"")</f>
        <v>0.1898</v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103.79629629629629</v>
      </c>
      <c r="BN255" s="64">
        <f>IFERROR(Y255*I255/H255,"0")</f>
        <v>112.1</v>
      </c>
      <c r="BO255" s="64">
        <f>IFERROR(1/J255*(X255/H255),"0")</f>
        <v>0.14467592592592593</v>
      </c>
      <c r="BP255" s="64">
        <f>IFERROR(1/J255*(Y255/H255),"0")</f>
        <v>0.15625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9.2592592592592595</v>
      </c>
      <c r="Y260" s="545">
        <f>IFERROR(Y255/H255,"0")+IFERROR(Y256/H256,"0")+IFERROR(Y257/H257,"0")+IFERROR(Y258/H258,"0")+IFERROR(Y259/H259,"0")</f>
        <v>10</v>
      </c>
      <c r="Z260" s="545">
        <f>IFERROR(IF(Z255="",0,Z255),"0")+IFERROR(IF(Z256="",0,Z256),"0")+IFERROR(IF(Z257="",0,Z257),"0")+IFERROR(IF(Z258="",0,Z258),"0")+IFERROR(IF(Z259="",0,Z259),"0")</f>
        <v>0.1898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100</v>
      </c>
      <c r="Y261" s="545">
        <f>IFERROR(SUM(Y255:Y259),"0")</f>
        <v>108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1200</v>
      </c>
      <c r="Y290" s="544">
        <f t="shared" ref="Y290:Y295" si="26">IFERROR(IF(X290="",0,CEILING((X290/$H290),1)*$H290),"")</f>
        <v>1209.6000000000001</v>
      </c>
      <c r="Z290" s="36">
        <f>IFERROR(IF(Y290=0,"",ROUNDUP(Y290/H290,0)*0.01898),"")</f>
        <v>2.1257600000000001</v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1245.5555555555557</v>
      </c>
      <c r="BN290" s="64">
        <f t="shared" ref="BN290:BN295" si="28">IFERROR(Y290*I290/H290,"0")</f>
        <v>1255.52</v>
      </c>
      <c r="BO290" s="64">
        <f t="shared" ref="BO290:BO295" si="29">IFERROR(1/J290*(X290/H290),"0")</f>
        <v>1.7361111111111109</v>
      </c>
      <c r="BP290" s="64">
        <f t="shared" ref="BP290:BP295" si="30">IFERROR(1/J290*(Y290/H290),"0")</f>
        <v>1.75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200</v>
      </c>
      <c r="Y291" s="544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207.59259259259258</v>
      </c>
      <c r="BN291" s="64">
        <f t="shared" si="28"/>
        <v>212.99</v>
      </c>
      <c r="BO291" s="64">
        <f t="shared" si="29"/>
        <v>0.28935185185185186</v>
      </c>
      <c r="BP291" s="64">
        <f t="shared" si="30"/>
        <v>0.296875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150</v>
      </c>
      <c r="Y292" s="544">
        <f t="shared" si="26"/>
        <v>151.20000000000002</v>
      </c>
      <c r="Z292" s="36">
        <f>IFERROR(IF(Y292=0,"",ROUNDUP(Y292/H292,0)*0.01898),"")</f>
        <v>0.26572000000000001</v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155.69444444444446</v>
      </c>
      <c r="BN292" s="64">
        <f t="shared" si="28"/>
        <v>156.94</v>
      </c>
      <c r="BO292" s="64">
        <f t="shared" si="29"/>
        <v>0.21701388888888887</v>
      </c>
      <c r="BP292" s="64">
        <f t="shared" si="30"/>
        <v>0.21875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200</v>
      </c>
      <c r="Y295" s="544">
        <f t="shared" si="26"/>
        <v>200</v>
      </c>
      <c r="Z295" s="36">
        <f>IFERROR(IF(Y295=0,"",ROUNDUP(Y295/H295,0)*0.00902),"")</f>
        <v>0.45100000000000001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209.50000000000003</v>
      </c>
      <c r="BN295" s="64">
        <f t="shared" si="28"/>
        <v>209.50000000000003</v>
      </c>
      <c r="BO295" s="64">
        <f t="shared" si="29"/>
        <v>0.37878787878787878</v>
      </c>
      <c r="BP295" s="64">
        <f t="shared" si="30"/>
        <v>0.37878787878787878</v>
      </c>
    </row>
    <row r="296" spans="1:68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193.5185185185185</v>
      </c>
      <c r="Y296" s="545">
        <f>IFERROR(Y290/H290,"0")+IFERROR(Y291/H291,"0")+IFERROR(Y292/H292,"0")+IFERROR(Y293/H293,"0")+IFERROR(Y294/H294,"0")+IFERROR(Y295/H295,"0")</f>
        <v>195</v>
      </c>
      <c r="Z296" s="545">
        <f>IFERROR(IF(Z290="",0,Z290),"0")+IFERROR(IF(Z291="",0,Z291),"0")+IFERROR(IF(Z292="",0,Z292),"0")+IFERROR(IF(Z293="",0,Z293),"0")+IFERROR(IF(Z294="",0,Z294),"0")+IFERROR(IF(Z295="",0,Z295),"0")</f>
        <v>3.2031000000000001</v>
      </c>
      <c r="AA296" s="546"/>
      <c r="AB296" s="546"/>
      <c r="AC296" s="546"/>
    </row>
    <row r="297" spans="1:68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1750</v>
      </c>
      <c r="Y297" s="545">
        <f>IFERROR(SUM(Y290:Y295),"0")</f>
        <v>1766.0000000000002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350</v>
      </c>
      <c r="Y299" s="544">
        <f t="shared" ref="Y299:Y305" si="31">IFERROR(IF(X299="",0,CEILING((X299/$H299),1)*$H299),"")</f>
        <v>352.8</v>
      </c>
      <c r="Z299" s="36">
        <f>IFERROR(IF(Y299=0,"",ROUNDUP(Y299/H299,0)*0.00902),"")</f>
        <v>0.75768000000000002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370.83333333333331</v>
      </c>
      <c r="BN299" s="64">
        <f t="shared" ref="BN299:BN305" si="33">IFERROR(Y299*I299/H299,"0")</f>
        <v>373.8</v>
      </c>
      <c r="BO299" s="64">
        <f t="shared" ref="BO299:BO305" si="34">IFERROR(1/J299*(X299/H299),"0")</f>
        <v>0.63131313131313127</v>
      </c>
      <c r="BP299" s="64">
        <f t="shared" ref="BP299:BP305" si="35">IFERROR(1/J299*(Y299/H299),"0")</f>
        <v>0.63636363636363635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100</v>
      </c>
      <c r="Y300" s="544">
        <f t="shared" si="31"/>
        <v>100.80000000000001</v>
      </c>
      <c r="Z300" s="36">
        <f>IFERROR(IF(Y300=0,"",ROUNDUP(Y300/H300,0)*0.00902),"")</f>
        <v>0.21648000000000001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105.95238095238095</v>
      </c>
      <c r="BN300" s="64">
        <f t="shared" si="33"/>
        <v>106.80000000000001</v>
      </c>
      <c r="BO300" s="64">
        <f t="shared" si="34"/>
        <v>0.18037518037518038</v>
      </c>
      <c r="BP300" s="64">
        <f t="shared" si="35"/>
        <v>0.18181818181818182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28</v>
      </c>
      <c r="Y302" s="544">
        <f t="shared" si="31"/>
        <v>29.400000000000002</v>
      </c>
      <c r="Z302" s="36">
        <f>IFERROR(IF(Y302=0,"",ROUNDUP(Y302/H302,0)*0.00502),"")</f>
        <v>7.0280000000000009E-2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29.733333333333331</v>
      </c>
      <c r="BN302" s="64">
        <f t="shared" si="33"/>
        <v>31.22</v>
      </c>
      <c r="BO302" s="64">
        <f t="shared" si="34"/>
        <v>5.6980056980056981E-2</v>
      </c>
      <c r="BP302" s="64">
        <f t="shared" si="35"/>
        <v>5.9829059829059839E-2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120.47619047619047</v>
      </c>
      <c r="Y306" s="545">
        <f>IFERROR(Y299/H299,"0")+IFERROR(Y300/H300,"0")+IFERROR(Y301/H301,"0")+IFERROR(Y302/H302,"0")+IFERROR(Y303/H303,"0")+IFERROR(Y304/H304,"0")+IFERROR(Y305/H305,"0")</f>
        <v>122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1.04444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478</v>
      </c>
      <c r="Y307" s="545">
        <f>IFERROR(SUM(Y299:Y305),"0")</f>
        <v>483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600</v>
      </c>
      <c r="Y317" s="544">
        <f>IFERROR(IF(X317="",0,CEILING((X317/$H317),1)*$H317),"")</f>
        <v>600.6</v>
      </c>
      <c r="Z317" s="36">
        <f>IFERROR(IF(Y317=0,"",ROUNDUP(Y317/H317,0)*0.01898),"")</f>
        <v>1.46146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638.00000000000011</v>
      </c>
      <c r="BN317" s="64">
        <f>IFERROR(Y317*I317/H317,"0")</f>
        <v>638.63800000000003</v>
      </c>
      <c r="BO317" s="64">
        <f>IFERROR(1/J317*(X317/H317),"0")</f>
        <v>1.2019230769230769</v>
      </c>
      <c r="BP317" s="64">
        <f>IFERROR(1/J317*(Y317/H317),"0")</f>
        <v>1.203125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160</v>
      </c>
      <c r="Y318" s="544">
        <f>IFERROR(IF(X318="",0,CEILING((X318/$H318),1)*$H318),"")</f>
        <v>168</v>
      </c>
      <c r="Z318" s="36">
        <f>IFERROR(IF(Y318=0,"",ROUNDUP(Y318/H318,0)*0.01898),"")</f>
        <v>0.37959999999999999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169.40952380952379</v>
      </c>
      <c r="BN318" s="64">
        <f>IFERROR(Y318*I318/H318,"0")</f>
        <v>177.88</v>
      </c>
      <c r="BO318" s="64">
        <f>IFERROR(1/J318*(X318/H318),"0")</f>
        <v>0.29761904761904762</v>
      </c>
      <c r="BP318" s="64">
        <f>IFERROR(1/J318*(Y318/H318),"0")</f>
        <v>0.3125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95.970695970695971</v>
      </c>
      <c r="Y319" s="545">
        <f>IFERROR(Y316/H316,"0")+IFERROR(Y317/H317,"0")+IFERROR(Y318/H318,"0")</f>
        <v>97</v>
      </c>
      <c r="Z319" s="545">
        <f>IFERROR(IF(Z316="",0,Z316),"0")+IFERROR(IF(Z317="",0,Z317),"0")+IFERROR(IF(Z318="",0,Z318),"0")</f>
        <v>1.8410599999999999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760</v>
      </c>
      <c r="Y320" s="545">
        <f>IFERROR(SUM(Y316:Y318),"0")</f>
        <v>768.6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350</v>
      </c>
      <c r="Y336" s="544">
        <f>IFERROR(IF(X336="",0,CEILING((X336/$H336),1)*$H336),"")</f>
        <v>356.4</v>
      </c>
      <c r="Z336" s="36">
        <f>IFERROR(IF(Y336=0,"",ROUNDUP(Y336/H336,0)*0.01898),"")</f>
        <v>0.83511999999999997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371.34567901234567</v>
      </c>
      <c r="BN336" s="64">
        <f>IFERROR(Y336*I336/H336,"0")</f>
        <v>378.13599999999997</v>
      </c>
      <c r="BO336" s="64">
        <f>IFERROR(1/J336*(X336/H336),"0")</f>
        <v>0.67515432098765438</v>
      </c>
      <c r="BP336" s="64">
        <f>IFERROR(1/J336*(Y336/H336),"0")</f>
        <v>0.6875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175</v>
      </c>
      <c r="Y337" s="544">
        <f>IFERROR(IF(X337="",0,CEILING((X337/$H337),1)*$H337),"")</f>
        <v>176.4</v>
      </c>
      <c r="Z337" s="36">
        <f>IFERROR(IF(Y337=0,"",ROUNDUP(Y337/H337,0)*0.00651),"")</f>
        <v>0.54683999999999999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195.99999999999997</v>
      </c>
      <c r="BN337" s="64">
        <f>IFERROR(Y337*I337/H337,"0")</f>
        <v>197.56799999999998</v>
      </c>
      <c r="BO337" s="64">
        <f>IFERROR(1/J337*(X337/H337),"0")</f>
        <v>0.45787545787545786</v>
      </c>
      <c r="BP337" s="64">
        <f>IFERROR(1/J337*(Y337/H337),"0")</f>
        <v>0.46153846153846156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52</v>
      </c>
      <c r="Y338" s="544">
        <f>IFERROR(IF(X338="",0,CEILING((X338/$H338),1)*$H338),"")</f>
        <v>52.5</v>
      </c>
      <c r="Z338" s="36">
        <f>IFERROR(IF(Y338=0,"",ROUNDUP(Y338/H338,0)*0.00651),"")</f>
        <v>0.16275000000000001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57.942857142857136</v>
      </c>
      <c r="BN338" s="64">
        <f>IFERROR(Y338*I338/H338,"0")</f>
        <v>58.499999999999993</v>
      </c>
      <c r="BO338" s="64">
        <f>IFERROR(1/J338*(X338/H338),"0")</f>
        <v>0.13605442176870747</v>
      </c>
      <c r="BP338" s="64">
        <f>IFERROR(1/J338*(Y338/H338),"0")</f>
        <v>0.13736263736263737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151.30511463844798</v>
      </c>
      <c r="Y339" s="545">
        <f>IFERROR(Y336/H336,"0")+IFERROR(Y337/H337,"0")+IFERROR(Y338/H338,"0")</f>
        <v>153</v>
      </c>
      <c r="Z339" s="545">
        <f>IFERROR(IF(Z336="",0,Z336),"0")+IFERROR(IF(Z337="",0,Z337),"0")+IFERROR(IF(Z338="",0,Z338),"0")</f>
        <v>1.5447099999999998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577</v>
      </c>
      <c r="Y340" s="545">
        <f>IFERROR(SUM(Y336:Y338),"0")</f>
        <v>585.29999999999995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773.5</v>
      </c>
      <c r="BN344" s="64">
        <f t="shared" ref="BN344:BN350" si="38">IFERROR(Y344*I344/H344,"0")</f>
        <v>773.5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750</v>
      </c>
      <c r="Y345" s="544">
        <f t="shared" si="36"/>
        <v>750</v>
      </c>
      <c r="Z345" s="36">
        <f>IFERROR(IF(Y345=0,"",ROUNDUP(Y345/H345,0)*0.02175),"")</f>
        <v>1.0874999999999999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773.5</v>
      </c>
      <c r="BN345" s="64">
        <f t="shared" si="38"/>
        <v>773.5</v>
      </c>
      <c r="BO345" s="64">
        <f t="shared" si="39"/>
        <v>1.0416666666666665</v>
      </c>
      <c r="BP345" s="64">
        <f t="shared" si="40"/>
        <v>1.0416666666666665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2000</v>
      </c>
      <c r="Y347" s="544">
        <f t="shared" si="36"/>
        <v>2010</v>
      </c>
      <c r="Z347" s="36">
        <f>IFERROR(IF(Y347=0,"",ROUNDUP(Y347/H347,0)*0.02175),"")</f>
        <v>2.9144999999999999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2062.6666666666665</v>
      </c>
      <c r="BN347" s="64">
        <f t="shared" si="38"/>
        <v>2072.98</v>
      </c>
      <c r="BO347" s="64">
        <f t="shared" si="39"/>
        <v>2.7777777777777777</v>
      </c>
      <c r="BP347" s="64">
        <f t="shared" si="40"/>
        <v>2.7916666666666665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50</v>
      </c>
      <c r="Y349" s="544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243.33333333333334</v>
      </c>
      <c r="Y351" s="545">
        <f>IFERROR(Y344/H344,"0")+IFERROR(Y345/H345,"0")+IFERROR(Y346/H346,"0")+IFERROR(Y347/H347,"0")+IFERROR(Y348/H348,"0")+IFERROR(Y349/H349,"0")+IFERROR(Y350/H350,"0")</f>
        <v>244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5.1796999999999995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3550</v>
      </c>
      <c r="Y352" s="545">
        <f>IFERROR(SUM(Y344:Y350),"0")</f>
        <v>3560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1600</v>
      </c>
      <c r="Y354" s="544">
        <f>IFERROR(IF(X354="",0,CEILING((X354/$H354),1)*$H354),"")</f>
        <v>1605</v>
      </c>
      <c r="Z354" s="36">
        <f>IFERROR(IF(Y354=0,"",ROUNDUP(Y354/H354,0)*0.02175),"")</f>
        <v>2.3272499999999998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1650.1333333333334</v>
      </c>
      <c r="BN354" s="64">
        <f>IFERROR(Y354*I354/H354,"0")</f>
        <v>1655.2900000000002</v>
      </c>
      <c r="BO354" s="64">
        <f>IFERROR(1/J354*(X354/H354),"0")</f>
        <v>2.2222222222222223</v>
      </c>
      <c r="BP354" s="64">
        <f>IFERROR(1/J354*(Y354/H354),"0")</f>
        <v>2.2291666666666665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106.66666666666667</v>
      </c>
      <c r="Y356" s="545">
        <f>IFERROR(Y354/H354,"0")+IFERROR(Y355/H355,"0")</f>
        <v>107</v>
      </c>
      <c r="Z356" s="545">
        <f>IFERROR(IF(Z354="",0,Z354),"0")+IFERROR(IF(Z355="",0,Z355),"0")</f>
        <v>2.3272499999999998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1600</v>
      </c>
      <c r="Y357" s="545">
        <f>IFERROR(SUM(Y354:Y355),"0")</f>
        <v>1605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90</v>
      </c>
      <c r="Y360" s="544">
        <f>IFERROR(IF(X360="",0,CEILING((X360/$H360),1)*$H360),"")</f>
        <v>90</v>
      </c>
      <c r="Z360" s="36">
        <f>IFERROR(IF(Y360=0,"",ROUNDUP(Y360/H360,0)*0.01898),"")</f>
        <v>0.1898</v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94.94</v>
      </c>
      <c r="BN360" s="64">
        <f>IFERROR(Y360*I360/H360,"0")</f>
        <v>94.94</v>
      </c>
      <c r="BO360" s="64">
        <f>IFERROR(1/J360*(X360/H360),"0")</f>
        <v>0.15625</v>
      </c>
      <c r="BP360" s="64">
        <f>IFERROR(1/J360*(Y360/H360),"0")</f>
        <v>0.15625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10</v>
      </c>
      <c r="Y361" s="545">
        <f>IFERROR(Y359/H359,"0")+IFERROR(Y360/H360,"0")</f>
        <v>10</v>
      </c>
      <c r="Z361" s="545">
        <f>IFERROR(IF(Z359="",0,Z359),"0")+IFERROR(IF(Z360="",0,Z360),"0")</f>
        <v>0.1898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90</v>
      </c>
      <c r="Y362" s="545">
        <f>IFERROR(SUM(Y359:Y360),"0")</f>
        <v>90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60</v>
      </c>
      <c r="Y386" s="544">
        <f t="shared" ref="Y386:Y394" si="41">IFERROR(IF(X386="",0,CEILING((X386/$H386),1)*$H386),"")</f>
        <v>64.800000000000011</v>
      </c>
      <c r="Z386" s="36">
        <f>IFERROR(IF(Y386=0,"",ROUNDUP(Y386/H386,0)*0.00902),"")</f>
        <v>0.10824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62.1111111111111</v>
      </c>
      <c r="BN386" s="64">
        <f t="shared" ref="BN386:BN394" si="43">IFERROR(Y386*I386/H386,"0")</f>
        <v>67.08</v>
      </c>
      <c r="BO386" s="64">
        <f t="shared" ref="BO386:BO394" si="44">IFERROR(1/J386*(X386/H386),"0")</f>
        <v>8.4175084175084181E-2</v>
      </c>
      <c r="BP386" s="64">
        <f t="shared" ref="BP386:BP394" si="45">IFERROR(1/J386*(Y386/H386),"0")</f>
        <v>9.0909090909090925E-2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11.111111111111111</v>
      </c>
      <c r="Y395" s="545">
        <f>IFERROR(Y386/H386,"0")+IFERROR(Y387/H387,"0")+IFERROR(Y388/H388,"0")+IFERROR(Y389/H389,"0")+IFERROR(Y390/H390,"0")+IFERROR(Y391/H391,"0")+IFERROR(Y392/H392,"0")+IFERROR(Y393/H393,"0")+IFERROR(Y394/H394,"0")</f>
        <v>12.000000000000002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0.10824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60</v>
      </c>
      <c r="Y396" s="545">
        <f>IFERROR(SUM(Y386:Y394),"0")</f>
        <v>64.800000000000011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1100</v>
      </c>
      <c r="Y425" s="544">
        <f t="shared" si="47"/>
        <v>1103.52</v>
      </c>
      <c r="Z425" s="36">
        <f t="shared" si="48"/>
        <v>2.4996399999999999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1172.9166666666665</v>
      </c>
      <c r="BN425" s="64">
        <f t="shared" si="50"/>
        <v>1176.6699999999998</v>
      </c>
      <c r="BO425" s="64">
        <f t="shared" si="51"/>
        <v>2.0032051282051282</v>
      </c>
      <c r="BP425" s="64">
        <f t="shared" si="52"/>
        <v>2.0096153846153846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586.45833333333326</v>
      </c>
      <c r="BN427" s="64">
        <f t="shared" si="50"/>
        <v>591.15</v>
      </c>
      <c r="BO427" s="64">
        <f t="shared" si="51"/>
        <v>1.0016025641025641</v>
      </c>
      <c r="BP427" s="64">
        <f t="shared" si="52"/>
        <v>1.0096153846153846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312.5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3.7554400000000001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1650</v>
      </c>
      <c r="Y434" s="545">
        <f>IFERROR(SUM(Y422:Y432),"0")</f>
        <v>1657.92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1100</v>
      </c>
      <c r="Y436" s="544">
        <f>IFERROR(IF(X436="",0,CEILING((X436/$H436),1)*$H436),"")</f>
        <v>1103.52</v>
      </c>
      <c r="Z436" s="36">
        <f>IFERROR(IF(Y436=0,"",ROUNDUP(Y436/H436,0)*0.01196),"")</f>
        <v>2.4996399999999999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1172.9166666666665</v>
      </c>
      <c r="BN436" s="64">
        <f>IFERROR(Y436*I436/H436,"0")</f>
        <v>1176.6699999999998</v>
      </c>
      <c r="BO436" s="64">
        <f>IFERROR(1/J436*(X436/H436),"0")</f>
        <v>2.0032051282051282</v>
      </c>
      <c r="BP436" s="64">
        <f>IFERROR(1/J436*(Y436/H436),"0")</f>
        <v>2.0096153846153846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208.33333333333331</v>
      </c>
      <c r="Y439" s="545">
        <f>IFERROR(Y436/H436,"0")+IFERROR(Y437/H437,"0")+IFERROR(Y438/H438,"0")</f>
        <v>209</v>
      </c>
      <c r="Z439" s="545">
        <f>IFERROR(IF(Z436="",0,Z436),"0")+IFERROR(IF(Z437="",0,Z437),"0")+IFERROR(IF(Z438="",0,Z438),"0")</f>
        <v>2.4996399999999999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1100</v>
      </c>
      <c r="Y440" s="545">
        <f>IFERROR(SUM(Y436:Y438),"0")</f>
        <v>1103.52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200</v>
      </c>
      <c r="Y443" s="544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550</v>
      </c>
      <c r="Y444" s="544">
        <f t="shared" si="53"/>
        <v>554.4</v>
      </c>
      <c r="Z444" s="36">
        <f>IFERROR(IF(Y444=0,"",ROUNDUP(Y444/H444,0)*0.01196),"")</f>
        <v>1.2558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586.45833333333326</v>
      </c>
      <c r="BN444" s="64">
        <f t="shared" si="55"/>
        <v>591.15</v>
      </c>
      <c r="BO444" s="64">
        <f t="shared" si="56"/>
        <v>1.0016025641025641</v>
      </c>
      <c r="BP444" s="64">
        <f t="shared" si="57"/>
        <v>1.0096153846153846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179.92424242424241</v>
      </c>
      <c r="Y448" s="545">
        <f>IFERROR(Y442/H442,"0")+IFERROR(Y443/H443,"0")+IFERROR(Y444/H444,"0")+IFERROR(Y445/H445,"0")+IFERROR(Y446/H446,"0")+IFERROR(Y447/H447,"0")</f>
        <v>181</v>
      </c>
      <c r="Z448" s="545">
        <f>IFERROR(IF(Z442="",0,Z442),"0")+IFERROR(IF(Z443="",0,Z443),"0")+IFERROR(IF(Z444="",0,Z444),"0")+IFERROR(IF(Z445="",0,Z445),"0")+IFERROR(IF(Z446="",0,Z446),"0")+IFERROR(IF(Z447="",0,Z447),"0")</f>
        <v>2.1647600000000002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950</v>
      </c>
      <c r="Y449" s="545">
        <f>IFERROR(SUM(Y442:Y447),"0")</f>
        <v>955.68000000000006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100</v>
      </c>
      <c r="Y473" s="544">
        <f>IFERROR(IF(X473="",0,CEILING((X473/$H473),1)*$H473),"")</f>
        <v>100.80000000000001</v>
      </c>
      <c r="Z473" s="36">
        <f>IFERROR(IF(Y473=0,"",ROUNDUP(Y473/H473,0)*0.00902),"")</f>
        <v>0.21648000000000001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105.95238095238095</v>
      </c>
      <c r="BN473" s="64">
        <f>IFERROR(Y473*I473/H473,"0")</f>
        <v>106.80000000000001</v>
      </c>
      <c r="BO473" s="64">
        <f>IFERROR(1/J473*(X473/H473),"0")</f>
        <v>0.18037518037518038</v>
      </c>
      <c r="BP473" s="64">
        <f>IFERROR(1/J473*(Y473/H473),"0")</f>
        <v>0.18181818181818182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17829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17959.719999999998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18675.319331409333</v>
      </c>
      <c r="Y491" s="545">
        <f>IFERROR(SUM(BN22:BN487),"0")</f>
        <v>18812.347999999998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29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19400.319331409333</v>
      </c>
      <c r="Y493" s="545">
        <f>GrossWeightTotalR+PalletQtyTotalR*25</f>
        <v>19562.347999999998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2452.6647796647799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2470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34.288039999999995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144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2845.8</v>
      </c>
      <c r="E500" s="46">
        <f>IFERROR(Y85*1,"0")+IFERROR(Y86*1,"0")+IFERROR(Y87*1,"0")+IFERROR(Y91*1,"0")+IFERROR(Y92*1,"0")+IFERROR(Y93*1,"0")+IFERROR(Y94*1,"0")</f>
        <v>1032.3000000000002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610.20000000000005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171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307.8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108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3017.6000000000004</v>
      </c>
      <c r="R500" s="46">
        <f>IFERROR(Y336*1,"0")+IFERROR(Y337*1,"0")+IFERROR(Y338*1,"0")</f>
        <v>585.29999999999995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5255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64.800000000000011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3717.12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100.80000000000001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00,00"/>
        <filter val="1 200,00"/>
        <filter val="1 294,00"/>
        <filter val="1 541,00"/>
        <filter val="1 600,00"/>
        <filter val="1 650,00"/>
        <filter val="1 750,00"/>
        <filter val="10,00"/>
        <filter val="100,00"/>
        <filter val="105,56"/>
        <filter val="106,67"/>
        <filter val="11,11"/>
        <filter val="120,48"/>
        <filter val="144,00"/>
        <filter val="150,00"/>
        <filter val="151,31"/>
        <filter val="160,00"/>
        <filter val="17 829,00"/>
        <filter val="17,78"/>
        <filter val="175,00"/>
        <filter val="179,92"/>
        <filter val="18 675,32"/>
        <filter val="19 400,32"/>
        <filter val="193,52"/>
        <filter val="196,81"/>
        <filter val="2 000,00"/>
        <filter val="2 452,66"/>
        <filter val="200,00"/>
        <filter val="208,33"/>
        <filter val="225,00"/>
        <filter val="23,81"/>
        <filter val="24,69"/>
        <filter val="243,33"/>
        <filter val="279,07"/>
        <filter val="28,00"/>
        <filter val="29"/>
        <filter val="3 550,00"/>
        <filter val="300,00"/>
        <filter val="312,50"/>
        <filter val="350,00"/>
        <filter val="36,00"/>
        <filter val="478,00"/>
        <filter val="491,00"/>
        <filter val="50,00"/>
        <filter val="500,00"/>
        <filter val="52,00"/>
        <filter val="55,56"/>
        <filter val="550,00"/>
        <filter val="577,00"/>
        <filter val="594,00"/>
        <filter val="60,00"/>
        <filter val="600,00"/>
        <filter val="61,73"/>
        <filter val="700,00"/>
        <filter val="750,00"/>
        <filter val="760,00"/>
        <filter val="825,00"/>
        <filter val="9,26"/>
        <filter val="90,00"/>
        <filter val="95,97"/>
        <filter val="95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