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5E31707-C5D2-48C0-8209-FB7EAD12C62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BO321" i="1"/>
  <c r="BM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BP291" i="1" s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O274" i="1"/>
  <c r="BM274" i="1"/>
  <c r="Y274" i="1"/>
  <c r="BP274" i="1" s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BP267" i="1" s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BP249" i="1" s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O225" i="1"/>
  <c r="BM225" i="1"/>
  <c r="Y225" i="1"/>
  <c r="BP225" i="1" s="1"/>
  <c r="P225" i="1"/>
  <c r="X222" i="1"/>
  <c r="X221" i="1"/>
  <c r="BO220" i="1"/>
  <c r="BM220" i="1"/>
  <c r="Y220" i="1"/>
  <c r="BP220" i="1" s="1"/>
  <c r="P220" i="1"/>
  <c r="BO219" i="1"/>
  <c r="BM219" i="1"/>
  <c r="Y219" i="1"/>
  <c r="Y221" i="1" s="1"/>
  <c r="P219" i="1"/>
  <c r="X217" i="1"/>
  <c r="X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BP207" i="1" s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BP201" i="1" s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O197" i="1"/>
  <c r="BM197" i="1"/>
  <c r="Y197" i="1"/>
  <c r="BP197" i="1" s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O186" i="1"/>
  <c r="BM186" i="1"/>
  <c r="Y186" i="1"/>
  <c r="Y188" i="1" s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X173" i="1"/>
  <c r="X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P163" i="1"/>
  <c r="BP162" i="1"/>
  <c r="BO162" i="1"/>
  <c r="BN162" i="1"/>
  <c r="BM162" i="1"/>
  <c r="Z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O148" i="1"/>
  <c r="BM148" i="1"/>
  <c r="Y148" i="1"/>
  <c r="P148" i="1"/>
  <c r="BO147" i="1"/>
  <c r="BM147" i="1"/>
  <c r="Y147" i="1"/>
  <c r="P147" i="1"/>
  <c r="BO146" i="1"/>
  <c r="BM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O140" i="1"/>
  <c r="BM140" i="1"/>
  <c r="Y140" i="1"/>
  <c r="BP140" i="1" s="1"/>
  <c r="P140" i="1"/>
  <c r="X137" i="1"/>
  <c r="X136" i="1"/>
  <c r="BO135" i="1"/>
  <c r="BM135" i="1"/>
  <c r="Y135" i="1"/>
  <c r="BP135" i="1" s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O125" i="1"/>
  <c r="BM125" i="1"/>
  <c r="Y125" i="1"/>
  <c r="BP125" i="1" s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O106" i="1"/>
  <c r="BM106" i="1"/>
  <c r="Y106" i="1"/>
  <c r="BP106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P92" i="1"/>
  <c r="BO91" i="1"/>
  <c r="BM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P73" i="1"/>
  <c r="BO72" i="1"/>
  <c r="BM72" i="1"/>
  <c r="Y72" i="1"/>
  <c r="BP72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489" i="1" s="1"/>
  <c r="X23" i="1"/>
  <c r="BO22" i="1"/>
  <c r="BM22" i="1"/>
  <c r="Y22" i="1"/>
  <c r="Y23" i="1" s="1"/>
  <c r="P22" i="1"/>
  <c r="H10" i="1"/>
  <c r="A9" i="1"/>
  <c r="A10" i="1" s="1"/>
  <c r="D7" i="1"/>
  <c r="Q6" i="1"/>
  <c r="P2" i="1"/>
  <c r="BP55" i="1" l="1"/>
  <c r="BN55" i="1"/>
  <c r="Z55" i="1"/>
  <c r="BP93" i="1"/>
  <c r="BN93" i="1"/>
  <c r="Z93" i="1"/>
  <c r="BP129" i="1"/>
  <c r="BN129" i="1"/>
  <c r="Z129" i="1"/>
  <c r="BP166" i="1"/>
  <c r="BN166" i="1"/>
  <c r="Z166" i="1"/>
  <c r="BP203" i="1"/>
  <c r="BN203" i="1"/>
  <c r="Z203" i="1"/>
  <c r="BP231" i="1"/>
  <c r="BN231" i="1"/>
  <c r="Z231" i="1"/>
  <c r="BP272" i="1"/>
  <c r="BN272" i="1"/>
  <c r="Z272" i="1"/>
  <c r="BP311" i="1"/>
  <c r="BN311" i="1"/>
  <c r="Z311" i="1"/>
  <c r="BP345" i="1"/>
  <c r="BN345" i="1"/>
  <c r="Z345" i="1"/>
  <c r="BP378" i="1"/>
  <c r="BN378" i="1"/>
  <c r="Z378" i="1"/>
  <c r="BP424" i="1"/>
  <c r="BN424" i="1"/>
  <c r="Z424" i="1"/>
  <c r="BP450" i="1"/>
  <c r="BN450" i="1"/>
  <c r="Z450" i="1"/>
  <c r="Y36" i="1"/>
  <c r="Y35" i="1"/>
  <c r="BP34" i="1"/>
  <c r="BN34" i="1"/>
  <c r="Z34" i="1"/>
  <c r="Z35" i="1" s="1"/>
  <c r="BP40" i="1"/>
  <c r="BN40" i="1"/>
  <c r="Z40" i="1"/>
  <c r="BP74" i="1"/>
  <c r="BN74" i="1"/>
  <c r="Z74" i="1"/>
  <c r="BP108" i="1"/>
  <c r="BN108" i="1"/>
  <c r="Z108" i="1"/>
  <c r="BP148" i="1"/>
  <c r="BN148" i="1"/>
  <c r="Z148" i="1"/>
  <c r="BP187" i="1"/>
  <c r="BN187" i="1"/>
  <c r="Z187" i="1"/>
  <c r="BP191" i="1"/>
  <c r="BN191" i="1"/>
  <c r="Z191" i="1"/>
  <c r="BP214" i="1"/>
  <c r="BN214" i="1"/>
  <c r="Z214" i="1"/>
  <c r="BP256" i="1"/>
  <c r="BN256" i="1"/>
  <c r="Z256" i="1"/>
  <c r="BP299" i="1"/>
  <c r="BN299" i="1"/>
  <c r="Z299" i="1"/>
  <c r="BP328" i="1"/>
  <c r="BN328" i="1"/>
  <c r="Z328" i="1"/>
  <c r="BP346" i="1"/>
  <c r="BN346" i="1"/>
  <c r="Z346" i="1"/>
  <c r="BP392" i="1"/>
  <c r="BN392" i="1"/>
  <c r="Z392" i="1"/>
  <c r="BP436" i="1"/>
  <c r="BN436" i="1"/>
  <c r="Z436" i="1"/>
  <c r="BP472" i="1"/>
  <c r="BN472" i="1"/>
  <c r="Z472" i="1"/>
  <c r="Y32" i="1"/>
  <c r="Y116" i="1"/>
  <c r="J9" i="1"/>
  <c r="Y149" i="1"/>
  <c r="BP301" i="1"/>
  <c r="BN301" i="1"/>
  <c r="Z301" i="1"/>
  <c r="BP315" i="1"/>
  <c r="BN315" i="1"/>
  <c r="Z315" i="1"/>
  <c r="BP322" i="1"/>
  <c r="BN322" i="1"/>
  <c r="Z322" i="1"/>
  <c r="BP337" i="1"/>
  <c r="BN337" i="1"/>
  <c r="Z337" i="1"/>
  <c r="BP343" i="1"/>
  <c r="BN343" i="1"/>
  <c r="Z343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F9" i="1"/>
  <c r="F10" i="1"/>
  <c r="Z22" i="1"/>
  <c r="Z23" i="1" s="1"/>
  <c r="BN22" i="1"/>
  <c r="BP22" i="1"/>
  <c r="Z26" i="1"/>
  <c r="BN26" i="1"/>
  <c r="BP26" i="1"/>
  <c r="Z30" i="1"/>
  <c r="BN30" i="1"/>
  <c r="Z42" i="1"/>
  <c r="BN42" i="1"/>
  <c r="Y57" i="1"/>
  <c r="Z53" i="1"/>
  <c r="BN53" i="1"/>
  <c r="Z61" i="1"/>
  <c r="BN61" i="1"/>
  <c r="Z72" i="1"/>
  <c r="BN72" i="1"/>
  <c r="Z80" i="1"/>
  <c r="BN80" i="1"/>
  <c r="Z85" i="1"/>
  <c r="BN85" i="1"/>
  <c r="Z91" i="1"/>
  <c r="BN91" i="1"/>
  <c r="BP91" i="1"/>
  <c r="Z100" i="1"/>
  <c r="BN100" i="1"/>
  <c r="Z106" i="1"/>
  <c r="BN106" i="1"/>
  <c r="Z112" i="1"/>
  <c r="BN112" i="1"/>
  <c r="BP112" i="1"/>
  <c r="Z125" i="1"/>
  <c r="BN125" i="1"/>
  <c r="Y131" i="1"/>
  <c r="Z135" i="1"/>
  <c r="BN135" i="1"/>
  <c r="Z140" i="1"/>
  <c r="BN140" i="1"/>
  <c r="Z146" i="1"/>
  <c r="BN146" i="1"/>
  <c r="BP146" i="1"/>
  <c r="Z164" i="1"/>
  <c r="BN164" i="1"/>
  <c r="Z168" i="1"/>
  <c r="BN168" i="1"/>
  <c r="Z176" i="1"/>
  <c r="BN176" i="1"/>
  <c r="Z197" i="1"/>
  <c r="BN197" i="1"/>
  <c r="Z201" i="1"/>
  <c r="BN201" i="1"/>
  <c r="Z207" i="1"/>
  <c r="BN207" i="1"/>
  <c r="Z211" i="1"/>
  <c r="BN211" i="1"/>
  <c r="Z212" i="1"/>
  <c r="BN212" i="1"/>
  <c r="Z220" i="1"/>
  <c r="BN220" i="1"/>
  <c r="Z225" i="1"/>
  <c r="BN225" i="1"/>
  <c r="Z229" i="1"/>
  <c r="BN229" i="1"/>
  <c r="Z233" i="1"/>
  <c r="BN233" i="1"/>
  <c r="Z249" i="1"/>
  <c r="BN249" i="1"/>
  <c r="Z258" i="1"/>
  <c r="BN258" i="1"/>
  <c r="Z267" i="1"/>
  <c r="BN267" i="1"/>
  <c r="Z274" i="1"/>
  <c r="BN274" i="1"/>
  <c r="Y286" i="1"/>
  <c r="Z291" i="1"/>
  <c r="BN291" i="1"/>
  <c r="BP293" i="1"/>
  <c r="BN293" i="1"/>
  <c r="Z293" i="1"/>
  <c r="BP309" i="1"/>
  <c r="BN309" i="1"/>
  <c r="Z309" i="1"/>
  <c r="Y326" i="1"/>
  <c r="BP321" i="1"/>
  <c r="BN321" i="1"/>
  <c r="Z321" i="1"/>
  <c r="Y325" i="1"/>
  <c r="BP330" i="1"/>
  <c r="BN330" i="1"/>
  <c r="Z330" i="1"/>
  <c r="Y338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380" i="1"/>
  <c r="Y454" i="1"/>
  <c r="Y453" i="1"/>
  <c r="Z131" i="1"/>
  <c r="Y31" i="1"/>
  <c r="Y43" i="1"/>
  <c r="Y58" i="1"/>
  <c r="Y64" i="1"/>
  <c r="Y69" i="1"/>
  <c r="BP73" i="1"/>
  <c r="BN73" i="1"/>
  <c r="Z73" i="1"/>
  <c r="BP86" i="1"/>
  <c r="BN86" i="1"/>
  <c r="Z86" i="1"/>
  <c r="BP94" i="1"/>
  <c r="BN94" i="1"/>
  <c r="Z94" i="1"/>
  <c r="Y96" i="1"/>
  <c r="F499" i="1"/>
  <c r="Y104" i="1"/>
  <c r="BP99" i="1"/>
  <c r="BN99" i="1"/>
  <c r="Z99" i="1"/>
  <c r="Y103" i="1"/>
  <c r="BP107" i="1"/>
  <c r="BN107" i="1"/>
  <c r="Z107" i="1"/>
  <c r="Z109" i="1" s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BP141" i="1"/>
  <c r="BN141" i="1"/>
  <c r="Z141" i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BP163" i="1"/>
  <c r="BN163" i="1"/>
  <c r="Z163" i="1"/>
  <c r="BP167" i="1"/>
  <c r="BN167" i="1"/>
  <c r="Z167" i="1"/>
  <c r="BP171" i="1"/>
  <c r="BN171" i="1"/>
  <c r="Z171" i="1"/>
  <c r="Y173" i="1"/>
  <c r="Y178" i="1"/>
  <c r="BP175" i="1"/>
  <c r="BN175" i="1"/>
  <c r="Z175" i="1"/>
  <c r="BP192" i="1"/>
  <c r="BN192" i="1"/>
  <c r="Z192" i="1"/>
  <c r="Z193" i="1" s="1"/>
  <c r="Y194" i="1"/>
  <c r="Y205" i="1"/>
  <c r="BP196" i="1"/>
  <c r="BN196" i="1"/>
  <c r="Z196" i="1"/>
  <c r="BP200" i="1"/>
  <c r="BN200" i="1"/>
  <c r="Z200" i="1"/>
  <c r="Y204" i="1"/>
  <c r="BP208" i="1"/>
  <c r="BN208" i="1"/>
  <c r="Z208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Z275" i="1"/>
  <c r="BP273" i="1"/>
  <c r="BN273" i="1"/>
  <c r="Z273" i="1"/>
  <c r="Y275" i="1"/>
  <c r="BP329" i="1"/>
  <c r="BN329" i="1"/>
  <c r="Z329" i="1"/>
  <c r="Y331" i="1"/>
  <c r="D499" i="1"/>
  <c r="H9" i="1"/>
  <c r="B499" i="1"/>
  <c r="X490" i="1"/>
  <c r="X492" i="1" s="1"/>
  <c r="X491" i="1"/>
  <c r="X493" i="1"/>
  <c r="Y24" i="1"/>
  <c r="Z27" i="1"/>
  <c r="BN27" i="1"/>
  <c r="Z29" i="1"/>
  <c r="BN29" i="1"/>
  <c r="C499" i="1"/>
  <c r="Z41" i="1"/>
  <c r="BN41" i="1"/>
  <c r="Y44" i="1"/>
  <c r="Z52" i="1"/>
  <c r="BN52" i="1"/>
  <c r="Z54" i="1"/>
  <c r="BN54" i="1"/>
  <c r="Z56" i="1"/>
  <c r="BN56" i="1"/>
  <c r="Z60" i="1"/>
  <c r="Z63" i="1" s="1"/>
  <c r="BN60" i="1"/>
  <c r="BP60" i="1"/>
  <c r="Z62" i="1"/>
  <c r="BN62" i="1"/>
  <c r="Z66" i="1"/>
  <c r="BN66" i="1"/>
  <c r="BP66" i="1"/>
  <c r="BP67" i="1"/>
  <c r="BN67" i="1"/>
  <c r="Z67" i="1"/>
  <c r="Y76" i="1"/>
  <c r="BP75" i="1"/>
  <c r="BN75" i="1"/>
  <c r="Z75" i="1"/>
  <c r="Y77" i="1"/>
  <c r="Y82" i="1"/>
  <c r="BP79" i="1"/>
  <c r="BN79" i="1"/>
  <c r="Z79" i="1"/>
  <c r="Y88" i="1"/>
  <c r="BP92" i="1"/>
  <c r="BN92" i="1"/>
  <c r="Z92" i="1"/>
  <c r="BP101" i="1"/>
  <c r="BN101" i="1"/>
  <c r="Z101" i="1"/>
  <c r="Y110" i="1"/>
  <c r="Y109" i="1"/>
  <c r="BP113" i="1"/>
  <c r="BN113" i="1"/>
  <c r="Z113" i="1"/>
  <c r="Y126" i="1"/>
  <c r="BP130" i="1"/>
  <c r="BN130" i="1"/>
  <c r="Z130" i="1"/>
  <c r="Y132" i="1"/>
  <c r="Y137" i="1"/>
  <c r="BP134" i="1"/>
  <c r="BN134" i="1"/>
  <c r="Z134" i="1"/>
  <c r="Z136" i="1" s="1"/>
  <c r="Y143" i="1"/>
  <c r="Z149" i="1"/>
  <c r="BP147" i="1"/>
  <c r="BN147" i="1"/>
  <c r="Z147" i="1"/>
  <c r="Y172" i="1"/>
  <c r="BP165" i="1"/>
  <c r="BN165" i="1"/>
  <c r="Z165" i="1"/>
  <c r="BP169" i="1"/>
  <c r="BN169" i="1"/>
  <c r="Z169" i="1"/>
  <c r="BP177" i="1"/>
  <c r="BN177" i="1"/>
  <c r="Z177" i="1"/>
  <c r="Y179" i="1"/>
  <c r="Y182" i="1"/>
  <c r="BP181" i="1"/>
  <c r="BN181" i="1"/>
  <c r="Z181" i="1"/>
  <c r="Z182" i="1" s="1"/>
  <c r="Y183" i="1"/>
  <c r="J499" i="1"/>
  <c r="Y189" i="1"/>
  <c r="BP186" i="1"/>
  <c r="BN186" i="1"/>
  <c r="Z186" i="1"/>
  <c r="Z188" i="1" s="1"/>
  <c r="Y193" i="1"/>
  <c r="BP198" i="1"/>
  <c r="BN198" i="1"/>
  <c r="Z198" i="1"/>
  <c r="BP202" i="1"/>
  <c r="BN202" i="1"/>
  <c r="Z202" i="1"/>
  <c r="BP210" i="1"/>
  <c r="BN210" i="1"/>
  <c r="Z210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Z318" i="1"/>
  <c r="BP316" i="1"/>
  <c r="BN316" i="1"/>
  <c r="Z316" i="1"/>
  <c r="Y318" i="1"/>
  <c r="BP344" i="1"/>
  <c r="BN344" i="1"/>
  <c r="Z344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6" i="1"/>
  <c r="BP215" i="1"/>
  <c r="BN215" i="1"/>
  <c r="Z215" i="1"/>
  <c r="Y217" i="1"/>
  <c r="Y222" i="1"/>
  <c r="BP219" i="1"/>
  <c r="BN219" i="1"/>
  <c r="Z219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BP285" i="1"/>
  <c r="BN285" i="1"/>
  <c r="Z285" i="1"/>
  <c r="Z286" i="1" s="1"/>
  <c r="Y287" i="1"/>
  <c r="Q499" i="1"/>
  <c r="Y295" i="1"/>
  <c r="BP290" i="1"/>
  <c r="BN290" i="1"/>
  <c r="Z290" i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Y319" i="1"/>
  <c r="BP323" i="1"/>
  <c r="BN323" i="1"/>
  <c r="Z323" i="1"/>
  <c r="Y332" i="1"/>
  <c r="BP336" i="1"/>
  <c r="BN336" i="1"/>
  <c r="Z336" i="1"/>
  <c r="Z338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Y375" i="1"/>
  <c r="K499" i="1"/>
  <c r="Y235" i="1"/>
  <c r="O499" i="1"/>
  <c r="Y276" i="1"/>
  <c r="P499" i="1"/>
  <c r="Y281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Y483" i="1"/>
  <c r="Z499" i="1"/>
  <c r="Y487" i="1"/>
  <c r="BP486" i="1"/>
  <c r="BN486" i="1"/>
  <c r="Z486" i="1"/>
  <c r="Z487" i="1" s="1"/>
  <c r="Y488" i="1"/>
  <c r="Z482" i="1" l="1"/>
  <c r="Z325" i="1"/>
  <c r="Z221" i="1"/>
  <c r="Z81" i="1"/>
  <c r="Z43" i="1"/>
  <c r="Z331" i="1"/>
  <c r="Z88" i="1"/>
  <c r="Z462" i="1"/>
  <c r="Z216" i="1"/>
  <c r="Y491" i="1"/>
  <c r="Z57" i="1"/>
  <c r="Y490" i="1"/>
  <c r="Y492" i="1" s="1"/>
  <c r="Z31" i="1"/>
  <c r="Z268" i="1"/>
  <c r="Z251" i="1"/>
  <c r="Z76" i="1"/>
  <c r="Y493" i="1"/>
  <c r="Z438" i="1"/>
  <c r="Z375" i="1"/>
  <c r="Z305" i="1"/>
  <c r="Z295" i="1"/>
  <c r="Z411" i="1"/>
  <c r="Z350" i="1"/>
  <c r="Z116" i="1"/>
  <c r="Z95" i="1"/>
  <c r="Z235" i="1"/>
  <c r="Z172" i="1"/>
  <c r="Z143" i="1"/>
  <c r="Z260" i="1"/>
  <c r="Z394" i="1"/>
  <c r="Z69" i="1"/>
  <c r="Y489" i="1"/>
  <c r="Z204" i="1"/>
  <c r="Z178" i="1"/>
  <c r="Z103" i="1"/>
  <c r="Z447" i="1"/>
  <c r="Z432" i="1"/>
  <c r="Z312" i="1"/>
  <c r="Z494" i="1" l="1"/>
</calcChain>
</file>

<file path=xl/sharedStrings.xml><?xml version="1.0" encoding="utf-8"?>
<sst xmlns="http://schemas.openxmlformats.org/spreadsheetml/2006/main" count="2281" uniqueCount="769">
  <si>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</si>
  <si>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</si>
  <si>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</si>
  <si>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</si>
  <si>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</si>
  <si>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</si>
  <si>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</si>
  <si>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</si>
  <si>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</si>
  <si>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</si>
  <si>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</si>
  <si>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</si>
  <si>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</si>
  <si>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</si>
  <si>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</si>
  <si>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</si>
  <si>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</si>
  <si>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</si>
  <si>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</si>
  <si>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</si>
  <si>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</si>
  <si>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</si>
  <si>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</si>
  <si>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</si>
  <si>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</si>
  <si>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</si>
  <si>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</si>
  <si>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</si>
  <si>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</si>
  <si>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</si>
  <si>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</si>
  <si>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</si>
  <si>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</si>
  <si>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</si>
  <si>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</si>
  <si>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</si>
  <si>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</si>
  <si>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</si>
  <si>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</si>
  <si>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</si>
  <si>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</si>
  <si>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</si>
  <si>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</si>
  <si>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</si>
  <si>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</si>
  <si>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</si>
  <si>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</si>
  <si>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</si>
  <si>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</si>
  <si>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</si>
  <si>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</si>
  <si>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</si>
  <si>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</si>
  <si>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</si>
  <si>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</si>
  <si>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</si>
  <si>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</si>
  <si>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</si>
  <si>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</si>
  <si>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</si>
  <si>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</si>
  <si>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</si>
  <si>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</si>
  <si>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</si>
  <si>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</si>
  <si>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</si>
  <si>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</si>
  <si>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</si>
  <si>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</si>
  <si>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</si>
  <si>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</si>
  <si>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</si>
  <si>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</si>
  <si>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</si>
  <si>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</si>
  <si>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</si>
  <si>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</si>
  <si>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</si>
  <si>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</si>
  <si>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</si>
  <si>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</si>
  <si>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</si>
  <si>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</si>
  <si>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</si>
  <si>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</si>
  <si>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</si>
  <si>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</si>
  <si>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</si>
  <si>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</si>
  <si>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</si>
  <si>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</si>
  <si>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</si>
  <si>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</si>
  <si>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</si>
  <si>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</si>
  <si>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</si>
  <si>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</si>
  <si>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</si>
  <si>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</si>
  <si>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</si>
  <si>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</si>
  <si>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</si>
  <si>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</si>
  <si>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</si>
  <si>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</si>
  <si>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</si>
  <si>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</si>
  <si>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</si>
  <si>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</si>
  <si>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</si>
  <si>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830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</si>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</sst>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590" t="s">
        <v>0</v>
      </c>
      <c r="E1" s="581"/>
      <c r="F1" s="581"/>
      <c r="G1" s="12" t="s">
        <v>1</v>
      </c>
      <c r="H1" s="590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9" t="s">
        <v>8</v>
      </c>
      <c r="B5" s="593"/>
      <c r="C5" s="594"/>
      <c r="D5" s="632"/>
      <c r="E5" s="633"/>
      <c r="F5" s="835" t="s">
        <v>9</v>
      </c>
      <c r="G5" s="594"/>
      <c r="H5" s="632" t="s">
        <v>768</v>
      </c>
      <c r="I5" s="783"/>
      <c r="J5" s="783"/>
      <c r="K5" s="783"/>
      <c r="L5" s="783"/>
      <c r="M5" s="633"/>
      <c r="N5" s="58"/>
      <c r="P5" s="24" t="s">
        <v>10</v>
      </c>
      <c r="Q5" s="813">
        <v>45977</v>
      </c>
      <c r="R5" s="658"/>
      <c r="T5" s="707" t="s">
        <v>11</v>
      </c>
      <c r="U5" s="708"/>
      <c r="V5" s="709" t="s">
        <v>12</v>
      </c>
      <c r="W5" s="658"/>
      <c r="AB5" s="51"/>
      <c r="AC5" s="51"/>
      <c r="AD5" s="51"/>
      <c r="AE5" s="51"/>
    </row>
    <row r="6" spans="1:32" s="535" customFormat="1" ht="24" customHeight="1" x14ac:dyDescent="0.2">
      <c r="A6" s="659" t="s">
        <v>13</v>
      </c>
      <c r="B6" s="593"/>
      <c r="C6" s="594"/>
      <c r="D6" s="786" t="s">
        <v>14</v>
      </c>
      <c r="E6" s="787"/>
      <c r="F6" s="787"/>
      <c r="G6" s="787"/>
      <c r="H6" s="787"/>
      <c r="I6" s="787"/>
      <c r="J6" s="787"/>
      <c r="K6" s="787"/>
      <c r="L6" s="787"/>
      <c r="M6" s="658"/>
      <c r="N6" s="59"/>
      <c r="P6" s="24" t="s">
        <v>15</v>
      </c>
      <c r="Q6" s="814" t="str">
        <f>IF(Q5=0," ",CHOOSE(WEEKDAY(Q5,2),"Понедельник","Вторник","Среда","Четверг","Пятница","Суббота","Воскресенье"))</f>
        <v>Воскресенье</v>
      </c>
      <c r="R6" s="549"/>
      <c r="T6" s="715" t="s">
        <v>16</v>
      </c>
      <c r="U6" s="708"/>
      <c r="V6" s="731" t="s">
        <v>17</v>
      </c>
      <c r="W6" s="59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12" t="str">
        <f>IFERROR(VLOOKUP(DeliveryAddress,Table,3,0),1)</f>
        <v>1</v>
      </c>
      <c r="E7" s="613"/>
      <c r="F7" s="613"/>
      <c r="G7" s="613"/>
      <c r="H7" s="613"/>
      <c r="I7" s="613"/>
      <c r="J7" s="613"/>
      <c r="K7" s="613"/>
      <c r="L7" s="613"/>
      <c r="M7" s="614"/>
      <c r="N7" s="60"/>
      <c r="P7" s="24"/>
      <c r="Q7" s="42"/>
      <c r="R7" s="42"/>
      <c r="T7" s="555"/>
      <c r="U7" s="708"/>
      <c r="V7" s="732"/>
      <c r="W7" s="733"/>
      <c r="AB7" s="51"/>
      <c r="AC7" s="51"/>
      <c r="AD7" s="51"/>
      <c r="AE7" s="51"/>
    </row>
    <row r="8" spans="1:32" s="535" customFormat="1" ht="25.5" customHeight="1" x14ac:dyDescent="0.2">
      <c r="A8" s="818" t="s">
        <v>18</v>
      </c>
      <c r="B8" s="560"/>
      <c r="C8" s="561"/>
      <c r="D8" s="620" t="s">
        <v>19</v>
      </c>
      <c r="E8" s="621"/>
      <c r="F8" s="621"/>
      <c r="G8" s="621"/>
      <c r="H8" s="621"/>
      <c r="I8" s="621"/>
      <c r="J8" s="621"/>
      <c r="K8" s="621"/>
      <c r="L8" s="621"/>
      <c r="M8" s="622"/>
      <c r="N8" s="61"/>
      <c r="P8" s="24" t="s">
        <v>20</v>
      </c>
      <c r="Q8" s="660">
        <v>0.375</v>
      </c>
      <c r="R8" s="614"/>
      <c r="T8" s="555"/>
      <c r="U8" s="708"/>
      <c r="V8" s="732"/>
      <c r="W8" s="733"/>
      <c r="AB8" s="51"/>
      <c r="AC8" s="51"/>
      <c r="AD8" s="51"/>
      <c r="AE8" s="51"/>
    </row>
    <row r="9" spans="1:32" s="535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1"/>
      <c r="E9" s="568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3"/>
      <c r="P9" s="26" t="s">
        <v>21</v>
      </c>
      <c r="Q9" s="655"/>
      <c r="R9" s="656"/>
      <c r="T9" s="555"/>
      <c r="U9" s="708"/>
      <c r="V9" s="734"/>
      <c r="W9" s="73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1"/>
      <c r="E10" s="568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6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6"/>
      <c r="R10" s="717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7"/>
      <c r="R11" s="658"/>
      <c r="U11" s="24" t="s">
        <v>27</v>
      </c>
      <c r="V11" s="794" t="s">
        <v>28</v>
      </c>
      <c r="W11" s="656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592" t="s">
        <v>29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4"/>
      <c r="N12" s="62"/>
      <c r="P12" s="24" t="s">
        <v>30</v>
      </c>
      <c r="Q12" s="660"/>
      <c r="R12" s="614"/>
      <c r="S12" s="23"/>
      <c r="U12" s="24"/>
      <c r="V12" s="581"/>
      <c r="W12" s="555"/>
      <c r="AB12" s="51"/>
      <c r="AC12" s="51"/>
      <c r="AD12" s="51"/>
      <c r="AE12" s="51"/>
    </row>
    <row r="13" spans="1:32" s="535" customFormat="1" ht="23.25" customHeight="1" x14ac:dyDescent="0.2">
      <c r="A13" s="592" t="s">
        <v>31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4"/>
      <c r="N13" s="62"/>
      <c r="O13" s="26"/>
      <c r="P13" s="26" t="s">
        <v>32</v>
      </c>
      <c r="Q13" s="794"/>
      <c r="R13" s="6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592" t="s">
        <v>33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4"/>
      <c r="N15" s="63"/>
      <c r="P15" s="640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41"/>
      <c r="Q16" s="641"/>
      <c r="R16" s="641"/>
      <c r="S16" s="641"/>
      <c r="T16" s="64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5" t="s">
        <v>36</v>
      </c>
      <c r="B17" s="595" t="s">
        <v>37</v>
      </c>
      <c r="C17" s="695" t="s">
        <v>38</v>
      </c>
      <c r="D17" s="595" t="s">
        <v>39</v>
      </c>
      <c r="E17" s="650"/>
      <c r="F17" s="595" t="s">
        <v>40</v>
      </c>
      <c r="G17" s="595" t="s">
        <v>41</v>
      </c>
      <c r="H17" s="595" t="s">
        <v>42</v>
      </c>
      <c r="I17" s="595" t="s">
        <v>43</v>
      </c>
      <c r="J17" s="595" t="s">
        <v>44</v>
      </c>
      <c r="K17" s="595" t="s">
        <v>45</v>
      </c>
      <c r="L17" s="595" t="s">
        <v>46</v>
      </c>
      <c r="M17" s="595" t="s">
        <v>47</v>
      </c>
      <c r="N17" s="595" t="s">
        <v>48</v>
      </c>
      <c r="O17" s="595" t="s">
        <v>49</v>
      </c>
      <c r="P17" s="595" t="s">
        <v>50</v>
      </c>
      <c r="Q17" s="649"/>
      <c r="R17" s="649"/>
      <c r="S17" s="649"/>
      <c r="T17" s="650"/>
      <c r="U17" s="815" t="s">
        <v>51</v>
      </c>
      <c r="V17" s="594"/>
      <c r="W17" s="595" t="s">
        <v>52</v>
      </c>
      <c r="X17" s="595" t="s">
        <v>53</v>
      </c>
      <c r="Y17" s="816" t="s">
        <v>54</v>
      </c>
      <c r="Z17" s="736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96"/>
      <c r="B18" s="596"/>
      <c r="C18" s="596"/>
      <c r="D18" s="651"/>
      <c r="E18" s="653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6"/>
      <c r="X18" s="596"/>
      <c r="Y18" s="817"/>
      <c r="Z18" s="737"/>
      <c r="AA18" s="763"/>
      <c r="AB18" s="763"/>
      <c r="AC18" s="763"/>
      <c r="AD18" s="832"/>
      <c r="AE18" s="833"/>
      <c r="AF18" s="834"/>
      <c r="AG18" s="66"/>
      <c r="BD18" s="65"/>
    </row>
    <row r="19" spans="1:68" ht="27.75" hidden="1" customHeight="1" x14ac:dyDescent="0.2">
      <c r="A19" s="667" t="s">
        <v>63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hidden="1" customHeight="1" x14ac:dyDescent="0.25">
      <c r="A20" s="566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hidden="1" customHeight="1" x14ac:dyDescent="0.25">
      <c r="A21" s="565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9" t="s">
        <v>71</v>
      </c>
      <c r="Q23" s="560"/>
      <c r="R23" s="560"/>
      <c r="S23" s="560"/>
      <c r="T23" s="560"/>
      <c r="U23" s="560"/>
      <c r="V23" s="56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9" t="s">
        <v>71</v>
      </c>
      <c r="Q24" s="560"/>
      <c r="R24" s="560"/>
      <c r="S24" s="560"/>
      <c r="T24" s="560"/>
      <c r="U24" s="560"/>
      <c r="V24" s="56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5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9" t="s">
        <v>71</v>
      </c>
      <c r="Q31" s="560"/>
      <c r="R31" s="560"/>
      <c r="S31" s="560"/>
      <c r="T31" s="560"/>
      <c r="U31" s="560"/>
      <c r="V31" s="56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9" t="s">
        <v>71</v>
      </c>
      <c r="Q32" s="560"/>
      <c r="R32" s="560"/>
      <c r="S32" s="560"/>
      <c r="T32" s="560"/>
      <c r="U32" s="560"/>
      <c r="V32" s="56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5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9" t="s">
        <v>71</v>
      </c>
      <c r="Q35" s="560"/>
      <c r="R35" s="560"/>
      <c r="S35" s="560"/>
      <c r="T35" s="560"/>
      <c r="U35" s="560"/>
      <c r="V35" s="56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9" t="s">
        <v>71</v>
      </c>
      <c r="Q36" s="560"/>
      <c r="R36" s="560"/>
      <c r="S36" s="560"/>
      <c r="T36" s="560"/>
      <c r="U36" s="560"/>
      <c r="V36" s="56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67" t="s">
        <v>97</v>
      </c>
      <c r="B37" s="668"/>
      <c r="C37" s="668"/>
      <c r="D37" s="668"/>
      <c r="E37" s="668"/>
      <c r="F37" s="668"/>
      <c r="G37" s="668"/>
      <c r="H37" s="668"/>
      <c r="I37" s="668"/>
      <c r="J37" s="668"/>
      <c r="K37" s="668"/>
      <c r="L37" s="668"/>
      <c r="M37" s="668"/>
      <c r="N37" s="668"/>
      <c r="O37" s="668"/>
      <c r="P37" s="668"/>
      <c r="Q37" s="668"/>
      <c r="R37" s="668"/>
      <c r="S37" s="668"/>
      <c r="T37" s="668"/>
      <c r="U37" s="668"/>
      <c r="V37" s="668"/>
      <c r="W37" s="668"/>
      <c r="X37" s="668"/>
      <c r="Y37" s="668"/>
      <c r="Z37" s="668"/>
      <c r="AA37" s="48"/>
      <c r="AB37" s="48"/>
      <c r="AC37" s="48"/>
    </row>
    <row r="38" spans="1:68" ht="16.5" hidden="1" customHeight="1" x14ac:dyDescent="0.25">
      <c r="A38" s="566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hidden="1" customHeight="1" x14ac:dyDescent="0.25">
      <c r="A39" s="565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200</v>
      </c>
      <c r="Y41" s="542">
        <f>IFERROR(IF(X41="",0,CEILING((X41/$H41),1)*$H41),"")</f>
        <v>200</v>
      </c>
      <c r="Z41" s="36">
        <f>IFERROR(IF(Y41=0,"",ROUNDUP(Y41/H41,0)*0.00902),"")</f>
        <v>0.45100000000000001</v>
      </c>
      <c r="AA41" s="56"/>
      <c r="AB41" s="57"/>
      <c r="AC41" s="85" t="s">
        <v>105</v>
      </c>
      <c r="AG41" s="64"/>
      <c r="AJ41" s="68" t="s">
        <v>106</v>
      </c>
      <c r="AK41" s="68">
        <v>3320</v>
      </c>
      <c r="BB41" s="86" t="s">
        <v>1</v>
      </c>
      <c r="BM41" s="64">
        <f>IFERROR(X41*I41/H41,"0")</f>
        <v>209.50000000000003</v>
      </c>
      <c r="BN41" s="64">
        <f>IFERROR(Y41*I41/H41,"0")</f>
        <v>209.50000000000003</v>
      </c>
      <c r="BO41" s="64">
        <f>IFERROR(1/J41*(X41/H41),"0")</f>
        <v>0.37878787878787878</v>
      </c>
      <c r="BP41" s="64">
        <f>IFERROR(1/J41*(Y41/H41),"0")</f>
        <v>0.37878787878787878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9" t="s">
        <v>71</v>
      </c>
      <c r="Q43" s="560"/>
      <c r="R43" s="560"/>
      <c r="S43" s="560"/>
      <c r="T43" s="560"/>
      <c r="U43" s="560"/>
      <c r="V43" s="561"/>
      <c r="W43" s="37" t="s">
        <v>72</v>
      </c>
      <c r="X43" s="543">
        <f>IFERROR(X40/H40,"0")+IFERROR(X41/H41,"0")+IFERROR(X42/H42,"0")</f>
        <v>50</v>
      </c>
      <c r="Y43" s="543">
        <f>IFERROR(Y40/H40,"0")+IFERROR(Y41/H41,"0")+IFERROR(Y42/H42,"0")</f>
        <v>50</v>
      </c>
      <c r="Z43" s="543">
        <f>IFERROR(IF(Z40="",0,Z40),"0")+IFERROR(IF(Z41="",0,Z41),"0")+IFERROR(IF(Z42="",0,Z42),"0")</f>
        <v>0.45100000000000001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9" t="s">
        <v>71</v>
      </c>
      <c r="Q44" s="560"/>
      <c r="R44" s="560"/>
      <c r="S44" s="560"/>
      <c r="T44" s="560"/>
      <c r="U44" s="560"/>
      <c r="V44" s="561"/>
      <c r="W44" s="37" t="s">
        <v>69</v>
      </c>
      <c r="X44" s="543">
        <f>IFERROR(SUM(X40:X42),"0")</f>
        <v>200</v>
      </c>
      <c r="Y44" s="543">
        <f>IFERROR(SUM(Y40:Y42),"0")</f>
        <v>200</v>
      </c>
      <c r="Z44" s="37"/>
      <c r="AA44" s="544"/>
      <c r="AB44" s="544"/>
      <c r="AC44" s="544"/>
    </row>
    <row r="45" spans="1:68" ht="14.25" hidden="1" customHeight="1" x14ac:dyDescent="0.25">
      <c r="A45" s="565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9" t="s">
        <v>71</v>
      </c>
      <c r="Q47" s="560"/>
      <c r="R47" s="560"/>
      <c r="S47" s="560"/>
      <c r="T47" s="560"/>
      <c r="U47" s="560"/>
      <c r="V47" s="56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9" t="s">
        <v>71</v>
      </c>
      <c r="Q48" s="560"/>
      <c r="R48" s="560"/>
      <c r="S48" s="560"/>
      <c r="T48" s="560"/>
      <c r="U48" s="560"/>
      <c r="V48" s="56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6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hidden="1" customHeight="1" x14ac:dyDescent="0.25">
      <c r="A50" s="565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100</v>
      </c>
      <c r="Y52" s="542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103.79629629629629</v>
      </c>
      <c r="BN52" s="64">
        <f t="shared" si="2"/>
        <v>112.1</v>
      </c>
      <c r="BO52" s="64">
        <f t="shared" si="3"/>
        <v>0.14467592592592593</v>
      </c>
      <c r="BP52" s="64">
        <f t="shared" si="4"/>
        <v>0.15625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6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270</v>
      </c>
      <c r="Y56" s="542">
        <f t="shared" si="0"/>
        <v>270</v>
      </c>
      <c r="Z56" s="36">
        <f>IFERROR(IF(Y56=0,"",ROUNDUP(Y56/H56,0)*0.00902),"")</f>
        <v>0.54120000000000001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281.40000000000003</v>
      </c>
      <c r="BN56" s="64">
        <f t="shared" si="2"/>
        <v>281.40000000000003</v>
      </c>
      <c r="BO56" s="64">
        <f t="shared" si="3"/>
        <v>0.45454545454545459</v>
      </c>
      <c r="BP56" s="64">
        <f t="shared" si="4"/>
        <v>0.45454545454545459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9" t="s">
        <v>71</v>
      </c>
      <c r="Q57" s="560"/>
      <c r="R57" s="560"/>
      <c r="S57" s="560"/>
      <c r="T57" s="560"/>
      <c r="U57" s="560"/>
      <c r="V57" s="561"/>
      <c r="W57" s="37" t="s">
        <v>72</v>
      </c>
      <c r="X57" s="543">
        <f>IFERROR(X51/H51,"0")+IFERROR(X52/H52,"0")+IFERROR(X53/H53,"0")+IFERROR(X54/H54,"0")+IFERROR(X55/H55,"0")+IFERROR(X56/H56,"0")</f>
        <v>69.259259259259267</v>
      </c>
      <c r="Y57" s="543">
        <f>IFERROR(Y51/H51,"0")+IFERROR(Y52/H52,"0")+IFERROR(Y53/H53,"0")+IFERROR(Y54/H54,"0")+IFERROR(Y55/H55,"0")+IFERROR(Y56/H56,"0")</f>
        <v>70</v>
      </c>
      <c r="Z57" s="543">
        <f>IFERROR(IF(Z51="",0,Z51),"0")+IFERROR(IF(Z52="",0,Z52),"0")+IFERROR(IF(Z53="",0,Z53),"0")+IFERROR(IF(Z54="",0,Z54),"0")+IFERROR(IF(Z55="",0,Z55),"0")+IFERROR(IF(Z56="",0,Z56),"0")</f>
        <v>0.73099999999999998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9" t="s">
        <v>71</v>
      </c>
      <c r="Q58" s="560"/>
      <c r="R58" s="560"/>
      <c r="S58" s="560"/>
      <c r="T58" s="560"/>
      <c r="U58" s="560"/>
      <c r="V58" s="561"/>
      <c r="W58" s="37" t="s">
        <v>69</v>
      </c>
      <c r="X58" s="543">
        <f>IFERROR(SUM(X51:X56),"0")</f>
        <v>370</v>
      </c>
      <c r="Y58" s="543">
        <f>IFERROR(SUM(Y51:Y56),"0")</f>
        <v>378</v>
      </c>
      <c r="Z58" s="37"/>
      <c r="AA58" s="544"/>
      <c r="AB58" s="544"/>
      <c r="AC58" s="544"/>
    </row>
    <row r="59" spans="1:68" ht="14.25" hidden="1" customHeight="1" x14ac:dyDescent="0.25">
      <c r="A59" s="565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200</v>
      </c>
      <c r="Y60" s="542">
        <f>IFERROR(IF(X60="",0,CEILING((X60/$H60),1)*$H60),"")</f>
        <v>205.20000000000002</v>
      </c>
      <c r="Z60" s="36">
        <f>IFERROR(IF(Y60=0,"",ROUNDUP(Y60/H60,0)*0.01898),"")</f>
        <v>0.36062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207.59259259259258</v>
      </c>
      <c r="BN60" s="64">
        <f>IFERROR(Y60*I60/H60,"0")</f>
        <v>212.99</v>
      </c>
      <c r="BO60" s="64">
        <f>IFERROR(1/J60*(X60/H60),"0")</f>
        <v>0.28935185185185186</v>
      </c>
      <c r="BP60" s="64">
        <f>IFERROR(1/J60*(Y60/H60),"0")</f>
        <v>0.296875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2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202.5</v>
      </c>
      <c r="Y62" s="542">
        <f>IFERROR(IF(X62="",0,CEILING((X62/$H62),1)*$H62),"")</f>
        <v>202.5</v>
      </c>
      <c r="Z62" s="36">
        <f>IFERROR(IF(Y62=0,"",ROUNDUP(Y62/H62,0)*0.00651),"")</f>
        <v>0.48825000000000002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215.99999999999997</v>
      </c>
      <c r="BN62" s="64">
        <f>IFERROR(Y62*I62/H62,"0")</f>
        <v>215.99999999999997</v>
      </c>
      <c r="BO62" s="64">
        <f>IFERROR(1/J62*(X62/H62),"0")</f>
        <v>0.41208791208791212</v>
      </c>
      <c r="BP62" s="64">
        <f>IFERROR(1/J62*(Y62/H62),"0")</f>
        <v>0.41208791208791212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9" t="s">
        <v>71</v>
      </c>
      <c r="Q63" s="560"/>
      <c r="R63" s="560"/>
      <c r="S63" s="560"/>
      <c r="T63" s="560"/>
      <c r="U63" s="560"/>
      <c r="V63" s="561"/>
      <c r="W63" s="37" t="s">
        <v>72</v>
      </c>
      <c r="X63" s="543">
        <f>IFERROR(X60/H60,"0")+IFERROR(X61/H61,"0")+IFERROR(X62/H62,"0")</f>
        <v>93.518518518518519</v>
      </c>
      <c r="Y63" s="543">
        <f>IFERROR(Y60/H60,"0")+IFERROR(Y61/H61,"0")+IFERROR(Y62/H62,"0")</f>
        <v>94</v>
      </c>
      <c r="Z63" s="543">
        <f>IFERROR(IF(Z60="",0,Z60),"0")+IFERROR(IF(Z61="",0,Z61),"0")+IFERROR(IF(Z62="",0,Z62),"0")</f>
        <v>0.84887000000000001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9" t="s">
        <v>71</v>
      </c>
      <c r="Q64" s="560"/>
      <c r="R64" s="560"/>
      <c r="S64" s="560"/>
      <c r="T64" s="560"/>
      <c r="U64" s="560"/>
      <c r="V64" s="561"/>
      <c r="W64" s="37" t="s">
        <v>69</v>
      </c>
      <c r="X64" s="543">
        <f>IFERROR(SUM(X60:X62),"0")</f>
        <v>402.5</v>
      </c>
      <c r="Y64" s="543">
        <f>IFERROR(SUM(Y60:Y62),"0")</f>
        <v>407.70000000000005</v>
      </c>
      <c r="Z64" s="37"/>
      <c r="AA64" s="544"/>
      <c r="AB64" s="544"/>
      <c r="AC64" s="544"/>
    </row>
    <row r="65" spans="1:68" ht="14.25" hidden="1" customHeight="1" x14ac:dyDescent="0.25">
      <c r="A65" s="565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9" t="s">
        <v>71</v>
      </c>
      <c r="Q69" s="560"/>
      <c r="R69" s="560"/>
      <c r="S69" s="560"/>
      <c r="T69" s="560"/>
      <c r="U69" s="560"/>
      <c r="V69" s="56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9" t="s">
        <v>71</v>
      </c>
      <c r="Q70" s="560"/>
      <c r="R70" s="560"/>
      <c r="S70" s="560"/>
      <c r="T70" s="560"/>
      <c r="U70" s="560"/>
      <c r="V70" s="56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5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59" t="s">
        <v>71</v>
      </c>
      <c r="Q76" s="560"/>
      <c r="R76" s="560"/>
      <c r="S76" s="560"/>
      <c r="T76" s="560"/>
      <c r="U76" s="560"/>
      <c r="V76" s="561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9" t="s">
        <v>71</v>
      </c>
      <c r="Q77" s="560"/>
      <c r="R77" s="560"/>
      <c r="S77" s="560"/>
      <c r="T77" s="560"/>
      <c r="U77" s="560"/>
      <c r="V77" s="561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5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20</v>
      </c>
      <c r="Y79" s="542">
        <f>IFERROR(IF(X79="",0,CEILING((X79/$H79),1)*$H79),"")</f>
        <v>23.4</v>
      </c>
      <c r="Z79" s="36">
        <f>IFERROR(IF(Y79=0,"",ROUNDUP(Y79/H79,0)*0.01898),"")</f>
        <v>5.6940000000000004E-2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21.051282051282055</v>
      </c>
      <c r="BN79" s="64">
        <f>IFERROR(Y79*I79/H79,"0")</f>
        <v>24.630000000000003</v>
      </c>
      <c r="BO79" s="64">
        <f>IFERROR(1/J79*(X79/H79),"0")</f>
        <v>4.0064102564102567E-2</v>
      </c>
      <c r="BP79" s="64">
        <f>IFERROR(1/J79*(Y79/H79),"0")</f>
        <v>4.6875E-2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59" t="s">
        <v>71</v>
      </c>
      <c r="Q81" s="560"/>
      <c r="R81" s="560"/>
      <c r="S81" s="560"/>
      <c r="T81" s="560"/>
      <c r="U81" s="560"/>
      <c r="V81" s="561"/>
      <c r="W81" s="37" t="s">
        <v>72</v>
      </c>
      <c r="X81" s="543">
        <f>IFERROR(X79/H79,"0")+IFERROR(X80/H80,"0")</f>
        <v>2.5641025641025643</v>
      </c>
      <c r="Y81" s="543">
        <f>IFERROR(Y79/H79,"0")+IFERROR(Y80/H80,"0")</f>
        <v>3</v>
      </c>
      <c r="Z81" s="543">
        <f>IFERROR(IF(Z79="",0,Z79),"0")+IFERROR(IF(Z80="",0,Z80),"0")</f>
        <v>5.6940000000000004E-2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9" t="s">
        <v>71</v>
      </c>
      <c r="Q82" s="560"/>
      <c r="R82" s="560"/>
      <c r="S82" s="560"/>
      <c r="T82" s="560"/>
      <c r="U82" s="560"/>
      <c r="V82" s="561"/>
      <c r="W82" s="37" t="s">
        <v>69</v>
      </c>
      <c r="X82" s="543">
        <f>IFERROR(SUM(X79:X80),"0")</f>
        <v>20</v>
      </c>
      <c r="Y82" s="543">
        <f>IFERROR(SUM(Y79:Y80),"0")</f>
        <v>23.4</v>
      </c>
      <c r="Z82" s="37"/>
      <c r="AA82" s="544"/>
      <c r="AB82" s="544"/>
      <c r="AC82" s="544"/>
    </row>
    <row r="83" spans="1:68" ht="16.5" hidden="1" customHeight="1" x14ac:dyDescent="0.25">
      <c r="A83" s="566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hidden="1" customHeight="1" x14ac:dyDescent="0.25">
      <c r="A84" s="565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5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225</v>
      </c>
      <c r="Y87" s="542">
        <f>IFERROR(IF(X87="",0,CEILING((X87/$H87),1)*$H87),"")</f>
        <v>225</v>
      </c>
      <c r="Z87" s="36">
        <f>IFERROR(IF(Y87=0,"",ROUNDUP(Y87/H87,0)*0.00902),"")</f>
        <v>0.45100000000000001</v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234.5</v>
      </c>
      <c r="BN87" s="64">
        <f>IFERROR(Y87*I87/H87,"0")</f>
        <v>234.5</v>
      </c>
      <c r="BO87" s="64">
        <f>IFERROR(1/J87*(X87/H87),"0")</f>
        <v>0.37878787878787878</v>
      </c>
      <c r="BP87" s="64">
        <f>IFERROR(1/J87*(Y87/H87),"0")</f>
        <v>0.37878787878787878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59" t="s">
        <v>71</v>
      </c>
      <c r="Q88" s="560"/>
      <c r="R88" s="560"/>
      <c r="S88" s="560"/>
      <c r="T88" s="560"/>
      <c r="U88" s="560"/>
      <c r="V88" s="561"/>
      <c r="W88" s="37" t="s">
        <v>72</v>
      </c>
      <c r="X88" s="543">
        <f>IFERROR(X85/H85,"0")+IFERROR(X86/H86,"0")+IFERROR(X87/H87,"0")</f>
        <v>50</v>
      </c>
      <c r="Y88" s="543">
        <f>IFERROR(Y85/H85,"0")+IFERROR(Y86/H86,"0")+IFERROR(Y87/H87,"0")</f>
        <v>50</v>
      </c>
      <c r="Z88" s="543">
        <f>IFERROR(IF(Z85="",0,Z85),"0")+IFERROR(IF(Z86="",0,Z86),"0")+IFERROR(IF(Z87="",0,Z87),"0")</f>
        <v>0.45100000000000001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9" t="s">
        <v>71</v>
      </c>
      <c r="Q89" s="560"/>
      <c r="R89" s="560"/>
      <c r="S89" s="560"/>
      <c r="T89" s="560"/>
      <c r="U89" s="560"/>
      <c r="V89" s="561"/>
      <c r="W89" s="37" t="s">
        <v>69</v>
      </c>
      <c r="X89" s="543">
        <f>IFERROR(SUM(X85:X87),"0")</f>
        <v>225</v>
      </c>
      <c r="Y89" s="543">
        <f>IFERROR(SUM(Y85:Y87),"0")</f>
        <v>225</v>
      </c>
      <c r="Z89" s="37"/>
      <c r="AA89" s="544"/>
      <c r="AB89" s="544"/>
      <c r="AC89" s="544"/>
    </row>
    <row r="90" spans="1:68" ht="14.25" hidden="1" customHeight="1" x14ac:dyDescent="0.25">
      <c r="A90" s="565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8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400</v>
      </c>
      <c r="Y91" s="542">
        <f>IFERROR(IF(X91="",0,CEILING((X91/$H91),1)*$H91),"")</f>
        <v>405</v>
      </c>
      <c r="Z91" s="36">
        <f>IFERROR(IF(Y91=0,"",ROUNDUP(Y91/H91,0)*0.01898),"")</f>
        <v>0.94900000000000007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424.39506172839509</v>
      </c>
      <c r="BN91" s="64">
        <f>IFERROR(Y91*I91/H91,"0")</f>
        <v>429.7</v>
      </c>
      <c r="BO91" s="64">
        <f>IFERROR(1/J91*(X91/H91),"0")</f>
        <v>0.77160493827160492</v>
      </c>
      <c r="BP91" s="64">
        <f>IFERROR(1/J91*(Y91/H91),"0")</f>
        <v>0.78125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405</v>
      </c>
      <c r="Y93" s="542">
        <f>IFERROR(IF(X93="",0,CEILING((X93/$H93),1)*$H93),"")</f>
        <v>405</v>
      </c>
      <c r="Z93" s="36">
        <f>IFERROR(IF(Y93=0,"",ROUNDUP(Y93/H93,0)*0.00651),"")</f>
        <v>0.97650000000000003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442.79999999999995</v>
      </c>
      <c r="BN93" s="64">
        <f>IFERROR(Y93*I93/H93,"0")</f>
        <v>442.79999999999995</v>
      </c>
      <c r="BO93" s="64">
        <f>IFERROR(1/J93*(X93/H93),"0")</f>
        <v>0.82417582417582425</v>
      </c>
      <c r="BP93" s="64">
        <f>IFERROR(1/J93*(Y93/H93),"0")</f>
        <v>0.82417582417582425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59" t="s">
        <v>71</v>
      </c>
      <c r="Q95" s="560"/>
      <c r="R95" s="560"/>
      <c r="S95" s="560"/>
      <c r="T95" s="560"/>
      <c r="U95" s="560"/>
      <c r="V95" s="561"/>
      <c r="W95" s="37" t="s">
        <v>72</v>
      </c>
      <c r="X95" s="543">
        <f>IFERROR(X91/H91,"0")+IFERROR(X92/H92,"0")+IFERROR(X93/H93,"0")+IFERROR(X94/H94,"0")</f>
        <v>199.38271604938271</v>
      </c>
      <c r="Y95" s="543">
        <f>IFERROR(Y91/H91,"0")+IFERROR(Y92/H92,"0")+IFERROR(Y93/H93,"0")+IFERROR(Y94/H94,"0")</f>
        <v>200</v>
      </c>
      <c r="Z95" s="543">
        <f>IFERROR(IF(Z91="",0,Z91),"0")+IFERROR(IF(Z92="",0,Z92),"0")+IFERROR(IF(Z93="",0,Z93),"0")+IFERROR(IF(Z94="",0,Z94),"0")</f>
        <v>1.9255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9" t="s">
        <v>71</v>
      </c>
      <c r="Q96" s="560"/>
      <c r="R96" s="560"/>
      <c r="S96" s="560"/>
      <c r="T96" s="560"/>
      <c r="U96" s="560"/>
      <c r="V96" s="561"/>
      <c r="W96" s="37" t="s">
        <v>69</v>
      </c>
      <c r="X96" s="543">
        <f>IFERROR(SUM(X91:X94),"0")</f>
        <v>805</v>
      </c>
      <c r="Y96" s="543">
        <f>IFERROR(SUM(Y91:Y94),"0")</f>
        <v>810</v>
      </c>
      <c r="Z96" s="37"/>
      <c r="AA96" s="544"/>
      <c r="AB96" s="544"/>
      <c r="AC96" s="544"/>
    </row>
    <row r="97" spans="1:68" ht="16.5" hidden="1" customHeight="1" x14ac:dyDescent="0.25">
      <c r="A97" s="566" t="s">
        <v>189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hidden="1" customHeight="1" x14ac:dyDescent="0.25">
      <c r="A98" s="565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70</v>
      </c>
      <c r="Y99" s="542">
        <f>IFERROR(IF(X99="",0,CEILING((X99/$H99),1)*$H99),"")</f>
        <v>75.600000000000009</v>
      </c>
      <c r="Z99" s="36">
        <f>IFERROR(IF(Y99=0,"",ROUNDUP(Y99/H99,0)*0.01898),"")</f>
        <v>0.13286000000000001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72.657407407407405</v>
      </c>
      <c r="BN99" s="64">
        <f>IFERROR(Y99*I99/H99,"0")</f>
        <v>78.47</v>
      </c>
      <c r="BO99" s="64">
        <f>IFERROR(1/J99*(X99/H99),"0")</f>
        <v>0.10127314814814814</v>
      </c>
      <c r="BP99" s="64">
        <f>IFERROR(1/J99*(Y99/H99),"0")</f>
        <v>0.109375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197</v>
      </c>
      <c r="M101" s="33" t="s">
        <v>77</v>
      </c>
      <c r="N101" s="33"/>
      <c r="O101" s="32">
        <v>50</v>
      </c>
      <c r="P101" s="7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630</v>
      </c>
      <c r="Y101" s="542">
        <f>IFERROR(IF(X101="",0,CEILING((X101/$H101),1)*$H101),"")</f>
        <v>630</v>
      </c>
      <c r="Z101" s="36">
        <f>IFERROR(IF(Y101=0,"",ROUNDUP(Y101/H101,0)*0.00902),"")</f>
        <v>1.2627999999999999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656.6</v>
      </c>
      <c r="BN101" s="64">
        <f>IFERROR(Y101*I101/H101,"0")</f>
        <v>656.6</v>
      </c>
      <c r="BO101" s="64">
        <f>IFERROR(1/J101*(X101/H101),"0")</f>
        <v>1.0606060606060606</v>
      </c>
      <c r="BP101" s="64">
        <f>IFERROR(1/J101*(Y101/H101),"0")</f>
        <v>1.0606060606060606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59" t="s">
        <v>71</v>
      </c>
      <c r="Q103" s="560"/>
      <c r="R103" s="560"/>
      <c r="S103" s="560"/>
      <c r="T103" s="560"/>
      <c r="U103" s="560"/>
      <c r="V103" s="561"/>
      <c r="W103" s="37" t="s">
        <v>72</v>
      </c>
      <c r="X103" s="543">
        <f>IFERROR(X99/H99,"0")+IFERROR(X100/H100,"0")+IFERROR(X101/H101,"0")+IFERROR(X102/H102,"0")</f>
        <v>146.48148148148147</v>
      </c>
      <c r="Y103" s="543">
        <f>IFERROR(Y99/H99,"0")+IFERROR(Y100/H100,"0")+IFERROR(Y101/H101,"0")+IFERROR(Y102/H102,"0")</f>
        <v>147</v>
      </c>
      <c r="Z103" s="543">
        <f>IFERROR(IF(Z99="",0,Z99),"0")+IFERROR(IF(Z100="",0,Z100),"0")+IFERROR(IF(Z101="",0,Z101),"0")+IFERROR(IF(Z102="",0,Z102),"0")</f>
        <v>1.3956599999999999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9" t="s">
        <v>71</v>
      </c>
      <c r="Q104" s="560"/>
      <c r="R104" s="560"/>
      <c r="S104" s="560"/>
      <c r="T104" s="560"/>
      <c r="U104" s="560"/>
      <c r="V104" s="561"/>
      <c r="W104" s="37" t="s">
        <v>69</v>
      </c>
      <c r="X104" s="543">
        <f>IFERROR(SUM(X99:X102),"0")</f>
        <v>700</v>
      </c>
      <c r="Y104" s="543">
        <f>IFERROR(SUM(Y99:Y102),"0")</f>
        <v>705.6</v>
      </c>
      <c r="Z104" s="37"/>
      <c r="AA104" s="544"/>
      <c r="AB104" s="544"/>
      <c r="AC104" s="544"/>
    </row>
    <row r="105" spans="1:68" ht="14.25" hidden="1" customHeight="1" x14ac:dyDescent="0.25">
      <c r="A105" s="565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59" t="s">
        <v>71</v>
      </c>
      <c r="Q109" s="560"/>
      <c r="R109" s="560"/>
      <c r="S109" s="560"/>
      <c r="T109" s="560"/>
      <c r="U109" s="560"/>
      <c r="V109" s="561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9" t="s">
        <v>71</v>
      </c>
      <c r="Q110" s="560"/>
      <c r="R110" s="560"/>
      <c r="S110" s="560"/>
      <c r="T110" s="560"/>
      <c r="U110" s="560"/>
      <c r="V110" s="561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5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300</v>
      </c>
      <c r="Y112" s="542">
        <f>IFERROR(IF(X112="",0,CEILING((X112/$H112),1)*$H112),"")</f>
        <v>307.8</v>
      </c>
      <c r="Z112" s="36">
        <f>IFERROR(IF(Y112=0,"",ROUNDUP(Y112/H112,0)*0.01898),"")</f>
        <v>0.72123999999999999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318.07407407407402</v>
      </c>
      <c r="BN112" s="64">
        <f>IFERROR(Y112*I112/H112,"0")</f>
        <v>326.34399999999999</v>
      </c>
      <c r="BO112" s="64">
        <f>IFERROR(1/J112*(X112/H112),"0")</f>
        <v>0.57870370370370372</v>
      </c>
      <c r="BP112" s="64">
        <f>IFERROR(1/J112*(Y112/H112),"0")</f>
        <v>0.59375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214</v>
      </c>
      <c r="M114" s="33" t="s">
        <v>84</v>
      </c>
      <c r="N114" s="33"/>
      <c r="O114" s="32">
        <v>45</v>
      </c>
      <c r="P114" s="8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495</v>
      </c>
      <c r="Y114" s="542">
        <f>IFERROR(IF(X114="",0,CEILING((X114/$H114),1)*$H114),"")</f>
        <v>496.8</v>
      </c>
      <c r="Z114" s="36">
        <f>IFERROR(IF(Y114=0,"",ROUNDUP(Y114/H114,0)*0.00651),"")</f>
        <v>1.19784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541.19999999999993</v>
      </c>
      <c r="BN114" s="64">
        <f>IFERROR(Y114*I114/H114,"0")</f>
        <v>543.16800000000001</v>
      </c>
      <c r="BO114" s="64">
        <f>IFERROR(1/J114*(X114/H114),"0")</f>
        <v>1.0073260073260073</v>
      </c>
      <c r="BP114" s="64">
        <f>IFERROR(1/J114*(Y114/H114),"0")</f>
        <v>1.0109890109890112</v>
      </c>
    </row>
    <row r="115" spans="1:68" ht="16.5" customHeight="1" x14ac:dyDescent="0.25">
      <c r="A115" s="54" t="s">
        <v>215</v>
      </c>
      <c r="B115" s="54" t="s">
        <v>216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214</v>
      </c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21</v>
      </c>
      <c r="Y115" s="542">
        <f>IFERROR(IF(X115="",0,CEILING((X115/$H115),1)*$H115),"")</f>
        <v>21.6</v>
      </c>
      <c r="Z115" s="36">
        <f>IFERROR(IF(Y115=0,"",ROUNDUP(Y115/H115,0)*0.00651),"")</f>
        <v>7.8119999999999995E-2</v>
      </c>
      <c r="AA115" s="56"/>
      <c r="AB115" s="57"/>
      <c r="AC115" s="161" t="s">
        <v>217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23.099999999999998</v>
      </c>
      <c r="BN115" s="64">
        <f>IFERROR(Y115*I115/H115,"0")</f>
        <v>23.76</v>
      </c>
      <c r="BO115" s="64">
        <f>IFERROR(1/J115*(X115/H115),"0")</f>
        <v>6.4102564102564111E-2</v>
      </c>
      <c r="BP115" s="64">
        <f>IFERROR(1/J115*(Y115/H115),"0")</f>
        <v>6.5934065934065936E-2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59" t="s">
        <v>71</v>
      </c>
      <c r="Q116" s="560"/>
      <c r="R116" s="560"/>
      <c r="S116" s="560"/>
      <c r="T116" s="560"/>
      <c r="U116" s="560"/>
      <c r="V116" s="561"/>
      <c r="W116" s="37" t="s">
        <v>72</v>
      </c>
      <c r="X116" s="543">
        <f>IFERROR(X112/H112,"0")+IFERROR(X113/H113,"0")+IFERROR(X114/H114,"0")+IFERROR(X115/H115,"0")</f>
        <v>232.03703703703701</v>
      </c>
      <c r="Y116" s="543">
        <f>IFERROR(Y112/H112,"0")+IFERROR(Y113/H113,"0")+IFERROR(Y114/H114,"0")+IFERROR(Y115/H115,"0")</f>
        <v>234</v>
      </c>
      <c r="Z116" s="543">
        <f>IFERROR(IF(Z112="",0,Z112),"0")+IFERROR(IF(Z113="",0,Z113),"0")+IFERROR(IF(Z114="",0,Z114),"0")+IFERROR(IF(Z115="",0,Z115),"0")</f>
        <v>1.9972000000000001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9" t="s">
        <v>71</v>
      </c>
      <c r="Q117" s="560"/>
      <c r="R117" s="560"/>
      <c r="S117" s="560"/>
      <c r="T117" s="560"/>
      <c r="U117" s="560"/>
      <c r="V117" s="561"/>
      <c r="W117" s="37" t="s">
        <v>69</v>
      </c>
      <c r="X117" s="543">
        <f>IFERROR(SUM(X112:X115),"0")</f>
        <v>816</v>
      </c>
      <c r="Y117" s="543">
        <f>IFERROR(SUM(Y112:Y115),"0")</f>
        <v>826.2</v>
      </c>
      <c r="Z117" s="37"/>
      <c r="AA117" s="544"/>
      <c r="AB117" s="544"/>
      <c r="AC117" s="544"/>
    </row>
    <row r="118" spans="1:68" ht="14.25" hidden="1" customHeight="1" x14ac:dyDescent="0.25">
      <c r="A118" s="565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hidden="1" customHeight="1" x14ac:dyDescent="0.25">
      <c r="A119" s="54" t="s">
        <v>218</v>
      </c>
      <c r="B119" s="54" t="s">
        <v>219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214</v>
      </c>
      <c r="M119" s="33" t="s">
        <v>77</v>
      </c>
      <c r="N119" s="33"/>
      <c r="O119" s="32">
        <v>40</v>
      </c>
      <c r="P119" s="6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220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59" t="s">
        <v>71</v>
      </c>
      <c r="Q120" s="560"/>
      <c r="R120" s="560"/>
      <c r="S120" s="560"/>
      <c r="T120" s="560"/>
      <c r="U120" s="560"/>
      <c r="V120" s="561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9" t="s">
        <v>71</v>
      </c>
      <c r="Q121" s="560"/>
      <c r="R121" s="560"/>
      <c r="S121" s="560"/>
      <c r="T121" s="560"/>
      <c r="U121" s="560"/>
      <c r="V121" s="561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6" t="s">
        <v>221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hidden="1" customHeight="1" x14ac:dyDescent="0.25">
      <c r="A123" s="565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222</v>
      </c>
      <c r="B124" s="54" t="s">
        <v>223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214</v>
      </c>
      <c r="M124" s="33" t="s">
        <v>94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88</v>
      </c>
      <c r="Y124" s="542">
        <f>IFERROR(IF(X124="",0,CEILING((X124/$H124),1)*$H124),"")</f>
        <v>89.600000000000009</v>
      </c>
      <c r="Z124" s="36">
        <f>IFERROR(IF(Y124=0,"",ROUNDUP(Y124/H124,0)*0.00651),"")</f>
        <v>0.18228</v>
      </c>
      <c r="AA124" s="56"/>
      <c r="AB124" s="57"/>
      <c r="AC124" s="165" t="s">
        <v>224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92.949999999999989</v>
      </c>
      <c r="BN124" s="64">
        <f>IFERROR(Y124*I124/H124,"0")</f>
        <v>94.64</v>
      </c>
      <c r="BO124" s="64">
        <f>IFERROR(1/J124*(X124/H124),"0")</f>
        <v>0.15109890109890112</v>
      </c>
      <c r="BP124" s="64">
        <f>IFERROR(1/J124*(Y124/H124),"0")</f>
        <v>0.15384615384615385</v>
      </c>
    </row>
    <row r="125" spans="1:68" ht="27" hidden="1" customHeight="1" x14ac:dyDescent="0.25">
      <c r="A125" s="54" t="s">
        <v>222</v>
      </c>
      <c r="B125" s="54" t="s">
        <v>225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224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59" t="s">
        <v>71</v>
      </c>
      <c r="Q126" s="560"/>
      <c r="R126" s="560"/>
      <c r="S126" s="560"/>
      <c r="T126" s="560"/>
      <c r="U126" s="560"/>
      <c r="V126" s="561"/>
      <c r="W126" s="37" t="s">
        <v>72</v>
      </c>
      <c r="X126" s="543">
        <f>IFERROR(X124/H124,"0")+IFERROR(X125/H125,"0")</f>
        <v>27.5</v>
      </c>
      <c r="Y126" s="543">
        <f>IFERROR(Y124/H124,"0")+IFERROR(Y125/H125,"0")</f>
        <v>28</v>
      </c>
      <c r="Z126" s="543">
        <f>IFERROR(IF(Z124="",0,Z124),"0")+IFERROR(IF(Z125="",0,Z125),"0")</f>
        <v>0.18228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9" t="s">
        <v>71</v>
      </c>
      <c r="Q127" s="560"/>
      <c r="R127" s="560"/>
      <c r="S127" s="560"/>
      <c r="T127" s="560"/>
      <c r="U127" s="560"/>
      <c r="V127" s="561"/>
      <c r="W127" s="37" t="s">
        <v>69</v>
      </c>
      <c r="X127" s="543">
        <f>IFERROR(SUM(X124:X125),"0")</f>
        <v>88</v>
      </c>
      <c r="Y127" s="543">
        <f>IFERROR(SUM(Y124:Y125),"0")</f>
        <v>89.600000000000009</v>
      </c>
      <c r="Z127" s="37"/>
      <c r="AA127" s="544"/>
      <c r="AB127" s="544"/>
      <c r="AC127" s="544"/>
    </row>
    <row r="128" spans="1:68" ht="14.25" hidden="1" customHeight="1" x14ac:dyDescent="0.25">
      <c r="A128" s="565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hidden="1" customHeight="1" x14ac:dyDescent="0.25">
      <c r="A129" s="54" t="s">
        <v>226</v>
      </c>
      <c r="B129" s="54" t="s">
        <v>227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228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226</v>
      </c>
      <c r="B130" s="54" t="s">
        <v>229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214</v>
      </c>
      <c r="M130" s="33" t="s">
        <v>94</v>
      </c>
      <c r="N130" s="33"/>
      <c r="O130" s="32">
        <v>90</v>
      </c>
      <c r="P130" s="7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52.5</v>
      </c>
      <c r="Y130" s="542">
        <f>IFERROR(IF(X130="",0,CEILING((X130/$H130),1)*$H130),"")</f>
        <v>53.199999999999996</v>
      </c>
      <c r="Z130" s="36">
        <f>IFERROR(IF(Y130=0,"",ROUNDUP(Y130/H130,0)*0.00651),"")</f>
        <v>0.12369000000000001</v>
      </c>
      <c r="AA130" s="56"/>
      <c r="AB130" s="57"/>
      <c r="AC130" s="171" t="s">
        <v>228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57.524999999999999</v>
      </c>
      <c r="BN130" s="64">
        <f>IFERROR(Y130*I130/H130,"0")</f>
        <v>58.291999999999994</v>
      </c>
      <c r="BO130" s="64">
        <f>IFERROR(1/J130*(X130/H130),"0")</f>
        <v>0.10302197802197803</v>
      </c>
      <c r="BP130" s="64">
        <f>IFERROR(1/J130*(Y130/H130),"0")</f>
        <v>0.1043956043956044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59" t="s">
        <v>71</v>
      </c>
      <c r="Q131" s="560"/>
      <c r="R131" s="560"/>
      <c r="S131" s="560"/>
      <c r="T131" s="560"/>
      <c r="U131" s="560"/>
      <c r="V131" s="561"/>
      <c r="W131" s="37" t="s">
        <v>72</v>
      </c>
      <c r="X131" s="543">
        <f>IFERROR(X129/H129,"0")+IFERROR(X130/H130,"0")</f>
        <v>18.75</v>
      </c>
      <c r="Y131" s="543">
        <f>IFERROR(Y129/H129,"0")+IFERROR(Y130/H130,"0")</f>
        <v>19</v>
      </c>
      <c r="Z131" s="543">
        <f>IFERROR(IF(Z129="",0,Z129),"0")+IFERROR(IF(Z130="",0,Z130),"0")</f>
        <v>0.12369000000000001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9" t="s">
        <v>71</v>
      </c>
      <c r="Q132" s="560"/>
      <c r="R132" s="560"/>
      <c r="S132" s="560"/>
      <c r="T132" s="560"/>
      <c r="U132" s="560"/>
      <c r="V132" s="561"/>
      <c r="W132" s="37" t="s">
        <v>69</v>
      </c>
      <c r="X132" s="543">
        <f>IFERROR(SUM(X129:X130),"0")</f>
        <v>52.5</v>
      </c>
      <c r="Y132" s="543">
        <f>IFERROR(SUM(Y129:Y130),"0")</f>
        <v>53.199999999999996</v>
      </c>
      <c r="Z132" s="37"/>
      <c r="AA132" s="544"/>
      <c r="AB132" s="544"/>
      <c r="AC132" s="544"/>
    </row>
    <row r="133" spans="1:68" ht="14.25" hidden="1" customHeight="1" x14ac:dyDescent="0.25">
      <c r="A133" s="565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hidden="1" customHeight="1" x14ac:dyDescent="0.25">
      <c r="A134" s="54" t="s">
        <v>230</v>
      </c>
      <c r="B134" s="54" t="s">
        <v>231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224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230</v>
      </c>
      <c r="B135" s="54" t="s">
        <v>232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214</v>
      </c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59.400000000000013</v>
      </c>
      <c r="Y135" s="542">
        <f>IFERROR(IF(X135="",0,CEILING((X135/$H135),1)*$H135),"")</f>
        <v>60.720000000000006</v>
      </c>
      <c r="Z135" s="36">
        <f>IFERROR(IF(Y135=0,"",ROUNDUP(Y135/H135,0)*0.00651),"")</f>
        <v>0.14973</v>
      </c>
      <c r="AA135" s="56"/>
      <c r="AB135" s="57"/>
      <c r="AC135" s="175" t="s">
        <v>224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65.430000000000007</v>
      </c>
      <c r="BN135" s="64">
        <f>IFERROR(Y135*I135/H135,"0")</f>
        <v>66.884</v>
      </c>
      <c r="BO135" s="64">
        <f>IFERROR(1/J135*(X135/H135),"0")</f>
        <v>0.12362637362637366</v>
      </c>
      <c r="BP135" s="64">
        <f>IFERROR(1/J135*(Y135/H135),"0")</f>
        <v>0.1263736263736264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59" t="s">
        <v>71</v>
      </c>
      <c r="Q136" s="560"/>
      <c r="R136" s="560"/>
      <c r="S136" s="560"/>
      <c r="T136" s="560"/>
      <c r="U136" s="560"/>
      <c r="V136" s="561"/>
      <c r="W136" s="37" t="s">
        <v>72</v>
      </c>
      <c r="X136" s="543">
        <f>IFERROR(X134/H134,"0")+IFERROR(X135/H135,"0")</f>
        <v>22.500000000000004</v>
      </c>
      <c r="Y136" s="543">
        <f>IFERROR(Y134/H134,"0")+IFERROR(Y135/H135,"0")</f>
        <v>23</v>
      </c>
      <c r="Z136" s="543">
        <f>IFERROR(IF(Z134="",0,Z134),"0")+IFERROR(IF(Z135="",0,Z135),"0")</f>
        <v>0.14973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9" t="s">
        <v>71</v>
      </c>
      <c r="Q137" s="560"/>
      <c r="R137" s="560"/>
      <c r="S137" s="560"/>
      <c r="T137" s="560"/>
      <c r="U137" s="560"/>
      <c r="V137" s="561"/>
      <c r="W137" s="37" t="s">
        <v>69</v>
      </c>
      <c r="X137" s="543">
        <f>IFERROR(SUM(X134:X135),"0")</f>
        <v>59.400000000000013</v>
      </c>
      <c r="Y137" s="543">
        <f>IFERROR(SUM(Y134:Y135),"0")</f>
        <v>60.720000000000006</v>
      </c>
      <c r="Z137" s="37"/>
      <c r="AA137" s="544"/>
      <c r="AB137" s="544"/>
      <c r="AC137" s="544"/>
    </row>
    <row r="138" spans="1:68" ht="16.5" hidden="1" customHeight="1" x14ac:dyDescent="0.25">
      <c r="A138" s="566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hidden="1" customHeight="1" x14ac:dyDescent="0.25">
      <c r="A139" s="565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hidden="1" customHeight="1" x14ac:dyDescent="0.25">
      <c r="A140" s="54" t="s">
        <v>233</v>
      </c>
      <c r="B140" s="54" t="s">
        <v>234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235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236</v>
      </c>
      <c r="B141" s="54" t="s">
        <v>237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239</v>
      </c>
      <c r="B142" s="54" t="s">
        <v>240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84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59" t="s">
        <v>71</v>
      </c>
      <c r="Q143" s="560"/>
      <c r="R143" s="560"/>
      <c r="S143" s="560"/>
      <c r="T143" s="560"/>
      <c r="U143" s="560"/>
      <c r="V143" s="561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9" t="s">
        <v>71</v>
      </c>
      <c r="Q144" s="560"/>
      <c r="R144" s="560"/>
      <c r="S144" s="560"/>
      <c r="T144" s="560"/>
      <c r="U144" s="560"/>
      <c r="V144" s="561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65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hidden="1" customHeight="1" x14ac:dyDescent="0.25">
      <c r="A146" s="54" t="s">
        <v>242</v>
      </c>
      <c r="B146" s="54" t="s">
        <v>243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248</v>
      </c>
      <c r="B148" s="54" t="s">
        <v>249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59" t="s">
        <v>71</v>
      </c>
      <c r="Q149" s="560"/>
      <c r="R149" s="560"/>
      <c r="S149" s="560"/>
      <c r="T149" s="560"/>
      <c r="U149" s="560"/>
      <c r="V149" s="561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hidden="1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9" t="s">
        <v>71</v>
      </c>
      <c r="Q150" s="560"/>
      <c r="R150" s="560"/>
      <c r="S150" s="560"/>
      <c r="T150" s="560"/>
      <c r="U150" s="560"/>
      <c r="V150" s="561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hidden="1" customHeight="1" x14ac:dyDescent="0.25">
      <c r="A151" s="565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7" t="s">
        <v>253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254</v>
      </c>
      <c r="AC152" s="189" t="s">
        <v>255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59" t="s">
        <v>71</v>
      </c>
      <c r="Q153" s="560"/>
      <c r="R153" s="560"/>
      <c r="S153" s="560"/>
      <c r="T153" s="560"/>
      <c r="U153" s="560"/>
      <c r="V153" s="561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9" t="s">
        <v>71</v>
      </c>
      <c r="Q154" s="560"/>
      <c r="R154" s="560"/>
      <c r="S154" s="560"/>
      <c r="T154" s="560"/>
      <c r="U154" s="560"/>
      <c r="V154" s="561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67" t="s">
        <v>256</v>
      </c>
      <c r="B155" s="668"/>
      <c r="C155" s="668"/>
      <c r="D155" s="668"/>
      <c r="E155" s="668"/>
      <c r="F155" s="668"/>
      <c r="G155" s="668"/>
      <c r="H155" s="668"/>
      <c r="I155" s="668"/>
      <c r="J155" s="668"/>
      <c r="K155" s="668"/>
      <c r="L155" s="668"/>
      <c r="M155" s="668"/>
      <c r="N155" s="668"/>
      <c r="O155" s="668"/>
      <c r="P155" s="668"/>
      <c r="Q155" s="668"/>
      <c r="R155" s="668"/>
      <c r="S155" s="668"/>
      <c r="T155" s="668"/>
      <c r="U155" s="668"/>
      <c r="V155" s="668"/>
      <c r="W155" s="668"/>
      <c r="X155" s="668"/>
      <c r="Y155" s="668"/>
      <c r="Z155" s="668"/>
      <c r="AA155" s="48"/>
      <c r="AB155" s="48"/>
      <c r="AC155" s="48"/>
    </row>
    <row r="156" spans="1:68" ht="16.5" hidden="1" customHeight="1" x14ac:dyDescent="0.25">
      <c r="A156" s="566" t="s">
        <v>257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hidden="1" customHeight="1" x14ac:dyDescent="0.25">
      <c r="A157" s="565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hidden="1" customHeight="1" x14ac:dyDescent="0.25">
      <c r="A158" s="54" t="s">
        <v>258</v>
      </c>
      <c r="B158" s="54" t="s">
        <v>259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260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59" t="s">
        <v>71</v>
      </c>
      <c r="Q159" s="560"/>
      <c r="R159" s="560"/>
      <c r="S159" s="560"/>
      <c r="T159" s="560"/>
      <c r="U159" s="560"/>
      <c r="V159" s="561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9" t="s">
        <v>71</v>
      </c>
      <c r="Q160" s="560"/>
      <c r="R160" s="560"/>
      <c r="S160" s="560"/>
      <c r="T160" s="560"/>
      <c r="U160" s="560"/>
      <c r="V160" s="561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65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hidden="1" customHeight="1" x14ac:dyDescent="0.25">
      <c r="A162" s="54" t="s">
        <v>261</v>
      </c>
      <c r="B162" s="54" t="s">
        <v>262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9" t="s">
        <v>263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254</v>
      </c>
      <c r="AC162" s="193" t="s">
        <v>264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265</v>
      </c>
      <c r="B163" s="54" t="s">
        <v>266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197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70</v>
      </c>
      <c r="Y163" s="542">
        <f t="shared" si="5"/>
        <v>71.400000000000006</v>
      </c>
      <c r="Z163" s="36">
        <f>IFERROR(IF(Y163=0,"",ROUNDUP(Y163/H163,0)*0.00902),"")</f>
        <v>0.15334</v>
      </c>
      <c r="AA163" s="56"/>
      <c r="AB163" s="57"/>
      <c r="AC163" s="195" t="s">
        <v>267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74.166666666666657</v>
      </c>
      <c r="BN163" s="64">
        <f t="shared" si="7"/>
        <v>75.650000000000006</v>
      </c>
      <c r="BO163" s="64">
        <f t="shared" si="8"/>
        <v>0.12626262626262624</v>
      </c>
      <c r="BP163" s="64">
        <f t="shared" si="9"/>
        <v>0.12878787878787878</v>
      </c>
    </row>
    <row r="164" spans="1:68" ht="27" customHeight="1" x14ac:dyDescent="0.25">
      <c r="A164" s="54" t="s">
        <v>268</v>
      </c>
      <c r="B164" s="54" t="s">
        <v>269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 t="s">
        <v>197</v>
      </c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30</v>
      </c>
      <c r="Y164" s="542">
        <f t="shared" si="5"/>
        <v>33.6</v>
      </c>
      <c r="Z164" s="36">
        <f>IFERROR(IF(Y164=0,"",ROUNDUP(Y164/H164,0)*0.00902),"")</f>
        <v>7.2160000000000002E-2</v>
      </c>
      <c r="AA164" s="56"/>
      <c r="AB164" s="57"/>
      <c r="AC164" s="197" t="s">
        <v>270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31.785714285714285</v>
      </c>
      <c r="BN164" s="64">
        <f t="shared" si="7"/>
        <v>35.6</v>
      </c>
      <c r="BO164" s="64">
        <f t="shared" si="8"/>
        <v>5.4112554112554112E-2</v>
      </c>
      <c r="BP164" s="64">
        <f t="shared" si="9"/>
        <v>6.0606060606060608E-2</v>
      </c>
    </row>
    <row r="165" spans="1:68" ht="27" customHeight="1" x14ac:dyDescent="0.25">
      <c r="A165" s="54" t="s">
        <v>271</v>
      </c>
      <c r="B165" s="54" t="s">
        <v>272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197</v>
      </c>
      <c r="M165" s="33" t="s">
        <v>68</v>
      </c>
      <c r="N165" s="33"/>
      <c r="O165" s="32">
        <v>40</v>
      </c>
      <c r="P165" s="58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170</v>
      </c>
      <c r="Y165" s="542">
        <f t="shared" si="5"/>
        <v>172.20000000000002</v>
      </c>
      <c r="Z165" s="36">
        <f>IFERROR(IF(Y165=0,"",ROUNDUP(Y165/H165,0)*0.00902),"")</f>
        <v>0.36982000000000004</v>
      </c>
      <c r="AA165" s="56"/>
      <c r="AB165" s="57"/>
      <c r="AC165" s="199" t="s">
        <v>273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177.69047619047618</v>
      </c>
      <c r="BN165" s="64">
        <f t="shared" si="7"/>
        <v>179.98999999999998</v>
      </c>
      <c r="BO165" s="64">
        <f t="shared" si="8"/>
        <v>0.30663780663780665</v>
      </c>
      <c r="BP165" s="64">
        <f t="shared" si="9"/>
        <v>0.31060606060606061</v>
      </c>
    </row>
    <row r="166" spans="1:68" ht="27" customHeight="1" x14ac:dyDescent="0.25">
      <c r="A166" s="54" t="s">
        <v>274</v>
      </c>
      <c r="B166" s="54" t="s">
        <v>275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276</v>
      </c>
      <c r="M166" s="33" t="s">
        <v>68</v>
      </c>
      <c r="N166" s="33"/>
      <c r="O166" s="32">
        <v>40</v>
      </c>
      <c r="P166" s="6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77</v>
      </c>
      <c r="Y166" s="542">
        <f t="shared" si="5"/>
        <v>77.7</v>
      </c>
      <c r="Z166" s="36">
        <f>IFERROR(IF(Y166=0,"",ROUNDUP(Y166/H166,0)*0.00502),"")</f>
        <v>0.18574000000000002</v>
      </c>
      <c r="AA166" s="56"/>
      <c r="AB166" s="57"/>
      <c r="AC166" s="201" t="s">
        <v>267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81.766666666666666</v>
      </c>
      <c r="BN166" s="64">
        <f t="shared" si="7"/>
        <v>82.51</v>
      </c>
      <c r="BO166" s="64">
        <f t="shared" si="8"/>
        <v>0.15669515669515671</v>
      </c>
      <c r="BP166" s="64">
        <f t="shared" si="9"/>
        <v>0.15811965811965814</v>
      </c>
    </row>
    <row r="167" spans="1:68" ht="27" customHeight="1" x14ac:dyDescent="0.25">
      <c r="A167" s="54" t="s">
        <v>277</v>
      </c>
      <c r="B167" s="54" t="s">
        <v>278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 t="s">
        <v>276</v>
      </c>
      <c r="M167" s="33" t="s">
        <v>68</v>
      </c>
      <c r="N167" s="33"/>
      <c r="O167" s="32">
        <v>40</v>
      </c>
      <c r="P167" s="68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140</v>
      </c>
      <c r="Y167" s="542">
        <f t="shared" si="5"/>
        <v>140.70000000000002</v>
      </c>
      <c r="Z167" s="36">
        <f>IFERROR(IF(Y167=0,"",ROUNDUP(Y167/H167,0)*0.00502),"")</f>
        <v>0.33634000000000003</v>
      </c>
      <c r="AA167" s="56"/>
      <c r="AB167" s="57"/>
      <c r="AC167" s="203" t="s">
        <v>270</v>
      </c>
      <c r="AG167" s="64"/>
      <c r="AJ167" s="68" t="s">
        <v>106</v>
      </c>
      <c r="AK167" s="68">
        <v>37.799999999999997</v>
      </c>
      <c r="BB167" s="204" t="s">
        <v>1</v>
      </c>
      <c r="BM167" s="64">
        <f t="shared" si="6"/>
        <v>148.66666666666666</v>
      </c>
      <c r="BN167" s="64">
        <f t="shared" si="7"/>
        <v>149.41</v>
      </c>
      <c r="BO167" s="64">
        <f t="shared" si="8"/>
        <v>0.28490028490028491</v>
      </c>
      <c r="BP167" s="64">
        <f t="shared" si="9"/>
        <v>0.28632478632478636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281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282</v>
      </c>
      <c r="B169" s="54" t="s">
        <v>283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276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210</v>
      </c>
      <c r="Y169" s="542">
        <f t="shared" si="5"/>
        <v>210</v>
      </c>
      <c r="Z169" s="36">
        <f>IFERROR(IF(Y169=0,"",ROUNDUP(Y169/H169,0)*0.00502),"")</f>
        <v>0.502</v>
      </c>
      <c r="AA169" s="56"/>
      <c r="AB169" s="57"/>
      <c r="AC169" s="207" t="s">
        <v>273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220.00000000000003</v>
      </c>
      <c r="BN169" s="64">
        <f t="shared" si="7"/>
        <v>220.00000000000003</v>
      </c>
      <c r="BO169" s="64">
        <f t="shared" si="8"/>
        <v>0.42735042735042739</v>
      </c>
      <c r="BP169" s="64">
        <f t="shared" si="9"/>
        <v>0.42735042735042739</v>
      </c>
    </row>
    <row r="170" spans="1:68" ht="27" hidden="1" customHeight="1" x14ac:dyDescent="0.25">
      <c r="A170" s="54" t="s">
        <v>284</v>
      </c>
      <c r="B170" s="54" t="s">
        <v>285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9" t="s">
        <v>71</v>
      </c>
      <c r="Q172" s="560"/>
      <c r="R172" s="560"/>
      <c r="S172" s="560"/>
      <c r="T172" s="560"/>
      <c r="U172" s="560"/>
      <c r="V172" s="561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267.61904761904759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270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1.6194000000000002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9" t="s">
        <v>71</v>
      </c>
      <c r="Q173" s="560"/>
      <c r="R173" s="560"/>
      <c r="S173" s="560"/>
      <c r="T173" s="560"/>
      <c r="U173" s="560"/>
      <c r="V173" s="561"/>
      <c r="W173" s="37" t="s">
        <v>69</v>
      </c>
      <c r="X173" s="543">
        <f>IFERROR(SUM(X162:X171),"0")</f>
        <v>697</v>
      </c>
      <c r="Y173" s="543">
        <f>IFERROR(SUM(Y162:Y171),"0")</f>
        <v>705.6</v>
      </c>
      <c r="Z173" s="37"/>
      <c r="AA173" s="544"/>
      <c r="AB173" s="544"/>
      <c r="AC173" s="544"/>
    </row>
    <row r="174" spans="1:68" ht="14.25" hidden="1" customHeight="1" x14ac:dyDescent="0.25">
      <c r="A174" s="565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hidden="1" customHeight="1" x14ac:dyDescent="0.25">
      <c r="A175" s="54" t="s">
        <v>289</v>
      </c>
      <c r="B175" s="54" t="s">
        <v>290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291</v>
      </c>
      <c r="L175" s="32"/>
      <c r="M175" s="33" t="s">
        <v>292</v>
      </c>
      <c r="N175" s="33"/>
      <c r="O175" s="32">
        <v>60</v>
      </c>
      <c r="P175" s="78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293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291</v>
      </c>
      <c r="L176" s="32"/>
      <c r="M176" s="33" t="s">
        <v>292</v>
      </c>
      <c r="N176" s="33"/>
      <c r="O176" s="32">
        <v>90</v>
      </c>
      <c r="P176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296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291</v>
      </c>
      <c r="L177" s="32"/>
      <c r="M177" s="33" t="s">
        <v>292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296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9" t="s">
        <v>71</v>
      </c>
      <c r="Q178" s="560"/>
      <c r="R178" s="560"/>
      <c r="S178" s="560"/>
      <c r="T178" s="560"/>
      <c r="U178" s="560"/>
      <c r="V178" s="561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hidden="1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9" t="s">
        <v>71</v>
      </c>
      <c r="Q179" s="560"/>
      <c r="R179" s="560"/>
      <c r="S179" s="560"/>
      <c r="T179" s="560"/>
      <c r="U179" s="560"/>
      <c r="V179" s="561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hidden="1" customHeight="1" x14ac:dyDescent="0.25">
      <c r="A180" s="565" t="s">
        <v>299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hidden="1" customHeight="1" x14ac:dyDescent="0.25">
      <c r="A181" s="54" t="s">
        <v>300</v>
      </c>
      <c r="B181" s="54" t="s">
        <v>301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291</v>
      </c>
      <c r="L181" s="32"/>
      <c r="M181" s="33" t="s">
        <v>292</v>
      </c>
      <c r="N181" s="33"/>
      <c r="O181" s="32">
        <v>90</v>
      </c>
      <c r="P181" s="82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296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9" t="s">
        <v>71</v>
      </c>
      <c r="Q182" s="560"/>
      <c r="R182" s="560"/>
      <c r="S182" s="560"/>
      <c r="T182" s="560"/>
      <c r="U182" s="560"/>
      <c r="V182" s="561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hidden="1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9" t="s">
        <v>71</v>
      </c>
      <c r="Q183" s="560"/>
      <c r="R183" s="560"/>
      <c r="S183" s="560"/>
      <c r="T183" s="560"/>
      <c r="U183" s="560"/>
      <c r="V183" s="561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hidden="1" customHeight="1" x14ac:dyDescent="0.25">
      <c r="A184" s="566" t="s">
        <v>302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hidden="1" customHeight="1" x14ac:dyDescent="0.25">
      <c r="A185" s="565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hidden="1" customHeight="1" x14ac:dyDescent="0.25">
      <c r="A186" s="54" t="s">
        <v>303</v>
      </c>
      <c r="B186" s="54" t="s">
        <v>304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305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306</v>
      </c>
      <c r="B187" s="54" t="s">
        <v>307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305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9" t="s">
        <v>71</v>
      </c>
      <c r="Q188" s="560"/>
      <c r="R188" s="560"/>
      <c r="S188" s="560"/>
      <c r="T188" s="560"/>
      <c r="U188" s="560"/>
      <c r="V188" s="56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9" t="s">
        <v>71</v>
      </c>
      <c r="Q189" s="560"/>
      <c r="R189" s="560"/>
      <c r="S189" s="560"/>
      <c r="T189" s="560"/>
      <c r="U189" s="560"/>
      <c r="V189" s="56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65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hidden="1" customHeight="1" x14ac:dyDescent="0.25">
      <c r="A191" s="54" t="s">
        <v>308</v>
      </c>
      <c r="B191" s="54" t="s">
        <v>309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310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311</v>
      </c>
      <c r="B192" s="54" t="s">
        <v>312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310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9" t="s">
        <v>71</v>
      </c>
      <c r="Q193" s="560"/>
      <c r="R193" s="560"/>
      <c r="S193" s="560"/>
      <c r="T193" s="560"/>
      <c r="U193" s="560"/>
      <c r="V193" s="56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9" t="s">
        <v>71</v>
      </c>
      <c r="Q194" s="560"/>
      <c r="R194" s="560"/>
      <c r="S194" s="560"/>
      <c r="T194" s="560"/>
      <c r="U194" s="560"/>
      <c r="V194" s="56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65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313</v>
      </c>
      <c r="B196" s="54" t="s">
        <v>314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197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120</v>
      </c>
      <c r="Y196" s="542">
        <f t="shared" ref="Y196:Y203" si="10">IFERROR(IF(X196="",0,CEILING((X196/$H196),1)*$H196),"")</f>
        <v>124.2</v>
      </c>
      <c r="Z196" s="36">
        <f>IFERROR(IF(Y196=0,"",ROUNDUP(Y196/H196,0)*0.00902),"")</f>
        <v>0.20746000000000001</v>
      </c>
      <c r="AA196" s="56"/>
      <c r="AB196" s="57"/>
      <c r="AC196" s="229" t="s">
        <v>315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124.2222222222222</v>
      </c>
      <c r="BN196" s="64">
        <f t="shared" ref="BN196:BN203" si="12">IFERROR(Y196*I196/H196,"0")</f>
        <v>128.57</v>
      </c>
      <c r="BO196" s="64">
        <f t="shared" ref="BO196:BO203" si="13">IFERROR(1/J196*(X196/H196),"0")</f>
        <v>0.16835016835016836</v>
      </c>
      <c r="BP196" s="64">
        <f t="shared" ref="BP196:BP203" si="14">IFERROR(1/J196*(Y196/H196),"0")</f>
        <v>0.17424242424242425</v>
      </c>
    </row>
    <row r="197" spans="1:68" ht="27" customHeight="1" x14ac:dyDescent="0.25">
      <c r="A197" s="54" t="s">
        <v>316</v>
      </c>
      <c r="B197" s="54" t="s">
        <v>317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197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70</v>
      </c>
      <c r="Y197" s="542">
        <f t="shared" si="10"/>
        <v>70.2</v>
      </c>
      <c r="Z197" s="36">
        <f>IFERROR(IF(Y197=0,"",ROUNDUP(Y197/H197,0)*0.00902),"")</f>
        <v>0.11726</v>
      </c>
      <c r="AA197" s="56"/>
      <c r="AB197" s="57"/>
      <c r="AC197" s="231" t="s">
        <v>318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72.462962962962962</v>
      </c>
      <c r="BN197" s="64">
        <f t="shared" si="12"/>
        <v>72.67</v>
      </c>
      <c r="BO197" s="64">
        <f t="shared" si="13"/>
        <v>9.8204264870931535E-2</v>
      </c>
      <c r="BP197" s="64">
        <f t="shared" si="14"/>
        <v>9.8484848484848481E-2</v>
      </c>
    </row>
    <row r="198" spans="1:68" ht="27" customHeight="1" x14ac:dyDescent="0.25">
      <c r="A198" s="54" t="s">
        <v>319</v>
      </c>
      <c r="B198" s="54" t="s">
        <v>320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197</v>
      </c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450</v>
      </c>
      <c r="Y198" s="542">
        <f t="shared" si="10"/>
        <v>453.6</v>
      </c>
      <c r="Z198" s="36">
        <f>IFERROR(IF(Y198=0,"",ROUNDUP(Y198/H198,0)*0.00902),"")</f>
        <v>0.75768000000000002</v>
      </c>
      <c r="AA198" s="56"/>
      <c r="AB198" s="57"/>
      <c r="AC198" s="233" t="s">
        <v>321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465.83333333333331</v>
      </c>
      <c r="BN198" s="64">
        <f t="shared" si="12"/>
        <v>469.56</v>
      </c>
      <c r="BO198" s="64">
        <f t="shared" si="13"/>
        <v>0.63131313131313127</v>
      </c>
      <c r="BP198" s="64">
        <f t="shared" si="14"/>
        <v>0.63636363636363635</v>
      </c>
    </row>
    <row r="199" spans="1:68" ht="27" customHeight="1" x14ac:dyDescent="0.25">
      <c r="A199" s="54" t="s">
        <v>322</v>
      </c>
      <c r="B199" s="54" t="s">
        <v>323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197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80</v>
      </c>
      <c r="Y199" s="542">
        <f t="shared" si="10"/>
        <v>81</v>
      </c>
      <c r="Z199" s="36">
        <f>IFERROR(IF(Y199=0,"",ROUNDUP(Y199/H199,0)*0.00902),"")</f>
        <v>0.1353</v>
      </c>
      <c r="AA199" s="56"/>
      <c r="AB199" s="57"/>
      <c r="AC199" s="235" t="s">
        <v>324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82.81481481481481</v>
      </c>
      <c r="BN199" s="64">
        <f t="shared" si="12"/>
        <v>83.85</v>
      </c>
      <c r="BO199" s="64">
        <f t="shared" si="13"/>
        <v>0.11223344556677889</v>
      </c>
      <c r="BP199" s="64">
        <f t="shared" si="14"/>
        <v>0.11363636363636363</v>
      </c>
    </row>
    <row r="200" spans="1:68" ht="27" customHeight="1" x14ac:dyDescent="0.25">
      <c r="A200" s="54" t="s">
        <v>325</v>
      </c>
      <c r="B200" s="54" t="s">
        <v>326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276</v>
      </c>
      <c r="M200" s="33" t="s">
        <v>68</v>
      </c>
      <c r="N200" s="33"/>
      <c r="O200" s="32">
        <v>40</v>
      </c>
      <c r="P200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120</v>
      </c>
      <c r="Y200" s="542">
        <f t="shared" si="10"/>
        <v>120.60000000000001</v>
      </c>
      <c r="Z200" s="36">
        <f>IFERROR(IF(Y200=0,"",ROUNDUP(Y200/H200,0)*0.00502),"")</f>
        <v>0.33634000000000003</v>
      </c>
      <c r="AA200" s="56"/>
      <c r="AB200" s="57"/>
      <c r="AC200" s="237" t="s">
        <v>315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128.66666666666666</v>
      </c>
      <c r="BN200" s="64">
        <f t="shared" si="12"/>
        <v>129.31</v>
      </c>
      <c r="BO200" s="64">
        <f t="shared" si="13"/>
        <v>0.28490028490028496</v>
      </c>
      <c r="BP200" s="64">
        <f t="shared" si="14"/>
        <v>0.28632478632478636</v>
      </c>
    </row>
    <row r="201" spans="1:68" ht="27" customHeight="1" x14ac:dyDescent="0.25">
      <c r="A201" s="54" t="s">
        <v>327</v>
      </c>
      <c r="B201" s="54" t="s">
        <v>328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276</v>
      </c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60</v>
      </c>
      <c r="Y201" s="542">
        <f t="shared" si="10"/>
        <v>61.2</v>
      </c>
      <c r="Z201" s="36">
        <f>IFERROR(IF(Y201=0,"",ROUNDUP(Y201/H201,0)*0.00502),"")</f>
        <v>0.17068</v>
      </c>
      <c r="AA201" s="56"/>
      <c r="AB201" s="57"/>
      <c r="AC201" s="239" t="s">
        <v>318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63.333333333333329</v>
      </c>
      <c r="BN201" s="64">
        <f t="shared" si="12"/>
        <v>64.599999999999994</v>
      </c>
      <c r="BO201" s="64">
        <f t="shared" si="13"/>
        <v>0.14245014245014248</v>
      </c>
      <c r="BP201" s="64">
        <f t="shared" si="14"/>
        <v>0.14529914529914531</v>
      </c>
    </row>
    <row r="202" spans="1:68" ht="27" customHeight="1" x14ac:dyDescent="0.25">
      <c r="A202" s="54" t="s">
        <v>329</v>
      </c>
      <c r="B202" s="54" t="s">
        <v>330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276</v>
      </c>
      <c r="M202" s="33" t="s">
        <v>68</v>
      </c>
      <c r="N202" s="33"/>
      <c r="O202" s="32">
        <v>40</v>
      </c>
      <c r="P20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90</v>
      </c>
      <c r="Y202" s="542">
        <f t="shared" si="10"/>
        <v>90</v>
      </c>
      <c r="Z202" s="36">
        <f>IFERROR(IF(Y202=0,"",ROUNDUP(Y202/H202,0)*0.00502),"")</f>
        <v>0.251</v>
      </c>
      <c r="AA202" s="56"/>
      <c r="AB202" s="57"/>
      <c r="AC202" s="241" t="s">
        <v>321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95</v>
      </c>
      <c r="BN202" s="64">
        <f t="shared" si="12"/>
        <v>95</v>
      </c>
      <c r="BO202" s="64">
        <f t="shared" si="13"/>
        <v>0.21367521367521369</v>
      </c>
      <c r="BP202" s="64">
        <f t="shared" si="14"/>
        <v>0.21367521367521369</v>
      </c>
    </row>
    <row r="203" spans="1:68" ht="27" customHeight="1" x14ac:dyDescent="0.25">
      <c r="A203" s="54" t="s">
        <v>331</v>
      </c>
      <c r="B203" s="54" t="s">
        <v>332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276</v>
      </c>
      <c r="M203" s="33" t="s">
        <v>68</v>
      </c>
      <c r="N203" s="33"/>
      <c r="O203" s="32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60</v>
      </c>
      <c r="Y203" s="542">
        <f t="shared" si="10"/>
        <v>61.2</v>
      </c>
      <c r="Z203" s="36">
        <f>IFERROR(IF(Y203=0,"",ROUNDUP(Y203/H203,0)*0.00502),"")</f>
        <v>0.17068</v>
      </c>
      <c r="AA203" s="56"/>
      <c r="AB203" s="57"/>
      <c r="AC203" s="243" t="s">
        <v>324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63.333333333333329</v>
      </c>
      <c r="BN203" s="64">
        <f t="shared" si="12"/>
        <v>64.599999999999994</v>
      </c>
      <c r="BO203" s="64">
        <f t="shared" si="13"/>
        <v>0.14245014245014248</v>
      </c>
      <c r="BP203" s="64">
        <f t="shared" si="14"/>
        <v>0.14529914529914531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9" t="s">
        <v>71</v>
      </c>
      <c r="Q204" s="560"/>
      <c r="R204" s="560"/>
      <c r="S204" s="560"/>
      <c r="T204" s="560"/>
      <c r="U204" s="560"/>
      <c r="V204" s="56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316.66666666666669</v>
      </c>
      <c r="Y204" s="543">
        <f>IFERROR(Y196/H196,"0")+IFERROR(Y197/H197,"0")+IFERROR(Y198/H198,"0")+IFERROR(Y199/H199,"0")+IFERROR(Y200/H200,"0")+IFERROR(Y201/H201,"0")+IFERROR(Y202/H202,"0")+IFERROR(Y203/H203,"0")</f>
        <v>320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2.1463999999999999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9" t="s">
        <v>71</v>
      </c>
      <c r="Q205" s="560"/>
      <c r="R205" s="560"/>
      <c r="S205" s="560"/>
      <c r="T205" s="560"/>
      <c r="U205" s="560"/>
      <c r="V205" s="561"/>
      <c r="W205" s="37" t="s">
        <v>69</v>
      </c>
      <c r="X205" s="543">
        <f>IFERROR(SUM(X196:X203),"0")</f>
        <v>1050</v>
      </c>
      <c r="Y205" s="543">
        <f>IFERROR(SUM(Y196:Y203),"0")</f>
        <v>1062</v>
      </c>
      <c r="Z205" s="37"/>
      <c r="AA205" s="544"/>
      <c r="AB205" s="544"/>
      <c r="AC205" s="544"/>
    </row>
    <row r="206" spans="1:68" ht="14.25" hidden="1" customHeight="1" x14ac:dyDescent="0.25">
      <c r="A206" s="565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hidden="1" customHeight="1" x14ac:dyDescent="0.25">
      <c r="A207" s="54" t="s">
        <v>333</v>
      </c>
      <c r="B207" s="54" t="s">
        <v>334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335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336</v>
      </c>
      <c r="B208" s="54" t="s">
        <v>337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338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339</v>
      </c>
      <c r="B209" s="54" t="s">
        <v>340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6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150</v>
      </c>
      <c r="Y209" s="542">
        <f t="shared" si="15"/>
        <v>156.6</v>
      </c>
      <c r="Z209" s="36">
        <f>IFERROR(IF(Y209=0,"",ROUNDUP(Y209/H209,0)*0.01898),"")</f>
        <v>0.34164</v>
      </c>
      <c r="AA209" s="56"/>
      <c r="AB209" s="57"/>
      <c r="AC209" s="249" t="s">
        <v>341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158.51724137931038</v>
      </c>
      <c r="BN209" s="64">
        <f t="shared" si="17"/>
        <v>165.49200000000002</v>
      </c>
      <c r="BO209" s="64">
        <f t="shared" si="18"/>
        <v>0.26939655172413796</v>
      </c>
      <c r="BP209" s="64">
        <f t="shared" si="19"/>
        <v>0.28125</v>
      </c>
    </row>
    <row r="210" spans="1:68" ht="27" customHeight="1" x14ac:dyDescent="0.25">
      <c r="A210" s="54" t="s">
        <v>342</v>
      </c>
      <c r="B210" s="54" t="s">
        <v>343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214</v>
      </c>
      <c r="M210" s="33" t="s">
        <v>77</v>
      </c>
      <c r="N210" s="33"/>
      <c r="O210" s="32">
        <v>40</v>
      </c>
      <c r="P210" s="6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280</v>
      </c>
      <c r="Y210" s="542">
        <f t="shared" si="15"/>
        <v>280.8</v>
      </c>
      <c r="Z210" s="36">
        <f t="shared" ref="Z210:Z215" si="20">IFERROR(IF(Y210=0,"",ROUNDUP(Y210/H210,0)*0.00651),"")</f>
        <v>0.76167000000000007</v>
      </c>
      <c r="AA210" s="56"/>
      <c r="AB210" s="57"/>
      <c r="AC210" s="251" t="s">
        <v>335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311.5</v>
      </c>
      <c r="BN210" s="64">
        <f t="shared" si="17"/>
        <v>312.39</v>
      </c>
      <c r="BO210" s="64">
        <f t="shared" si="18"/>
        <v>0.64102564102564108</v>
      </c>
      <c r="BP210" s="64">
        <f t="shared" si="19"/>
        <v>0.64285714285714302</v>
      </c>
    </row>
    <row r="211" spans="1:68" ht="27" hidden="1" customHeight="1" x14ac:dyDescent="0.25">
      <c r="A211" s="54" t="s">
        <v>344</v>
      </c>
      <c r="B211" s="54" t="s">
        <v>345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5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346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347</v>
      </c>
      <c r="B212" s="54" t="s">
        <v>348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214</v>
      </c>
      <c r="M212" s="33" t="s">
        <v>77</v>
      </c>
      <c r="N212" s="33"/>
      <c r="O212" s="32">
        <v>45</v>
      </c>
      <c r="P212" s="7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400</v>
      </c>
      <c r="Y212" s="542">
        <f t="shared" si="15"/>
        <v>400.8</v>
      </c>
      <c r="Z212" s="36">
        <f t="shared" si="20"/>
        <v>1.08717</v>
      </c>
      <c r="AA212" s="56"/>
      <c r="AB212" s="57"/>
      <c r="AC212" s="255" t="s">
        <v>341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442</v>
      </c>
      <c r="BN212" s="64">
        <f t="shared" si="17"/>
        <v>442.88400000000007</v>
      </c>
      <c r="BO212" s="64">
        <f t="shared" si="18"/>
        <v>0.91575091575091594</v>
      </c>
      <c r="BP212" s="64">
        <f t="shared" si="19"/>
        <v>0.91758241758241765</v>
      </c>
    </row>
    <row r="213" spans="1:68" ht="27" hidden="1" customHeight="1" x14ac:dyDescent="0.25">
      <c r="A213" s="54" t="s">
        <v>349</v>
      </c>
      <c r="B213" s="54" t="s">
        <v>350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/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341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351</v>
      </c>
      <c r="B214" s="54" t="s">
        <v>352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214</v>
      </c>
      <c r="M214" s="33" t="s">
        <v>84</v>
      </c>
      <c r="N214" s="33"/>
      <c r="O214" s="32">
        <v>40</v>
      </c>
      <c r="P214" s="7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180</v>
      </c>
      <c r="Y214" s="542">
        <f t="shared" si="15"/>
        <v>180</v>
      </c>
      <c r="Z214" s="36">
        <f t="shared" si="20"/>
        <v>0.48825000000000002</v>
      </c>
      <c r="AA214" s="56"/>
      <c r="AB214" s="57"/>
      <c r="AC214" s="259" t="s">
        <v>353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198.9</v>
      </c>
      <c r="BN214" s="64">
        <f t="shared" si="17"/>
        <v>198.9</v>
      </c>
      <c r="BO214" s="64">
        <f t="shared" si="18"/>
        <v>0.41208791208791212</v>
      </c>
      <c r="BP214" s="64">
        <f t="shared" si="19"/>
        <v>0.41208791208791212</v>
      </c>
    </row>
    <row r="215" spans="1:68" ht="27" customHeight="1" x14ac:dyDescent="0.25">
      <c r="A215" s="54" t="s">
        <v>354</v>
      </c>
      <c r="B215" s="54" t="s">
        <v>355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214</v>
      </c>
      <c r="M215" s="33" t="s">
        <v>77</v>
      </c>
      <c r="N215" s="33"/>
      <c r="O215" s="32">
        <v>40</v>
      </c>
      <c r="P215" s="5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220</v>
      </c>
      <c r="Y215" s="542">
        <f t="shared" si="15"/>
        <v>220.79999999999998</v>
      </c>
      <c r="Z215" s="36">
        <f t="shared" si="20"/>
        <v>0.59892000000000001</v>
      </c>
      <c r="AA215" s="56"/>
      <c r="AB215" s="57"/>
      <c r="AC215" s="261" t="s">
        <v>338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243.65</v>
      </c>
      <c r="BN215" s="64">
        <f t="shared" si="17"/>
        <v>244.536</v>
      </c>
      <c r="BO215" s="64">
        <f t="shared" si="18"/>
        <v>0.50366300366300376</v>
      </c>
      <c r="BP215" s="64">
        <f t="shared" si="19"/>
        <v>0.50549450549450559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9" t="s">
        <v>71</v>
      </c>
      <c r="Q216" s="560"/>
      <c r="R216" s="560"/>
      <c r="S216" s="560"/>
      <c r="T216" s="560"/>
      <c r="U216" s="560"/>
      <c r="V216" s="56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467.24137931034488</v>
      </c>
      <c r="Y216" s="543">
        <f>IFERROR(Y207/H207,"0")+IFERROR(Y208/H208,"0")+IFERROR(Y209/H209,"0")+IFERROR(Y210/H210,"0")+IFERROR(Y211/H211,"0")+IFERROR(Y212/H212,"0")+IFERROR(Y213/H213,"0")+IFERROR(Y214/H214,"0")+IFERROR(Y215/H215,"0")</f>
        <v>469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3.27765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9" t="s">
        <v>71</v>
      </c>
      <c r="Q217" s="560"/>
      <c r="R217" s="560"/>
      <c r="S217" s="560"/>
      <c r="T217" s="560"/>
      <c r="U217" s="560"/>
      <c r="V217" s="561"/>
      <c r="W217" s="37" t="s">
        <v>69</v>
      </c>
      <c r="X217" s="543">
        <f>IFERROR(SUM(X207:X215),"0")</f>
        <v>1230</v>
      </c>
      <c r="Y217" s="543">
        <f>IFERROR(SUM(Y207:Y215),"0")</f>
        <v>1239</v>
      </c>
      <c r="Z217" s="37"/>
      <c r="AA217" s="544"/>
      <c r="AB217" s="544"/>
      <c r="AC217" s="544"/>
    </row>
    <row r="218" spans="1:68" ht="14.25" hidden="1" customHeight="1" x14ac:dyDescent="0.25">
      <c r="A218" s="565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customHeight="1" x14ac:dyDescent="0.25">
      <c r="A219" s="54" t="s">
        <v>356</v>
      </c>
      <c r="B219" s="54" t="s">
        <v>357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214</v>
      </c>
      <c r="M219" s="33" t="s">
        <v>84</v>
      </c>
      <c r="N219" s="33"/>
      <c r="O219" s="32">
        <v>40</v>
      </c>
      <c r="P219" s="70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52</v>
      </c>
      <c r="Y219" s="542">
        <f>IFERROR(IF(X219="",0,CEILING((X219/$H219),1)*$H219),"")</f>
        <v>52.8</v>
      </c>
      <c r="Z219" s="36">
        <f>IFERROR(IF(Y219=0,"",ROUNDUP(Y219/H219,0)*0.00651),"")</f>
        <v>0.14322000000000001</v>
      </c>
      <c r="AA219" s="56"/>
      <c r="AB219" s="57"/>
      <c r="AC219" s="263" t="s">
        <v>358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57.46</v>
      </c>
      <c r="BN219" s="64">
        <f>IFERROR(Y219*I219/H219,"0")</f>
        <v>58.344000000000001</v>
      </c>
      <c r="BO219" s="64">
        <f>IFERROR(1/J219*(X219/H219),"0")</f>
        <v>0.11904761904761907</v>
      </c>
      <c r="BP219" s="64">
        <f>IFERROR(1/J219*(Y219/H219),"0")</f>
        <v>0.12087912087912089</v>
      </c>
    </row>
    <row r="220" spans="1:68" ht="37.5" customHeight="1" x14ac:dyDescent="0.25">
      <c r="A220" s="54" t="s">
        <v>359</v>
      </c>
      <c r="B220" s="54" t="s">
        <v>360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214</v>
      </c>
      <c r="M220" s="33" t="s">
        <v>77</v>
      </c>
      <c r="N220" s="33"/>
      <c r="O220" s="32">
        <v>40</v>
      </c>
      <c r="P220" s="5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28</v>
      </c>
      <c r="Y220" s="542">
        <f>IFERROR(IF(X220="",0,CEILING((X220/$H220),1)*$H220),"")</f>
        <v>28.799999999999997</v>
      </c>
      <c r="Z220" s="36">
        <f>IFERROR(IF(Y220=0,"",ROUNDUP(Y220/H220,0)*0.00651),"")</f>
        <v>7.8119999999999995E-2</v>
      </c>
      <c r="AA220" s="56"/>
      <c r="AB220" s="57"/>
      <c r="AC220" s="265" t="s">
        <v>361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30.94</v>
      </c>
      <c r="BN220" s="64">
        <f>IFERROR(Y220*I220/H220,"0")</f>
        <v>31.824000000000002</v>
      </c>
      <c r="BO220" s="64">
        <f>IFERROR(1/J220*(X220/H220),"0")</f>
        <v>6.4102564102564111E-2</v>
      </c>
      <c r="BP220" s="64">
        <f>IFERROR(1/J220*(Y220/H220),"0")</f>
        <v>6.5934065934065936E-2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9" t="s">
        <v>71</v>
      </c>
      <c r="Q221" s="560"/>
      <c r="R221" s="560"/>
      <c r="S221" s="560"/>
      <c r="T221" s="560"/>
      <c r="U221" s="560"/>
      <c r="V221" s="561"/>
      <c r="W221" s="37" t="s">
        <v>72</v>
      </c>
      <c r="X221" s="543">
        <f>IFERROR(X219/H219,"0")+IFERROR(X220/H220,"0")</f>
        <v>33.333333333333336</v>
      </c>
      <c r="Y221" s="543">
        <f>IFERROR(Y219/H219,"0")+IFERROR(Y220/H220,"0")</f>
        <v>34</v>
      </c>
      <c r="Z221" s="543">
        <f>IFERROR(IF(Z219="",0,Z219),"0")+IFERROR(IF(Z220="",0,Z220),"0")</f>
        <v>0.22134000000000001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9" t="s">
        <v>71</v>
      </c>
      <c r="Q222" s="560"/>
      <c r="R222" s="560"/>
      <c r="S222" s="560"/>
      <c r="T222" s="560"/>
      <c r="U222" s="560"/>
      <c r="V222" s="561"/>
      <c r="W222" s="37" t="s">
        <v>69</v>
      </c>
      <c r="X222" s="543">
        <f>IFERROR(SUM(X219:X220),"0")</f>
        <v>80</v>
      </c>
      <c r="Y222" s="543">
        <f>IFERROR(SUM(Y219:Y220),"0")</f>
        <v>81.599999999999994</v>
      </c>
      <c r="Z222" s="37"/>
      <c r="AA222" s="544"/>
      <c r="AB222" s="544"/>
      <c r="AC222" s="544"/>
    </row>
    <row r="223" spans="1:68" ht="16.5" hidden="1" customHeight="1" x14ac:dyDescent="0.25">
      <c r="A223" s="566" t="s">
        <v>362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hidden="1" customHeight="1" x14ac:dyDescent="0.25">
      <c r="A224" s="565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363</v>
      </c>
      <c r="B225" s="54" t="s">
        <v>364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20</v>
      </c>
      <c r="Y225" s="542">
        <f t="shared" ref="Y225:Y234" si="21">IFERROR(IF(X225="",0,CEILING((X225/$H225),1)*$H225),"")</f>
        <v>23.2</v>
      </c>
      <c r="Z225" s="36">
        <f>IFERROR(IF(Y225=0,"",ROUNDUP(Y225/H225,0)*0.01898),"")</f>
        <v>3.7960000000000001E-2</v>
      </c>
      <c r="AA225" s="56"/>
      <c r="AB225" s="57"/>
      <c r="AC225" s="267" t="s">
        <v>365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20.706896551724139</v>
      </c>
      <c r="BN225" s="64">
        <f t="shared" ref="BN225:BN234" si="23">IFERROR(Y225*I225/H225,"0")</f>
        <v>24.02</v>
      </c>
      <c r="BO225" s="64">
        <f t="shared" ref="BO225:BO234" si="24">IFERROR(1/J225*(X225/H225),"0")</f>
        <v>2.6939655172413795E-2</v>
      </c>
      <c r="BP225" s="64">
        <f t="shared" ref="BP225:BP234" si="25">IFERROR(1/J225*(Y225/H225),"0")</f>
        <v>3.125E-2</v>
      </c>
    </row>
    <row r="226" spans="1:68" ht="27" hidden="1" customHeight="1" x14ac:dyDescent="0.25">
      <c r="A226" s="54" t="s">
        <v>366</v>
      </c>
      <c r="B226" s="54" t="s">
        <v>367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368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369</v>
      </c>
      <c r="B227" s="54" t="s">
        <v>370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 t="s">
        <v>103</v>
      </c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30</v>
      </c>
      <c r="Y227" s="542">
        <f t="shared" si="21"/>
        <v>34.799999999999997</v>
      </c>
      <c r="Z227" s="36">
        <f>IFERROR(IF(Y227=0,"",ROUNDUP(Y227/H227,0)*0.01898),"")</f>
        <v>5.6940000000000004E-2</v>
      </c>
      <c r="AA227" s="56"/>
      <c r="AB227" s="57"/>
      <c r="AC227" s="271" t="s">
        <v>371</v>
      </c>
      <c r="AG227" s="64"/>
      <c r="AJ227" s="68" t="s">
        <v>106</v>
      </c>
      <c r="AK227" s="68">
        <v>92.8</v>
      </c>
      <c r="BB227" s="272" t="s">
        <v>1</v>
      </c>
      <c r="BM227" s="64">
        <f t="shared" si="22"/>
        <v>31.06034482758621</v>
      </c>
      <c r="BN227" s="64">
        <f t="shared" si="23"/>
        <v>36.03</v>
      </c>
      <c r="BO227" s="64">
        <f t="shared" si="24"/>
        <v>4.0409482758620691E-2</v>
      </c>
      <c r="BP227" s="64">
        <f t="shared" si="25"/>
        <v>4.6875E-2</v>
      </c>
    </row>
    <row r="228" spans="1:68" ht="27" customHeight="1" x14ac:dyDescent="0.25">
      <c r="A228" s="54" t="s">
        <v>372</v>
      </c>
      <c r="B228" s="54" t="s">
        <v>373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 t="s">
        <v>197</v>
      </c>
      <c r="M228" s="33" t="s">
        <v>104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60</v>
      </c>
      <c r="Y228" s="542">
        <f t="shared" si="21"/>
        <v>60</v>
      </c>
      <c r="Z228" s="36">
        <f>IFERROR(IF(Y228=0,"",ROUNDUP(Y228/H228,0)*0.00902),"")</f>
        <v>0.1353</v>
      </c>
      <c r="AA228" s="56"/>
      <c r="AB228" s="57"/>
      <c r="AC228" s="273" t="s">
        <v>365</v>
      </c>
      <c r="AG228" s="64"/>
      <c r="AJ228" s="68" t="s">
        <v>106</v>
      </c>
      <c r="AK228" s="68">
        <v>48</v>
      </c>
      <c r="BB228" s="274" t="s">
        <v>1</v>
      </c>
      <c r="BM228" s="64">
        <f t="shared" si="22"/>
        <v>62.850000000000009</v>
      </c>
      <c r="BN228" s="64">
        <f t="shared" si="23"/>
        <v>62.850000000000009</v>
      </c>
      <c r="BO228" s="64">
        <f t="shared" si="24"/>
        <v>0.11363636363636365</v>
      </c>
      <c r="BP228" s="64">
        <f t="shared" si="25"/>
        <v>0.11363636363636365</v>
      </c>
    </row>
    <row r="229" spans="1:68" ht="27" hidden="1" customHeight="1" x14ac:dyDescent="0.25">
      <c r="A229" s="54" t="s">
        <v>372</v>
      </c>
      <c r="B229" s="54" t="s">
        <v>374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365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375</v>
      </c>
      <c r="B230" s="54" t="s">
        <v>376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377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378</v>
      </c>
      <c r="B231" s="54" t="s">
        <v>379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368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380</v>
      </c>
      <c r="B232" s="54" t="s">
        <v>381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368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382</v>
      </c>
      <c r="B233" s="54" t="s">
        <v>383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 t="s">
        <v>197</v>
      </c>
      <c r="M233" s="33" t="s">
        <v>104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40</v>
      </c>
      <c r="Y233" s="542">
        <f t="shared" si="21"/>
        <v>40</v>
      </c>
      <c r="Z233" s="36">
        <f>IFERROR(IF(Y233=0,"",ROUNDUP(Y233/H233,0)*0.00902),"")</f>
        <v>9.0200000000000002E-2</v>
      </c>
      <c r="AA233" s="56"/>
      <c r="AB233" s="57"/>
      <c r="AC233" s="283" t="s">
        <v>371</v>
      </c>
      <c r="AG233" s="64"/>
      <c r="AJ233" s="68" t="s">
        <v>106</v>
      </c>
      <c r="AK233" s="68">
        <v>48</v>
      </c>
      <c r="BB233" s="284" t="s">
        <v>1</v>
      </c>
      <c r="BM233" s="64">
        <f t="shared" si="22"/>
        <v>41.900000000000006</v>
      </c>
      <c r="BN233" s="64">
        <f t="shared" si="23"/>
        <v>41.900000000000006</v>
      </c>
      <c r="BO233" s="64">
        <f t="shared" si="24"/>
        <v>7.575757575757576E-2</v>
      </c>
      <c r="BP233" s="64">
        <f t="shared" si="25"/>
        <v>7.575757575757576E-2</v>
      </c>
    </row>
    <row r="234" spans="1:68" ht="27" hidden="1" customHeight="1" x14ac:dyDescent="0.25">
      <c r="A234" s="54" t="s">
        <v>382</v>
      </c>
      <c r="B234" s="54" t="s">
        <v>384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371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9" t="s">
        <v>71</v>
      </c>
      <c r="Q235" s="560"/>
      <c r="R235" s="560"/>
      <c r="S235" s="560"/>
      <c r="T235" s="560"/>
      <c r="U235" s="560"/>
      <c r="V235" s="56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29.310344827586206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30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0.32040000000000002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9" t="s">
        <v>71</v>
      </c>
      <c r="Q236" s="560"/>
      <c r="R236" s="560"/>
      <c r="S236" s="560"/>
      <c r="T236" s="560"/>
      <c r="U236" s="560"/>
      <c r="V236" s="561"/>
      <c r="W236" s="37" t="s">
        <v>69</v>
      </c>
      <c r="X236" s="543">
        <f>IFERROR(SUM(X225:X234),"0")</f>
        <v>150</v>
      </c>
      <c r="Y236" s="543">
        <f>IFERROR(SUM(Y225:Y234),"0")</f>
        <v>158</v>
      </c>
      <c r="Z236" s="37"/>
      <c r="AA236" s="544"/>
      <c r="AB236" s="544"/>
      <c r="AC236" s="544"/>
    </row>
    <row r="237" spans="1:68" ht="14.25" hidden="1" customHeight="1" x14ac:dyDescent="0.25">
      <c r="A237" s="565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hidden="1" customHeight="1" x14ac:dyDescent="0.25">
      <c r="A238" s="54" t="s">
        <v>385</v>
      </c>
      <c r="B238" s="54" t="s">
        <v>386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387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9" t="s">
        <v>71</v>
      </c>
      <c r="Q239" s="560"/>
      <c r="R239" s="560"/>
      <c r="S239" s="560"/>
      <c r="T239" s="560"/>
      <c r="U239" s="560"/>
      <c r="V239" s="561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hidden="1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9" t="s">
        <v>71</v>
      </c>
      <c r="Q240" s="560"/>
      <c r="R240" s="560"/>
      <c r="S240" s="560"/>
      <c r="T240" s="560"/>
      <c r="U240" s="560"/>
      <c r="V240" s="561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hidden="1" customHeight="1" x14ac:dyDescent="0.25">
      <c r="A241" s="565" t="s">
        <v>388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hidden="1" customHeight="1" x14ac:dyDescent="0.25">
      <c r="A242" s="54" t="s">
        <v>389</v>
      </c>
      <c r="B242" s="54" t="s">
        <v>390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291</v>
      </c>
      <c r="L242" s="32"/>
      <c r="M242" s="33" t="s">
        <v>292</v>
      </c>
      <c r="N242" s="33"/>
      <c r="O242" s="32">
        <v>45</v>
      </c>
      <c r="P242" s="6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391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9" t="s">
        <v>71</v>
      </c>
      <c r="Q243" s="560"/>
      <c r="R243" s="560"/>
      <c r="S243" s="560"/>
      <c r="T243" s="560"/>
      <c r="U243" s="560"/>
      <c r="V243" s="561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hidden="1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9" t="s">
        <v>71</v>
      </c>
      <c r="Q244" s="560"/>
      <c r="R244" s="560"/>
      <c r="S244" s="560"/>
      <c r="T244" s="560"/>
      <c r="U244" s="560"/>
      <c r="V244" s="561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hidden="1" customHeight="1" x14ac:dyDescent="0.25">
      <c r="A245" s="565" t="s">
        <v>392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hidden="1" customHeight="1" x14ac:dyDescent="0.25">
      <c r="A246" s="54" t="s">
        <v>393</v>
      </c>
      <c r="B246" s="54" t="s">
        <v>394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291</v>
      </c>
      <c r="L246" s="32"/>
      <c r="M246" s="33" t="s">
        <v>292</v>
      </c>
      <c r="N246" s="33"/>
      <c r="O246" s="32">
        <v>90</v>
      </c>
      <c r="P24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395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396</v>
      </c>
      <c r="B247" s="54" t="s">
        <v>397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291</v>
      </c>
      <c r="L247" s="32"/>
      <c r="M247" s="33" t="s">
        <v>292</v>
      </c>
      <c r="N247" s="33"/>
      <c r="O247" s="32">
        <v>90</v>
      </c>
      <c r="P247" s="82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3.5</v>
      </c>
      <c r="Y247" s="542">
        <f>IFERROR(IF(X247="",0,CEILING((X247/$H247),1)*$H247),"")</f>
        <v>3.6</v>
      </c>
      <c r="Z247" s="36">
        <f>IFERROR(IF(Y247=0,"",ROUNDUP(Y247/H247,0)*0.0059),"")</f>
        <v>1.18E-2</v>
      </c>
      <c r="AA247" s="56"/>
      <c r="AB247" s="57"/>
      <c r="AC247" s="293" t="s">
        <v>395</v>
      </c>
      <c r="AG247" s="64"/>
      <c r="AJ247" s="68"/>
      <c r="AK247" s="68">
        <v>0</v>
      </c>
      <c r="BB247" s="294" t="s">
        <v>1</v>
      </c>
      <c r="BM247" s="64">
        <f>IFERROR(X247*I247/H247,"0")</f>
        <v>3.8402777777777781</v>
      </c>
      <c r="BN247" s="64">
        <f>IFERROR(Y247*I247/H247,"0")</f>
        <v>3.95</v>
      </c>
      <c r="BO247" s="64">
        <f>IFERROR(1/J247*(X247/H247),"0")</f>
        <v>9.0020576131687232E-3</v>
      </c>
      <c r="BP247" s="64">
        <f>IFERROR(1/J247*(Y247/H247),"0")</f>
        <v>9.2592592592592587E-3</v>
      </c>
    </row>
    <row r="248" spans="1:68" ht="27" hidden="1" customHeight="1" x14ac:dyDescent="0.25">
      <c r="A248" s="54" t="s">
        <v>398</v>
      </c>
      <c r="B248" s="54" t="s">
        <v>399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291</v>
      </c>
      <c r="L248" s="32"/>
      <c r="M248" s="33" t="s">
        <v>292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395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400</v>
      </c>
      <c r="B249" s="54" t="s">
        <v>401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291</v>
      </c>
      <c r="L249" s="32"/>
      <c r="M249" s="33" t="s">
        <v>292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395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402</v>
      </c>
      <c r="B250" s="54" t="s">
        <v>403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291</v>
      </c>
      <c r="L250" s="32"/>
      <c r="M250" s="33" t="s">
        <v>292</v>
      </c>
      <c r="N250" s="33"/>
      <c r="O250" s="32">
        <v>90</v>
      </c>
      <c r="P250" s="6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395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9" t="s">
        <v>71</v>
      </c>
      <c r="Q251" s="560"/>
      <c r="R251" s="560"/>
      <c r="S251" s="560"/>
      <c r="T251" s="560"/>
      <c r="U251" s="560"/>
      <c r="V251" s="561"/>
      <c r="W251" s="37" t="s">
        <v>72</v>
      </c>
      <c r="X251" s="543">
        <f>IFERROR(X246/H246,"0")+IFERROR(X247/H247,"0")+IFERROR(X248/H248,"0")+IFERROR(X249/H249,"0")+IFERROR(X250/H250,"0")</f>
        <v>1.9444444444444444</v>
      </c>
      <c r="Y251" s="543">
        <f>IFERROR(Y246/H246,"0")+IFERROR(Y247/H247,"0")+IFERROR(Y248/H248,"0")+IFERROR(Y249/H249,"0")+IFERROR(Y250/H250,"0")</f>
        <v>2</v>
      </c>
      <c r="Z251" s="543">
        <f>IFERROR(IF(Z246="",0,Z246),"0")+IFERROR(IF(Z247="",0,Z247),"0")+IFERROR(IF(Z248="",0,Z248),"0")+IFERROR(IF(Z249="",0,Z249),"0")+IFERROR(IF(Z250="",0,Z250),"0")</f>
        <v>1.18E-2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9" t="s">
        <v>71</v>
      </c>
      <c r="Q252" s="560"/>
      <c r="R252" s="560"/>
      <c r="S252" s="560"/>
      <c r="T252" s="560"/>
      <c r="U252" s="560"/>
      <c r="V252" s="561"/>
      <c r="W252" s="37" t="s">
        <v>69</v>
      </c>
      <c r="X252" s="543">
        <f>IFERROR(SUM(X246:X250),"0")</f>
        <v>3.5</v>
      </c>
      <c r="Y252" s="543">
        <f>IFERROR(SUM(Y246:Y250),"0")</f>
        <v>3.6</v>
      </c>
      <c r="Z252" s="37"/>
      <c r="AA252" s="544"/>
      <c r="AB252" s="544"/>
      <c r="AC252" s="544"/>
    </row>
    <row r="253" spans="1:68" ht="16.5" hidden="1" customHeight="1" x14ac:dyDescent="0.25">
      <c r="A253" s="566" t="s">
        <v>404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hidden="1" customHeight="1" x14ac:dyDescent="0.25">
      <c r="A254" s="565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hidden="1" customHeight="1" x14ac:dyDescent="0.25">
      <c r="A255" s="54" t="s">
        <v>405</v>
      </c>
      <c r="B255" s="54" t="s">
        <v>406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407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408</v>
      </c>
      <c r="B256" s="54" t="s">
        <v>409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410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411</v>
      </c>
      <c r="B257" s="54" t="s">
        <v>412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7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413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414</v>
      </c>
      <c r="B258" s="54" t="s">
        <v>415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416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417</v>
      </c>
      <c r="B259" s="54" t="s">
        <v>418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419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9" t="s">
        <v>71</v>
      </c>
      <c r="Q260" s="560"/>
      <c r="R260" s="560"/>
      <c r="S260" s="560"/>
      <c r="T260" s="560"/>
      <c r="U260" s="560"/>
      <c r="V260" s="56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9" t="s">
        <v>71</v>
      </c>
      <c r="Q261" s="560"/>
      <c r="R261" s="560"/>
      <c r="S261" s="560"/>
      <c r="T261" s="560"/>
      <c r="U261" s="560"/>
      <c r="V261" s="56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66" t="s">
        <v>420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hidden="1" customHeight="1" x14ac:dyDescent="0.25">
      <c r="A263" s="565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hidden="1" customHeight="1" x14ac:dyDescent="0.25">
      <c r="A264" s="54" t="s">
        <v>421</v>
      </c>
      <c r="B264" s="54" t="s">
        <v>422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75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423</v>
      </c>
      <c r="B265" s="54" t="s">
        <v>424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426</v>
      </c>
      <c r="B266" s="54" t="s">
        <v>427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371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428</v>
      </c>
      <c r="B267" s="54" t="s">
        <v>429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430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9" t="s">
        <v>71</v>
      </c>
      <c r="Q268" s="560"/>
      <c r="R268" s="560"/>
      <c r="S268" s="560"/>
      <c r="T268" s="560"/>
      <c r="U268" s="560"/>
      <c r="V268" s="56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9" t="s">
        <v>71</v>
      </c>
      <c r="Q269" s="560"/>
      <c r="R269" s="560"/>
      <c r="S269" s="560"/>
      <c r="T269" s="560"/>
      <c r="U269" s="560"/>
      <c r="V269" s="56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66" t="s">
        <v>431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hidden="1" customHeight="1" x14ac:dyDescent="0.25">
      <c r="A271" s="565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hidden="1" customHeight="1" x14ac:dyDescent="0.25">
      <c r="A272" s="54" t="s">
        <v>432</v>
      </c>
      <c r="B272" s="54" t="s">
        <v>433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4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434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435</v>
      </c>
      <c r="B273" s="54" t="s">
        <v>436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214</v>
      </c>
      <c r="M273" s="33" t="s">
        <v>84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60</v>
      </c>
      <c r="Y273" s="542">
        <f>IFERROR(IF(X273="",0,CEILING((X273/$H273),1)*$H273),"")</f>
        <v>60</v>
      </c>
      <c r="Z273" s="36">
        <f>IFERROR(IF(Y273=0,"",ROUNDUP(Y273/H273,0)*0.00651),"")</f>
        <v>0.16275000000000001</v>
      </c>
      <c r="AA273" s="56"/>
      <c r="AB273" s="57"/>
      <c r="AC273" s="321" t="s">
        <v>437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66.300000000000011</v>
      </c>
      <c r="BN273" s="64">
        <f>IFERROR(Y273*I273/H273,"0")</f>
        <v>66.300000000000011</v>
      </c>
      <c r="BO273" s="64">
        <f>IFERROR(1/J273*(X273/H273),"0")</f>
        <v>0.13736263736263737</v>
      </c>
      <c r="BP273" s="64">
        <f>IFERROR(1/J273*(Y273/H273),"0")</f>
        <v>0.13736263736263737</v>
      </c>
    </row>
    <row r="274" spans="1:68" ht="27" customHeight="1" x14ac:dyDescent="0.25">
      <c r="A274" s="54" t="s">
        <v>438</v>
      </c>
      <c r="B274" s="54" t="s">
        <v>439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/>
      <c r="M274" s="33" t="s">
        <v>77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220</v>
      </c>
      <c r="Y274" s="542">
        <f>IFERROR(IF(X274="",0,CEILING((X274/$H274),1)*$H274),"")</f>
        <v>220.79999999999998</v>
      </c>
      <c r="Z274" s="36">
        <f>IFERROR(IF(Y274=0,"",ROUNDUP(Y274/H274,0)*0.00651),"")</f>
        <v>0.59892000000000001</v>
      </c>
      <c r="AA274" s="56"/>
      <c r="AB274" s="57"/>
      <c r="AC274" s="323" t="s">
        <v>434</v>
      </c>
      <c r="AG274" s="64"/>
      <c r="AJ274" s="68"/>
      <c r="AK274" s="68">
        <v>0</v>
      </c>
      <c r="BB274" s="324" t="s">
        <v>1</v>
      </c>
      <c r="BM274" s="64">
        <f>IFERROR(X274*I274/H274,"0")</f>
        <v>236.50000000000003</v>
      </c>
      <c r="BN274" s="64">
        <f>IFERROR(Y274*I274/H274,"0")</f>
        <v>237.36</v>
      </c>
      <c r="BO274" s="64">
        <f>IFERROR(1/J274*(X274/H274),"0")</f>
        <v>0.50366300366300376</v>
      </c>
      <c r="BP274" s="64">
        <f>IFERROR(1/J274*(Y274/H274),"0")</f>
        <v>0.50549450549450559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9" t="s">
        <v>71</v>
      </c>
      <c r="Q275" s="560"/>
      <c r="R275" s="560"/>
      <c r="S275" s="560"/>
      <c r="T275" s="560"/>
      <c r="U275" s="560"/>
      <c r="V275" s="561"/>
      <c r="W275" s="37" t="s">
        <v>72</v>
      </c>
      <c r="X275" s="543">
        <f>IFERROR(X272/H272,"0")+IFERROR(X273/H273,"0")+IFERROR(X274/H274,"0")</f>
        <v>116.66666666666667</v>
      </c>
      <c r="Y275" s="543">
        <f>IFERROR(Y272/H272,"0")+IFERROR(Y273/H273,"0")+IFERROR(Y274/H274,"0")</f>
        <v>117</v>
      </c>
      <c r="Z275" s="543">
        <f>IFERROR(IF(Z272="",0,Z272),"0")+IFERROR(IF(Z273="",0,Z273),"0")+IFERROR(IF(Z274="",0,Z274),"0")</f>
        <v>0.76167000000000007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9" t="s">
        <v>71</v>
      </c>
      <c r="Q276" s="560"/>
      <c r="R276" s="560"/>
      <c r="S276" s="560"/>
      <c r="T276" s="560"/>
      <c r="U276" s="560"/>
      <c r="V276" s="561"/>
      <c r="W276" s="37" t="s">
        <v>69</v>
      </c>
      <c r="X276" s="543">
        <f>IFERROR(SUM(X272:X274),"0")</f>
        <v>280</v>
      </c>
      <c r="Y276" s="543">
        <f>IFERROR(SUM(Y272:Y274),"0")</f>
        <v>280.79999999999995</v>
      </c>
      <c r="Z276" s="37"/>
      <c r="AA276" s="544"/>
      <c r="AB276" s="544"/>
      <c r="AC276" s="544"/>
    </row>
    <row r="277" spans="1:68" ht="16.5" hidden="1" customHeight="1" x14ac:dyDescent="0.25">
      <c r="A277" s="566" t="s">
        <v>440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hidden="1" customHeight="1" x14ac:dyDescent="0.25">
      <c r="A278" s="565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hidden="1" customHeight="1" x14ac:dyDescent="0.25">
      <c r="A279" s="54" t="s">
        <v>441</v>
      </c>
      <c r="B279" s="54" t="s">
        <v>442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443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444</v>
      </c>
      <c r="B280" s="54" t="s">
        <v>445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446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9" t="s">
        <v>71</v>
      </c>
      <c r="Q281" s="560"/>
      <c r="R281" s="560"/>
      <c r="S281" s="560"/>
      <c r="T281" s="560"/>
      <c r="U281" s="560"/>
      <c r="V281" s="561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hidden="1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9" t="s">
        <v>71</v>
      </c>
      <c r="Q282" s="560"/>
      <c r="R282" s="560"/>
      <c r="S282" s="560"/>
      <c r="T282" s="560"/>
      <c r="U282" s="560"/>
      <c r="V282" s="561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hidden="1" customHeight="1" x14ac:dyDescent="0.25">
      <c r="A283" s="565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hidden="1" customHeight="1" x14ac:dyDescent="0.25">
      <c r="A284" s="54" t="s">
        <v>447</v>
      </c>
      <c r="B284" s="54" t="s">
        <v>448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70" t="s">
        <v>449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254</v>
      </c>
      <c r="AC284" s="329" t="s">
        <v>450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451</v>
      </c>
      <c r="B285" s="54" t="s">
        <v>452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453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9" t="s">
        <v>71</v>
      </c>
      <c r="Q286" s="560"/>
      <c r="R286" s="560"/>
      <c r="S286" s="560"/>
      <c r="T286" s="560"/>
      <c r="U286" s="560"/>
      <c r="V286" s="561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hidden="1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59" t="s">
        <v>71</v>
      </c>
      <c r="Q287" s="560"/>
      <c r="R287" s="560"/>
      <c r="S287" s="560"/>
      <c r="T287" s="560"/>
      <c r="U287" s="560"/>
      <c r="V287" s="561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hidden="1" customHeight="1" x14ac:dyDescent="0.25">
      <c r="A288" s="566" t="s">
        <v>454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hidden="1" customHeight="1" x14ac:dyDescent="0.25">
      <c r="A289" s="565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hidden="1" customHeight="1" x14ac:dyDescent="0.25">
      <c r="A290" s="54" t="s">
        <v>455</v>
      </c>
      <c r="B290" s="54" t="s">
        <v>456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457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458</v>
      </c>
      <c r="B291" s="54" t="s">
        <v>459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460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461</v>
      </c>
      <c r="B292" s="54" t="s">
        <v>462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463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464</v>
      </c>
      <c r="B293" s="54" t="s">
        <v>465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457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466</v>
      </c>
      <c r="B294" s="54" t="s">
        <v>467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468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59" t="s">
        <v>71</v>
      </c>
      <c r="Q295" s="560"/>
      <c r="R295" s="560"/>
      <c r="S295" s="560"/>
      <c r="T295" s="560"/>
      <c r="U295" s="560"/>
      <c r="V295" s="561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9" t="s">
        <v>71</v>
      </c>
      <c r="Q296" s="560"/>
      <c r="R296" s="560"/>
      <c r="S296" s="560"/>
      <c r="T296" s="560"/>
      <c r="U296" s="560"/>
      <c r="V296" s="561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65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hidden="1" customHeight="1" x14ac:dyDescent="0.25">
      <c r="A298" s="54" t="s">
        <v>469</v>
      </c>
      <c r="B298" s="54" t="s">
        <v>470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471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hidden="1" customHeight="1" x14ac:dyDescent="0.25">
      <c r="A299" s="54" t="s">
        <v>472</v>
      </c>
      <c r="B299" s="54" t="s">
        <v>473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40</v>
      </c>
      <c r="P29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474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475</v>
      </c>
      <c r="B300" s="54" t="s">
        <v>476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9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478</v>
      </c>
      <c r="B301" s="54" t="s">
        <v>479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276</v>
      </c>
      <c r="M301" s="33" t="s">
        <v>68</v>
      </c>
      <c r="N301" s="33"/>
      <c r="O301" s="32">
        <v>40</v>
      </c>
      <c r="P301" s="8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480</v>
      </c>
      <c r="B302" s="54" t="s">
        <v>481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276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105</v>
      </c>
      <c r="Y302" s="542">
        <f t="shared" si="26"/>
        <v>105</v>
      </c>
      <c r="Z302" s="36">
        <f>IFERROR(IF(Y302=0,"",ROUNDUP(Y302/H302,0)*0.00502),"")</f>
        <v>0.251</v>
      </c>
      <c r="AA302" s="56"/>
      <c r="AB302" s="57"/>
      <c r="AC302" s="351" t="s">
        <v>482</v>
      </c>
      <c r="AG302" s="64"/>
      <c r="AJ302" s="68" t="s">
        <v>106</v>
      </c>
      <c r="AK302" s="68">
        <v>37.799999999999997</v>
      </c>
      <c r="BB302" s="352" t="s">
        <v>1</v>
      </c>
      <c r="BM302" s="64">
        <f t="shared" si="27"/>
        <v>110.00000000000001</v>
      </c>
      <c r="BN302" s="64">
        <f t="shared" si="28"/>
        <v>110.00000000000001</v>
      </c>
      <c r="BO302" s="64">
        <f t="shared" si="29"/>
        <v>0.21367521367521369</v>
      </c>
      <c r="BP302" s="64">
        <f t="shared" si="30"/>
        <v>0.21367521367521369</v>
      </c>
    </row>
    <row r="303" spans="1:68" ht="27" hidden="1" customHeight="1" x14ac:dyDescent="0.25">
      <c r="A303" s="54" t="s">
        <v>483</v>
      </c>
      <c r="B303" s="54" t="s">
        <v>484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6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482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485</v>
      </c>
      <c r="B304" s="54" t="s">
        <v>486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214</v>
      </c>
      <c r="M304" s="33" t="s">
        <v>68</v>
      </c>
      <c r="N304" s="33"/>
      <c r="O304" s="32">
        <v>40</v>
      </c>
      <c r="P304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24</v>
      </c>
      <c r="Y304" s="542">
        <f t="shared" si="26"/>
        <v>25.2</v>
      </c>
      <c r="Z304" s="36">
        <f>IFERROR(IF(Y304=0,"",ROUNDUP(Y304/H304,0)*0.00651),"")</f>
        <v>9.1139999999999999E-2</v>
      </c>
      <c r="AA304" s="56"/>
      <c r="AB304" s="57"/>
      <c r="AC304" s="355" t="s">
        <v>487</v>
      </c>
      <c r="AG304" s="64"/>
      <c r="AJ304" s="68" t="s">
        <v>106</v>
      </c>
      <c r="AK304" s="68">
        <v>25.2</v>
      </c>
      <c r="BB304" s="356" t="s">
        <v>1</v>
      </c>
      <c r="BM304" s="64">
        <f t="shared" si="27"/>
        <v>27.04</v>
      </c>
      <c r="BN304" s="64">
        <f t="shared" si="28"/>
        <v>28.391999999999999</v>
      </c>
      <c r="BO304" s="64">
        <f t="shared" si="29"/>
        <v>7.3260073260073263E-2</v>
      </c>
      <c r="BP304" s="64">
        <f t="shared" si="30"/>
        <v>7.6923076923076927E-2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59" t="s">
        <v>71</v>
      </c>
      <c r="Q305" s="560"/>
      <c r="R305" s="560"/>
      <c r="S305" s="560"/>
      <c r="T305" s="560"/>
      <c r="U305" s="560"/>
      <c r="V305" s="561"/>
      <c r="W305" s="37" t="s">
        <v>72</v>
      </c>
      <c r="X305" s="543">
        <f>IFERROR(X298/H298,"0")+IFERROR(X299/H299,"0")+IFERROR(X300/H300,"0")+IFERROR(X301/H301,"0")+IFERROR(X302/H302,"0")+IFERROR(X303/H303,"0")+IFERROR(X304/H304,"0")</f>
        <v>63.333333333333329</v>
      </c>
      <c r="Y305" s="543">
        <f>IFERROR(Y298/H298,"0")+IFERROR(Y299/H299,"0")+IFERROR(Y300/H300,"0")+IFERROR(Y301/H301,"0")+IFERROR(Y302/H302,"0")+IFERROR(Y303/H303,"0")+IFERROR(Y304/H304,"0")</f>
        <v>64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0.34214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9" t="s">
        <v>71</v>
      </c>
      <c r="Q306" s="560"/>
      <c r="R306" s="560"/>
      <c r="S306" s="560"/>
      <c r="T306" s="560"/>
      <c r="U306" s="560"/>
      <c r="V306" s="561"/>
      <c r="W306" s="37" t="s">
        <v>69</v>
      </c>
      <c r="X306" s="543">
        <f>IFERROR(SUM(X298:X304),"0")</f>
        <v>129</v>
      </c>
      <c r="Y306" s="543">
        <f>IFERROR(SUM(Y298:Y304),"0")</f>
        <v>130.19999999999999</v>
      </c>
      <c r="Z306" s="37"/>
      <c r="AA306" s="544"/>
      <c r="AB306" s="544"/>
      <c r="AC306" s="544"/>
    </row>
    <row r="307" spans="1:68" ht="14.25" hidden="1" customHeight="1" x14ac:dyDescent="0.25">
      <c r="A307" s="565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hidden="1" customHeight="1" x14ac:dyDescent="0.25">
      <c r="A308" s="54" t="s">
        <v>488</v>
      </c>
      <c r="B308" s="54" t="s">
        <v>489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490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491</v>
      </c>
      <c r="B309" s="54" t="s">
        <v>492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5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493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494</v>
      </c>
      <c r="B310" s="54" t="s">
        <v>495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5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496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497</v>
      </c>
      <c r="B311" s="54" t="s">
        <v>498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499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59" t="s">
        <v>71</v>
      </c>
      <c r="Q312" s="560"/>
      <c r="R312" s="560"/>
      <c r="S312" s="560"/>
      <c r="T312" s="560"/>
      <c r="U312" s="560"/>
      <c r="V312" s="561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9" t="s">
        <v>71</v>
      </c>
      <c r="Q313" s="560"/>
      <c r="R313" s="560"/>
      <c r="S313" s="560"/>
      <c r="T313" s="560"/>
      <c r="U313" s="560"/>
      <c r="V313" s="561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65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500</v>
      </c>
      <c r="B315" s="54" t="s">
        <v>501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20</v>
      </c>
      <c r="Y315" s="542">
        <f>IFERROR(IF(X315="",0,CEILING((X315/$H315),1)*$H315),"")</f>
        <v>25.200000000000003</v>
      </c>
      <c r="Z315" s="36">
        <f>IFERROR(IF(Y315=0,"",ROUNDUP(Y315/H315,0)*0.01898),"")</f>
        <v>5.6940000000000004E-2</v>
      </c>
      <c r="AA315" s="56"/>
      <c r="AB315" s="57"/>
      <c r="AC315" s="365" t="s">
        <v>502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21.176190476190474</v>
      </c>
      <c r="BN315" s="64">
        <f>IFERROR(Y315*I315/H315,"0")</f>
        <v>26.682000000000002</v>
      </c>
      <c r="BO315" s="64">
        <f>IFERROR(1/J315*(X315/H315),"0")</f>
        <v>3.7202380952380952E-2</v>
      </c>
      <c r="BP315" s="64">
        <f>IFERROR(1/J315*(Y315/H315),"0")</f>
        <v>4.6875E-2</v>
      </c>
    </row>
    <row r="316" spans="1:68" ht="27" customHeight="1" x14ac:dyDescent="0.25">
      <c r="A316" s="54" t="s">
        <v>503</v>
      </c>
      <c r="B316" s="54" t="s">
        <v>504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60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400</v>
      </c>
      <c r="Y316" s="542">
        <f>IFERROR(IF(X316="",0,CEILING((X316/$H316),1)*$H316),"")</f>
        <v>405.59999999999997</v>
      </c>
      <c r="Z316" s="36">
        <f>IFERROR(IF(Y316=0,"",ROUNDUP(Y316/H316,0)*0.01898),"")</f>
        <v>0.98696000000000006</v>
      </c>
      <c r="AA316" s="56"/>
      <c r="AB316" s="57"/>
      <c r="AC316" s="367" t="s">
        <v>505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425.33333333333337</v>
      </c>
      <c r="BN316" s="64">
        <f>IFERROR(Y316*I316/H316,"0")</f>
        <v>431.28799999999995</v>
      </c>
      <c r="BO316" s="64">
        <f>IFERROR(1/J316*(X316/H316),"0")</f>
        <v>0.80128205128205132</v>
      </c>
      <c r="BP316" s="64">
        <f>IFERROR(1/J316*(Y316/H316),"0")</f>
        <v>0.8125</v>
      </c>
    </row>
    <row r="317" spans="1:68" ht="16.5" customHeight="1" x14ac:dyDescent="0.25">
      <c r="A317" s="54" t="s">
        <v>506</v>
      </c>
      <c r="B317" s="54" t="s">
        <v>507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330</v>
      </c>
      <c r="Y317" s="542">
        <f>IFERROR(IF(X317="",0,CEILING((X317/$H317),1)*$H317),"")</f>
        <v>336</v>
      </c>
      <c r="Z317" s="36">
        <f>IFERROR(IF(Y317=0,"",ROUNDUP(Y317/H317,0)*0.01898),"")</f>
        <v>0.75919999999999999</v>
      </c>
      <c r="AA317" s="56"/>
      <c r="AB317" s="57"/>
      <c r="AC317" s="369" t="s">
        <v>508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349.40714285714284</v>
      </c>
      <c r="BN317" s="64">
        <f>IFERROR(Y317*I317/H317,"0")</f>
        <v>355.76</v>
      </c>
      <c r="BO317" s="64">
        <f>IFERROR(1/J317*(X317/H317),"0")</f>
        <v>0.6138392857142857</v>
      </c>
      <c r="BP317" s="64">
        <f>IFERROR(1/J317*(Y317/H317),"0")</f>
        <v>0.625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59" t="s">
        <v>71</v>
      </c>
      <c r="Q318" s="560"/>
      <c r="R318" s="560"/>
      <c r="S318" s="560"/>
      <c r="T318" s="560"/>
      <c r="U318" s="560"/>
      <c r="V318" s="561"/>
      <c r="W318" s="37" t="s">
        <v>72</v>
      </c>
      <c r="X318" s="543">
        <f>IFERROR(X315/H315,"0")+IFERROR(X316/H316,"0")+IFERROR(X317/H317,"0")</f>
        <v>92.948717948717956</v>
      </c>
      <c r="Y318" s="543">
        <f>IFERROR(Y315/H315,"0")+IFERROR(Y316/H316,"0")+IFERROR(Y317/H317,"0")</f>
        <v>95</v>
      </c>
      <c r="Z318" s="543">
        <f>IFERROR(IF(Z315="",0,Z315),"0")+IFERROR(IF(Z316="",0,Z316),"0")+IFERROR(IF(Z317="",0,Z317),"0")</f>
        <v>1.8031000000000001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9" t="s">
        <v>71</v>
      </c>
      <c r="Q319" s="560"/>
      <c r="R319" s="560"/>
      <c r="S319" s="560"/>
      <c r="T319" s="560"/>
      <c r="U319" s="560"/>
      <c r="V319" s="561"/>
      <c r="W319" s="37" t="s">
        <v>69</v>
      </c>
      <c r="X319" s="543">
        <f>IFERROR(SUM(X315:X317),"0")</f>
        <v>750</v>
      </c>
      <c r="Y319" s="543">
        <f>IFERROR(SUM(Y315:Y317),"0")</f>
        <v>766.8</v>
      </c>
      <c r="Z319" s="37"/>
      <c r="AA319" s="544"/>
      <c r="AB319" s="544"/>
      <c r="AC319" s="544"/>
    </row>
    <row r="320" spans="1:68" ht="14.25" hidden="1" customHeight="1" x14ac:dyDescent="0.25">
      <c r="A320" s="565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hidden="1" customHeight="1" x14ac:dyDescent="0.25">
      <c r="A321" s="54" t="s">
        <v>509</v>
      </c>
      <c r="B321" s="54" t="s">
        <v>510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511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512</v>
      </c>
      <c r="B322" s="54" t="s">
        <v>513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562" t="s">
        <v>514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511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515</v>
      </c>
      <c r="B323" s="54" t="s">
        <v>516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214</v>
      </c>
      <c r="M323" s="33" t="s">
        <v>94</v>
      </c>
      <c r="N323" s="33"/>
      <c r="O323" s="32">
        <v>180</v>
      </c>
      <c r="P323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517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518</v>
      </c>
      <c r="B324" s="54" t="s">
        <v>519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214</v>
      </c>
      <c r="M324" s="33" t="s">
        <v>94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511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59" t="s">
        <v>71</v>
      </c>
      <c r="Q325" s="560"/>
      <c r="R325" s="560"/>
      <c r="S325" s="560"/>
      <c r="T325" s="560"/>
      <c r="U325" s="560"/>
      <c r="V325" s="561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9" t="s">
        <v>71</v>
      </c>
      <c r="Q326" s="560"/>
      <c r="R326" s="560"/>
      <c r="S326" s="560"/>
      <c r="T326" s="560"/>
      <c r="U326" s="560"/>
      <c r="V326" s="561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65" t="s">
        <v>520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hidden="1" customHeight="1" x14ac:dyDescent="0.25">
      <c r="A328" s="54" t="s">
        <v>521</v>
      </c>
      <c r="B328" s="54" t="s">
        <v>522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214</v>
      </c>
      <c r="M328" s="33" t="s">
        <v>523</v>
      </c>
      <c r="N328" s="33"/>
      <c r="O328" s="32">
        <v>730</v>
      </c>
      <c r="P328" s="5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524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525</v>
      </c>
      <c r="B329" s="54" t="s">
        <v>526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523</v>
      </c>
      <c r="N329" s="33"/>
      <c r="O329" s="32">
        <v>730</v>
      </c>
      <c r="P329" s="6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524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527</v>
      </c>
      <c r="B330" s="54" t="s">
        <v>528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 t="s">
        <v>214</v>
      </c>
      <c r="M330" s="33" t="s">
        <v>523</v>
      </c>
      <c r="N330" s="33"/>
      <c r="O330" s="32">
        <v>730</v>
      </c>
      <c r="P330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524</v>
      </c>
      <c r="AG330" s="64"/>
      <c r="AJ330" s="68" t="s">
        <v>106</v>
      </c>
      <c r="AK330" s="68">
        <v>28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59" t="s">
        <v>71</v>
      </c>
      <c r="Q331" s="560"/>
      <c r="R331" s="560"/>
      <c r="S331" s="560"/>
      <c r="T331" s="560"/>
      <c r="U331" s="560"/>
      <c r="V331" s="561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9" t="s">
        <v>71</v>
      </c>
      <c r="Q332" s="560"/>
      <c r="R332" s="560"/>
      <c r="S332" s="560"/>
      <c r="T332" s="560"/>
      <c r="U332" s="560"/>
      <c r="V332" s="561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66" t="s">
        <v>529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hidden="1" customHeight="1" x14ac:dyDescent="0.25">
      <c r="A334" s="565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hidden="1" customHeight="1" x14ac:dyDescent="0.25">
      <c r="A335" s="54" t="s">
        <v>530</v>
      </c>
      <c r="B335" s="54" t="s">
        <v>531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532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533</v>
      </c>
      <c r="B336" s="54" t="s">
        <v>534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214</v>
      </c>
      <c r="M336" s="33" t="s">
        <v>77</v>
      </c>
      <c r="N336" s="33"/>
      <c r="O336" s="32">
        <v>45</v>
      </c>
      <c r="P336" s="80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1085</v>
      </c>
      <c r="Y336" s="542">
        <f>IFERROR(IF(X336="",0,CEILING((X336/$H336),1)*$H336),"")</f>
        <v>1085.7</v>
      </c>
      <c r="Z336" s="36">
        <f>IFERROR(IF(Y336=0,"",ROUNDUP(Y336/H336,0)*0.00651),"")</f>
        <v>3.3656700000000002</v>
      </c>
      <c r="AA336" s="56"/>
      <c r="AB336" s="57"/>
      <c r="AC336" s="387" t="s">
        <v>535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1215.2</v>
      </c>
      <c r="BN336" s="64">
        <f>IFERROR(Y336*I336/H336,"0")</f>
        <v>1215.9839999999999</v>
      </c>
      <c r="BO336" s="64">
        <f>IFERROR(1/J336*(X336/H336),"0")</f>
        <v>2.838827838827839</v>
      </c>
      <c r="BP336" s="64">
        <f>IFERROR(1/J336*(Y336/H336),"0")</f>
        <v>2.8406593406593408</v>
      </c>
    </row>
    <row r="337" spans="1:68" ht="27" customHeight="1" x14ac:dyDescent="0.25">
      <c r="A337" s="54" t="s">
        <v>536</v>
      </c>
      <c r="B337" s="54" t="s">
        <v>537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214</v>
      </c>
      <c r="M337" s="33" t="s">
        <v>84</v>
      </c>
      <c r="N337" s="33"/>
      <c r="O337" s="32">
        <v>40</v>
      </c>
      <c r="P337" s="64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245</v>
      </c>
      <c r="Y337" s="542">
        <f>IFERROR(IF(X337="",0,CEILING((X337/$H337),1)*$H337),"")</f>
        <v>245.70000000000002</v>
      </c>
      <c r="Z337" s="36">
        <f>IFERROR(IF(Y337=0,"",ROUNDUP(Y337/H337,0)*0.00651),"")</f>
        <v>0.76167000000000007</v>
      </c>
      <c r="AA337" s="56"/>
      <c r="AB337" s="57"/>
      <c r="AC337" s="389" t="s">
        <v>538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272.99999999999994</v>
      </c>
      <c r="BN337" s="64">
        <f>IFERROR(Y337*I337/H337,"0")</f>
        <v>273.77999999999997</v>
      </c>
      <c r="BO337" s="64">
        <f>IFERROR(1/J337*(X337/H337),"0")</f>
        <v>0.64102564102564097</v>
      </c>
      <c r="BP337" s="64">
        <f>IFERROR(1/J337*(Y337/H337),"0")</f>
        <v>0.6428571428571429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59" t="s">
        <v>71</v>
      </c>
      <c r="Q338" s="560"/>
      <c r="R338" s="560"/>
      <c r="S338" s="560"/>
      <c r="T338" s="560"/>
      <c r="U338" s="560"/>
      <c r="V338" s="561"/>
      <c r="W338" s="37" t="s">
        <v>72</v>
      </c>
      <c r="X338" s="543">
        <f>IFERROR(X335/H335,"0")+IFERROR(X336/H336,"0")+IFERROR(X337/H337,"0")</f>
        <v>633.33333333333326</v>
      </c>
      <c r="Y338" s="543">
        <f>IFERROR(Y335/H335,"0")+IFERROR(Y336/H336,"0")+IFERROR(Y337/H337,"0")</f>
        <v>634</v>
      </c>
      <c r="Z338" s="543">
        <f>IFERROR(IF(Z335="",0,Z335),"0")+IFERROR(IF(Z336="",0,Z336),"0")+IFERROR(IF(Z337="",0,Z337),"0")</f>
        <v>4.1273400000000002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9" t="s">
        <v>71</v>
      </c>
      <c r="Q339" s="560"/>
      <c r="R339" s="560"/>
      <c r="S339" s="560"/>
      <c r="T339" s="560"/>
      <c r="U339" s="560"/>
      <c r="V339" s="561"/>
      <c r="W339" s="37" t="s">
        <v>69</v>
      </c>
      <c r="X339" s="543">
        <f>IFERROR(SUM(X335:X337),"0")</f>
        <v>1330</v>
      </c>
      <c r="Y339" s="543">
        <f>IFERROR(SUM(Y335:Y337),"0")</f>
        <v>1331.4</v>
      </c>
      <c r="Z339" s="37"/>
      <c r="AA339" s="544"/>
      <c r="AB339" s="544"/>
      <c r="AC339" s="544"/>
    </row>
    <row r="340" spans="1:68" ht="27.75" hidden="1" customHeight="1" x14ac:dyDescent="0.2">
      <c r="A340" s="667" t="s">
        <v>539</v>
      </c>
      <c r="B340" s="668"/>
      <c r="C340" s="668"/>
      <c r="D340" s="668"/>
      <c r="E340" s="668"/>
      <c r="F340" s="668"/>
      <c r="G340" s="668"/>
      <c r="H340" s="668"/>
      <c r="I340" s="668"/>
      <c r="J340" s="668"/>
      <c r="K340" s="668"/>
      <c r="L340" s="668"/>
      <c r="M340" s="668"/>
      <c r="N340" s="668"/>
      <c r="O340" s="668"/>
      <c r="P340" s="668"/>
      <c r="Q340" s="668"/>
      <c r="R340" s="668"/>
      <c r="S340" s="668"/>
      <c r="T340" s="668"/>
      <c r="U340" s="668"/>
      <c r="V340" s="668"/>
      <c r="W340" s="668"/>
      <c r="X340" s="668"/>
      <c r="Y340" s="668"/>
      <c r="Z340" s="668"/>
      <c r="AA340" s="48"/>
      <c r="AB340" s="48"/>
      <c r="AC340" s="48"/>
    </row>
    <row r="341" spans="1:68" ht="16.5" hidden="1" customHeight="1" x14ac:dyDescent="0.25">
      <c r="A341" s="566" t="s">
        <v>540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hidden="1" customHeight="1" x14ac:dyDescent="0.25">
      <c r="A342" s="565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541</v>
      </c>
      <c r="B343" s="54" t="s">
        <v>542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1400</v>
      </c>
      <c r="Y343" s="542">
        <f t="shared" ref="Y343:Y349" si="31">IFERROR(IF(X343="",0,CEILING((X343/$H343),1)*$H343),"")</f>
        <v>1410</v>
      </c>
      <c r="Z343" s="36">
        <f>IFERROR(IF(Y343=0,"",ROUNDUP(Y343/H343,0)*0.02175),"")</f>
        <v>2.0444999999999998</v>
      </c>
      <c r="AA343" s="56"/>
      <c r="AB343" s="57"/>
      <c r="AC343" s="391" t="s">
        <v>543</v>
      </c>
      <c r="AG343" s="64"/>
      <c r="AJ343" s="68"/>
      <c r="AK343" s="68">
        <v>0</v>
      </c>
      <c r="BB343" s="392" t="s">
        <v>1</v>
      </c>
      <c r="BM343" s="64">
        <f t="shared" ref="BM343:BM349" si="32">IFERROR(X343*I343/H343,"0")</f>
        <v>1443.8666666666666</v>
      </c>
      <c r="BN343" s="64">
        <f t="shared" ref="BN343:BN349" si="33">IFERROR(Y343*I343/H343,"0")</f>
        <v>1454.18</v>
      </c>
      <c r="BO343" s="64">
        <f t="shared" ref="BO343:BO349" si="34">IFERROR(1/J343*(X343/H343),"0")</f>
        <v>1.9444444444444442</v>
      </c>
      <c r="BP343" s="64">
        <f t="shared" ref="BP343:BP349" si="35">IFERROR(1/J343*(Y343/H343),"0")</f>
        <v>1.9583333333333333</v>
      </c>
    </row>
    <row r="344" spans="1:68" ht="27" customHeight="1" x14ac:dyDescent="0.25">
      <c r="A344" s="54" t="s">
        <v>544</v>
      </c>
      <c r="B344" s="54" t="s">
        <v>545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1000</v>
      </c>
      <c r="Y344" s="542">
        <f t="shared" si="31"/>
        <v>1005</v>
      </c>
      <c r="Z344" s="36">
        <f>IFERROR(IF(Y344=0,"",ROUNDUP(Y344/H344,0)*0.02175),"")</f>
        <v>1.4572499999999999</v>
      </c>
      <c r="AA344" s="56"/>
      <c r="AB344" s="57"/>
      <c r="AC344" s="393" t="s">
        <v>546</v>
      </c>
      <c r="AG344" s="64"/>
      <c r="AJ344" s="68"/>
      <c r="AK344" s="68">
        <v>0</v>
      </c>
      <c r="BB344" s="394" t="s">
        <v>1</v>
      </c>
      <c r="BM344" s="64">
        <f t="shared" si="32"/>
        <v>1031.3333333333333</v>
      </c>
      <c r="BN344" s="64">
        <f t="shared" si="33"/>
        <v>1036.49</v>
      </c>
      <c r="BO344" s="64">
        <f t="shared" si="34"/>
        <v>1.3888888888888888</v>
      </c>
      <c r="BP344" s="64">
        <f t="shared" si="35"/>
        <v>1.3958333333333333</v>
      </c>
    </row>
    <row r="345" spans="1:68" ht="37.5" customHeight="1" x14ac:dyDescent="0.25">
      <c r="A345" s="54" t="s">
        <v>547</v>
      </c>
      <c r="B345" s="54" t="s">
        <v>548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1000</v>
      </c>
      <c r="Y345" s="542">
        <f t="shared" si="31"/>
        <v>1005</v>
      </c>
      <c r="Z345" s="36">
        <f>IFERROR(IF(Y345=0,"",ROUNDUP(Y345/H345,0)*0.02175),"")</f>
        <v>1.4572499999999999</v>
      </c>
      <c r="AA345" s="56"/>
      <c r="AB345" s="57"/>
      <c r="AC345" s="395" t="s">
        <v>549</v>
      </c>
      <c r="AG345" s="64"/>
      <c r="AJ345" s="68"/>
      <c r="AK345" s="68">
        <v>0</v>
      </c>
      <c r="BB345" s="396" t="s">
        <v>1</v>
      </c>
      <c r="BM345" s="64">
        <f t="shared" si="32"/>
        <v>1031.3333333333333</v>
      </c>
      <c r="BN345" s="64">
        <f t="shared" si="33"/>
        <v>1036.49</v>
      </c>
      <c r="BO345" s="64">
        <f t="shared" si="34"/>
        <v>1.3888888888888888</v>
      </c>
      <c r="BP345" s="64">
        <f t="shared" si="35"/>
        <v>1.3958333333333333</v>
      </c>
    </row>
    <row r="346" spans="1:68" ht="27" customHeight="1" x14ac:dyDescent="0.25">
      <c r="A346" s="54" t="s">
        <v>550</v>
      </c>
      <c r="B346" s="54" t="s">
        <v>551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56" t="s">
        <v>552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130</v>
      </c>
      <c r="Y346" s="542">
        <f t="shared" si="31"/>
        <v>135</v>
      </c>
      <c r="Z346" s="36">
        <f>IFERROR(IF(Y346=0,"",ROUNDUP(Y346/H346,0)*0.02175),"")</f>
        <v>0.19574999999999998</v>
      </c>
      <c r="AA346" s="56"/>
      <c r="AB346" s="57"/>
      <c r="AC346" s="397" t="s">
        <v>553</v>
      </c>
      <c r="AG346" s="64"/>
      <c r="AJ346" s="68"/>
      <c r="AK346" s="68">
        <v>0</v>
      </c>
      <c r="BB346" s="398" t="s">
        <v>1</v>
      </c>
      <c r="BM346" s="64">
        <f t="shared" si="32"/>
        <v>134.07333333333335</v>
      </c>
      <c r="BN346" s="64">
        <f t="shared" si="33"/>
        <v>139.23000000000002</v>
      </c>
      <c r="BO346" s="64">
        <f t="shared" si="34"/>
        <v>0.18055555555555552</v>
      </c>
      <c r="BP346" s="64">
        <f t="shared" si="35"/>
        <v>0.1875</v>
      </c>
    </row>
    <row r="347" spans="1:68" ht="27" hidden="1" customHeight="1" x14ac:dyDescent="0.25">
      <c r="A347" s="54" t="s">
        <v>554</v>
      </c>
      <c r="B347" s="54" t="s">
        <v>555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556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557</v>
      </c>
      <c r="B348" s="54" t="s">
        <v>558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546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hidden="1" customHeight="1" x14ac:dyDescent="0.25">
      <c r="A349" s="54" t="s">
        <v>559</v>
      </c>
      <c r="B349" s="54" t="s">
        <v>560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549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59" t="s">
        <v>71</v>
      </c>
      <c r="Q350" s="560"/>
      <c r="R350" s="560"/>
      <c r="S350" s="560"/>
      <c r="T350" s="560"/>
      <c r="U350" s="560"/>
      <c r="V350" s="56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235.33333333333334</v>
      </c>
      <c r="Y350" s="543">
        <f>IFERROR(Y343/H343,"0")+IFERROR(Y344/H344,"0")+IFERROR(Y345/H345,"0")+IFERROR(Y346/H346,"0")+IFERROR(Y347/H347,"0")+IFERROR(Y348/H348,"0")+IFERROR(Y349/H349,"0")</f>
        <v>237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5.1547499999999999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9" t="s">
        <v>71</v>
      </c>
      <c r="Q351" s="560"/>
      <c r="R351" s="560"/>
      <c r="S351" s="560"/>
      <c r="T351" s="560"/>
      <c r="U351" s="560"/>
      <c r="V351" s="561"/>
      <c r="W351" s="37" t="s">
        <v>69</v>
      </c>
      <c r="X351" s="543">
        <f>IFERROR(SUM(X343:X349),"0")</f>
        <v>3530</v>
      </c>
      <c r="Y351" s="543">
        <f>IFERROR(SUM(Y343:Y349),"0")</f>
        <v>3555</v>
      </c>
      <c r="Z351" s="37"/>
      <c r="AA351" s="544"/>
      <c r="AB351" s="544"/>
      <c r="AC351" s="544"/>
    </row>
    <row r="352" spans="1:68" ht="14.25" hidden="1" customHeight="1" x14ac:dyDescent="0.25">
      <c r="A352" s="565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561</v>
      </c>
      <c r="B353" s="54" t="s">
        <v>562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/>
      <c r="M353" s="33" t="s">
        <v>104</v>
      </c>
      <c r="N353" s="33"/>
      <c r="O353" s="32">
        <v>50</v>
      </c>
      <c r="P353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700</v>
      </c>
      <c r="Y353" s="542">
        <f>IFERROR(IF(X353="",0,CEILING((X353/$H353),1)*$H353),"")</f>
        <v>705</v>
      </c>
      <c r="Z353" s="36">
        <f>IFERROR(IF(Y353=0,"",ROUNDUP(Y353/H353,0)*0.02175),"")</f>
        <v>1.0222499999999999</v>
      </c>
      <c r="AA353" s="56"/>
      <c r="AB353" s="57"/>
      <c r="AC353" s="405" t="s">
        <v>563</v>
      </c>
      <c r="AG353" s="64"/>
      <c r="AJ353" s="68"/>
      <c r="AK353" s="68">
        <v>0</v>
      </c>
      <c r="BB353" s="406" t="s">
        <v>1</v>
      </c>
      <c r="BM353" s="64">
        <f>IFERROR(X353*I353/H353,"0")</f>
        <v>721.93333333333328</v>
      </c>
      <c r="BN353" s="64">
        <f>IFERROR(Y353*I353/H353,"0")</f>
        <v>727.09</v>
      </c>
      <c r="BO353" s="64">
        <f>IFERROR(1/J353*(X353/H353),"0")</f>
        <v>0.9722222222222221</v>
      </c>
      <c r="BP353" s="64">
        <f>IFERROR(1/J353*(Y353/H353),"0")</f>
        <v>0.97916666666666663</v>
      </c>
    </row>
    <row r="354" spans="1:68" ht="16.5" hidden="1" customHeight="1" x14ac:dyDescent="0.25">
      <c r="A354" s="54" t="s">
        <v>564</v>
      </c>
      <c r="B354" s="54" t="s">
        <v>565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563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59" t="s">
        <v>71</v>
      </c>
      <c r="Q355" s="560"/>
      <c r="R355" s="560"/>
      <c r="S355" s="560"/>
      <c r="T355" s="560"/>
      <c r="U355" s="560"/>
      <c r="V355" s="561"/>
      <c r="W355" s="37" t="s">
        <v>72</v>
      </c>
      <c r="X355" s="543">
        <f>IFERROR(X353/H353,"0")+IFERROR(X354/H354,"0")</f>
        <v>46.666666666666664</v>
      </c>
      <c r="Y355" s="543">
        <f>IFERROR(Y353/H353,"0")+IFERROR(Y354/H354,"0")</f>
        <v>47</v>
      </c>
      <c r="Z355" s="543">
        <f>IFERROR(IF(Z353="",0,Z353),"0")+IFERROR(IF(Z354="",0,Z354),"0")</f>
        <v>1.0222499999999999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9" t="s">
        <v>71</v>
      </c>
      <c r="Q356" s="560"/>
      <c r="R356" s="560"/>
      <c r="S356" s="560"/>
      <c r="T356" s="560"/>
      <c r="U356" s="560"/>
      <c r="V356" s="561"/>
      <c r="W356" s="37" t="s">
        <v>69</v>
      </c>
      <c r="X356" s="543">
        <f>IFERROR(SUM(X353:X354),"0")</f>
        <v>700</v>
      </c>
      <c r="Y356" s="543">
        <f>IFERROR(SUM(Y353:Y354),"0")</f>
        <v>705</v>
      </c>
      <c r="Z356" s="37"/>
      <c r="AA356" s="544"/>
      <c r="AB356" s="544"/>
      <c r="AC356" s="544"/>
    </row>
    <row r="357" spans="1:68" ht="14.25" hidden="1" customHeight="1" x14ac:dyDescent="0.25">
      <c r="A357" s="565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hidden="1" customHeight="1" x14ac:dyDescent="0.25">
      <c r="A358" s="54" t="s">
        <v>566</v>
      </c>
      <c r="B358" s="54" t="s">
        <v>567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568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569</v>
      </c>
      <c r="B359" s="54" t="s">
        <v>570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 t="s">
        <v>103</v>
      </c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40</v>
      </c>
      <c r="Y359" s="542">
        <f>IFERROR(IF(X359="",0,CEILING((X359/$H359),1)*$H359),"")</f>
        <v>45</v>
      </c>
      <c r="Z359" s="36">
        <f>IFERROR(IF(Y359=0,"",ROUNDUP(Y359/H359,0)*0.01898),"")</f>
        <v>9.4899999999999998E-2</v>
      </c>
      <c r="AA359" s="56"/>
      <c r="AB359" s="57"/>
      <c r="AC359" s="411" t="s">
        <v>571</v>
      </c>
      <c r="AG359" s="64"/>
      <c r="AJ359" s="68" t="s">
        <v>106</v>
      </c>
      <c r="AK359" s="68">
        <v>72</v>
      </c>
      <c r="BB359" s="412" t="s">
        <v>1</v>
      </c>
      <c r="BM359" s="64">
        <f>IFERROR(X359*I359/H359,"0")</f>
        <v>42.195555555555558</v>
      </c>
      <c r="BN359" s="64">
        <f>IFERROR(Y359*I359/H359,"0")</f>
        <v>47.47</v>
      </c>
      <c r="BO359" s="64">
        <f>IFERROR(1/J359*(X359/H359),"0")</f>
        <v>6.9444444444444448E-2</v>
      </c>
      <c r="BP359" s="64">
        <f>IFERROR(1/J359*(Y359/H359),"0")</f>
        <v>7.8125E-2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59" t="s">
        <v>71</v>
      </c>
      <c r="Q360" s="560"/>
      <c r="R360" s="560"/>
      <c r="S360" s="560"/>
      <c r="T360" s="560"/>
      <c r="U360" s="560"/>
      <c r="V360" s="561"/>
      <c r="W360" s="37" t="s">
        <v>72</v>
      </c>
      <c r="X360" s="543">
        <f>IFERROR(X358/H358,"0")+IFERROR(X359/H359,"0")</f>
        <v>4.4444444444444446</v>
      </c>
      <c r="Y360" s="543">
        <f>IFERROR(Y358/H358,"0")+IFERROR(Y359/H359,"0")</f>
        <v>5</v>
      </c>
      <c r="Z360" s="543">
        <f>IFERROR(IF(Z358="",0,Z358),"0")+IFERROR(IF(Z359="",0,Z359),"0")</f>
        <v>9.4899999999999998E-2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9" t="s">
        <v>71</v>
      </c>
      <c r="Q361" s="560"/>
      <c r="R361" s="560"/>
      <c r="S361" s="560"/>
      <c r="T361" s="560"/>
      <c r="U361" s="560"/>
      <c r="V361" s="561"/>
      <c r="W361" s="37" t="s">
        <v>69</v>
      </c>
      <c r="X361" s="543">
        <f>IFERROR(SUM(X358:X359),"0")</f>
        <v>40</v>
      </c>
      <c r="Y361" s="543">
        <f>IFERROR(SUM(Y358:Y359),"0")</f>
        <v>45</v>
      </c>
      <c r="Z361" s="37"/>
      <c r="AA361" s="544"/>
      <c r="AB361" s="544"/>
      <c r="AC361" s="544"/>
    </row>
    <row r="362" spans="1:68" ht="14.25" hidden="1" customHeight="1" x14ac:dyDescent="0.25">
      <c r="A362" s="565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572</v>
      </c>
      <c r="B363" s="54" t="s">
        <v>573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50</v>
      </c>
      <c r="Y363" s="542">
        <f>IFERROR(IF(X363="",0,CEILING((X363/$H363),1)*$H363),"")</f>
        <v>54</v>
      </c>
      <c r="Z363" s="36">
        <f>IFERROR(IF(Y363=0,"",ROUNDUP(Y363/H363,0)*0.01898),"")</f>
        <v>0.11388000000000001</v>
      </c>
      <c r="AA363" s="56"/>
      <c r="AB363" s="57"/>
      <c r="AC363" s="413" t="s">
        <v>574</v>
      </c>
      <c r="AG363" s="64"/>
      <c r="AJ363" s="68"/>
      <c r="AK363" s="68">
        <v>0</v>
      </c>
      <c r="BB363" s="414" t="s">
        <v>1</v>
      </c>
      <c r="BM363" s="64">
        <f>IFERROR(X363*I363/H363,"0")</f>
        <v>52.74444444444444</v>
      </c>
      <c r="BN363" s="64">
        <f>IFERROR(Y363*I363/H363,"0")</f>
        <v>56.963999999999992</v>
      </c>
      <c r="BO363" s="64">
        <f>IFERROR(1/J363*(X363/H363),"0")</f>
        <v>8.6805555555555552E-2</v>
      </c>
      <c r="BP363" s="64">
        <f>IFERROR(1/J363*(Y363/H363),"0")</f>
        <v>9.375E-2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59" t="s">
        <v>71</v>
      </c>
      <c r="Q364" s="560"/>
      <c r="R364" s="560"/>
      <c r="S364" s="560"/>
      <c r="T364" s="560"/>
      <c r="U364" s="560"/>
      <c r="V364" s="561"/>
      <c r="W364" s="37" t="s">
        <v>72</v>
      </c>
      <c r="X364" s="543">
        <f>IFERROR(X363/H363,"0")</f>
        <v>5.5555555555555554</v>
      </c>
      <c r="Y364" s="543">
        <f>IFERROR(Y363/H363,"0")</f>
        <v>6</v>
      </c>
      <c r="Z364" s="543">
        <f>IFERROR(IF(Z363="",0,Z363),"0")</f>
        <v>0.11388000000000001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9" t="s">
        <v>71</v>
      </c>
      <c r="Q365" s="560"/>
      <c r="R365" s="560"/>
      <c r="S365" s="560"/>
      <c r="T365" s="560"/>
      <c r="U365" s="560"/>
      <c r="V365" s="561"/>
      <c r="W365" s="37" t="s">
        <v>69</v>
      </c>
      <c r="X365" s="543">
        <f>IFERROR(SUM(X363:X363),"0")</f>
        <v>50</v>
      </c>
      <c r="Y365" s="543">
        <f>IFERROR(SUM(Y363:Y363),"0")</f>
        <v>54</v>
      </c>
      <c r="Z365" s="37"/>
      <c r="AA365" s="544"/>
      <c r="AB365" s="544"/>
      <c r="AC365" s="544"/>
    </row>
    <row r="366" spans="1:68" ht="16.5" hidden="1" customHeight="1" x14ac:dyDescent="0.25">
      <c r="A366" s="566" t="s">
        <v>575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hidden="1" customHeight="1" x14ac:dyDescent="0.25">
      <c r="A367" s="565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576</v>
      </c>
      <c r="B368" s="54" t="s">
        <v>577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30</v>
      </c>
      <c r="Y368" s="542">
        <f>IFERROR(IF(X368="",0,CEILING((X368/$H368),1)*$H368),"")</f>
        <v>36</v>
      </c>
      <c r="Z368" s="36">
        <f>IFERROR(IF(Y368=0,"",ROUNDUP(Y368/H368,0)*0.01898),"")</f>
        <v>5.6940000000000004E-2</v>
      </c>
      <c r="AA368" s="56"/>
      <c r="AB368" s="57"/>
      <c r="AC368" s="415" t="s">
        <v>578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31.025000000000002</v>
      </c>
      <c r="BN368" s="64">
        <f>IFERROR(Y368*I368/H368,"0")</f>
        <v>37.229999999999997</v>
      </c>
      <c r="BO368" s="64">
        <f>IFERROR(1/J368*(X368/H368),"0")</f>
        <v>3.90625E-2</v>
      </c>
      <c r="BP368" s="64">
        <f>IFERROR(1/J368*(Y368/H368),"0")</f>
        <v>4.6875E-2</v>
      </c>
    </row>
    <row r="369" spans="1:68" ht="37.5" hidden="1" customHeight="1" x14ac:dyDescent="0.25">
      <c r="A369" s="54" t="s">
        <v>579</v>
      </c>
      <c r="B369" s="54" t="s">
        <v>580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578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59" t="s">
        <v>71</v>
      </c>
      <c r="Q370" s="560"/>
      <c r="R370" s="560"/>
      <c r="S370" s="560"/>
      <c r="T370" s="560"/>
      <c r="U370" s="560"/>
      <c r="V370" s="561"/>
      <c r="W370" s="37" t="s">
        <v>72</v>
      </c>
      <c r="X370" s="543">
        <f>IFERROR(X368/H368,"0")+IFERROR(X369/H369,"0")</f>
        <v>2.5</v>
      </c>
      <c r="Y370" s="543">
        <f>IFERROR(Y368/H368,"0")+IFERROR(Y369/H369,"0")</f>
        <v>3</v>
      </c>
      <c r="Z370" s="543">
        <f>IFERROR(IF(Z368="",0,Z368),"0")+IFERROR(IF(Z369="",0,Z369),"0")</f>
        <v>5.6940000000000004E-2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9" t="s">
        <v>71</v>
      </c>
      <c r="Q371" s="560"/>
      <c r="R371" s="560"/>
      <c r="S371" s="560"/>
      <c r="T371" s="560"/>
      <c r="U371" s="560"/>
      <c r="V371" s="561"/>
      <c r="W371" s="37" t="s">
        <v>69</v>
      </c>
      <c r="X371" s="543">
        <f>IFERROR(SUM(X368:X369),"0")</f>
        <v>30</v>
      </c>
      <c r="Y371" s="543">
        <f>IFERROR(SUM(Y368:Y369),"0")</f>
        <v>36</v>
      </c>
      <c r="Z371" s="37"/>
      <c r="AA371" s="544"/>
      <c r="AB371" s="544"/>
      <c r="AC371" s="544"/>
    </row>
    <row r="372" spans="1:68" ht="14.25" hidden="1" customHeight="1" x14ac:dyDescent="0.25">
      <c r="A372" s="565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hidden="1" customHeight="1" x14ac:dyDescent="0.25">
      <c r="A373" s="54" t="s">
        <v>581</v>
      </c>
      <c r="B373" s="54" t="s">
        <v>582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6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583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581</v>
      </c>
      <c r="B374" s="54" t="s">
        <v>584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585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59" t="s">
        <v>71</v>
      </c>
      <c r="Q375" s="560"/>
      <c r="R375" s="560"/>
      <c r="S375" s="560"/>
      <c r="T375" s="560"/>
      <c r="U375" s="560"/>
      <c r="V375" s="56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9" t="s">
        <v>71</v>
      </c>
      <c r="Q376" s="560"/>
      <c r="R376" s="560"/>
      <c r="S376" s="560"/>
      <c r="T376" s="560"/>
      <c r="U376" s="560"/>
      <c r="V376" s="56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65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hidden="1" customHeight="1" x14ac:dyDescent="0.25">
      <c r="A378" s="54" t="s">
        <v>586</v>
      </c>
      <c r="B378" s="54" t="s">
        <v>587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588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589</v>
      </c>
      <c r="B379" s="54" t="s">
        <v>590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6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588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59" t="s">
        <v>71</v>
      </c>
      <c r="Q380" s="560"/>
      <c r="R380" s="560"/>
      <c r="S380" s="560"/>
      <c r="T380" s="560"/>
      <c r="U380" s="560"/>
      <c r="V380" s="561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9" t="s">
        <v>71</v>
      </c>
      <c r="Q381" s="560"/>
      <c r="R381" s="560"/>
      <c r="S381" s="560"/>
      <c r="T381" s="560"/>
      <c r="U381" s="560"/>
      <c r="V381" s="561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67" t="s">
        <v>591</v>
      </c>
      <c r="B382" s="668"/>
      <c r="C382" s="668"/>
      <c r="D382" s="668"/>
      <c r="E382" s="668"/>
      <c r="F382" s="668"/>
      <c r="G382" s="668"/>
      <c r="H382" s="668"/>
      <c r="I382" s="668"/>
      <c r="J382" s="668"/>
      <c r="K382" s="668"/>
      <c r="L382" s="668"/>
      <c r="M382" s="668"/>
      <c r="N382" s="668"/>
      <c r="O382" s="668"/>
      <c r="P382" s="668"/>
      <c r="Q382" s="668"/>
      <c r="R382" s="668"/>
      <c r="S382" s="668"/>
      <c r="T382" s="668"/>
      <c r="U382" s="668"/>
      <c r="V382" s="668"/>
      <c r="W382" s="668"/>
      <c r="X382" s="668"/>
      <c r="Y382" s="668"/>
      <c r="Z382" s="668"/>
      <c r="AA382" s="48"/>
      <c r="AB382" s="48"/>
      <c r="AC382" s="48"/>
    </row>
    <row r="383" spans="1:68" ht="16.5" hidden="1" customHeight="1" x14ac:dyDescent="0.25">
      <c r="A383" s="566" t="s">
        <v>592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hidden="1" customHeight="1" x14ac:dyDescent="0.25">
      <c r="A384" s="565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hidden="1" customHeight="1" x14ac:dyDescent="0.25">
      <c r="A385" s="54" t="s">
        <v>593</v>
      </c>
      <c r="B385" s="54" t="s">
        <v>594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595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596</v>
      </c>
      <c r="B386" s="54" t="s">
        <v>597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8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598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599</v>
      </c>
      <c r="B387" s="54" t="s">
        <v>600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601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602</v>
      </c>
      <c r="B388" s="54" t="s">
        <v>603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595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604</v>
      </c>
      <c r="B389" s="54" t="s">
        <v>605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 t="s">
        <v>276</v>
      </c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595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606</v>
      </c>
      <c r="B390" s="54" t="s">
        <v>607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 t="s">
        <v>276</v>
      </c>
      <c r="M390" s="33" t="s">
        <v>68</v>
      </c>
      <c r="N390" s="33"/>
      <c r="O390" s="32">
        <v>50</v>
      </c>
      <c r="P390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10.5</v>
      </c>
      <c r="Y390" s="542">
        <f t="shared" si="36"/>
        <v>10.5</v>
      </c>
      <c r="Z390" s="36">
        <f t="shared" si="41"/>
        <v>2.5100000000000001E-2</v>
      </c>
      <c r="AA390" s="56"/>
      <c r="AB390" s="57"/>
      <c r="AC390" s="437" t="s">
        <v>608</v>
      </c>
      <c r="AG390" s="64"/>
      <c r="AJ390" s="68" t="s">
        <v>106</v>
      </c>
      <c r="AK390" s="68">
        <v>37.799999999999997</v>
      </c>
      <c r="BB390" s="438" t="s">
        <v>1</v>
      </c>
      <c r="BM390" s="64">
        <f t="shared" si="37"/>
        <v>11.149999999999999</v>
      </c>
      <c r="BN390" s="64">
        <f t="shared" si="38"/>
        <v>11.149999999999999</v>
      </c>
      <c r="BO390" s="64">
        <f t="shared" si="39"/>
        <v>2.1367521367521368E-2</v>
      </c>
      <c r="BP390" s="64">
        <f t="shared" si="40"/>
        <v>2.1367521367521368E-2</v>
      </c>
    </row>
    <row r="391" spans="1:68" ht="27" hidden="1" customHeight="1" x14ac:dyDescent="0.25">
      <c r="A391" s="54" t="s">
        <v>609</v>
      </c>
      <c r="B391" s="54" t="s">
        <v>610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611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612</v>
      </c>
      <c r="B392" s="54" t="s">
        <v>613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276</v>
      </c>
      <c r="M392" s="33" t="s">
        <v>68</v>
      </c>
      <c r="N392" s="33"/>
      <c r="O392" s="32">
        <v>50</v>
      </c>
      <c r="P392" s="5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17.5</v>
      </c>
      <c r="Y392" s="542">
        <f t="shared" si="36"/>
        <v>18.900000000000002</v>
      </c>
      <c r="Z392" s="36">
        <f t="shared" si="41"/>
        <v>4.5179999999999998E-2</v>
      </c>
      <c r="AA392" s="56"/>
      <c r="AB392" s="57"/>
      <c r="AC392" s="441" t="s">
        <v>614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18.583333333333332</v>
      </c>
      <c r="BN392" s="64">
        <f t="shared" si="38"/>
        <v>20.07</v>
      </c>
      <c r="BO392" s="64">
        <f t="shared" si="39"/>
        <v>3.5612535612535613E-2</v>
      </c>
      <c r="BP392" s="64">
        <f t="shared" si="40"/>
        <v>3.8461538461538464E-2</v>
      </c>
    </row>
    <row r="393" spans="1:68" ht="37.5" hidden="1" customHeight="1" x14ac:dyDescent="0.25">
      <c r="A393" s="54" t="s">
        <v>615</v>
      </c>
      <c r="B393" s="54" t="s">
        <v>616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59" t="s">
        <v>71</v>
      </c>
      <c r="Q394" s="560"/>
      <c r="R394" s="560"/>
      <c r="S394" s="560"/>
      <c r="T394" s="560"/>
      <c r="U394" s="560"/>
      <c r="V394" s="56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13.333333333333332</v>
      </c>
      <c r="Y394" s="543">
        <f>IFERROR(Y385/H385,"0")+IFERROR(Y386/H386,"0")+IFERROR(Y387/H387,"0")+IFERROR(Y388/H388,"0")+IFERROR(Y389/H389,"0")+IFERROR(Y390/H390,"0")+IFERROR(Y391/H391,"0")+IFERROR(Y392/H392,"0")+IFERROR(Y393/H393,"0")</f>
        <v>14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7.0279999999999995E-2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9" t="s">
        <v>71</v>
      </c>
      <c r="Q395" s="560"/>
      <c r="R395" s="560"/>
      <c r="S395" s="560"/>
      <c r="T395" s="560"/>
      <c r="U395" s="560"/>
      <c r="V395" s="561"/>
      <c r="W395" s="37" t="s">
        <v>69</v>
      </c>
      <c r="X395" s="543">
        <f>IFERROR(SUM(X385:X393),"0")</f>
        <v>28</v>
      </c>
      <c r="Y395" s="543">
        <f>IFERROR(SUM(Y385:Y393),"0")</f>
        <v>29.400000000000002</v>
      </c>
      <c r="Z395" s="37"/>
      <c r="AA395" s="544"/>
      <c r="AB395" s="544"/>
      <c r="AC395" s="544"/>
    </row>
    <row r="396" spans="1:68" ht="14.25" hidden="1" customHeight="1" x14ac:dyDescent="0.25">
      <c r="A396" s="565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hidden="1" customHeight="1" x14ac:dyDescent="0.25">
      <c r="A397" s="54" t="s">
        <v>617</v>
      </c>
      <c r="B397" s="54" t="s">
        <v>618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5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619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620</v>
      </c>
      <c r="B398" s="54" t="s">
        <v>621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622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59" t="s">
        <v>71</v>
      </c>
      <c r="Q399" s="560"/>
      <c r="R399" s="560"/>
      <c r="S399" s="560"/>
      <c r="T399" s="560"/>
      <c r="U399" s="560"/>
      <c r="V399" s="56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9" t="s">
        <v>71</v>
      </c>
      <c r="Q400" s="560"/>
      <c r="R400" s="560"/>
      <c r="S400" s="560"/>
      <c r="T400" s="560"/>
      <c r="U400" s="560"/>
      <c r="V400" s="56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6" t="s">
        <v>623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hidden="1" customHeight="1" x14ac:dyDescent="0.25">
      <c r="A402" s="565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hidden="1" customHeight="1" x14ac:dyDescent="0.25">
      <c r="A403" s="54" t="s">
        <v>624</v>
      </c>
      <c r="B403" s="54" t="s">
        <v>625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626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59" t="s">
        <v>71</v>
      </c>
      <c r="Q404" s="560"/>
      <c r="R404" s="560"/>
      <c r="S404" s="560"/>
      <c r="T404" s="560"/>
      <c r="U404" s="560"/>
      <c r="V404" s="56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9" t="s">
        <v>71</v>
      </c>
      <c r="Q405" s="560"/>
      <c r="R405" s="560"/>
      <c r="S405" s="560"/>
      <c r="T405" s="560"/>
      <c r="U405" s="560"/>
      <c r="V405" s="56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5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627</v>
      </c>
      <c r="B407" s="54" t="s">
        <v>628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10</v>
      </c>
      <c r="Y407" s="542">
        <f>IFERROR(IF(X407="",0,CEILING((X407/$H407),1)*$H407),"")</f>
        <v>10.8</v>
      </c>
      <c r="Z407" s="36">
        <f>IFERROR(IF(Y407=0,"",ROUNDUP(Y407/H407,0)*0.00902),"")</f>
        <v>1.804E-2</v>
      </c>
      <c r="AA407" s="56"/>
      <c r="AB407" s="57"/>
      <c r="AC407" s="451" t="s">
        <v>629</v>
      </c>
      <c r="AG407" s="64"/>
      <c r="AJ407" s="68"/>
      <c r="AK407" s="68">
        <v>0</v>
      </c>
      <c r="BB407" s="452" t="s">
        <v>1</v>
      </c>
      <c r="BM407" s="64">
        <f>IFERROR(X407*I407/H407,"0")</f>
        <v>10.351851851851851</v>
      </c>
      <c r="BN407" s="64">
        <f>IFERROR(Y407*I407/H407,"0")</f>
        <v>11.18</v>
      </c>
      <c r="BO407" s="64">
        <f>IFERROR(1/J407*(X407/H407),"0")</f>
        <v>1.4029180695847361E-2</v>
      </c>
      <c r="BP407" s="64">
        <f>IFERROR(1/J407*(Y407/H407),"0")</f>
        <v>1.5151515151515152E-2</v>
      </c>
    </row>
    <row r="408" spans="1:68" ht="27" hidden="1" customHeight="1" x14ac:dyDescent="0.25">
      <c r="A408" s="54" t="s">
        <v>630</v>
      </c>
      <c r="B408" s="54" t="s">
        <v>631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5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632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633</v>
      </c>
      <c r="B409" s="54" t="s">
        <v>634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635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636</v>
      </c>
      <c r="B410" s="54" t="s">
        <v>637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635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59" t="s">
        <v>71</v>
      </c>
      <c r="Q411" s="560"/>
      <c r="R411" s="560"/>
      <c r="S411" s="560"/>
      <c r="T411" s="560"/>
      <c r="U411" s="560"/>
      <c r="V411" s="561"/>
      <c r="W411" s="37" t="s">
        <v>72</v>
      </c>
      <c r="X411" s="543">
        <f>IFERROR(X407/H407,"0")+IFERROR(X408/H408,"0")+IFERROR(X409/H409,"0")+IFERROR(X410/H410,"0")</f>
        <v>1.8518518518518516</v>
      </c>
      <c r="Y411" s="543">
        <f>IFERROR(Y407/H407,"0")+IFERROR(Y408/H408,"0")+IFERROR(Y409/H409,"0")+IFERROR(Y410/H410,"0")</f>
        <v>2</v>
      </c>
      <c r="Z411" s="543">
        <f>IFERROR(IF(Z407="",0,Z407),"0")+IFERROR(IF(Z408="",0,Z408),"0")+IFERROR(IF(Z409="",0,Z409),"0")+IFERROR(IF(Z410="",0,Z410),"0")</f>
        <v>1.804E-2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9" t="s">
        <v>71</v>
      </c>
      <c r="Q412" s="560"/>
      <c r="R412" s="560"/>
      <c r="S412" s="560"/>
      <c r="T412" s="560"/>
      <c r="U412" s="560"/>
      <c r="V412" s="561"/>
      <c r="W412" s="37" t="s">
        <v>69</v>
      </c>
      <c r="X412" s="543">
        <f>IFERROR(SUM(X407:X410),"0")</f>
        <v>10</v>
      </c>
      <c r="Y412" s="543">
        <f>IFERROR(SUM(Y407:Y410),"0")</f>
        <v>10.8</v>
      </c>
      <c r="Z412" s="37"/>
      <c r="AA412" s="544"/>
      <c r="AB412" s="544"/>
      <c r="AC412" s="544"/>
    </row>
    <row r="413" spans="1:68" ht="16.5" hidden="1" customHeight="1" x14ac:dyDescent="0.25">
      <c r="A413" s="566" t="s">
        <v>638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hidden="1" customHeight="1" x14ac:dyDescent="0.25">
      <c r="A414" s="565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639</v>
      </c>
      <c r="B415" s="54" t="s">
        <v>640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 t="s">
        <v>214</v>
      </c>
      <c r="M415" s="33" t="s">
        <v>68</v>
      </c>
      <c r="N415" s="33"/>
      <c r="O415" s="32">
        <v>50</v>
      </c>
      <c r="P415" s="80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40</v>
      </c>
      <c r="Y415" s="542">
        <f>IFERROR(IF(X415="",0,CEILING((X415/$H415),1)*$H415),"")</f>
        <v>40.799999999999997</v>
      </c>
      <c r="Z415" s="36">
        <f>IFERROR(IF(Y415=0,"",ROUNDUP(Y415/H415,0)*0.00651),"")</f>
        <v>0.22134000000000001</v>
      </c>
      <c r="AA415" s="56"/>
      <c r="AB415" s="57"/>
      <c r="AC415" s="459" t="s">
        <v>641</v>
      </c>
      <c r="AG415" s="64"/>
      <c r="AJ415" s="68" t="s">
        <v>106</v>
      </c>
      <c r="AK415" s="68">
        <v>16.8</v>
      </c>
      <c r="BB415" s="460" t="s">
        <v>1</v>
      </c>
      <c r="BM415" s="64">
        <f>IFERROR(X415*I415/H415,"0")</f>
        <v>70</v>
      </c>
      <c r="BN415" s="64">
        <f>IFERROR(Y415*I415/H415,"0")</f>
        <v>71.399999999999991</v>
      </c>
      <c r="BO415" s="64">
        <f>IFERROR(1/J415*(X415/H415),"0")</f>
        <v>0.18315018315018317</v>
      </c>
      <c r="BP415" s="64">
        <f>IFERROR(1/J415*(Y415/H415),"0")</f>
        <v>0.18681318681318682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59" t="s">
        <v>71</v>
      </c>
      <c r="Q416" s="560"/>
      <c r="R416" s="560"/>
      <c r="S416" s="560"/>
      <c r="T416" s="560"/>
      <c r="U416" s="560"/>
      <c r="V416" s="561"/>
      <c r="W416" s="37" t="s">
        <v>72</v>
      </c>
      <c r="X416" s="543">
        <f>IFERROR(X415/H415,"0")</f>
        <v>33.333333333333336</v>
      </c>
      <c r="Y416" s="543">
        <f>IFERROR(Y415/H415,"0")</f>
        <v>34</v>
      </c>
      <c r="Z416" s="543">
        <f>IFERROR(IF(Z415="",0,Z415),"0")</f>
        <v>0.22134000000000001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9" t="s">
        <v>71</v>
      </c>
      <c r="Q417" s="560"/>
      <c r="R417" s="560"/>
      <c r="S417" s="560"/>
      <c r="T417" s="560"/>
      <c r="U417" s="560"/>
      <c r="V417" s="561"/>
      <c r="W417" s="37" t="s">
        <v>69</v>
      </c>
      <c r="X417" s="543">
        <f>IFERROR(SUM(X415:X415),"0")</f>
        <v>40</v>
      </c>
      <c r="Y417" s="543">
        <f>IFERROR(SUM(Y415:Y415),"0")</f>
        <v>40.799999999999997</v>
      </c>
      <c r="Z417" s="37"/>
      <c r="AA417" s="544"/>
      <c r="AB417" s="544"/>
      <c r="AC417" s="544"/>
    </row>
    <row r="418" spans="1:68" ht="27.75" hidden="1" customHeight="1" x14ac:dyDescent="0.2">
      <c r="A418" s="667" t="s">
        <v>642</v>
      </c>
      <c r="B418" s="668"/>
      <c r="C418" s="668"/>
      <c r="D418" s="668"/>
      <c r="E418" s="668"/>
      <c r="F418" s="668"/>
      <c r="G418" s="668"/>
      <c r="H418" s="668"/>
      <c r="I418" s="668"/>
      <c r="J418" s="668"/>
      <c r="K418" s="668"/>
      <c r="L418" s="668"/>
      <c r="M418" s="668"/>
      <c r="N418" s="668"/>
      <c r="O418" s="668"/>
      <c r="P418" s="668"/>
      <c r="Q418" s="668"/>
      <c r="R418" s="668"/>
      <c r="S418" s="668"/>
      <c r="T418" s="668"/>
      <c r="U418" s="668"/>
      <c r="V418" s="668"/>
      <c r="W418" s="668"/>
      <c r="X418" s="668"/>
      <c r="Y418" s="668"/>
      <c r="Z418" s="668"/>
      <c r="AA418" s="48"/>
      <c r="AB418" s="48"/>
      <c r="AC418" s="48"/>
    </row>
    <row r="419" spans="1:68" ht="16.5" hidden="1" customHeight="1" x14ac:dyDescent="0.25">
      <c r="A419" s="566" t="s">
        <v>642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hidden="1" customHeight="1" x14ac:dyDescent="0.25">
      <c r="A420" s="565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643</v>
      </c>
      <c r="B421" s="54" t="s">
        <v>644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5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80</v>
      </c>
      <c r="Y421" s="542">
        <f t="shared" ref="Y421:Y431" si="42">IFERROR(IF(X421="",0,CEILING((X421/$H421),1)*$H421),"")</f>
        <v>84.48</v>
      </c>
      <c r="Z421" s="36">
        <f t="shared" ref="Z421:Z426" si="43">IFERROR(IF(Y421=0,"",ROUNDUP(Y421/H421,0)*0.01196),"")</f>
        <v>0.19136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85.303030303030297</v>
      </c>
      <c r="BN421" s="64">
        <f t="shared" ref="BN421:BN431" si="45">IFERROR(Y421*I421/H421,"0")</f>
        <v>90.08</v>
      </c>
      <c r="BO421" s="64">
        <f t="shared" ref="BO421:BO431" si="46">IFERROR(1/J421*(X421/H421),"0")</f>
        <v>0.14568764568764569</v>
      </c>
      <c r="BP421" s="64">
        <f t="shared" ref="BP421:BP431" si="47">IFERROR(1/J421*(Y421/H421),"0")</f>
        <v>0.15384615384615385</v>
      </c>
    </row>
    <row r="422" spans="1:68" ht="27" hidden="1" customHeight="1" x14ac:dyDescent="0.25">
      <c r="A422" s="54" t="s">
        <v>645</v>
      </c>
      <c r="B422" s="54" t="s">
        <v>646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647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648</v>
      </c>
      <c r="B423" s="54" t="s">
        <v>649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200</v>
      </c>
      <c r="Y423" s="542">
        <f t="shared" si="42"/>
        <v>200.64000000000001</v>
      </c>
      <c r="Z423" s="36">
        <f t="shared" si="43"/>
        <v>0.45448</v>
      </c>
      <c r="AA423" s="56"/>
      <c r="AB423" s="57"/>
      <c r="AC423" s="465" t="s">
        <v>650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213.25757575757575</v>
      </c>
      <c r="BN423" s="64">
        <f t="shared" si="45"/>
        <v>213.94</v>
      </c>
      <c r="BO423" s="64">
        <f t="shared" si="46"/>
        <v>0.36421911421911418</v>
      </c>
      <c r="BP423" s="64">
        <f t="shared" si="47"/>
        <v>0.36538461538461542</v>
      </c>
    </row>
    <row r="424" spans="1:68" ht="27" hidden="1" customHeight="1" x14ac:dyDescent="0.25">
      <c r="A424" s="54" t="s">
        <v>651</v>
      </c>
      <c r="B424" s="54" t="s">
        <v>652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653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654</v>
      </c>
      <c r="B425" s="54" t="s">
        <v>655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656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657</v>
      </c>
      <c r="B426" s="54" t="s">
        <v>658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200</v>
      </c>
      <c r="Y426" s="542">
        <f t="shared" si="42"/>
        <v>200.64000000000001</v>
      </c>
      <c r="Z426" s="36">
        <f t="shared" si="43"/>
        <v>0.45448</v>
      </c>
      <c r="AA426" s="56"/>
      <c r="AB426" s="57"/>
      <c r="AC426" s="471" t="s">
        <v>659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213.25757575757575</v>
      </c>
      <c r="BN426" s="64">
        <f t="shared" si="45"/>
        <v>213.94</v>
      </c>
      <c r="BO426" s="64">
        <f t="shared" si="46"/>
        <v>0.36421911421911418</v>
      </c>
      <c r="BP426" s="64">
        <f t="shared" si="47"/>
        <v>0.36538461538461542</v>
      </c>
    </row>
    <row r="427" spans="1:68" ht="27" hidden="1" customHeight="1" x14ac:dyDescent="0.25">
      <c r="A427" s="54" t="s">
        <v>660</v>
      </c>
      <c r="B427" s="54" t="s">
        <v>661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662</v>
      </c>
      <c r="B428" s="54" t="s">
        <v>663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60</v>
      </c>
      <c r="Y428" s="542">
        <f t="shared" si="42"/>
        <v>62.4</v>
      </c>
      <c r="Z428" s="36">
        <f>IFERROR(IF(Y428=0,"",ROUNDUP(Y428/H428,0)*0.00902),"")</f>
        <v>0.11726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86.375000000000014</v>
      </c>
      <c r="BN428" s="64">
        <f t="shared" si="45"/>
        <v>89.830000000000013</v>
      </c>
      <c r="BO428" s="64">
        <f t="shared" si="46"/>
        <v>9.4696969696969696E-2</v>
      </c>
      <c r="BP428" s="64">
        <f t="shared" si="47"/>
        <v>9.8484848484848481E-2</v>
      </c>
    </row>
    <row r="429" spans="1:68" ht="27" hidden="1" customHeight="1" x14ac:dyDescent="0.25">
      <c r="A429" s="54" t="s">
        <v>664</v>
      </c>
      <c r="B429" s="54" t="s">
        <v>665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7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647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666</v>
      </c>
      <c r="B430" s="54" t="s">
        <v>667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668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78</v>
      </c>
      <c r="Y431" s="542">
        <f t="shared" si="42"/>
        <v>81.599999999999994</v>
      </c>
      <c r="Z431" s="36">
        <f>IFERROR(IF(Y431=0,"",ROUNDUP(Y431/H431,0)*0.00902),"")</f>
        <v>0.15334</v>
      </c>
      <c r="AA431" s="56"/>
      <c r="AB431" s="57"/>
      <c r="AC431" s="481" t="s">
        <v>659</v>
      </c>
      <c r="AG431" s="64"/>
      <c r="AJ431" s="68"/>
      <c r="AK431" s="68">
        <v>0</v>
      </c>
      <c r="BB431" s="482" t="s">
        <v>1</v>
      </c>
      <c r="BM431" s="64">
        <f t="shared" si="44"/>
        <v>112.28750000000001</v>
      </c>
      <c r="BN431" s="64">
        <f t="shared" si="45"/>
        <v>117.47</v>
      </c>
      <c r="BO431" s="64">
        <f t="shared" si="46"/>
        <v>0.12310606060606061</v>
      </c>
      <c r="BP431" s="64">
        <f t="shared" si="47"/>
        <v>0.12878787878787878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59" t="s">
        <v>71</v>
      </c>
      <c r="Q432" s="560"/>
      <c r="R432" s="560"/>
      <c r="S432" s="560"/>
      <c r="T432" s="560"/>
      <c r="U432" s="560"/>
      <c r="V432" s="56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119.65909090909091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122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1.3709199999999999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9" t="s">
        <v>71</v>
      </c>
      <c r="Q433" s="560"/>
      <c r="R433" s="560"/>
      <c r="S433" s="560"/>
      <c r="T433" s="560"/>
      <c r="U433" s="560"/>
      <c r="V433" s="561"/>
      <c r="W433" s="37" t="s">
        <v>69</v>
      </c>
      <c r="X433" s="543">
        <f>IFERROR(SUM(X421:X431),"0")</f>
        <v>618</v>
      </c>
      <c r="Y433" s="543">
        <f>IFERROR(SUM(Y421:Y431),"0")</f>
        <v>629.76</v>
      </c>
      <c r="Z433" s="37"/>
      <c r="AA433" s="544"/>
      <c r="AB433" s="544"/>
      <c r="AC433" s="544"/>
    </row>
    <row r="434" spans="1:68" ht="14.25" hidden="1" customHeight="1" x14ac:dyDescent="0.25">
      <c r="A434" s="565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671</v>
      </c>
      <c r="B435" s="54" t="s">
        <v>672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230</v>
      </c>
      <c r="Y435" s="542">
        <f>IFERROR(IF(X435="",0,CEILING((X435/$H435),1)*$H435),"")</f>
        <v>232.32000000000002</v>
      </c>
      <c r="Z435" s="36">
        <f>IFERROR(IF(Y435=0,"",ROUNDUP(Y435/H435,0)*0.01196),"")</f>
        <v>0.52624000000000004</v>
      </c>
      <c r="AA435" s="56"/>
      <c r="AB435" s="57"/>
      <c r="AC435" s="483" t="s">
        <v>673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245.2462121212121</v>
      </c>
      <c r="BN435" s="64">
        <f>IFERROR(Y435*I435/H435,"0")</f>
        <v>247.72</v>
      </c>
      <c r="BO435" s="64">
        <f>IFERROR(1/J435*(X435/H435),"0")</f>
        <v>0.41885198135198132</v>
      </c>
      <c r="BP435" s="64">
        <f>IFERROR(1/J435*(Y435/H435),"0")</f>
        <v>0.42307692307692313</v>
      </c>
    </row>
    <row r="436" spans="1:68" ht="16.5" hidden="1" customHeight="1" x14ac:dyDescent="0.25">
      <c r="A436" s="54" t="s">
        <v>674</v>
      </c>
      <c r="B436" s="54" t="s">
        <v>675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673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676</v>
      </c>
      <c r="B437" s="54" t="s">
        <v>677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/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673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59" t="s">
        <v>71</v>
      </c>
      <c r="Q438" s="560"/>
      <c r="R438" s="560"/>
      <c r="S438" s="560"/>
      <c r="T438" s="560"/>
      <c r="U438" s="560"/>
      <c r="V438" s="561"/>
      <c r="W438" s="37" t="s">
        <v>72</v>
      </c>
      <c r="X438" s="543">
        <f>IFERROR(X435/H435,"0")+IFERROR(X436/H436,"0")+IFERROR(X437/H437,"0")</f>
        <v>43.560606060606055</v>
      </c>
      <c r="Y438" s="543">
        <f>IFERROR(Y435/H435,"0")+IFERROR(Y436/H436,"0")+IFERROR(Y437/H437,"0")</f>
        <v>44</v>
      </c>
      <c r="Z438" s="543">
        <f>IFERROR(IF(Z435="",0,Z435),"0")+IFERROR(IF(Z436="",0,Z436),"0")+IFERROR(IF(Z437="",0,Z437),"0")</f>
        <v>0.52624000000000004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9" t="s">
        <v>71</v>
      </c>
      <c r="Q439" s="560"/>
      <c r="R439" s="560"/>
      <c r="S439" s="560"/>
      <c r="T439" s="560"/>
      <c r="U439" s="560"/>
      <c r="V439" s="561"/>
      <c r="W439" s="37" t="s">
        <v>69</v>
      </c>
      <c r="X439" s="543">
        <f>IFERROR(SUM(X435:X437),"0")</f>
        <v>230</v>
      </c>
      <c r="Y439" s="543">
        <f>IFERROR(SUM(Y435:Y437),"0")</f>
        <v>232.32000000000002</v>
      </c>
      <c r="Z439" s="37"/>
      <c r="AA439" s="544"/>
      <c r="AB439" s="544"/>
      <c r="AC439" s="544"/>
    </row>
    <row r="440" spans="1:68" ht="14.25" hidden="1" customHeight="1" x14ac:dyDescent="0.25">
      <c r="A440" s="565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678</v>
      </c>
      <c r="B441" s="54" t="s">
        <v>679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50</v>
      </c>
      <c r="Y441" s="542">
        <f t="shared" ref="Y441:Y446" si="48">IFERROR(IF(X441="",0,CEILING((X441/$H441),1)*$H441),"")</f>
        <v>52.800000000000004</v>
      </c>
      <c r="Z441" s="36">
        <f>IFERROR(IF(Y441=0,"",ROUNDUP(Y441/H441,0)*0.01196),"")</f>
        <v>0.1196</v>
      </c>
      <c r="AA441" s="56"/>
      <c r="AB441" s="57"/>
      <c r="AC441" s="489" t="s">
        <v>680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53.314393939393938</v>
      </c>
      <c r="BN441" s="64">
        <f t="shared" ref="BN441:BN446" si="50">IFERROR(Y441*I441/H441,"0")</f>
        <v>56.3</v>
      </c>
      <c r="BO441" s="64">
        <f t="shared" ref="BO441:BO446" si="51">IFERROR(1/J441*(X441/H441),"0")</f>
        <v>9.1054778554778545E-2</v>
      </c>
      <c r="BP441" s="64">
        <f t="shared" ref="BP441:BP446" si="52">IFERROR(1/J441*(Y441/H441),"0")</f>
        <v>9.6153846153846159E-2</v>
      </c>
    </row>
    <row r="442" spans="1:68" ht="27" customHeight="1" x14ac:dyDescent="0.25">
      <c r="A442" s="54" t="s">
        <v>681</v>
      </c>
      <c r="B442" s="54" t="s">
        <v>682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100</v>
      </c>
      <c r="Y442" s="542">
        <f t="shared" si="48"/>
        <v>100.32000000000001</v>
      </c>
      <c r="Z442" s="36">
        <f>IFERROR(IF(Y442=0,"",ROUNDUP(Y442/H442,0)*0.01196),"")</f>
        <v>0.22724</v>
      </c>
      <c r="AA442" s="56"/>
      <c r="AB442" s="57"/>
      <c r="AC442" s="491" t="s">
        <v>683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106.62878787878788</v>
      </c>
      <c r="BN442" s="64">
        <f t="shared" si="50"/>
        <v>106.97</v>
      </c>
      <c r="BO442" s="64">
        <f t="shared" si="51"/>
        <v>0.18210955710955709</v>
      </c>
      <c r="BP442" s="64">
        <f t="shared" si="52"/>
        <v>0.18269230769230771</v>
      </c>
    </row>
    <row r="443" spans="1:68" ht="27" customHeight="1" x14ac:dyDescent="0.25">
      <c r="A443" s="54" t="s">
        <v>684</v>
      </c>
      <c r="B443" s="54" t="s">
        <v>685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6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50</v>
      </c>
      <c r="Y443" s="542">
        <f t="shared" si="48"/>
        <v>52.800000000000004</v>
      </c>
      <c r="Z443" s="36">
        <f>IFERROR(IF(Y443=0,"",ROUNDUP(Y443/H443,0)*0.01196),"")</f>
        <v>0.1196</v>
      </c>
      <c r="AA443" s="56"/>
      <c r="AB443" s="57"/>
      <c r="AC443" s="493" t="s">
        <v>686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53.314393939393938</v>
      </c>
      <c r="BN443" s="64">
        <f t="shared" si="50"/>
        <v>56.3</v>
      </c>
      <c r="BO443" s="64">
        <f t="shared" si="51"/>
        <v>9.1054778554778545E-2</v>
      </c>
      <c r="BP443" s="64">
        <f t="shared" si="52"/>
        <v>9.6153846153846159E-2</v>
      </c>
    </row>
    <row r="444" spans="1:68" ht="27" customHeight="1" x14ac:dyDescent="0.25">
      <c r="A444" s="54" t="s">
        <v>687</v>
      </c>
      <c r="B444" s="54" t="s">
        <v>688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 t="s">
        <v>197</v>
      </c>
      <c r="M444" s="33" t="s">
        <v>104</v>
      </c>
      <c r="N444" s="33"/>
      <c r="O444" s="32">
        <v>70</v>
      </c>
      <c r="P444" s="86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36</v>
      </c>
      <c r="Y444" s="542">
        <f t="shared" si="48"/>
        <v>38.4</v>
      </c>
      <c r="Z444" s="36">
        <f>IFERROR(IF(Y444=0,"",ROUNDUP(Y444/H444,0)*0.00902),"")</f>
        <v>7.2160000000000002E-2</v>
      </c>
      <c r="AA444" s="56"/>
      <c r="AB444" s="57"/>
      <c r="AC444" s="495" t="s">
        <v>680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51.825000000000003</v>
      </c>
      <c r="BN444" s="64">
        <f t="shared" si="50"/>
        <v>55.28</v>
      </c>
      <c r="BO444" s="64">
        <f t="shared" si="51"/>
        <v>5.6818181818181823E-2</v>
      </c>
      <c r="BP444" s="64">
        <f t="shared" si="52"/>
        <v>6.0606060606060608E-2</v>
      </c>
    </row>
    <row r="445" spans="1:68" ht="27" customHeight="1" x14ac:dyDescent="0.25">
      <c r="A445" s="54" t="s">
        <v>689</v>
      </c>
      <c r="B445" s="54" t="s">
        <v>690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 t="s">
        <v>197</v>
      </c>
      <c r="M445" s="33" t="s">
        <v>68</v>
      </c>
      <c r="N445" s="33"/>
      <c r="O445" s="32">
        <v>70</v>
      </c>
      <c r="P445" s="60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18</v>
      </c>
      <c r="Y445" s="542">
        <f t="shared" si="48"/>
        <v>19.2</v>
      </c>
      <c r="Z445" s="36">
        <f>IFERROR(IF(Y445=0,"",ROUNDUP(Y445/H445,0)*0.00902),"")</f>
        <v>3.6080000000000001E-2</v>
      </c>
      <c r="AA445" s="56"/>
      <c r="AB445" s="57"/>
      <c r="AC445" s="497" t="s">
        <v>683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25.012500000000003</v>
      </c>
      <c r="BN445" s="64">
        <f t="shared" si="50"/>
        <v>26.68</v>
      </c>
      <c r="BO445" s="64">
        <f t="shared" si="51"/>
        <v>2.8409090909090912E-2</v>
      </c>
      <c r="BP445" s="64">
        <f t="shared" si="52"/>
        <v>3.0303030303030304E-2</v>
      </c>
    </row>
    <row r="446" spans="1:68" ht="27" customHeight="1" x14ac:dyDescent="0.25">
      <c r="A446" s="54" t="s">
        <v>691</v>
      </c>
      <c r="B446" s="54" t="s">
        <v>692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 t="s">
        <v>197</v>
      </c>
      <c r="M446" s="33" t="s">
        <v>68</v>
      </c>
      <c r="N446" s="33"/>
      <c r="O446" s="32">
        <v>70</v>
      </c>
      <c r="P446" s="7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72</v>
      </c>
      <c r="Y446" s="542">
        <f t="shared" si="48"/>
        <v>72</v>
      </c>
      <c r="Z446" s="36">
        <f>IFERROR(IF(Y446=0,"",ROUNDUP(Y446/H446,0)*0.00902),"")</f>
        <v>0.1353</v>
      </c>
      <c r="AA446" s="56"/>
      <c r="AB446" s="57"/>
      <c r="AC446" s="499" t="s">
        <v>686</v>
      </c>
      <c r="AG446" s="64"/>
      <c r="AJ446" s="68" t="s">
        <v>106</v>
      </c>
      <c r="AK446" s="68">
        <v>57.6</v>
      </c>
      <c r="BB446" s="500" t="s">
        <v>1</v>
      </c>
      <c r="BM446" s="64">
        <f t="shared" si="49"/>
        <v>100.05000000000001</v>
      </c>
      <c r="BN446" s="64">
        <f t="shared" si="50"/>
        <v>100.05000000000001</v>
      </c>
      <c r="BO446" s="64">
        <f t="shared" si="51"/>
        <v>0.11363636363636365</v>
      </c>
      <c r="BP446" s="64">
        <f t="shared" si="52"/>
        <v>0.11363636363636365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59" t="s">
        <v>71</v>
      </c>
      <c r="Q447" s="560"/>
      <c r="R447" s="560"/>
      <c r="S447" s="560"/>
      <c r="T447" s="560"/>
      <c r="U447" s="560"/>
      <c r="V447" s="561"/>
      <c r="W447" s="37" t="s">
        <v>72</v>
      </c>
      <c r="X447" s="543">
        <f>IFERROR(X441/H441,"0")+IFERROR(X442/H442,"0")+IFERROR(X443/H443,"0")+IFERROR(X444/H444,"0")+IFERROR(X445/H445,"0")+IFERROR(X446/H446,"0")</f>
        <v>64.128787878787875</v>
      </c>
      <c r="Y447" s="543">
        <f>IFERROR(Y441/H441,"0")+IFERROR(Y442/H442,"0")+IFERROR(Y443/H443,"0")+IFERROR(Y444/H444,"0")+IFERROR(Y445/H445,"0")+IFERROR(Y446/H446,"0")</f>
        <v>66</v>
      </c>
      <c r="Z447" s="543">
        <f>IFERROR(IF(Z441="",0,Z441),"0")+IFERROR(IF(Z442="",0,Z442),"0")+IFERROR(IF(Z443="",0,Z443),"0")+IFERROR(IF(Z444="",0,Z444),"0")+IFERROR(IF(Z445="",0,Z445),"0")+IFERROR(IF(Z446="",0,Z446),"0")</f>
        <v>0.70997999999999994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9" t="s">
        <v>71</v>
      </c>
      <c r="Q448" s="560"/>
      <c r="R448" s="560"/>
      <c r="S448" s="560"/>
      <c r="T448" s="560"/>
      <c r="U448" s="560"/>
      <c r="V448" s="561"/>
      <c r="W448" s="37" t="s">
        <v>69</v>
      </c>
      <c r="X448" s="543">
        <f>IFERROR(SUM(X441:X446),"0")</f>
        <v>326</v>
      </c>
      <c r="Y448" s="543">
        <f>IFERROR(SUM(Y441:Y446),"0")</f>
        <v>335.52000000000004</v>
      </c>
      <c r="Z448" s="37"/>
      <c r="AA448" s="544"/>
      <c r="AB448" s="544"/>
      <c r="AC448" s="544"/>
    </row>
    <row r="449" spans="1:68" ht="14.25" hidden="1" customHeight="1" x14ac:dyDescent="0.25">
      <c r="A449" s="565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hidden="1" customHeight="1" x14ac:dyDescent="0.25">
      <c r="A450" s="54" t="s">
        <v>693</v>
      </c>
      <c r="B450" s="54" t="s">
        <v>694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695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696</v>
      </c>
      <c r="B451" s="54" t="s">
        <v>697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57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698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699</v>
      </c>
      <c r="B452" s="54" t="s">
        <v>700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701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59" t="s">
        <v>71</v>
      </c>
      <c r="Q453" s="560"/>
      <c r="R453" s="560"/>
      <c r="S453" s="560"/>
      <c r="T453" s="560"/>
      <c r="U453" s="560"/>
      <c r="V453" s="56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9" t="s">
        <v>71</v>
      </c>
      <c r="Q454" s="560"/>
      <c r="R454" s="560"/>
      <c r="S454" s="560"/>
      <c r="T454" s="560"/>
      <c r="U454" s="560"/>
      <c r="V454" s="56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67" t="s">
        <v>702</v>
      </c>
      <c r="B455" s="668"/>
      <c r="C455" s="668"/>
      <c r="D455" s="668"/>
      <c r="E455" s="668"/>
      <c r="F455" s="668"/>
      <c r="G455" s="668"/>
      <c r="H455" s="668"/>
      <c r="I455" s="668"/>
      <c r="J455" s="668"/>
      <c r="K455" s="668"/>
      <c r="L455" s="668"/>
      <c r="M455" s="668"/>
      <c r="N455" s="668"/>
      <c r="O455" s="668"/>
      <c r="P455" s="668"/>
      <c r="Q455" s="668"/>
      <c r="R455" s="668"/>
      <c r="S455" s="668"/>
      <c r="T455" s="668"/>
      <c r="U455" s="668"/>
      <c r="V455" s="668"/>
      <c r="W455" s="668"/>
      <c r="X455" s="668"/>
      <c r="Y455" s="668"/>
      <c r="Z455" s="668"/>
      <c r="AA455" s="48"/>
      <c r="AB455" s="48"/>
      <c r="AC455" s="48"/>
    </row>
    <row r="456" spans="1:68" ht="16.5" hidden="1" customHeight="1" x14ac:dyDescent="0.25">
      <c r="A456" s="566" t="s">
        <v>702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hidden="1" customHeight="1" x14ac:dyDescent="0.25">
      <c r="A457" s="565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hidden="1" customHeight="1" x14ac:dyDescent="0.25">
      <c r="A458" s="54" t="s">
        <v>703</v>
      </c>
      <c r="B458" s="54" t="s">
        <v>704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1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705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706</v>
      </c>
      <c r="B459" s="54" t="s">
        <v>707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708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709</v>
      </c>
      <c r="B460" s="54" t="s">
        <v>710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711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712</v>
      </c>
      <c r="B461" s="54" t="s">
        <v>713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59" t="s">
        <v>71</v>
      </c>
      <c r="Q462" s="560"/>
      <c r="R462" s="560"/>
      <c r="S462" s="560"/>
      <c r="T462" s="560"/>
      <c r="U462" s="560"/>
      <c r="V462" s="56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9" t="s">
        <v>71</v>
      </c>
      <c r="Q463" s="560"/>
      <c r="R463" s="560"/>
      <c r="S463" s="560"/>
      <c r="T463" s="560"/>
      <c r="U463" s="560"/>
      <c r="V463" s="56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5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hidden="1" customHeight="1" x14ac:dyDescent="0.25">
      <c r="A465" s="54" t="s">
        <v>714</v>
      </c>
      <c r="B465" s="54" t="s">
        <v>715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716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717</v>
      </c>
      <c r="B466" s="54" t="s">
        <v>718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719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720</v>
      </c>
      <c r="B467" s="54" t="s">
        <v>721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722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59" t="s">
        <v>71</v>
      </c>
      <c r="Q468" s="560"/>
      <c r="R468" s="560"/>
      <c r="S468" s="560"/>
      <c r="T468" s="560"/>
      <c r="U468" s="560"/>
      <c r="V468" s="56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9" t="s">
        <v>71</v>
      </c>
      <c r="Q469" s="560"/>
      <c r="R469" s="560"/>
      <c r="S469" s="560"/>
      <c r="T469" s="560"/>
      <c r="U469" s="560"/>
      <c r="V469" s="56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5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hidden="1" customHeight="1" x14ac:dyDescent="0.25">
      <c r="A471" s="54" t="s">
        <v>723</v>
      </c>
      <c r="B471" s="54" t="s">
        <v>724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725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726</v>
      </c>
      <c r="B472" s="54" t="s">
        <v>727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728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59" t="s">
        <v>71</v>
      </c>
      <c r="Q473" s="560"/>
      <c r="R473" s="560"/>
      <c r="S473" s="560"/>
      <c r="T473" s="560"/>
      <c r="U473" s="560"/>
      <c r="V473" s="561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9" t="s">
        <v>71</v>
      </c>
      <c r="Q474" s="560"/>
      <c r="R474" s="560"/>
      <c r="S474" s="560"/>
      <c r="T474" s="560"/>
      <c r="U474" s="560"/>
      <c r="V474" s="561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5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729</v>
      </c>
      <c r="B476" s="54" t="s">
        <v>730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1300</v>
      </c>
      <c r="Y476" s="542">
        <f>IFERROR(IF(X476="",0,CEILING((X476/$H476),1)*$H476),"")</f>
        <v>1305</v>
      </c>
      <c r="Z476" s="36">
        <f>IFERROR(IF(Y476=0,"",ROUNDUP(Y476/H476,0)*0.01898),"")</f>
        <v>2.7521</v>
      </c>
      <c r="AA476" s="56"/>
      <c r="AB476" s="57"/>
      <c r="AC476" s="525" t="s">
        <v>731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1371.3555555555554</v>
      </c>
      <c r="BN476" s="64">
        <f>IFERROR(Y476*I476/H476,"0")</f>
        <v>1376.63</v>
      </c>
      <c r="BO476" s="64">
        <f>IFERROR(1/J476*(X476/H476),"0")</f>
        <v>2.2569444444444446</v>
      </c>
      <c r="BP476" s="64">
        <f>IFERROR(1/J476*(Y476/H476),"0")</f>
        <v>2.265625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59" t="s">
        <v>71</v>
      </c>
      <c r="Q477" s="560"/>
      <c r="R477" s="560"/>
      <c r="S477" s="560"/>
      <c r="T477" s="560"/>
      <c r="U477" s="560"/>
      <c r="V477" s="561"/>
      <c r="W477" s="37" t="s">
        <v>72</v>
      </c>
      <c r="X477" s="543">
        <f>IFERROR(X476/H476,"0")</f>
        <v>144.44444444444446</v>
      </c>
      <c r="Y477" s="543">
        <f>IFERROR(Y476/H476,"0")</f>
        <v>145</v>
      </c>
      <c r="Z477" s="543">
        <f>IFERROR(IF(Z476="",0,Z476),"0")</f>
        <v>2.7521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9" t="s">
        <v>71</v>
      </c>
      <c r="Q478" s="560"/>
      <c r="R478" s="560"/>
      <c r="S478" s="560"/>
      <c r="T478" s="560"/>
      <c r="U478" s="560"/>
      <c r="V478" s="561"/>
      <c r="W478" s="37" t="s">
        <v>69</v>
      </c>
      <c r="X478" s="543">
        <f>IFERROR(SUM(X476:X476),"0")</f>
        <v>1300</v>
      </c>
      <c r="Y478" s="543">
        <f>IFERROR(SUM(Y476:Y476),"0")</f>
        <v>1305</v>
      </c>
      <c r="Z478" s="37"/>
      <c r="AA478" s="544"/>
      <c r="AB478" s="544"/>
      <c r="AC478" s="544"/>
    </row>
    <row r="479" spans="1:68" ht="14.25" hidden="1" customHeight="1" x14ac:dyDescent="0.25">
      <c r="A479" s="565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hidden="1" customHeight="1" x14ac:dyDescent="0.25">
      <c r="A480" s="54" t="s">
        <v>732</v>
      </c>
      <c r="B480" s="54" t="s">
        <v>733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8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734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735</v>
      </c>
      <c r="B481" s="54" t="s">
        <v>736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737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59" t="s">
        <v>71</v>
      </c>
      <c r="Q482" s="560"/>
      <c r="R482" s="560"/>
      <c r="S482" s="560"/>
      <c r="T482" s="560"/>
      <c r="U482" s="560"/>
      <c r="V482" s="56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9" t="s">
        <v>71</v>
      </c>
      <c r="Q483" s="560"/>
      <c r="R483" s="560"/>
      <c r="S483" s="560"/>
      <c r="T483" s="560"/>
      <c r="U483" s="560"/>
      <c r="V483" s="56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6" t="s">
        <v>738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hidden="1" customHeight="1" x14ac:dyDescent="0.25">
      <c r="A485" s="565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hidden="1" customHeight="1" x14ac:dyDescent="0.25">
      <c r="A486" s="54" t="s">
        <v>739</v>
      </c>
      <c r="B486" s="54" t="s">
        <v>740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4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741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59" t="s">
        <v>71</v>
      </c>
      <c r="Q487" s="560"/>
      <c r="R487" s="560"/>
      <c r="S487" s="560"/>
      <c r="T487" s="560"/>
      <c r="U487" s="560"/>
      <c r="V487" s="56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9" t="s">
        <v>71</v>
      </c>
      <c r="Q488" s="560"/>
      <c r="R488" s="560"/>
      <c r="S488" s="560"/>
      <c r="T488" s="560"/>
      <c r="U488" s="560"/>
      <c r="V488" s="56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66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8"/>
      <c r="P489" s="663" t="s">
        <v>742</v>
      </c>
      <c r="Q489" s="593"/>
      <c r="R489" s="593"/>
      <c r="S489" s="593"/>
      <c r="T489" s="593"/>
      <c r="U489" s="593"/>
      <c r="V489" s="59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16339.9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16517.019999999997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8"/>
      <c r="P490" s="663" t="s">
        <v>743</v>
      </c>
      <c r="Q490" s="593"/>
      <c r="R490" s="593"/>
      <c r="S490" s="593"/>
      <c r="T490" s="593"/>
      <c r="U490" s="593"/>
      <c r="V490" s="594"/>
      <c r="W490" s="37" t="s">
        <v>69</v>
      </c>
      <c r="X490" s="543">
        <f>IFERROR(SUM(BM22:BM486),"0")</f>
        <v>17441.41370893368</v>
      </c>
      <c r="Y490" s="543">
        <f>IFERROR(SUM(BN22:BN486),"0")</f>
        <v>17631.897999999997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8"/>
      <c r="P491" s="663" t="s">
        <v>744</v>
      </c>
      <c r="Q491" s="593"/>
      <c r="R491" s="593"/>
      <c r="S491" s="593"/>
      <c r="T491" s="593"/>
      <c r="U491" s="593"/>
      <c r="V491" s="594"/>
      <c r="W491" s="37" t="s">
        <v>745</v>
      </c>
      <c r="X491" s="38">
        <f>ROUNDUP(SUM(BO22:BO486),0)</f>
        <v>30</v>
      </c>
      <c r="Y491" s="38">
        <f>ROUNDUP(SUM(BP22:BP486),0)</f>
        <v>31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8"/>
      <c r="P492" s="663" t="s">
        <v>746</v>
      </c>
      <c r="Q492" s="593"/>
      <c r="R492" s="593"/>
      <c r="S492" s="593"/>
      <c r="T492" s="593"/>
      <c r="U492" s="593"/>
      <c r="V492" s="594"/>
      <c r="W492" s="37" t="s">
        <v>69</v>
      </c>
      <c r="X492" s="543">
        <f>GrossWeightTotal+PalletQtyTotal*25</f>
        <v>18191.41370893368</v>
      </c>
      <c r="Y492" s="543">
        <f>GrossWeightTotalR+PalletQtyTotalR*25</f>
        <v>18406.897999999997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8"/>
      <c r="P493" s="663" t="s">
        <v>747</v>
      </c>
      <c r="Q493" s="593"/>
      <c r="R493" s="593"/>
      <c r="S493" s="593"/>
      <c r="T493" s="593"/>
      <c r="U493" s="593"/>
      <c r="V493" s="594"/>
      <c r="W493" s="37" t="s">
        <v>745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3649.201830204704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3678</v>
      </c>
      <c r="Z493" s="37"/>
      <c r="AA493" s="544"/>
      <c r="AB493" s="544"/>
      <c r="AC493" s="544"/>
    </row>
    <row r="494" spans="1:68" ht="14.25" hidden="1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8"/>
      <c r="P494" s="663" t="s">
        <v>748</v>
      </c>
      <c r="Q494" s="593"/>
      <c r="R494" s="593"/>
      <c r="S494" s="593"/>
      <c r="T494" s="593"/>
      <c r="U494" s="593"/>
      <c r="V494" s="594"/>
      <c r="W494" s="39" t="s">
        <v>749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35.055730000000004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750</v>
      </c>
      <c r="B496" s="538" t="s">
        <v>63</v>
      </c>
      <c r="C496" s="605" t="s">
        <v>97</v>
      </c>
      <c r="D496" s="682"/>
      <c r="E496" s="682"/>
      <c r="F496" s="682"/>
      <c r="G496" s="682"/>
      <c r="H496" s="645"/>
      <c r="I496" s="605" t="s">
        <v>256</v>
      </c>
      <c r="J496" s="682"/>
      <c r="K496" s="682"/>
      <c r="L496" s="682"/>
      <c r="M496" s="682"/>
      <c r="N496" s="682"/>
      <c r="O496" s="682"/>
      <c r="P496" s="682"/>
      <c r="Q496" s="682"/>
      <c r="R496" s="645"/>
      <c r="S496" s="605" t="s">
        <v>539</v>
      </c>
      <c r="T496" s="645"/>
      <c r="U496" s="605" t="s">
        <v>591</v>
      </c>
      <c r="V496" s="682"/>
      <c r="W496" s="645"/>
      <c r="X496" s="538" t="s">
        <v>642</v>
      </c>
      <c r="Y496" s="605" t="s">
        <v>702</v>
      </c>
      <c r="Z496" s="645"/>
      <c r="AB496" s="52"/>
      <c r="AC496" s="52"/>
      <c r="AF496" s="539"/>
    </row>
    <row r="497" spans="1:32" ht="14.25" customHeight="1" thickTop="1" x14ac:dyDescent="0.2">
      <c r="A497" s="867" t="s">
        <v>751</v>
      </c>
      <c r="B497" s="605" t="s">
        <v>63</v>
      </c>
      <c r="C497" s="605" t="s">
        <v>98</v>
      </c>
      <c r="D497" s="605" t="s">
        <v>116</v>
      </c>
      <c r="E497" s="605" t="s">
        <v>170</v>
      </c>
      <c r="F497" s="605" t="s">
        <v>189</v>
      </c>
      <c r="G497" s="605" t="s">
        <v>221</v>
      </c>
      <c r="H497" s="605" t="s">
        <v>97</v>
      </c>
      <c r="I497" s="605" t="s">
        <v>257</v>
      </c>
      <c r="J497" s="605" t="s">
        <v>302</v>
      </c>
      <c r="K497" s="605" t="s">
        <v>362</v>
      </c>
      <c r="L497" s="605" t="s">
        <v>404</v>
      </c>
      <c r="M497" s="605" t="s">
        <v>420</v>
      </c>
      <c r="N497" s="539"/>
      <c r="O497" s="605" t="s">
        <v>431</v>
      </c>
      <c r="P497" s="605" t="s">
        <v>440</v>
      </c>
      <c r="Q497" s="605" t="s">
        <v>454</v>
      </c>
      <c r="R497" s="605" t="s">
        <v>529</v>
      </c>
      <c r="S497" s="605" t="s">
        <v>540</v>
      </c>
      <c r="T497" s="605" t="s">
        <v>575</v>
      </c>
      <c r="U497" s="605" t="s">
        <v>592</v>
      </c>
      <c r="V497" s="605" t="s">
        <v>623</v>
      </c>
      <c r="W497" s="605" t="s">
        <v>638</v>
      </c>
      <c r="X497" s="605" t="s">
        <v>642</v>
      </c>
      <c r="Y497" s="605" t="s">
        <v>702</v>
      </c>
      <c r="Z497" s="605" t="s">
        <v>738</v>
      </c>
      <c r="AB497" s="52"/>
      <c r="AC497" s="52"/>
      <c r="AF497" s="539"/>
    </row>
    <row r="498" spans="1:32" ht="13.5" customHeight="1" thickBot="1" x14ac:dyDescent="0.25">
      <c r="A498" s="868"/>
      <c r="B498" s="606"/>
      <c r="C498" s="606"/>
      <c r="D498" s="606"/>
      <c r="E498" s="606"/>
      <c r="F498" s="606"/>
      <c r="G498" s="606"/>
      <c r="H498" s="606"/>
      <c r="I498" s="606"/>
      <c r="J498" s="606"/>
      <c r="K498" s="606"/>
      <c r="L498" s="606"/>
      <c r="M498" s="606"/>
      <c r="N498" s="539"/>
      <c r="O498" s="606"/>
      <c r="P498" s="606"/>
      <c r="Q498" s="606"/>
      <c r="R498" s="606"/>
      <c r="S498" s="606"/>
      <c r="T498" s="606"/>
      <c r="U498" s="606"/>
      <c r="V498" s="606"/>
      <c r="W498" s="606"/>
      <c r="X498" s="606"/>
      <c r="Y498" s="606"/>
      <c r="Z498" s="606"/>
      <c r="AB498" s="52"/>
      <c r="AC498" s="52"/>
      <c r="AF498" s="539"/>
    </row>
    <row r="499" spans="1:32" ht="18" customHeight="1" thickTop="1" thickBot="1" x14ac:dyDescent="0.25">
      <c r="A499" s="40" t="s">
        <v>752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200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809.1</v>
      </c>
      <c r="E499" s="46">
        <f>IFERROR(Y85*1,"0")+IFERROR(Y86*1,"0")+IFERROR(Y87*1,"0")+IFERROR(Y91*1,"0")+IFERROR(Y92*1,"0")+IFERROR(Y93*1,"0")+IFERROR(Y94*1,"0")</f>
        <v>1035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1531.8</v>
      </c>
      <c r="G499" s="46">
        <f>IFERROR(Y124*1,"0")+IFERROR(Y125*1,"0")+IFERROR(Y129*1,"0")+IFERROR(Y130*1,"0")+IFERROR(Y134*1,"0")+IFERROR(Y135*1,"0")</f>
        <v>203.52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705.6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2382.6000000000004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161.6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280.79999999999995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897</v>
      </c>
      <c r="R499" s="46">
        <f>IFERROR(Y335*1,"0")+IFERROR(Y336*1,"0")+IFERROR(Y337*1,"0")</f>
        <v>1331.4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4359</v>
      </c>
      <c r="T499" s="46">
        <f>IFERROR(Y368*1,"0")+IFERROR(Y369*1,"0")+IFERROR(Y373*1,"0")+IFERROR(Y374*1,"0")+IFERROR(Y378*1,"0")+IFERROR(Y379*1,"0")</f>
        <v>36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29.400000000000002</v>
      </c>
      <c r="V499" s="46">
        <f>IFERROR(Y403*1,"0")+IFERROR(Y407*1,"0")+IFERROR(Y408*1,"0")+IFERROR(Y409*1,"0")+IFERROR(Y410*1,"0")</f>
        <v>10.8</v>
      </c>
      <c r="W499" s="46">
        <f>IFERROR(Y415*1,"0")</f>
        <v>40.799999999999997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1197.6000000000001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1305</v>
      </c>
      <c r="Z499" s="46">
        <f>IFERROR(Y486*1,"0")</f>
        <v>0</v>
      </c>
      <c r="AB499" s="52"/>
      <c r="AC499" s="52"/>
      <c r="AF499" s="539"/>
    </row>
  </sheetData>
  <sheetProtection algorithmName="SHA-512" hashValue="gUSrr8R0wxpWLK7ObkuaOmCE26LgeOjjGjOwqMFhNscRemd8xk3jRWexbp6lKLpZgG1DlOLipIyOG7dMb4kV0Q==" saltValue="H9F2HA0AtoFnmuYH42paUg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50,00"/>
        <filter val="1 085,00"/>
        <filter val="1 230,00"/>
        <filter val="1 300,00"/>
        <filter val="1 330,00"/>
        <filter val="1 400,00"/>
        <filter val="1,85"/>
        <filter val="1,94"/>
        <filter val="10,00"/>
        <filter val="10,50"/>
        <filter val="100,00"/>
        <filter val="105,00"/>
        <filter val="116,67"/>
        <filter val="119,66"/>
        <filter val="120,00"/>
        <filter val="129,00"/>
        <filter val="13,33"/>
        <filter val="130,00"/>
        <filter val="140,00"/>
        <filter val="144,44"/>
        <filter val="146,48"/>
        <filter val="150,00"/>
        <filter val="16 339,90"/>
        <filter val="17 441,41"/>
        <filter val="17,50"/>
        <filter val="170,00"/>
        <filter val="18 191,41"/>
        <filter val="18,00"/>
        <filter val="18,75"/>
        <filter val="180,00"/>
        <filter val="199,38"/>
        <filter val="2,50"/>
        <filter val="2,56"/>
        <filter val="20,00"/>
        <filter val="200,00"/>
        <filter val="202,50"/>
        <filter val="21,00"/>
        <filter val="210,00"/>
        <filter val="22,50"/>
        <filter val="220,00"/>
        <filter val="225,00"/>
        <filter val="230,00"/>
        <filter val="232,04"/>
        <filter val="235,33"/>
        <filter val="24,00"/>
        <filter val="245,00"/>
        <filter val="267,62"/>
        <filter val="27,50"/>
        <filter val="270,00"/>
        <filter val="28,00"/>
        <filter val="280,00"/>
        <filter val="29,31"/>
        <filter val="3 530,00"/>
        <filter val="3 649,20"/>
        <filter val="3,50"/>
        <filter val="30"/>
        <filter val="30,00"/>
        <filter val="300,00"/>
        <filter val="316,67"/>
        <filter val="326,00"/>
        <filter val="33,33"/>
        <filter val="330,00"/>
        <filter val="36,00"/>
        <filter val="370,00"/>
        <filter val="4,44"/>
        <filter val="40,00"/>
        <filter val="400,00"/>
        <filter val="402,50"/>
        <filter val="405,00"/>
        <filter val="43,56"/>
        <filter val="450,00"/>
        <filter val="46,67"/>
        <filter val="467,24"/>
        <filter val="495,00"/>
        <filter val="5,56"/>
        <filter val="50,00"/>
        <filter val="52,00"/>
        <filter val="52,50"/>
        <filter val="59,40"/>
        <filter val="60,00"/>
        <filter val="618,00"/>
        <filter val="63,33"/>
        <filter val="630,00"/>
        <filter val="633,33"/>
        <filter val="64,13"/>
        <filter val="69,26"/>
        <filter val="697,00"/>
        <filter val="70,00"/>
        <filter val="700,00"/>
        <filter val="72,00"/>
        <filter val="750,00"/>
        <filter val="77,00"/>
        <filter val="78,00"/>
        <filter val="80,00"/>
        <filter val="805,00"/>
        <filter val="816,00"/>
        <filter val="88,00"/>
        <filter val="90,00"/>
        <filter val="92,95"/>
        <filter val="93,52"/>
      </filters>
    </filterColumn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T497:T498"/>
    <mergeCell ref="V497:V498"/>
    <mergeCell ref="D458:E458"/>
    <mergeCell ref="A489:O494"/>
    <mergeCell ref="A497:A498"/>
    <mergeCell ref="A447:O448"/>
    <mergeCell ref="P493:V493"/>
    <mergeCell ref="D452:E452"/>
    <mergeCell ref="U497:U498"/>
    <mergeCell ref="I496:R496"/>
    <mergeCell ref="W497:W49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D196:E196"/>
    <mergeCell ref="A126:O127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P368:T368"/>
    <mergeCell ref="A362:Z362"/>
    <mergeCell ref="A245:Z245"/>
    <mergeCell ref="P43:V43"/>
    <mergeCell ref="A39:Z39"/>
    <mergeCell ref="P85:T85"/>
    <mergeCell ref="P60:T60"/>
    <mergeCell ref="D291:E291"/>
    <mergeCell ref="D170:E170"/>
    <mergeCell ref="P132:V132"/>
    <mergeCell ref="P72:T72"/>
    <mergeCell ref="A31:O32"/>
    <mergeCell ref="A320:Z320"/>
    <mergeCell ref="P351:V351"/>
    <mergeCell ref="A314:Z314"/>
    <mergeCell ref="P124:T124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P200:T200"/>
    <mergeCell ref="P134:T134"/>
    <mergeCell ref="P371:V371"/>
    <mergeCell ref="P421:T421"/>
    <mergeCell ref="A411:O412"/>
    <mergeCell ref="P408:T408"/>
    <mergeCell ref="P137:V137"/>
    <mergeCell ref="D247:E247"/>
    <mergeCell ref="A487:O488"/>
    <mergeCell ref="D266:E266"/>
    <mergeCell ref="P410:T410"/>
    <mergeCell ref="P385:T385"/>
    <mergeCell ref="A260:O261"/>
    <mergeCell ref="A484:Z484"/>
    <mergeCell ref="P312:V312"/>
    <mergeCell ref="A289:Z289"/>
    <mergeCell ref="D430:E430"/>
    <mergeCell ref="P469:V469"/>
    <mergeCell ref="P486:T486"/>
    <mergeCell ref="D450:E450"/>
    <mergeCell ref="A455:Z455"/>
    <mergeCell ref="D385:E385"/>
    <mergeCell ref="P301:T301"/>
    <mergeCell ref="P483:V483"/>
    <mergeCell ref="P294:T294"/>
    <mergeCell ref="D293:E293"/>
    <mergeCell ref="A477:O478"/>
    <mergeCell ref="A440:Z440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P181:T181"/>
    <mergeCell ref="D29:E29"/>
    <mergeCell ref="P344:T344"/>
    <mergeCell ref="P354:T354"/>
    <mergeCell ref="D226:E226"/>
    <mergeCell ref="D164:E164"/>
    <mergeCell ref="P62:T62"/>
    <mergeCell ref="P176:T176"/>
    <mergeCell ref="P247:T247"/>
    <mergeCell ref="P114:T114"/>
    <mergeCell ref="P41:T41"/>
    <mergeCell ref="A157:Z157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A318:O319"/>
    <mergeCell ref="P47:V47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68:T68"/>
    <mergeCell ref="P82:V82"/>
    <mergeCell ref="D330:E330"/>
    <mergeCell ref="A98:Z98"/>
    <mergeCell ref="A396:Z396"/>
    <mergeCell ref="P239:V239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A305:O306"/>
    <mergeCell ref="P346:T346"/>
    <mergeCell ref="P446:T446"/>
    <mergeCell ref="P310:T310"/>
    <mergeCell ref="P264:T264"/>
    <mergeCell ref="A312:O313"/>
    <mergeCell ref="P353:T353"/>
    <mergeCell ref="D169:E169"/>
    <mergeCell ref="P204:V204"/>
    <mergeCell ref="P303:T303"/>
    <mergeCell ref="A357:Z357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A19:Z19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P246:T246"/>
    <mergeCell ref="P214:T214"/>
    <mergeCell ref="P432:V432"/>
    <mergeCell ref="D249:E249"/>
    <mergeCell ref="P436:T436"/>
    <mergeCell ref="A251:O252"/>
    <mergeCell ref="P292:T292"/>
    <mergeCell ref="A360:O361"/>
    <mergeCell ref="D257:E257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9 X85 X91 X99 X101 X106 X112 X114:X115 X119 X124 X130 X135 X163:X167 X169 X196:X203 X209:X210 X212 X214:X215 X219:X220 X225 X227:X228 X233 X273 X301:X302 X304 X315:X317 X323:X324 X328 X330 X336:X337 X359 X368 X378 X389:X390 X392 X415 X421 X423 X426 X435 X441:X446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sWDOOjLO12p5PqwiRREWS5BlmknzsCJTE1lUruA0rd2Y3TeFL24vek5K8Lz13IdRSGTr/mN4vZ37UqPOITjPbA==" saltValue="03+hGz1FUF4aYWVpuSci2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2025-11-13T11:21:03Z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