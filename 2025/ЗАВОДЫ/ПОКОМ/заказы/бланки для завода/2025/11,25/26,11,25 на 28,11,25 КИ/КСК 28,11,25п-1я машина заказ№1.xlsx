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0C59B39-384A-4CED-A214-72E5833745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Y330" i="1" s="1"/>
  <c r="P327" i="1"/>
  <c r="X325" i="1"/>
  <c r="X324" i="1"/>
  <c r="BO323" i="1"/>
  <c r="BM323" i="1"/>
  <c r="Y323" i="1"/>
  <c r="BP323" i="1" s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Y312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P284" i="1" s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BP271" i="1" s="1"/>
  <c r="P271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M498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8" i="1" s="1"/>
  <c r="X23" i="1"/>
  <c r="BO22" i="1"/>
  <c r="X490" i="1" s="1"/>
  <c r="BM22" i="1"/>
  <c r="Y22" i="1"/>
  <c r="B498" i="1" s="1"/>
  <c r="P22" i="1"/>
  <c r="H10" i="1"/>
  <c r="A9" i="1"/>
  <c r="A10" i="1" s="1"/>
  <c r="D7" i="1"/>
  <c r="Q6" i="1"/>
  <c r="P2" i="1"/>
  <c r="Z28" i="1" l="1"/>
  <c r="BN28" i="1"/>
  <c r="Z46" i="1"/>
  <c r="Z47" i="1" s="1"/>
  <c r="BN46" i="1"/>
  <c r="BP46" i="1"/>
  <c r="Y47" i="1"/>
  <c r="Z51" i="1"/>
  <c r="BN51" i="1"/>
  <c r="Z67" i="1"/>
  <c r="BN67" i="1"/>
  <c r="Z92" i="1"/>
  <c r="BN92" i="1"/>
  <c r="Z107" i="1"/>
  <c r="BN107" i="1"/>
  <c r="Z130" i="1"/>
  <c r="BN130" i="1"/>
  <c r="Z147" i="1"/>
  <c r="BN147" i="1"/>
  <c r="Z162" i="1"/>
  <c r="BN162" i="1"/>
  <c r="Z167" i="1"/>
  <c r="BN167" i="1"/>
  <c r="Z190" i="1"/>
  <c r="BN190" i="1"/>
  <c r="Y193" i="1"/>
  <c r="Z202" i="1"/>
  <c r="BN202" i="1"/>
  <c r="Z212" i="1"/>
  <c r="BN212" i="1"/>
  <c r="Z228" i="1"/>
  <c r="BN228" i="1"/>
  <c r="Z248" i="1"/>
  <c r="BN248" i="1"/>
  <c r="Z266" i="1"/>
  <c r="BN266" i="1"/>
  <c r="Z271" i="1"/>
  <c r="BN271" i="1"/>
  <c r="Z298" i="1"/>
  <c r="BN298" i="1"/>
  <c r="Z310" i="1"/>
  <c r="BN310" i="1"/>
  <c r="Z322" i="1"/>
  <c r="BN322" i="1"/>
  <c r="Z345" i="1"/>
  <c r="BN345" i="1"/>
  <c r="Z377" i="1"/>
  <c r="BN377" i="1"/>
  <c r="U498" i="1"/>
  <c r="Z391" i="1"/>
  <c r="BN391" i="1"/>
  <c r="Z423" i="1"/>
  <c r="BN423" i="1"/>
  <c r="Z435" i="1"/>
  <c r="BN435" i="1"/>
  <c r="Z449" i="1"/>
  <c r="BN449" i="1"/>
  <c r="Z471" i="1"/>
  <c r="BN471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Y149" i="1"/>
  <c r="BP145" i="1"/>
  <c r="BN145" i="1"/>
  <c r="Z145" i="1"/>
  <c r="BP165" i="1"/>
  <c r="BN165" i="1"/>
  <c r="Z165" i="1"/>
  <c r="BP186" i="1"/>
  <c r="BN186" i="1"/>
  <c r="Z186" i="1"/>
  <c r="BP200" i="1"/>
  <c r="BN200" i="1"/>
  <c r="Z200" i="1"/>
  <c r="BP210" i="1"/>
  <c r="BN210" i="1"/>
  <c r="Z210" i="1"/>
  <c r="BP226" i="1"/>
  <c r="BN226" i="1"/>
  <c r="Z226" i="1"/>
  <c r="BP246" i="1"/>
  <c r="BN246" i="1"/>
  <c r="Z246" i="1"/>
  <c r="BP264" i="1"/>
  <c r="BN264" i="1"/>
  <c r="Z264" i="1"/>
  <c r="X489" i="1"/>
  <c r="X491" i="1" s="1"/>
  <c r="X492" i="1"/>
  <c r="Z26" i="1"/>
  <c r="BN26" i="1"/>
  <c r="BP26" i="1"/>
  <c r="Z30" i="1"/>
  <c r="BN30" i="1"/>
  <c r="Y43" i="1"/>
  <c r="Z42" i="1"/>
  <c r="BN42" i="1"/>
  <c r="Z53" i="1"/>
  <c r="BN53" i="1"/>
  <c r="Z61" i="1"/>
  <c r="BN61" i="1"/>
  <c r="Z73" i="1"/>
  <c r="BN73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4" i="1"/>
  <c r="BN164" i="1"/>
  <c r="Z164" i="1"/>
  <c r="BP169" i="1"/>
  <c r="BN169" i="1"/>
  <c r="Z169" i="1"/>
  <c r="Y203" i="1"/>
  <c r="BP196" i="1"/>
  <c r="BN196" i="1"/>
  <c r="Z196" i="1"/>
  <c r="Y216" i="1"/>
  <c r="BP206" i="1"/>
  <c r="BN206" i="1"/>
  <c r="Z206" i="1"/>
  <c r="BP214" i="1"/>
  <c r="BN214" i="1"/>
  <c r="Z214" i="1"/>
  <c r="BP230" i="1"/>
  <c r="BN230" i="1"/>
  <c r="Z230" i="1"/>
  <c r="Y259" i="1"/>
  <c r="BP255" i="1"/>
  <c r="BN255" i="1"/>
  <c r="Z255" i="1"/>
  <c r="BP273" i="1"/>
  <c r="BN273" i="1"/>
  <c r="Z273" i="1"/>
  <c r="BP300" i="1"/>
  <c r="BN300" i="1"/>
  <c r="Z300" i="1"/>
  <c r="Y318" i="1"/>
  <c r="BP314" i="1"/>
  <c r="BN314" i="1"/>
  <c r="Z314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81" i="1"/>
  <c r="Y110" i="1"/>
  <c r="Y127" i="1"/>
  <c r="Y137" i="1"/>
  <c r="H498" i="1"/>
  <c r="Y148" i="1"/>
  <c r="I498" i="1"/>
  <c r="Y172" i="1"/>
  <c r="Y178" i="1"/>
  <c r="Y192" i="1"/>
  <c r="Y215" i="1"/>
  <c r="BP292" i="1"/>
  <c r="BN292" i="1"/>
  <c r="Z292" i="1"/>
  <c r="BP308" i="1"/>
  <c r="BN308" i="1"/>
  <c r="Z308" i="1"/>
  <c r="Y324" i="1"/>
  <c r="BP320" i="1"/>
  <c r="BN320" i="1"/>
  <c r="Z320" i="1"/>
  <c r="S498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Q498" i="1"/>
  <c r="Y304" i="1"/>
  <c r="R498" i="1"/>
  <c r="Y379" i="1"/>
  <c r="Y453" i="1"/>
  <c r="Y452" i="1"/>
  <c r="F9" i="1"/>
  <c r="J9" i="1"/>
  <c r="F10" i="1"/>
  <c r="Z22" i="1"/>
  <c r="Z23" i="1" s="1"/>
  <c r="BN22" i="1"/>
  <c r="BP22" i="1"/>
  <c r="Y23" i="1"/>
  <c r="Y31" i="1"/>
  <c r="BP56" i="1"/>
  <c r="BN56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5" i="1"/>
  <c r="Y96" i="1"/>
  <c r="BP91" i="1"/>
  <c r="BN91" i="1"/>
  <c r="Z91" i="1"/>
  <c r="H9" i="1"/>
  <c r="Y24" i="1"/>
  <c r="Z27" i="1"/>
  <c r="BN27" i="1"/>
  <c r="Z29" i="1"/>
  <c r="BN29" i="1"/>
  <c r="C498" i="1"/>
  <c r="Z41" i="1"/>
  <c r="BN41" i="1"/>
  <c r="Y44" i="1"/>
  <c r="D498" i="1"/>
  <c r="Y57" i="1"/>
  <c r="Z52" i="1"/>
  <c r="BN52" i="1"/>
  <c r="Z54" i="1"/>
  <c r="BN54" i="1"/>
  <c r="Z56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Z93" i="1"/>
  <c r="BN93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Z177" i="1" s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BP207" i="1"/>
  <c r="Z209" i="1"/>
  <c r="BN209" i="1"/>
  <c r="Z211" i="1"/>
  <c r="BN211" i="1"/>
  <c r="Z213" i="1"/>
  <c r="BN213" i="1"/>
  <c r="Y221" i="1"/>
  <c r="BP218" i="1"/>
  <c r="BP227" i="1"/>
  <c r="BN227" i="1"/>
  <c r="Z227" i="1"/>
  <c r="BP231" i="1"/>
  <c r="BN231" i="1"/>
  <c r="Z231" i="1"/>
  <c r="Y142" i="1"/>
  <c r="Y159" i="1"/>
  <c r="Y187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Y251" i="1"/>
  <c r="Y260" i="1"/>
  <c r="Y267" i="1"/>
  <c r="Y274" i="1"/>
  <c r="Y281" i="1"/>
  <c r="Y286" i="1"/>
  <c r="Y295" i="1"/>
  <c r="Y305" i="1"/>
  <c r="Y311" i="1"/>
  <c r="Y317" i="1"/>
  <c r="Y325" i="1"/>
  <c r="Y331" i="1"/>
  <c r="Y338" i="1"/>
  <c r="Y350" i="1"/>
  <c r="BP368" i="1"/>
  <c r="BN368" i="1"/>
  <c r="Z368" i="1"/>
  <c r="Z369" i="1" s="1"/>
  <c r="Y370" i="1"/>
  <c r="Y375" i="1"/>
  <c r="BP372" i="1"/>
  <c r="BN372" i="1"/>
  <c r="Z372" i="1"/>
  <c r="Z374" i="1" s="1"/>
  <c r="BP386" i="1"/>
  <c r="BN386" i="1"/>
  <c r="Z386" i="1"/>
  <c r="BP390" i="1"/>
  <c r="BN390" i="1"/>
  <c r="Z390" i="1"/>
  <c r="BP407" i="1"/>
  <c r="BN407" i="1"/>
  <c r="Z407" i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Z472" i="1" s="1"/>
  <c r="Y472" i="1"/>
  <c r="L498" i="1"/>
  <c r="K498" i="1"/>
  <c r="Y234" i="1"/>
  <c r="Z247" i="1"/>
  <c r="BN247" i="1"/>
  <c r="Z249" i="1"/>
  <c r="BN249" i="1"/>
  <c r="Z254" i="1"/>
  <c r="BN254" i="1"/>
  <c r="BP254" i="1"/>
  <c r="Z256" i="1"/>
  <c r="BN256" i="1"/>
  <c r="Z258" i="1"/>
  <c r="BN258" i="1"/>
  <c r="Z263" i="1"/>
  <c r="BN263" i="1"/>
  <c r="BP263" i="1"/>
  <c r="Z265" i="1"/>
  <c r="BN265" i="1"/>
  <c r="Y268" i="1"/>
  <c r="O498" i="1"/>
  <c r="Z272" i="1"/>
  <c r="BN272" i="1"/>
  <c r="Y275" i="1"/>
  <c r="P498" i="1"/>
  <c r="Z279" i="1"/>
  <c r="Z280" i="1" s="1"/>
  <c r="BN279" i="1"/>
  <c r="Y280" i="1"/>
  <c r="Z283" i="1"/>
  <c r="BN283" i="1"/>
  <c r="BP283" i="1"/>
  <c r="Z284" i="1"/>
  <c r="BN284" i="1"/>
  <c r="Z289" i="1"/>
  <c r="BN289" i="1"/>
  <c r="BP289" i="1"/>
  <c r="Z291" i="1"/>
  <c r="BN291" i="1"/>
  <c r="Z293" i="1"/>
  <c r="BN293" i="1"/>
  <c r="Y294" i="1"/>
  <c r="Z297" i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5" i="1"/>
  <c r="BN315" i="1"/>
  <c r="Z321" i="1"/>
  <c r="BN321" i="1"/>
  <c r="Z323" i="1"/>
  <c r="BN323" i="1"/>
  <c r="Z327" i="1"/>
  <c r="BN327" i="1"/>
  <c r="BP327" i="1"/>
  <c r="Z329" i="1"/>
  <c r="BN329" i="1"/>
  <c r="Z334" i="1"/>
  <c r="BN334" i="1"/>
  <c r="BP334" i="1"/>
  <c r="Z336" i="1"/>
  <c r="BN336" i="1"/>
  <c r="Y337" i="1"/>
  <c r="Z342" i="1"/>
  <c r="BN342" i="1"/>
  <c r="BP342" i="1"/>
  <c r="Z344" i="1"/>
  <c r="BN344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452" i="1" l="1"/>
  <c r="Z379" i="1"/>
  <c r="Z274" i="1"/>
  <c r="Z57" i="1"/>
  <c r="Z31" i="1"/>
  <c r="Z481" i="1"/>
  <c r="Z398" i="1"/>
  <c r="Z330" i="1"/>
  <c r="Z324" i="1"/>
  <c r="Z317" i="1"/>
  <c r="Z304" i="1"/>
  <c r="Z294" i="1"/>
  <c r="Z259" i="1"/>
  <c r="Z410" i="1"/>
  <c r="Z234" i="1"/>
  <c r="Z215" i="1"/>
  <c r="Z148" i="1"/>
  <c r="Z103" i="1"/>
  <c r="Z76" i="1"/>
  <c r="Z63" i="1"/>
  <c r="Z43" i="1"/>
  <c r="Z250" i="1"/>
  <c r="Y488" i="1"/>
  <c r="Z95" i="1"/>
  <c r="Z69" i="1"/>
  <c r="Y490" i="1"/>
  <c r="Z446" i="1"/>
  <c r="Z431" i="1"/>
  <c r="Z393" i="1"/>
  <c r="Z349" i="1"/>
  <c r="Z337" i="1"/>
  <c r="Z311" i="1"/>
  <c r="Z285" i="1"/>
  <c r="Z267" i="1"/>
  <c r="Z203" i="1"/>
  <c r="Z116" i="1"/>
  <c r="Z109" i="1"/>
  <c r="Y492" i="1"/>
  <c r="Y489" i="1"/>
  <c r="Y491" i="1" l="1"/>
  <c r="Z493" i="1"/>
</calcChain>
</file>

<file path=xl/sharedStrings.xml><?xml version="1.0" encoding="utf-8"?>
<sst xmlns="http://schemas.openxmlformats.org/spreadsheetml/2006/main" count="2141" uniqueCount="760">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</sst>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10</v>
      </c>
      <c r="Q5" s="831">
        <v>45989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Пятница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100</v>
      </c>
      <c r="Y41" s="540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hidden="1" customHeight="1" x14ac:dyDescent="0.25">
      <c r="A42" s="54" t="s">
        <v>108</v>
      </c>
      <c r="B42" s="54" t="s">
        <v>109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25</v>
      </c>
      <c r="Y43" s="541">
        <f>IFERROR(Y40/H40,"0")+IFERROR(Y41/H41,"0")+IFERROR(Y42/H42,"0")</f>
        <v>25</v>
      </c>
      <c r="Z43" s="541">
        <f>IFERROR(IF(Z40="",0,Z40),"0")+IFERROR(IF(Z41="",0,Z41),"0")+IFERROR(IF(Z42="",0,Z42),"0")</f>
        <v>0.22550000000000001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100</v>
      </c>
      <c r="Y44" s="541">
        <f>IFERROR(SUM(Y40:Y42),"0")</f>
        <v>100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110</v>
      </c>
      <c r="B46" s="54" t="s">
        <v>111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113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114</v>
      </c>
      <c r="B51" s="54" t="s">
        <v>115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117</v>
      </c>
      <c r="B52" s="54" t="s">
        <v>118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123</v>
      </c>
      <c r="B54" s="54" t="s">
        <v>124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126</v>
      </c>
      <c r="B55" s="54" t="s">
        <v>127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6" t="s">
        <v>132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133</v>
      </c>
      <c r="B60" s="54" t="s">
        <v>134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136</v>
      </c>
      <c r="B61" s="54" t="s">
        <v>137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138</v>
      </c>
      <c r="B62" s="54" t="s">
        <v>139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140</v>
      </c>
      <c r="B66" s="54" t="s">
        <v>141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143</v>
      </c>
      <c r="B67" s="54" t="s">
        <v>144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146</v>
      </c>
      <c r="B68" s="54" t="s">
        <v>147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149</v>
      </c>
      <c r="B72" s="54" t="s">
        <v>150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152</v>
      </c>
      <c r="B73" s="54" t="s">
        <v>153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155</v>
      </c>
      <c r="B74" s="54" t="s">
        <v>156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157</v>
      </c>
      <c r="B75" s="54" t="s">
        <v>158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160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161</v>
      </c>
      <c r="B79" s="54" t="s">
        <v>162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164</v>
      </c>
      <c r="B80" s="54" t="s">
        <v>165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167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168</v>
      </c>
      <c r="B85" s="54" t="s">
        <v>169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171</v>
      </c>
      <c r="B86" s="54" t="s">
        <v>172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100</v>
      </c>
      <c r="Y88" s="541">
        <f>IFERROR(Y85/H85,"0")+IFERROR(Y86/H86,"0")+IFERROR(Y87/H87,"0")</f>
        <v>100</v>
      </c>
      <c r="Z88" s="541">
        <f>IFERROR(IF(Z85="",0,Z85),"0")+IFERROR(IF(Z86="",0,Z86),"0")+IFERROR(IF(Z87="",0,Z87),"0")</f>
        <v>0.90200000000000002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450</v>
      </c>
      <c r="Y89" s="541">
        <f>IFERROR(SUM(Y85:Y87),"0")</f>
        <v>450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hidden="1" customHeight="1" x14ac:dyDescent="0.25">
      <c r="A91" s="54" t="s">
        <v>175</v>
      </c>
      <c r="B91" s="54" t="s">
        <v>176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178</v>
      </c>
      <c r="B92" s="54" t="s">
        <v>179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550.80000000000007</v>
      </c>
      <c r="Y93" s="540">
        <f>IFERROR(IF(X93="",0,CEILING((X93/$H93),1)*$H93),"")</f>
        <v>550.80000000000007</v>
      </c>
      <c r="Z93" s="36">
        <f>IFERROR(IF(Y93=0,"",ROUNDUP(Y93/H93,0)*0.00651),"")</f>
        <v>1.3280400000000001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602.20799999999997</v>
      </c>
      <c r="BN93" s="64">
        <f>IFERROR(Y93*I93/H93,"0")</f>
        <v>602.20799999999997</v>
      </c>
      <c r="BO93" s="64">
        <f>IFERROR(1/J93*(X93/H93),"0")</f>
        <v>1.1208791208791209</v>
      </c>
      <c r="BP93" s="64">
        <f>IFERROR(1/J93*(Y93/H93),"0")</f>
        <v>1.1208791208791209</v>
      </c>
    </row>
    <row r="94" spans="1:68" ht="16.5" hidden="1" customHeight="1" x14ac:dyDescent="0.25">
      <c r="A94" s="54" t="s">
        <v>183</v>
      </c>
      <c r="B94" s="54" t="s">
        <v>184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204</v>
      </c>
      <c r="Y95" s="541">
        <f>IFERROR(Y91/H91,"0")+IFERROR(Y92/H92,"0")+IFERROR(Y93/H93,"0")+IFERROR(Y94/H94,"0")</f>
        <v>204</v>
      </c>
      <c r="Z95" s="541">
        <f>IFERROR(IF(Z91="",0,Z91),"0")+IFERROR(IF(Z92="",0,Z92),"0")+IFERROR(IF(Z93="",0,Z93),"0")+IFERROR(IF(Z94="",0,Z94),"0")</f>
        <v>1.3280400000000001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550.80000000000007</v>
      </c>
      <c r="Y96" s="541">
        <f>IFERROR(SUM(Y91:Y94),"0")</f>
        <v>550.80000000000007</v>
      </c>
      <c r="Z96" s="37"/>
      <c r="AA96" s="542"/>
      <c r="AB96" s="542"/>
      <c r="AC96" s="542"/>
    </row>
    <row r="97" spans="1:68" ht="16.5" hidden="1" customHeight="1" x14ac:dyDescent="0.25">
      <c r="A97" s="553" t="s">
        <v>186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187</v>
      </c>
      <c r="B99" s="54" t="s">
        <v>188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190</v>
      </c>
      <c r="B100" s="54" t="s">
        <v>191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900</v>
      </c>
      <c r="Y101" s="540">
        <f>IFERROR(IF(X101="",0,CEILING((X101/$H101),1)*$H101),"")</f>
        <v>900</v>
      </c>
      <c r="Z101" s="36">
        <f>IFERROR(IF(Y101=0,"",ROUNDUP(Y101/H101,0)*0.00902),"")</f>
        <v>1.804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938</v>
      </c>
      <c r="BN101" s="64">
        <f>IFERROR(Y101*I101/H101,"0")</f>
        <v>938</v>
      </c>
      <c r="BO101" s="64">
        <f>IFERROR(1/J101*(X101/H101),"0")</f>
        <v>1.5151515151515151</v>
      </c>
      <c r="BP101" s="64">
        <f>IFERROR(1/J101*(Y101/H101),"0")</f>
        <v>1.5151515151515151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200</v>
      </c>
      <c r="Y103" s="541">
        <f>IFERROR(Y99/H99,"0")+IFERROR(Y100/H100,"0")+IFERROR(Y101/H101,"0")+IFERROR(Y102/H102,"0")</f>
        <v>200</v>
      </c>
      <c r="Z103" s="541">
        <f>IFERROR(IF(Z99="",0,Z99),"0")+IFERROR(IF(Z100="",0,Z100),"0")+IFERROR(IF(Z101="",0,Z101),"0")+IFERROR(IF(Z102="",0,Z102),"0")</f>
        <v>1.804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900</v>
      </c>
      <c r="Y104" s="541">
        <f>IFERROR(SUM(Y99:Y102),"0")</f>
        <v>900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132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205</v>
      </c>
      <c r="B112" s="54" t="s">
        <v>206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91.8</v>
      </c>
      <c r="Y114" s="540">
        <f>IFERROR(IF(X114="",0,CEILING((X114/$H114),1)*$H114),"")</f>
        <v>91.800000000000011</v>
      </c>
      <c r="Z114" s="36">
        <f>IFERROR(IF(Y114=0,"",ROUNDUP(Y114/H114,0)*0.00651),"")</f>
        <v>0.22134000000000001</v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100.36799999999999</v>
      </c>
      <c r="BN114" s="64">
        <f>IFERROR(Y114*I114/H114,"0")</f>
        <v>100.36799999999999</v>
      </c>
      <c r="BO114" s="64">
        <f>IFERROR(1/J114*(X114/H114),"0")</f>
        <v>0.18681318681318682</v>
      </c>
      <c r="BP114" s="64">
        <f>IFERROR(1/J114*(Y114/H114),"0")</f>
        <v>0.18681318681318682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34</v>
      </c>
      <c r="Y116" s="541">
        <f>IFERROR(Y112/H112,"0")+IFERROR(Y113/H113,"0")+IFERROR(Y114/H114,"0")+IFERROR(Y115/H115,"0")</f>
        <v>34</v>
      </c>
      <c r="Z116" s="541">
        <f>IFERROR(IF(Z112="",0,Z112),"0")+IFERROR(IF(Z113="",0,Z113),"0")+IFERROR(IF(Z114="",0,Z114),"0")+IFERROR(IF(Z115="",0,Z115),"0")</f>
        <v>0.22134000000000001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91.8</v>
      </c>
      <c r="Y117" s="541">
        <f>IFERROR(SUM(Y112:Y115),"0")</f>
        <v>91.800000000000011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160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132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107</v>
      </c>
      <c r="L161" s="32"/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266</v>
      </c>
      <c r="B165" s="54" t="s">
        <v>267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268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270</v>
      </c>
      <c r="B166" s="54" t="s">
        <v>271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272</v>
      </c>
      <c r="B167" s="54" t="s">
        <v>273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275</v>
      </c>
      <c r="B168" s="54" t="s">
        <v>276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277</v>
      </c>
      <c r="B169" s="54" t="s">
        <v>278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279</v>
      </c>
      <c r="B170" s="54" t="s">
        <v>280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282</v>
      </c>
      <c r="B174" s="54" t="s">
        <v>283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284</v>
      </c>
      <c r="L174" s="32"/>
      <c r="M174" s="33" t="s">
        <v>285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286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287</v>
      </c>
      <c r="B175" s="54" t="s">
        <v>288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284</v>
      </c>
      <c r="L175" s="32"/>
      <c r="M175" s="33" t="s">
        <v>285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289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290</v>
      </c>
      <c r="B176" s="54" t="s">
        <v>291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284</v>
      </c>
      <c r="L176" s="32"/>
      <c r="M176" s="33" t="s">
        <v>285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289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292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293</v>
      </c>
      <c r="B180" s="54" t="s">
        <v>294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284</v>
      </c>
      <c r="L180" s="32"/>
      <c r="M180" s="33" t="s">
        <v>285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289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295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296</v>
      </c>
      <c r="B185" s="54" t="s">
        <v>297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298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299</v>
      </c>
      <c r="B186" s="54" t="s">
        <v>300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298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132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301</v>
      </c>
      <c r="B190" s="54" t="s">
        <v>302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303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304</v>
      </c>
      <c r="B191" s="54" t="s">
        <v>305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303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306</v>
      </c>
      <c r="B195" s="54" t="s">
        <v>307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308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309</v>
      </c>
      <c r="B196" s="54" t="s">
        <v>310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311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312</v>
      </c>
      <c r="B197" s="54" t="s">
        <v>313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314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315</v>
      </c>
      <c r="B198" s="54" t="s">
        <v>316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317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320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180</v>
      </c>
      <c r="Y199" s="540">
        <f t="shared" si="10"/>
        <v>180</v>
      </c>
      <c r="Z199" s="36">
        <f>IFERROR(IF(Y199=0,"",ROUNDUP(Y199/H199,0)*0.00502),"")</f>
        <v>0.502</v>
      </c>
      <c r="AA199" s="56"/>
      <c r="AB199" s="57"/>
      <c r="AC199" s="235" t="s">
        <v>308</v>
      </c>
      <c r="AG199" s="64"/>
      <c r="AJ199" s="68" t="s">
        <v>195</v>
      </c>
      <c r="AK199" s="68">
        <v>32.4</v>
      </c>
      <c r="BB199" s="236" t="s">
        <v>1</v>
      </c>
      <c r="BM199" s="64">
        <f t="shared" si="11"/>
        <v>192.99999999999997</v>
      </c>
      <c r="BN199" s="64">
        <f t="shared" si="12"/>
        <v>192.99999999999997</v>
      </c>
      <c r="BO199" s="64">
        <f t="shared" si="13"/>
        <v>0.42735042735042739</v>
      </c>
      <c r="BP199" s="64">
        <f t="shared" si="14"/>
        <v>0.42735042735042739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311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151.19999999999999</v>
      </c>
      <c r="Y201" s="540">
        <f t="shared" si="10"/>
        <v>151.20000000000002</v>
      </c>
      <c r="Z201" s="36">
        <f>IFERROR(IF(Y201=0,"",ROUNDUP(Y201/H201,0)*0.00502),"")</f>
        <v>0.42168</v>
      </c>
      <c r="AA201" s="56"/>
      <c r="AB201" s="57"/>
      <c r="AC201" s="239" t="s">
        <v>314</v>
      </c>
      <c r="AG201" s="64"/>
      <c r="AJ201" s="68"/>
      <c r="AK201" s="68">
        <v>0</v>
      </c>
      <c r="BB201" s="240" t="s">
        <v>1</v>
      </c>
      <c r="BM201" s="64">
        <f t="shared" si="11"/>
        <v>159.6</v>
      </c>
      <c r="BN201" s="64">
        <f t="shared" si="12"/>
        <v>159.60000000000002</v>
      </c>
      <c r="BO201" s="64">
        <f t="shared" si="13"/>
        <v>0.35897435897435898</v>
      </c>
      <c r="BP201" s="64">
        <f t="shared" si="14"/>
        <v>0.35897435897435909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317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184</v>
      </c>
      <c r="Y203" s="541">
        <f>IFERROR(Y195/H195,"0")+IFERROR(Y196/H196,"0")+IFERROR(Y197/H197,"0")+IFERROR(Y198/H198,"0")+IFERROR(Y199/H199,"0")+IFERROR(Y200/H200,"0")+IFERROR(Y201/H201,"0")+IFERROR(Y202/H202,"0")</f>
        <v>184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0.92368000000000006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331.2</v>
      </c>
      <c r="Y204" s="541">
        <f>IFERROR(SUM(Y195:Y202),"0")</f>
        <v>331.20000000000005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160.80000000000001</v>
      </c>
      <c r="Y209" s="540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195</v>
      </c>
      <c r="AK209" s="68">
        <v>33.6</v>
      </c>
      <c r="BB209" s="250" t="s">
        <v>1</v>
      </c>
      <c r="BM209" s="64">
        <f t="shared" si="16"/>
        <v>178.89000000000001</v>
      </c>
      <c r="BN209" s="64">
        <f t="shared" si="17"/>
        <v>178.89</v>
      </c>
      <c r="BO209" s="64">
        <f t="shared" si="18"/>
        <v>0.36813186813186821</v>
      </c>
      <c r="BP209" s="64">
        <f t="shared" si="19"/>
        <v>0.36813186813186816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240</v>
      </c>
      <c r="Y211" s="540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195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167</v>
      </c>
      <c r="Y215" s="541">
        <f>IFERROR(Y206/H206,"0")+IFERROR(Y207/H207,"0")+IFERROR(Y208/H208,"0")+IFERROR(Y209/H209,"0")+IFERROR(Y210/H210,"0")+IFERROR(Y211/H211,"0")+IFERROR(Y212/H212,"0")+IFERROR(Y213/H213,"0")+IFERROR(Y214/H214,"0")</f>
        <v>167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1.08717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400.8</v>
      </c>
      <c r="Y216" s="541">
        <f>IFERROR(SUM(Y206:Y214),"0")</f>
        <v>400.79999999999995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160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132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21.78</v>
      </c>
      <c r="Y237" s="540">
        <f>IFERROR(IF(X237="",0,CEILING((X237/$H237),1)*$H237),"")</f>
        <v>21.78</v>
      </c>
      <c r="Z237" s="36">
        <f>IFERROR(IF(Y237=0,"",ROUNDUP(Y237/H237,0)*0.00502),"")</f>
        <v>5.5220000000000005E-2</v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22.880000000000003</v>
      </c>
      <c r="BN237" s="64">
        <f>IFERROR(Y237*I237/H237,"0")</f>
        <v>22.880000000000003</v>
      </c>
      <c r="BO237" s="64">
        <f>IFERROR(1/J237*(X237/H237),"0")</f>
        <v>4.7008547008547015E-2</v>
      </c>
      <c r="BP237" s="64">
        <f>IFERROR(1/J237*(Y237/H237),"0")</f>
        <v>4.7008547008547015E-2</v>
      </c>
    </row>
    <row r="238" spans="1:68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11</v>
      </c>
      <c r="Y238" s="541">
        <f>IFERROR(Y237/H237,"0")</f>
        <v>11</v>
      </c>
      <c r="Z238" s="541">
        <f>IFERROR(IF(Z237="",0,Z237),"0")</f>
        <v>5.5220000000000005E-2</v>
      </c>
      <c r="AA238" s="542"/>
      <c r="AB238" s="542"/>
      <c r="AC238" s="542"/>
    </row>
    <row r="239" spans="1:68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21.78</v>
      </c>
      <c r="Y239" s="541">
        <f>IFERROR(SUM(Y237:Y237),"0")</f>
        <v>21.78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284</v>
      </c>
      <c r="L241" s="32"/>
      <c r="M241" s="33" t="s">
        <v>285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284</v>
      </c>
      <c r="L245" s="32"/>
      <c r="M245" s="33" t="s">
        <v>285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284</v>
      </c>
      <c r="L246" s="32"/>
      <c r="M246" s="33" t="s">
        <v>285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284</v>
      </c>
      <c r="L247" s="32"/>
      <c r="M247" s="33" t="s">
        <v>285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284</v>
      </c>
      <c r="L248" s="32"/>
      <c r="M248" s="33" t="s">
        <v>285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284</v>
      </c>
      <c r="L249" s="32"/>
      <c r="M249" s="33" t="s">
        <v>285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560.69999999999993</v>
      </c>
      <c r="Y301" s="540">
        <f t="shared" si="26"/>
        <v>560.70000000000005</v>
      </c>
      <c r="Z301" s="36">
        <f>IFERROR(IF(Y301=0,"",ROUNDUP(Y301/H301,0)*0.00502),"")</f>
        <v>1.3403400000000001</v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587.4</v>
      </c>
      <c r="BN301" s="64">
        <f t="shared" si="28"/>
        <v>587.40000000000009</v>
      </c>
      <c r="BO301" s="64">
        <f t="shared" si="29"/>
        <v>1.141025641025641</v>
      </c>
      <c r="BP301" s="64">
        <f t="shared" si="30"/>
        <v>1.1410256410256412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266.99999999999994</v>
      </c>
      <c r="Y304" s="541">
        <f>IFERROR(Y297/H297,"0")+IFERROR(Y298/H298,"0")+IFERROR(Y299/H299,"0")+IFERROR(Y300/H300,"0")+IFERROR(Y301/H301,"0")+IFERROR(Y302/H302,"0")+IFERROR(Y303/H303,"0")</f>
        <v>267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1.3403400000000001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560.69999999999993</v>
      </c>
      <c r="Y305" s="541">
        <f>IFERROR(SUM(Y297:Y303),"0")</f>
        <v>560.70000000000005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160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20.399999999999999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23.04</v>
      </c>
      <c r="BN323" s="64">
        <f>IFERROR(Y323*I323/H323,"0")</f>
        <v>23.04</v>
      </c>
      <c r="BO323" s="64">
        <f>IFERROR(1/J323*(X323/H323),"0")</f>
        <v>4.3956043956043959E-2</v>
      </c>
      <c r="BP323" s="64">
        <f>IFERROR(1/J323*(Y323/H323),"0")</f>
        <v>4.3956043956043959E-2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8</v>
      </c>
      <c r="Y324" s="541">
        <f>IFERROR(Y320/H320,"0")+IFERROR(Y321/H321,"0")+IFERROR(Y322/H322,"0")+IFERROR(Y323/H323,"0")</f>
        <v>8</v>
      </c>
      <c r="Z324" s="541">
        <f>IFERROR(IF(Z320="",0,Z320),"0")+IFERROR(IF(Z321="",0,Z321),"0")+IFERROR(IF(Z322="",0,Z322),"0")+IFERROR(IF(Z323="",0,Z323),"0")</f>
        <v>5.2080000000000001E-2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20.399999999999999</v>
      </c>
      <c r="Y325" s="541">
        <f>IFERROR(SUM(Y320:Y323),"0")</f>
        <v>20.399999999999999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1400.7</v>
      </c>
      <c r="Y335" s="540">
        <f>IFERROR(IF(X335="",0,CEILING((X335/$H335),1)*$H335),"")</f>
        <v>1400.7</v>
      </c>
      <c r="Z335" s="36">
        <f>IFERROR(IF(Y335=0,"",ROUNDUP(Y335/H335,0)*0.00651),"")</f>
        <v>4.3421700000000003</v>
      </c>
      <c r="AA335" s="56"/>
      <c r="AB335" s="57"/>
      <c r="AC335" s="385" t="s">
        <v>527</v>
      </c>
      <c r="AG335" s="64"/>
      <c r="AJ335" s="68" t="s">
        <v>195</v>
      </c>
      <c r="AK335" s="68">
        <v>29.4</v>
      </c>
      <c r="BB335" s="386" t="s">
        <v>1</v>
      </c>
      <c r="BM335" s="64">
        <f>IFERROR(X335*I335/H335,"0")</f>
        <v>1568.7839999999999</v>
      </c>
      <c r="BN335" s="64">
        <f>IFERROR(Y335*I335/H335,"0")</f>
        <v>1568.7839999999999</v>
      </c>
      <c r="BO335" s="64">
        <f>IFERROR(1/J335*(X335/H335),"0")</f>
        <v>3.6648351648351651</v>
      </c>
      <c r="BP335" s="64">
        <f>IFERROR(1/J335*(Y335/H335),"0")</f>
        <v>3.6648351648351651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235.2</v>
      </c>
      <c r="Y336" s="540">
        <f>IFERROR(IF(X336="",0,CEILING((X336/$H336),1)*$H336),"")</f>
        <v>235.20000000000002</v>
      </c>
      <c r="Z336" s="36">
        <f>IFERROR(IF(Y336=0,"",ROUNDUP(Y336/H336,0)*0.00651),"")</f>
        <v>0.72911999999999999</v>
      </c>
      <c r="AA336" s="56"/>
      <c r="AB336" s="57"/>
      <c r="AC336" s="387" t="s">
        <v>530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262.08</v>
      </c>
      <c r="BN336" s="64">
        <f>IFERROR(Y336*I336/H336,"0")</f>
        <v>262.08000000000004</v>
      </c>
      <c r="BO336" s="64">
        <f>IFERROR(1/J336*(X336/H336),"0")</f>
        <v>0.61538461538461531</v>
      </c>
      <c r="BP336" s="64">
        <f>IFERROR(1/J336*(Y336/H336),"0")</f>
        <v>0.61538461538461542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779</v>
      </c>
      <c r="Y337" s="541">
        <f>IFERROR(Y334/H334,"0")+IFERROR(Y335/H335,"0")+IFERROR(Y336/H336,"0")</f>
        <v>779</v>
      </c>
      <c r="Z337" s="541">
        <f>IFERROR(IF(Z334="",0,Z334),"0")+IFERROR(IF(Z335="",0,Z335),"0")+IFERROR(IF(Z336="",0,Z336),"0")</f>
        <v>5.0712900000000003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1635.9</v>
      </c>
      <c r="Y338" s="541">
        <f>IFERROR(SUM(Y334:Y336),"0")</f>
        <v>1635.9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105</v>
      </c>
      <c r="Y342" s="540">
        <f t="shared" ref="Y342:Y348" si="31">IFERROR(IF(X342="",0,CEILING((X342/$H342),1)*$H342),"")</f>
        <v>105</v>
      </c>
      <c r="Z342" s="36">
        <f>IFERROR(IF(Y342=0,"",ROUNDUP(Y342/H342,0)*0.02175),"")</f>
        <v>0.15225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108.29</v>
      </c>
      <c r="BN342" s="64">
        <f t="shared" ref="BN342:BN348" si="33">IFERROR(Y342*I342/H342,"0")</f>
        <v>108.29</v>
      </c>
      <c r="BO342" s="64">
        <f t="shared" ref="BO342:BO348" si="34">IFERROR(1/J342*(X342/H342),"0")</f>
        <v>0.14583333333333331</v>
      </c>
      <c r="BP342" s="64">
        <f t="shared" ref="BP342:BP348" si="35">IFERROR(1/J342*(Y342/H342),"0")</f>
        <v>0.14583333333333331</v>
      </c>
    </row>
    <row r="343" spans="1:68" ht="27" hidden="1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90</v>
      </c>
      <c r="Y344" s="540">
        <f t="shared" si="31"/>
        <v>90</v>
      </c>
      <c r="Z344" s="36">
        <f>IFERROR(IF(Y344=0,"",ROUNDUP(Y344/H344,0)*0.02175),"")</f>
        <v>0.1305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92.82</v>
      </c>
      <c r="BN344" s="64">
        <f t="shared" si="33"/>
        <v>92.82</v>
      </c>
      <c r="BO344" s="64">
        <f t="shared" si="34"/>
        <v>0.125</v>
      </c>
      <c r="BP344" s="64">
        <f t="shared" si="35"/>
        <v>0.125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</v>
      </c>
      <c r="Y349" s="541">
        <f>IFERROR(Y342/H342,"0")+IFERROR(Y343/H343,"0")+IFERROR(Y344/H344,"0")+IFERROR(Y345/H345,"0")+IFERROR(Y346/H346,"0")+IFERROR(Y347/H347,"0")+IFERROR(Y348/H348,"0")</f>
        <v>13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0.28275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195</v>
      </c>
      <c r="Y350" s="541">
        <f>IFERROR(SUM(Y342:Y348),"0")</f>
        <v>195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132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150</v>
      </c>
      <c r="Y352" s="540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154.69999999999999</v>
      </c>
      <c r="BN352" s="64">
        <f>IFERROR(Y352*I352/H352,"0")</f>
        <v>154.69999999999999</v>
      </c>
      <c r="BO352" s="64">
        <f>IFERROR(1/J352*(X352/H352),"0")</f>
        <v>0.20833333333333331</v>
      </c>
      <c r="BP352" s="64">
        <f>IFERROR(1/J352*(Y352/H352),"0")</f>
        <v>0.20833333333333331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10</v>
      </c>
      <c r="Y354" s="541">
        <f>IFERROR(Y352/H352,"0")+IFERROR(Y353/H353,"0")</f>
        <v>10</v>
      </c>
      <c r="Z354" s="541">
        <f>IFERROR(IF(Z352="",0,Z352),"0")+IFERROR(IF(Z353="",0,Z353),"0")</f>
        <v>0.21749999999999997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150</v>
      </c>
      <c r="Y355" s="541">
        <f>IFERROR(SUM(Y352:Y353),"0")</f>
        <v>150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160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107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107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132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107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 t="s">
        <v>320</v>
      </c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 t="s">
        <v>195</v>
      </c>
      <c r="AK409" s="68">
        <v>37.799999999999997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107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107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107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idden="1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hidden="1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132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hidden="1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/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/>
      <c r="AK434" s="68">
        <v>0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/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/>
      <c r="AK440" s="68">
        <v>0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/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107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107</v>
      </c>
      <c r="L444" s="32"/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107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580</v>
      </c>
      <c r="Y460" s="540">
        <f>IFERROR(IF(X460="",0,CEILING((X460/$H460),1)*$H460),"")</f>
        <v>580</v>
      </c>
      <c r="Z460" s="36">
        <f>IFERROR(IF(Y460=0,"",ROUNDUP(Y460/H460,0)*0.00902),"")</f>
        <v>1.3079000000000001</v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607.55000000000007</v>
      </c>
      <c r="BN460" s="64">
        <f>IFERROR(Y460*I460/H460,"0")</f>
        <v>607.55000000000007</v>
      </c>
      <c r="BO460" s="64">
        <f>IFERROR(1/J460*(X460/H460),"0")</f>
        <v>1.0984848484848486</v>
      </c>
      <c r="BP460" s="64">
        <f>IFERROR(1/J460*(Y460/H460),"0")</f>
        <v>1.0984848484848486</v>
      </c>
    </row>
    <row r="461" spans="1:68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145</v>
      </c>
      <c r="Y461" s="541">
        <f>IFERROR(Y457/H457,"0")+IFERROR(Y458/H458,"0")+IFERROR(Y459/H459,"0")+IFERROR(Y460/H460,"0")</f>
        <v>145</v>
      </c>
      <c r="Z461" s="541">
        <f>IFERROR(IF(Z457="",0,Z457),"0")+IFERROR(IF(Z458="",0,Z458),"0")+IFERROR(IF(Z459="",0,Z459),"0")+IFERROR(IF(Z460="",0,Z460),"0")</f>
        <v>1.3079000000000001</v>
      </c>
      <c r="AA461" s="542"/>
      <c r="AB461" s="542"/>
      <c r="AC461" s="542"/>
    </row>
    <row r="462" spans="1:68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580</v>
      </c>
      <c r="Y462" s="541">
        <f>IFERROR(SUM(Y457:Y460),"0")</f>
        <v>580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132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107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107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160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5988.380000000001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5988.380000000001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6438.5599999999995</v>
      </c>
      <c r="Y489" s="541">
        <f>IFERROR(SUM(BN22:BN485),"0")</f>
        <v>6438.5599999999995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13</v>
      </c>
      <c r="Y490" s="38">
        <f>ROUNDUP(SUM(BP22:BP485),0)</f>
        <v>13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6763.5599999999995</v>
      </c>
      <c r="Y491" s="541">
        <f>GrossWeightTotalR+PalletQtyTotalR*25</f>
        <v>6763.5599999999995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2147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2147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14.818810000000001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63</v>
      </c>
      <c r="C496" s="571" t="s">
        <v>98</v>
      </c>
      <c r="D496" s="571" t="s">
        <v>113</v>
      </c>
      <c r="E496" s="571" t="s">
        <v>167</v>
      </c>
      <c r="F496" s="571" t="s">
        <v>186</v>
      </c>
      <c r="G496" s="571" t="s">
        <v>219</v>
      </c>
      <c r="H496" s="571" t="s">
        <v>97</v>
      </c>
      <c r="I496" s="571" t="s">
        <v>251</v>
      </c>
      <c r="J496" s="571" t="s">
        <v>295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100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1000.8000000000001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991.8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732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21.78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581.1</v>
      </c>
      <c r="R498" s="46">
        <f>IFERROR(Y334*1,"0")+IFERROR(Y335*1,"0")+IFERROR(Y336*1,"0")</f>
        <v>1635.9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345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580</v>
      </c>
      <c r="Z498" s="46">
        <f>IFERROR(Y485*1,"0")</f>
        <v>0</v>
      </c>
      <c r="AB498" s="52"/>
      <c r="AC498" s="52"/>
      <c r="AF498" s="537"/>
    </row>
  </sheetData>
  <sheetProtection algorithmName="SHA-512" hashValue="/rB38atks7AYaILTT1JGI/ym6sHxfm4U0wNourChWxGmHlbypeILeRdtsMcguB9jcKywgXxtUaWZhrbsdT3cMg==" saltValue="J9hhCA7KAK4GBFCYtZMYD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70"/>
        <filter val="1 635,90"/>
        <filter val="10,00"/>
        <filter val="100,00"/>
        <filter val="105,00"/>
        <filter val="11,00"/>
        <filter val="13"/>
        <filter val="13,00"/>
        <filter val="145,00"/>
        <filter val="150,00"/>
        <filter val="151,20"/>
        <filter val="160,80"/>
        <filter val="167,00"/>
        <filter val="180,00"/>
        <filter val="184,00"/>
        <filter val="195,00"/>
        <filter val="2 147,00"/>
        <filter val="20,40"/>
        <filter val="200,00"/>
        <filter val="204,00"/>
        <filter val="21,78"/>
        <filter val="235,20"/>
        <filter val="240,00"/>
        <filter val="25,00"/>
        <filter val="267,00"/>
        <filter val="331,20"/>
        <filter val="34,00"/>
        <filter val="400,80"/>
        <filter val="450,00"/>
        <filter val="5 988,38"/>
        <filter val="550,80"/>
        <filter val="560,70"/>
        <filter val="580,00"/>
        <filter val="6 438,56"/>
        <filter val="6 763,56"/>
        <filter val="779,00"/>
        <filter val="8,00"/>
        <filter val="90,00"/>
        <filter val="900,00"/>
        <filter val="91,8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199 X209 X211 X335:X336 X409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746</v>
      </c>
      <c r="D6" s="47" t="s">
        <v>747</v>
      </c>
      <c r="E6" s="47"/>
    </row>
    <row r="8" spans="2:8" x14ac:dyDescent="0.2">
      <c r="B8" s="47" t="s">
        <v>19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zcJns4iumKP1B3b+jtdWJYgGY02hHyi8VKdBsKFegcDeB3wGGPpxejWh+C55eMBX/X4npcwSP2rAAFPOMQkKiQ==" saltValue="gII+n5l3VfLK2WmQOO3w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