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E92216-5CEA-4FE6-9DF4-39EF526CCA5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BP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8" i="1" l="1"/>
  <c r="Y32" i="1"/>
  <c r="Z34" i="1"/>
  <c r="Z35" i="1" s="1"/>
  <c r="BN34" i="1"/>
  <c r="BP34" i="1"/>
  <c r="Y35" i="1"/>
  <c r="Z40" i="1"/>
  <c r="BN40" i="1"/>
  <c r="Z55" i="1"/>
  <c r="BN55" i="1"/>
  <c r="Z75" i="1"/>
  <c r="BN75" i="1"/>
  <c r="Z94" i="1"/>
  <c r="BN94" i="1"/>
  <c r="Z113" i="1"/>
  <c r="BN113" i="1"/>
  <c r="Z134" i="1"/>
  <c r="BN134" i="1"/>
  <c r="Z175" i="1"/>
  <c r="BN175" i="1"/>
  <c r="Z198" i="1"/>
  <c r="BN198" i="1"/>
  <c r="Z208" i="1"/>
  <c r="BN208" i="1"/>
  <c r="Z218" i="1"/>
  <c r="BN218" i="1"/>
  <c r="Z219" i="1"/>
  <c r="BN219" i="1"/>
  <c r="Z224" i="1"/>
  <c r="BN224" i="1"/>
  <c r="Z232" i="1"/>
  <c r="BN232" i="1"/>
  <c r="Z257" i="1"/>
  <c r="BN257" i="1"/>
  <c r="Z273" i="1"/>
  <c r="BN273" i="1"/>
  <c r="Z292" i="1"/>
  <c r="BN292" i="1"/>
  <c r="Z308" i="1"/>
  <c r="BN308" i="1"/>
  <c r="Z322" i="1"/>
  <c r="BN322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Z79" i="1"/>
  <c r="BN79" i="1"/>
  <c r="BP79" i="1"/>
  <c r="Z92" i="1"/>
  <c r="BN92" i="1"/>
  <c r="Z99" i="1"/>
  <c r="BN99" i="1"/>
  <c r="Z107" i="1"/>
  <c r="BN107" i="1"/>
  <c r="Z115" i="1"/>
  <c r="BN115" i="1"/>
  <c r="Z130" i="1"/>
  <c r="BN130" i="1"/>
  <c r="Y136" i="1"/>
  <c r="Z141" i="1"/>
  <c r="BN141" i="1"/>
  <c r="Z145" i="1"/>
  <c r="BN145" i="1"/>
  <c r="Z164" i="1"/>
  <c r="BN164" i="1"/>
  <c r="Z165" i="1"/>
  <c r="BN165" i="1"/>
  <c r="Z169" i="1"/>
  <c r="BN169" i="1"/>
  <c r="Z186" i="1"/>
  <c r="BN186" i="1"/>
  <c r="Y192" i="1"/>
  <c r="Z196" i="1"/>
  <c r="BN196" i="1"/>
  <c r="Z200" i="1"/>
  <c r="BN200" i="1"/>
  <c r="Z206" i="1"/>
  <c r="BN206" i="1"/>
  <c r="BP206" i="1"/>
  <c r="Z210" i="1"/>
  <c r="BN210" i="1"/>
  <c r="Z214" i="1"/>
  <c r="BN214" i="1"/>
  <c r="Z226" i="1"/>
  <c r="BN226" i="1"/>
  <c r="Z230" i="1"/>
  <c r="BN230" i="1"/>
  <c r="Z246" i="1"/>
  <c r="BN246" i="1"/>
  <c r="Z255" i="1"/>
  <c r="BN255" i="1"/>
  <c r="Z264" i="1"/>
  <c r="BN264" i="1"/>
  <c r="Z271" i="1"/>
  <c r="BN271" i="1"/>
  <c r="Z278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8" i="1"/>
  <c r="Y317" i="1"/>
  <c r="Y379" i="1"/>
  <c r="Y453" i="1"/>
  <c r="Y452" i="1"/>
  <c r="Z43" i="1"/>
  <c r="F9" i="1"/>
  <c r="J9" i="1"/>
  <c r="F10" i="1"/>
  <c r="Y31" i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Z369" i="1"/>
  <c r="D498" i="1"/>
  <c r="H9" i="1"/>
  <c r="B498" i="1"/>
  <c r="X489" i="1"/>
  <c r="X491" i="1" s="1"/>
  <c r="X490" i="1"/>
  <c r="X492" i="1"/>
  <c r="Y24" i="1"/>
  <c r="Z27" i="1"/>
  <c r="BN27" i="1"/>
  <c r="Z29" i="1"/>
  <c r="BN29" i="1"/>
  <c r="C498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Z324" i="1" s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Z41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Y370" i="1"/>
  <c r="Y375" i="1"/>
  <c r="BP372" i="1"/>
  <c r="BN372" i="1"/>
  <c r="Z372" i="1"/>
  <c r="Z374" i="1" s="1"/>
  <c r="Y374" i="1"/>
  <c r="Z379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220" i="1" l="1"/>
  <c r="Y490" i="1"/>
  <c r="Z57" i="1"/>
  <c r="Z31" i="1"/>
  <c r="Z103" i="1"/>
  <c r="Y492" i="1"/>
  <c r="Z461" i="1"/>
  <c r="Z452" i="1"/>
  <c r="Z398" i="1"/>
  <c r="Z234" i="1"/>
  <c r="Z215" i="1"/>
  <c r="Y489" i="1"/>
  <c r="Y491" i="1" s="1"/>
  <c r="Z187" i="1"/>
  <c r="Z393" i="1"/>
  <c r="Z337" i="1"/>
  <c r="Z304" i="1"/>
  <c r="Z294" i="1"/>
  <c r="Z116" i="1"/>
  <c r="Z437" i="1"/>
  <c r="Z446" i="1"/>
  <c r="Z431" i="1"/>
  <c r="Z349" i="1"/>
  <c r="Z330" i="1"/>
  <c r="Z285" i="1"/>
  <c r="Z267" i="1"/>
  <c r="Z259" i="1"/>
  <c r="Z250" i="1"/>
  <c r="Z203" i="1"/>
  <c r="Z171" i="1"/>
  <c r="Z69" i="1"/>
  <c r="Y488" i="1"/>
  <c r="Z493" i="1" l="1"/>
</calcChain>
</file>

<file path=xl/sharedStrings.xml><?xml version="1.0" encoding="utf-8"?>
<sst xmlns="http://schemas.openxmlformats.org/spreadsheetml/2006/main" count="2269" uniqueCount="761">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</sst>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8</v>
      </c>
      <c r="B5" s="625"/>
      <c r="C5" s="626"/>
      <c r="D5" s="596"/>
      <c r="E5" s="597"/>
      <c r="F5" s="822" t="s">
        <v>9</v>
      </c>
      <c r="G5" s="626"/>
      <c r="H5" s="596" t="s">
        <v>760</v>
      </c>
      <c r="I5" s="764"/>
      <c r="J5" s="764"/>
      <c r="K5" s="764"/>
      <c r="L5" s="764"/>
      <c r="M5" s="597"/>
      <c r="N5" s="58"/>
      <c r="P5" s="24" t="s">
        <v>10</v>
      </c>
      <c r="Q5" s="831">
        <v>45985</v>
      </c>
      <c r="R5" s="656"/>
      <c r="T5" s="703" t="s">
        <v>11</v>
      </c>
      <c r="U5" s="704"/>
      <c r="V5" s="705" t="s">
        <v>12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13</v>
      </c>
      <c r="B6" s="625"/>
      <c r="C6" s="626"/>
      <c r="D6" s="767" t="s">
        <v>14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15</v>
      </c>
      <c r="Q6" s="839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7" t="s">
        <v>16</v>
      </c>
      <c r="U6" s="704"/>
      <c r="V6" s="749" t="s">
        <v>17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18</v>
      </c>
      <c r="B8" s="546"/>
      <c r="C8" s="547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27">
        <v>0.375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21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22</v>
      </c>
      <c r="Q10" s="708"/>
      <c r="R10" s="709"/>
      <c r="U10" s="24" t="s">
        <v>23</v>
      </c>
      <c r="V10" s="578" t="s">
        <v>24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5"/>
      <c r="R11" s="656"/>
      <c r="U11" s="24" t="s">
        <v>27</v>
      </c>
      <c r="V11" s="785" t="s">
        <v>28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30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31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32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33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34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35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36</v>
      </c>
      <c r="B17" s="576" t="s">
        <v>37</v>
      </c>
      <c r="C17" s="630" t="s">
        <v>38</v>
      </c>
      <c r="D17" s="576" t="s">
        <v>39</v>
      </c>
      <c r="E17" s="636"/>
      <c r="F17" s="576" t="s">
        <v>40</v>
      </c>
      <c r="G17" s="576" t="s">
        <v>41</v>
      </c>
      <c r="H17" s="576" t="s">
        <v>42</v>
      </c>
      <c r="I17" s="576" t="s">
        <v>43</v>
      </c>
      <c r="J17" s="576" t="s">
        <v>44</v>
      </c>
      <c r="K17" s="576" t="s">
        <v>45</v>
      </c>
      <c r="L17" s="576" t="s">
        <v>46</v>
      </c>
      <c r="M17" s="576" t="s">
        <v>47</v>
      </c>
      <c r="N17" s="576" t="s">
        <v>48</v>
      </c>
      <c r="O17" s="576" t="s">
        <v>49</v>
      </c>
      <c r="P17" s="576" t="s">
        <v>50</v>
      </c>
      <c r="Q17" s="635"/>
      <c r="R17" s="635"/>
      <c r="S17" s="635"/>
      <c r="T17" s="636"/>
      <c r="U17" s="855" t="s">
        <v>51</v>
      </c>
      <c r="V17" s="626"/>
      <c r="W17" s="576" t="s">
        <v>52</v>
      </c>
      <c r="X17" s="576" t="s">
        <v>53</v>
      </c>
      <c r="Y17" s="856" t="s">
        <v>54</v>
      </c>
      <c r="Z17" s="761" t="s">
        <v>55</v>
      </c>
      <c r="AA17" s="735" t="s">
        <v>56</v>
      </c>
      <c r="AB17" s="735" t="s">
        <v>57</v>
      </c>
      <c r="AC17" s="735" t="s">
        <v>58</v>
      </c>
      <c r="AD17" s="735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63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97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69</v>
      </c>
      <c r="X41" s="539">
        <v>192</v>
      </c>
      <c r="Y41" s="540">
        <f>IFERROR(IF(X41="",0,CEILING((X41/$H41),1)*$H41),"")</f>
        <v>192</v>
      </c>
      <c r="Z41" s="36">
        <f>IFERROR(IF(Y41=0,"",ROUNDUP(Y41/H41,0)*0.00902),"")</f>
        <v>0.43296000000000001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201.12</v>
      </c>
      <c r="BN41" s="64">
        <f>IFERROR(Y41*I41/H41,"0")</f>
        <v>201.12</v>
      </c>
      <c r="BO41" s="64">
        <f>IFERROR(1/J41*(X41/H41),"0")</f>
        <v>0.36363636363636365</v>
      </c>
      <c r="BP41" s="64">
        <f>IFERROR(1/J41*(Y41/H41),"0")</f>
        <v>0.36363636363636365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57.25925925925926</v>
      </c>
      <c r="Y43" s="541">
        <f>IFERROR(Y40/H40,"0")+IFERROR(Y41/H41,"0")+IFERROR(Y42/H42,"0")</f>
        <v>58</v>
      </c>
      <c r="Z43" s="541">
        <f>IFERROR(IF(Z40="",0,Z40),"0")+IFERROR(IF(Z41="",0,Z41),"0")+IFERROR(IF(Z42="",0,Z42),"0")</f>
        <v>0.62275999999999998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292</v>
      </c>
      <c r="Y44" s="541">
        <f>IFERROR(SUM(Y40:Y42),"0")</f>
        <v>300</v>
      </c>
      <c r="Z44" s="37"/>
      <c r="AA44" s="542"/>
      <c r="AB44" s="542"/>
      <c r="AC44" s="542"/>
    </row>
    <row r="45" spans="1:68" ht="14.25" hidden="1" customHeight="1" x14ac:dyDescent="0.25">
      <c r="A45" s="556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69</v>
      </c>
      <c r="X52" s="539">
        <v>300</v>
      </c>
      <c r="Y52" s="540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311.38888888888891</v>
      </c>
      <c r="BN52" s="64">
        <f t="shared" si="2"/>
        <v>313.88</v>
      </c>
      <c r="BO52" s="64">
        <f t="shared" si="3"/>
        <v>0.43402777777777773</v>
      </c>
      <c r="BP52" s="64">
        <f t="shared" si="4"/>
        <v>0.4375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69</v>
      </c>
      <c r="X56" s="539">
        <v>180</v>
      </c>
      <c r="Y56" s="540">
        <f t="shared" si="0"/>
        <v>180</v>
      </c>
      <c r="Z56" s="36">
        <f>IFERROR(IF(Y56=0,"",ROUNDUP(Y56/H56,0)*0.00902),"")</f>
        <v>0.36080000000000001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187.60000000000002</v>
      </c>
      <c r="BN56" s="64">
        <f t="shared" si="2"/>
        <v>187.60000000000002</v>
      </c>
      <c r="BO56" s="64">
        <f t="shared" si="3"/>
        <v>0.30303030303030304</v>
      </c>
      <c r="BP56" s="64">
        <f t="shared" si="4"/>
        <v>0.30303030303030304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67.777777777777771</v>
      </c>
      <c r="Y57" s="541">
        <f>IFERROR(Y51/H51,"0")+IFERROR(Y52/H52,"0")+IFERROR(Y53/H53,"0")+IFERROR(Y54/H54,"0")+IFERROR(Y55/H55,"0")+IFERROR(Y56/H56,"0")</f>
        <v>68</v>
      </c>
      <c r="Z57" s="541">
        <f>IFERROR(IF(Z51="",0,Z51),"0")+IFERROR(IF(Z52="",0,Z52),"0")+IFERROR(IF(Z53="",0,Z53),"0")+IFERROR(IF(Z54="",0,Z54),"0")+IFERROR(IF(Z55="",0,Z55),"0")+IFERROR(IF(Z56="",0,Z56),"0")</f>
        <v>0.89224000000000003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480</v>
      </c>
      <c r="Y58" s="541">
        <f>IFERROR(SUM(Y51:Y56),"0")</f>
        <v>482.40000000000003</v>
      </c>
      <c r="Z58" s="37"/>
      <c r="AA58" s="542"/>
      <c r="AB58" s="542"/>
      <c r="AC58" s="542"/>
    </row>
    <row r="59" spans="1:68" ht="14.25" hidden="1" customHeight="1" x14ac:dyDescent="0.25">
      <c r="A59" s="556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69</v>
      </c>
      <c r="X60" s="539">
        <v>230</v>
      </c>
      <c r="Y60" s="540">
        <f>IFERROR(IF(X60="",0,CEILING((X60/$H60),1)*$H60),"")</f>
        <v>237.60000000000002</v>
      </c>
      <c r="Z60" s="36">
        <f>IFERROR(IF(Y60=0,"",ROUNDUP(Y60/H60,0)*0.01898),"")</f>
        <v>0.41755999999999999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238.7314814814815</v>
      </c>
      <c r="BN60" s="64">
        <f>IFERROR(Y60*I60/H60,"0")</f>
        <v>246.62000000000003</v>
      </c>
      <c r="BO60" s="64">
        <f>IFERROR(1/J60*(X60/H60),"0")</f>
        <v>0.33275462962962959</v>
      </c>
      <c r="BP60" s="64">
        <f>IFERROR(1/J60*(Y60/H60),"0")</f>
        <v>0.34375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69</v>
      </c>
      <c r="X62" s="539">
        <v>166.5</v>
      </c>
      <c r="Y62" s="540">
        <f>IFERROR(IF(X62="",0,CEILING((X62/$H62),1)*$H62),"")</f>
        <v>167.4</v>
      </c>
      <c r="Z62" s="36">
        <f>IFERROR(IF(Y62=0,"",ROUNDUP(Y62/H62,0)*0.00651),"")</f>
        <v>0.40362000000000003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177.6</v>
      </c>
      <c r="BN62" s="64">
        <f>IFERROR(Y62*I62/H62,"0")</f>
        <v>178.56</v>
      </c>
      <c r="BO62" s="64">
        <f>IFERROR(1/J62*(X62/H62),"0")</f>
        <v>0.33882783882783885</v>
      </c>
      <c r="BP62" s="64">
        <f>IFERROR(1/J62*(Y62/H62),"0")</f>
        <v>0.34065934065934067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82.962962962962962</v>
      </c>
      <c r="Y63" s="541">
        <f>IFERROR(Y60/H60,"0")+IFERROR(Y61/H61,"0")+IFERROR(Y62/H62,"0")</f>
        <v>84</v>
      </c>
      <c r="Z63" s="541">
        <f>IFERROR(IF(Z60="",0,Z60),"0")+IFERROR(IF(Z61="",0,Z61),"0")+IFERROR(IF(Z62="",0,Z62),"0")</f>
        <v>0.82118000000000002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396.5</v>
      </c>
      <c r="Y64" s="541">
        <f>IFERROR(SUM(Y60:Y62),"0")</f>
        <v>405</v>
      </c>
      <c r="Z64" s="37"/>
      <c r="AA64" s="542"/>
      <c r="AB64" s="542"/>
      <c r="AC64" s="542"/>
    </row>
    <row r="65" spans="1:68" ht="14.25" hidden="1" customHeight="1" x14ac:dyDescent="0.25">
      <c r="A65" s="556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69</v>
      </c>
      <c r="X79" s="539">
        <v>120</v>
      </c>
      <c r="Y79" s="540">
        <f>IFERROR(IF(X79="",0,CEILING((X79/$H79),1)*$H79),"")</f>
        <v>124.8</v>
      </c>
      <c r="Z79" s="36">
        <f>IFERROR(IF(Y79=0,"",ROUNDUP(Y79/H79,0)*0.01898),"")</f>
        <v>0.30368000000000001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126.30769230769232</v>
      </c>
      <c r="BN79" s="64">
        <f>IFERROR(Y79*I79/H79,"0")</f>
        <v>131.36000000000001</v>
      </c>
      <c r="BO79" s="64">
        <f>IFERROR(1/J79*(X79/H79),"0")</f>
        <v>0.24038461538461539</v>
      </c>
      <c r="BP79" s="64">
        <f>IFERROR(1/J79*(Y79/H79),"0")</f>
        <v>0.25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15.384615384615385</v>
      </c>
      <c r="Y81" s="541">
        <f>IFERROR(Y79/H79,"0")+IFERROR(Y80/H80,"0")</f>
        <v>16</v>
      </c>
      <c r="Z81" s="541">
        <f>IFERROR(IF(Z79="",0,Z79),"0")+IFERROR(IF(Z80="",0,Z80),"0")</f>
        <v>0.30368000000000001</v>
      </c>
      <c r="AA81" s="542"/>
      <c r="AB81" s="542"/>
      <c r="AC81" s="542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120</v>
      </c>
      <c r="Y82" s="541">
        <f>IFERROR(SUM(Y79:Y80),"0")</f>
        <v>124.8</v>
      </c>
      <c r="Z82" s="37"/>
      <c r="AA82" s="542"/>
      <c r="AB82" s="542"/>
      <c r="AC82" s="542"/>
    </row>
    <row r="83" spans="1:68" ht="16.5" hidden="1" customHeight="1" x14ac:dyDescent="0.25">
      <c r="A83" s="553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69</v>
      </c>
      <c r="X85" s="539">
        <v>200</v>
      </c>
      <c r="Y85" s="540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69</v>
      </c>
      <c r="X87" s="539">
        <v>540</v>
      </c>
      <c r="Y87" s="540">
        <f>IFERROR(IF(X87="",0,CEILING((X87/$H87),1)*$H87),"")</f>
        <v>540</v>
      </c>
      <c r="Z87" s="36">
        <f>IFERROR(IF(Y87=0,"",ROUNDUP(Y87/H87,0)*0.00902),"")</f>
        <v>1.0824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562.80000000000007</v>
      </c>
      <c r="BN87" s="64">
        <f>IFERROR(Y87*I87/H87,"0")</f>
        <v>562.80000000000007</v>
      </c>
      <c r="BO87" s="64">
        <f>IFERROR(1/J87*(X87/H87),"0")</f>
        <v>0.90909090909090917</v>
      </c>
      <c r="BP87" s="64">
        <f>IFERROR(1/J87*(Y87/H87),"0")</f>
        <v>0.90909090909090917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138.51851851851853</v>
      </c>
      <c r="Y88" s="541">
        <f>IFERROR(Y85/H85,"0")+IFERROR(Y86/H86,"0")+IFERROR(Y87/H87,"0")</f>
        <v>139</v>
      </c>
      <c r="Z88" s="541">
        <f>IFERROR(IF(Z85="",0,Z85),"0")+IFERROR(IF(Z86="",0,Z86),"0")+IFERROR(IF(Z87="",0,Z87),"0")</f>
        <v>1.44302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740</v>
      </c>
      <c r="Y89" s="541">
        <f>IFERROR(SUM(Y85:Y87),"0")</f>
        <v>745.2</v>
      </c>
      <c r="Z89" s="37"/>
      <c r="AA89" s="542"/>
      <c r="AB89" s="542"/>
      <c r="AC89" s="542"/>
    </row>
    <row r="90" spans="1:68" ht="14.25" hidden="1" customHeight="1" x14ac:dyDescent="0.25">
      <c r="A90" s="556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69</v>
      </c>
      <c r="X91" s="539">
        <v>280</v>
      </c>
      <c r="Y91" s="540">
        <f>IFERROR(IF(X91="",0,CEILING((X91/$H91),1)*$H91),"")</f>
        <v>283.5</v>
      </c>
      <c r="Z91" s="36">
        <f>IFERROR(IF(Y91=0,"",ROUNDUP(Y91/H91,0)*0.01898),"")</f>
        <v>0.6643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297.07654320987655</v>
      </c>
      <c r="BN91" s="64">
        <f>IFERROR(Y91*I91/H91,"0")</f>
        <v>300.79000000000002</v>
      </c>
      <c r="BO91" s="64">
        <f>IFERROR(1/J91*(X91/H91),"0")</f>
        <v>0.54012345679012352</v>
      </c>
      <c r="BP91" s="64">
        <f>IFERROR(1/J91*(Y91/H91),"0")</f>
        <v>0.546875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151.23456790123456</v>
      </c>
      <c r="Y95" s="541">
        <f>IFERROR(Y91/H91,"0")+IFERROR(Y92/H92,"0")+IFERROR(Y93/H93,"0")+IFERROR(Y94/H94,"0")</f>
        <v>152</v>
      </c>
      <c r="Z95" s="541">
        <f>IFERROR(IF(Z91="",0,Z91),"0")+IFERROR(IF(Z92="",0,Z92),"0")+IFERROR(IF(Z93="",0,Z93),"0")+IFERROR(IF(Z94="",0,Z94),"0")</f>
        <v>1.42597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595</v>
      </c>
      <c r="Y96" s="541">
        <f>IFERROR(SUM(Y91:Y94),"0")</f>
        <v>599.40000000000009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69</v>
      </c>
      <c r="X99" s="539">
        <v>80</v>
      </c>
      <c r="Y99" s="540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83.037037037037038</v>
      </c>
      <c r="BN99" s="64">
        <f>IFERROR(Y99*I99/H99,"0")</f>
        <v>89.68</v>
      </c>
      <c r="BO99" s="64">
        <f>IFERROR(1/J99*(X99/H99),"0")</f>
        <v>0.11574074074074073</v>
      </c>
      <c r="BP99" s="64">
        <f>IFERROR(1/J99*(Y99/H99),"0")</f>
        <v>0.125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69</v>
      </c>
      <c r="X101" s="539">
        <v>540</v>
      </c>
      <c r="Y101" s="540">
        <f>IFERROR(IF(X101="",0,CEILING((X101/$H101),1)*$H101),"")</f>
        <v>540</v>
      </c>
      <c r="Z101" s="36">
        <f>IFERROR(IF(Y101=0,"",ROUNDUP(Y101/H101,0)*0.00902),"")</f>
        <v>1.0824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562.80000000000007</v>
      </c>
      <c r="BN101" s="64">
        <f>IFERROR(Y101*I101/H101,"0")</f>
        <v>562.80000000000007</v>
      </c>
      <c r="BO101" s="64">
        <f>IFERROR(1/J101*(X101/H101),"0")</f>
        <v>0.90909090909090917</v>
      </c>
      <c r="BP101" s="64">
        <f>IFERROR(1/J101*(Y101/H101),"0")</f>
        <v>0.90909090909090917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127.4074074074074</v>
      </c>
      <c r="Y103" s="541">
        <f>IFERROR(Y99/H99,"0")+IFERROR(Y100/H100,"0")+IFERROR(Y101/H101,"0")+IFERROR(Y102/H102,"0")</f>
        <v>128</v>
      </c>
      <c r="Z103" s="541">
        <f>IFERROR(IF(Z99="",0,Z99),"0")+IFERROR(IF(Z100="",0,Z100),"0")+IFERROR(IF(Z101="",0,Z101),"0")+IFERROR(IF(Z102="",0,Z102),"0")</f>
        <v>1.23424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620</v>
      </c>
      <c r="Y104" s="541">
        <f>IFERROR(SUM(Y99:Y102),"0")</f>
        <v>626.4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69</v>
      </c>
      <c r="X112" s="539">
        <v>480</v>
      </c>
      <c r="Y112" s="540">
        <f>IFERROR(IF(X112="",0,CEILING((X112/$H112),1)*$H112),"")</f>
        <v>486</v>
      </c>
      <c r="Z112" s="36">
        <f>IFERROR(IF(Y112=0,"",ROUNDUP(Y112/H112,0)*0.01898),"")</f>
        <v>1.1388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508.91851851851851</v>
      </c>
      <c r="BN112" s="64">
        <f>IFERROR(Y112*I112/H112,"0")</f>
        <v>515.28</v>
      </c>
      <c r="BO112" s="64">
        <f>IFERROR(1/J112*(X112/H112),"0")</f>
        <v>0.92592592592592593</v>
      </c>
      <c r="BP112" s="64">
        <f>IFERROR(1/J112*(Y112/H112),"0")</f>
        <v>0.9375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69</v>
      </c>
      <c r="X114" s="539">
        <v>450</v>
      </c>
      <c r="Y114" s="540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69</v>
      </c>
      <c r="X115" s="539">
        <v>30</v>
      </c>
      <c r="Y115" s="540">
        <f>IFERROR(IF(X115="",0,CEILING((X115/$H115),1)*$H115),"")</f>
        <v>30.6</v>
      </c>
      <c r="Z115" s="36">
        <f>IFERROR(IF(Y115=0,"",ROUNDUP(Y115/H115,0)*0.00651),"")</f>
        <v>0.11067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33</v>
      </c>
      <c r="BN115" s="64">
        <f>IFERROR(Y115*I115/H115,"0")</f>
        <v>33.659999999999997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242.59259259259258</v>
      </c>
      <c r="Y116" s="541">
        <f>IFERROR(Y112/H112,"0")+IFERROR(Y113/H113,"0")+IFERROR(Y114/H114,"0")+IFERROR(Y115/H115,"0")</f>
        <v>244</v>
      </c>
      <c r="Z116" s="541">
        <f>IFERROR(IF(Z112="",0,Z112),"0")+IFERROR(IF(Z113="",0,Z113),"0")+IFERROR(IF(Z114="",0,Z114),"0")+IFERROR(IF(Z115="",0,Z115),"0")</f>
        <v>2.3366400000000001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960</v>
      </c>
      <c r="Y117" s="541">
        <f>IFERROR(SUM(Y112:Y115),"0")</f>
        <v>967.50000000000011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69</v>
      </c>
      <c r="X119" s="539">
        <v>13.2</v>
      </c>
      <c r="Y119" s="540">
        <f>IFERROR(IF(X119="",0,CEILING((X119/$H119),1)*$H119),"")</f>
        <v>13.86</v>
      </c>
      <c r="Z119" s="36">
        <f>IFERROR(IF(Y119=0,"",ROUNDUP(Y119/H119,0)*0.00651),"")</f>
        <v>4.5569999999999999E-2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14.92</v>
      </c>
      <c r="BN119" s="64">
        <f>IFERROR(Y119*I119/H119,"0")</f>
        <v>15.666</v>
      </c>
      <c r="BO119" s="64">
        <f>IFERROR(1/J119*(X119/H119),"0")</f>
        <v>3.6630036630036632E-2</v>
      </c>
      <c r="BP119" s="64">
        <f>IFERROR(1/J119*(Y119/H119),"0")</f>
        <v>3.8461538461538464E-2</v>
      </c>
    </row>
    <row r="120" spans="1:68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6.6666666666666661</v>
      </c>
      <c r="Y120" s="541">
        <f>IFERROR(Y119/H119,"0")</f>
        <v>7</v>
      </c>
      <c r="Z120" s="541">
        <f>IFERROR(IF(Z119="",0,Z119),"0")</f>
        <v>4.5569999999999999E-2</v>
      </c>
      <c r="AA120" s="542"/>
      <c r="AB120" s="542"/>
      <c r="AC120" s="542"/>
    </row>
    <row r="121" spans="1:68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13.2</v>
      </c>
      <c r="Y121" s="541">
        <f>IFERROR(SUM(Y119:Y119),"0")</f>
        <v>13.86</v>
      </c>
      <c r="Z121" s="37"/>
      <c r="AA121" s="542"/>
      <c r="AB121" s="542"/>
      <c r="AC121" s="542"/>
    </row>
    <row r="122" spans="1:68" ht="16.5" hidden="1" customHeight="1" x14ac:dyDescent="0.25">
      <c r="A122" s="553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69</v>
      </c>
      <c r="X124" s="539">
        <v>64</v>
      </c>
      <c r="Y124" s="540">
        <f>IFERROR(IF(X124="",0,CEILING((X124/$H124),1)*$H124),"")</f>
        <v>64</v>
      </c>
      <c r="Z124" s="36">
        <f>IFERROR(IF(Y124=0,"",ROUNDUP(Y124/H124,0)*0.00651),"")</f>
        <v>0.13020000000000001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67.599999999999994</v>
      </c>
      <c r="BN124" s="64">
        <f>IFERROR(Y124*I124/H124,"0")</f>
        <v>67.599999999999994</v>
      </c>
      <c r="BO124" s="64">
        <f>IFERROR(1/J124*(X124/H124),"0")</f>
        <v>0.1098901098901099</v>
      </c>
      <c r="BP124" s="64">
        <f>IFERROR(1/J124*(Y124/H124),"0")</f>
        <v>0.1098901098901099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20</v>
      </c>
      <c r="Y126" s="541">
        <f>IFERROR(Y124/H124,"0")+IFERROR(Y125/H125,"0")</f>
        <v>20</v>
      </c>
      <c r="Z126" s="541">
        <f>IFERROR(IF(Z124="",0,Z124),"0")+IFERROR(IF(Z125="",0,Z125),"0")</f>
        <v>0.13020000000000001</v>
      </c>
      <c r="AA126" s="542"/>
      <c r="AB126" s="542"/>
      <c r="AC126" s="542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64</v>
      </c>
      <c r="Y127" s="541">
        <f>IFERROR(SUM(Y124:Y125),"0")</f>
        <v>64</v>
      </c>
      <c r="Z127" s="37"/>
      <c r="AA127" s="542"/>
      <c r="AB127" s="542"/>
      <c r="AC127" s="542"/>
    </row>
    <row r="128" spans="1:68" ht="14.25" hidden="1" customHeight="1" x14ac:dyDescent="0.25">
      <c r="A128" s="556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69</v>
      </c>
      <c r="X130" s="539">
        <v>42</v>
      </c>
      <c r="Y130" s="540">
        <f>IFERROR(IF(X130="",0,CEILING((X130/$H130),1)*$H130),"")</f>
        <v>42</v>
      </c>
      <c r="Z130" s="36">
        <f>IFERROR(IF(Y130=0,"",ROUNDUP(Y130/H130,0)*0.00651),"")</f>
        <v>9.7650000000000001E-2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46.02</v>
      </c>
      <c r="BN130" s="64">
        <f>IFERROR(Y130*I130/H130,"0")</f>
        <v>46.02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15.000000000000002</v>
      </c>
      <c r="Y131" s="541">
        <f>IFERROR(Y129/H129,"0")+IFERROR(Y130/H130,"0")</f>
        <v>15.000000000000002</v>
      </c>
      <c r="Z131" s="541">
        <f>IFERROR(IF(Z129="",0,Z129),"0")+IFERROR(IF(Z130="",0,Z130),"0")</f>
        <v>9.7650000000000001E-2</v>
      </c>
      <c r="AA131" s="542"/>
      <c r="AB131" s="542"/>
      <c r="AC131" s="542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42</v>
      </c>
      <c r="Y132" s="541">
        <f>IFERROR(SUM(Y129:Y130),"0")</f>
        <v>42</v>
      </c>
      <c r="Z132" s="37"/>
      <c r="AA132" s="542"/>
      <c r="AB132" s="542"/>
      <c r="AC132" s="542"/>
    </row>
    <row r="133" spans="1:68" ht="14.25" hidden="1" customHeight="1" x14ac:dyDescent="0.25">
      <c r="A133" s="556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69</v>
      </c>
      <c r="X135" s="539">
        <v>26.4</v>
      </c>
      <c r="Y135" s="540">
        <f>IFERROR(IF(X135="",0,CEILING((X135/$H135),1)*$H135),"")</f>
        <v>26.400000000000002</v>
      </c>
      <c r="Z135" s="36">
        <f>IFERROR(IF(Y135=0,"",ROUNDUP(Y135/H135,0)*0.00651),"")</f>
        <v>6.5100000000000005E-2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29.079999999999995</v>
      </c>
      <c r="BN135" s="64">
        <f>IFERROR(Y135*I135/H135,"0")</f>
        <v>29.080000000000002</v>
      </c>
      <c r="BO135" s="64">
        <f>IFERROR(1/J135*(X135/H135),"0")</f>
        <v>5.4945054945054937E-2</v>
      </c>
      <c r="BP135" s="64">
        <f>IFERROR(1/J135*(Y135/H135),"0")</f>
        <v>5.4945054945054951E-2</v>
      </c>
    </row>
    <row r="136" spans="1:68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9.9999999999999982</v>
      </c>
      <c r="Y136" s="541">
        <f>IFERROR(Y134/H134,"0")+IFERROR(Y135/H135,"0")</f>
        <v>10</v>
      </c>
      <c r="Z136" s="541">
        <f>IFERROR(IF(Z134="",0,Z134),"0")+IFERROR(IF(Z135="",0,Z135),"0")</f>
        <v>6.5100000000000005E-2</v>
      </c>
      <c r="AA136" s="542"/>
      <c r="AB136" s="542"/>
      <c r="AC136" s="542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26.4</v>
      </c>
      <c r="Y137" s="541">
        <f>IFERROR(SUM(Y134:Y135),"0")</f>
        <v>26.400000000000002</v>
      </c>
      <c r="Z137" s="37"/>
      <c r="AA137" s="542"/>
      <c r="AB137" s="542"/>
      <c r="AC137" s="542"/>
    </row>
    <row r="138" spans="1:68" ht="16.5" hidden="1" customHeight="1" x14ac:dyDescent="0.25">
      <c r="A138" s="553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71</v>
      </c>
      <c r="Q142" s="546"/>
      <c r="R142" s="546"/>
      <c r="S142" s="546"/>
      <c r="T142" s="546"/>
      <c r="U142" s="546"/>
      <c r="V142" s="547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71</v>
      </c>
      <c r="Q143" s="546"/>
      <c r="R143" s="546"/>
      <c r="S143" s="546"/>
      <c r="T143" s="546"/>
      <c r="U143" s="546"/>
      <c r="V143" s="547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71</v>
      </c>
      <c r="Q148" s="546"/>
      <c r="R148" s="546"/>
      <c r="S148" s="546"/>
      <c r="T148" s="546"/>
      <c r="U148" s="546"/>
      <c r="V148" s="547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71</v>
      </c>
      <c r="Q149" s="546"/>
      <c r="R149" s="546"/>
      <c r="S149" s="546"/>
      <c r="T149" s="546"/>
      <c r="U149" s="546"/>
      <c r="V149" s="547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2" t="s">
        <v>249</v>
      </c>
      <c r="Q151" s="549"/>
      <c r="R151" s="549"/>
      <c r="S151" s="549"/>
      <c r="T151" s="550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71</v>
      </c>
      <c r="Q152" s="546"/>
      <c r="R152" s="546"/>
      <c r="S152" s="546"/>
      <c r="T152" s="546"/>
      <c r="U152" s="546"/>
      <c r="V152" s="547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71</v>
      </c>
      <c r="Q153" s="546"/>
      <c r="R153" s="546"/>
      <c r="S153" s="546"/>
      <c r="T153" s="546"/>
      <c r="U153" s="546"/>
      <c r="V153" s="547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251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252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71</v>
      </c>
      <c r="Q158" s="546"/>
      <c r="R158" s="546"/>
      <c r="S158" s="546"/>
      <c r="T158" s="546"/>
      <c r="U158" s="546"/>
      <c r="V158" s="547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71</v>
      </c>
      <c r="Q159" s="546"/>
      <c r="R159" s="546"/>
      <c r="S159" s="546"/>
      <c r="T159" s="546"/>
      <c r="U159" s="546"/>
      <c r="V159" s="547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69</v>
      </c>
      <c r="X161" s="539">
        <v>60</v>
      </c>
      <c r="Y161" s="540">
        <f t="shared" ref="Y161:Y170" si="5">IFERROR(IF(X161="",0,CEILING((X161/$H161),1)*$H161),"")</f>
        <v>63</v>
      </c>
      <c r="Z161" s="36">
        <f>IFERROR(IF(Y161=0,"",ROUNDUP(Y161/H161,0)*0.00902),"")</f>
        <v>0.1353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63.571428571428569</v>
      </c>
      <c r="BN161" s="64">
        <f t="shared" ref="BN161:BN170" si="7">IFERROR(Y161*I161/H161,"0")</f>
        <v>66.75</v>
      </c>
      <c r="BO161" s="64">
        <f t="shared" ref="BO161:BO170" si="8">IFERROR(1/J161*(X161/H161),"0")</f>
        <v>0.10822510822510822</v>
      </c>
      <c r="BP161" s="64">
        <f t="shared" ref="BP161:BP170" si="9">IFERROR(1/J161*(Y161/H161),"0")</f>
        <v>0.11363636363636365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69</v>
      </c>
      <c r="X162" s="539">
        <v>30</v>
      </c>
      <c r="Y162" s="540">
        <f t="shared" si="5"/>
        <v>33.6</v>
      </c>
      <c r="Z162" s="36">
        <f>IFERROR(IF(Y162=0,"",ROUNDUP(Y162/H162,0)*0.00902),"")</f>
        <v>7.2160000000000002E-2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31.785714285714285</v>
      </c>
      <c r="BN162" s="64">
        <f t="shared" si="7"/>
        <v>35.6</v>
      </c>
      <c r="BO162" s="64">
        <f t="shared" si="8"/>
        <v>5.4112554112554112E-2</v>
      </c>
      <c r="BP162" s="64">
        <f t="shared" si="9"/>
        <v>6.0606060606060608E-2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69</v>
      </c>
      <c r="X163" s="539">
        <v>60</v>
      </c>
      <c r="Y163" s="540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62.714285714285708</v>
      </c>
      <c r="BN163" s="64">
        <f t="shared" si="7"/>
        <v>65.849999999999994</v>
      </c>
      <c r="BO163" s="64">
        <f t="shared" si="8"/>
        <v>0.10822510822510822</v>
      </c>
      <c r="BP163" s="64">
        <f t="shared" si="9"/>
        <v>0.11363636363636365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69</v>
      </c>
      <c r="X164" s="539">
        <v>77</v>
      </c>
      <c r="Y164" s="540">
        <f t="shared" si="5"/>
        <v>77.7</v>
      </c>
      <c r="Z164" s="36">
        <f>IFERROR(IF(Y164=0,"",ROUNDUP(Y164/H164,0)*0.00502),"")</f>
        <v>0.18574000000000002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81.766666666666666</v>
      </c>
      <c r="BN164" s="64">
        <f t="shared" si="7"/>
        <v>82.51</v>
      </c>
      <c r="BO164" s="64">
        <f t="shared" si="8"/>
        <v>0.15669515669515671</v>
      </c>
      <c r="BP164" s="64">
        <f t="shared" si="9"/>
        <v>0.15811965811965814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3" t="s">
        <v>270</v>
      </c>
      <c r="Q165" s="549"/>
      <c r="R165" s="549"/>
      <c r="S165" s="549"/>
      <c r="T165" s="550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69</v>
      </c>
      <c r="X166" s="539">
        <v>77</v>
      </c>
      <c r="Y166" s="540">
        <f t="shared" si="5"/>
        <v>77.7</v>
      </c>
      <c r="Z166" s="36">
        <f>IFERROR(IF(Y166=0,"",ROUNDUP(Y166/H166,0)*0.00502),"")</f>
        <v>0.18574000000000002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81.766666666666666</v>
      </c>
      <c r="BN166" s="64">
        <f t="shared" si="7"/>
        <v>82.51</v>
      </c>
      <c r="BO166" s="64">
        <f t="shared" si="8"/>
        <v>0.15669515669515671</v>
      </c>
      <c r="BP166" s="64">
        <f t="shared" si="9"/>
        <v>0.15811965811965814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69</v>
      </c>
      <c r="X168" s="539">
        <v>140</v>
      </c>
      <c r="Y168" s="540">
        <f t="shared" si="5"/>
        <v>140.70000000000002</v>
      </c>
      <c r="Z168" s="36">
        <f>IFERROR(IF(Y168=0,"",ROUNDUP(Y168/H168,0)*0.00502),"")</f>
        <v>0.33634000000000003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146.66666666666666</v>
      </c>
      <c r="BN168" s="64">
        <f t="shared" si="7"/>
        <v>147.40000000000003</v>
      </c>
      <c r="BO168" s="64">
        <f t="shared" si="8"/>
        <v>0.28490028490028491</v>
      </c>
      <c r="BP168" s="64">
        <f t="shared" si="9"/>
        <v>0.28632478632478636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175.71428571428569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179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1.0505800000000001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IFERROR(SUM(X161:X170),"0")</f>
        <v>444</v>
      </c>
      <c r="Y172" s="541">
        <f>IFERROR(SUM(Y161:Y170),"0")</f>
        <v>455.70000000000005</v>
      </c>
      <c r="Z172" s="37"/>
      <c r="AA172" s="542"/>
      <c r="AB172" s="542"/>
      <c r="AC172" s="542"/>
    </row>
    <row r="173" spans="1:68" ht="14.25" hidden="1" customHeight="1" x14ac:dyDescent="0.25">
      <c r="A173" s="556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69</v>
      </c>
      <c r="X174" s="539">
        <v>10.5</v>
      </c>
      <c r="Y174" s="540">
        <f>IFERROR(IF(X174="",0,CEILING((X174/$H174),1)*$H174),"")</f>
        <v>11.34</v>
      </c>
      <c r="Z174" s="36">
        <f>IFERROR(IF(Y174=0,"",ROUNDUP(Y174/H174,0)*0.0059),"")</f>
        <v>5.3100000000000001E-2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12.083333333333332</v>
      </c>
      <c r="BN174" s="64">
        <f>IFERROR(Y174*I174/H174,"0")</f>
        <v>13.049999999999999</v>
      </c>
      <c r="BO174" s="64">
        <f>IFERROR(1/J174*(X174/H174),"0")</f>
        <v>3.8580246913580245E-2</v>
      </c>
      <c r="BP174" s="64">
        <f>IFERROR(1/J174*(Y174/H174),"0")</f>
        <v>4.1666666666666664E-2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69</v>
      </c>
      <c r="X175" s="539">
        <v>10.5</v>
      </c>
      <c r="Y175" s="540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69</v>
      </c>
      <c r="X176" s="539">
        <v>14</v>
      </c>
      <c r="Y176" s="540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27.777777777777779</v>
      </c>
      <c r="Y177" s="541">
        <f>IFERROR(Y174/H174,"0")+IFERROR(Y175/H175,"0")+IFERROR(Y176/H176,"0")</f>
        <v>30</v>
      </c>
      <c r="Z177" s="541">
        <f>IFERROR(IF(Z174="",0,Z174),"0")+IFERROR(IF(Z175="",0,Z175),"0")+IFERROR(IF(Z176="",0,Z176),"0")</f>
        <v>0.17699999999999999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35</v>
      </c>
      <c r="Y178" s="541">
        <f>IFERROR(SUM(Y174:Y176),"0")</f>
        <v>37.799999999999997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69</v>
      </c>
      <c r="X180" s="539">
        <v>8.4</v>
      </c>
      <c r="Y180" s="540">
        <f>IFERROR(IF(X180="",0,CEILING((X180/$H180),1)*$H180),"")</f>
        <v>8.82</v>
      </c>
      <c r="Z180" s="36">
        <f>IFERROR(IF(Y180=0,"",ROUNDUP(Y180/H180,0)*0.0059),"")</f>
        <v>4.1299999999999996E-2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9.6666666666666661</v>
      </c>
      <c r="BN180" s="64">
        <f>IFERROR(Y180*I180/H180,"0")</f>
        <v>10.15</v>
      </c>
      <c r="BO180" s="64">
        <f>IFERROR(1/J180*(X180/H180),"0")</f>
        <v>3.0864197530864196E-2</v>
      </c>
      <c r="BP180" s="64">
        <f>IFERROR(1/J180*(Y180/H180),"0")</f>
        <v>3.2407407407407406E-2</v>
      </c>
    </row>
    <row r="181" spans="1:68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6.666666666666667</v>
      </c>
      <c r="Y181" s="541">
        <f>IFERROR(Y180/H180,"0")</f>
        <v>7</v>
      </c>
      <c r="Z181" s="541">
        <f>IFERROR(IF(Z180="",0,Z180),"0")</f>
        <v>4.1299999999999996E-2</v>
      </c>
      <c r="AA181" s="542"/>
      <c r="AB181" s="542"/>
      <c r="AC181" s="542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8.4</v>
      </c>
      <c r="Y182" s="541">
        <f>IFERROR(SUM(Y180:Y180),"0")</f>
        <v>8.82</v>
      </c>
      <c r="Z182" s="37"/>
      <c r="AA182" s="542"/>
      <c r="AB182" s="542"/>
      <c r="AC182" s="542"/>
    </row>
    <row r="183" spans="1:68" ht="16.5" hidden="1" customHeight="1" x14ac:dyDescent="0.25">
      <c r="A183" s="553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69</v>
      </c>
      <c r="X195" s="539">
        <v>180</v>
      </c>
      <c r="Y195" s="540">
        <f t="shared" ref="Y195:Y202" si="10">IFERROR(IF(X195="",0,CEILING((X195/$H195),1)*$H195),"")</f>
        <v>183.60000000000002</v>
      </c>
      <c r="Z195" s="36">
        <f>IFERROR(IF(Y195=0,"",ROUNDUP(Y195/H195,0)*0.00902),"")</f>
        <v>0.30668000000000001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186.33333333333331</v>
      </c>
      <c r="BN195" s="64">
        <f t="shared" ref="BN195:BN202" si="12">IFERROR(Y195*I195/H195,"0")</f>
        <v>190.06</v>
      </c>
      <c r="BO195" s="64">
        <f t="shared" ref="BO195:BO202" si="13">IFERROR(1/J195*(X195/H195),"0")</f>
        <v>0.25252525252525249</v>
      </c>
      <c r="BP195" s="64">
        <f t="shared" ref="BP195:BP202" si="14">IFERROR(1/J195*(Y195/H195),"0")</f>
        <v>0.25757575757575757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69</v>
      </c>
      <c r="X197" s="539">
        <v>230</v>
      </c>
      <c r="Y197" s="540">
        <f t="shared" si="10"/>
        <v>232.20000000000002</v>
      </c>
      <c r="Z197" s="36">
        <f>IFERROR(IF(Y197=0,"",ROUNDUP(Y197/H197,0)*0.00902),"")</f>
        <v>0.38785999999999998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238.09259259259258</v>
      </c>
      <c r="BN197" s="64">
        <f t="shared" si="12"/>
        <v>240.37</v>
      </c>
      <c r="BO197" s="64">
        <f t="shared" si="13"/>
        <v>0.32267115600448931</v>
      </c>
      <c r="BP197" s="64">
        <f t="shared" si="14"/>
        <v>0.32575757575757575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69</v>
      </c>
      <c r="X198" s="539">
        <v>70</v>
      </c>
      <c r="Y198" s="540">
        <f t="shared" si="10"/>
        <v>70.2</v>
      </c>
      <c r="Z198" s="36">
        <f>IFERROR(IF(Y198=0,"",ROUNDUP(Y198/H198,0)*0.00902),"")</f>
        <v>0.11726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72.462962962962962</v>
      </c>
      <c r="BN198" s="64">
        <f t="shared" si="12"/>
        <v>72.67</v>
      </c>
      <c r="BO198" s="64">
        <f t="shared" si="13"/>
        <v>9.8204264870931535E-2</v>
      </c>
      <c r="BP198" s="64">
        <f t="shared" si="14"/>
        <v>9.8484848484848481E-2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69</v>
      </c>
      <c r="X199" s="539">
        <v>90</v>
      </c>
      <c r="Y199" s="540">
        <f t="shared" si="10"/>
        <v>90</v>
      </c>
      <c r="Z199" s="36">
        <f>IFERROR(IF(Y199=0,"",ROUNDUP(Y199/H199,0)*0.00502),"")</f>
        <v>0.251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96.499999999999986</v>
      </c>
      <c r="BN199" s="64">
        <f t="shared" si="12"/>
        <v>96.499999999999986</v>
      </c>
      <c r="BO199" s="64">
        <f t="shared" si="13"/>
        <v>0.21367521367521369</v>
      </c>
      <c r="BP199" s="64">
        <f t="shared" si="14"/>
        <v>0.21367521367521369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69</v>
      </c>
      <c r="X200" s="539">
        <v>60</v>
      </c>
      <c r="Y200" s="540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69</v>
      </c>
      <c r="X201" s="539">
        <v>60</v>
      </c>
      <c r="Y201" s="540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69</v>
      </c>
      <c r="X202" s="539">
        <v>45</v>
      </c>
      <c r="Y202" s="540">
        <f t="shared" si="10"/>
        <v>45</v>
      </c>
      <c r="Z202" s="36">
        <f>IFERROR(IF(Y202=0,"",ROUNDUP(Y202/H202,0)*0.00502),"")</f>
        <v>0.1255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47.5</v>
      </c>
      <c r="BN202" s="64">
        <f t="shared" si="12"/>
        <v>47.5</v>
      </c>
      <c r="BO202" s="64">
        <f t="shared" si="13"/>
        <v>0.10683760683760685</v>
      </c>
      <c r="BP202" s="64">
        <f t="shared" si="14"/>
        <v>0.10683760683760685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239.81481481481484</v>
      </c>
      <c r="Y203" s="541">
        <f>IFERROR(Y195/H195,"0")+IFERROR(Y196/H196,"0")+IFERROR(Y197/H197,"0")+IFERROR(Y198/H198,"0")+IFERROR(Y199/H199,"0")+IFERROR(Y200/H200,"0")+IFERROR(Y201/H201,"0")+IFERROR(Y202/H202,"0")</f>
        <v>243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1.6198599999999999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785</v>
      </c>
      <c r="Y204" s="541">
        <f>IFERROR(SUM(Y195:Y202),"0")</f>
        <v>797.4000000000002</v>
      </c>
      <c r="Z204" s="37"/>
      <c r="AA204" s="542"/>
      <c r="AB204" s="542"/>
      <c r="AC204" s="542"/>
    </row>
    <row r="205" spans="1:68" ht="14.25" hidden="1" customHeight="1" x14ac:dyDescent="0.25">
      <c r="A205" s="556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69</v>
      </c>
      <c r="X208" s="539">
        <v>140</v>
      </c>
      <c r="Y208" s="540">
        <f t="shared" si="15"/>
        <v>147.89999999999998</v>
      </c>
      <c r="Z208" s="36">
        <f>IFERROR(IF(Y208=0,"",ROUNDUP(Y208/H208,0)*0.01898),"")</f>
        <v>0.32266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147.94942528735635</v>
      </c>
      <c r="BN208" s="64">
        <f t="shared" si="17"/>
        <v>156.298</v>
      </c>
      <c r="BO208" s="64">
        <f t="shared" si="18"/>
        <v>0.25143678160919541</v>
      </c>
      <c r="BP208" s="64">
        <f t="shared" si="19"/>
        <v>0.265625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69</v>
      </c>
      <c r="X209" s="539">
        <v>312</v>
      </c>
      <c r="Y209" s="540">
        <f t="shared" si="15"/>
        <v>312</v>
      </c>
      <c r="Z209" s="36">
        <f t="shared" ref="Z209:Z214" si="20">IFERROR(IF(Y209=0,"",ROUNDUP(Y209/H209,0)*0.00651),"")</f>
        <v>0.84630000000000005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347.1</v>
      </c>
      <c r="BN209" s="64">
        <f t="shared" si="17"/>
        <v>347.1</v>
      </c>
      <c r="BO209" s="64">
        <f t="shared" si="18"/>
        <v>0.7142857142857143</v>
      </c>
      <c r="BP209" s="64">
        <f t="shared" si="19"/>
        <v>0.7142857142857143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69</v>
      </c>
      <c r="X211" s="539">
        <v>280</v>
      </c>
      <c r="Y211" s="540">
        <f t="shared" si="15"/>
        <v>280.8</v>
      </c>
      <c r="Z211" s="36">
        <f t="shared" si="20"/>
        <v>0.76167000000000007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309.40000000000003</v>
      </c>
      <c r="BN211" s="64">
        <f t="shared" si="17"/>
        <v>310.28400000000005</v>
      </c>
      <c r="BO211" s="64">
        <f t="shared" si="18"/>
        <v>0.64102564102564108</v>
      </c>
      <c r="BP211" s="64">
        <f t="shared" si="19"/>
        <v>0.64285714285714302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69</v>
      </c>
      <c r="X213" s="539">
        <v>88</v>
      </c>
      <c r="Y213" s="540">
        <f t="shared" si="15"/>
        <v>88.8</v>
      </c>
      <c r="Z213" s="36">
        <f t="shared" si="20"/>
        <v>0.24087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97.240000000000009</v>
      </c>
      <c r="BN213" s="64">
        <f t="shared" si="17"/>
        <v>98.124000000000009</v>
      </c>
      <c r="BO213" s="64">
        <f t="shared" si="18"/>
        <v>0.2014652014652015</v>
      </c>
      <c r="BP213" s="64">
        <f t="shared" si="19"/>
        <v>0.20329670329670332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69</v>
      </c>
      <c r="X214" s="539">
        <v>240</v>
      </c>
      <c r="Y214" s="540">
        <f t="shared" si="15"/>
        <v>240</v>
      </c>
      <c r="Z214" s="36">
        <f t="shared" si="20"/>
        <v>0.65100000000000002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265.8</v>
      </c>
      <c r="BN214" s="64">
        <f t="shared" si="17"/>
        <v>265.8</v>
      </c>
      <c r="BO214" s="64">
        <f t="shared" si="18"/>
        <v>0.5494505494505495</v>
      </c>
      <c r="BP214" s="64">
        <f t="shared" si="19"/>
        <v>0.5494505494505495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399.42528735632186</v>
      </c>
      <c r="Y215" s="541">
        <f>IFERROR(Y206/H206,"0")+IFERROR(Y207/H207,"0")+IFERROR(Y208/H208,"0")+IFERROR(Y209/H209,"0")+IFERROR(Y210/H210,"0")+IFERROR(Y211/H211,"0")+IFERROR(Y212/H212,"0")+IFERROR(Y213/H213,"0")+IFERROR(Y214/H214,"0")</f>
        <v>401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2.8224999999999998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1060</v>
      </c>
      <c r="Y216" s="541">
        <f>IFERROR(SUM(Y206:Y214),"0")</f>
        <v>1069.5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69</v>
      </c>
      <c r="X218" s="539">
        <v>28</v>
      </c>
      <c r="Y218" s="540">
        <f>IFERROR(IF(X218="",0,CEILING((X218/$H218),1)*$H218),"")</f>
        <v>28.799999999999997</v>
      </c>
      <c r="Z218" s="36">
        <f>IFERROR(IF(Y218=0,"",ROUNDUP(Y218/H218,0)*0.00651),"")</f>
        <v>7.8119999999999995E-2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30.94</v>
      </c>
      <c r="BN218" s="64">
        <f>IFERROR(Y218*I218/H218,"0")</f>
        <v>31.824000000000002</v>
      </c>
      <c r="BO218" s="64">
        <f>IFERROR(1/J218*(X218/H218),"0")</f>
        <v>6.4102564102564111E-2</v>
      </c>
      <c r="BP218" s="64">
        <f>IFERROR(1/J218*(Y218/H218),"0")</f>
        <v>6.5934065934065936E-2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69</v>
      </c>
      <c r="X219" s="539">
        <v>36</v>
      </c>
      <c r="Y219" s="540">
        <f>IFERROR(IF(X219="",0,CEILING((X219/$H219),1)*$H219),"")</f>
        <v>36</v>
      </c>
      <c r="Z219" s="36">
        <f>IFERROR(IF(Y219=0,"",ROUNDUP(Y219/H219,0)*0.00651),"")</f>
        <v>9.7650000000000001E-2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39.780000000000008</v>
      </c>
      <c r="BN219" s="64">
        <f>IFERROR(Y219*I219/H219,"0")</f>
        <v>39.780000000000008</v>
      </c>
      <c r="BO219" s="64">
        <f>IFERROR(1/J219*(X219/H219),"0")</f>
        <v>8.241758241758243E-2</v>
      </c>
      <c r="BP219" s="64">
        <f>IFERROR(1/J219*(Y219/H219),"0")</f>
        <v>8.241758241758243E-2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26.666666666666668</v>
      </c>
      <c r="Y220" s="541">
        <f>IFERROR(Y218/H218,"0")+IFERROR(Y219/H219,"0")</f>
        <v>27</v>
      </c>
      <c r="Z220" s="541">
        <f>IFERROR(IF(Z218="",0,Z218),"0")+IFERROR(IF(Z219="",0,Z219),"0")</f>
        <v>0.17576999999999998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64</v>
      </c>
      <c r="Y221" s="541">
        <f>IFERROR(SUM(Y218:Y219),"0")</f>
        <v>64.8</v>
      </c>
      <c r="Z221" s="37"/>
      <c r="AA221" s="542"/>
      <c r="AB221" s="542"/>
      <c r="AC221" s="542"/>
    </row>
    <row r="222" spans="1:68" ht="16.5" hidden="1" customHeight="1" x14ac:dyDescent="0.25">
      <c r="A222" s="553" t="s">
        <v>356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69</v>
      </c>
      <c r="X226" s="539">
        <v>50</v>
      </c>
      <c r="Y226" s="540">
        <f t="shared" si="21"/>
        <v>58</v>
      </c>
      <c r="Z226" s="36">
        <f>IFERROR(IF(Y226=0,"",ROUNDUP(Y226/H226,0)*0.01898),"")</f>
        <v>9.4899999999999998E-2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51.767241379310349</v>
      </c>
      <c r="BN226" s="64">
        <f t="shared" si="23"/>
        <v>60.050000000000004</v>
      </c>
      <c r="BO226" s="64">
        <f t="shared" si="24"/>
        <v>6.7349137931034489E-2</v>
      </c>
      <c r="BP226" s="64">
        <f t="shared" si="25"/>
        <v>7.8125E-2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69</v>
      </c>
      <c r="X232" s="539">
        <v>28</v>
      </c>
      <c r="Y232" s="540">
        <f t="shared" si="21"/>
        <v>28</v>
      </c>
      <c r="Z232" s="36">
        <f>IFERROR(IF(Y232=0,"",ROUNDUP(Y232/H232,0)*0.00902),"")</f>
        <v>6.3140000000000002E-2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29.330000000000002</v>
      </c>
      <c r="BN232" s="64">
        <f t="shared" si="23"/>
        <v>29.330000000000002</v>
      </c>
      <c r="BO232" s="64">
        <f t="shared" si="24"/>
        <v>5.3030303030303032E-2</v>
      </c>
      <c r="BP232" s="64">
        <f t="shared" si="25"/>
        <v>5.3030303030303032E-2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11.310344827586206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12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0.15804000000000001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78</v>
      </c>
      <c r="Y235" s="541">
        <f>IFERROR(SUM(Y224:Y233),"0")</f>
        <v>86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382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69</v>
      </c>
      <c r="X241" s="539">
        <v>12</v>
      </c>
      <c r="Y241" s="540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6.6666666666666661</v>
      </c>
      <c r="Y242" s="541">
        <f>IFERROR(Y241/H241,"0")</f>
        <v>7</v>
      </c>
      <c r="Z242" s="541">
        <f>IFERROR(IF(Z241="",0,Z241),"0")</f>
        <v>4.1299999999999996E-2</v>
      </c>
      <c r="AA242" s="542"/>
      <c r="AB242" s="542"/>
      <c r="AC242" s="542"/>
    </row>
    <row r="243" spans="1:68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12</v>
      </c>
      <c r="Y243" s="541">
        <f>IFERROR(SUM(Y241:Y241),"0")</f>
        <v>12.6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386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69</v>
      </c>
      <c r="X247" s="539">
        <v>2.75</v>
      </c>
      <c r="Y247" s="540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3.3305555555555557</v>
      </c>
      <c r="BN247" s="64">
        <f>IFERROR(Y247*I247/H247,"0")</f>
        <v>4.3600000000000003</v>
      </c>
      <c r="BO247" s="64">
        <f>IFERROR(1/J247*(X247/H247),"0")</f>
        <v>1.4146090534979422E-2</v>
      </c>
      <c r="BP247" s="64">
        <f>IFERROR(1/J247*(Y247/H247),"0")</f>
        <v>1.8518518518518517E-2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6.9444444444444446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9.75</v>
      </c>
      <c r="Y251" s="541">
        <f>IFERROR(SUM(Y245:Y249),"0")</f>
        <v>10.8</v>
      </c>
      <c r="Z251" s="37"/>
      <c r="AA251" s="542"/>
      <c r="AB251" s="542"/>
      <c r="AC251" s="542"/>
    </row>
    <row r="252" spans="1:68" ht="16.5" hidden="1" customHeight="1" x14ac:dyDescent="0.25">
      <c r="A252" s="553" t="s">
        <v>398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425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69</v>
      </c>
      <c r="X272" s="539">
        <v>40</v>
      </c>
      <c r="Y272" s="540">
        <f>IFERROR(IF(X272="",0,CEILING((X272/$H272),1)*$H272),"")</f>
        <v>40.799999999999997</v>
      </c>
      <c r="Z272" s="36">
        <f>IFERROR(IF(Y272=0,"",ROUNDUP(Y272/H272,0)*0.00651),"")</f>
        <v>0.11067</v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44.20000000000001</v>
      </c>
      <c r="BN272" s="64">
        <f>IFERROR(Y272*I272/H272,"0")</f>
        <v>45.084000000000003</v>
      </c>
      <c r="BO272" s="64">
        <f>IFERROR(1/J272*(X272/H272),"0")</f>
        <v>9.1575091575091583E-2</v>
      </c>
      <c r="BP272" s="64">
        <f>IFERROR(1/J272*(Y272/H272),"0")</f>
        <v>9.3406593406593408E-2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69</v>
      </c>
      <c r="X273" s="539">
        <v>140</v>
      </c>
      <c r="Y273" s="540">
        <f>IFERROR(IF(X273="",0,CEILING((X273/$H273),1)*$H273),"")</f>
        <v>141.6</v>
      </c>
      <c r="Z273" s="36">
        <f>IFERROR(IF(Y273=0,"",ROUNDUP(Y273/H273,0)*0.00651),"")</f>
        <v>0.38408999999999999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150.5</v>
      </c>
      <c r="BN273" s="64">
        <f>IFERROR(Y273*I273/H273,"0")</f>
        <v>152.22</v>
      </c>
      <c r="BO273" s="64">
        <f>IFERROR(1/J273*(X273/H273),"0")</f>
        <v>0.32051282051282054</v>
      </c>
      <c r="BP273" s="64">
        <f>IFERROR(1/J273*(Y273/H273),"0")</f>
        <v>0.32417582417582419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75</v>
      </c>
      <c r="Y274" s="541">
        <f>IFERROR(Y271/H271,"0")+IFERROR(Y272/H272,"0")+IFERROR(Y273/H273,"0")</f>
        <v>76</v>
      </c>
      <c r="Z274" s="541">
        <f>IFERROR(IF(Z271="",0,Z271),"0")+IFERROR(IF(Z272="",0,Z272),"0")+IFERROR(IF(Z273="",0,Z273),"0")</f>
        <v>0.49475999999999998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180</v>
      </c>
      <c r="Y275" s="541">
        <f>IFERROR(SUM(Y271:Y273),"0")</f>
        <v>182.39999999999998</v>
      </c>
      <c r="Z275" s="37"/>
      <c r="AA275" s="542"/>
      <c r="AB275" s="542"/>
      <c r="AC275" s="542"/>
    </row>
    <row r="276" spans="1:68" ht="16.5" hidden="1" customHeight="1" x14ac:dyDescent="0.25">
      <c r="A276" s="553" t="s">
        <v>434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6" t="s">
        <v>446</v>
      </c>
      <c r="Q284" s="549"/>
      <c r="R284" s="549"/>
      <c r="S284" s="549"/>
      <c r="T284" s="550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71</v>
      </c>
      <c r="Q285" s="546"/>
      <c r="R285" s="546"/>
      <c r="S285" s="546"/>
      <c r="T285" s="546"/>
      <c r="U285" s="546"/>
      <c r="V285" s="547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71</v>
      </c>
      <c r="Q286" s="546"/>
      <c r="R286" s="546"/>
      <c r="S286" s="546"/>
      <c r="T286" s="546"/>
      <c r="U286" s="546"/>
      <c r="V286" s="547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71</v>
      </c>
      <c r="Q294" s="546"/>
      <c r="R294" s="546"/>
      <c r="S294" s="546"/>
      <c r="T294" s="546"/>
      <c r="U294" s="546"/>
      <c r="V294" s="547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71</v>
      </c>
      <c r="Q295" s="546"/>
      <c r="R295" s="546"/>
      <c r="S295" s="546"/>
      <c r="T295" s="546"/>
      <c r="U295" s="546"/>
      <c r="V295" s="547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69</v>
      </c>
      <c r="X301" s="539">
        <v>266</v>
      </c>
      <c r="Y301" s="540">
        <f t="shared" si="26"/>
        <v>266.7</v>
      </c>
      <c r="Z301" s="36">
        <f>IFERROR(IF(Y301=0,"",ROUNDUP(Y301/H301,0)*0.00502),"")</f>
        <v>0.63754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278.66666666666669</v>
      </c>
      <c r="BN301" s="64">
        <f t="shared" si="28"/>
        <v>279.39999999999998</v>
      </c>
      <c r="BO301" s="64">
        <f t="shared" si="29"/>
        <v>0.54131054131054135</v>
      </c>
      <c r="BP301" s="64">
        <f t="shared" si="30"/>
        <v>0.54273504273504269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69</v>
      </c>
      <c r="X303" s="539">
        <v>21</v>
      </c>
      <c r="Y303" s="540">
        <f t="shared" si="26"/>
        <v>21.6</v>
      </c>
      <c r="Z303" s="36">
        <f>IFERROR(IF(Y303=0,"",ROUNDUP(Y303/H303,0)*0.00651),"")</f>
        <v>7.8119999999999995E-2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23.66</v>
      </c>
      <c r="BN303" s="64">
        <f t="shared" si="28"/>
        <v>24.335999999999999</v>
      </c>
      <c r="BO303" s="64">
        <f t="shared" si="29"/>
        <v>6.4102564102564111E-2</v>
      </c>
      <c r="BP303" s="64">
        <f t="shared" si="30"/>
        <v>6.5934065934065936E-2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71</v>
      </c>
      <c r="Q304" s="546"/>
      <c r="R304" s="546"/>
      <c r="S304" s="546"/>
      <c r="T304" s="546"/>
      <c r="U304" s="546"/>
      <c r="V304" s="547"/>
      <c r="W304" s="37" t="s">
        <v>72</v>
      </c>
      <c r="X304" s="541">
        <f>IFERROR(X297/H297,"0")+IFERROR(X298/H298,"0")+IFERROR(X299/H299,"0")+IFERROR(X300/H300,"0")+IFERROR(X301/H301,"0")+IFERROR(X302/H302,"0")+IFERROR(X303/H303,"0")</f>
        <v>138.33333333333331</v>
      </c>
      <c r="Y304" s="541">
        <f>IFERROR(Y297/H297,"0")+IFERROR(Y298/H298,"0")+IFERROR(Y299/H299,"0")+IFERROR(Y300/H300,"0")+IFERROR(Y301/H301,"0")+IFERROR(Y302/H302,"0")+IFERROR(Y303/H303,"0")</f>
        <v>139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0.71565999999999996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71</v>
      </c>
      <c r="Q305" s="546"/>
      <c r="R305" s="546"/>
      <c r="S305" s="546"/>
      <c r="T305" s="546"/>
      <c r="U305" s="546"/>
      <c r="V305" s="547"/>
      <c r="W305" s="37" t="s">
        <v>69</v>
      </c>
      <c r="X305" s="541">
        <f>IFERROR(SUM(X297:X303),"0")</f>
        <v>287</v>
      </c>
      <c r="Y305" s="541">
        <f>IFERROR(SUM(Y297:Y303),"0")</f>
        <v>288.3</v>
      </c>
      <c r="Z305" s="37"/>
      <c r="AA305" s="542"/>
      <c r="AB305" s="542"/>
      <c r="AC305" s="542"/>
    </row>
    <row r="306" spans="1:68" ht="14.25" hidden="1" customHeight="1" x14ac:dyDescent="0.25">
      <c r="A306" s="556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69</v>
      </c>
      <c r="X315" s="539">
        <v>600</v>
      </c>
      <c r="Y315" s="540">
        <f>IFERROR(IF(X315="",0,CEILING((X315/$H315),1)*$H315),"")</f>
        <v>600.6</v>
      </c>
      <c r="Z315" s="36">
        <f>IFERROR(IF(Y315=0,"",ROUNDUP(Y315/H315,0)*0.01898),"")</f>
        <v>1.46146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638.00000000000011</v>
      </c>
      <c r="BN315" s="64">
        <f>IFERROR(Y315*I315/H315,"0")</f>
        <v>638.63800000000003</v>
      </c>
      <c r="BO315" s="64">
        <f>IFERROR(1/J315*(X315/H315),"0")</f>
        <v>1.2019230769230769</v>
      </c>
      <c r="BP315" s="64">
        <f>IFERROR(1/J315*(Y315/H315),"0")</f>
        <v>1.203125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69</v>
      </c>
      <c r="X316" s="539">
        <v>230</v>
      </c>
      <c r="Y316" s="540">
        <f>IFERROR(IF(X316="",0,CEILING((X316/$H316),1)*$H316),"")</f>
        <v>235.20000000000002</v>
      </c>
      <c r="Z316" s="36">
        <f>IFERROR(IF(Y316=0,"",ROUNDUP(Y316/H316,0)*0.01898),"")</f>
        <v>0.53144000000000002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243.52619047619049</v>
      </c>
      <c r="BN316" s="64">
        <f>IFERROR(Y316*I316/H316,"0")</f>
        <v>249.03200000000001</v>
      </c>
      <c r="BO316" s="64">
        <f>IFERROR(1/J316*(X316/H316),"0")</f>
        <v>0.42782738095238093</v>
      </c>
      <c r="BP316" s="64">
        <f>IFERROR(1/J316*(Y316/H316),"0")</f>
        <v>0.4375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106.68498168498168</v>
      </c>
      <c r="Y317" s="541">
        <f>IFERROR(Y314/H314,"0")+IFERROR(Y315/H315,"0")+IFERROR(Y316/H316,"0")</f>
        <v>108</v>
      </c>
      <c r="Z317" s="541">
        <f>IFERROR(IF(Z314="",0,Z314),"0")+IFERROR(IF(Z315="",0,Z315),"0")+IFERROR(IF(Z316="",0,Z316),"0")</f>
        <v>2.0498400000000001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850</v>
      </c>
      <c r="Y318" s="541">
        <f>IFERROR(SUM(Y314:Y316),"0")</f>
        <v>861.00000000000011</v>
      </c>
      <c r="Z318" s="37"/>
      <c r="AA318" s="542"/>
      <c r="AB318" s="542"/>
      <c r="AC318" s="542"/>
    </row>
    <row r="319" spans="1:68" ht="14.25" hidden="1" customHeight="1" x14ac:dyDescent="0.25">
      <c r="A319" s="556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69</v>
      </c>
      <c r="X322" s="539">
        <v>17</v>
      </c>
      <c r="Y322" s="540">
        <f>IFERROR(IF(X322="",0,CEILING((X322/$H322),1)*$H322),"")</f>
        <v>17.849999999999998</v>
      </c>
      <c r="Z322" s="36">
        <f>IFERROR(IF(Y322=0,"",ROUNDUP(Y322/H322,0)*0.00651),"")</f>
        <v>4.5569999999999999E-2</v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19.700000000000003</v>
      </c>
      <c r="BN322" s="64">
        <f>IFERROR(Y322*I322/H322,"0")</f>
        <v>20.684999999999999</v>
      </c>
      <c r="BO322" s="64">
        <f>IFERROR(1/J322*(X322/H322),"0")</f>
        <v>3.6630036630036632E-2</v>
      </c>
      <c r="BP322" s="64">
        <f>IFERROR(1/J322*(Y322/H322),"0")</f>
        <v>3.8461538461538464E-2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6.666666666666667</v>
      </c>
      <c r="Y324" s="541">
        <f>IFERROR(Y320/H320,"0")+IFERROR(Y321/H321,"0")+IFERROR(Y322/H322,"0")+IFERROR(Y323/H323,"0")</f>
        <v>7</v>
      </c>
      <c r="Z324" s="541">
        <f>IFERROR(IF(Z320="",0,Z320),"0")+IFERROR(IF(Z321="",0,Z321),"0")+IFERROR(IF(Z322="",0,Z322),"0")+IFERROR(IF(Z323="",0,Z323),"0")</f>
        <v>4.5569999999999999E-2</v>
      </c>
      <c r="AA324" s="542"/>
      <c r="AB324" s="542"/>
      <c r="AC324" s="542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17</v>
      </c>
      <c r="Y325" s="541">
        <f>IFERROR(SUM(Y320:Y323),"0")</f>
        <v>17.849999999999998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513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514</v>
      </c>
      <c r="B327" s="54" t="s">
        <v>515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518</v>
      </c>
      <c r="B328" s="54" t="s">
        <v>519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522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523</v>
      </c>
      <c r="B334" s="54" t="s">
        <v>524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69</v>
      </c>
      <c r="X335" s="539">
        <v>979.99999999999989</v>
      </c>
      <c r="Y335" s="540">
        <f>IFERROR(IF(X335="",0,CEILING((X335/$H335),1)*$H335),"")</f>
        <v>980.7</v>
      </c>
      <c r="Z335" s="36">
        <f>IFERROR(IF(Y335=0,"",ROUNDUP(Y335/H335,0)*0.00651),"")</f>
        <v>3.0401700000000003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1097.5999999999997</v>
      </c>
      <c r="BN335" s="64">
        <f>IFERROR(Y335*I335/H335,"0")</f>
        <v>1098.384</v>
      </c>
      <c r="BO335" s="64">
        <f>IFERROR(1/J335*(X335/H335),"0")</f>
        <v>2.5641025641025639</v>
      </c>
      <c r="BP335" s="64">
        <f>IFERROR(1/J335*(Y335/H335),"0")</f>
        <v>2.5659340659340661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69</v>
      </c>
      <c r="X336" s="539">
        <v>245</v>
      </c>
      <c r="Y336" s="540">
        <f>IFERROR(IF(X336="",0,CEILING((X336/$H336),1)*$H336),"")</f>
        <v>245.70000000000002</v>
      </c>
      <c r="Z336" s="36">
        <f>IFERROR(IF(Y336=0,"",ROUNDUP(Y336/H336,0)*0.00651),"")</f>
        <v>0.76167000000000007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272.99999999999994</v>
      </c>
      <c r="BN336" s="64">
        <f>IFERROR(Y336*I336/H336,"0")</f>
        <v>273.77999999999997</v>
      </c>
      <c r="BO336" s="64">
        <f>IFERROR(1/J336*(X336/H336),"0")</f>
        <v>0.64102564102564097</v>
      </c>
      <c r="BP336" s="64">
        <f>IFERROR(1/J336*(Y336/H336),"0")</f>
        <v>0.6428571428571429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583.33333333333326</v>
      </c>
      <c r="Y337" s="541">
        <f>IFERROR(Y334/H334,"0")+IFERROR(Y335/H335,"0")+IFERROR(Y336/H336,"0")</f>
        <v>584</v>
      </c>
      <c r="Z337" s="541">
        <f>IFERROR(IF(Z334="",0,Z334),"0")+IFERROR(IF(Z335="",0,Z335),"0")+IFERROR(IF(Z336="",0,Z336),"0")</f>
        <v>3.8018400000000003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1225</v>
      </c>
      <c r="Y338" s="541">
        <f>IFERROR(SUM(Y334:Y336),"0")</f>
        <v>1226.4000000000001</v>
      </c>
      <c r="Z338" s="37"/>
      <c r="AA338" s="542"/>
      <c r="AB338" s="542"/>
      <c r="AC338" s="542"/>
    </row>
    <row r="339" spans="1:68" ht="27.75" hidden="1" customHeight="1" x14ac:dyDescent="0.2">
      <c r="A339" s="694" t="s">
        <v>532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533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69</v>
      </c>
      <c r="X342" s="539">
        <v>1400</v>
      </c>
      <c r="Y342" s="540">
        <f t="shared" ref="Y342:Y348" si="31">IFERROR(IF(X342="",0,CEILING((X342/$H342),1)*$H342),"")</f>
        <v>1410</v>
      </c>
      <c r="Z342" s="36">
        <f>IFERROR(IF(Y342=0,"",ROUNDUP(Y342/H342,0)*0.02175),"")</f>
        <v>2.0444999999999998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1443.8666666666666</v>
      </c>
      <c r="BN342" s="64">
        <f t="shared" ref="BN342:BN348" si="33">IFERROR(Y342*I342/H342,"0")</f>
        <v>1454.18</v>
      </c>
      <c r="BO342" s="64">
        <f t="shared" ref="BO342:BO348" si="34">IFERROR(1/J342*(X342/H342),"0")</f>
        <v>1.9444444444444442</v>
      </c>
      <c r="BP342" s="64">
        <f t="shared" ref="BP342:BP348" si="35">IFERROR(1/J342*(Y342/H342),"0")</f>
        <v>1.9583333333333333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69</v>
      </c>
      <c r="X343" s="539">
        <v>1100</v>
      </c>
      <c r="Y343" s="540">
        <f t="shared" si="31"/>
        <v>1110</v>
      </c>
      <c r="Z343" s="36">
        <f>IFERROR(IF(Y343=0,"",ROUNDUP(Y343/H343,0)*0.02175),"")</f>
        <v>1.6094999999999999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1134.4666666666667</v>
      </c>
      <c r="BN343" s="64">
        <f t="shared" si="33"/>
        <v>1144.78</v>
      </c>
      <c r="BO343" s="64">
        <f t="shared" si="34"/>
        <v>1.5277777777777777</v>
      </c>
      <c r="BP343" s="64">
        <f t="shared" si="35"/>
        <v>1.5416666666666665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69</v>
      </c>
      <c r="X344" s="539">
        <v>1000</v>
      </c>
      <c r="Y344" s="540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69</v>
      </c>
      <c r="X345" s="539">
        <v>150</v>
      </c>
      <c r="Y345" s="540">
        <f t="shared" si="31"/>
        <v>150</v>
      </c>
      <c r="Z345" s="36">
        <f>IFERROR(IF(Y345=0,"",ROUNDUP(Y345/H345,0)*0.02175),"")</f>
        <v>0.21749999999999997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154.69999999999999</v>
      </c>
      <c r="BN345" s="64">
        <f t="shared" si="33"/>
        <v>154.69999999999999</v>
      </c>
      <c r="BO345" s="64">
        <f t="shared" si="34"/>
        <v>0.20833333333333331</v>
      </c>
      <c r="BP345" s="64">
        <f t="shared" si="35"/>
        <v>0.20833333333333331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69</v>
      </c>
      <c r="X348" s="539">
        <v>10</v>
      </c>
      <c r="Y348" s="540">
        <f t="shared" si="31"/>
        <v>10</v>
      </c>
      <c r="Z348" s="36">
        <f>IFERROR(IF(Y348=0,"",ROUNDUP(Y348/H348,0)*0.00902),"")</f>
        <v>1.804E-2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10.38</v>
      </c>
      <c r="BN348" s="64">
        <f t="shared" si="33"/>
        <v>10.38</v>
      </c>
      <c r="BO348" s="64">
        <f t="shared" si="34"/>
        <v>1.5151515151515152E-2</v>
      </c>
      <c r="BP348" s="64">
        <f t="shared" si="35"/>
        <v>1.5151515151515152E-2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245.33333333333331</v>
      </c>
      <c r="Y349" s="541">
        <f>IFERROR(Y342/H342,"0")+IFERROR(Y343/H343,"0")+IFERROR(Y344/H344,"0")+IFERROR(Y345/H345,"0")+IFERROR(Y346/H346,"0")+IFERROR(Y347/H347,"0")+IFERROR(Y348/H348,"0")</f>
        <v>247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5.3467900000000004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3660</v>
      </c>
      <c r="Y350" s="541">
        <f>IFERROR(SUM(Y342:Y348),"0")</f>
        <v>3685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69</v>
      </c>
      <c r="X352" s="539">
        <v>1400</v>
      </c>
      <c r="Y352" s="540">
        <f>IFERROR(IF(X352="",0,CEILING((X352/$H352),1)*$H352),"")</f>
        <v>1410</v>
      </c>
      <c r="Z352" s="36">
        <f>IFERROR(IF(Y352=0,"",ROUNDUP(Y352/H352,0)*0.02175),"")</f>
        <v>2.0444999999999998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1443.8666666666666</v>
      </c>
      <c r="BN352" s="64">
        <f>IFERROR(Y352*I352/H352,"0")</f>
        <v>1454.18</v>
      </c>
      <c r="BO352" s="64">
        <f>IFERROR(1/J352*(X352/H352),"0")</f>
        <v>1.9444444444444442</v>
      </c>
      <c r="BP352" s="64">
        <f>IFERROR(1/J352*(Y352/H352),"0")</f>
        <v>1.9583333333333333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69</v>
      </c>
      <c r="X353" s="539">
        <v>8</v>
      </c>
      <c r="Y353" s="540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95.333333333333329</v>
      </c>
      <c r="Y354" s="541">
        <f>IFERROR(Y352/H352,"0")+IFERROR(Y353/H353,"0")</f>
        <v>96</v>
      </c>
      <c r="Z354" s="541">
        <f>IFERROR(IF(Z352="",0,Z352),"0")+IFERROR(IF(Z353="",0,Z353),"0")</f>
        <v>2.0625399999999998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1408</v>
      </c>
      <c r="Y355" s="541">
        <f>IFERROR(SUM(Y352:Y353),"0")</f>
        <v>1418</v>
      </c>
      <c r="Z355" s="37"/>
      <c r="AA355" s="542"/>
      <c r="AB355" s="542"/>
      <c r="AC355" s="542"/>
    </row>
    <row r="356" spans="1:68" ht="14.25" hidden="1" customHeight="1" x14ac:dyDescent="0.25">
      <c r="A356" s="556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69</v>
      </c>
      <c r="X358" s="539">
        <v>20</v>
      </c>
      <c r="Y358" s="540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2.2222222222222223</v>
      </c>
      <c r="Y359" s="541">
        <f>IFERROR(Y357/H357,"0")+IFERROR(Y358/H358,"0")</f>
        <v>3</v>
      </c>
      <c r="Z359" s="541">
        <f>IFERROR(IF(Z357="",0,Z357),"0")+IFERROR(IF(Z358="",0,Z358),"0")</f>
        <v>5.6940000000000004E-2</v>
      </c>
      <c r="AA359" s="542"/>
      <c r="AB359" s="542"/>
      <c r="AC359" s="542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20</v>
      </c>
      <c r="Y360" s="541">
        <f>IFERROR(SUM(Y357:Y358),"0")</f>
        <v>27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69</v>
      </c>
      <c r="X362" s="539">
        <v>40</v>
      </c>
      <c r="Y362" s="540">
        <f>IFERROR(IF(X362="",0,CEILING((X362/$H362),1)*$H362),"")</f>
        <v>45</v>
      </c>
      <c r="Z362" s="36">
        <f>IFERROR(IF(Y362=0,"",ROUNDUP(Y362/H362,0)*0.01898),"")</f>
        <v>9.4899999999999998E-2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42.195555555555558</v>
      </c>
      <c r="BN362" s="64">
        <f>IFERROR(Y362*I362/H362,"0")</f>
        <v>47.47</v>
      </c>
      <c r="BO362" s="64">
        <f>IFERROR(1/J362*(X362/H362),"0")</f>
        <v>6.9444444444444448E-2</v>
      </c>
      <c r="BP362" s="64">
        <f>IFERROR(1/J362*(Y362/H362),"0")</f>
        <v>7.8125E-2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4.4444444444444446</v>
      </c>
      <c r="Y363" s="541">
        <f>IFERROR(Y362/H362,"0")</f>
        <v>5</v>
      </c>
      <c r="Z363" s="541">
        <f>IFERROR(IF(Z362="",0,Z362),"0")</f>
        <v>9.4899999999999998E-2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40</v>
      </c>
      <c r="Y364" s="541">
        <f>IFERROR(SUM(Y362:Y362),"0")</f>
        <v>45</v>
      </c>
      <c r="Z364" s="37"/>
      <c r="AA364" s="542"/>
      <c r="AB364" s="542"/>
      <c r="AC364" s="542"/>
    </row>
    <row r="365" spans="1:68" ht="16.5" hidden="1" customHeight="1" x14ac:dyDescent="0.25">
      <c r="A365" s="553" t="s">
        <v>567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69</v>
      </c>
      <c r="X367" s="539">
        <v>50</v>
      </c>
      <c r="Y367" s="540">
        <f>IFERROR(IF(X367="",0,CEILING((X367/$H367),1)*$H367),"")</f>
        <v>60</v>
      </c>
      <c r="Z367" s="36">
        <f>IFERROR(IF(Y367=0,"",ROUNDUP(Y367/H367,0)*0.01898),"")</f>
        <v>9.4899999999999998E-2</v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51.708333333333336</v>
      </c>
      <c r="BN367" s="64">
        <f>IFERROR(Y367*I367/H367,"0")</f>
        <v>62.050000000000004</v>
      </c>
      <c r="BO367" s="64">
        <f>IFERROR(1/J367*(X367/H367),"0")</f>
        <v>6.5104166666666671E-2</v>
      </c>
      <c r="BP367" s="64">
        <f>IFERROR(1/J367*(Y367/H367),"0")</f>
        <v>7.8125E-2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4.166666666666667</v>
      </c>
      <c r="Y369" s="541">
        <f>IFERROR(Y367/H367,"0")+IFERROR(Y368/H368,"0")</f>
        <v>5</v>
      </c>
      <c r="Z369" s="541">
        <f>IFERROR(IF(Z367="",0,Z367),"0")+IFERROR(IF(Z368="",0,Z368),"0")</f>
        <v>9.4899999999999998E-2</v>
      </c>
      <c r="AA369" s="542"/>
      <c r="AB369" s="542"/>
      <c r="AC369" s="542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50</v>
      </c>
      <c r="Y370" s="541">
        <f>IFERROR(SUM(Y367:Y368),"0")</f>
        <v>60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hidden="1" customHeight="1" x14ac:dyDescent="0.25">
      <c r="A377" s="54" t="s">
        <v>578</v>
      </c>
      <c r="B377" s="54" t="s">
        <v>579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4" t="s">
        <v>583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584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64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585</v>
      </c>
      <c r="B384" s="54" t="s">
        <v>586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588</v>
      </c>
      <c r="B385" s="54" t="s">
        <v>589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69</v>
      </c>
      <c r="X388" s="539">
        <v>17.5</v>
      </c>
      <c r="Y388" s="540">
        <f t="shared" si="36"/>
        <v>18.900000000000002</v>
      </c>
      <c r="Z388" s="36">
        <f t="shared" si="41"/>
        <v>4.5179999999999998E-2</v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18.583333333333332</v>
      </c>
      <c r="BN388" s="64">
        <f t="shared" si="38"/>
        <v>20.07</v>
      </c>
      <c r="BO388" s="64">
        <f t="shared" si="39"/>
        <v>3.5612535612535613E-2</v>
      </c>
      <c r="BP388" s="64">
        <f t="shared" si="40"/>
        <v>3.8461538461538464E-2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69</v>
      </c>
      <c r="X389" s="539">
        <v>17.5</v>
      </c>
      <c r="Y389" s="540">
        <f t="shared" si="36"/>
        <v>18.900000000000002</v>
      </c>
      <c r="Z389" s="36">
        <f t="shared" si="41"/>
        <v>4.5179999999999998E-2</v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18.583333333333332</v>
      </c>
      <c r="BN389" s="64">
        <f t="shared" si="38"/>
        <v>20.07</v>
      </c>
      <c r="BO389" s="64">
        <f t="shared" si="39"/>
        <v>3.5612535612535613E-2</v>
      </c>
      <c r="BP389" s="64">
        <f t="shared" si="40"/>
        <v>3.8461538461538464E-2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hidden="1" customHeight="1" x14ac:dyDescent="0.25">
      <c r="A392" s="54" t="s">
        <v>607</v>
      </c>
      <c r="B392" s="54" t="s">
        <v>608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33.333333333333329</v>
      </c>
      <c r="Y393" s="541">
        <f>IFERROR(Y384/H384,"0")+IFERROR(Y385/H385,"0")+IFERROR(Y386/H386,"0")+IFERROR(Y387/H387,"0")+IFERROR(Y388/H388,"0")+IFERROR(Y389/H389,"0")+IFERROR(Y390/H390,"0")+IFERROR(Y391/H391,"0")+IFERROR(Y392/H392,"0")</f>
        <v>35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0.1757</v>
      </c>
      <c r="AA393" s="542"/>
      <c r="AB393" s="542"/>
      <c r="AC393" s="542"/>
    </row>
    <row r="394" spans="1:68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70</v>
      </c>
      <c r="Y394" s="541">
        <f>IFERROR(SUM(Y384:Y392),"0")</f>
        <v>73.5</v>
      </c>
      <c r="Z394" s="37"/>
      <c r="AA394" s="542"/>
      <c r="AB394" s="542"/>
      <c r="AC394" s="542"/>
    </row>
    <row r="395" spans="1:68" ht="14.25" hidden="1" customHeight="1" x14ac:dyDescent="0.25">
      <c r="A395" s="556" t="s">
        <v>73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609</v>
      </c>
      <c r="B396" s="54" t="s">
        <v>610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612</v>
      </c>
      <c r="B397" s="54" t="s">
        <v>613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615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135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616</v>
      </c>
      <c r="B402" s="54" t="s">
        <v>617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64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619</v>
      </c>
      <c r="B406" s="54" t="s">
        <v>620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622</v>
      </c>
      <c r="B407" s="54" t="s">
        <v>623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69</v>
      </c>
      <c r="X409" s="539">
        <v>7</v>
      </c>
      <c r="Y409" s="540">
        <f>IFERROR(IF(X409="",0,CEILING((X409/$H409),1)*$H409),"")</f>
        <v>8.4</v>
      </c>
      <c r="Z409" s="36">
        <f>IFERROR(IF(Y409=0,"",ROUNDUP(Y409/H409,0)*0.00502),"")</f>
        <v>2.0080000000000001E-2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7.4333333333333327</v>
      </c>
      <c r="BN409" s="64">
        <f>IFERROR(Y409*I409/H409,"0")</f>
        <v>8.92</v>
      </c>
      <c r="BO409" s="64">
        <f>IFERROR(1/J409*(X409/H409),"0")</f>
        <v>1.4245014245014245E-2</v>
      </c>
      <c r="BP409" s="64">
        <f>IFERROR(1/J409*(Y409/H409),"0")</f>
        <v>1.7094017094017096E-2</v>
      </c>
    </row>
    <row r="410" spans="1:68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3.333333333333333</v>
      </c>
      <c r="Y410" s="541">
        <f>IFERROR(Y406/H406,"0")+IFERROR(Y407/H407,"0")+IFERROR(Y408/H408,"0")+IFERROR(Y409/H409,"0")</f>
        <v>4</v>
      </c>
      <c r="Z410" s="541">
        <f>IFERROR(IF(Z406="",0,Z406),"0")+IFERROR(IF(Z407="",0,Z407),"0")+IFERROR(IF(Z408="",0,Z408),"0")+IFERROR(IF(Z409="",0,Z409),"0")</f>
        <v>2.0080000000000001E-2</v>
      </c>
      <c r="AA410" s="542"/>
      <c r="AB410" s="542"/>
      <c r="AC410" s="542"/>
    </row>
    <row r="411" spans="1:68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7</v>
      </c>
      <c r="Y411" s="541">
        <f>IFERROR(SUM(Y406:Y409),"0")</f>
        <v>8.4</v>
      </c>
      <c r="Z411" s="37"/>
      <c r="AA411" s="542"/>
      <c r="AB411" s="542"/>
      <c r="AC411" s="542"/>
    </row>
    <row r="412" spans="1:68" ht="16.5" hidden="1" customHeight="1" x14ac:dyDescent="0.25">
      <c r="A412" s="553" t="s">
        <v>630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69</v>
      </c>
      <c r="X414" s="539">
        <v>30</v>
      </c>
      <c r="Y414" s="540">
        <f>IFERROR(IF(X414="",0,CEILING((X414/$H414),1)*$H414),"")</f>
        <v>30</v>
      </c>
      <c r="Z414" s="36">
        <f>IFERROR(IF(Y414=0,"",ROUNDUP(Y414/H414,0)*0.00651),"")</f>
        <v>0.16275000000000001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52.5</v>
      </c>
      <c r="BN414" s="64">
        <f>IFERROR(Y414*I414/H414,"0")</f>
        <v>52.5</v>
      </c>
      <c r="BO414" s="64">
        <f>IFERROR(1/J414*(X414/H414),"0")</f>
        <v>0.13736263736263737</v>
      </c>
      <c r="BP414" s="64">
        <f>IFERROR(1/J414*(Y414/H414),"0")</f>
        <v>0.13736263736263737</v>
      </c>
    </row>
    <row r="415" spans="1:68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25</v>
      </c>
      <c r="Y415" s="541">
        <f>IFERROR(Y414/H414,"0")</f>
        <v>25</v>
      </c>
      <c r="Z415" s="541">
        <f>IFERROR(IF(Z414="",0,Z414),"0")</f>
        <v>0.16275000000000001</v>
      </c>
      <c r="AA415" s="542"/>
      <c r="AB415" s="542"/>
      <c r="AC415" s="542"/>
    </row>
    <row r="416" spans="1:68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30</v>
      </c>
      <c r="Y416" s="541">
        <f>IFERROR(SUM(Y414:Y414),"0")</f>
        <v>30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634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634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69</v>
      </c>
      <c r="X420" s="539">
        <v>70</v>
      </c>
      <c r="Y420" s="540">
        <f t="shared" ref="Y420:Y430" si="42">IFERROR(IF(X420="",0,CEILING((X420/$H420),1)*$H420),"")</f>
        <v>73.92</v>
      </c>
      <c r="Z420" s="36">
        <f t="shared" ref="Z420:Z425" si="43">IFERROR(IF(Y420=0,"",ROUNDUP(Y420/H420,0)*0.01196),"")</f>
        <v>0.16744000000000001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74.640151515151501</v>
      </c>
      <c r="BN420" s="64">
        <f t="shared" ref="BN420:BN430" si="45">IFERROR(Y420*I420/H420,"0")</f>
        <v>78.819999999999993</v>
      </c>
      <c r="BO420" s="64">
        <f t="shared" ref="BO420:BO430" si="46">IFERROR(1/J420*(X420/H420),"0")</f>
        <v>0.12747668997668998</v>
      </c>
      <c r="BP420" s="64">
        <f t="shared" ref="BP420:BP430" si="47">IFERROR(1/J420*(Y420/H420),"0")</f>
        <v>0.13461538461538464</v>
      </c>
    </row>
    <row r="421" spans="1:68" ht="27" hidden="1" customHeight="1" x14ac:dyDescent="0.25">
      <c r="A421" s="54" t="s">
        <v>637</v>
      </c>
      <c r="B421" s="54" t="s">
        <v>638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69</v>
      </c>
      <c r="X423" s="539">
        <v>90</v>
      </c>
      <c r="Y423" s="540">
        <f t="shared" si="42"/>
        <v>95.04</v>
      </c>
      <c r="Z423" s="36">
        <f t="shared" si="43"/>
        <v>0.21528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95.965909090909079</v>
      </c>
      <c r="BN423" s="64">
        <f t="shared" si="45"/>
        <v>101.33999999999999</v>
      </c>
      <c r="BO423" s="64">
        <f t="shared" si="46"/>
        <v>0.16389860139860138</v>
      </c>
      <c r="BP423" s="64">
        <f t="shared" si="47"/>
        <v>0.17307692307692307</v>
      </c>
    </row>
    <row r="424" spans="1:68" ht="16.5" hidden="1" customHeight="1" x14ac:dyDescent="0.25">
      <c r="A424" s="54" t="s">
        <v>646</v>
      </c>
      <c r="B424" s="54" t="s">
        <v>647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69</v>
      </c>
      <c r="X425" s="539">
        <v>130</v>
      </c>
      <c r="Y425" s="540">
        <f t="shared" si="42"/>
        <v>132</v>
      </c>
      <c r="Z425" s="36">
        <f t="shared" si="43"/>
        <v>0.29899999999999999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138.61742424242422</v>
      </c>
      <c r="BN425" s="64">
        <f t="shared" si="45"/>
        <v>140.75</v>
      </c>
      <c r="BO425" s="64">
        <f t="shared" si="46"/>
        <v>0.23674242424242425</v>
      </c>
      <c r="BP425" s="64">
        <f t="shared" si="47"/>
        <v>0.24038461538461539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69</v>
      </c>
      <c r="X427" s="539">
        <v>72</v>
      </c>
      <c r="Y427" s="540">
        <f t="shared" si="42"/>
        <v>72</v>
      </c>
      <c r="Z427" s="36">
        <f>IFERROR(IF(Y427=0,"",ROUNDUP(Y427/H427,0)*0.00902),"")</f>
        <v>0.1353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103.65</v>
      </c>
      <c r="BN427" s="64">
        <f t="shared" si="45"/>
        <v>103.65</v>
      </c>
      <c r="BO427" s="64">
        <f t="shared" si="46"/>
        <v>0.11363636363636365</v>
      </c>
      <c r="BP427" s="64">
        <f t="shared" si="47"/>
        <v>0.11363636363636365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69</v>
      </c>
      <c r="X430" s="539">
        <v>84</v>
      </c>
      <c r="Y430" s="540">
        <f t="shared" si="42"/>
        <v>86.399999999999991</v>
      </c>
      <c r="Z430" s="36">
        <f>IFERROR(IF(Y430=0,"",ROUNDUP(Y430/H430,0)*0.00902),"")</f>
        <v>0.16236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120.92500000000001</v>
      </c>
      <c r="BN430" s="64">
        <f t="shared" si="45"/>
        <v>124.38000000000001</v>
      </c>
      <c r="BO430" s="64">
        <f t="shared" si="46"/>
        <v>0.13257575757575757</v>
      </c>
      <c r="BP430" s="64">
        <f t="shared" si="47"/>
        <v>0.13636363636363635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87.424242424242422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90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0.97937999999999992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446</v>
      </c>
      <c r="Y432" s="541">
        <f>IFERROR(SUM(Y420:Y430),"0")</f>
        <v>459.36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135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69</v>
      </c>
      <c r="X434" s="539">
        <v>110</v>
      </c>
      <c r="Y434" s="540">
        <f>IFERROR(IF(X434="",0,CEILING((X434/$H434),1)*$H434),"")</f>
        <v>110.88000000000001</v>
      </c>
      <c r="Z434" s="36">
        <f>IFERROR(IF(Y434=0,"",ROUNDUP(Y434/H434,0)*0.01196),"")</f>
        <v>0.25115999999999999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117.29166666666666</v>
      </c>
      <c r="BN434" s="64">
        <f>IFERROR(Y434*I434/H434,"0")</f>
        <v>118.23</v>
      </c>
      <c r="BO434" s="64">
        <f>IFERROR(1/J434*(X434/H434),"0")</f>
        <v>0.20032051282051283</v>
      </c>
      <c r="BP434" s="64">
        <f>IFERROR(1/J434*(Y434/H434),"0")</f>
        <v>0.20192307692307693</v>
      </c>
    </row>
    <row r="435" spans="1:68" ht="16.5" hidden="1" customHeight="1" x14ac:dyDescent="0.25">
      <c r="A435" s="54" t="s">
        <v>666</v>
      </c>
      <c r="B435" s="54" t="s">
        <v>667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20.833333333333332</v>
      </c>
      <c r="Y437" s="541">
        <f>IFERROR(Y434/H434,"0")+IFERROR(Y435/H435,"0")+IFERROR(Y436/H436,"0")</f>
        <v>21</v>
      </c>
      <c r="Z437" s="541">
        <f>IFERROR(IF(Z434="",0,Z434),"0")+IFERROR(IF(Z435="",0,Z435),"0")+IFERROR(IF(Z436="",0,Z436),"0")</f>
        <v>0.25115999999999999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110</v>
      </c>
      <c r="Y438" s="541">
        <f>IFERROR(SUM(Y434:Y436),"0")</f>
        <v>110.88000000000001</v>
      </c>
      <c r="Z438" s="37"/>
      <c r="AA438" s="542"/>
      <c r="AB438" s="542"/>
      <c r="AC438" s="542"/>
    </row>
    <row r="439" spans="1:68" ht="14.25" hidden="1" customHeight="1" x14ac:dyDescent="0.25">
      <c r="A439" s="556" t="s">
        <v>64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69</v>
      </c>
      <c r="X440" s="539">
        <v>80</v>
      </c>
      <c r="Y440" s="540">
        <f t="shared" ref="Y440:Y445" si="48">IFERROR(IF(X440="",0,CEILING((X440/$H440),1)*$H440),"")</f>
        <v>84.48</v>
      </c>
      <c r="Z440" s="36">
        <f>IFERROR(IF(Y440=0,"",ROUNDUP(Y440/H440,0)*0.01196),"")</f>
        <v>0.19136</v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85.303030303030297</v>
      </c>
      <c r="BN440" s="64">
        <f t="shared" ref="BN440:BN445" si="50">IFERROR(Y440*I440/H440,"0")</f>
        <v>90.08</v>
      </c>
      <c r="BO440" s="64">
        <f t="shared" ref="BO440:BO445" si="51">IFERROR(1/J440*(X440/H440),"0")</f>
        <v>0.14568764568764569</v>
      </c>
      <c r="BP440" s="64">
        <f t="shared" ref="BP440:BP445" si="52">IFERROR(1/J440*(Y440/H440),"0")</f>
        <v>0.15384615384615385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69</v>
      </c>
      <c r="X441" s="539">
        <v>90</v>
      </c>
      <c r="Y441" s="540">
        <f t="shared" si="48"/>
        <v>95.04</v>
      </c>
      <c r="Z441" s="36">
        <f>IFERROR(IF(Y441=0,"",ROUNDUP(Y441/H441,0)*0.01196),"")</f>
        <v>0.21528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95.965909090909079</v>
      </c>
      <c r="BN441" s="64">
        <f t="shared" si="50"/>
        <v>101.33999999999999</v>
      </c>
      <c r="BO441" s="64">
        <f t="shared" si="51"/>
        <v>0.16389860139860138</v>
      </c>
      <c r="BP441" s="64">
        <f t="shared" si="52"/>
        <v>0.17307692307692307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69</v>
      </c>
      <c r="X442" s="539">
        <v>110</v>
      </c>
      <c r="Y442" s="540">
        <f t="shared" si="48"/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117.29166666666666</v>
      </c>
      <c r="BN442" s="64">
        <f t="shared" si="50"/>
        <v>118.23</v>
      </c>
      <c r="BO442" s="64">
        <f t="shared" si="51"/>
        <v>0.20032051282051283</v>
      </c>
      <c r="BP442" s="64">
        <f t="shared" si="52"/>
        <v>0.20192307692307693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69</v>
      </c>
      <c r="X443" s="539">
        <v>72</v>
      </c>
      <c r="Y443" s="540">
        <f t="shared" si="48"/>
        <v>72</v>
      </c>
      <c r="Z443" s="36">
        <f>IFERROR(IF(Y443=0,"",ROUNDUP(Y443/H443,0)*0.00902),"")</f>
        <v>0.1353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103.65</v>
      </c>
      <c r="BN443" s="64">
        <f t="shared" si="50"/>
        <v>103.65</v>
      </c>
      <c r="BO443" s="64">
        <f t="shared" si="51"/>
        <v>0.11363636363636365</v>
      </c>
      <c r="BP443" s="64">
        <f t="shared" si="52"/>
        <v>0.11363636363636365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69</v>
      </c>
      <c r="X445" s="539">
        <v>54</v>
      </c>
      <c r="Y445" s="540">
        <f t="shared" si="48"/>
        <v>57.599999999999994</v>
      </c>
      <c r="Z445" s="36">
        <f>IFERROR(IF(Y445=0,"",ROUNDUP(Y445/H445,0)*0.00902),"")</f>
        <v>0.10824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75.037500000000009</v>
      </c>
      <c r="BN445" s="64">
        <f t="shared" si="50"/>
        <v>80.039999999999992</v>
      </c>
      <c r="BO445" s="64">
        <f t="shared" si="51"/>
        <v>8.5227272727272735E-2</v>
      </c>
      <c r="BP445" s="64">
        <f t="shared" si="52"/>
        <v>9.0909090909090912E-2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79.280303030303031</v>
      </c>
      <c r="Y446" s="541">
        <f>IFERROR(Y440/H440,"0")+IFERROR(Y441/H441,"0")+IFERROR(Y442/H442,"0")+IFERROR(Y443/H443,"0")+IFERROR(Y444/H444,"0")+IFERROR(Y445/H445,"0")</f>
        <v>82</v>
      </c>
      <c r="Z446" s="541">
        <f>IFERROR(IF(Z440="",0,Z440),"0")+IFERROR(IF(Z441="",0,Z441),"0")+IFERROR(IF(Z442="",0,Z442),"0")+IFERROR(IF(Z443="",0,Z443),"0")+IFERROR(IF(Z444="",0,Z444),"0")+IFERROR(IF(Z445="",0,Z445),"0")</f>
        <v>0.90133999999999992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406</v>
      </c>
      <c r="Y447" s="541">
        <f>IFERROR(SUM(Y440:Y445),"0")</f>
        <v>420</v>
      </c>
      <c r="Z447" s="37"/>
      <c r="AA447" s="542"/>
      <c r="AB447" s="542"/>
      <c r="AC447" s="542"/>
    </row>
    <row r="448" spans="1:68" ht="14.25" hidden="1" customHeight="1" x14ac:dyDescent="0.25">
      <c r="A448" s="556" t="s">
        <v>73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685</v>
      </c>
      <c r="B449" s="54" t="s">
        <v>686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688</v>
      </c>
      <c r="B450" s="54" t="s">
        <v>689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691</v>
      </c>
      <c r="B451" s="54" t="s">
        <v>692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694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694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695</v>
      </c>
      <c r="B457" s="54" t="s">
        <v>696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698</v>
      </c>
      <c r="B458" s="54" t="s">
        <v>699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135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706</v>
      </c>
      <c r="B464" s="54" t="s">
        <v>707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709</v>
      </c>
      <c r="B465" s="54" t="s">
        <v>710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64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715</v>
      </c>
      <c r="B470" s="54" t="s">
        <v>716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718</v>
      </c>
      <c r="B471" s="54" t="s">
        <v>719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73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69</v>
      </c>
      <c r="X475" s="539">
        <v>1900</v>
      </c>
      <c r="Y475" s="540">
        <f>IFERROR(IF(X475="",0,CEILING((X475/$H475),1)*$H475),"")</f>
        <v>1908</v>
      </c>
      <c r="Z475" s="36">
        <f>IFERROR(IF(Y475=0,"",ROUNDUP(Y475/H475,0)*0.01898),"")</f>
        <v>4.0237600000000002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2004.2888888888888</v>
      </c>
      <c r="BN475" s="64">
        <f>IFERROR(Y475*I475/H475,"0")</f>
        <v>2012.7280000000001</v>
      </c>
      <c r="BO475" s="64">
        <f>IFERROR(1/J475*(X475/H475),"0")</f>
        <v>3.2986111111111112</v>
      </c>
      <c r="BP475" s="64">
        <f>IFERROR(1/J475*(Y475/H475),"0")</f>
        <v>3.3125</v>
      </c>
    </row>
    <row r="476" spans="1:68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211.11111111111111</v>
      </c>
      <c r="Y476" s="541">
        <f>IFERROR(Y475/H475,"0")</f>
        <v>212</v>
      </c>
      <c r="Z476" s="541">
        <f>IFERROR(IF(Z475="",0,Z475),"0")</f>
        <v>4.0237600000000002</v>
      </c>
      <c r="AA476" s="542"/>
      <c r="AB476" s="542"/>
      <c r="AC476" s="542"/>
    </row>
    <row r="477" spans="1:68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1900</v>
      </c>
      <c r="Y477" s="541">
        <f>IFERROR(SUM(Y475:Y475),"0")</f>
        <v>1908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customHeight="1" x14ac:dyDescent="0.25">
      <c r="A479" s="54" t="s">
        <v>724</v>
      </c>
      <c r="B479" s="54" t="s">
        <v>725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69</v>
      </c>
      <c r="X479" s="539">
        <v>10</v>
      </c>
      <c r="Y479" s="540">
        <f>IFERROR(IF(X479="",0,CEILING((X479/$H479),1)*$H479),"")</f>
        <v>18</v>
      </c>
      <c r="Z479" s="36">
        <f>IFERROR(IF(Y479=0,"",ROUNDUP(Y479/H479,0)*0.01898),"")</f>
        <v>3.7960000000000001E-2</v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10.455555555555556</v>
      </c>
      <c r="BN479" s="64">
        <f>IFERROR(Y479*I479/H479,"0")</f>
        <v>18.82</v>
      </c>
      <c r="BO479" s="64">
        <f>IFERROR(1/J479*(X479/H479),"0")</f>
        <v>1.7361111111111112E-2</v>
      </c>
      <c r="BP479" s="64">
        <f>IFERROR(1/J479*(Y479/H479),"0")</f>
        <v>3.125E-2</v>
      </c>
    </row>
    <row r="480" spans="1:68" ht="27" hidden="1" customHeight="1" x14ac:dyDescent="0.25">
      <c r="A480" s="54" t="s">
        <v>727</v>
      </c>
      <c r="B480" s="54" t="s">
        <v>728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1.1111111111111112</v>
      </c>
      <c r="Y481" s="541">
        <f>IFERROR(Y479/H479,"0")+IFERROR(Y480/H480,"0")</f>
        <v>2</v>
      </c>
      <c r="Z481" s="541">
        <f>IFERROR(IF(Z479="",0,Z479),"0")+IFERROR(IF(Z480="",0,Z480),"0")</f>
        <v>3.7960000000000001E-2</v>
      </c>
      <c r="AA481" s="542"/>
      <c r="AB481" s="542"/>
      <c r="AC481" s="542"/>
    </row>
    <row r="482" spans="1:68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10</v>
      </c>
      <c r="Y482" s="541">
        <f>IFERROR(SUM(Y479:Y480),"0")</f>
        <v>18</v>
      </c>
      <c r="Z482" s="37"/>
      <c r="AA482" s="542"/>
      <c r="AB482" s="542"/>
      <c r="AC482" s="542"/>
    </row>
    <row r="483" spans="1:68" ht="16.5" hidden="1" customHeight="1" x14ac:dyDescent="0.25">
      <c r="A483" s="553" t="s">
        <v>730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135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731</v>
      </c>
      <c r="B485" s="54" t="s">
        <v>732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734</v>
      </c>
      <c r="Q488" s="625"/>
      <c r="R488" s="625"/>
      <c r="S488" s="625"/>
      <c r="T488" s="625"/>
      <c r="U488" s="625"/>
      <c r="V488" s="626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17561.25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17779.47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735</v>
      </c>
      <c r="Q489" s="625"/>
      <c r="R489" s="625"/>
      <c r="S489" s="625"/>
      <c r="T489" s="625"/>
      <c r="U489" s="625"/>
      <c r="V489" s="626"/>
      <c r="W489" s="37" t="s">
        <v>69</v>
      </c>
      <c r="X489" s="541">
        <f>IFERROR(SUM(BM22:BM485),"0")</f>
        <v>18686.177598913433</v>
      </c>
      <c r="Y489" s="541">
        <f>IFERROR(SUM(BN22:BN485),"0")</f>
        <v>18917.98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736</v>
      </c>
      <c r="Q490" s="625"/>
      <c r="R490" s="625"/>
      <c r="S490" s="625"/>
      <c r="T490" s="625"/>
      <c r="U490" s="625"/>
      <c r="V490" s="626"/>
      <c r="W490" s="37" t="s">
        <v>737</v>
      </c>
      <c r="X490" s="38">
        <f>ROUNDUP(SUM(BO22:BO485),0)</f>
        <v>32</v>
      </c>
      <c r="Y490" s="38">
        <f>ROUNDUP(SUM(BP22:BP485),0)</f>
        <v>32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738</v>
      </c>
      <c r="Q491" s="625"/>
      <c r="R491" s="625"/>
      <c r="S491" s="625"/>
      <c r="T491" s="625"/>
      <c r="U491" s="625"/>
      <c r="V491" s="626"/>
      <c r="W491" s="37" t="s">
        <v>69</v>
      </c>
      <c r="X491" s="541">
        <f>GrossWeightTotal+PalletQtyTotal*25</f>
        <v>19486.177598913433</v>
      </c>
      <c r="Y491" s="541">
        <f>GrossWeightTotalR+PalletQtyTotalR*25</f>
        <v>19717.98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739</v>
      </c>
      <c r="Q492" s="625"/>
      <c r="R492" s="625"/>
      <c r="S492" s="625"/>
      <c r="T492" s="625"/>
      <c r="U492" s="625"/>
      <c r="V492" s="626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3558.7364061013495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3596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740</v>
      </c>
      <c r="Q493" s="625"/>
      <c r="R493" s="625"/>
      <c r="S493" s="625"/>
      <c r="T493" s="625"/>
      <c r="U493" s="625"/>
      <c r="V493" s="626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36.86766999999999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251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532</v>
      </c>
      <c r="T495" s="592"/>
      <c r="U495" s="571" t="s">
        <v>583</v>
      </c>
      <c r="V495" s="591"/>
      <c r="W495" s="592"/>
      <c r="X495" s="536" t="s">
        <v>634</v>
      </c>
      <c r="Y495" s="571" t="s">
        <v>694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743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220</v>
      </c>
      <c r="H496" s="571" t="s">
        <v>97</v>
      </c>
      <c r="I496" s="571" t="s">
        <v>252</v>
      </c>
      <c r="J496" s="571" t="s">
        <v>297</v>
      </c>
      <c r="K496" s="571" t="s">
        <v>356</v>
      </c>
      <c r="L496" s="571" t="s">
        <v>398</v>
      </c>
      <c r="M496" s="571" t="s">
        <v>414</v>
      </c>
      <c r="N496" s="537"/>
      <c r="O496" s="571" t="s">
        <v>425</v>
      </c>
      <c r="P496" s="571" t="s">
        <v>434</v>
      </c>
      <c r="Q496" s="571" t="s">
        <v>448</v>
      </c>
      <c r="R496" s="571" t="s">
        <v>522</v>
      </c>
      <c r="S496" s="571" t="s">
        <v>533</v>
      </c>
      <c r="T496" s="571" t="s">
        <v>567</v>
      </c>
      <c r="U496" s="571" t="s">
        <v>584</v>
      </c>
      <c r="V496" s="571" t="s">
        <v>615</v>
      </c>
      <c r="W496" s="571" t="s">
        <v>630</v>
      </c>
      <c r="X496" s="571" t="s">
        <v>634</v>
      </c>
      <c r="Y496" s="571" t="s">
        <v>694</v>
      </c>
      <c r="Z496" s="571" t="s">
        <v>730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300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1012.1999999999999</v>
      </c>
      <c r="E498" s="46">
        <f>IFERROR(Y85*1,"0")+IFERROR(Y86*1,"0")+IFERROR(Y87*1,"0")+IFERROR(Y91*1,"0")+IFERROR(Y92*1,"0")+IFERROR(Y93*1,"0")+IFERROR(Y94*1,"0")</f>
        <v>1344.6000000000001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1607.76</v>
      </c>
      <c r="G498" s="46">
        <f>IFERROR(Y124*1,"0")+IFERROR(Y125*1,"0")+IFERROR(Y129*1,"0")+IFERROR(Y130*1,"0")+IFERROR(Y134*1,"0")+IFERROR(Y135*1,"0")</f>
        <v>132.4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502.32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1931.7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109.39999999999999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182.39999999999998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1167.1499999999999</v>
      </c>
      <c r="R498" s="46">
        <f>IFERROR(Y334*1,"0")+IFERROR(Y335*1,"0")+IFERROR(Y336*1,"0")</f>
        <v>1226.4000000000001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5175</v>
      </c>
      <c r="T498" s="46">
        <f>IFERROR(Y367*1,"0")+IFERROR(Y368*1,"0")+IFERROR(Y372*1,"0")+IFERROR(Y373*1,"0")+IFERROR(Y377*1,"0")+IFERROR(Y378*1,"0")</f>
        <v>60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73.5</v>
      </c>
      <c r="V498" s="46">
        <f>IFERROR(Y402*1,"0")+IFERROR(Y406*1,"0")+IFERROR(Y407*1,"0")+IFERROR(Y408*1,"0")+IFERROR(Y409*1,"0")</f>
        <v>8.4</v>
      </c>
      <c r="W498" s="46">
        <f>IFERROR(Y414*1,"0")</f>
        <v>30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990.24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1926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60,00"/>
        <filter val="1 100,00"/>
        <filter val="1 225,00"/>
        <filter val="1 400,00"/>
        <filter val="1 408,00"/>
        <filter val="1 900,00"/>
        <filter val="1,11"/>
        <filter val="10,00"/>
        <filter val="10,50"/>
        <filter val="100,00"/>
        <filter val="106,68"/>
        <filter val="11,31"/>
        <filter val="110,00"/>
        <filter val="12,00"/>
        <filter val="120,00"/>
        <filter val="127,41"/>
        <filter val="13,20"/>
        <filter val="130,00"/>
        <filter val="138,33"/>
        <filter val="138,52"/>
        <filter val="14,00"/>
        <filter val="140,00"/>
        <filter val="15,00"/>
        <filter val="15,38"/>
        <filter val="150,00"/>
        <filter val="151,23"/>
        <filter val="166,50"/>
        <filter val="17 561,25"/>
        <filter val="17,00"/>
        <filter val="17,50"/>
        <filter val="175,71"/>
        <filter val="18 686,18"/>
        <filter val="180,00"/>
        <filter val="19 486,18"/>
        <filter val="192,00"/>
        <filter val="2,22"/>
        <filter val="2,75"/>
        <filter val="20,00"/>
        <filter val="20,83"/>
        <filter val="200,00"/>
        <filter val="21,00"/>
        <filter val="211,11"/>
        <filter val="230,00"/>
        <filter val="239,81"/>
        <filter val="240,00"/>
        <filter val="242,59"/>
        <filter val="245,00"/>
        <filter val="245,33"/>
        <filter val="25,00"/>
        <filter val="26,40"/>
        <filter val="26,67"/>
        <filter val="266,00"/>
        <filter val="27,78"/>
        <filter val="28,00"/>
        <filter val="280,00"/>
        <filter val="287,00"/>
        <filter val="292,00"/>
        <filter val="3 558,74"/>
        <filter val="3 660,00"/>
        <filter val="3,33"/>
        <filter val="30,00"/>
        <filter val="300,00"/>
        <filter val="312,00"/>
        <filter val="315,00"/>
        <filter val="32"/>
        <filter val="33,33"/>
        <filter val="35,00"/>
        <filter val="36,00"/>
        <filter val="396,50"/>
        <filter val="399,43"/>
        <filter val="4,17"/>
        <filter val="4,44"/>
        <filter val="40,00"/>
        <filter val="406,00"/>
        <filter val="42,00"/>
        <filter val="444,00"/>
        <filter val="446,00"/>
        <filter val="45,00"/>
        <filter val="450,00"/>
        <filter val="480,00"/>
        <filter val="50,00"/>
        <filter val="54,00"/>
        <filter val="540,00"/>
        <filter val="57,26"/>
        <filter val="583,33"/>
        <filter val="595,00"/>
        <filter val="6,67"/>
        <filter val="6,94"/>
        <filter val="60,00"/>
        <filter val="600,00"/>
        <filter val="620,00"/>
        <filter val="64,00"/>
        <filter val="67,78"/>
        <filter val="7,00"/>
        <filter val="70,00"/>
        <filter val="72,00"/>
        <filter val="740,00"/>
        <filter val="75,00"/>
        <filter val="77,00"/>
        <filter val="78,00"/>
        <filter val="785,00"/>
        <filter val="79,28"/>
        <filter val="8,00"/>
        <filter val="8,40"/>
        <filter val="80,00"/>
        <filter val="82,96"/>
        <filter val="84,00"/>
        <filter val="850,00"/>
        <filter val="87,42"/>
        <filter val="88,00"/>
        <filter val="9,75"/>
        <filter val="90,00"/>
        <filter val="95,33"/>
        <filter val="960,00"/>
        <filter val="980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2025-11-21T10:57:30Z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