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AABB735-97F2-474E-AFF3-4BBF65167BA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Z278" i="1" s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O219" i="1"/>
  <c r="BM219" i="1"/>
  <c r="Y219" i="1"/>
  <c r="BP219" i="1" s="1"/>
  <c r="P219" i="1"/>
  <c r="BO218" i="1"/>
  <c r="BM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88" i="1" l="1"/>
  <c r="Y32" i="1"/>
  <c r="Z34" i="1"/>
  <c r="Z35" i="1" s="1"/>
  <c r="BN34" i="1"/>
  <c r="BP34" i="1"/>
  <c r="Y35" i="1"/>
  <c r="Z40" i="1"/>
  <c r="BN40" i="1"/>
  <c r="Z55" i="1"/>
  <c r="BN55" i="1"/>
  <c r="Z79" i="1"/>
  <c r="BN79" i="1"/>
  <c r="Z99" i="1"/>
  <c r="BN99" i="1"/>
  <c r="Z115" i="1"/>
  <c r="BN115" i="1"/>
  <c r="Z141" i="1"/>
  <c r="BN141" i="1"/>
  <c r="Z145" i="1"/>
  <c r="BN145" i="1"/>
  <c r="Z164" i="1"/>
  <c r="BN164" i="1"/>
  <c r="Z165" i="1"/>
  <c r="BN165" i="1"/>
  <c r="Z186" i="1"/>
  <c r="BN186" i="1"/>
  <c r="Z200" i="1"/>
  <c r="BN200" i="1"/>
  <c r="Z210" i="1"/>
  <c r="BN210" i="1"/>
  <c r="Z226" i="1"/>
  <c r="BN226" i="1"/>
  <c r="Z246" i="1"/>
  <c r="BN246" i="1"/>
  <c r="Z264" i="1"/>
  <c r="BN264" i="1"/>
  <c r="Z292" i="1"/>
  <c r="BN292" i="1"/>
  <c r="Z308" i="1"/>
  <c r="BN308" i="1"/>
  <c r="Z322" i="1"/>
  <c r="BN322" i="1"/>
  <c r="Z345" i="1"/>
  <c r="BN345" i="1"/>
  <c r="Z377" i="1"/>
  <c r="BN377" i="1"/>
  <c r="Z391" i="1"/>
  <c r="BN391" i="1"/>
  <c r="Z423" i="1"/>
  <c r="BN423" i="1"/>
  <c r="Z435" i="1"/>
  <c r="BN435" i="1"/>
  <c r="Z449" i="1"/>
  <c r="BN449" i="1"/>
  <c r="Z471" i="1"/>
  <c r="BN471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69" i="1"/>
  <c r="Z73" i="1"/>
  <c r="BN73" i="1"/>
  <c r="BP75" i="1"/>
  <c r="BN75" i="1"/>
  <c r="Z75" i="1"/>
  <c r="BP94" i="1"/>
  <c r="BN94" i="1"/>
  <c r="Z94" i="1"/>
  <c r="BP113" i="1"/>
  <c r="BN113" i="1"/>
  <c r="Z113" i="1"/>
  <c r="Y136" i="1"/>
  <c r="BP134" i="1"/>
  <c r="BN134" i="1"/>
  <c r="Z134" i="1"/>
  <c r="BP162" i="1"/>
  <c r="BN162" i="1"/>
  <c r="Z162" i="1"/>
  <c r="BP175" i="1"/>
  <c r="BN175" i="1"/>
  <c r="Z175" i="1"/>
  <c r="J9" i="1"/>
  <c r="BP86" i="1"/>
  <c r="BN86" i="1"/>
  <c r="Z86" i="1"/>
  <c r="BP101" i="1"/>
  <c r="BN101" i="1"/>
  <c r="Z101" i="1"/>
  <c r="Y121" i="1"/>
  <c r="Y120" i="1"/>
  <c r="BP119" i="1"/>
  <c r="BN119" i="1"/>
  <c r="Z119" i="1"/>
  <c r="Z120" i="1" s="1"/>
  <c r="BP124" i="1"/>
  <c r="BN124" i="1"/>
  <c r="Z124" i="1"/>
  <c r="BP147" i="1"/>
  <c r="BN147" i="1"/>
  <c r="Z147" i="1"/>
  <c r="BP167" i="1"/>
  <c r="BN167" i="1"/>
  <c r="Z167" i="1"/>
  <c r="Y192" i="1"/>
  <c r="BP190" i="1"/>
  <c r="BN190" i="1"/>
  <c r="Z190" i="1"/>
  <c r="Y81" i="1"/>
  <c r="Z198" i="1"/>
  <c r="BN198" i="1"/>
  <c r="Z202" i="1"/>
  <c r="BN202" i="1"/>
  <c r="Y216" i="1"/>
  <c r="Z208" i="1"/>
  <c r="BN208" i="1"/>
  <c r="Z212" i="1"/>
  <c r="BN212" i="1"/>
  <c r="Z218" i="1"/>
  <c r="BN218" i="1"/>
  <c r="Z219" i="1"/>
  <c r="BN219" i="1"/>
  <c r="Z224" i="1"/>
  <c r="BN224" i="1"/>
  <c r="Z228" i="1"/>
  <c r="BN228" i="1"/>
  <c r="Z232" i="1"/>
  <c r="BN232" i="1"/>
  <c r="Z248" i="1"/>
  <c r="BN248" i="1"/>
  <c r="Z257" i="1"/>
  <c r="BN257" i="1"/>
  <c r="Z266" i="1"/>
  <c r="BN266" i="1"/>
  <c r="Z273" i="1"/>
  <c r="BN273" i="1"/>
  <c r="BP278" i="1"/>
  <c r="BN278" i="1"/>
  <c r="BP290" i="1"/>
  <c r="BN290" i="1"/>
  <c r="Z290" i="1"/>
  <c r="BP302" i="1"/>
  <c r="BN302" i="1"/>
  <c r="Z302" i="1"/>
  <c r="BP316" i="1"/>
  <c r="BN316" i="1"/>
  <c r="Z316" i="1"/>
  <c r="BP320" i="1"/>
  <c r="BN320" i="1"/>
  <c r="Z320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BP298" i="1"/>
  <c r="BN298" i="1"/>
  <c r="Z298" i="1"/>
  <c r="BP310" i="1"/>
  <c r="BN310" i="1"/>
  <c r="Z310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18" i="1"/>
  <c r="Y317" i="1"/>
  <c r="Y379" i="1"/>
  <c r="Y453" i="1"/>
  <c r="Y452" i="1"/>
  <c r="Y31" i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6" i="1"/>
  <c r="BN146" i="1"/>
  <c r="Z146" i="1"/>
  <c r="Z148" i="1" s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0" i="1"/>
  <c r="X492" i="1"/>
  <c r="Y24" i="1"/>
  <c r="Z27" i="1"/>
  <c r="BN27" i="1"/>
  <c r="Z29" i="1"/>
  <c r="BN29" i="1"/>
  <c r="C498" i="1"/>
  <c r="Z41" i="1"/>
  <c r="Z43" i="1" s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Y215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Y374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Z410" i="1" s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74" i="1" l="1"/>
  <c r="Z311" i="1"/>
  <c r="Z109" i="1"/>
  <c r="Z126" i="1"/>
  <c r="Z234" i="1"/>
  <c r="Z215" i="1"/>
  <c r="Y489" i="1"/>
  <c r="Z324" i="1"/>
  <c r="Y490" i="1"/>
  <c r="Z57" i="1"/>
  <c r="Z31" i="1"/>
  <c r="X491" i="1"/>
  <c r="Z103" i="1"/>
  <c r="Z95" i="1"/>
  <c r="Y492" i="1"/>
  <c r="Z220" i="1"/>
  <c r="Y491" i="1"/>
  <c r="Z393" i="1"/>
  <c r="Z337" i="1"/>
  <c r="Z304" i="1"/>
  <c r="Z294" i="1"/>
  <c r="Z116" i="1"/>
  <c r="Z437" i="1"/>
  <c r="Z446" i="1"/>
  <c r="Z431" i="1"/>
  <c r="Z349" i="1"/>
  <c r="Z330" i="1"/>
  <c r="Z285" i="1"/>
  <c r="Z267" i="1"/>
  <c r="Z259" i="1"/>
  <c r="Z250" i="1"/>
  <c r="Z203" i="1"/>
  <c r="Z171" i="1"/>
  <c r="Z69" i="1"/>
  <c r="Y488" i="1"/>
  <c r="Z493" i="1" l="1"/>
</calcChain>
</file>

<file path=xl/sharedStrings.xml><?xml version="1.0" encoding="utf-8"?>
<sst xmlns="http://schemas.openxmlformats.org/spreadsheetml/2006/main" count="2311" uniqueCount="760">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</sst>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topLeftCell="A377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7</v>
      </c>
      <c r="B5" s="625"/>
      <c r="C5" s="626"/>
      <c r="D5" s="596"/>
      <c r="E5" s="597"/>
      <c r="F5" s="822" t="s">
        <v>8</v>
      </c>
      <c r="G5" s="626"/>
      <c r="H5" s="596" t="s">
        <v>759</v>
      </c>
      <c r="I5" s="764"/>
      <c r="J5" s="764"/>
      <c r="K5" s="764"/>
      <c r="L5" s="764"/>
      <c r="M5" s="597"/>
      <c r="N5" s="58"/>
      <c r="P5" s="24" t="s">
        <v>9</v>
      </c>
      <c r="Q5" s="831">
        <v>45985</v>
      </c>
      <c r="R5" s="656"/>
      <c r="T5" s="703" t="s">
        <v>10</v>
      </c>
      <c r="U5" s="704"/>
      <c r="V5" s="705" t="s">
        <v>11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12</v>
      </c>
      <c r="B6" s="625"/>
      <c r="C6" s="626"/>
      <c r="D6" s="767" t="s">
        <v>13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14</v>
      </c>
      <c r="Q6" s="839" t="str">
        <f>IF(Q5=0," ",CHOOSE(WEEKDAY(Q5,2),"Понедельник","Вторник","Среда","Четверг","Пятница","Суббота","Воскресенье"))</f>
        <v>Понедельник</v>
      </c>
      <c r="R6" s="544"/>
      <c r="T6" s="707" t="s">
        <v>15</v>
      </c>
      <c r="U6" s="704"/>
      <c r="V6" s="749" t="s">
        <v>16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17</v>
      </c>
      <c r="B8" s="546"/>
      <c r="C8" s="547"/>
      <c r="D8" s="611" t="s">
        <v>18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19</v>
      </c>
      <c r="Q8" s="627">
        <v>0.45833333333333331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20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21</v>
      </c>
      <c r="Q10" s="708"/>
      <c r="R10" s="709"/>
      <c r="U10" s="24" t="s">
        <v>22</v>
      </c>
      <c r="V10" s="578" t="s">
        <v>23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5"/>
      <c r="R11" s="656"/>
      <c r="U11" s="24" t="s">
        <v>26</v>
      </c>
      <c r="V11" s="785" t="s">
        <v>27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28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29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30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31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32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33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34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35</v>
      </c>
      <c r="B17" s="576" t="s">
        <v>36</v>
      </c>
      <c r="C17" s="630" t="s">
        <v>37</v>
      </c>
      <c r="D17" s="576" t="s">
        <v>38</v>
      </c>
      <c r="E17" s="636"/>
      <c r="F17" s="576" t="s">
        <v>39</v>
      </c>
      <c r="G17" s="576" t="s">
        <v>40</v>
      </c>
      <c r="H17" s="576" t="s">
        <v>41</v>
      </c>
      <c r="I17" s="576" t="s">
        <v>42</v>
      </c>
      <c r="J17" s="576" t="s">
        <v>43</v>
      </c>
      <c r="K17" s="576" t="s">
        <v>44</v>
      </c>
      <c r="L17" s="576" t="s">
        <v>45</v>
      </c>
      <c r="M17" s="576" t="s">
        <v>46</v>
      </c>
      <c r="N17" s="576" t="s">
        <v>47</v>
      </c>
      <c r="O17" s="576" t="s">
        <v>48</v>
      </c>
      <c r="P17" s="576" t="s">
        <v>49</v>
      </c>
      <c r="Q17" s="635"/>
      <c r="R17" s="635"/>
      <c r="S17" s="635"/>
      <c r="T17" s="636"/>
      <c r="U17" s="855" t="s">
        <v>50</v>
      </c>
      <c r="V17" s="626"/>
      <c r="W17" s="576" t="s">
        <v>51</v>
      </c>
      <c r="X17" s="576" t="s">
        <v>52</v>
      </c>
      <c r="Y17" s="856" t="s">
        <v>53</v>
      </c>
      <c r="Z17" s="761" t="s">
        <v>54</v>
      </c>
      <c r="AA17" s="735" t="s">
        <v>55</v>
      </c>
      <c r="AB17" s="735" t="s">
        <v>56</v>
      </c>
      <c r="AC17" s="735" t="s">
        <v>57</v>
      </c>
      <c r="AD17" s="735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62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62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63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70</v>
      </c>
      <c r="Q23" s="546"/>
      <c r="R23" s="546"/>
      <c r="S23" s="546"/>
      <c r="T23" s="546"/>
      <c r="U23" s="546"/>
      <c r="V23" s="547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70</v>
      </c>
      <c r="Q24" s="546"/>
      <c r="R24" s="546"/>
      <c r="S24" s="546"/>
      <c r="T24" s="546"/>
      <c r="U24" s="546"/>
      <c r="V24" s="547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70</v>
      </c>
      <c r="Q31" s="546"/>
      <c r="R31" s="546"/>
      <c r="S31" s="546"/>
      <c r="T31" s="546"/>
      <c r="U31" s="546"/>
      <c r="V31" s="547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70</v>
      </c>
      <c r="Q32" s="546"/>
      <c r="R32" s="546"/>
      <c r="S32" s="546"/>
      <c r="T32" s="546"/>
      <c r="U32" s="546"/>
      <c r="V32" s="547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91</v>
      </c>
      <c r="B34" s="54" t="s">
        <v>92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70</v>
      </c>
      <c r="Q35" s="546"/>
      <c r="R35" s="546"/>
      <c r="S35" s="546"/>
      <c r="T35" s="546"/>
      <c r="U35" s="546"/>
      <c r="V35" s="547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70</v>
      </c>
      <c r="Q36" s="546"/>
      <c r="R36" s="546"/>
      <c r="S36" s="546"/>
      <c r="T36" s="546"/>
      <c r="U36" s="546"/>
      <c r="V36" s="547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96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97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68</v>
      </c>
      <c r="X40" s="539">
        <v>99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102.75833333333334</v>
      </c>
      <c r="BN40" s="64">
        <f>IFERROR(Y40*I40/H40,"0")</f>
        <v>112.1</v>
      </c>
      <c r="BO40" s="64">
        <f>IFERROR(1/J40*(X40/H40),"0")</f>
        <v>0.14322916666666666</v>
      </c>
      <c r="BP40" s="64">
        <f>IFERROR(1/J40*(Y40/H40),"0")</f>
        <v>0.15625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109</v>
      </c>
      <c r="M42" s="33" t="s">
        <v>76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70</v>
      </c>
      <c r="Q43" s="546"/>
      <c r="R43" s="546"/>
      <c r="S43" s="546"/>
      <c r="T43" s="546"/>
      <c r="U43" s="546"/>
      <c r="V43" s="547"/>
      <c r="W43" s="37" t="s">
        <v>71</v>
      </c>
      <c r="X43" s="541">
        <f>IFERROR(X40/H40,"0")+IFERROR(X41/H41,"0")+IFERROR(X42/H42,"0")</f>
        <v>9.1666666666666661</v>
      </c>
      <c r="Y43" s="541">
        <f>IFERROR(Y40/H40,"0")+IFERROR(Y41/H41,"0")+IFERROR(Y42/H42,"0")</f>
        <v>10</v>
      </c>
      <c r="Z43" s="541">
        <f>IFERROR(IF(Z40="",0,Z40),"0")+IFERROR(IF(Z41="",0,Z41),"0")+IFERROR(IF(Z42="",0,Z42),"0")</f>
        <v>0.1898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70</v>
      </c>
      <c r="Q44" s="546"/>
      <c r="R44" s="546"/>
      <c r="S44" s="546"/>
      <c r="T44" s="546"/>
      <c r="U44" s="546"/>
      <c r="V44" s="547"/>
      <c r="W44" s="37" t="s">
        <v>68</v>
      </c>
      <c r="X44" s="541">
        <f>IFERROR(SUM(X40:X42),"0")</f>
        <v>99</v>
      </c>
      <c r="Y44" s="541">
        <f>IFERROR(SUM(Y40:Y42),"0")</f>
        <v>108</v>
      </c>
      <c r="Z44" s="37"/>
      <c r="AA44" s="542"/>
      <c r="AB44" s="542"/>
      <c r="AC44" s="542"/>
    </row>
    <row r="45" spans="1:68" ht="14.25" hidden="1" customHeight="1" x14ac:dyDescent="0.25">
      <c r="A45" s="556" t="s">
        <v>72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70</v>
      </c>
      <c r="Q47" s="546"/>
      <c r="R47" s="546"/>
      <c r="S47" s="546"/>
      <c r="T47" s="546"/>
      <c r="U47" s="546"/>
      <c r="V47" s="547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70</v>
      </c>
      <c r="Q48" s="546"/>
      <c r="R48" s="546"/>
      <c r="S48" s="546"/>
      <c r="T48" s="546"/>
      <c r="U48" s="546"/>
      <c r="V48" s="547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125</v>
      </c>
      <c r="B54" s="54" t="s">
        <v>126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70</v>
      </c>
      <c r="Q57" s="546"/>
      <c r="R57" s="546"/>
      <c r="S57" s="546"/>
      <c r="T57" s="546"/>
      <c r="U57" s="546"/>
      <c r="V57" s="547"/>
      <c r="W57" s="37" t="s">
        <v>71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70</v>
      </c>
      <c r="Q58" s="546"/>
      <c r="R58" s="546"/>
      <c r="S58" s="546"/>
      <c r="T58" s="546"/>
      <c r="U58" s="546"/>
      <c r="V58" s="547"/>
      <c r="W58" s="37" t="s">
        <v>68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hidden="1" customHeight="1" x14ac:dyDescent="0.25">
      <c r="A59" s="556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68</v>
      </c>
      <c r="X60" s="539">
        <v>7</v>
      </c>
      <c r="Y60" s="540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7.2657407407407399</v>
      </c>
      <c r="BN60" s="64">
        <f>IFERROR(Y60*I60/H60,"0")</f>
        <v>11.21</v>
      </c>
      <c r="BO60" s="64">
        <f>IFERROR(1/J60*(X60/H60),"0")</f>
        <v>1.0127314814814815E-2</v>
      </c>
      <c r="BP60" s="64">
        <f>IFERROR(1/J60*(Y60/H60),"0")</f>
        <v>1.5625E-2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70</v>
      </c>
      <c r="Q63" s="546"/>
      <c r="R63" s="546"/>
      <c r="S63" s="546"/>
      <c r="T63" s="546"/>
      <c r="U63" s="546"/>
      <c r="V63" s="547"/>
      <c r="W63" s="37" t="s">
        <v>71</v>
      </c>
      <c r="X63" s="541">
        <f>IFERROR(X60/H60,"0")+IFERROR(X61/H61,"0")+IFERROR(X62/H62,"0")</f>
        <v>0.64814814814814814</v>
      </c>
      <c r="Y63" s="541">
        <f>IFERROR(Y60/H60,"0")+IFERROR(Y61/H61,"0")+IFERROR(Y62/H62,"0")</f>
        <v>1</v>
      </c>
      <c r="Z63" s="541">
        <f>IFERROR(IF(Z60="",0,Z60),"0")+IFERROR(IF(Z61="",0,Z61),"0")+IFERROR(IF(Z62="",0,Z62),"0")</f>
        <v>1.898E-2</v>
      </c>
      <c r="AA63" s="542"/>
      <c r="AB63" s="542"/>
      <c r="AC63" s="542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70</v>
      </c>
      <c r="Q64" s="546"/>
      <c r="R64" s="546"/>
      <c r="S64" s="546"/>
      <c r="T64" s="546"/>
      <c r="U64" s="546"/>
      <c r="V64" s="547"/>
      <c r="W64" s="37" t="s">
        <v>68</v>
      </c>
      <c r="X64" s="541">
        <f>IFERROR(SUM(X60:X62),"0")</f>
        <v>7</v>
      </c>
      <c r="Y64" s="541">
        <f>IFERROR(SUM(Y60:Y62),"0")</f>
        <v>10.8</v>
      </c>
      <c r="Z64" s="37"/>
      <c r="AA64" s="542"/>
      <c r="AB64" s="542"/>
      <c r="AC64" s="542"/>
    </row>
    <row r="65" spans="1:68" ht="14.25" hidden="1" customHeight="1" x14ac:dyDescent="0.25">
      <c r="A65" s="556" t="s">
        <v>63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70</v>
      </c>
      <c r="Q69" s="546"/>
      <c r="R69" s="546"/>
      <c r="S69" s="546"/>
      <c r="T69" s="546"/>
      <c r="U69" s="546"/>
      <c r="V69" s="547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70</v>
      </c>
      <c r="Q70" s="546"/>
      <c r="R70" s="546"/>
      <c r="S70" s="546"/>
      <c r="T70" s="546"/>
      <c r="U70" s="546"/>
      <c r="V70" s="547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70</v>
      </c>
      <c r="Q76" s="546"/>
      <c r="R76" s="546"/>
      <c r="S76" s="546"/>
      <c r="T76" s="546"/>
      <c r="U76" s="546"/>
      <c r="V76" s="547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70</v>
      </c>
      <c r="Q77" s="546"/>
      <c r="R77" s="546"/>
      <c r="S77" s="546"/>
      <c r="T77" s="546"/>
      <c r="U77" s="546"/>
      <c r="V77" s="547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162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70</v>
      </c>
      <c r="Q81" s="546"/>
      <c r="R81" s="546"/>
      <c r="S81" s="546"/>
      <c r="T81" s="546"/>
      <c r="U81" s="546"/>
      <c r="V81" s="547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70</v>
      </c>
      <c r="Q82" s="546"/>
      <c r="R82" s="546"/>
      <c r="S82" s="546"/>
      <c r="T82" s="546"/>
      <c r="U82" s="546"/>
      <c r="V82" s="547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53" t="s">
        <v>169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98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68</v>
      </c>
      <c r="X85" s="539">
        <v>69</v>
      </c>
      <c r="Y85" s="540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71.61944444444444</v>
      </c>
      <c r="BN85" s="64">
        <f>IFERROR(Y85*I85/H85,"0")</f>
        <v>78.47</v>
      </c>
      <c r="BO85" s="64">
        <f>IFERROR(1/J85*(X85/H85),"0")</f>
        <v>9.9826388888888881E-2</v>
      </c>
      <c r="BP85" s="64">
        <f>IFERROR(1/J85*(Y85/H85),"0")</f>
        <v>0.109375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176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70</v>
      </c>
      <c r="Q88" s="546"/>
      <c r="R88" s="546"/>
      <c r="S88" s="546"/>
      <c r="T88" s="546"/>
      <c r="U88" s="546"/>
      <c r="V88" s="547"/>
      <c r="W88" s="37" t="s">
        <v>71</v>
      </c>
      <c r="X88" s="541">
        <f>IFERROR(X85/H85,"0")+IFERROR(X86/H86,"0")+IFERROR(X87/H87,"0")</f>
        <v>6.3888888888888884</v>
      </c>
      <c r="Y88" s="541">
        <f>IFERROR(Y85/H85,"0")+IFERROR(Y86/H86,"0")+IFERROR(Y87/H87,"0")</f>
        <v>7</v>
      </c>
      <c r="Z88" s="541">
        <f>IFERROR(IF(Z85="",0,Z85),"0")+IFERROR(IF(Z86="",0,Z86),"0")+IFERROR(IF(Z87="",0,Z87),"0")</f>
        <v>0.13286000000000001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70</v>
      </c>
      <c r="Q89" s="546"/>
      <c r="R89" s="546"/>
      <c r="S89" s="546"/>
      <c r="T89" s="546"/>
      <c r="U89" s="546"/>
      <c r="V89" s="547"/>
      <c r="W89" s="37" t="s">
        <v>68</v>
      </c>
      <c r="X89" s="541">
        <f>IFERROR(SUM(X85:X87),"0")</f>
        <v>69</v>
      </c>
      <c r="Y89" s="541">
        <f>IFERROR(SUM(Y85:Y87),"0")</f>
        <v>75.600000000000009</v>
      </c>
      <c r="Z89" s="37"/>
      <c r="AA89" s="542"/>
      <c r="AB89" s="542"/>
      <c r="AC89" s="542"/>
    </row>
    <row r="90" spans="1:68" ht="14.25" hidden="1" customHeight="1" x14ac:dyDescent="0.25">
      <c r="A90" s="556" t="s">
        <v>72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68</v>
      </c>
      <c r="X91" s="539">
        <v>10</v>
      </c>
      <c r="Y91" s="540">
        <f>IFERROR(IF(X91="",0,CEILING((X91/$H91),1)*$H91),"")</f>
        <v>16.2</v>
      </c>
      <c r="Z91" s="36">
        <f>IFERROR(IF(Y91=0,"",ROUNDUP(Y91/H91,0)*0.01898),"")</f>
        <v>3.7960000000000001E-2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10.609876543209877</v>
      </c>
      <c r="BN91" s="64">
        <f>IFERROR(Y91*I91/H91,"0")</f>
        <v>17.187999999999999</v>
      </c>
      <c r="BO91" s="64">
        <f>IFERROR(1/J91*(X91/H91),"0")</f>
        <v>1.9290123456790126E-2</v>
      </c>
      <c r="BP91" s="64">
        <f>IFERROR(1/J91*(Y91/H91),"0")</f>
        <v>3.125E-2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68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70</v>
      </c>
      <c r="Q95" s="546"/>
      <c r="R95" s="546"/>
      <c r="S95" s="546"/>
      <c r="T95" s="546"/>
      <c r="U95" s="546"/>
      <c r="V95" s="547"/>
      <c r="W95" s="37" t="s">
        <v>71</v>
      </c>
      <c r="X95" s="541">
        <f>IFERROR(X91/H91,"0")+IFERROR(X92/H92,"0")+IFERROR(X93/H93,"0")+IFERROR(X94/H94,"0")</f>
        <v>1.2345679012345681</v>
      </c>
      <c r="Y95" s="541">
        <f>IFERROR(Y91/H91,"0")+IFERROR(Y92/H92,"0")+IFERROR(Y93/H93,"0")+IFERROR(Y94/H94,"0")</f>
        <v>2</v>
      </c>
      <c r="Z95" s="541">
        <f>IFERROR(IF(Z91="",0,Z91),"0")+IFERROR(IF(Z92="",0,Z92),"0")+IFERROR(IF(Z93="",0,Z93),"0")+IFERROR(IF(Z94="",0,Z94),"0")</f>
        <v>3.7960000000000001E-2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70</v>
      </c>
      <c r="Q96" s="546"/>
      <c r="R96" s="546"/>
      <c r="S96" s="546"/>
      <c r="T96" s="546"/>
      <c r="U96" s="546"/>
      <c r="V96" s="547"/>
      <c r="W96" s="37" t="s">
        <v>68</v>
      </c>
      <c r="X96" s="541">
        <f>IFERROR(SUM(X91:X94),"0")</f>
        <v>10</v>
      </c>
      <c r="Y96" s="541">
        <f>IFERROR(SUM(Y91:Y94),"0")</f>
        <v>16.2</v>
      </c>
      <c r="Z96" s="37"/>
      <c r="AA96" s="542"/>
      <c r="AB96" s="542"/>
      <c r="AC96" s="542"/>
    </row>
    <row r="97" spans="1:68" ht="16.5" hidden="1" customHeight="1" x14ac:dyDescent="0.25">
      <c r="A97" s="553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98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68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70</v>
      </c>
      <c r="Q103" s="546"/>
      <c r="R103" s="546"/>
      <c r="S103" s="546"/>
      <c r="T103" s="546"/>
      <c r="U103" s="546"/>
      <c r="V103" s="547"/>
      <c r="W103" s="37" t="s">
        <v>71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70</v>
      </c>
      <c r="Q104" s="546"/>
      <c r="R104" s="546"/>
      <c r="S104" s="546"/>
      <c r="T104" s="546"/>
      <c r="U104" s="546"/>
      <c r="V104" s="547"/>
      <c r="W104" s="37" t="s">
        <v>68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134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68</v>
      </c>
      <c r="X106" s="539">
        <v>19</v>
      </c>
      <c r="Y106" s="540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19.721296296296295</v>
      </c>
      <c r="BN106" s="64">
        <f>IFERROR(Y106*I106/H106,"0")</f>
        <v>22.42</v>
      </c>
      <c r="BO106" s="64">
        <f>IFERROR(1/J106*(X106/H106),"0")</f>
        <v>2.7488425925925923E-2</v>
      </c>
      <c r="BP106" s="64">
        <f>IFERROR(1/J106*(Y106/H106),"0")</f>
        <v>3.125E-2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185</v>
      </c>
      <c r="M108" s="33" t="s">
        <v>103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68</v>
      </c>
      <c r="X108" s="539">
        <v>3</v>
      </c>
      <c r="Y108" s="540">
        <f>IFERROR(IF(X108="",0,CEILING((X108/$H108),1)*$H108),"")</f>
        <v>4.8</v>
      </c>
      <c r="Z108" s="36">
        <f>IFERROR(IF(Y108=0,"",ROUNDUP(Y108/H108,0)*0.00651),"")</f>
        <v>1.302E-2</v>
      </c>
      <c r="AA108" s="56"/>
      <c r="AB108" s="57"/>
      <c r="AC108" s="153" t="s">
        <v>201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3.2250000000000001</v>
      </c>
      <c r="BN108" s="64">
        <f>IFERROR(Y108*I108/H108,"0")</f>
        <v>5.16</v>
      </c>
      <c r="BO108" s="64">
        <f>IFERROR(1/J108*(X108/H108),"0")</f>
        <v>6.8681318681318689E-3</v>
      </c>
      <c r="BP108" s="64">
        <f>IFERROR(1/J108*(Y108/H108),"0")</f>
        <v>1.098901098901099E-2</v>
      </c>
    </row>
    <row r="109" spans="1:68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70</v>
      </c>
      <c r="Q109" s="546"/>
      <c r="R109" s="546"/>
      <c r="S109" s="546"/>
      <c r="T109" s="546"/>
      <c r="U109" s="546"/>
      <c r="V109" s="547"/>
      <c r="W109" s="37" t="s">
        <v>71</v>
      </c>
      <c r="X109" s="541">
        <f>IFERROR(X106/H106,"0")+IFERROR(X107/H107,"0")+IFERROR(X108/H108,"0")</f>
        <v>3.0092592592592591</v>
      </c>
      <c r="Y109" s="541">
        <f>IFERROR(Y106/H106,"0")+IFERROR(Y107/H107,"0")+IFERROR(Y108/H108,"0")</f>
        <v>4</v>
      </c>
      <c r="Z109" s="541">
        <f>IFERROR(IF(Z106="",0,Z106),"0")+IFERROR(IF(Z107="",0,Z107),"0")+IFERROR(IF(Z108="",0,Z108),"0")</f>
        <v>5.0979999999999998E-2</v>
      </c>
      <c r="AA109" s="542"/>
      <c r="AB109" s="542"/>
      <c r="AC109" s="542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70</v>
      </c>
      <c r="Q110" s="546"/>
      <c r="R110" s="546"/>
      <c r="S110" s="546"/>
      <c r="T110" s="546"/>
      <c r="U110" s="546"/>
      <c r="V110" s="547"/>
      <c r="W110" s="37" t="s">
        <v>68</v>
      </c>
      <c r="X110" s="541">
        <f>IFERROR(SUM(X106:X108),"0")</f>
        <v>22</v>
      </c>
      <c r="Y110" s="541">
        <f>IFERROR(SUM(Y106:Y108),"0")</f>
        <v>26.400000000000002</v>
      </c>
      <c r="Z110" s="37"/>
      <c r="AA110" s="542"/>
      <c r="AB110" s="542"/>
      <c r="AC110" s="542"/>
    </row>
    <row r="111" spans="1:68" ht="14.25" hidden="1" customHeight="1" x14ac:dyDescent="0.25">
      <c r="A111" s="556" t="s">
        <v>72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68</v>
      </c>
      <c r="X112" s="539">
        <v>79</v>
      </c>
      <c r="Y112" s="540">
        <f>IFERROR(IF(X112="",0,CEILING((X112/$H112),1)*$H112),"")</f>
        <v>81</v>
      </c>
      <c r="Z112" s="36">
        <f>IFERROR(IF(Y112=0,"",ROUNDUP(Y112/H112,0)*0.01898),"")</f>
        <v>0.1898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83.759506172839494</v>
      </c>
      <c r="BN112" s="64">
        <f>IFERROR(Y112*I112/H112,"0")</f>
        <v>85.88</v>
      </c>
      <c r="BO112" s="64">
        <f>IFERROR(1/J112*(X112/H112),"0")</f>
        <v>0.15239197530864199</v>
      </c>
      <c r="BP112" s="64">
        <f>IFERROR(1/J112*(Y112/H112),"0")</f>
        <v>0.15625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70</v>
      </c>
      <c r="Q116" s="546"/>
      <c r="R116" s="546"/>
      <c r="S116" s="546"/>
      <c r="T116" s="546"/>
      <c r="U116" s="546"/>
      <c r="V116" s="547"/>
      <c r="W116" s="37" t="s">
        <v>71</v>
      </c>
      <c r="X116" s="541">
        <f>IFERROR(X112/H112,"0")+IFERROR(X113/H113,"0")+IFERROR(X114/H114,"0")+IFERROR(X115/H115,"0")</f>
        <v>9.7530864197530871</v>
      </c>
      <c r="Y116" s="541">
        <f>IFERROR(Y112/H112,"0")+IFERROR(Y113/H113,"0")+IFERROR(Y114/H114,"0")+IFERROR(Y115/H115,"0")</f>
        <v>10</v>
      </c>
      <c r="Z116" s="541">
        <f>IFERROR(IF(Z112="",0,Z112),"0")+IFERROR(IF(Z113="",0,Z113),"0")+IFERROR(IF(Z114="",0,Z114),"0")+IFERROR(IF(Z115="",0,Z115),"0")</f>
        <v>0.1898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70</v>
      </c>
      <c r="Q117" s="546"/>
      <c r="R117" s="546"/>
      <c r="S117" s="546"/>
      <c r="T117" s="546"/>
      <c r="U117" s="546"/>
      <c r="V117" s="547"/>
      <c r="W117" s="37" t="s">
        <v>68</v>
      </c>
      <c r="X117" s="541">
        <f>IFERROR(SUM(X112:X115),"0")</f>
        <v>79</v>
      </c>
      <c r="Y117" s="541">
        <f>IFERROR(SUM(Y112:Y115),"0")</f>
        <v>81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162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70</v>
      </c>
      <c r="Q120" s="546"/>
      <c r="R120" s="546"/>
      <c r="S120" s="546"/>
      <c r="T120" s="546"/>
      <c r="U120" s="546"/>
      <c r="V120" s="547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70</v>
      </c>
      <c r="Q121" s="546"/>
      <c r="R121" s="546"/>
      <c r="S121" s="546"/>
      <c r="T121" s="546"/>
      <c r="U121" s="546"/>
      <c r="V121" s="547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53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70</v>
      </c>
      <c r="Q126" s="546"/>
      <c r="R126" s="546"/>
      <c r="S126" s="546"/>
      <c r="T126" s="546"/>
      <c r="U126" s="546"/>
      <c r="V126" s="547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70</v>
      </c>
      <c r="Q127" s="546"/>
      <c r="R127" s="546"/>
      <c r="S127" s="546"/>
      <c r="T127" s="546"/>
      <c r="U127" s="546"/>
      <c r="V127" s="547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63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70</v>
      </c>
      <c r="Q131" s="546"/>
      <c r="R131" s="546"/>
      <c r="S131" s="546"/>
      <c r="T131" s="546"/>
      <c r="U131" s="546"/>
      <c r="V131" s="547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70</v>
      </c>
      <c r="Q132" s="546"/>
      <c r="R132" s="546"/>
      <c r="S132" s="546"/>
      <c r="T132" s="546"/>
      <c r="U132" s="546"/>
      <c r="V132" s="547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72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70</v>
      </c>
      <c r="Q136" s="546"/>
      <c r="R136" s="546"/>
      <c r="S136" s="546"/>
      <c r="T136" s="546"/>
      <c r="U136" s="546"/>
      <c r="V136" s="547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70</v>
      </c>
      <c r="Q137" s="546"/>
      <c r="R137" s="546"/>
      <c r="S137" s="546"/>
      <c r="T137" s="546"/>
      <c r="U137" s="546"/>
      <c r="V137" s="547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53" t="s">
        <v>96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98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70</v>
      </c>
      <c r="Q142" s="546"/>
      <c r="R142" s="546"/>
      <c r="S142" s="546"/>
      <c r="T142" s="546"/>
      <c r="U142" s="546"/>
      <c r="V142" s="547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70</v>
      </c>
      <c r="Q143" s="546"/>
      <c r="R143" s="546"/>
      <c r="S143" s="546"/>
      <c r="T143" s="546"/>
      <c r="U143" s="546"/>
      <c r="V143" s="547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63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70</v>
      </c>
      <c r="Q148" s="546"/>
      <c r="R148" s="546"/>
      <c r="S148" s="546"/>
      <c r="T148" s="546"/>
      <c r="U148" s="546"/>
      <c r="V148" s="547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70</v>
      </c>
      <c r="Q149" s="546"/>
      <c r="R149" s="546"/>
      <c r="S149" s="546"/>
      <c r="T149" s="546"/>
      <c r="U149" s="546"/>
      <c r="V149" s="547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72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62" t="s">
        <v>248</v>
      </c>
      <c r="Q151" s="549"/>
      <c r="R151" s="549"/>
      <c r="S151" s="549"/>
      <c r="T151" s="550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70</v>
      </c>
      <c r="Q152" s="546"/>
      <c r="R152" s="546"/>
      <c r="S152" s="546"/>
      <c r="T152" s="546"/>
      <c r="U152" s="546"/>
      <c r="V152" s="547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70</v>
      </c>
      <c r="Q153" s="546"/>
      <c r="R153" s="546"/>
      <c r="S153" s="546"/>
      <c r="T153" s="546"/>
      <c r="U153" s="546"/>
      <c r="V153" s="547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250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134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70</v>
      </c>
      <c r="Q158" s="546"/>
      <c r="R158" s="546"/>
      <c r="S158" s="546"/>
      <c r="T158" s="546"/>
      <c r="U158" s="546"/>
      <c r="V158" s="547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70</v>
      </c>
      <c r="Q159" s="546"/>
      <c r="R159" s="546"/>
      <c r="S159" s="546"/>
      <c r="T159" s="546"/>
      <c r="U159" s="546"/>
      <c r="V159" s="547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63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109</v>
      </c>
      <c r="M161" s="33" t="s">
        <v>67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68</v>
      </c>
      <c r="X161" s="539">
        <v>37</v>
      </c>
      <c r="Y161" s="540">
        <f t="shared" ref="Y161:Y170" si="5">IFERROR(IF(X161="",0,CEILING((X161/$H161),1)*$H161),"")</f>
        <v>37.800000000000004</v>
      </c>
      <c r="Z161" s="36">
        <f>IFERROR(IF(Y161=0,"",ROUNDUP(Y161/H161,0)*0.00902),"")</f>
        <v>8.1180000000000002E-2</v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39.202380952380949</v>
      </c>
      <c r="BN161" s="64">
        <f t="shared" ref="BN161:BN170" si="7">IFERROR(Y161*I161/H161,"0")</f>
        <v>40.050000000000004</v>
      </c>
      <c r="BO161" s="64">
        <f t="shared" ref="BO161:BO170" si="8">IFERROR(1/J161*(X161/H161),"0")</f>
        <v>6.6738816738816736E-2</v>
      </c>
      <c r="BP161" s="64">
        <f t="shared" ref="BP161:BP170" si="9">IFERROR(1/J161*(Y161/H161),"0")</f>
        <v>6.8181818181818177E-2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68</v>
      </c>
      <c r="X163" s="539">
        <v>50</v>
      </c>
      <c r="Y163" s="540">
        <f t="shared" si="5"/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52.261904761904752</v>
      </c>
      <c r="BN163" s="64">
        <f t="shared" si="7"/>
        <v>52.68</v>
      </c>
      <c r="BO163" s="64">
        <f t="shared" si="8"/>
        <v>9.0187590187590191E-2</v>
      </c>
      <c r="BP163" s="64">
        <f t="shared" si="9"/>
        <v>9.0909090909090912E-2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3" t="s">
        <v>269</v>
      </c>
      <c r="Q165" s="549"/>
      <c r="R165" s="549"/>
      <c r="S165" s="549"/>
      <c r="T165" s="550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68</v>
      </c>
      <c r="X167" s="539">
        <v>7</v>
      </c>
      <c r="Y167" s="540">
        <f t="shared" si="5"/>
        <v>7.2</v>
      </c>
      <c r="Z167" s="36">
        <f>IFERROR(IF(Y167=0,"",ROUNDUP(Y167/H167,0)*0.00502),"")</f>
        <v>2.0080000000000001E-2</v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7.5055555555555555</v>
      </c>
      <c r="BN167" s="64">
        <f t="shared" si="7"/>
        <v>7.7199999999999989</v>
      </c>
      <c r="BO167" s="64">
        <f t="shared" si="8"/>
        <v>1.6619183285849954E-2</v>
      </c>
      <c r="BP167" s="64">
        <f t="shared" si="9"/>
        <v>1.7094017094017096E-2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70</v>
      </c>
      <c r="Q171" s="546"/>
      <c r="R171" s="546"/>
      <c r="S171" s="546"/>
      <c r="T171" s="546"/>
      <c r="U171" s="546"/>
      <c r="V171" s="547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24.603174603174605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25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0.20950000000000002</v>
      </c>
      <c r="AA171" s="542"/>
      <c r="AB171" s="542"/>
      <c r="AC171" s="542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70</v>
      </c>
      <c r="Q172" s="546"/>
      <c r="R172" s="546"/>
      <c r="S172" s="546"/>
      <c r="T172" s="546"/>
      <c r="U172" s="546"/>
      <c r="V172" s="547"/>
      <c r="W172" s="37" t="s">
        <v>68</v>
      </c>
      <c r="X172" s="541">
        <f>IFERROR(SUM(X161:X170),"0")</f>
        <v>94</v>
      </c>
      <c r="Y172" s="541">
        <f>IFERROR(SUM(Y161:Y170),"0")</f>
        <v>95.40000000000002</v>
      </c>
      <c r="Z172" s="37"/>
      <c r="AA172" s="542"/>
      <c r="AB172" s="542"/>
      <c r="AC172" s="542"/>
    </row>
    <row r="173" spans="1:68" ht="14.25" hidden="1" customHeight="1" x14ac:dyDescent="0.25">
      <c r="A173" s="556" t="s">
        <v>90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68</v>
      </c>
      <c r="X175" s="539">
        <v>1</v>
      </c>
      <c r="Y175" s="540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1.1507936507936507</v>
      </c>
      <c r="BN175" s="64">
        <f>IFERROR(Y175*I175/H175,"0")</f>
        <v>1.45</v>
      </c>
      <c r="BO175" s="64">
        <f>IFERROR(1/J175*(X175/H175),"0")</f>
        <v>3.6743092298647849E-3</v>
      </c>
      <c r="BP175" s="64">
        <f>IFERROR(1/J175*(Y175/H175),"0")</f>
        <v>4.6296296296296294E-3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68</v>
      </c>
      <c r="X176" s="539">
        <v>4</v>
      </c>
      <c r="Y176" s="540">
        <f>IFERROR(IF(X176="",0,CEILING((X176/$H176),1)*$H176),"")</f>
        <v>5.04</v>
      </c>
      <c r="Z176" s="36">
        <f>IFERROR(IF(Y176=0,"",ROUNDUP(Y176/H176,0)*0.0059),"")</f>
        <v>2.3599999999999999E-2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4.6031746031746028</v>
      </c>
      <c r="BN176" s="64">
        <f>IFERROR(Y176*I176/H176,"0")</f>
        <v>5.8</v>
      </c>
      <c r="BO176" s="64">
        <f>IFERROR(1/J176*(X176/H176),"0")</f>
        <v>1.469723691945914E-2</v>
      </c>
      <c r="BP176" s="64">
        <f>IFERROR(1/J176*(Y176/H176),"0")</f>
        <v>1.8518518518518517E-2</v>
      </c>
    </row>
    <row r="177" spans="1:68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70</v>
      </c>
      <c r="Q177" s="546"/>
      <c r="R177" s="546"/>
      <c r="S177" s="546"/>
      <c r="T177" s="546"/>
      <c r="U177" s="546"/>
      <c r="V177" s="547"/>
      <c r="W177" s="37" t="s">
        <v>71</v>
      </c>
      <c r="X177" s="541">
        <f>IFERROR(X174/H174,"0")+IFERROR(X175/H175,"0")+IFERROR(X176/H176,"0")</f>
        <v>3.9682539682539679</v>
      </c>
      <c r="Y177" s="541">
        <f>IFERROR(Y174/H174,"0")+IFERROR(Y175/H175,"0")+IFERROR(Y176/H176,"0")</f>
        <v>5</v>
      </c>
      <c r="Z177" s="541">
        <f>IFERROR(IF(Z174="",0,Z174),"0")+IFERROR(IF(Z175="",0,Z175),"0")+IFERROR(IF(Z176="",0,Z176),"0")</f>
        <v>2.9499999999999998E-2</v>
      </c>
      <c r="AA177" s="542"/>
      <c r="AB177" s="542"/>
      <c r="AC177" s="542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70</v>
      </c>
      <c r="Q178" s="546"/>
      <c r="R178" s="546"/>
      <c r="S178" s="546"/>
      <c r="T178" s="546"/>
      <c r="U178" s="546"/>
      <c r="V178" s="547"/>
      <c r="W178" s="37" t="s">
        <v>68</v>
      </c>
      <c r="X178" s="541">
        <f>IFERROR(SUM(X174:X176),"0")</f>
        <v>5</v>
      </c>
      <c r="Y178" s="541">
        <f>IFERROR(SUM(Y174:Y176),"0")</f>
        <v>6.3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68</v>
      </c>
      <c r="X180" s="539">
        <v>3</v>
      </c>
      <c r="Y180" s="540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3.4523809523809521</v>
      </c>
      <c r="BN180" s="64">
        <f>IFERROR(Y180*I180/H180,"0")</f>
        <v>4.3499999999999996</v>
      </c>
      <c r="BO180" s="64">
        <f>IFERROR(1/J180*(X180/H180),"0")</f>
        <v>1.1022927689594356E-2</v>
      </c>
      <c r="BP180" s="64">
        <f>IFERROR(1/J180*(Y180/H180),"0")</f>
        <v>1.3888888888888888E-2</v>
      </c>
    </row>
    <row r="181" spans="1:68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70</v>
      </c>
      <c r="Q181" s="546"/>
      <c r="R181" s="546"/>
      <c r="S181" s="546"/>
      <c r="T181" s="546"/>
      <c r="U181" s="546"/>
      <c r="V181" s="547"/>
      <c r="W181" s="37" t="s">
        <v>71</v>
      </c>
      <c r="X181" s="541">
        <f>IFERROR(X180/H180,"0")</f>
        <v>2.3809523809523809</v>
      </c>
      <c r="Y181" s="541">
        <f>IFERROR(Y180/H180,"0")</f>
        <v>3</v>
      </c>
      <c r="Z181" s="541">
        <f>IFERROR(IF(Z180="",0,Z180),"0")</f>
        <v>1.77E-2</v>
      </c>
      <c r="AA181" s="542"/>
      <c r="AB181" s="542"/>
      <c r="AC181" s="542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70</v>
      </c>
      <c r="Q182" s="546"/>
      <c r="R182" s="546"/>
      <c r="S182" s="546"/>
      <c r="T182" s="546"/>
      <c r="U182" s="546"/>
      <c r="V182" s="547"/>
      <c r="W182" s="37" t="s">
        <v>68</v>
      </c>
      <c r="X182" s="541">
        <f>IFERROR(SUM(X180:X180),"0")</f>
        <v>3</v>
      </c>
      <c r="Y182" s="541">
        <f>IFERROR(SUM(Y180:Y180),"0")</f>
        <v>3.7800000000000002</v>
      </c>
      <c r="Z182" s="37"/>
      <c r="AA182" s="542"/>
      <c r="AB182" s="542"/>
      <c r="AC182" s="542"/>
    </row>
    <row r="183" spans="1:68" ht="16.5" hidden="1" customHeight="1" x14ac:dyDescent="0.25">
      <c r="A183" s="553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98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70</v>
      </c>
      <c r="Q187" s="546"/>
      <c r="R187" s="546"/>
      <c r="S187" s="546"/>
      <c r="T187" s="546"/>
      <c r="U187" s="546"/>
      <c r="V187" s="547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70</v>
      </c>
      <c r="Q188" s="546"/>
      <c r="R188" s="546"/>
      <c r="S188" s="546"/>
      <c r="T188" s="546"/>
      <c r="U188" s="546"/>
      <c r="V188" s="547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134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185</v>
      </c>
      <c r="M191" s="33" t="s">
        <v>103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70</v>
      </c>
      <c r="Q192" s="546"/>
      <c r="R192" s="546"/>
      <c r="S192" s="546"/>
      <c r="T192" s="546"/>
      <c r="U192" s="546"/>
      <c r="V192" s="547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70</v>
      </c>
      <c r="Q193" s="546"/>
      <c r="R193" s="546"/>
      <c r="S193" s="546"/>
      <c r="T193" s="546"/>
      <c r="U193" s="546"/>
      <c r="V193" s="547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63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68</v>
      </c>
      <c r="X195" s="539">
        <v>84</v>
      </c>
      <c r="Y195" s="540">
        <f t="shared" ref="Y195:Y202" si="10">IFERROR(IF(X195="",0,CEILING((X195/$H195),1)*$H195),"")</f>
        <v>86.4</v>
      </c>
      <c r="Z195" s="36">
        <f>IFERROR(IF(Y195=0,"",ROUNDUP(Y195/H195,0)*0.00902),"")</f>
        <v>0.14432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86.955555555555549</v>
      </c>
      <c r="BN195" s="64">
        <f t="shared" ref="BN195:BN202" si="12">IFERROR(Y195*I195/H195,"0")</f>
        <v>89.44</v>
      </c>
      <c r="BO195" s="64">
        <f t="shared" ref="BO195:BO202" si="13">IFERROR(1/J195*(X195/H195),"0")</f>
        <v>0.11784511784511785</v>
      </c>
      <c r="BP195" s="64">
        <f t="shared" ref="BP195:BP202" si="14">IFERROR(1/J195*(Y195/H195),"0")</f>
        <v>0.12121212121212122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68</v>
      </c>
      <c r="X198" s="539">
        <v>149</v>
      </c>
      <c r="Y198" s="540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154.24259259259259</v>
      </c>
      <c r="BN198" s="64">
        <f t="shared" si="12"/>
        <v>156.52000000000001</v>
      </c>
      <c r="BO198" s="64">
        <f t="shared" si="13"/>
        <v>0.20903479236812569</v>
      </c>
      <c r="BP198" s="64">
        <f t="shared" si="14"/>
        <v>0.21212121212121213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68</v>
      </c>
      <c r="X202" s="539">
        <v>5</v>
      </c>
      <c r="Y202" s="540">
        <f t="shared" si="10"/>
        <v>5.4</v>
      </c>
      <c r="Z202" s="36">
        <f>IFERROR(IF(Y202=0,"",ROUNDUP(Y202/H202,0)*0.00502),"")</f>
        <v>1.506E-2</v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5.2777777777777777</v>
      </c>
      <c r="BN202" s="64">
        <f t="shared" si="12"/>
        <v>5.7</v>
      </c>
      <c r="BO202" s="64">
        <f t="shared" si="13"/>
        <v>1.1870845204178538E-2</v>
      </c>
      <c r="BP202" s="64">
        <f t="shared" si="14"/>
        <v>1.2820512820512822E-2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70</v>
      </c>
      <c r="Q203" s="546"/>
      <c r="R203" s="546"/>
      <c r="S203" s="546"/>
      <c r="T203" s="546"/>
      <c r="U203" s="546"/>
      <c r="V203" s="547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45.925925925925924</v>
      </c>
      <c r="Y203" s="541">
        <f>IFERROR(Y195/H195,"0")+IFERROR(Y196/H196,"0")+IFERROR(Y197/H197,"0")+IFERROR(Y198/H198,"0")+IFERROR(Y199/H199,"0")+IFERROR(Y200/H200,"0")+IFERROR(Y201/H201,"0")+IFERROR(Y202/H202,"0")</f>
        <v>47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0.41194000000000003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70</v>
      </c>
      <c r="Q204" s="546"/>
      <c r="R204" s="546"/>
      <c r="S204" s="546"/>
      <c r="T204" s="546"/>
      <c r="U204" s="546"/>
      <c r="V204" s="547"/>
      <c r="W204" s="37" t="s">
        <v>68</v>
      </c>
      <c r="X204" s="541">
        <f>IFERROR(SUM(X195:X202),"0")</f>
        <v>238</v>
      </c>
      <c r="Y204" s="541">
        <f>IFERROR(SUM(Y195:Y202),"0")</f>
        <v>243.00000000000003</v>
      </c>
      <c r="Z204" s="37"/>
      <c r="AA204" s="542"/>
      <c r="AB204" s="542"/>
      <c r="AC204" s="542"/>
    </row>
    <row r="205" spans="1:68" ht="14.25" hidden="1" customHeight="1" x14ac:dyDescent="0.25">
      <c r="A205" s="556" t="s">
        <v>72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68</v>
      </c>
      <c r="X206" s="539">
        <v>15</v>
      </c>
      <c r="Y206" s="540">
        <f t="shared" ref="Y206:Y214" si="15">IFERROR(IF(X206="",0,CEILING((X206/$H206),1)*$H206),"")</f>
        <v>16.2</v>
      </c>
      <c r="Z206" s="36">
        <f>IFERROR(IF(Y206=0,"",ROUNDUP(Y206/H206,0)*0.01898),"")</f>
        <v>3.7960000000000001E-2</v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15.914814814814815</v>
      </c>
      <c r="BN206" s="64">
        <f t="shared" ref="BN206:BN214" si="17">IFERROR(Y206*I206/H206,"0")</f>
        <v>17.187999999999999</v>
      </c>
      <c r="BO206" s="64">
        <f t="shared" ref="BO206:BO214" si="18">IFERROR(1/J206*(X206/H206),"0")</f>
        <v>2.8935185185185185E-2</v>
      </c>
      <c r="BP206" s="64">
        <f t="shared" ref="BP206:BP214" si="19">IFERROR(1/J206*(Y206/H206),"0")</f>
        <v>3.125E-2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68</v>
      </c>
      <c r="X207" s="539">
        <v>16</v>
      </c>
      <c r="Y207" s="540">
        <f t="shared" si="15"/>
        <v>16.2</v>
      </c>
      <c r="Z207" s="36">
        <f>IFERROR(IF(Y207=0,"",ROUNDUP(Y207/H207,0)*0.01898),"")</f>
        <v>3.7960000000000001E-2</v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16.94024691358025</v>
      </c>
      <c r="BN207" s="64">
        <f t="shared" si="17"/>
        <v>17.152000000000001</v>
      </c>
      <c r="BO207" s="64">
        <f t="shared" si="18"/>
        <v>3.0864197530864199E-2</v>
      </c>
      <c r="BP207" s="64">
        <f t="shared" si="19"/>
        <v>3.125E-2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68</v>
      </c>
      <c r="X209" s="539">
        <v>24</v>
      </c>
      <c r="Y209" s="540">
        <f t="shared" si="15"/>
        <v>24</v>
      </c>
      <c r="Z209" s="36">
        <f t="shared" ref="Z209:Z214" si="20">IFERROR(IF(Y209=0,"",ROUNDUP(Y209/H209,0)*0.00651),"")</f>
        <v>6.5100000000000005E-2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26.7</v>
      </c>
      <c r="BN209" s="64">
        <f t="shared" si="17"/>
        <v>26.7</v>
      </c>
      <c r="BO209" s="64">
        <f t="shared" si="18"/>
        <v>5.4945054945054951E-2</v>
      </c>
      <c r="BP209" s="64">
        <f t="shared" si="19"/>
        <v>5.4945054945054951E-2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68</v>
      </c>
      <c r="X211" s="539">
        <v>30</v>
      </c>
      <c r="Y211" s="540">
        <f t="shared" si="15"/>
        <v>31.2</v>
      </c>
      <c r="Z211" s="36">
        <f t="shared" si="20"/>
        <v>8.4629999999999997E-2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33.150000000000006</v>
      </c>
      <c r="BN211" s="64">
        <f t="shared" si="17"/>
        <v>34.476000000000006</v>
      </c>
      <c r="BO211" s="64">
        <f t="shared" si="18"/>
        <v>6.8681318681318687E-2</v>
      </c>
      <c r="BP211" s="64">
        <f t="shared" si="19"/>
        <v>7.1428571428571438E-2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68</v>
      </c>
      <c r="X212" s="539">
        <v>8</v>
      </c>
      <c r="Y212" s="540">
        <f t="shared" si="15"/>
        <v>9.6</v>
      </c>
      <c r="Z212" s="36">
        <f t="shared" si="20"/>
        <v>2.6040000000000001E-2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8.8400000000000016</v>
      </c>
      <c r="BN212" s="64">
        <f t="shared" si="17"/>
        <v>10.608000000000001</v>
      </c>
      <c r="BO212" s="64">
        <f t="shared" si="18"/>
        <v>1.8315018315018316E-2</v>
      </c>
      <c r="BP212" s="64">
        <f t="shared" si="19"/>
        <v>2.197802197802198E-2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68</v>
      </c>
      <c r="X213" s="539">
        <v>53</v>
      </c>
      <c r="Y213" s="540">
        <f t="shared" si="15"/>
        <v>55.199999999999996</v>
      </c>
      <c r="Z213" s="36">
        <f t="shared" si="20"/>
        <v>0.14973</v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58.565000000000005</v>
      </c>
      <c r="BN213" s="64">
        <f t="shared" si="17"/>
        <v>60.996000000000002</v>
      </c>
      <c r="BO213" s="64">
        <f t="shared" si="18"/>
        <v>0.12133699633699636</v>
      </c>
      <c r="BP213" s="64">
        <f t="shared" si="19"/>
        <v>0.1263736263736264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70</v>
      </c>
      <c r="Q215" s="546"/>
      <c r="R215" s="546"/>
      <c r="S215" s="546"/>
      <c r="T215" s="546"/>
      <c r="U215" s="546"/>
      <c r="V215" s="547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51.743827160493829</v>
      </c>
      <c r="Y215" s="541">
        <f>IFERROR(Y206/H206,"0")+IFERROR(Y207/H207,"0")+IFERROR(Y208/H208,"0")+IFERROR(Y209/H209,"0")+IFERROR(Y210/H210,"0")+IFERROR(Y211/H211,"0")+IFERROR(Y212/H212,"0")+IFERROR(Y213/H213,"0")+IFERROR(Y214/H214,"0")</f>
        <v>54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0.40142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70</v>
      </c>
      <c r="Q216" s="546"/>
      <c r="R216" s="546"/>
      <c r="S216" s="546"/>
      <c r="T216" s="546"/>
      <c r="U216" s="546"/>
      <c r="V216" s="547"/>
      <c r="W216" s="37" t="s">
        <v>68</v>
      </c>
      <c r="X216" s="541">
        <f>IFERROR(SUM(X206:X214),"0")</f>
        <v>146</v>
      </c>
      <c r="Y216" s="541">
        <f>IFERROR(SUM(Y206:Y214),"0")</f>
        <v>152.39999999999998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162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 t="s">
        <v>185</v>
      </c>
      <c r="M218" s="33" t="s">
        <v>83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105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185</v>
      </c>
      <c r="M219" s="33" t="s">
        <v>76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70</v>
      </c>
      <c r="Q220" s="546"/>
      <c r="R220" s="546"/>
      <c r="S220" s="546"/>
      <c r="T220" s="546"/>
      <c r="U220" s="546"/>
      <c r="V220" s="547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70</v>
      </c>
      <c r="Q221" s="546"/>
      <c r="R221" s="546"/>
      <c r="S221" s="546"/>
      <c r="T221" s="546"/>
      <c r="U221" s="546"/>
      <c r="V221" s="547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53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98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68</v>
      </c>
      <c r="X224" s="539">
        <v>8</v>
      </c>
      <c r="Y224" s="540">
        <f t="shared" ref="Y224:Y233" si="21">IFERROR(IF(X224="",0,CEILING((X224/$H224),1)*$H224),"")</f>
        <v>11.6</v>
      </c>
      <c r="Z224" s="36">
        <f>IFERROR(IF(Y224=0,"",ROUNDUP(Y224/H224,0)*0.01898),"")</f>
        <v>1.898E-2</v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8.2827586206896555</v>
      </c>
      <c r="BN224" s="64">
        <f t="shared" ref="BN224:BN233" si="23">IFERROR(Y224*I224/H224,"0")</f>
        <v>12.01</v>
      </c>
      <c r="BO224" s="64">
        <f t="shared" ref="BO224:BO233" si="24">IFERROR(1/J224*(X224/H224),"0")</f>
        <v>1.0775862068965518E-2</v>
      </c>
      <c r="BP224" s="64">
        <f t="shared" ref="BP224:BP233" si="25">IFERROR(1/J224*(Y224/H224),"0")</f>
        <v>1.5625E-2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70</v>
      </c>
      <c r="Q234" s="546"/>
      <c r="R234" s="546"/>
      <c r="S234" s="546"/>
      <c r="T234" s="546"/>
      <c r="U234" s="546"/>
      <c r="V234" s="547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0.68965517241379315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1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1.898E-2</v>
      </c>
      <c r="AA234" s="542"/>
      <c r="AB234" s="542"/>
      <c r="AC234" s="542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70</v>
      </c>
      <c r="Q235" s="546"/>
      <c r="R235" s="546"/>
      <c r="S235" s="546"/>
      <c r="T235" s="546"/>
      <c r="U235" s="546"/>
      <c r="V235" s="547"/>
      <c r="W235" s="37" t="s">
        <v>68</v>
      </c>
      <c r="X235" s="541">
        <f>IFERROR(SUM(X224:X233),"0")</f>
        <v>8</v>
      </c>
      <c r="Y235" s="541">
        <f>IFERROR(SUM(Y224:Y233),"0")</f>
        <v>11.6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134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70</v>
      </c>
      <c r="Q238" s="546"/>
      <c r="R238" s="546"/>
      <c r="S238" s="546"/>
      <c r="T238" s="546"/>
      <c r="U238" s="546"/>
      <c r="V238" s="547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70</v>
      </c>
      <c r="Q239" s="546"/>
      <c r="R239" s="546"/>
      <c r="S239" s="546"/>
      <c r="T239" s="546"/>
      <c r="U239" s="546"/>
      <c r="V239" s="547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70</v>
      </c>
      <c r="Q242" s="546"/>
      <c r="R242" s="546"/>
      <c r="S242" s="546"/>
      <c r="T242" s="546"/>
      <c r="U242" s="546"/>
      <c r="V242" s="547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70</v>
      </c>
      <c r="Q243" s="546"/>
      <c r="R243" s="546"/>
      <c r="S243" s="546"/>
      <c r="T243" s="546"/>
      <c r="U243" s="546"/>
      <c r="V243" s="547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68</v>
      </c>
      <c r="X247" s="539">
        <v>1</v>
      </c>
      <c r="Y247" s="540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68</v>
      </c>
      <c r="X248" s="539">
        <v>2</v>
      </c>
      <c r="Y248" s="540">
        <f>IFERROR(IF(X248="",0,CEILING((X248/$H248),1)*$H248),"")</f>
        <v>2.9699999999999998</v>
      </c>
      <c r="Z248" s="36">
        <f>IFERROR(IF(Y248=0,"",ROUNDUP(Y248/H248,0)*0.0059),"")</f>
        <v>1.77E-2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2.3838383838383836</v>
      </c>
      <c r="BN248" s="64">
        <f>IFERROR(Y248*I248/H248,"0")</f>
        <v>3.5399999999999996</v>
      </c>
      <c r="BO248" s="64">
        <f>IFERROR(1/J248*(X248/H248),"0")</f>
        <v>9.3527871305649091E-3</v>
      </c>
      <c r="BP248" s="64">
        <f>IFERROR(1/J248*(Y248/H248),"0")</f>
        <v>1.3888888888888886E-2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70</v>
      </c>
      <c r="Q250" s="546"/>
      <c r="R250" s="546"/>
      <c r="S250" s="546"/>
      <c r="T250" s="546"/>
      <c r="U250" s="546"/>
      <c r="V250" s="547"/>
      <c r="W250" s="37" t="s">
        <v>71</v>
      </c>
      <c r="X250" s="541">
        <f>IFERROR(X245/H245,"0")+IFERROR(X246/H246,"0")+IFERROR(X247/H247,"0")+IFERROR(X248/H248,"0")+IFERROR(X249/H249,"0")</f>
        <v>3.1313131313131315</v>
      </c>
      <c r="Y250" s="541">
        <f>IFERROR(Y245/H245,"0")+IFERROR(Y246/H246,"0")+IFERROR(Y247/H247,"0")+IFERROR(Y248/H248,"0")+IFERROR(Y249/H249,"0")</f>
        <v>5</v>
      </c>
      <c r="Z250" s="541">
        <f>IFERROR(IF(Z245="",0,Z245),"0")+IFERROR(IF(Z246="",0,Z246),"0")+IFERROR(IF(Z247="",0,Z247),"0")+IFERROR(IF(Z248="",0,Z248),"0")+IFERROR(IF(Z249="",0,Z249),"0")</f>
        <v>2.9499999999999998E-2</v>
      </c>
      <c r="AA250" s="542"/>
      <c r="AB250" s="542"/>
      <c r="AC250" s="542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70</v>
      </c>
      <c r="Q251" s="546"/>
      <c r="R251" s="546"/>
      <c r="S251" s="546"/>
      <c r="T251" s="546"/>
      <c r="U251" s="546"/>
      <c r="V251" s="547"/>
      <c r="W251" s="37" t="s">
        <v>68</v>
      </c>
      <c r="X251" s="541">
        <f>IFERROR(SUM(X245:X249),"0")</f>
        <v>3</v>
      </c>
      <c r="Y251" s="541">
        <f>IFERROR(SUM(Y245:Y249),"0")</f>
        <v>4.7699999999999996</v>
      </c>
      <c r="Z251" s="37"/>
      <c r="AA251" s="542"/>
      <c r="AB251" s="542"/>
      <c r="AC251" s="542"/>
    </row>
    <row r="252" spans="1:68" ht="16.5" hidden="1" customHeight="1" x14ac:dyDescent="0.25">
      <c r="A252" s="553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98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70</v>
      </c>
      <c r="Q259" s="546"/>
      <c r="R259" s="546"/>
      <c r="S259" s="546"/>
      <c r="T259" s="546"/>
      <c r="U259" s="546"/>
      <c r="V259" s="547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70</v>
      </c>
      <c r="Q260" s="546"/>
      <c r="R260" s="546"/>
      <c r="S260" s="546"/>
      <c r="T260" s="546"/>
      <c r="U260" s="546"/>
      <c r="V260" s="547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70</v>
      </c>
      <c r="Q267" s="546"/>
      <c r="R267" s="546"/>
      <c r="S267" s="546"/>
      <c r="T267" s="546"/>
      <c r="U267" s="546"/>
      <c r="V267" s="547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70</v>
      </c>
      <c r="Q268" s="546"/>
      <c r="R268" s="546"/>
      <c r="S268" s="546"/>
      <c r="T268" s="546"/>
      <c r="U268" s="546"/>
      <c r="V268" s="547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72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70</v>
      </c>
      <c r="Q274" s="546"/>
      <c r="R274" s="546"/>
      <c r="S274" s="546"/>
      <c r="T274" s="546"/>
      <c r="U274" s="546"/>
      <c r="V274" s="547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70</v>
      </c>
      <c r="Q275" s="546"/>
      <c r="R275" s="546"/>
      <c r="S275" s="546"/>
      <c r="T275" s="546"/>
      <c r="U275" s="546"/>
      <c r="V275" s="547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53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63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70</v>
      </c>
      <c r="Q280" s="546"/>
      <c r="R280" s="546"/>
      <c r="S280" s="546"/>
      <c r="T280" s="546"/>
      <c r="U280" s="546"/>
      <c r="V280" s="547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70</v>
      </c>
      <c r="Q281" s="546"/>
      <c r="R281" s="546"/>
      <c r="S281" s="546"/>
      <c r="T281" s="546"/>
      <c r="U281" s="546"/>
      <c r="V281" s="547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72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46" t="s">
        <v>445</v>
      </c>
      <c r="Q284" s="549"/>
      <c r="R284" s="549"/>
      <c r="S284" s="549"/>
      <c r="T284" s="550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70</v>
      </c>
      <c r="Q285" s="546"/>
      <c r="R285" s="546"/>
      <c r="S285" s="546"/>
      <c r="T285" s="546"/>
      <c r="U285" s="546"/>
      <c r="V285" s="547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70</v>
      </c>
      <c r="Q286" s="546"/>
      <c r="R286" s="546"/>
      <c r="S286" s="546"/>
      <c r="T286" s="546"/>
      <c r="U286" s="546"/>
      <c r="V286" s="547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70</v>
      </c>
      <c r="Q294" s="546"/>
      <c r="R294" s="546"/>
      <c r="S294" s="546"/>
      <c r="T294" s="546"/>
      <c r="U294" s="546"/>
      <c r="V294" s="547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70</v>
      </c>
      <c r="Q295" s="546"/>
      <c r="R295" s="546"/>
      <c r="S295" s="546"/>
      <c r="T295" s="546"/>
      <c r="U295" s="546"/>
      <c r="V295" s="547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63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 t="s">
        <v>266</v>
      </c>
      <c r="M301" s="33" t="s">
        <v>67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 t="s">
        <v>105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70</v>
      </c>
      <c r="Q304" s="546"/>
      <c r="R304" s="546"/>
      <c r="S304" s="546"/>
      <c r="T304" s="546"/>
      <c r="U304" s="546"/>
      <c r="V304" s="547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70</v>
      </c>
      <c r="Q305" s="546"/>
      <c r="R305" s="546"/>
      <c r="S305" s="546"/>
      <c r="T305" s="546"/>
      <c r="U305" s="546"/>
      <c r="V305" s="547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hidden="1" customHeight="1" x14ac:dyDescent="0.25">
      <c r="A306" s="556" t="s">
        <v>72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70</v>
      </c>
      <c r="Q311" s="546"/>
      <c r="R311" s="546"/>
      <c r="S311" s="546"/>
      <c r="T311" s="546"/>
      <c r="U311" s="546"/>
      <c r="V311" s="547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70</v>
      </c>
      <c r="Q312" s="546"/>
      <c r="R312" s="546"/>
      <c r="S312" s="546"/>
      <c r="T312" s="546"/>
      <c r="U312" s="546"/>
      <c r="V312" s="547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162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68</v>
      </c>
      <c r="X314" s="539">
        <v>12</v>
      </c>
      <c r="Y314" s="540">
        <f>IFERROR(IF(X314="",0,CEILING((X314/$H314),1)*$H314),"")</f>
        <v>16.8</v>
      </c>
      <c r="Z314" s="36">
        <f>IFERROR(IF(Y314=0,"",ROUNDUP(Y314/H314,0)*0.01898),"")</f>
        <v>3.7960000000000001E-2</v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12.705714285714286</v>
      </c>
      <c r="BN314" s="64">
        <f>IFERROR(Y314*I314/H314,"0")</f>
        <v>17.788</v>
      </c>
      <c r="BO314" s="64">
        <f>IFERROR(1/J314*(X314/H314),"0")</f>
        <v>2.2321428571428572E-2</v>
      </c>
      <c r="BP314" s="64">
        <f>IFERROR(1/J314*(Y314/H314),"0")</f>
        <v>3.125E-2</v>
      </c>
    </row>
    <row r="315" spans="1:68" ht="27" hidden="1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70</v>
      </c>
      <c r="Q317" s="546"/>
      <c r="R317" s="546"/>
      <c r="S317" s="546"/>
      <c r="T317" s="546"/>
      <c r="U317" s="546"/>
      <c r="V317" s="547"/>
      <c r="W317" s="37" t="s">
        <v>71</v>
      </c>
      <c r="X317" s="541">
        <f>IFERROR(X314/H314,"0")+IFERROR(X315/H315,"0")+IFERROR(X316/H316,"0")</f>
        <v>1.4285714285714286</v>
      </c>
      <c r="Y317" s="541">
        <f>IFERROR(Y314/H314,"0")+IFERROR(Y315/H315,"0")+IFERROR(Y316/H316,"0")</f>
        <v>2</v>
      </c>
      <c r="Z317" s="541">
        <f>IFERROR(IF(Z314="",0,Z314),"0")+IFERROR(IF(Z315="",0,Z315),"0")+IFERROR(IF(Z316="",0,Z316),"0")</f>
        <v>3.7960000000000001E-2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70</v>
      </c>
      <c r="Q318" s="546"/>
      <c r="R318" s="546"/>
      <c r="S318" s="546"/>
      <c r="T318" s="546"/>
      <c r="U318" s="546"/>
      <c r="V318" s="547"/>
      <c r="W318" s="37" t="s">
        <v>68</v>
      </c>
      <c r="X318" s="541">
        <f>IFERROR(SUM(X314:X316),"0")</f>
        <v>12</v>
      </c>
      <c r="Y318" s="541">
        <f>IFERROR(SUM(Y314:Y316),"0")</f>
        <v>16.8</v>
      </c>
      <c r="Z318" s="37"/>
      <c r="AA318" s="542"/>
      <c r="AB318" s="542"/>
      <c r="AC318" s="542"/>
    </row>
    <row r="319" spans="1:68" ht="14.25" hidden="1" customHeight="1" x14ac:dyDescent="0.25">
      <c r="A319" s="556" t="s">
        <v>90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68</v>
      </c>
      <c r="X323" s="539">
        <v>5</v>
      </c>
      <c r="Y323" s="540">
        <f>IFERROR(IF(X323="",0,CEILING((X323/$H323),1)*$H323),"")</f>
        <v>5.0999999999999996</v>
      </c>
      <c r="Z323" s="36">
        <f>IFERROR(IF(Y323=0,"",ROUNDUP(Y323/H323,0)*0.00651),"")</f>
        <v>1.302E-2</v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5.6470588235294112</v>
      </c>
      <c r="BN323" s="64">
        <f>IFERROR(Y323*I323/H323,"0")</f>
        <v>5.76</v>
      </c>
      <c r="BO323" s="64">
        <f>IFERROR(1/J323*(X323/H323),"0")</f>
        <v>1.0773540185304893E-2</v>
      </c>
      <c r="BP323" s="64">
        <f>IFERROR(1/J323*(Y323/H323),"0")</f>
        <v>1.098901098901099E-2</v>
      </c>
    </row>
    <row r="324" spans="1:68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70</v>
      </c>
      <c r="Q324" s="546"/>
      <c r="R324" s="546"/>
      <c r="S324" s="546"/>
      <c r="T324" s="546"/>
      <c r="U324" s="546"/>
      <c r="V324" s="547"/>
      <c r="W324" s="37" t="s">
        <v>71</v>
      </c>
      <c r="X324" s="541">
        <f>IFERROR(X320/H320,"0")+IFERROR(X321/H321,"0")+IFERROR(X322/H322,"0")+IFERROR(X323/H323,"0")</f>
        <v>1.9607843137254903</v>
      </c>
      <c r="Y324" s="541">
        <f>IFERROR(Y320/H320,"0")+IFERROR(Y321/H321,"0")+IFERROR(Y322/H322,"0")+IFERROR(Y323/H323,"0")</f>
        <v>2</v>
      </c>
      <c r="Z324" s="541">
        <f>IFERROR(IF(Z320="",0,Z320),"0")+IFERROR(IF(Z321="",0,Z321),"0")+IFERROR(IF(Z322="",0,Z322),"0")+IFERROR(IF(Z323="",0,Z323),"0")</f>
        <v>1.302E-2</v>
      </c>
      <c r="AA324" s="542"/>
      <c r="AB324" s="542"/>
      <c r="AC324" s="542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70</v>
      </c>
      <c r="Q325" s="546"/>
      <c r="R325" s="546"/>
      <c r="S325" s="546"/>
      <c r="T325" s="546"/>
      <c r="U325" s="546"/>
      <c r="V325" s="547"/>
      <c r="W325" s="37" t="s">
        <v>68</v>
      </c>
      <c r="X325" s="541">
        <f>IFERROR(SUM(X320:X323),"0")</f>
        <v>5</v>
      </c>
      <c r="Y325" s="541">
        <f>IFERROR(SUM(Y320:Y323),"0")</f>
        <v>5.0999999999999996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512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 t="s">
        <v>185</v>
      </c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 t="s">
        <v>105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 t="s">
        <v>185</v>
      </c>
      <c r="M328" s="33" t="s">
        <v>515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 t="s">
        <v>105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 t="s">
        <v>185</v>
      </c>
      <c r="M329" s="33" t="s">
        <v>515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 t="s">
        <v>105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70</v>
      </c>
      <c r="Q330" s="546"/>
      <c r="R330" s="546"/>
      <c r="S330" s="546"/>
      <c r="T330" s="546"/>
      <c r="U330" s="546"/>
      <c r="V330" s="547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70</v>
      </c>
      <c r="Q331" s="546"/>
      <c r="R331" s="546"/>
      <c r="S331" s="546"/>
      <c r="T331" s="546"/>
      <c r="U331" s="546"/>
      <c r="V331" s="547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521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72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70</v>
      </c>
      <c r="Q337" s="546"/>
      <c r="R337" s="546"/>
      <c r="S337" s="546"/>
      <c r="T337" s="546"/>
      <c r="U337" s="546"/>
      <c r="V337" s="547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70</v>
      </c>
      <c r="Q338" s="546"/>
      <c r="R338" s="546"/>
      <c r="S338" s="546"/>
      <c r="T338" s="546"/>
      <c r="U338" s="546"/>
      <c r="V338" s="547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4" t="s">
        <v>531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532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98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68</v>
      </c>
      <c r="X342" s="539">
        <v>120</v>
      </c>
      <c r="Y342" s="540">
        <f t="shared" ref="Y342:Y348" si="31">IFERROR(IF(X342="",0,CEILING((X342/$H342),1)*$H342),"")</f>
        <v>120</v>
      </c>
      <c r="Z342" s="36">
        <f>IFERROR(IF(Y342=0,"",ROUNDUP(Y342/H342,0)*0.02175),"")</f>
        <v>0.17399999999999999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123.76</v>
      </c>
      <c r="BN342" s="64">
        <f t="shared" ref="BN342:BN348" si="33">IFERROR(Y342*I342/H342,"0")</f>
        <v>123.76</v>
      </c>
      <c r="BO342" s="64">
        <f t="shared" ref="BO342:BO348" si="34">IFERROR(1/J342*(X342/H342),"0")</f>
        <v>0.16666666666666666</v>
      </c>
      <c r="BP342" s="64">
        <f t="shared" ref="BP342:BP348" si="35">IFERROR(1/J342*(Y342/H342),"0")</f>
        <v>0.16666666666666666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68</v>
      </c>
      <c r="X343" s="539">
        <v>27</v>
      </c>
      <c r="Y343" s="540">
        <f t="shared" si="31"/>
        <v>30</v>
      </c>
      <c r="Z343" s="36">
        <f>IFERROR(IF(Y343=0,"",ROUNDUP(Y343/H343,0)*0.02175),"")</f>
        <v>4.3499999999999997E-2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27.846</v>
      </c>
      <c r="BN343" s="64">
        <f t="shared" si="33"/>
        <v>30.94</v>
      </c>
      <c r="BO343" s="64">
        <f t="shared" si="34"/>
        <v>3.7499999999999999E-2</v>
      </c>
      <c r="BP343" s="64">
        <f t="shared" si="35"/>
        <v>4.1666666666666664E-2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68</v>
      </c>
      <c r="X344" s="539">
        <v>153</v>
      </c>
      <c r="Y344" s="540">
        <f t="shared" si="31"/>
        <v>165</v>
      </c>
      <c r="Z344" s="36">
        <f>IFERROR(IF(Y344=0,"",ROUNDUP(Y344/H344,0)*0.02175),"")</f>
        <v>0.23924999999999999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157.79400000000001</v>
      </c>
      <c r="BN344" s="64">
        <f t="shared" si="33"/>
        <v>170.17000000000002</v>
      </c>
      <c r="BO344" s="64">
        <f t="shared" si="34"/>
        <v>0.21249999999999997</v>
      </c>
      <c r="BP344" s="64">
        <f t="shared" si="35"/>
        <v>0.22916666666666666</v>
      </c>
    </row>
    <row r="345" spans="1:68" ht="27" hidden="1" customHeight="1" x14ac:dyDescent="0.25">
      <c r="A345" s="54" t="s">
        <v>542</v>
      </c>
      <c r="B345" s="54" t="s">
        <v>543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70</v>
      </c>
      <c r="Q349" s="546"/>
      <c r="R349" s="546"/>
      <c r="S349" s="546"/>
      <c r="T349" s="546"/>
      <c r="U349" s="546"/>
      <c r="V349" s="547"/>
      <c r="W349" s="37" t="s">
        <v>71</v>
      </c>
      <c r="X349" s="541">
        <f>IFERROR(X342/H342,"0")+IFERROR(X343/H343,"0")+IFERROR(X344/H344,"0")+IFERROR(X345/H345,"0")+IFERROR(X346/H346,"0")+IFERROR(X347/H347,"0")+IFERROR(X348/H348,"0")</f>
        <v>20</v>
      </c>
      <c r="Y349" s="541">
        <f>IFERROR(Y342/H342,"0")+IFERROR(Y343/H343,"0")+IFERROR(Y344/H344,"0")+IFERROR(Y345/H345,"0")+IFERROR(Y346/H346,"0")+IFERROR(Y347/H347,"0")+IFERROR(Y348/H348,"0")</f>
        <v>21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0.45674999999999999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70</v>
      </c>
      <c r="Q350" s="546"/>
      <c r="R350" s="546"/>
      <c r="S350" s="546"/>
      <c r="T350" s="546"/>
      <c r="U350" s="546"/>
      <c r="V350" s="547"/>
      <c r="W350" s="37" t="s">
        <v>68</v>
      </c>
      <c r="X350" s="541">
        <f>IFERROR(SUM(X342:X348),"0")</f>
        <v>300</v>
      </c>
      <c r="Y350" s="541">
        <f>IFERROR(SUM(Y342:Y348),"0")</f>
        <v>315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134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68</v>
      </c>
      <c r="X352" s="539">
        <v>107</v>
      </c>
      <c r="Y352" s="540">
        <f>IFERROR(IF(X352="",0,CEILING((X352/$H352),1)*$H352),"")</f>
        <v>120</v>
      </c>
      <c r="Z352" s="36">
        <f>IFERROR(IF(Y352=0,"",ROUNDUP(Y352/H352,0)*0.02175),"")</f>
        <v>0.17399999999999999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110.35266666666666</v>
      </c>
      <c r="BN352" s="64">
        <f>IFERROR(Y352*I352/H352,"0")</f>
        <v>123.76</v>
      </c>
      <c r="BO352" s="64">
        <f>IFERROR(1/J352*(X352/H352),"0")</f>
        <v>0.14861111111111111</v>
      </c>
      <c r="BP352" s="64">
        <f>IFERROR(1/J352*(Y352/H352),"0")</f>
        <v>0.16666666666666666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70</v>
      </c>
      <c r="Q354" s="546"/>
      <c r="R354" s="546"/>
      <c r="S354" s="546"/>
      <c r="T354" s="546"/>
      <c r="U354" s="546"/>
      <c r="V354" s="547"/>
      <c r="W354" s="37" t="s">
        <v>71</v>
      </c>
      <c r="X354" s="541">
        <f>IFERROR(X352/H352,"0")+IFERROR(X353/H353,"0")</f>
        <v>7.1333333333333337</v>
      </c>
      <c r="Y354" s="541">
        <f>IFERROR(Y352/H352,"0")+IFERROR(Y353/H353,"0")</f>
        <v>8</v>
      </c>
      <c r="Z354" s="541">
        <f>IFERROR(IF(Z352="",0,Z352),"0")+IFERROR(IF(Z353="",0,Z353),"0")</f>
        <v>0.17399999999999999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70</v>
      </c>
      <c r="Q355" s="546"/>
      <c r="R355" s="546"/>
      <c r="S355" s="546"/>
      <c r="T355" s="546"/>
      <c r="U355" s="546"/>
      <c r="V355" s="547"/>
      <c r="W355" s="37" t="s">
        <v>68</v>
      </c>
      <c r="X355" s="541">
        <f>IFERROR(SUM(X352:X353),"0")</f>
        <v>107</v>
      </c>
      <c r="Y355" s="541">
        <f>IFERROR(SUM(Y352:Y353),"0")</f>
        <v>120</v>
      </c>
      <c r="Z355" s="37"/>
      <c r="AA355" s="542"/>
      <c r="AB355" s="542"/>
      <c r="AC355" s="542"/>
    </row>
    <row r="356" spans="1:68" ht="14.25" hidden="1" customHeight="1" x14ac:dyDescent="0.25">
      <c r="A356" s="556" t="s">
        <v>72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 t="s">
        <v>102</v>
      </c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105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70</v>
      </c>
      <c r="Q359" s="546"/>
      <c r="R359" s="546"/>
      <c r="S359" s="546"/>
      <c r="T359" s="546"/>
      <c r="U359" s="546"/>
      <c r="V359" s="547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70</v>
      </c>
      <c r="Q360" s="546"/>
      <c r="R360" s="546"/>
      <c r="S360" s="546"/>
      <c r="T360" s="546"/>
      <c r="U360" s="546"/>
      <c r="V360" s="547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162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68</v>
      </c>
      <c r="X362" s="539">
        <v>35</v>
      </c>
      <c r="Y362" s="540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36.921111111111109</v>
      </c>
      <c r="BN362" s="64">
        <f>IFERROR(Y362*I362/H362,"0")</f>
        <v>37.975999999999999</v>
      </c>
      <c r="BO362" s="64">
        <f>IFERROR(1/J362*(X362/H362),"0")</f>
        <v>6.0763888888888888E-2</v>
      </c>
      <c r="BP362" s="64">
        <f>IFERROR(1/J362*(Y362/H362),"0")</f>
        <v>6.25E-2</v>
      </c>
    </row>
    <row r="363" spans="1:68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70</v>
      </c>
      <c r="Q363" s="546"/>
      <c r="R363" s="546"/>
      <c r="S363" s="546"/>
      <c r="T363" s="546"/>
      <c r="U363" s="546"/>
      <c r="V363" s="547"/>
      <c r="W363" s="37" t="s">
        <v>71</v>
      </c>
      <c r="X363" s="541">
        <f>IFERROR(X362/H362,"0")</f>
        <v>3.8888888888888888</v>
      </c>
      <c r="Y363" s="541">
        <f>IFERROR(Y362/H362,"0")</f>
        <v>4</v>
      </c>
      <c r="Z363" s="541">
        <f>IFERROR(IF(Z362="",0,Z362),"0")</f>
        <v>7.5920000000000001E-2</v>
      </c>
      <c r="AA363" s="542"/>
      <c r="AB363" s="542"/>
      <c r="AC363" s="542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70</v>
      </c>
      <c r="Q364" s="546"/>
      <c r="R364" s="546"/>
      <c r="S364" s="546"/>
      <c r="T364" s="546"/>
      <c r="U364" s="546"/>
      <c r="V364" s="547"/>
      <c r="W364" s="37" t="s">
        <v>68</v>
      </c>
      <c r="X364" s="541">
        <f>IFERROR(SUM(X362:X362),"0")</f>
        <v>35</v>
      </c>
      <c r="Y364" s="541">
        <f>IFERROR(SUM(Y362:Y362),"0")</f>
        <v>36</v>
      </c>
      <c r="Z364" s="37"/>
      <c r="AA364" s="542"/>
      <c r="AB364" s="542"/>
      <c r="AC364" s="542"/>
    </row>
    <row r="365" spans="1:68" ht="16.5" hidden="1" customHeight="1" x14ac:dyDescent="0.25">
      <c r="A365" s="553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98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70</v>
      </c>
      <c r="Q369" s="546"/>
      <c r="R369" s="546"/>
      <c r="S369" s="546"/>
      <c r="T369" s="546"/>
      <c r="U369" s="546"/>
      <c r="V369" s="547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70</v>
      </c>
      <c r="Q370" s="546"/>
      <c r="R370" s="546"/>
      <c r="S370" s="546"/>
      <c r="T370" s="546"/>
      <c r="U370" s="546"/>
      <c r="V370" s="547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63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70</v>
      </c>
      <c r="Q374" s="546"/>
      <c r="R374" s="546"/>
      <c r="S374" s="546"/>
      <c r="T374" s="546"/>
      <c r="U374" s="546"/>
      <c r="V374" s="547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70</v>
      </c>
      <c r="Q375" s="546"/>
      <c r="R375" s="546"/>
      <c r="S375" s="546"/>
      <c r="T375" s="546"/>
      <c r="U375" s="546"/>
      <c r="V375" s="547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72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68</v>
      </c>
      <c r="X377" s="539">
        <v>60</v>
      </c>
      <c r="Y377" s="540">
        <f>IFERROR(IF(X377="",0,CEILING((X377/$H377),1)*$H377),"")</f>
        <v>63</v>
      </c>
      <c r="Z377" s="36">
        <f>IFERROR(IF(Y377=0,"",ROUNDUP(Y377/H377,0)*0.01898),"")</f>
        <v>0.13286000000000001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63.293333333333329</v>
      </c>
      <c r="BN377" s="64">
        <f>IFERROR(Y377*I377/H377,"0")</f>
        <v>66.457999999999998</v>
      </c>
      <c r="BO377" s="64">
        <f>IFERROR(1/J377*(X377/H377),"0")</f>
        <v>0.10416666666666667</v>
      </c>
      <c r="BP377" s="64">
        <f>IFERROR(1/J377*(Y377/H377),"0")</f>
        <v>0.109375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68</v>
      </c>
      <c r="X378" s="539">
        <v>14</v>
      </c>
      <c r="Y378" s="540">
        <f>IFERROR(IF(X378="",0,CEILING((X378/$H378),1)*$H378),"")</f>
        <v>14.399999999999999</v>
      </c>
      <c r="Z378" s="36">
        <f>IFERROR(IF(Y378=0,"",ROUNDUP(Y378/H378,0)*0.00651),"")</f>
        <v>3.9059999999999997E-2</v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15.540000000000001</v>
      </c>
      <c r="BN378" s="64">
        <f>IFERROR(Y378*I378/H378,"0")</f>
        <v>15.983999999999998</v>
      </c>
      <c r="BO378" s="64">
        <f>IFERROR(1/J378*(X378/H378),"0")</f>
        <v>3.2051282051282055E-2</v>
      </c>
      <c r="BP378" s="64">
        <f>IFERROR(1/J378*(Y378/H378),"0")</f>
        <v>3.2967032967032968E-2</v>
      </c>
    </row>
    <row r="379" spans="1:68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70</v>
      </c>
      <c r="Q379" s="546"/>
      <c r="R379" s="546"/>
      <c r="S379" s="546"/>
      <c r="T379" s="546"/>
      <c r="U379" s="546"/>
      <c r="V379" s="547"/>
      <c r="W379" s="37" t="s">
        <v>71</v>
      </c>
      <c r="X379" s="541">
        <f>IFERROR(X377/H377,"0")+IFERROR(X378/H378,"0")</f>
        <v>12.5</v>
      </c>
      <c r="Y379" s="541">
        <f>IFERROR(Y377/H377,"0")+IFERROR(Y378/H378,"0")</f>
        <v>13</v>
      </c>
      <c r="Z379" s="541">
        <f>IFERROR(IF(Z377="",0,Z377),"0")+IFERROR(IF(Z378="",0,Z378),"0")</f>
        <v>0.17192000000000002</v>
      </c>
      <c r="AA379" s="542"/>
      <c r="AB379" s="542"/>
      <c r="AC379" s="542"/>
    </row>
    <row r="380" spans="1:68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70</v>
      </c>
      <c r="Q380" s="546"/>
      <c r="R380" s="546"/>
      <c r="S380" s="546"/>
      <c r="T380" s="546"/>
      <c r="U380" s="546"/>
      <c r="V380" s="547"/>
      <c r="W380" s="37" t="s">
        <v>68</v>
      </c>
      <c r="X380" s="541">
        <f>IFERROR(SUM(X377:X378),"0")</f>
        <v>74</v>
      </c>
      <c r="Y380" s="541">
        <f>IFERROR(SUM(Y377:Y378),"0")</f>
        <v>77.400000000000006</v>
      </c>
      <c r="Z380" s="37"/>
      <c r="AA380" s="542"/>
      <c r="AB380" s="542"/>
      <c r="AC380" s="542"/>
    </row>
    <row r="381" spans="1:68" ht="27.75" hidden="1" customHeight="1" x14ac:dyDescent="0.2">
      <c r="A381" s="694" t="s">
        <v>582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583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63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584</v>
      </c>
      <c r="B384" s="54" t="s">
        <v>585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 t="s">
        <v>109</v>
      </c>
      <c r="M384" s="33" t="s">
        <v>67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 t="s">
        <v>105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 t="s">
        <v>266</v>
      </c>
      <c r="M391" s="33" t="s">
        <v>67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 t="s">
        <v>105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70</v>
      </c>
      <c r="Q393" s="546"/>
      <c r="R393" s="546"/>
      <c r="S393" s="546"/>
      <c r="T393" s="546"/>
      <c r="U393" s="546"/>
      <c r="V393" s="547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70</v>
      </c>
      <c r="Q394" s="546"/>
      <c r="R394" s="546"/>
      <c r="S394" s="546"/>
      <c r="T394" s="546"/>
      <c r="U394" s="546"/>
      <c r="V394" s="547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6" t="s">
        <v>72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70</v>
      </c>
      <c r="Q398" s="546"/>
      <c r="R398" s="546"/>
      <c r="S398" s="546"/>
      <c r="T398" s="546"/>
      <c r="U398" s="546"/>
      <c r="V398" s="547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70</v>
      </c>
      <c r="Q399" s="546"/>
      <c r="R399" s="546"/>
      <c r="S399" s="546"/>
      <c r="T399" s="546"/>
      <c r="U399" s="546"/>
      <c r="V399" s="547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614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134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70</v>
      </c>
      <c r="Q403" s="546"/>
      <c r="R403" s="546"/>
      <c r="S403" s="546"/>
      <c r="T403" s="546"/>
      <c r="U403" s="546"/>
      <c r="V403" s="547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70</v>
      </c>
      <c r="Q404" s="546"/>
      <c r="R404" s="546"/>
      <c r="S404" s="546"/>
      <c r="T404" s="546"/>
      <c r="U404" s="546"/>
      <c r="V404" s="547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63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 t="s">
        <v>109</v>
      </c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 t="s">
        <v>105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70</v>
      </c>
      <c r="Q410" s="546"/>
      <c r="R410" s="546"/>
      <c r="S410" s="546"/>
      <c r="T410" s="546"/>
      <c r="U410" s="546"/>
      <c r="V410" s="547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70</v>
      </c>
      <c r="Q411" s="546"/>
      <c r="R411" s="546"/>
      <c r="S411" s="546"/>
      <c r="T411" s="546"/>
      <c r="U411" s="546"/>
      <c r="V411" s="547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53" t="s">
        <v>629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70</v>
      </c>
      <c r="Q415" s="546"/>
      <c r="R415" s="546"/>
      <c r="S415" s="546"/>
      <c r="T415" s="546"/>
      <c r="U415" s="546"/>
      <c r="V415" s="547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70</v>
      </c>
      <c r="Q416" s="546"/>
      <c r="R416" s="546"/>
      <c r="S416" s="546"/>
      <c r="T416" s="546"/>
      <c r="U416" s="546"/>
      <c r="V416" s="547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633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633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68</v>
      </c>
      <c r="X420" s="539">
        <v>12</v>
      </c>
      <c r="Y420" s="540">
        <f t="shared" ref="Y420:Y430" si="42">IFERROR(IF(X420="",0,CEILING((X420/$H420),1)*$H420),"")</f>
        <v>15.84</v>
      </c>
      <c r="Z420" s="36">
        <f t="shared" ref="Z420:Z425" si="43">IFERROR(IF(Y420=0,"",ROUNDUP(Y420/H420,0)*0.01196),"")</f>
        <v>3.5880000000000002E-2</v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12.795454545454545</v>
      </c>
      <c r="BN420" s="64">
        <f t="shared" ref="BN420:BN430" si="45">IFERROR(Y420*I420/H420,"0")</f>
        <v>16.889999999999997</v>
      </c>
      <c r="BO420" s="64">
        <f t="shared" ref="BO420:BO430" si="46">IFERROR(1/J420*(X420/H420),"0")</f>
        <v>2.1853146853146852E-2</v>
      </c>
      <c r="BP420" s="64">
        <f t="shared" ref="BP420:BP430" si="47">IFERROR(1/J420*(Y420/H420),"0")</f>
        <v>2.8846153846153848E-2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68</v>
      </c>
      <c r="X423" s="539">
        <v>52</v>
      </c>
      <c r="Y423" s="540">
        <f t="shared" si="42"/>
        <v>52.800000000000004</v>
      </c>
      <c r="Z423" s="36">
        <f t="shared" si="43"/>
        <v>0.1196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55.446969696969695</v>
      </c>
      <c r="BN423" s="64">
        <f t="shared" si="45"/>
        <v>56.3</v>
      </c>
      <c r="BO423" s="64">
        <f t="shared" si="46"/>
        <v>9.4696969696969696E-2</v>
      </c>
      <c r="BP423" s="64">
        <f t="shared" si="47"/>
        <v>9.6153846153846159E-2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68</v>
      </c>
      <c r="X425" s="539">
        <v>74</v>
      </c>
      <c r="Y425" s="540">
        <f t="shared" si="42"/>
        <v>79.2</v>
      </c>
      <c r="Z425" s="36">
        <f t="shared" si="43"/>
        <v>0.1794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78.905303030303031</v>
      </c>
      <c r="BN425" s="64">
        <f t="shared" si="45"/>
        <v>84.45</v>
      </c>
      <c r="BO425" s="64">
        <f t="shared" si="46"/>
        <v>0.13476107226107226</v>
      </c>
      <c r="BP425" s="64">
        <f t="shared" si="47"/>
        <v>0.14423076923076925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 t="s">
        <v>109</v>
      </c>
      <c r="M430" s="33" t="s">
        <v>103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 t="s">
        <v>105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70</v>
      </c>
      <c r="Q431" s="546"/>
      <c r="R431" s="546"/>
      <c r="S431" s="546"/>
      <c r="T431" s="546"/>
      <c r="U431" s="546"/>
      <c r="V431" s="547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26.136363636363633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28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0.33488000000000001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70</v>
      </c>
      <c r="Q432" s="546"/>
      <c r="R432" s="546"/>
      <c r="S432" s="546"/>
      <c r="T432" s="546"/>
      <c r="U432" s="546"/>
      <c r="V432" s="547"/>
      <c r="W432" s="37" t="s">
        <v>68</v>
      </c>
      <c r="X432" s="541">
        <f>IFERROR(SUM(X420:X430),"0")</f>
        <v>138</v>
      </c>
      <c r="Y432" s="541">
        <f>IFERROR(SUM(Y420:Y430),"0")</f>
        <v>147.84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134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68</v>
      </c>
      <c r="X434" s="539">
        <v>51</v>
      </c>
      <c r="Y434" s="540">
        <f>IFERROR(IF(X434="",0,CEILING((X434/$H434),1)*$H434),"")</f>
        <v>52.800000000000004</v>
      </c>
      <c r="Z434" s="36">
        <f>IFERROR(IF(Y434=0,"",ROUNDUP(Y434/H434,0)*0.01196),"")</f>
        <v>0.1196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54.380681818181813</v>
      </c>
      <c r="BN434" s="64">
        <f>IFERROR(Y434*I434/H434,"0")</f>
        <v>56.3</v>
      </c>
      <c r="BO434" s="64">
        <f>IFERROR(1/J434*(X434/H434),"0")</f>
        <v>9.2875874125874128E-2</v>
      </c>
      <c r="BP434" s="64">
        <f>IFERROR(1/J434*(Y434/H434),"0")</f>
        <v>9.6153846153846159E-2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667</v>
      </c>
      <c r="B436" s="54" t="s">
        <v>668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70</v>
      </c>
      <c r="Q437" s="546"/>
      <c r="R437" s="546"/>
      <c r="S437" s="546"/>
      <c r="T437" s="546"/>
      <c r="U437" s="546"/>
      <c r="V437" s="547"/>
      <c r="W437" s="37" t="s">
        <v>71</v>
      </c>
      <c r="X437" s="541">
        <f>IFERROR(X434/H434,"0")+IFERROR(X435/H435,"0")+IFERROR(X436/H436,"0")</f>
        <v>9.6590909090909083</v>
      </c>
      <c r="Y437" s="541">
        <f>IFERROR(Y434/H434,"0")+IFERROR(Y435/H435,"0")+IFERROR(Y436/H436,"0")</f>
        <v>10</v>
      </c>
      <c r="Z437" s="541">
        <f>IFERROR(IF(Z434="",0,Z434),"0")+IFERROR(IF(Z435="",0,Z435),"0")+IFERROR(IF(Z436="",0,Z436),"0")</f>
        <v>0.1196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70</v>
      </c>
      <c r="Q438" s="546"/>
      <c r="R438" s="546"/>
      <c r="S438" s="546"/>
      <c r="T438" s="546"/>
      <c r="U438" s="546"/>
      <c r="V438" s="547"/>
      <c r="W438" s="37" t="s">
        <v>68</v>
      </c>
      <c r="X438" s="541">
        <f>IFERROR(SUM(X434:X436),"0")</f>
        <v>51</v>
      </c>
      <c r="Y438" s="541">
        <f>IFERROR(SUM(Y434:Y436),"0")</f>
        <v>52.800000000000004</v>
      </c>
      <c r="Z438" s="37"/>
      <c r="AA438" s="542"/>
      <c r="AB438" s="542"/>
      <c r="AC438" s="542"/>
    </row>
    <row r="439" spans="1:68" ht="14.25" hidden="1" customHeight="1" x14ac:dyDescent="0.25">
      <c r="A439" s="556" t="s">
        <v>63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hidden="1" customHeight="1" x14ac:dyDescent="0.25">
      <c r="A440" s="54" t="s">
        <v>669</v>
      </c>
      <c r="B440" s="54" t="s">
        <v>670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68</v>
      </c>
      <c r="X441" s="539">
        <v>20</v>
      </c>
      <c r="Y441" s="540">
        <f t="shared" si="48"/>
        <v>21.12</v>
      </c>
      <c r="Z441" s="36">
        <f>IFERROR(IF(Y441=0,"",ROUNDUP(Y441/H441,0)*0.01196),"")</f>
        <v>4.7840000000000001E-2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21.325757575757574</v>
      </c>
      <c r="BN441" s="64">
        <f t="shared" si="50"/>
        <v>22.52</v>
      </c>
      <c r="BO441" s="64">
        <f t="shared" si="51"/>
        <v>3.6421911421911424E-2</v>
      </c>
      <c r="BP441" s="64">
        <f t="shared" si="52"/>
        <v>3.8461538461538464E-2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68</v>
      </c>
      <c r="X442" s="539">
        <v>24</v>
      </c>
      <c r="Y442" s="540">
        <f t="shared" si="48"/>
        <v>26.400000000000002</v>
      </c>
      <c r="Z442" s="36">
        <f>IFERROR(IF(Y442=0,"",ROUNDUP(Y442/H442,0)*0.01196),"")</f>
        <v>5.9799999999999999E-2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25.59090909090909</v>
      </c>
      <c r="BN442" s="64">
        <f t="shared" si="50"/>
        <v>28.15</v>
      </c>
      <c r="BO442" s="64">
        <f t="shared" si="51"/>
        <v>4.3706293706293704E-2</v>
      </c>
      <c r="BP442" s="64">
        <f t="shared" si="52"/>
        <v>4.807692307692308E-2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70</v>
      </c>
      <c r="Q446" s="546"/>
      <c r="R446" s="546"/>
      <c r="S446" s="546"/>
      <c r="T446" s="546"/>
      <c r="U446" s="546"/>
      <c r="V446" s="547"/>
      <c r="W446" s="37" t="s">
        <v>71</v>
      </c>
      <c r="X446" s="541">
        <f>IFERROR(X440/H440,"0")+IFERROR(X441/H441,"0")+IFERROR(X442/H442,"0")+IFERROR(X443/H443,"0")+IFERROR(X444/H444,"0")+IFERROR(X445/H445,"0")</f>
        <v>8.3333333333333321</v>
      </c>
      <c r="Y446" s="541">
        <f>IFERROR(Y440/H440,"0")+IFERROR(Y441/H441,"0")+IFERROR(Y442/H442,"0")+IFERROR(Y443/H443,"0")+IFERROR(Y444/H444,"0")+IFERROR(Y445/H445,"0")</f>
        <v>9</v>
      </c>
      <c r="Z446" s="541">
        <f>IFERROR(IF(Z440="",0,Z440),"0")+IFERROR(IF(Z441="",0,Z441),"0")+IFERROR(IF(Z442="",0,Z442),"0")+IFERROR(IF(Z443="",0,Z443),"0")+IFERROR(IF(Z444="",0,Z444),"0")+IFERROR(IF(Z445="",0,Z445),"0")</f>
        <v>0.10764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70</v>
      </c>
      <c r="Q447" s="546"/>
      <c r="R447" s="546"/>
      <c r="S447" s="546"/>
      <c r="T447" s="546"/>
      <c r="U447" s="546"/>
      <c r="V447" s="547"/>
      <c r="W447" s="37" t="s">
        <v>68</v>
      </c>
      <c r="X447" s="541">
        <f>IFERROR(SUM(X440:X445),"0")</f>
        <v>44</v>
      </c>
      <c r="Y447" s="541">
        <f>IFERROR(SUM(Y440:Y445),"0")</f>
        <v>47.52</v>
      </c>
      <c r="Z447" s="37"/>
      <c r="AA447" s="542"/>
      <c r="AB447" s="542"/>
      <c r="AC447" s="542"/>
    </row>
    <row r="448" spans="1:68" ht="14.25" hidden="1" customHeight="1" x14ac:dyDescent="0.25">
      <c r="A448" s="556" t="s">
        <v>72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70</v>
      </c>
      <c r="Q452" s="546"/>
      <c r="R452" s="546"/>
      <c r="S452" s="546"/>
      <c r="T452" s="546"/>
      <c r="U452" s="546"/>
      <c r="V452" s="547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70</v>
      </c>
      <c r="Q453" s="546"/>
      <c r="R453" s="546"/>
      <c r="S453" s="546"/>
      <c r="T453" s="546"/>
      <c r="U453" s="546"/>
      <c r="V453" s="547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693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693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70</v>
      </c>
      <c r="Q461" s="546"/>
      <c r="R461" s="546"/>
      <c r="S461" s="546"/>
      <c r="T461" s="546"/>
      <c r="U461" s="546"/>
      <c r="V461" s="547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70</v>
      </c>
      <c r="Q462" s="546"/>
      <c r="R462" s="546"/>
      <c r="S462" s="546"/>
      <c r="T462" s="546"/>
      <c r="U462" s="546"/>
      <c r="V462" s="547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134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70</v>
      </c>
      <c r="Q467" s="546"/>
      <c r="R467" s="546"/>
      <c r="S467" s="546"/>
      <c r="T467" s="546"/>
      <c r="U467" s="546"/>
      <c r="V467" s="547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70</v>
      </c>
      <c r="Q468" s="546"/>
      <c r="R468" s="546"/>
      <c r="S468" s="546"/>
      <c r="T468" s="546"/>
      <c r="U468" s="546"/>
      <c r="V468" s="547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63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109</v>
      </c>
      <c r="M470" s="33" t="s">
        <v>67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109</v>
      </c>
      <c r="M471" s="33" t="s">
        <v>67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70</v>
      </c>
      <c r="Q472" s="546"/>
      <c r="R472" s="546"/>
      <c r="S472" s="546"/>
      <c r="T472" s="546"/>
      <c r="U472" s="546"/>
      <c r="V472" s="547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70</v>
      </c>
      <c r="Q473" s="546"/>
      <c r="R473" s="546"/>
      <c r="S473" s="546"/>
      <c r="T473" s="546"/>
      <c r="U473" s="546"/>
      <c r="V473" s="547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72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68</v>
      </c>
      <c r="X475" s="539">
        <v>98</v>
      </c>
      <c r="Y475" s="540">
        <f>IFERROR(IF(X475="",0,CEILING((X475/$H475),1)*$H475),"")</f>
        <v>99</v>
      </c>
      <c r="Z475" s="36">
        <f>IFERROR(IF(Y475=0,"",ROUNDUP(Y475/H475,0)*0.01898),"")</f>
        <v>0.20877999999999999</v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103.37911111111111</v>
      </c>
      <c r="BN475" s="64">
        <f>IFERROR(Y475*I475/H475,"0")</f>
        <v>104.434</v>
      </c>
      <c r="BO475" s="64">
        <f>IFERROR(1/J475*(X475/H475),"0")</f>
        <v>0.1701388888888889</v>
      </c>
      <c r="BP475" s="64">
        <f>IFERROR(1/J475*(Y475/H475),"0")</f>
        <v>0.171875</v>
      </c>
    </row>
    <row r="476" spans="1:68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70</v>
      </c>
      <c r="Q476" s="546"/>
      <c r="R476" s="546"/>
      <c r="S476" s="546"/>
      <c r="T476" s="546"/>
      <c r="U476" s="546"/>
      <c r="V476" s="547"/>
      <c r="W476" s="37" t="s">
        <v>71</v>
      </c>
      <c r="X476" s="541">
        <f>IFERROR(X475/H475,"0")</f>
        <v>10.888888888888889</v>
      </c>
      <c r="Y476" s="541">
        <f>IFERROR(Y475/H475,"0")</f>
        <v>11</v>
      </c>
      <c r="Z476" s="541">
        <f>IFERROR(IF(Z475="",0,Z475),"0")</f>
        <v>0.20877999999999999</v>
      </c>
      <c r="AA476" s="542"/>
      <c r="AB476" s="542"/>
      <c r="AC476" s="542"/>
    </row>
    <row r="477" spans="1:68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70</v>
      </c>
      <c r="Q477" s="546"/>
      <c r="R477" s="546"/>
      <c r="S477" s="546"/>
      <c r="T477" s="546"/>
      <c r="U477" s="546"/>
      <c r="V477" s="547"/>
      <c r="W477" s="37" t="s">
        <v>68</v>
      </c>
      <c r="X477" s="541">
        <f>IFERROR(SUM(X475:X475),"0")</f>
        <v>98</v>
      </c>
      <c r="Y477" s="541">
        <f>IFERROR(SUM(Y475:Y475),"0")</f>
        <v>99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162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70</v>
      </c>
      <c r="Q481" s="546"/>
      <c r="R481" s="546"/>
      <c r="S481" s="546"/>
      <c r="T481" s="546"/>
      <c r="U481" s="546"/>
      <c r="V481" s="547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70</v>
      </c>
      <c r="Q482" s="546"/>
      <c r="R482" s="546"/>
      <c r="S482" s="546"/>
      <c r="T482" s="546"/>
      <c r="U482" s="546"/>
      <c r="V482" s="547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729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134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70</v>
      </c>
      <c r="Q486" s="546"/>
      <c r="R486" s="546"/>
      <c r="S486" s="546"/>
      <c r="T486" s="546"/>
      <c r="U486" s="546"/>
      <c r="V486" s="547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70</v>
      </c>
      <c r="Q487" s="546"/>
      <c r="R487" s="546"/>
      <c r="S487" s="546"/>
      <c r="T487" s="546"/>
      <c r="U487" s="546"/>
      <c r="V487" s="547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733</v>
      </c>
      <c r="Q488" s="625"/>
      <c r="R488" s="625"/>
      <c r="S488" s="625"/>
      <c r="T488" s="625"/>
      <c r="U488" s="625"/>
      <c r="V488" s="626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1647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1752.71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734</v>
      </c>
      <c r="Q489" s="625"/>
      <c r="R489" s="625"/>
      <c r="S489" s="625"/>
      <c r="T489" s="625"/>
      <c r="U489" s="625"/>
      <c r="V489" s="626"/>
      <c r="W489" s="37" t="s">
        <v>68</v>
      </c>
      <c r="X489" s="541">
        <f>IFERROR(SUM(BM22:BM485),"0")</f>
        <v>1731.2831548660561</v>
      </c>
      <c r="Y489" s="541">
        <f>IFERROR(SUM(BN22:BN485),"0")</f>
        <v>1842.6280000000004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735</v>
      </c>
      <c r="Q490" s="625"/>
      <c r="R490" s="625"/>
      <c r="S490" s="625"/>
      <c r="T490" s="625"/>
      <c r="U490" s="625"/>
      <c r="V490" s="626"/>
      <c r="W490" s="37" t="s">
        <v>736</v>
      </c>
      <c r="X490" s="38">
        <f>ROUNDUP(SUM(BO22:BO485),0)</f>
        <v>3</v>
      </c>
      <c r="Y490" s="38">
        <f>ROUNDUP(SUM(BP22:BP485),0)</f>
        <v>3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737</v>
      </c>
      <c r="Q491" s="625"/>
      <c r="R491" s="625"/>
      <c r="S491" s="625"/>
      <c r="T491" s="625"/>
      <c r="U491" s="625"/>
      <c r="V491" s="626"/>
      <c r="W491" s="37" t="s">
        <v>68</v>
      </c>
      <c r="X491" s="541">
        <f>GrossWeightTotal+PalletQtyTotal*25</f>
        <v>1806.2831548660561</v>
      </c>
      <c r="Y491" s="541">
        <f>GrossWeightTotalR+PalletQtyTotalR*25</f>
        <v>1917.6280000000004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738</v>
      </c>
      <c r="Q492" s="625"/>
      <c r="R492" s="625"/>
      <c r="S492" s="625"/>
      <c r="T492" s="625"/>
      <c r="U492" s="625"/>
      <c r="V492" s="62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264.57297435867412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282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739</v>
      </c>
      <c r="Q493" s="625"/>
      <c r="R493" s="625"/>
      <c r="S493" s="625"/>
      <c r="T493" s="625"/>
      <c r="U493" s="625"/>
      <c r="V493" s="62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3.4393900000000004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1" t="s">
        <v>96</v>
      </c>
      <c r="D495" s="591"/>
      <c r="E495" s="591"/>
      <c r="F495" s="591"/>
      <c r="G495" s="591"/>
      <c r="H495" s="592"/>
      <c r="I495" s="571" t="s">
        <v>250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531</v>
      </c>
      <c r="T495" s="592"/>
      <c r="U495" s="571" t="s">
        <v>582</v>
      </c>
      <c r="V495" s="591"/>
      <c r="W495" s="592"/>
      <c r="X495" s="536" t="s">
        <v>633</v>
      </c>
      <c r="Y495" s="571" t="s">
        <v>693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742</v>
      </c>
      <c r="B496" s="571" t="s">
        <v>62</v>
      </c>
      <c r="C496" s="571" t="s">
        <v>97</v>
      </c>
      <c r="D496" s="571" t="s">
        <v>115</v>
      </c>
      <c r="E496" s="571" t="s">
        <v>169</v>
      </c>
      <c r="F496" s="571" t="s">
        <v>189</v>
      </c>
      <c r="G496" s="571" t="s">
        <v>219</v>
      </c>
      <c r="H496" s="571" t="s">
        <v>96</v>
      </c>
      <c r="I496" s="571" t="s">
        <v>251</v>
      </c>
      <c r="J496" s="571" t="s">
        <v>296</v>
      </c>
      <c r="K496" s="571" t="s">
        <v>355</v>
      </c>
      <c r="L496" s="571" t="s">
        <v>397</v>
      </c>
      <c r="M496" s="571" t="s">
        <v>413</v>
      </c>
      <c r="N496" s="537"/>
      <c r="O496" s="571" t="s">
        <v>424</v>
      </c>
      <c r="P496" s="571" t="s">
        <v>433</v>
      </c>
      <c r="Q496" s="571" t="s">
        <v>447</v>
      </c>
      <c r="R496" s="571" t="s">
        <v>521</v>
      </c>
      <c r="S496" s="571" t="s">
        <v>532</v>
      </c>
      <c r="T496" s="571" t="s">
        <v>566</v>
      </c>
      <c r="U496" s="571" t="s">
        <v>583</v>
      </c>
      <c r="V496" s="571" t="s">
        <v>614</v>
      </c>
      <c r="W496" s="571" t="s">
        <v>629</v>
      </c>
      <c r="X496" s="571" t="s">
        <v>633</v>
      </c>
      <c r="Y496" s="571" t="s">
        <v>693</v>
      </c>
      <c r="Z496" s="571" t="s">
        <v>729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108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10.8</v>
      </c>
      <c r="E498" s="46">
        <f>IFERROR(Y85*1,"0")+IFERROR(Y86*1,"0")+IFERROR(Y87*1,"0")+IFERROR(Y91*1,"0")+IFERROR(Y92*1,"0")+IFERROR(Y93*1,"0")+IFERROR(Y94*1,"0")</f>
        <v>91.800000000000011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107.4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105.48000000000003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395.40000000000003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16.37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21.9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471</v>
      </c>
      <c r="T498" s="46">
        <f>IFERROR(Y367*1,"0")+IFERROR(Y368*1,"0")+IFERROR(Y372*1,"0")+IFERROR(Y373*1,"0")+IFERROR(Y377*1,"0")+IFERROR(Y378*1,"0")</f>
        <v>77.400000000000006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248.16000000000003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99</v>
      </c>
      <c r="Z498" s="46">
        <f>IFERROR(Y485*1,"0")</f>
        <v>0</v>
      </c>
      <c r="AB498" s="52"/>
      <c r="AC498" s="52"/>
      <c r="AF498" s="537"/>
    </row>
  </sheetData>
  <sheetProtection algorithmName="SHA-512" hashValue="7ies3SNWDxRWmBdMOtbbwb1JgHHlIgx/IEy5ejHslQIwcLVCVGJIYTz0tGfKIA34Wwg8+fHYYTlAq2xQGNWOIA==" saltValue="Y/RqrpMjNdrJlzCcSZ1QP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5"/>
        <filter val="0,69"/>
        <filter val="1 647,00"/>
        <filter val="1 731,28"/>
        <filter val="1 806,28"/>
        <filter val="1,00"/>
        <filter val="1,23"/>
        <filter val="1,43"/>
        <filter val="1,96"/>
        <filter val="10,00"/>
        <filter val="10,89"/>
        <filter val="107,00"/>
        <filter val="12,00"/>
        <filter val="12,50"/>
        <filter val="120,00"/>
        <filter val="138,00"/>
        <filter val="14,00"/>
        <filter val="146,00"/>
        <filter val="149,00"/>
        <filter val="15,00"/>
        <filter val="153,00"/>
        <filter val="16,00"/>
        <filter val="19,00"/>
        <filter val="2,00"/>
        <filter val="2,38"/>
        <filter val="20,00"/>
        <filter val="22,00"/>
        <filter val="238,00"/>
        <filter val="24,00"/>
        <filter val="24,60"/>
        <filter val="26,14"/>
        <filter val="264,57"/>
        <filter val="27,00"/>
        <filter val="3"/>
        <filter val="3,00"/>
        <filter val="3,01"/>
        <filter val="3,13"/>
        <filter val="3,89"/>
        <filter val="3,97"/>
        <filter val="30,00"/>
        <filter val="300,00"/>
        <filter val="35,00"/>
        <filter val="37,00"/>
        <filter val="4,00"/>
        <filter val="44,00"/>
        <filter val="45,93"/>
        <filter val="5,00"/>
        <filter val="50,00"/>
        <filter val="51,00"/>
        <filter val="51,74"/>
        <filter val="52,00"/>
        <filter val="53,00"/>
        <filter val="6,39"/>
        <filter val="60,00"/>
        <filter val="69,00"/>
        <filter val="7,00"/>
        <filter val="7,13"/>
        <filter val="74,00"/>
        <filter val="79,00"/>
        <filter val="8,00"/>
        <filter val="8,33"/>
        <filter val="84,00"/>
        <filter val="9,17"/>
        <filter val="9,66"/>
        <filter val="9,75"/>
        <filter val="94,00"/>
        <filter val="98,00"/>
        <filter val="99,00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4 X386 X391 X406 X420 X422:X423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6p3wTVgvZrSk1EP3e6nhnDbbdvfAJndKamLj2Gzn/uWxsBuMpZxGNKzo/eD6rJKB42GdX2eBFtmi9zWcz8pgxA==" saltValue="ocXP5w6orvhbaYnhsqec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2025-11-21T11:07:12Z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