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BA807BD-3C37-4B02-9673-33D64732183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26" i="1" l="1"/>
  <c r="BN26" i="1"/>
  <c r="BP42" i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Y177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Z359" i="1"/>
  <c r="BP358" i="1"/>
  <c r="BN358" i="1"/>
  <c r="Z35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Y58" i="1"/>
  <c r="Y64" i="1"/>
  <c r="Y31" i="1"/>
  <c r="Y43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311" i="1"/>
  <c r="Z259" i="1"/>
  <c r="Z250" i="1"/>
  <c r="Z148" i="1"/>
  <c r="Z187" i="1"/>
  <c r="Z462" i="1"/>
  <c r="Y491" i="1"/>
  <c r="Z57" i="1"/>
  <c r="Z31" i="1"/>
  <c r="Z171" i="1"/>
  <c r="Y493" i="1"/>
  <c r="Z374" i="1"/>
  <c r="Z411" i="1"/>
  <c r="Z380" i="1"/>
  <c r="Z126" i="1"/>
  <c r="Z116" i="1"/>
  <c r="Z103" i="1"/>
  <c r="Z95" i="1"/>
  <c r="Z43" i="1"/>
  <c r="Y490" i="1"/>
  <c r="Z324" i="1"/>
  <c r="Z142" i="1"/>
  <c r="Z438" i="1"/>
  <c r="Z447" i="1"/>
  <c r="Z432" i="1"/>
  <c r="Z349" i="1"/>
  <c r="X492" i="1"/>
  <c r="Z215" i="1"/>
  <c r="Z88" i="1"/>
  <c r="Z76" i="1"/>
  <c r="Z394" i="1"/>
  <c r="Z304" i="1"/>
  <c r="Z294" i="1"/>
  <c r="Z274" i="1"/>
  <c r="Z69" i="1"/>
  <c r="Y489" i="1"/>
  <c r="Z337" i="1"/>
  <c r="Z234" i="1"/>
  <c r="Z109" i="1"/>
  <c r="Y492" i="1" l="1"/>
  <c r="Z494" i="1"/>
</calcChain>
</file>

<file path=xl/sharedStrings.xml><?xml version="1.0" encoding="utf-8"?>
<sst xmlns="http://schemas.openxmlformats.org/spreadsheetml/2006/main" count="2201" uniqueCount="763">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</sst>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42" sqref="AA34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0.45833333333333331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115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125</v>
      </c>
      <c r="B54" s="54" t="s">
        <v>126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134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162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169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176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177</v>
      </c>
      <c r="B91" s="54" t="s">
        <v>178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180</v>
      </c>
      <c r="B92" s="54" t="s">
        <v>181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0" t="s">
        <v>188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189</v>
      </c>
      <c r="B99" s="54" t="s">
        <v>190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192</v>
      </c>
      <c r="B100" s="54" t="s">
        <v>193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194</v>
      </c>
      <c r="B101" s="54" t="s">
        <v>195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134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206</v>
      </c>
      <c r="B112" s="54" t="s">
        <v>207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209</v>
      </c>
      <c r="B113" s="54" t="s">
        <v>210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211</v>
      </c>
      <c r="B114" s="54" t="s">
        <v>212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162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134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134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162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134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162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hidden="1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300</v>
      </c>
      <c r="Y342" s="542">
        <f t="shared" ref="Y342:Y348" si="31">IFERROR(IF(X342="",0,CEILING((X342/$H342),1)*$H342),"")</f>
        <v>300</v>
      </c>
      <c r="Z342" s="36">
        <f>IFERROR(IF(Y342=0,"",ROUNDUP(Y342/H342,0)*0.02175),"")</f>
        <v>0.43499999999999994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309.39999999999998</v>
      </c>
      <c r="BN342" s="64">
        <f t="shared" ref="BN342:BN348" si="33">IFERROR(Y342*I342/H342,"0")</f>
        <v>309.39999999999998</v>
      </c>
      <c r="BO342" s="64">
        <f t="shared" ref="BO342:BO348" si="34">IFERROR(1/J342*(X342/H342),"0")</f>
        <v>0.41666666666666663</v>
      </c>
      <c r="BP342" s="64">
        <f t="shared" ref="BP342:BP348" si="35">IFERROR(1/J342*(Y342/H342),"0")</f>
        <v>0.41666666666666663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100</v>
      </c>
      <c r="Y343" s="542">
        <f t="shared" si="31"/>
        <v>105</v>
      </c>
      <c r="Z343" s="36">
        <f>IFERROR(IF(Y343=0,"",ROUNDUP(Y343/H343,0)*0.02175),"")</f>
        <v>0.15225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103.13333333333334</v>
      </c>
      <c r="BN343" s="64">
        <f t="shared" si="33"/>
        <v>108.29</v>
      </c>
      <c r="BO343" s="64">
        <f t="shared" si="34"/>
        <v>0.1388888888888889</v>
      </c>
      <c r="BP343" s="64">
        <f t="shared" si="35"/>
        <v>0.14583333333333331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100</v>
      </c>
      <c r="Y344" s="542">
        <f t="shared" si="31"/>
        <v>105</v>
      </c>
      <c r="Z344" s="36">
        <f>IFERROR(IF(Y344=0,"",ROUNDUP(Y344/H344,0)*0.02175),"")</f>
        <v>0.15225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103.13333333333334</v>
      </c>
      <c r="BN344" s="64">
        <f t="shared" si="33"/>
        <v>108.29</v>
      </c>
      <c r="BO344" s="64">
        <f t="shared" si="34"/>
        <v>0.1388888888888889</v>
      </c>
      <c r="BP344" s="64">
        <f t="shared" si="35"/>
        <v>0.14583333333333331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33.333333333333336</v>
      </c>
      <c r="Y349" s="543">
        <f>IFERROR(Y342/H342,"0")+IFERROR(Y343/H343,"0")+IFERROR(Y344/H344,"0")+IFERROR(Y345/H345,"0")+IFERROR(Y346/H346,"0")+IFERROR(Y347/H347,"0")+IFERROR(Y348/H348,"0")</f>
        <v>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0.73949999999999994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500</v>
      </c>
      <c r="Y350" s="543">
        <f>IFERROR(SUM(Y342:Y348),"0")</f>
        <v>510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134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hidden="1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0</v>
      </c>
      <c r="Y352" s="542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0</v>
      </c>
      <c r="Y354" s="543">
        <f>IFERROR(Y352/H352,"0")+IFERROR(Y353/H353,"0")</f>
        <v>0</v>
      </c>
      <c r="Z354" s="543">
        <f>IFERROR(IF(Z352="",0,Z352),"0")+IFERROR(IF(Z353="",0,Z353),"0")</f>
        <v>0</v>
      </c>
      <c r="AA354" s="544"/>
      <c r="AB354" s="544"/>
      <c r="AC354" s="544"/>
    </row>
    <row r="355" spans="1:68" hidden="1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0</v>
      </c>
      <c r="Y355" s="543">
        <f>IFERROR(SUM(Y352:Y353),"0")</f>
        <v>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162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134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134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134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162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134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500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510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515.66666666666663</v>
      </c>
      <c r="Y490" s="543">
        <f>IFERROR(SUM(BN22:BN486),"0")</f>
        <v>525.98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540.66666666666663</v>
      </c>
      <c r="Y492" s="543">
        <f>GrossWeightTotalR+PalletQtyTotalR*25</f>
        <v>550.98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33.333333333333336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34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0.73949999999999994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510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300,00"/>
        <filter val="33,33"/>
        <filter val="500,00"/>
        <filter val="515,67"/>
        <filter val="540,67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