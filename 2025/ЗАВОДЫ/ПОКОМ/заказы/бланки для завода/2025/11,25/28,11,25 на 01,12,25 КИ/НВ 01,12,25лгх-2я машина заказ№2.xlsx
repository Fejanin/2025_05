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7E25B4A-21C0-4F72-8270-A17CC1BBB5A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Y148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Z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N26" i="1"/>
  <c r="Z42" i="1"/>
  <c r="BN42" i="1"/>
  <c r="Y57" i="1"/>
  <c r="Z61" i="1"/>
  <c r="BN61" i="1"/>
  <c r="Z79" i="1"/>
  <c r="BN79" i="1"/>
  <c r="BP92" i="1"/>
  <c r="BN92" i="1"/>
  <c r="Z92" i="1"/>
  <c r="Y121" i="1"/>
  <c r="Y120" i="1"/>
  <c r="BP119" i="1"/>
  <c r="BN119" i="1"/>
  <c r="Z119" i="1"/>
  <c r="Z120" i="1" s="1"/>
  <c r="BP124" i="1"/>
  <c r="BN124" i="1"/>
  <c r="Z124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2" i="1"/>
  <c r="BN272" i="1"/>
  <c r="Z272" i="1"/>
  <c r="BP130" i="1"/>
  <c r="BN130" i="1"/>
  <c r="Z130" i="1"/>
  <c r="BP134" i="1"/>
  <c r="BN134" i="1"/>
  <c r="Z134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Z349" i="1" s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62" i="1"/>
  <c r="Z411" i="1"/>
  <c r="Z399" i="1"/>
  <c r="Z203" i="1"/>
  <c r="Z63" i="1"/>
  <c r="X492" i="1"/>
  <c r="Z220" i="1"/>
  <c r="Z192" i="1"/>
  <c r="Z81" i="1"/>
  <c r="Y491" i="1"/>
  <c r="Z57" i="1"/>
  <c r="Z31" i="1"/>
  <c r="Y493" i="1"/>
  <c r="Z438" i="1"/>
  <c r="Z380" i="1"/>
  <c r="Z171" i="1"/>
  <c r="Y490" i="1"/>
  <c r="Y492" i="1" s="1"/>
  <c r="Z447" i="1"/>
  <c r="Z432" i="1"/>
  <c r="Z215" i="1"/>
  <c r="Z88" i="1"/>
  <c r="Z76" i="1"/>
  <c r="Z394" i="1"/>
  <c r="Z311" i="1"/>
  <c r="Z304" i="1"/>
  <c r="Z294" i="1"/>
  <c r="Z274" i="1"/>
  <c r="Z116" i="1"/>
  <c r="Z103" i="1"/>
  <c r="Z69" i="1"/>
  <c r="Y489" i="1"/>
  <c r="Z337" i="1"/>
  <c r="Z234" i="1"/>
  <c r="Z109" i="1"/>
  <c r="Z494" i="1" l="1"/>
</calcChain>
</file>

<file path=xl/sharedStrings.xml><?xml version="1.0" encoding="utf-8"?>
<sst xmlns="http://schemas.openxmlformats.org/spreadsheetml/2006/main" count="2253" uniqueCount="763">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</sst>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168" sqref="AA168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0.41666666666666669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350</v>
      </c>
      <c r="Y168" s="542">
        <f t="shared" si="5"/>
        <v>350.7</v>
      </c>
      <c r="Z168" s="36">
        <f>IFERROR(IF(Y168=0,"",ROUNDUP(Y168/H168,0)*0.00502),"")</f>
        <v>0.83833999999999997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366.66666666666669</v>
      </c>
      <c r="BN168" s="64">
        <f t="shared" si="7"/>
        <v>367.40000000000003</v>
      </c>
      <c r="BO168" s="64">
        <f t="shared" si="8"/>
        <v>0.71225071225071224</v>
      </c>
      <c r="BP168" s="64">
        <f t="shared" si="9"/>
        <v>0.71367521367521369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166.66666666666666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167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0.83833999999999997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350</v>
      </c>
      <c r="Y172" s="543">
        <f>IFERROR(SUM(Y161:Y170),"0")</f>
        <v>350.7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900</v>
      </c>
      <c r="Y342" s="542">
        <f t="shared" ref="Y342:Y348" si="31">IFERROR(IF(X342="",0,CEILING((X342/$H342),1)*$H342),"")</f>
        <v>900</v>
      </c>
      <c r="Z342" s="36">
        <f>IFERROR(IF(Y342=0,"",ROUNDUP(Y342/H342,0)*0.02175),"")</f>
        <v>1.3049999999999999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928.2</v>
      </c>
      <c r="BN342" s="64">
        <f t="shared" ref="BN342:BN348" si="33">IFERROR(Y342*I342/H342,"0")</f>
        <v>928.2</v>
      </c>
      <c r="BO342" s="64">
        <f t="shared" ref="BO342:BO348" si="34">IFERROR(1/J342*(X342/H342),"0")</f>
        <v>1.25</v>
      </c>
      <c r="BP342" s="64">
        <f t="shared" ref="BP342:BP348" si="35">IFERROR(1/J342*(Y342/H342),"0")</f>
        <v>1.25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hidden="1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400</v>
      </c>
      <c r="Y345" s="542">
        <f t="shared" si="31"/>
        <v>405</v>
      </c>
      <c r="Z345" s="36">
        <f>IFERROR(IF(Y345=0,"",ROUNDUP(Y345/H345,0)*0.02175),"")</f>
        <v>0.58724999999999994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412.53333333333336</v>
      </c>
      <c r="BN345" s="64">
        <f t="shared" si="33"/>
        <v>417.69</v>
      </c>
      <c r="BO345" s="64">
        <f t="shared" si="34"/>
        <v>0.55555555555555558</v>
      </c>
      <c r="BP345" s="64">
        <f t="shared" si="35"/>
        <v>0.5625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86.666666666666671</v>
      </c>
      <c r="Y349" s="543">
        <f>IFERROR(Y342/H342,"0")+IFERROR(Y343/H343,"0")+IFERROR(Y344/H344,"0")+IFERROR(Y345/H345,"0")+IFERROR(Y346/H346,"0")+IFERROR(Y347/H347,"0")+IFERROR(Y348/H348,"0")</f>
        <v>87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1.8922499999999998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1300</v>
      </c>
      <c r="Y350" s="543">
        <f>IFERROR(SUM(Y342:Y348),"0")</f>
        <v>1305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400</v>
      </c>
      <c r="Y352" s="542">
        <f>IFERROR(IF(X352="",0,CEILING((X352/$H352),1)*$H352),"")</f>
        <v>405</v>
      </c>
      <c r="Z352" s="36">
        <f>IFERROR(IF(Y352=0,"",ROUNDUP(Y352/H352,0)*0.02175),"")</f>
        <v>0.58724999999999994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412.53333333333336</v>
      </c>
      <c r="BN352" s="64">
        <f>IFERROR(Y352*I352/H352,"0")</f>
        <v>417.69</v>
      </c>
      <c r="BO352" s="64">
        <f>IFERROR(1/J352*(X352/H352),"0")</f>
        <v>0.55555555555555558</v>
      </c>
      <c r="BP352" s="64">
        <f>IFERROR(1/J352*(Y352/H352),"0")</f>
        <v>0.5625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26.666666666666668</v>
      </c>
      <c r="Y354" s="543">
        <f>IFERROR(Y352/H352,"0")+IFERROR(Y353/H353,"0")</f>
        <v>27</v>
      </c>
      <c r="Z354" s="543">
        <f>IFERROR(IF(Z352="",0,Z352),"0")+IFERROR(IF(Z353="",0,Z353),"0")</f>
        <v>0.58724999999999994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400</v>
      </c>
      <c r="Y355" s="543">
        <f>IFERROR(SUM(Y352:Y353),"0")</f>
        <v>405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1000</v>
      </c>
      <c r="Y377" s="542">
        <f>IFERROR(IF(X377="",0,CEILING((X377/$H377),1)*$H377),"")</f>
        <v>1008</v>
      </c>
      <c r="Z377" s="36">
        <f>IFERROR(IF(Y377=0,"",ROUNDUP(Y377/H377,0)*0.01898),"")</f>
        <v>2.1257600000000001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1054.8888888888889</v>
      </c>
      <c r="BN377" s="64">
        <f>IFERROR(Y377*I377/H377,"0")</f>
        <v>1063.328</v>
      </c>
      <c r="BO377" s="64">
        <f>IFERROR(1/J377*(X377/H377),"0")</f>
        <v>1.7361111111111112</v>
      </c>
      <c r="BP377" s="64">
        <f>IFERROR(1/J377*(Y377/H377),"0")</f>
        <v>1.75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111.11111111111111</v>
      </c>
      <c r="Y380" s="543">
        <f>IFERROR(Y377/H377,"0")+IFERROR(Y378/H378,"0")+IFERROR(Y379/H379,"0")</f>
        <v>112</v>
      </c>
      <c r="Z380" s="543">
        <f>IFERROR(IF(Z377="",0,Z377),"0")+IFERROR(IF(Z378="",0,Z378),"0")+IFERROR(IF(Z379="",0,Z379),"0")</f>
        <v>2.1257600000000001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1000</v>
      </c>
      <c r="Y381" s="543">
        <f>IFERROR(SUM(Y377:Y379),"0")</f>
        <v>1008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400</v>
      </c>
      <c r="Y426" s="542">
        <f t="shared" si="42"/>
        <v>401.28000000000003</v>
      </c>
      <c r="Z426" s="36">
        <f t="shared" si="43"/>
        <v>0.90895999999999999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426.5151515151515</v>
      </c>
      <c r="BN426" s="64">
        <f t="shared" si="45"/>
        <v>427.88</v>
      </c>
      <c r="BO426" s="64">
        <f t="shared" si="46"/>
        <v>0.72843822843822836</v>
      </c>
      <c r="BP426" s="64">
        <f t="shared" si="47"/>
        <v>0.73076923076923084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75.757575757575751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0.90895999999999999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400</v>
      </c>
      <c r="Y433" s="543">
        <f>IFERROR(SUM(Y421:Y431),"0")</f>
        <v>401.28000000000003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3450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3469.98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3601.3373737373736</v>
      </c>
      <c r="Y490" s="543">
        <f>IFERROR(SUM(BN22:BN486),"0")</f>
        <v>3622.1880000000001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3751.3373737373736</v>
      </c>
      <c r="Y492" s="543">
        <f>GrossWeightTotalR+PalletQtyTotalR*25</f>
        <v>3772.1880000000001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466.86868686868684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469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6.3525600000000004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350.7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1710</v>
      </c>
      <c r="T499" s="46">
        <f>IFERROR(Y367*1,"0")+IFERROR(Y368*1,"0")+IFERROR(Y372*1,"0")+IFERROR(Y373*1,"0")+IFERROR(Y377*1,"0")+IFERROR(Y378*1,"0")+IFERROR(Y379*1,"0")</f>
        <v>1008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401.28000000000003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11,11"/>
        <filter val="166,67"/>
        <filter val="26,67"/>
        <filter val="3 450,00"/>
        <filter val="3 601,34"/>
        <filter val="3 751,34"/>
        <filter val="350,00"/>
        <filter val="400,00"/>
        <filter val="466,87"/>
        <filter val="6"/>
        <filter val="75,76"/>
        <filter val="86,67"/>
        <filter val="900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