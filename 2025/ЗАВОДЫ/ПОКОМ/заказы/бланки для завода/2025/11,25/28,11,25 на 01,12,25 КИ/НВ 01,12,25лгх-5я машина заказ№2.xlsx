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DA289D3-A649-40ED-8870-42FD81FEE7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M279" i="1"/>
  <c r="Y279" i="1"/>
  <c r="BP279" i="1" s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O161" i="1"/>
  <c r="BM161" i="1"/>
  <c r="Y161" i="1"/>
  <c r="BP161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26" i="1" l="1"/>
  <c r="BN26" i="1"/>
  <c r="BP42" i="1"/>
  <c r="BN42" i="1"/>
  <c r="Z42" i="1"/>
  <c r="BP79" i="1"/>
  <c r="BN79" i="1"/>
  <c r="Z79" i="1"/>
  <c r="BP115" i="1"/>
  <c r="BN115" i="1"/>
  <c r="Z115" i="1"/>
  <c r="BP170" i="1"/>
  <c r="BN170" i="1"/>
  <c r="Z170" i="1"/>
  <c r="BP199" i="1"/>
  <c r="BN199" i="1"/>
  <c r="Z199" i="1"/>
  <c r="BP227" i="1"/>
  <c r="BN227" i="1"/>
  <c r="Z227" i="1"/>
  <c r="BP256" i="1"/>
  <c r="BN256" i="1"/>
  <c r="Z256" i="1"/>
  <c r="BP298" i="1"/>
  <c r="BN298" i="1"/>
  <c r="Z298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P61" i="1"/>
  <c r="BN61" i="1"/>
  <c r="Z61" i="1"/>
  <c r="BP99" i="1"/>
  <c r="BN99" i="1"/>
  <c r="Z99" i="1"/>
  <c r="BP145" i="1"/>
  <c r="BN145" i="1"/>
  <c r="Z145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10" i="1"/>
  <c r="BN310" i="1"/>
  <c r="Z310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Y57" i="1"/>
  <c r="Y177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41" i="1"/>
  <c r="BN141" i="1"/>
  <c r="Y149" i="1"/>
  <c r="Z147" i="1"/>
  <c r="BN147" i="1"/>
  <c r="Y148" i="1"/>
  <c r="Z151" i="1"/>
  <c r="Z152" i="1" s="1"/>
  <c r="BN151" i="1"/>
  <c r="BP151" i="1"/>
  <c r="Y152" i="1"/>
  <c r="Z157" i="1"/>
  <c r="Z158" i="1" s="1"/>
  <c r="BN157" i="1"/>
  <c r="BP157" i="1"/>
  <c r="Z161" i="1"/>
  <c r="BN161" i="1"/>
  <c r="Z168" i="1"/>
  <c r="BN168" i="1"/>
  <c r="Z174" i="1"/>
  <c r="BN174" i="1"/>
  <c r="BP174" i="1"/>
  <c r="Z191" i="1"/>
  <c r="BN191" i="1"/>
  <c r="Y203" i="1"/>
  <c r="Z197" i="1"/>
  <c r="BN197" i="1"/>
  <c r="Z201" i="1"/>
  <c r="BN201" i="1"/>
  <c r="Z209" i="1"/>
  <c r="BN209" i="1"/>
  <c r="Z214" i="1"/>
  <c r="BN214" i="1"/>
  <c r="Z225" i="1"/>
  <c r="BN225" i="1"/>
  <c r="Z229" i="1"/>
  <c r="BN229" i="1"/>
  <c r="Z233" i="1"/>
  <c r="BN233" i="1"/>
  <c r="Y251" i="1"/>
  <c r="Z247" i="1"/>
  <c r="BN247" i="1"/>
  <c r="Z254" i="1"/>
  <c r="BN254" i="1"/>
  <c r="BP254" i="1"/>
  <c r="Z258" i="1"/>
  <c r="BN258" i="1"/>
  <c r="Z265" i="1"/>
  <c r="BN265" i="1"/>
  <c r="Z279" i="1"/>
  <c r="BN279" i="1"/>
  <c r="Z283" i="1"/>
  <c r="BN283" i="1"/>
  <c r="BP292" i="1"/>
  <c r="BN292" i="1"/>
  <c r="Z292" i="1"/>
  <c r="BP308" i="1"/>
  <c r="BN308" i="1"/>
  <c r="Z308" i="1"/>
  <c r="Y317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Z482" i="1" s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Z148" i="1"/>
  <c r="BP146" i="1"/>
  <c r="BN146" i="1"/>
  <c r="Z146" i="1"/>
  <c r="Y172" i="1"/>
  <c r="BP164" i="1"/>
  <c r="BN164" i="1"/>
  <c r="Z164" i="1"/>
  <c r="BP167" i="1"/>
  <c r="BN167" i="1"/>
  <c r="Z167" i="1"/>
  <c r="Y171" i="1"/>
  <c r="Z177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374" i="1" l="1"/>
  <c r="Z473" i="1"/>
  <c r="Z192" i="1"/>
  <c r="Z81" i="1"/>
  <c r="Z411" i="1"/>
  <c r="Y490" i="1"/>
  <c r="Y493" i="1"/>
  <c r="Z380" i="1"/>
  <c r="Z462" i="1"/>
  <c r="Y491" i="1"/>
  <c r="Z57" i="1"/>
  <c r="Z31" i="1"/>
  <c r="Z171" i="1"/>
  <c r="Y492" i="1"/>
  <c r="Z304" i="1"/>
  <c r="Z337" i="1"/>
  <c r="Z234" i="1"/>
  <c r="Z438" i="1"/>
  <c r="Z447" i="1"/>
  <c r="Z432" i="1"/>
  <c r="Z349" i="1"/>
  <c r="Z330" i="1"/>
  <c r="Z203" i="1"/>
  <c r="Z63" i="1"/>
  <c r="X492" i="1"/>
  <c r="Z215" i="1"/>
  <c r="Z88" i="1"/>
  <c r="Z76" i="1"/>
  <c r="Z394" i="1"/>
  <c r="Z294" i="1"/>
  <c r="Y489" i="1"/>
  <c r="Z494" i="1" l="1"/>
</calcChain>
</file>

<file path=xl/sharedStrings.xml><?xml version="1.0" encoding="utf-8"?>
<sst xmlns="http://schemas.openxmlformats.org/spreadsheetml/2006/main" count="2253" uniqueCount="763">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</sst>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topLeftCell="A37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0.54166666666666663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732</v>
      </c>
      <c r="Y40" s="542">
        <f>IFERROR(IF(X40="",0,CEILING((X40/$H40),1)*$H40),"")</f>
        <v>734.40000000000009</v>
      </c>
      <c r="Z40" s="36">
        <f>IFERROR(IF(Y40=0,"",ROUNDUP(Y40/H40,0)*0.01898),"")</f>
        <v>1.29064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759.78888888888889</v>
      </c>
      <c r="BN40" s="64">
        <f>IFERROR(Y40*I40/H40,"0")</f>
        <v>762.28000000000009</v>
      </c>
      <c r="BO40" s="64">
        <f>IFERROR(1/J40*(X40/H40),"0")</f>
        <v>1.0590277777777777</v>
      </c>
      <c r="BP40" s="64">
        <f>IFERROR(1/J40*(Y40/H40),"0")</f>
        <v>1.0625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139</v>
      </c>
      <c r="Y42" s="542">
        <f>IFERROR(IF(X42="",0,CEILING((X42/$H42),1)*$H42),"")</f>
        <v>140.6</v>
      </c>
      <c r="Z42" s="36">
        <f>IFERROR(IF(Y42=0,"",ROUNDUP(Y42/H42,0)*0.00902),"")</f>
        <v>0.34276000000000001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146.13783783783785</v>
      </c>
      <c r="BN42" s="64">
        <f>IFERROR(Y42*I42/H42,"0")</f>
        <v>147.82</v>
      </c>
      <c r="BO42" s="64">
        <f>IFERROR(1/J42*(X42/H42),"0")</f>
        <v>0.2846027846027846</v>
      </c>
      <c r="BP42" s="64">
        <f>IFERROR(1/J42*(Y42/H42),"0")</f>
        <v>0.2878787878787879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105.34534534534534</v>
      </c>
      <c r="Y43" s="543">
        <f>IFERROR(Y40/H40,"0")+IFERROR(Y41/H41,"0")+IFERROR(Y42/H42,"0")</f>
        <v>106</v>
      </c>
      <c r="Z43" s="543">
        <f>IFERROR(IF(Z40="",0,Z40),"0")+IFERROR(IF(Z41="",0,Z41),"0")+IFERROR(IF(Z42="",0,Z42),"0")</f>
        <v>1.6334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871</v>
      </c>
      <c r="Y44" s="543">
        <f>IFERROR(SUM(Y40:Y42),"0")</f>
        <v>875.00000000000011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269</v>
      </c>
      <c r="Y51" s="542">
        <f t="shared" ref="Y51:Y56" si="0">IFERROR(IF(X51="",0,CEILING((X51/$H51),1)*$H51),"")</f>
        <v>280</v>
      </c>
      <c r="Z51" s="36">
        <f>IFERROR(IF(Y51=0,"",ROUNDUP(Y51/H51,0)*0.01898),"")</f>
        <v>0.47450000000000003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278.84732142857143</v>
      </c>
      <c r="BN51" s="64">
        <f t="shared" ref="BN51:BN56" si="2">IFERROR(Y51*I51/H51,"0")</f>
        <v>290.25</v>
      </c>
      <c r="BO51" s="64">
        <f t="shared" ref="BO51:BO56" si="3">IFERROR(1/J51*(X51/H51),"0")</f>
        <v>0.3752790178571429</v>
      </c>
      <c r="BP51" s="64">
        <f t="shared" ref="BP51:BP56" si="4">IFERROR(1/J51*(Y51/H51),"0")</f>
        <v>0.390625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162</v>
      </c>
      <c r="Y52" s="542">
        <f t="shared" si="0"/>
        <v>162</v>
      </c>
      <c r="Z52" s="36">
        <f>IFERROR(IF(Y52=0,"",ROUNDUP(Y52/H52,0)*0.01898),"")</f>
        <v>0.28470000000000001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168.15</v>
      </c>
      <c r="BN52" s="64">
        <f t="shared" si="2"/>
        <v>168.15</v>
      </c>
      <c r="BO52" s="64">
        <f t="shared" si="3"/>
        <v>0.23437499999999997</v>
      </c>
      <c r="BP52" s="64">
        <f t="shared" si="4"/>
        <v>0.23437499999999997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2</v>
      </c>
      <c r="Y54" s="542">
        <f t="shared" si="0"/>
        <v>4</v>
      </c>
      <c r="Z54" s="36">
        <f>IFERROR(IF(Y54=0,"",ROUNDUP(Y54/H54,0)*0.00902),"")</f>
        <v>9.0200000000000002E-3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2.0950000000000002</v>
      </c>
      <c r="BN54" s="64">
        <f t="shared" si="2"/>
        <v>4.1900000000000004</v>
      </c>
      <c r="BO54" s="64">
        <f t="shared" si="3"/>
        <v>3.787878787878788E-3</v>
      </c>
      <c r="BP54" s="64">
        <f t="shared" si="4"/>
        <v>7.575757575757576E-3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39.517857142857146</v>
      </c>
      <c r="Y57" s="543">
        <f>IFERROR(Y51/H51,"0")+IFERROR(Y52/H52,"0")+IFERROR(Y53/H53,"0")+IFERROR(Y54/H54,"0")+IFERROR(Y55/H55,"0")+IFERROR(Y56/H56,"0")</f>
        <v>41</v>
      </c>
      <c r="Z57" s="543">
        <f>IFERROR(IF(Z51="",0,Z51),"0")+IFERROR(IF(Z52="",0,Z52),"0")+IFERROR(IF(Z53="",0,Z53),"0")+IFERROR(IF(Z54="",0,Z54),"0")+IFERROR(IF(Z55="",0,Z55),"0")+IFERROR(IF(Z56="",0,Z56),"0")</f>
        <v>0.76822000000000012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433</v>
      </c>
      <c r="Y58" s="543">
        <f>IFERROR(SUM(Y51:Y56),"0")</f>
        <v>446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355</v>
      </c>
      <c r="Y60" s="542">
        <f>IFERROR(IF(X60="",0,CEILING((X60/$H60),1)*$H60),"")</f>
        <v>356.40000000000003</v>
      </c>
      <c r="Z60" s="36">
        <f>IFERROR(IF(Y60=0,"",ROUNDUP(Y60/H60,0)*0.01898),"")</f>
        <v>0.62634000000000001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368.47685185185185</v>
      </c>
      <c r="BN60" s="64">
        <f>IFERROR(Y60*I60/H60,"0")</f>
        <v>369.93</v>
      </c>
      <c r="BO60" s="64">
        <f>IFERROR(1/J60*(X60/H60),"0")</f>
        <v>0.51359953703703698</v>
      </c>
      <c r="BP60" s="64">
        <f>IFERROR(1/J60*(Y60/H60),"0")</f>
        <v>0.515625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32.870370370370367</v>
      </c>
      <c r="Y63" s="543">
        <f>IFERROR(Y60/H60,"0")+IFERROR(Y61/H61,"0")+IFERROR(Y62/H62,"0")</f>
        <v>33</v>
      </c>
      <c r="Z63" s="543">
        <f>IFERROR(IF(Z60="",0,Z60),"0")+IFERROR(IF(Z61="",0,Z61),"0")+IFERROR(IF(Z62="",0,Z62),"0")</f>
        <v>0.62634000000000001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355</v>
      </c>
      <c r="Y64" s="543">
        <f>IFERROR(SUM(Y60:Y62),"0")</f>
        <v>356.40000000000003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93</v>
      </c>
      <c r="Y79" s="542">
        <f>IFERROR(IF(X79="",0,CEILING((X79/$H79),1)*$H79),"")</f>
        <v>93.6</v>
      </c>
      <c r="Z79" s="36">
        <f>IFERROR(IF(Y79=0,"",ROUNDUP(Y79/H79,0)*0.01898),"")</f>
        <v>0.22776000000000002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97.888461538461556</v>
      </c>
      <c r="BN79" s="64">
        <f>IFERROR(Y79*I79/H79,"0")</f>
        <v>98.52000000000001</v>
      </c>
      <c r="BO79" s="64">
        <f>IFERROR(1/J79*(X79/H79),"0")</f>
        <v>0.18629807692307693</v>
      </c>
      <c r="BP79" s="64">
        <f>IFERROR(1/J79*(Y79/H79),"0")</f>
        <v>0.1875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23</v>
      </c>
      <c r="Y80" s="542">
        <f>IFERROR(IF(X80="",0,CEILING((X80/$H80),1)*$H80),"")</f>
        <v>24</v>
      </c>
      <c r="Z80" s="36">
        <f>IFERROR(IF(Y80=0,"",ROUNDUP(Y80/H80,0)*0.00902),"")</f>
        <v>9.0200000000000002E-2</v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24.820833333333333</v>
      </c>
      <c r="BN80" s="64">
        <f>IFERROR(Y80*I80/H80,"0")</f>
        <v>25.9</v>
      </c>
      <c r="BO80" s="64">
        <f>IFERROR(1/J80*(X80/H80),"0")</f>
        <v>7.2601010101010111E-2</v>
      </c>
      <c r="BP80" s="64">
        <f>IFERROR(1/J80*(Y80/H80),"0")</f>
        <v>7.575757575757576E-2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21.506410256410255</v>
      </c>
      <c r="Y81" s="543">
        <f>IFERROR(Y79/H79,"0")+IFERROR(Y80/H80,"0")</f>
        <v>22</v>
      </c>
      <c r="Z81" s="543">
        <f>IFERROR(IF(Z79="",0,Z79),"0")+IFERROR(IF(Z80="",0,Z80),"0")</f>
        <v>0.31796000000000002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116</v>
      </c>
      <c r="Y82" s="543">
        <f>IFERROR(SUM(Y79:Y80),"0")</f>
        <v>117.6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179</v>
      </c>
      <c r="Y85" s="542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185.79537037037036</v>
      </c>
      <c r="BN85" s="64">
        <f>IFERROR(Y85*I85/H85,"0")</f>
        <v>190.57000000000002</v>
      </c>
      <c r="BO85" s="64">
        <f>IFERROR(1/J85*(X85/H85),"0")</f>
        <v>0.25896990740740738</v>
      </c>
      <c r="BP85" s="64">
        <f>IFERROR(1/J85*(Y85/H85),"0")</f>
        <v>0.265625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236</v>
      </c>
      <c r="Y87" s="542">
        <f>IFERROR(IF(X87="",0,CEILING((X87/$H87),1)*$H87),"")</f>
        <v>238.5</v>
      </c>
      <c r="Z87" s="36">
        <f>IFERROR(IF(Y87=0,"",ROUNDUP(Y87/H87,0)*0.00902),"")</f>
        <v>0.47806000000000004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245.96444444444447</v>
      </c>
      <c r="BN87" s="64">
        <f>IFERROR(Y87*I87/H87,"0")</f>
        <v>248.57000000000002</v>
      </c>
      <c r="BO87" s="64">
        <f>IFERROR(1/J87*(X87/H87),"0")</f>
        <v>0.39730639730639733</v>
      </c>
      <c r="BP87" s="64">
        <f>IFERROR(1/J87*(Y87/H87),"0")</f>
        <v>0.40151515151515155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69.018518518518519</v>
      </c>
      <c r="Y88" s="543">
        <f>IFERROR(Y85/H85,"0")+IFERROR(Y86/H86,"0")+IFERROR(Y87/H87,"0")</f>
        <v>70</v>
      </c>
      <c r="Z88" s="543">
        <f>IFERROR(IF(Z85="",0,Z85),"0")+IFERROR(IF(Z86="",0,Z86),"0")+IFERROR(IF(Z87="",0,Z87),"0")</f>
        <v>0.8007200000000001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415</v>
      </c>
      <c r="Y89" s="543">
        <f>IFERROR(SUM(Y85:Y87),"0")</f>
        <v>422.1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296</v>
      </c>
      <c r="Y91" s="542">
        <f>IFERROR(IF(X91="",0,CEILING((X91/$H91),1)*$H91),"")</f>
        <v>299.7</v>
      </c>
      <c r="Z91" s="36">
        <f>IFERROR(IF(Y91=0,"",ROUNDUP(Y91/H91,0)*0.01898),"")</f>
        <v>0.70226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314.05234567901232</v>
      </c>
      <c r="BN91" s="64">
        <f>IFERROR(Y91*I91/H91,"0")</f>
        <v>317.97800000000001</v>
      </c>
      <c r="BO91" s="64">
        <f>IFERROR(1/J91*(X91/H91),"0")</f>
        <v>0.57098765432098764</v>
      </c>
      <c r="BP91" s="64">
        <f>IFERROR(1/J91*(Y91/H91),"0")</f>
        <v>0.578125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139</v>
      </c>
      <c r="Y93" s="542">
        <f>IFERROR(IF(X93="",0,CEILING((X93/$H93),1)*$H93),"")</f>
        <v>140.4</v>
      </c>
      <c r="Z93" s="36">
        <f>IFERROR(IF(Y93=0,"",ROUNDUP(Y93/H93,0)*0.00651),"")</f>
        <v>0.33851999999999999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151.9733333333333</v>
      </c>
      <c r="BN93" s="64">
        <f>IFERROR(Y93*I93/H93,"0")</f>
        <v>153.50399999999999</v>
      </c>
      <c r="BO93" s="64">
        <f>IFERROR(1/J93*(X93/H93),"0")</f>
        <v>0.2828652828652829</v>
      </c>
      <c r="BP93" s="64">
        <f>IFERROR(1/J93*(Y93/H93),"0")</f>
        <v>0.28571428571428575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88.024691358024683</v>
      </c>
      <c r="Y95" s="543">
        <f>IFERROR(Y91/H91,"0")+IFERROR(Y92/H92,"0")+IFERROR(Y93/H93,"0")+IFERROR(Y94/H94,"0")</f>
        <v>89</v>
      </c>
      <c r="Z95" s="543">
        <f>IFERROR(IF(Z91="",0,Z91),"0")+IFERROR(IF(Z92="",0,Z92),"0")+IFERROR(IF(Z93="",0,Z93),"0")+IFERROR(IF(Z94="",0,Z94),"0")</f>
        <v>1.04078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435</v>
      </c>
      <c r="Y96" s="543">
        <f>IFERROR(SUM(Y91:Y94),"0")</f>
        <v>440.1</v>
      </c>
      <c r="Z96" s="37"/>
      <c r="AA96" s="544"/>
      <c r="AB96" s="544"/>
      <c r="AC96" s="544"/>
    </row>
    <row r="97" spans="1:68" ht="16.5" hidden="1" customHeight="1" x14ac:dyDescent="0.25">
      <c r="A97" s="560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386</v>
      </c>
      <c r="Y99" s="542">
        <f>IFERROR(IF(X99="",0,CEILING((X99/$H99),1)*$H99),"")</f>
        <v>388.8</v>
      </c>
      <c r="Z99" s="36">
        <f>IFERROR(IF(Y99=0,"",ROUNDUP(Y99/H99,0)*0.01898),"")</f>
        <v>0.68328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400.65370370370374</v>
      </c>
      <c r="BN99" s="64">
        <f>IFERROR(Y99*I99/H99,"0")</f>
        <v>403.56</v>
      </c>
      <c r="BO99" s="64">
        <f>IFERROR(1/J99*(X99/H99),"0")</f>
        <v>0.55844907407407407</v>
      </c>
      <c r="BP99" s="64">
        <f>IFERROR(1/J99*(Y99/H99),"0")</f>
        <v>0.5625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252</v>
      </c>
      <c r="Y101" s="542">
        <f>IFERROR(IF(X101="",0,CEILING((X101/$H101),1)*$H101),"")</f>
        <v>252</v>
      </c>
      <c r="Z101" s="36">
        <f>IFERROR(IF(Y101=0,"",ROUNDUP(Y101/H101,0)*0.00902),"")</f>
        <v>0.50512000000000001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262.64000000000004</v>
      </c>
      <c r="BN101" s="64">
        <f>IFERROR(Y101*I101/H101,"0")</f>
        <v>262.64000000000004</v>
      </c>
      <c r="BO101" s="64">
        <f>IFERROR(1/J101*(X101/H101),"0")</f>
        <v>0.42424242424242425</v>
      </c>
      <c r="BP101" s="64">
        <f>IFERROR(1/J101*(Y101/H101),"0")</f>
        <v>0.42424242424242425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91.740740740740733</v>
      </c>
      <c r="Y103" s="543">
        <f>IFERROR(Y99/H99,"0")+IFERROR(Y100/H100,"0")+IFERROR(Y101/H101,"0")+IFERROR(Y102/H102,"0")</f>
        <v>92</v>
      </c>
      <c r="Z103" s="543">
        <f>IFERROR(IF(Z99="",0,Z99),"0")+IFERROR(IF(Z100="",0,Z100),"0")+IFERROR(IF(Z101="",0,Z101),"0")+IFERROR(IF(Z102="",0,Z102),"0")</f>
        <v>1.1884000000000001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638</v>
      </c>
      <c r="Y104" s="543">
        <f>IFERROR(SUM(Y99:Y102),"0")</f>
        <v>640.79999999999995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36</v>
      </c>
      <c r="Y106" s="542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37.366666666666667</v>
      </c>
      <c r="BN106" s="64">
        <f>IFERROR(Y106*I106/H106,"0")</f>
        <v>44.84</v>
      </c>
      <c r="BO106" s="64">
        <f>IFERROR(1/J106*(X106/H106),"0")</f>
        <v>5.2083333333333329E-2</v>
      </c>
      <c r="BP106" s="64">
        <f>IFERROR(1/J106*(Y106/H106),"0")</f>
        <v>6.25E-2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174</v>
      </c>
      <c r="Y108" s="542">
        <f>IFERROR(IF(X108="",0,CEILING((X108/$H108),1)*$H108),"")</f>
        <v>175.2</v>
      </c>
      <c r="Z108" s="36">
        <f>IFERROR(IF(Y108=0,"",ROUNDUP(Y108/H108,0)*0.00651),"")</f>
        <v>0.47522999999999999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187.05</v>
      </c>
      <c r="BN108" s="64">
        <f>IFERROR(Y108*I108/H108,"0")</f>
        <v>188.34</v>
      </c>
      <c r="BO108" s="64">
        <f>IFERROR(1/J108*(X108/H108),"0")</f>
        <v>0.39835164835164838</v>
      </c>
      <c r="BP108" s="64">
        <f>IFERROR(1/J108*(Y108/H108),"0")</f>
        <v>0.40109890109890112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75.833333333333329</v>
      </c>
      <c r="Y109" s="543">
        <f>IFERROR(Y106/H106,"0")+IFERROR(Y107/H107,"0")+IFERROR(Y108/H108,"0")</f>
        <v>77</v>
      </c>
      <c r="Z109" s="543">
        <f>IFERROR(IF(Z106="",0,Z106),"0")+IFERROR(IF(Z107="",0,Z107),"0")+IFERROR(IF(Z108="",0,Z108),"0")</f>
        <v>0.55115000000000003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210</v>
      </c>
      <c r="Y110" s="543">
        <f>IFERROR(SUM(Y106:Y108),"0")</f>
        <v>218.39999999999998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167</v>
      </c>
      <c r="Y112" s="542">
        <f>IFERROR(IF(X112="",0,CEILING((X112/$H112),1)*$H112),"")</f>
        <v>170.1</v>
      </c>
      <c r="Z112" s="36">
        <f>IFERROR(IF(Y112=0,"",ROUNDUP(Y112/H112,0)*0.01898),"")</f>
        <v>0.39857999999999999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177.06123456790124</v>
      </c>
      <c r="BN112" s="64">
        <f>IFERROR(Y112*I112/H112,"0")</f>
        <v>180.34799999999998</v>
      </c>
      <c r="BO112" s="64">
        <f>IFERROR(1/J112*(X112/H112),"0")</f>
        <v>0.32214506172839508</v>
      </c>
      <c r="BP112" s="64">
        <f>IFERROR(1/J112*(Y112/H112),"0")</f>
        <v>0.328125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401</v>
      </c>
      <c r="Y114" s="542">
        <f>IFERROR(IF(X114="",0,CEILING((X114/$H114),1)*$H114),"")</f>
        <v>402.3</v>
      </c>
      <c r="Z114" s="36">
        <f>IFERROR(IF(Y114=0,"",ROUNDUP(Y114/H114,0)*0.00651),"")</f>
        <v>0.96999000000000002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438.42666666666662</v>
      </c>
      <c r="BN114" s="64">
        <f>IFERROR(Y114*I114/H114,"0")</f>
        <v>439.84799999999996</v>
      </c>
      <c r="BO114" s="64">
        <f>IFERROR(1/J114*(X114/H114),"0")</f>
        <v>0.81603581603581599</v>
      </c>
      <c r="BP114" s="64">
        <f>IFERROR(1/J114*(Y114/H114),"0")</f>
        <v>0.81868131868131877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169.1358024691358</v>
      </c>
      <c r="Y116" s="543">
        <f>IFERROR(Y112/H112,"0")+IFERROR(Y113/H113,"0")+IFERROR(Y114/H114,"0")+IFERROR(Y115/H115,"0")</f>
        <v>170</v>
      </c>
      <c r="Z116" s="543">
        <f>IFERROR(IF(Z112="",0,Z112),"0")+IFERROR(IF(Z113="",0,Z113),"0")+IFERROR(IF(Z114="",0,Z114),"0")+IFERROR(IF(Z115="",0,Z115),"0")</f>
        <v>1.3685700000000001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568</v>
      </c>
      <c r="Y117" s="543">
        <f>IFERROR(SUM(Y112:Y115),"0")</f>
        <v>572.4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112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200</v>
      </c>
      <c r="Y161" s="542">
        <f t="shared" ref="Y161:Y170" si="5">IFERROR(IF(X161="",0,CEILING((X161/$H161),1)*$H161),"")</f>
        <v>201.60000000000002</v>
      </c>
      <c r="Z161" s="36">
        <f>IFERROR(IF(Y161=0,"",ROUNDUP(Y161/H161,0)*0.00902),"")</f>
        <v>0.43296000000000001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211.9047619047619</v>
      </c>
      <c r="BN161" s="64">
        <f t="shared" ref="BN161:BN170" si="7">IFERROR(Y161*I161/H161,"0")</f>
        <v>213.60000000000002</v>
      </c>
      <c r="BO161" s="64">
        <f t="shared" ref="BO161:BO170" si="8">IFERROR(1/J161*(X161/H161),"0")</f>
        <v>0.36075036075036077</v>
      </c>
      <c r="BP161" s="64">
        <f t="shared" ref="BP161:BP170" si="9">IFERROR(1/J161*(Y161/H161),"0")</f>
        <v>0.36363636363636365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300</v>
      </c>
      <c r="Y163" s="542">
        <f t="shared" si="5"/>
        <v>302.40000000000003</v>
      </c>
      <c r="Z163" s="36">
        <f>IFERROR(IF(Y163=0,"",ROUNDUP(Y163/H163,0)*0.00902),"")</f>
        <v>0.64944000000000002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313.57142857142856</v>
      </c>
      <c r="BN163" s="64">
        <f t="shared" si="7"/>
        <v>316.08</v>
      </c>
      <c r="BO163" s="64">
        <f t="shared" si="8"/>
        <v>0.54112554112554112</v>
      </c>
      <c r="BP163" s="64">
        <f t="shared" si="9"/>
        <v>0.54545454545454541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77</v>
      </c>
      <c r="Y164" s="542">
        <f t="shared" si="5"/>
        <v>77.7</v>
      </c>
      <c r="Z164" s="36">
        <f>IFERROR(IF(Y164=0,"",ROUNDUP(Y164/H164,0)*0.00502),"")</f>
        <v>0.18574000000000002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81.766666666666666</v>
      </c>
      <c r="BN164" s="64">
        <f t="shared" si="7"/>
        <v>82.51</v>
      </c>
      <c r="BO164" s="64">
        <f t="shared" si="8"/>
        <v>0.15669515669515671</v>
      </c>
      <c r="BP164" s="64">
        <f t="shared" si="9"/>
        <v>0.15811965811965814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42</v>
      </c>
      <c r="Y167" s="542">
        <f t="shared" si="5"/>
        <v>43.2</v>
      </c>
      <c r="Z167" s="36">
        <f>IFERROR(IF(Y167=0,"",ROUNDUP(Y167/H167,0)*0.00502),"")</f>
        <v>0.12048</v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45.033333333333331</v>
      </c>
      <c r="BN167" s="64">
        <f t="shared" si="7"/>
        <v>46.32</v>
      </c>
      <c r="BO167" s="64">
        <f t="shared" si="8"/>
        <v>9.9715099715099717E-2</v>
      </c>
      <c r="BP167" s="64">
        <f t="shared" si="9"/>
        <v>0.10256410256410257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177</v>
      </c>
      <c r="Y168" s="542">
        <f t="shared" si="5"/>
        <v>178.5</v>
      </c>
      <c r="Z168" s="36">
        <f>IFERROR(IF(Y168=0,"",ROUNDUP(Y168/H168,0)*0.00502),"")</f>
        <v>0.42670000000000002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185.42857142857144</v>
      </c>
      <c r="BN168" s="64">
        <f t="shared" si="7"/>
        <v>187</v>
      </c>
      <c r="BO168" s="64">
        <f t="shared" si="8"/>
        <v>0.36019536019536019</v>
      </c>
      <c r="BP168" s="64">
        <f t="shared" si="9"/>
        <v>0.36324786324786329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263.33333333333337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266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1.81532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796</v>
      </c>
      <c r="Y172" s="543">
        <f>IFERROR(SUM(Y161:Y170),"0")</f>
        <v>803.40000000000009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11</v>
      </c>
      <c r="Y175" s="542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12.658730158730158</v>
      </c>
      <c r="BN175" s="64">
        <f>IFERROR(Y175*I175/H175,"0")</f>
        <v>13.049999999999999</v>
      </c>
      <c r="BO175" s="64">
        <f>IFERROR(1/J175*(X175/H175),"0")</f>
        <v>4.0417401528512635E-2</v>
      </c>
      <c r="BP175" s="64">
        <f>IFERROR(1/J175*(Y175/H175),"0")</f>
        <v>4.1666666666666664E-2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19.841269841269842</v>
      </c>
      <c r="Y177" s="543">
        <f>IFERROR(Y174/H174,"0")+IFERROR(Y175/H175,"0")+IFERROR(Y176/H176,"0")</f>
        <v>21</v>
      </c>
      <c r="Z177" s="543">
        <f>IFERROR(IF(Z174="",0,Z174),"0")+IFERROR(IF(Z175="",0,Z175),"0")+IFERROR(IF(Z176="",0,Z176),"0")</f>
        <v>0.12390000000000001</v>
      </c>
      <c r="AA177" s="544"/>
      <c r="AB177" s="544"/>
      <c r="AC177" s="544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25</v>
      </c>
      <c r="Y178" s="543">
        <f>IFERROR(SUM(Y174:Y176),"0")</f>
        <v>26.46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10</v>
      </c>
      <c r="Y180" s="542">
        <f>IFERROR(IF(X180="",0,CEILING((X180/$H180),1)*$H180),"")</f>
        <v>10.08</v>
      </c>
      <c r="Z180" s="36">
        <f>IFERROR(IF(Y180=0,"",ROUNDUP(Y180/H180,0)*0.0059),"")</f>
        <v>4.7199999999999999E-2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11.507936507936508</v>
      </c>
      <c r="BN180" s="64">
        <f>IFERROR(Y180*I180/H180,"0")</f>
        <v>11.6</v>
      </c>
      <c r="BO180" s="64">
        <f>IFERROR(1/J180*(X180/H180),"0")</f>
        <v>3.6743092298647854E-2</v>
      </c>
      <c r="BP180" s="64">
        <f>IFERROR(1/J180*(Y180/H180),"0")</f>
        <v>3.7037037037037035E-2</v>
      </c>
    </row>
    <row r="181" spans="1:68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7.9365079365079367</v>
      </c>
      <c r="Y181" s="543">
        <f>IFERROR(Y180/H180,"0")</f>
        <v>8</v>
      </c>
      <c r="Z181" s="543">
        <f>IFERROR(IF(Z180="",0,Z180),"0")</f>
        <v>4.7199999999999999E-2</v>
      </c>
      <c r="AA181" s="544"/>
      <c r="AB181" s="544"/>
      <c r="AC181" s="544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10</v>
      </c>
      <c r="Y182" s="543">
        <f>IFERROR(SUM(Y180:Y180),"0")</f>
        <v>10.08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721</v>
      </c>
      <c r="Y195" s="542">
        <f t="shared" ref="Y195:Y202" si="10">IFERROR(IF(X195="",0,CEILING((X195/$H195),1)*$H195),"")</f>
        <v>723.6</v>
      </c>
      <c r="Z195" s="36">
        <f>IFERROR(IF(Y195=0,"",ROUNDUP(Y195/H195,0)*0.00902),"")</f>
        <v>1.20868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746.3685185185185</v>
      </c>
      <c r="BN195" s="64">
        <f t="shared" ref="BN195:BN202" si="12">IFERROR(Y195*I195/H195,"0")</f>
        <v>749.06</v>
      </c>
      <c r="BO195" s="64">
        <f t="shared" ref="BO195:BO202" si="13">IFERROR(1/J195*(X195/H195),"0")</f>
        <v>1.0115039281705949</v>
      </c>
      <c r="BP195" s="64">
        <f t="shared" ref="BP195:BP202" si="14">IFERROR(1/J195*(Y195/H195),"0")</f>
        <v>1.0151515151515151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261</v>
      </c>
      <c r="Y196" s="542">
        <f t="shared" si="10"/>
        <v>264.60000000000002</v>
      </c>
      <c r="Z196" s="36">
        <f>IFERROR(IF(Y196=0,"",ROUNDUP(Y196/H196,0)*0.00902),"")</f>
        <v>0.44198000000000004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270.18333333333334</v>
      </c>
      <c r="BN196" s="64">
        <f t="shared" si="12"/>
        <v>273.90999999999997</v>
      </c>
      <c r="BO196" s="64">
        <f t="shared" si="13"/>
        <v>0.36616161616161613</v>
      </c>
      <c r="BP196" s="64">
        <f t="shared" si="14"/>
        <v>0.37121212121212122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280</v>
      </c>
      <c r="Y198" s="542">
        <f t="shared" si="10"/>
        <v>280.8</v>
      </c>
      <c r="Z198" s="36">
        <f>IFERROR(IF(Y198=0,"",ROUNDUP(Y198/H198,0)*0.00902),"")</f>
        <v>0.46904000000000001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289.85185185185185</v>
      </c>
      <c r="BN198" s="64">
        <f t="shared" si="12"/>
        <v>290.68</v>
      </c>
      <c r="BO198" s="64">
        <f t="shared" si="13"/>
        <v>0.39281705948372614</v>
      </c>
      <c r="BP198" s="64">
        <f t="shared" si="14"/>
        <v>0.39393939393939392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67</v>
      </c>
      <c r="Y199" s="542">
        <f t="shared" si="10"/>
        <v>68.400000000000006</v>
      </c>
      <c r="Z199" s="36">
        <f>IFERROR(IF(Y199=0,"",ROUNDUP(Y199/H199,0)*0.00502),"")</f>
        <v>0.19076000000000001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71.838888888888889</v>
      </c>
      <c r="BN199" s="64">
        <f t="shared" si="12"/>
        <v>73.34</v>
      </c>
      <c r="BO199" s="64">
        <f t="shared" si="13"/>
        <v>0.15906932573599242</v>
      </c>
      <c r="BP199" s="64">
        <f t="shared" si="14"/>
        <v>0.1623931623931624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66</v>
      </c>
      <c r="Y200" s="542">
        <f t="shared" si="10"/>
        <v>66.600000000000009</v>
      </c>
      <c r="Z200" s="36">
        <f>IFERROR(IF(Y200=0,"",ROUNDUP(Y200/H200,0)*0.00502),"")</f>
        <v>0.18574000000000002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69.666666666666657</v>
      </c>
      <c r="BN200" s="64">
        <f t="shared" si="12"/>
        <v>70.3</v>
      </c>
      <c r="BO200" s="64">
        <f t="shared" si="13"/>
        <v>0.15669515669515671</v>
      </c>
      <c r="BP200" s="64">
        <f t="shared" si="14"/>
        <v>0.15811965811965817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77</v>
      </c>
      <c r="Y202" s="542">
        <f t="shared" si="10"/>
        <v>77.400000000000006</v>
      </c>
      <c r="Z202" s="36">
        <f>IFERROR(IF(Y202=0,"",ROUNDUP(Y202/H202,0)*0.00502),"")</f>
        <v>0.21586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81.277777777777771</v>
      </c>
      <c r="BN202" s="64">
        <f t="shared" si="12"/>
        <v>81.7</v>
      </c>
      <c r="BO202" s="64">
        <f t="shared" si="13"/>
        <v>0.1828110161443495</v>
      </c>
      <c r="BP202" s="64">
        <f t="shared" si="14"/>
        <v>0.18376068376068377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350.37037037037038</v>
      </c>
      <c r="Y203" s="543">
        <f>IFERROR(Y195/H195,"0")+IFERROR(Y196/H196,"0")+IFERROR(Y197/H197,"0")+IFERROR(Y198/H198,"0")+IFERROR(Y199/H199,"0")+IFERROR(Y200/H200,"0")+IFERROR(Y201/H201,"0")+IFERROR(Y202/H202,"0")</f>
        <v>353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2.7120600000000001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1472</v>
      </c>
      <c r="Y204" s="543">
        <f>IFERROR(SUM(Y195:Y202),"0")</f>
        <v>1481.4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39</v>
      </c>
      <c r="Y206" s="542">
        <f t="shared" ref="Y206:Y214" si="15">IFERROR(IF(X206="",0,CEILING((X206/$H206),1)*$H206),"")</f>
        <v>40.5</v>
      </c>
      <c r="Z206" s="36">
        <f>IFERROR(IF(Y206=0,"",ROUNDUP(Y206/H206,0)*0.01898),"")</f>
        <v>9.4899999999999998E-2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41.378518518518518</v>
      </c>
      <c r="BN206" s="64">
        <f t="shared" ref="BN206:BN214" si="17">IFERROR(Y206*I206/H206,"0")</f>
        <v>42.97</v>
      </c>
      <c r="BO206" s="64">
        <f t="shared" ref="BO206:BO214" si="18">IFERROR(1/J206*(X206/H206),"0")</f>
        <v>7.5231481481481483E-2</v>
      </c>
      <c r="BP206" s="64">
        <f t="shared" ref="BP206:BP214" si="19">IFERROR(1/J206*(Y206/H206),"0")</f>
        <v>7.8125E-2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19</v>
      </c>
      <c r="Y207" s="542">
        <f t="shared" si="15"/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20.116543209876546</v>
      </c>
      <c r="BN207" s="64">
        <f t="shared" si="17"/>
        <v>25.727999999999998</v>
      </c>
      <c r="BO207" s="64">
        <f t="shared" si="18"/>
        <v>3.6651234567901238E-2</v>
      </c>
      <c r="BP207" s="64">
        <f t="shared" si="19"/>
        <v>4.6875E-2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100</v>
      </c>
      <c r="Y208" s="542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239</v>
      </c>
      <c r="Y209" s="542">
        <f t="shared" si="15"/>
        <v>240</v>
      </c>
      <c r="Z209" s="36">
        <f t="shared" ref="Z209:Z214" si="20">IFERROR(IF(Y209=0,"",ROUNDUP(Y209/H209,0)*0.00651),"")</f>
        <v>0.65100000000000002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265.88749999999999</v>
      </c>
      <c r="BN209" s="64">
        <f t="shared" si="17"/>
        <v>267</v>
      </c>
      <c r="BO209" s="64">
        <f t="shared" si="18"/>
        <v>0.54716117216117222</v>
      </c>
      <c r="BP209" s="64">
        <f t="shared" si="19"/>
        <v>0.5494505494505495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845</v>
      </c>
      <c r="Y211" s="542">
        <f t="shared" si="15"/>
        <v>847.19999999999993</v>
      </c>
      <c r="Z211" s="36">
        <f t="shared" si="20"/>
        <v>2.2980300000000002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933.72500000000002</v>
      </c>
      <c r="BN211" s="64">
        <f t="shared" si="17"/>
        <v>936.15599999999995</v>
      </c>
      <c r="BO211" s="64">
        <f t="shared" si="18"/>
        <v>1.93452380952381</v>
      </c>
      <c r="BP211" s="64">
        <f t="shared" si="19"/>
        <v>1.9395604395604398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479</v>
      </c>
      <c r="Y212" s="542">
        <f t="shared" si="15"/>
        <v>480</v>
      </c>
      <c r="Z212" s="36">
        <f t="shared" si="20"/>
        <v>1.302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529.29500000000007</v>
      </c>
      <c r="BN212" s="64">
        <f t="shared" si="17"/>
        <v>530.40000000000009</v>
      </c>
      <c r="BO212" s="64">
        <f t="shared" si="18"/>
        <v>1.0966117216117217</v>
      </c>
      <c r="BP212" s="64">
        <f t="shared" si="19"/>
        <v>1.098901098901099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147</v>
      </c>
      <c r="Y213" s="542">
        <f t="shared" si="15"/>
        <v>148.79999999999998</v>
      </c>
      <c r="Z213" s="36">
        <f t="shared" si="20"/>
        <v>0.40362000000000003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162.435</v>
      </c>
      <c r="BN213" s="64">
        <f t="shared" si="17"/>
        <v>164.42400000000001</v>
      </c>
      <c r="BO213" s="64">
        <f t="shared" si="18"/>
        <v>0.33653846153846156</v>
      </c>
      <c r="BP213" s="64">
        <f t="shared" si="19"/>
        <v>0.34065934065934067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146</v>
      </c>
      <c r="Y214" s="542">
        <f t="shared" si="15"/>
        <v>146.4</v>
      </c>
      <c r="Z214" s="36">
        <f t="shared" si="20"/>
        <v>0.39711000000000002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161.69499999999999</v>
      </c>
      <c r="BN214" s="64">
        <f t="shared" si="17"/>
        <v>162.13800000000001</v>
      </c>
      <c r="BO214" s="64">
        <f t="shared" si="18"/>
        <v>0.33424908424908428</v>
      </c>
      <c r="BP214" s="64">
        <f t="shared" si="19"/>
        <v>0.33516483516483525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791.98808003405713</v>
      </c>
      <c r="Y215" s="543">
        <f>IFERROR(Y206/H206,"0")+IFERROR(Y207/H207,"0")+IFERROR(Y208/H208,"0")+IFERROR(Y209/H209,"0")+IFERROR(Y210/H210,"0")+IFERROR(Y211/H211,"0")+IFERROR(Y212/H212,"0")+IFERROR(Y213/H213,"0")+IFERROR(Y214/H214,"0")</f>
        <v>796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5.4313599999999997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2014</v>
      </c>
      <c r="Y216" s="543">
        <f>IFERROR(SUM(Y206:Y214),"0")</f>
        <v>2031.6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46</v>
      </c>
      <c r="Y219" s="542">
        <f>IFERROR(IF(X219="",0,CEILING((X219/$H219),1)*$H219),"")</f>
        <v>48</v>
      </c>
      <c r="Z219" s="36">
        <f>IFERROR(IF(Y219=0,"",ROUNDUP(Y219/H219,0)*0.00651),"")</f>
        <v>0.13020000000000001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50.830000000000005</v>
      </c>
      <c r="BN219" s="64">
        <f>IFERROR(Y219*I219/H219,"0")</f>
        <v>53.040000000000006</v>
      </c>
      <c r="BO219" s="64">
        <f>IFERROR(1/J219*(X219/H219),"0")</f>
        <v>0.10531135531135533</v>
      </c>
      <c r="BP219" s="64">
        <f>IFERROR(1/J219*(Y219/H219),"0")</f>
        <v>0.1098901098901099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19.166666666666668</v>
      </c>
      <c r="Y220" s="543">
        <f>IFERROR(Y218/H218,"0")+IFERROR(Y219/H219,"0")</f>
        <v>20</v>
      </c>
      <c r="Z220" s="543">
        <f>IFERROR(IF(Z218="",0,Z218),"0")+IFERROR(IF(Z219="",0,Z219),"0")</f>
        <v>0.13020000000000001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46</v>
      </c>
      <c r="Y221" s="543">
        <f>IFERROR(SUM(Y218:Y219),"0")</f>
        <v>48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183</v>
      </c>
      <c r="Y224" s="542">
        <f t="shared" ref="Y224:Y233" si="21">IFERROR(IF(X224="",0,CEILING((X224/$H224),1)*$H224),"")</f>
        <v>185.6</v>
      </c>
      <c r="Z224" s="36">
        <f>IFERROR(IF(Y224=0,"",ROUNDUP(Y224/H224,0)*0.01898),"")</f>
        <v>0.30368000000000001</v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189.46810344827585</v>
      </c>
      <c r="BN224" s="64">
        <f t="shared" ref="BN224:BN233" si="23">IFERROR(Y224*I224/H224,"0")</f>
        <v>192.16</v>
      </c>
      <c r="BO224" s="64">
        <f t="shared" ref="BO224:BO233" si="24">IFERROR(1/J224*(X224/H224),"0")</f>
        <v>0.24649784482758622</v>
      </c>
      <c r="BP224" s="64">
        <f t="shared" ref="BP224:BP233" si="25">IFERROR(1/J224*(Y224/H224),"0")</f>
        <v>0.25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15.775862068965518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16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0.30368000000000001</v>
      </c>
      <c r="AA234" s="544"/>
      <c r="AB234" s="544"/>
      <c r="AC234" s="544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183</v>
      </c>
      <c r="Y235" s="543">
        <f>IFERROR(SUM(Y224:Y233),"0")</f>
        <v>185.6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10</v>
      </c>
      <c r="Y241" s="542">
        <f>IFERROR(IF(X241="",0,CEILING((X241/$H241),1)*$H241),"")</f>
        <v>10.8</v>
      </c>
      <c r="Z241" s="36">
        <f>IFERROR(IF(Y241=0,"",ROUNDUP(Y241/H241,0)*0.0059),"")</f>
        <v>3.5400000000000001E-2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10.972222222222221</v>
      </c>
      <c r="BN241" s="64">
        <f>IFERROR(Y241*I241/H241,"0")</f>
        <v>11.850000000000001</v>
      </c>
      <c r="BO241" s="64">
        <f>IFERROR(1/J241*(X241/H241),"0")</f>
        <v>2.5720164609053495E-2</v>
      </c>
      <c r="BP241" s="64">
        <f>IFERROR(1/J241*(Y241/H241),"0")</f>
        <v>2.7777777777777776E-2</v>
      </c>
    </row>
    <row r="242" spans="1:68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5.5555555555555554</v>
      </c>
      <c r="Y242" s="543">
        <f>IFERROR(Y241/H241,"0")</f>
        <v>6</v>
      </c>
      <c r="Z242" s="543">
        <f>IFERROR(IF(Z241="",0,Z241),"0")</f>
        <v>3.5400000000000001E-2</v>
      </c>
      <c r="AA242" s="544"/>
      <c r="AB242" s="544"/>
      <c r="AC242" s="544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10</v>
      </c>
      <c r="Y243" s="543">
        <f>IFERROR(SUM(Y241:Y241),"0")</f>
        <v>10.8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2</v>
      </c>
      <c r="Y247" s="542">
        <f>IFERROR(IF(X247="",0,CEILING((X247/$H247),1)*$H247),"")</f>
        <v>2.7</v>
      </c>
      <c r="Z247" s="36">
        <f>IFERROR(IF(Y247=0,"",ROUNDUP(Y247/H247,0)*0.0059),"")</f>
        <v>1.77E-2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2.4222222222222225</v>
      </c>
      <c r="BN247" s="64">
        <f>IFERROR(Y247*I247/H247,"0")</f>
        <v>3.2700000000000005</v>
      </c>
      <c r="BO247" s="64">
        <f>IFERROR(1/J247*(X247/H247),"0")</f>
        <v>1.0288065843621399E-2</v>
      </c>
      <c r="BP247" s="64">
        <f>IFERROR(1/J247*(Y247/H247),"0")</f>
        <v>1.3888888888888888E-2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5</v>
      </c>
      <c r="Y248" s="542">
        <f>IFERROR(IF(X248="",0,CEILING((X248/$H248),1)*$H248),"")</f>
        <v>5.9399999999999995</v>
      </c>
      <c r="Z248" s="36">
        <f>IFERROR(IF(Y248=0,"",ROUNDUP(Y248/H248,0)*0.0059),"")</f>
        <v>3.5400000000000001E-2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5.9595959595959593</v>
      </c>
      <c r="BN248" s="64">
        <f>IFERROR(Y248*I248/H248,"0")</f>
        <v>7.0799999999999992</v>
      </c>
      <c r="BO248" s="64">
        <f>IFERROR(1/J248*(X248/H248),"0")</f>
        <v>2.3381967826412269E-2</v>
      </c>
      <c r="BP248" s="64">
        <f>IFERROR(1/J248*(Y248/H248),"0")</f>
        <v>2.7777777777777773E-2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8</v>
      </c>
      <c r="Y249" s="542">
        <f>IFERROR(IF(X249="",0,CEILING((X249/$H249),1)*$H249),"")</f>
        <v>8.91</v>
      </c>
      <c r="Z249" s="36">
        <f>IFERROR(IF(Y249=0,"",ROUNDUP(Y249/H249,0)*0.0059),"")</f>
        <v>5.3100000000000001E-2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9.5353535353535346</v>
      </c>
      <c r="BN249" s="64">
        <f>IFERROR(Y249*I249/H249,"0")</f>
        <v>10.62</v>
      </c>
      <c r="BO249" s="64">
        <f>IFERROR(1/J249*(X249/H249),"0")</f>
        <v>3.7411148522259637E-2</v>
      </c>
      <c r="BP249" s="64">
        <f>IFERROR(1/J249*(Y249/H249),"0")</f>
        <v>4.1666666666666664E-2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15.353535353535353</v>
      </c>
      <c r="Y250" s="543">
        <f>IFERROR(Y245/H245,"0")+IFERROR(Y246/H246,"0")+IFERROR(Y247/H247,"0")+IFERROR(Y248/H248,"0")+IFERROR(Y249/H249,"0")</f>
        <v>18</v>
      </c>
      <c r="Z250" s="543">
        <f>IFERROR(IF(Z245="",0,Z245),"0")+IFERROR(IF(Z246="",0,Z246),"0")+IFERROR(IF(Z247="",0,Z247),"0")+IFERROR(IF(Z248="",0,Z248),"0")+IFERROR(IF(Z249="",0,Z249),"0")</f>
        <v>0.1062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15</v>
      </c>
      <c r="Y251" s="543">
        <f>IFERROR(SUM(Y245:Y249),"0")</f>
        <v>17.55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137</v>
      </c>
      <c r="Y272" s="542">
        <f>IFERROR(IF(X272="",0,CEILING((X272/$H272),1)*$H272),"")</f>
        <v>139.19999999999999</v>
      </c>
      <c r="Z272" s="36">
        <f>IFERROR(IF(Y272=0,"",ROUNDUP(Y272/H272,0)*0.00651),"")</f>
        <v>0.37758000000000003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151.38500000000002</v>
      </c>
      <c r="BN272" s="64">
        <f>IFERROR(Y272*I272/H272,"0")</f>
        <v>153.816</v>
      </c>
      <c r="BO272" s="64">
        <f>IFERROR(1/J272*(X272/H272),"0")</f>
        <v>0.3136446886446887</v>
      </c>
      <c r="BP272" s="64">
        <f>IFERROR(1/J272*(Y272/H272),"0")</f>
        <v>0.31868131868131871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132</v>
      </c>
      <c r="Y273" s="542">
        <f>IFERROR(IF(X273="",0,CEILING((X273/$H273),1)*$H273),"")</f>
        <v>132</v>
      </c>
      <c r="Z273" s="36">
        <f>IFERROR(IF(Y273=0,"",ROUNDUP(Y273/H273,0)*0.00651),"")</f>
        <v>0.35805000000000003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141.9</v>
      </c>
      <c r="BN273" s="64">
        <f>IFERROR(Y273*I273/H273,"0")</f>
        <v>141.9</v>
      </c>
      <c r="BO273" s="64">
        <f>IFERROR(1/J273*(X273/H273),"0")</f>
        <v>0.30219780219780223</v>
      </c>
      <c r="BP273" s="64">
        <f>IFERROR(1/J273*(Y273/H273),"0")</f>
        <v>0.30219780219780223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112.08333333333334</v>
      </c>
      <c r="Y274" s="543">
        <f>IFERROR(Y271/H271,"0")+IFERROR(Y272/H272,"0")+IFERROR(Y273/H273,"0")</f>
        <v>113</v>
      </c>
      <c r="Z274" s="543">
        <f>IFERROR(IF(Z271="",0,Z271),"0")+IFERROR(IF(Z272="",0,Z272),"0")+IFERROR(IF(Z273="",0,Z273),"0")</f>
        <v>0.73563000000000001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269</v>
      </c>
      <c r="Y275" s="543">
        <f>IFERROR(SUM(Y271:Y273),"0")</f>
        <v>271.2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38</v>
      </c>
      <c r="Y303" s="542">
        <f t="shared" si="26"/>
        <v>39.6</v>
      </c>
      <c r="Z303" s="36">
        <f>IFERROR(IF(Y303=0,"",ROUNDUP(Y303/H303,0)*0.00651),"")</f>
        <v>0.14322000000000001</v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42.81333333333334</v>
      </c>
      <c r="BN303" s="64">
        <f t="shared" si="28"/>
        <v>44.616</v>
      </c>
      <c r="BO303" s="64">
        <f t="shared" si="29"/>
        <v>0.115995115995116</v>
      </c>
      <c r="BP303" s="64">
        <f t="shared" si="30"/>
        <v>0.12087912087912089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21.111111111111111</v>
      </c>
      <c r="Y304" s="543">
        <f>IFERROR(Y297/H297,"0")+IFERROR(Y298/H298,"0")+IFERROR(Y299/H299,"0")+IFERROR(Y300/H300,"0")+IFERROR(Y301/H301,"0")+IFERROR(Y302/H302,"0")+IFERROR(Y303/H303,"0")</f>
        <v>22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0.14322000000000001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38</v>
      </c>
      <c r="Y305" s="543">
        <f>IFERROR(SUM(Y297:Y303),"0")</f>
        <v>39.6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119</v>
      </c>
      <c r="Y314" s="542">
        <f>IFERROR(IF(X314="",0,CEILING((X314/$H314),1)*$H314),"")</f>
        <v>126</v>
      </c>
      <c r="Z314" s="36">
        <f>IFERROR(IF(Y314=0,"",ROUNDUP(Y314/H314,0)*0.01898),"")</f>
        <v>0.28470000000000001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125.99833333333332</v>
      </c>
      <c r="BN314" s="64">
        <f>IFERROR(Y314*I314/H314,"0")</f>
        <v>133.41</v>
      </c>
      <c r="BO314" s="64">
        <f>IFERROR(1/J314*(X314/H314),"0")</f>
        <v>0.22135416666666666</v>
      </c>
      <c r="BP314" s="64">
        <f>IFERROR(1/J314*(Y314/H314),"0")</f>
        <v>0.234375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716</v>
      </c>
      <c r="Y315" s="542">
        <f>IFERROR(IF(X315="",0,CEILING((X315/$H315),1)*$H315),"")</f>
        <v>717.6</v>
      </c>
      <c r="Z315" s="36">
        <f>IFERROR(IF(Y315=0,"",ROUNDUP(Y315/H315,0)*0.01898),"")</f>
        <v>1.7461599999999999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761.34666666666669</v>
      </c>
      <c r="BN315" s="64">
        <f>IFERROR(Y315*I315/H315,"0")</f>
        <v>763.048</v>
      </c>
      <c r="BO315" s="64">
        <f>IFERROR(1/J315*(X315/H315),"0")</f>
        <v>1.4342948717948718</v>
      </c>
      <c r="BP315" s="64">
        <f>IFERROR(1/J315*(Y315/H315),"0")</f>
        <v>1.4375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151</v>
      </c>
      <c r="Y316" s="542">
        <f>IFERROR(IF(X316="",0,CEILING((X316/$H316),1)*$H316),"")</f>
        <v>151.20000000000002</v>
      </c>
      <c r="Z316" s="36">
        <f>IFERROR(IF(Y316=0,"",ROUNDUP(Y316/H316,0)*0.01898),"")</f>
        <v>0.34164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159.88023809523807</v>
      </c>
      <c r="BN316" s="64">
        <f>IFERROR(Y316*I316/H316,"0")</f>
        <v>160.09200000000001</v>
      </c>
      <c r="BO316" s="64">
        <f>IFERROR(1/J316*(X316/H316),"0")</f>
        <v>0.28087797619047616</v>
      </c>
      <c r="BP316" s="64">
        <f>IFERROR(1/J316*(Y316/H316),"0")</f>
        <v>0.28125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123.93772893772893</v>
      </c>
      <c r="Y317" s="543">
        <f>IFERROR(Y314/H314,"0")+IFERROR(Y315/H315,"0")+IFERROR(Y316/H316,"0")</f>
        <v>125</v>
      </c>
      <c r="Z317" s="543">
        <f>IFERROR(IF(Z314="",0,Z314),"0")+IFERROR(IF(Z315="",0,Z315),"0")+IFERROR(IF(Z316="",0,Z316),"0")</f>
        <v>2.3725000000000001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986</v>
      </c>
      <c r="Y318" s="543">
        <f>IFERROR(SUM(Y314:Y316),"0")</f>
        <v>994.80000000000007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24</v>
      </c>
      <c r="Y322" s="542">
        <f>IFERROR(IF(X322="",0,CEILING((X322/$H322),1)*$H322),"")</f>
        <v>25.5</v>
      </c>
      <c r="Z322" s="36">
        <f>IFERROR(IF(Y322=0,"",ROUNDUP(Y322/H322,0)*0.00651),"")</f>
        <v>6.5100000000000005E-2</v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27.811764705882357</v>
      </c>
      <c r="BN322" s="64">
        <f>IFERROR(Y322*I322/H322,"0")</f>
        <v>29.550000000000004</v>
      </c>
      <c r="BO322" s="64">
        <f>IFERROR(1/J322*(X322/H322),"0")</f>
        <v>5.1712992889463481E-2</v>
      </c>
      <c r="BP322" s="64">
        <f>IFERROR(1/J322*(Y322/H322),"0")</f>
        <v>5.4945054945054951E-2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19</v>
      </c>
      <c r="Y323" s="542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21.458823529411767</v>
      </c>
      <c r="BN323" s="64">
        <f>IFERROR(Y323*I323/H323,"0")</f>
        <v>23.04</v>
      </c>
      <c r="BO323" s="64">
        <f>IFERROR(1/J323*(X323/H323),"0")</f>
        <v>4.0939452704158594E-2</v>
      </c>
      <c r="BP323" s="64">
        <f>IFERROR(1/J323*(Y323/H323),"0")</f>
        <v>4.3956043956043959E-2</v>
      </c>
    </row>
    <row r="324" spans="1:68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16.862745098039216</v>
      </c>
      <c r="Y324" s="543">
        <f>IFERROR(Y320/H320,"0")+IFERROR(Y321/H321,"0")+IFERROR(Y322/H322,"0")+IFERROR(Y323/H323,"0")</f>
        <v>18</v>
      </c>
      <c r="Z324" s="543">
        <f>IFERROR(IF(Z320="",0,Z320),"0")+IFERROR(IF(Z321="",0,Z321),"0")+IFERROR(IF(Z322="",0,Z322),"0")+IFERROR(IF(Z323="",0,Z323),"0")</f>
        <v>0.11718000000000001</v>
      </c>
      <c r="AA324" s="544"/>
      <c r="AB324" s="544"/>
      <c r="AC324" s="544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43</v>
      </c>
      <c r="Y325" s="543">
        <f>IFERROR(SUM(Y320:Y323),"0")</f>
        <v>45.9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20</v>
      </c>
      <c r="Y327" s="542">
        <f>IFERROR(IF(X327="",0,CEILING((X327/$H327),1)*$H327),"")</f>
        <v>20</v>
      </c>
      <c r="Z327" s="36">
        <f>IFERROR(IF(Y327=0,"",ROUNDUP(Y327/H327,0)*0.00474),"")</f>
        <v>4.7400000000000005E-2</v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22.400000000000002</v>
      </c>
      <c r="BN327" s="64">
        <f>IFERROR(Y327*I327/H327,"0")</f>
        <v>22.400000000000002</v>
      </c>
      <c r="BO327" s="64">
        <f>IFERROR(1/J327*(X327/H327),"0")</f>
        <v>4.2016806722689072E-2</v>
      </c>
      <c r="BP327" s="64">
        <f>IFERROR(1/J327*(Y327/H327),"0")</f>
        <v>4.2016806722689072E-2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22</v>
      </c>
      <c r="Y328" s="542">
        <f>IFERROR(IF(X328="",0,CEILING((X328/$H328),1)*$H328),"")</f>
        <v>22</v>
      </c>
      <c r="Z328" s="36">
        <f>IFERROR(IF(Y328=0,"",ROUNDUP(Y328/H328,0)*0.00474),"")</f>
        <v>5.2140000000000006E-2</v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24.64</v>
      </c>
      <c r="BN328" s="64">
        <f>IFERROR(Y328*I328/H328,"0")</f>
        <v>24.64</v>
      </c>
      <c r="BO328" s="64">
        <f>IFERROR(1/J328*(X328/H328),"0")</f>
        <v>4.6218487394957979E-2</v>
      </c>
      <c r="BP328" s="64">
        <f>IFERROR(1/J328*(Y328/H328),"0")</f>
        <v>4.6218487394957979E-2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29</v>
      </c>
      <c r="Y329" s="542">
        <f>IFERROR(IF(X329="",0,CEILING((X329/$H329),1)*$H329),"")</f>
        <v>30</v>
      </c>
      <c r="Z329" s="36">
        <f>IFERROR(IF(Y329=0,"",ROUNDUP(Y329/H329,0)*0.00474),"")</f>
        <v>7.110000000000001E-2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32.480000000000004</v>
      </c>
      <c r="BN329" s="64">
        <f>IFERROR(Y329*I329/H329,"0")</f>
        <v>33.6</v>
      </c>
      <c r="BO329" s="64">
        <f>IFERROR(1/J329*(X329/H329),"0")</f>
        <v>6.0924369747899158E-2</v>
      </c>
      <c r="BP329" s="64">
        <f>IFERROR(1/J329*(Y329/H329),"0")</f>
        <v>6.3025210084033612E-2</v>
      </c>
    </row>
    <row r="330" spans="1:68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35.5</v>
      </c>
      <c r="Y330" s="543">
        <f>IFERROR(Y327/H327,"0")+IFERROR(Y328/H328,"0")+IFERROR(Y329/H329,"0")</f>
        <v>36</v>
      </c>
      <c r="Z330" s="543">
        <f>IFERROR(IF(Z327="",0,Z327),"0")+IFERROR(IF(Z328="",0,Z328),"0")+IFERROR(IF(Z329="",0,Z329),"0")</f>
        <v>0.17064000000000001</v>
      </c>
      <c r="AA330" s="544"/>
      <c r="AB330" s="544"/>
      <c r="AC330" s="544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71</v>
      </c>
      <c r="Y331" s="543">
        <f>IFERROR(SUM(Y327:Y329),"0")</f>
        <v>72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17</v>
      </c>
      <c r="Y334" s="542">
        <f>IFERROR(IF(X334="",0,CEILING((X334/$H334),1)*$H334),"")</f>
        <v>24.299999999999997</v>
      </c>
      <c r="Z334" s="36">
        <f>IFERROR(IF(Y334=0,"",ROUNDUP(Y334/H334,0)*0.01898),"")</f>
        <v>5.6940000000000004E-2</v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18.03679012345679</v>
      </c>
      <c r="BN334" s="64">
        <f>IFERROR(Y334*I334/H334,"0")</f>
        <v>25.781999999999996</v>
      </c>
      <c r="BO334" s="64">
        <f>IFERROR(1/J334*(X334/H334),"0")</f>
        <v>3.279320987654321E-2</v>
      </c>
      <c r="BP334" s="64">
        <f>IFERROR(1/J334*(Y334/H334),"0")</f>
        <v>4.6875E-2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2.0987654320987654</v>
      </c>
      <c r="Y337" s="543">
        <f>IFERROR(Y334/H334,"0")+IFERROR(Y335/H335,"0")+IFERROR(Y336/H336,"0")</f>
        <v>3</v>
      </c>
      <c r="Z337" s="543">
        <f>IFERROR(IF(Z334="",0,Z334),"0")+IFERROR(IF(Z335="",0,Z335),"0")+IFERROR(IF(Z336="",0,Z336),"0")</f>
        <v>5.6940000000000004E-2</v>
      </c>
      <c r="AA337" s="544"/>
      <c r="AB337" s="544"/>
      <c r="AC337" s="544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17</v>
      </c>
      <c r="Y338" s="543">
        <f>IFERROR(SUM(Y334:Y336),"0")</f>
        <v>24.299999999999997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575</v>
      </c>
      <c r="Y342" s="542">
        <f t="shared" ref="Y342:Y348" si="31">IFERROR(IF(X342="",0,CEILING((X342/$H342),1)*$H342),"")</f>
        <v>585</v>
      </c>
      <c r="Z342" s="36">
        <f>IFERROR(IF(Y342=0,"",ROUNDUP(Y342/H342,0)*0.02175),"")</f>
        <v>0.84824999999999995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593.01666666666665</v>
      </c>
      <c r="BN342" s="64">
        <f t="shared" ref="BN342:BN348" si="33">IFERROR(Y342*I342/H342,"0")</f>
        <v>603.33000000000004</v>
      </c>
      <c r="BO342" s="64">
        <f t="shared" ref="BO342:BO348" si="34">IFERROR(1/J342*(X342/H342),"0")</f>
        <v>0.79861111111111116</v>
      </c>
      <c r="BP342" s="64">
        <f t="shared" ref="BP342:BP348" si="35">IFERROR(1/J342*(Y342/H342),"0")</f>
        <v>0.8125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496</v>
      </c>
      <c r="Y343" s="542">
        <f t="shared" si="31"/>
        <v>510</v>
      </c>
      <c r="Z343" s="36">
        <f>IFERROR(IF(Y343=0,"",ROUNDUP(Y343/H343,0)*0.02175),"")</f>
        <v>0.73949999999999994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511.54133333333334</v>
      </c>
      <c r="BN343" s="64">
        <f t="shared" si="33"/>
        <v>525.98</v>
      </c>
      <c r="BO343" s="64">
        <f t="shared" si="34"/>
        <v>0.68888888888888888</v>
      </c>
      <c r="BP343" s="64">
        <f t="shared" si="35"/>
        <v>0.70833333333333326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740</v>
      </c>
      <c r="Y344" s="542">
        <f t="shared" si="31"/>
        <v>750</v>
      </c>
      <c r="Z344" s="36">
        <f>IFERROR(IF(Y344=0,"",ROUNDUP(Y344/H344,0)*0.02175),"")</f>
        <v>1.0874999999999999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763.18666666666672</v>
      </c>
      <c r="BN344" s="64">
        <f t="shared" si="33"/>
        <v>773.5</v>
      </c>
      <c r="BO344" s="64">
        <f t="shared" si="34"/>
        <v>1.0277777777777777</v>
      </c>
      <c r="BP344" s="64">
        <f t="shared" si="35"/>
        <v>1.0416666666666665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536</v>
      </c>
      <c r="Y345" s="542">
        <f t="shared" si="31"/>
        <v>540</v>
      </c>
      <c r="Z345" s="36">
        <f>IFERROR(IF(Y345=0,"",ROUNDUP(Y345/H345,0)*0.02175),"")</f>
        <v>0.78299999999999992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552.79466666666667</v>
      </c>
      <c r="BN345" s="64">
        <f t="shared" si="33"/>
        <v>556.92000000000007</v>
      </c>
      <c r="BO345" s="64">
        <f t="shared" si="34"/>
        <v>0.74444444444444446</v>
      </c>
      <c r="BP345" s="64">
        <f t="shared" si="35"/>
        <v>0.75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156.4666666666667</v>
      </c>
      <c r="Y349" s="543">
        <f>IFERROR(Y342/H342,"0")+IFERROR(Y343/H343,"0")+IFERROR(Y344/H344,"0")+IFERROR(Y345/H345,"0")+IFERROR(Y346/H346,"0")+IFERROR(Y347/H347,"0")+IFERROR(Y348/H348,"0")</f>
        <v>159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3.4582499999999996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2347</v>
      </c>
      <c r="Y350" s="543">
        <f>IFERROR(SUM(Y342:Y348),"0")</f>
        <v>2385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555</v>
      </c>
      <c r="Y352" s="542">
        <f>IFERROR(IF(X352="",0,CEILING((X352/$H352),1)*$H352),"")</f>
        <v>555</v>
      </c>
      <c r="Z352" s="36">
        <f>IFERROR(IF(Y352=0,"",ROUNDUP(Y352/H352,0)*0.02175),"")</f>
        <v>0.80474999999999997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572.39</v>
      </c>
      <c r="BN352" s="64">
        <f>IFERROR(Y352*I352/H352,"0")</f>
        <v>572.39</v>
      </c>
      <c r="BO352" s="64">
        <f>IFERROR(1/J352*(X352/H352),"0")</f>
        <v>0.77083333333333326</v>
      </c>
      <c r="BP352" s="64">
        <f>IFERROR(1/J352*(Y352/H352),"0")</f>
        <v>0.77083333333333326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37</v>
      </c>
      <c r="Y354" s="543">
        <f>IFERROR(Y352/H352,"0")+IFERROR(Y353/H353,"0")</f>
        <v>37</v>
      </c>
      <c r="Z354" s="543">
        <f>IFERROR(IF(Z352="",0,Z352),"0")+IFERROR(IF(Z353="",0,Z353),"0")</f>
        <v>0.80474999999999997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555</v>
      </c>
      <c r="Y355" s="543">
        <f>IFERROR(SUM(Y352:Y353),"0")</f>
        <v>555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23</v>
      </c>
      <c r="Y362" s="542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24.262444444444444</v>
      </c>
      <c r="BN362" s="64">
        <f>IFERROR(Y362*I362/H362,"0")</f>
        <v>28.481999999999996</v>
      </c>
      <c r="BO362" s="64">
        <f>IFERROR(1/J362*(X362/H362),"0")</f>
        <v>3.9930555555555552E-2</v>
      </c>
      <c r="BP362" s="64">
        <f>IFERROR(1/J362*(Y362/H362),"0")</f>
        <v>4.6875E-2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2.5555555555555554</v>
      </c>
      <c r="Y363" s="543">
        <f>IFERROR(Y362/H362,"0")</f>
        <v>3</v>
      </c>
      <c r="Z363" s="543">
        <f>IFERROR(IF(Z362="",0,Z362),"0")</f>
        <v>5.6940000000000004E-2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23</v>
      </c>
      <c r="Y364" s="543">
        <f>IFERROR(SUM(Y362:Y362),"0")</f>
        <v>27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28</v>
      </c>
      <c r="Y367" s="542">
        <f>IFERROR(IF(X367="",0,CEILING((X367/$H367),1)*$H367),"")</f>
        <v>36</v>
      </c>
      <c r="Z367" s="36">
        <f>IFERROR(IF(Y367=0,"",ROUNDUP(Y367/H367,0)*0.01898),"")</f>
        <v>5.6940000000000004E-2</v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28.956666666666667</v>
      </c>
      <c r="BN367" s="64">
        <f>IFERROR(Y367*I367/H367,"0")</f>
        <v>37.229999999999997</v>
      </c>
      <c r="BO367" s="64">
        <f>IFERROR(1/J367*(X367/H367),"0")</f>
        <v>3.6458333333333336E-2</v>
      </c>
      <c r="BP367" s="64">
        <f>IFERROR(1/J367*(Y367/H367),"0")</f>
        <v>4.6875E-2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2.3333333333333335</v>
      </c>
      <c r="Y369" s="543">
        <f>IFERROR(Y367/H367,"0")+IFERROR(Y368/H368,"0")</f>
        <v>3</v>
      </c>
      <c r="Z369" s="543">
        <f>IFERROR(IF(Z367="",0,Z367),"0")+IFERROR(IF(Z368="",0,Z368),"0")</f>
        <v>5.6940000000000004E-2</v>
      </c>
      <c r="AA369" s="544"/>
      <c r="AB369" s="544"/>
      <c r="AC369" s="544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28</v>
      </c>
      <c r="Y370" s="543">
        <f>IFERROR(SUM(Y367:Y368),"0")</f>
        <v>36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859</v>
      </c>
      <c r="Y377" s="542">
        <f>IFERROR(IF(X377="",0,CEILING((X377/$H377),1)*$H377),"")</f>
        <v>864</v>
      </c>
      <c r="Z377" s="36">
        <f>IFERROR(IF(Y377=0,"",ROUNDUP(Y377/H377,0)*0.01898),"")</f>
        <v>1.8220800000000001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906.14955555555548</v>
      </c>
      <c r="BN377" s="64">
        <f>IFERROR(Y377*I377/H377,"0")</f>
        <v>911.42399999999986</v>
      </c>
      <c r="BO377" s="64">
        <f>IFERROR(1/J377*(X377/H377),"0")</f>
        <v>1.4913194444444444</v>
      </c>
      <c r="BP377" s="64">
        <f>IFERROR(1/J377*(Y377/H377),"0")</f>
        <v>1.5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95.444444444444443</v>
      </c>
      <c r="Y380" s="543">
        <f>IFERROR(Y377/H377,"0")+IFERROR(Y378/H378,"0")+IFERROR(Y379/H379,"0")</f>
        <v>96</v>
      </c>
      <c r="Z380" s="543">
        <f>IFERROR(IF(Z377="",0,Z377),"0")+IFERROR(IF(Z378="",0,Z378),"0")+IFERROR(IF(Z379="",0,Z379),"0")</f>
        <v>1.8220800000000001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859</v>
      </c>
      <c r="Y381" s="543">
        <f>IFERROR(SUM(Y377:Y379),"0")</f>
        <v>864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200</v>
      </c>
      <c r="Y421" s="542">
        <f t="shared" ref="Y421:Y431" si="42">IFERROR(IF(X421="",0,CEILING((X421/$H421),1)*$H421),"")</f>
        <v>200.64000000000001</v>
      </c>
      <c r="Z421" s="36">
        <f t="shared" ref="Z421:Z426" si="43">IFERROR(IF(Y421=0,"",ROUNDUP(Y421/H421,0)*0.01196),"")</f>
        <v>0.45448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213.25757575757575</v>
      </c>
      <c r="BN421" s="64">
        <f t="shared" ref="BN421:BN431" si="45">IFERROR(Y421*I421/H421,"0")</f>
        <v>213.94</v>
      </c>
      <c r="BO421" s="64">
        <f t="shared" ref="BO421:BO431" si="46">IFERROR(1/J421*(X421/H421),"0")</f>
        <v>0.36421911421911418</v>
      </c>
      <c r="BP421" s="64">
        <f t="shared" ref="BP421:BP431" si="47">IFERROR(1/J421*(Y421/H421),"0")</f>
        <v>0.36538461538461542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134</v>
      </c>
      <c r="Y423" s="542">
        <f t="shared" si="42"/>
        <v>137.28</v>
      </c>
      <c r="Z423" s="36">
        <f t="shared" si="43"/>
        <v>0.31096000000000001</v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142.88257575757575</v>
      </c>
      <c r="BN423" s="64">
        <f t="shared" si="45"/>
        <v>146.38</v>
      </c>
      <c r="BO423" s="64">
        <f t="shared" si="46"/>
        <v>0.24402680652680653</v>
      </c>
      <c r="BP423" s="64">
        <f t="shared" si="47"/>
        <v>0.25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382</v>
      </c>
      <c r="Y424" s="542">
        <f t="shared" si="42"/>
        <v>385.44</v>
      </c>
      <c r="Z424" s="36">
        <f t="shared" si="43"/>
        <v>0.87307999999999997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407.32196969696963</v>
      </c>
      <c r="BN424" s="64">
        <f t="shared" si="45"/>
        <v>410.98999999999995</v>
      </c>
      <c r="BO424" s="64">
        <f t="shared" si="46"/>
        <v>0.69565850815850816</v>
      </c>
      <c r="BP424" s="64">
        <f t="shared" si="47"/>
        <v>0.70192307692307698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558</v>
      </c>
      <c r="Y426" s="542">
        <f t="shared" si="42"/>
        <v>559.68000000000006</v>
      </c>
      <c r="Z426" s="36">
        <f t="shared" si="43"/>
        <v>1.26776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594.98863636363637</v>
      </c>
      <c r="BN426" s="64">
        <f t="shared" si="45"/>
        <v>596.78000000000009</v>
      </c>
      <c r="BO426" s="64">
        <f t="shared" si="46"/>
        <v>1.0161713286713285</v>
      </c>
      <c r="BP426" s="64">
        <f t="shared" si="47"/>
        <v>1.0192307692307694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34</v>
      </c>
      <c r="Y428" s="542">
        <f t="shared" si="42"/>
        <v>38.4</v>
      </c>
      <c r="Z428" s="36">
        <f>IFERROR(IF(Y428=0,"",ROUNDUP(Y428/H428,0)*0.00902),"")</f>
        <v>7.2160000000000002E-2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48.945833333333333</v>
      </c>
      <c r="BN428" s="64">
        <f t="shared" si="45"/>
        <v>55.28</v>
      </c>
      <c r="BO428" s="64">
        <f t="shared" si="46"/>
        <v>5.3661616161616167E-2</v>
      </c>
      <c r="BP428" s="64">
        <f t="shared" si="47"/>
        <v>6.0606060606060608E-2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248.3712121212121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251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2.97844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1308</v>
      </c>
      <c r="Y433" s="543">
        <f>IFERROR(SUM(Y421:Y431),"0")</f>
        <v>1321.44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390</v>
      </c>
      <c r="Y435" s="542">
        <f>IFERROR(IF(X435="",0,CEILING((X435/$H435),1)*$H435),"")</f>
        <v>390.72</v>
      </c>
      <c r="Z435" s="36">
        <f>IFERROR(IF(Y435=0,"",ROUNDUP(Y435/H435,0)*0.01196),"")</f>
        <v>0.88504000000000005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415.85227272727269</v>
      </c>
      <c r="BN435" s="64">
        <f>IFERROR(Y435*I435/H435,"0")</f>
        <v>416.62</v>
      </c>
      <c r="BO435" s="64">
        <f>IFERROR(1/J435*(X435/H435),"0")</f>
        <v>0.71022727272727271</v>
      </c>
      <c r="BP435" s="64">
        <f>IFERROR(1/J435*(Y435/H435),"0")</f>
        <v>0.71153846153846156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55</v>
      </c>
      <c r="Y437" s="542">
        <f>IFERROR(IF(X437="",0,CEILING((X437/$H437),1)*$H437),"")</f>
        <v>57.599999999999994</v>
      </c>
      <c r="Z437" s="36">
        <f>IFERROR(IF(Y437=0,"",ROUNDUP(Y437/H437,0)*0.00902),"")</f>
        <v>0.10824</v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79.177083333333343</v>
      </c>
      <c r="BN437" s="64">
        <f>IFERROR(Y437*I437/H437,"0")</f>
        <v>82.92</v>
      </c>
      <c r="BO437" s="64">
        <f>IFERROR(1/J437*(X437/H437),"0")</f>
        <v>8.6805555555555566E-2</v>
      </c>
      <c r="BP437" s="64">
        <f>IFERROR(1/J437*(Y437/H437),"0")</f>
        <v>9.0909090909090912E-2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85.321969696969688</v>
      </c>
      <c r="Y438" s="543">
        <f>IFERROR(Y435/H435,"0")+IFERROR(Y436/H436,"0")+IFERROR(Y437/H437,"0")</f>
        <v>86</v>
      </c>
      <c r="Z438" s="543">
        <f>IFERROR(IF(Z435="",0,Z435),"0")+IFERROR(IF(Z436="",0,Z436),"0")+IFERROR(IF(Z437="",0,Z437),"0")</f>
        <v>0.99328000000000005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445</v>
      </c>
      <c r="Y439" s="543">
        <f>IFERROR(SUM(Y435:Y437),"0")</f>
        <v>448.32000000000005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69</v>
      </c>
      <c r="Y441" s="542">
        <f t="shared" ref="Y441:Y446" si="48">IFERROR(IF(X441="",0,CEILING((X441/$H441),1)*$H441),"")</f>
        <v>73.92</v>
      </c>
      <c r="Z441" s="36">
        <f>IFERROR(IF(Y441=0,"",ROUNDUP(Y441/H441,0)*0.01196),"")</f>
        <v>0.16744000000000001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73.573863636363626</v>
      </c>
      <c r="BN441" s="64">
        <f t="shared" ref="BN441:BN446" si="50">IFERROR(Y441*I441/H441,"0")</f>
        <v>78.819999999999993</v>
      </c>
      <c r="BO441" s="64">
        <f t="shared" ref="BO441:BO446" si="51">IFERROR(1/J441*(X441/H441),"0")</f>
        <v>0.1256555944055944</v>
      </c>
      <c r="BP441" s="64">
        <f t="shared" ref="BP441:BP446" si="52">IFERROR(1/J441*(Y441/H441),"0")</f>
        <v>0.13461538461538464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159</v>
      </c>
      <c r="Y442" s="542">
        <f t="shared" si="48"/>
        <v>163.68</v>
      </c>
      <c r="Z442" s="36">
        <f>IFERROR(IF(Y442=0,"",ROUNDUP(Y442/H442,0)*0.01196),"")</f>
        <v>0.37075999999999998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169.53977272727272</v>
      </c>
      <c r="BN442" s="64">
        <f t="shared" si="50"/>
        <v>174.53</v>
      </c>
      <c r="BO442" s="64">
        <f t="shared" si="51"/>
        <v>0.28955419580419584</v>
      </c>
      <c r="BP442" s="64">
        <f t="shared" si="52"/>
        <v>0.29807692307692307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213</v>
      </c>
      <c r="Y443" s="542">
        <f t="shared" si="48"/>
        <v>216.48000000000002</v>
      </c>
      <c r="Z443" s="36">
        <f>IFERROR(IF(Y443=0,"",ROUNDUP(Y443/H443,0)*0.01196),"")</f>
        <v>0.49036000000000002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227.11931818181819</v>
      </c>
      <c r="BN443" s="64">
        <f t="shared" si="50"/>
        <v>230.83</v>
      </c>
      <c r="BO443" s="64">
        <f t="shared" si="51"/>
        <v>0.38789335664335661</v>
      </c>
      <c r="BP443" s="64">
        <f t="shared" si="52"/>
        <v>0.39423076923076927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83.522727272727266</v>
      </c>
      <c r="Y447" s="543">
        <f>IFERROR(Y441/H441,"0")+IFERROR(Y442/H442,"0")+IFERROR(Y443/H443,"0")+IFERROR(Y444/H444,"0")+IFERROR(Y445/H445,"0")+IFERROR(Y446/H446,"0")</f>
        <v>86</v>
      </c>
      <c r="Z447" s="543">
        <f>IFERROR(IF(Z441="",0,Z441),"0")+IFERROR(IF(Z442="",0,Z442),"0")+IFERROR(IF(Z443="",0,Z443),"0")+IFERROR(IF(Z444="",0,Z444),"0")+IFERROR(IF(Z445="",0,Z445),"0")+IFERROR(IF(Z446="",0,Z446),"0")</f>
        <v>1.0285600000000001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441</v>
      </c>
      <c r="Y448" s="543">
        <f>IFERROR(SUM(Y441:Y446),"0")</f>
        <v>454.08000000000004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16042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16242.33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16998.864608368698</v>
      </c>
      <c r="Y490" s="543">
        <f>IFERROR(SUM(BN22:BN486),"0")</f>
        <v>17213.192000000003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29</v>
      </c>
      <c r="Y491" s="38">
        <f>ROUNDUP(SUM(BP22:BP486),0)</f>
        <v>29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17723.864608368698</v>
      </c>
      <c r="Y492" s="543">
        <f>GrossWeightTotalR+PalletQtyTotalR*25</f>
        <v>17938.192000000003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3204.9238436982191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3242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33.796210000000002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875.00000000000011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920.00000000000011</v>
      </c>
      <c r="E499" s="46">
        <f>IFERROR(Y85*1,"0")+IFERROR(Y86*1,"0")+IFERROR(Y87*1,"0")+IFERROR(Y91*1,"0")+IFERROR(Y92*1,"0")+IFERROR(Y93*1,"0")+IFERROR(Y94*1,"0")</f>
        <v>862.19999999999993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1431.6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839.94000000000017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3561.0000000000005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213.95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271.2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1152.3000000000002</v>
      </c>
      <c r="R499" s="46">
        <f>IFERROR(Y334*1,"0")+IFERROR(Y335*1,"0")+IFERROR(Y336*1,"0")</f>
        <v>24.299999999999997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2967</v>
      </c>
      <c r="T499" s="46">
        <f>IFERROR(Y367*1,"0")+IFERROR(Y368*1,"0")+IFERROR(Y372*1,"0")+IFERROR(Y373*1,"0")+IFERROR(Y377*1,"0")+IFERROR(Y378*1,"0")+IFERROR(Y379*1,"0")</f>
        <v>900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2223.84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8,00"/>
        <filter val="1 472,00"/>
        <filter val="10,00"/>
        <filter val="100,00"/>
        <filter val="105,35"/>
        <filter val="11,00"/>
        <filter val="112,08"/>
        <filter val="116,00"/>
        <filter val="119,00"/>
        <filter val="123,94"/>
        <filter val="132,00"/>
        <filter val="134,00"/>
        <filter val="137,00"/>
        <filter val="139,00"/>
        <filter val="14,00"/>
        <filter val="146,00"/>
        <filter val="147,00"/>
        <filter val="15,00"/>
        <filter val="15,35"/>
        <filter val="15,78"/>
        <filter val="151,00"/>
        <filter val="156,47"/>
        <filter val="159,00"/>
        <filter val="16 042,00"/>
        <filter val="16 998,86"/>
        <filter val="16,86"/>
        <filter val="162,00"/>
        <filter val="167,00"/>
        <filter val="169,14"/>
        <filter val="17 723,86"/>
        <filter val="17,00"/>
        <filter val="174,00"/>
        <filter val="177,00"/>
        <filter val="179,00"/>
        <filter val="183,00"/>
        <filter val="19,00"/>
        <filter val="19,17"/>
        <filter val="19,84"/>
        <filter val="2 014,00"/>
        <filter val="2 347,00"/>
        <filter val="2,00"/>
        <filter val="2,10"/>
        <filter val="2,33"/>
        <filter val="2,56"/>
        <filter val="20,00"/>
        <filter val="200,00"/>
        <filter val="21,11"/>
        <filter val="21,51"/>
        <filter val="210,00"/>
        <filter val="213,00"/>
        <filter val="22,00"/>
        <filter val="23,00"/>
        <filter val="236,00"/>
        <filter val="239,00"/>
        <filter val="24,00"/>
        <filter val="248,37"/>
        <filter val="25,00"/>
        <filter val="252,00"/>
        <filter val="261,00"/>
        <filter val="263,33"/>
        <filter val="269,00"/>
        <filter val="28,00"/>
        <filter val="280,00"/>
        <filter val="29"/>
        <filter val="29,00"/>
        <filter val="296,00"/>
        <filter val="3 204,92"/>
        <filter val="300,00"/>
        <filter val="32,87"/>
        <filter val="34,00"/>
        <filter val="35,50"/>
        <filter val="350,37"/>
        <filter val="355,00"/>
        <filter val="36,00"/>
        <filter val="37,00"/>
        <filter val="38,00"/>
        <filter val="382,00"/>
        <filter val="386,00"/>
        <filter val="39,00"/>
        <filter val="39,52"/>
        <filter val="390,00"/>
        <filter val="401,00"/>
        <filter val="415,00"/>
        <filter val="42,00"/>
        <filter val="43,00"/>
        <filter val="433,00"/>
        <filter val="435,00"/>
        <filter val="441,00"/>
        <filter val="445,00"/>
        <filter val="46,00"/>
        <filter val="479,00"/>
        <filter val="496,00"/>
        <filter val="5,00"/>
        <filter val="5,56"/>
        <filter val="536,00"/>
        <filter val="55,00"/>
        <filter val="555,00"/>
        <filter val="558,00"/>
        <filter val="568,00"/>
        <filter val="575,00"/>
        <filter val="638,00"/>
        <filter val="66,00"/>
        <filter val="67,00"/>
        <filter val="69,00"/>
        <filter val="69,02"/>
        <filter val="7,94"/>
        <filter val="71,00"/>
        <filter val="716,00"/>
        <filter val="721,00"/>
        <filter val="732,00"/>
        <filter val="740,00"/>
        <filter val="75,83"/>
        <filter val="77,00"/>
        <filter val="791,99"/>
        <filter val="796,00"/>
        <filter val="8,00"/>
        <filter val="83,52"/>
        <filter val="845,00"/>
        <filter val="85,32"/>
        <filter val="859,00"/>
        <filter val="871,00"/>
        <filter val="88,02"/>
        <filter val="91,74"/>
        <filter val="93,00"/>
        <filter val="95,44"/>
        <filter val="986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1 X423:X424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