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62EA17E-EC6E-49CB-9B24-1F50ECBBAAF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Z500" i="1" s="1"/>
  <c r="P487" i="1"/>
  <c r="X484" i="1"/>
  <c r="X483" i="1"/>
  <c r="BO482" i="1"/>
  <c r="BM482" i="1"/>
  <c r="Y482" i="1"/>
  <c r="BP482" i="1" s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W500" i="1" s="1"/>
  <c r="P416" i="1"/>
  <c r="X413" i="1"/>
  <c r="X412" i="1"/>
  <c r="BO411" i="1"/>
  <c r="BM411" i="1"/>
  <c r="Y411" i="1"/>
  <c r="BP411" i="1" s="1"/>
  <c r="P411" i="1"/>
  <c r="BP410" i="1"/>
  <c r="BO410" i="1"/>
  <c r="BN410" i="1"/>
  <c r="BM410" i="1"/>
  <c r="Z410" i="1"/>
  <c r="Y410" i="1"/>
  <c r="P410" i="1"/>
  <c r="BO409" i="1"/>
  <c r="BM409" i="1"/>
  <c r="Y409" i="1"/>
  <c r="BP409" i="1" s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Y401" i="1" s="1"/>
  <c r="P398" i="1"/>
  <c r="X396" i="1"/>
  <c r="X395" i="1"/>
  <c r="BO394" i="1"/>
  <c r="BM394" i="1"/>
  <c r="Y394" i="1"/>
  <c r="BP394" i="1" s="1"/>
  <c r="P394" i="1"/>
  <c r="BO393" i="1"/>
  <c r="BM393" i="1"/>
  <c r="Y393" i="1"/>
  <c r="P393" i="1"/>
  <c r="BO392" i="1"/>
  <c r="BM392" i="1"/>
  <c r="Y392" i="1"/>
  <c r="BP392" i="1" s="1"/>
  <c r="P392" i="1"/>
  <c r="BP391" i="1"/>
  <c r="BO391" i="1"/>
  <c r="BN391" i="1"/>
  <c r="BM391" i="1"/>
  <c r="Z391" i="1"/>
  <c r="Y391" i="1"/>
  <c r="P391" i="1"/>
  <c r="BO390" i="1"/>
  <c r="BM390" i="1"/>
  <c r="Y390" i="1"/>
  <c r="BP390" i="1" s="1"/>
  <c r="P390" i="1"/>
  <c r="BO389" i="1"/>
  <c r="BM389" i="1"/>
  <c r="Y389" i="1"/>
  <c r="P389" i="1"/>
  <c r="BO388" i="1"/>
  <c r="BM388" i="1"/>
  <c r="Y388" i="1"/>
  <c r="BP388" i="1" s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BP380" i="1" s="1"/>
  <c r="BO379" i="1"/>
  <c r="BM379" i="1"/>
  <c r="Y379" i="1"/>
  <c r="BP379" i="1" s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Y376" i="1" s="1"/>
  <c r="P373" i="1"/>
  <c r="X371" i="1"/>
  <c r="X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Y361" i="1" s="1"/>
  <c r="P358" i="1"/>
  <c r="X356" i="1"/>
  <c r="X355" i="1"/>
  <c r="BO354" i="1"/>
  <c r="BM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BP346" i="1" s="1"/>
  <c r="P346" i="1"/>
  <c r="BO345" i="1"/>
  <c r="BM345" i="1"/>
  <c r="Y345" i="1"/>
  <c r="P345" i="1"/>
  <c r="BO344" i="1"/>
  <c r="BM344" i="1"/>
  <c r="Y344" i="1"/>
  <c r="BP344" i="1" s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X319" i="1"/>
  <c r="X318" i="1"/>
  <c r="BO317" i="1"/>
  <c r="BM317" i="1"/>
  <c r="Y317" i="1"/>
  <c r="BP317" i="1" s="1"/>
  <c r="P317" i="1"/>
  <c r="BO316" i="1"/>
  <c r="BM316" i="1"/>
  <c r="Y316" i="1"/>
  <c r="P316" i="1"/>
  <c r="BO315" i="1"/>
  <c r="BM315" i="1"/>
  <c r="Y315" i="1"/>
  <c r="Y318" i="1" s="1"/>
  <c r="P315" i="1"/>
  <c r="X313" i="1"/>
  <c r="X312" i="1"/>
  <c r="BO311" i="1"/>
  <c r="BM311" i="1"/>
  <c r="Y311" i="1"/>
  <c r="BP311" i="1" s="1"/>
  <c r="P311" i="1"/>
  <c r="BO310" i="1"/>
  <c r="BM310" i="1"/>
  <c r="Y310" i="1"/>
  <c r="P310" i="1"/>
  <c r="BO309" i="1"/>
  <c r="BM309" i="1"/>
  <c r="Y309" i="1"/>
  <c r="BP309" i="1" s="1"/>
  <c r="P309" i="1"/>
  <c r="BO308" i="1"/>
  <c r="BM308" i="1"/>
  <c r="Y308" i="1"/>
  <c r="P308" i="1"/>
  <c r="X306" i="1"/>
  <c r="X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BP246" i="1" s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BP199" i="1" s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O163" i="1"/>
  <c r="BM163" i="1"/>
  <c r="Y163" i="1"/>
  <c r="P163" i="1"/>
  <c r="BO162" i="1"/>
  <c r="BM162" i="1"/>
  <c r="Y162" i="1"/>
  <c r="BP162" i="1" s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P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1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A9" i="1"/>
  <c r="F10" i="1" s="1"/>
  <c r="D7" i="1"/>
  <c r="Q6" i="1"/>
  <c r="P2" i="1"/>
  <c r="BP79" i="1" l="1"/>
  <c r="BN79" i="1"/>
  <c r="Z79" i="1"/>
  <c r="BP115" i="1"/>
  <c r="BN115" i="1"/>
  <c r="Z115" i="1"/>
  <c r="BP163" i="1"/>
  <c r="BN163" i="1"/>
  <c r="Z163" i="1"/>
  <c r="BP176" i="1"/>
  <c r="BN176" i="1"/>
  <c r="Z176" i="1"/>
  <c r="BP208" i="1"/>
  <c r="BN208" i="1"/>
  <c r="Z208" i="1"/>
  <c r="BP231" i="1"/>
  <c r="BN231" i="1"/>
  <c r="Z231" i="1"/>
  <c r="BP263" i="1"/>
  <c r="BN263" i="1"/>
  <c r="Z263" i="1"/>
  <c r="BP300" i="1"/>
  <c r="BN300" i="1"/>
  <c r="Z300" i="1"/>
  <c r="BP328" i="1"/>
  <c r="BN328" i="1"/>
  <c r="Z328" i="1"/>
  <c r="BP353" i="1"/>
  <c r="BN353" i="1"/>
  <c r="Z353" i="1"/>
  <c r="BP387" i="1"/>
  <c r="BN387" i="1"/>
  <c r="Z387" i="1"/>
  <c r="BP425" i="1"/>
  <c r="BN425" i="1"/>
  <c r="Z425" i="1"/>
  <c r="BP451" i="1"/>
  <c r="BN451" i="1"/>
  <c r="Z451" i="1"/>
  <c r="Z30" i="1"/>
  <c r="BN30" i="1"/>
  <c r="Z53" i="1"/>
  <c r="BN53" i="1"/>
  <c r="BP61" i="1"/>
  <c r="BN61" i="1"/>
  <c r="Z61" i="1"/>
  <c r="BP99" i="1"/>
  <c r="BN99" i="1"/>
  <c r="Z99" i="1"/>
  <c r="BP141" i="1"/>
  <c r="BN141" i="1"/>
  <c r="Z141" i="1"/>
  <c r="BP166" i="1"/>
  <c r="BN166" i="1"/>
  <c r="Z166" i="1"/>
  <c r="BP198" i="1"/>
  <c r="BN198" i="1"/>
  <c r="Z198" i="1"/>
  <c r="BP218" i="1"/>
  <c r="BN218" i="1"/>
  <c r="Z218" i="1"/>
  <c r="BP249" i="1"/>
  <c r="BN249" i="1"/>
  <c r="Z249" i="1"/>
  <c r="BP290" i="1"/>
  <c r="BN290" i="1"/>
  <c r="Z290" i="1"/>
  <c r="BP310" i="1"/>
  <c r="BN310" i="1"/>
  <c r="Z310" i="1"/>
  <c r="BP343" i="1"/>
  <c r="BN343" i="1"/>
  <c r="Z343" i="1"/>
  <c r="BP378" i="1"/>
  <c r="BN378" i="1"/>
  <c r="Z378" i="1"/>
  <c r="BP399" i="1"/>
  <c r="BN399" i="1"/>
  <c r="Z399" i="1"/>
  <c r="BP437" i="1"/>
  <c r="BN437" i="1"/>
  <c r="Z437" i="1"/>
  <c r="BP473" i="1"/>
  <c r="BN473" i="1"/>
  <c r="Z473" i="1"/>
  <c r="Y82" i="1"/>
  <c r="E500" i="1"/>
  <c r="Y104" i="1"/>
  <c r="Y221" i="1"/>
  <c r="Y136" i="1"/>
  <c r="BP134" i="1"/>
  <c r="Y153" i="1"/>
  <c r="Y152" i="1"/>
  <c r="BP151" i="1"/>
  <c r="BN151" i="1"/>
  <c r="Z151" i="1"/>
  <c r="Z152" i="1" s="1"/>
  <c r="Y158" i="1"/>
  <c r="BP157" i="1"/>
  <c r="BN157" i="1"/>
  <c r="Z157" i="1"/>
  <c r="Z158" i="1" s="1"/>
  <c r="Y171" i="1"/>
  <c r="BP161" i="1"/>
  <c r="BN161" i="1"/>
  <c r="Z161" i="1"/>
  <c r="Y178" i="1"/>
  <c r="BP174" i="1"/>
  <c r="BN174" i="1"/>
  <c r="Z174" i="1"/>
  <c r="BP196" i="1"/>
  <c r="BN196" i="1"/>
  <c r="Z196" i="1"/>
  <c r="Y215" i="1"/>
  <c r="BP206" i="1"/>
  <c r="BN206" i="1"/>
  <c r="Z206" i="1"/>
  <c r="BP214" i="1"/>
  <c r="BN214" i="1"/>
  <c r="Z214" i="1"/>
  <c r="BP229" i="1"/>
  <c r="BN229" i="1"/>
  <c r="Z229" i="1"/>
  <c r="BP247" i="1"/>
  <c r="BN247" i="1"/>
  <c r="Z247" i="1"/>
  <c r="BP258" i="1"/>
  <c r="BN258" i="1"/>
  <c r="Z258" i="1"/>
  <c r="BP279" i="1"/>
  <c r="BN279" i="1"/>
  <c r="Z279" i="1"/>
  <c r="BP283" i="1"/>
  <c r="BN283" i="1"/>
  <c r="Z283" i="1"/>
  <c r="X494" i="1"/>
  <c r="X490" i="1"/>
  <c r="Y32" i="1"/>
  <c r="Z28" i="1"/>
  <c r="BN28" i="1"/>
  <c r="Z34" i="1"/>
  <c r="Z35" i="1" s="1"/>
  <c r="BN34" i="1"/>
  <c r="BP34" i="1"/>
  <c r="Y35" i="1"/>
  <c r="Z40" i="1"/>
  <c r="BN40" i="1"/>
  <c r="Y43" i="1"/>
  <c r="Z46" i="1"/>
  <c r="Z47" i="1" s="1"/>
  <c r="BN46" i="1"/>
  <c r="BP46" i="1"/>
  <c r="Y47" i="1"/>
  <c r="Z51" i="1"/>
  <c r="BN51" i="1"/>
  <c r="Y58" i="1"/>
  <c r="Z55" i="1"/>
  <c r="BN55" i="1"/>
  <c r="Y64" i="1"/>
  <c r="Z67" i="1"/>
  <c r="BN67" i="1"/>
  <c r="Y76" i="1"/>
  <c r="Z75" i="1"/>
  <c r="BN75" i="1"/>
  <c r="Y81" i="1"/>
  <c r="Z86" i="1"/>
  <c r="BN86" i="1"/>
  <c r="Y95" i="1"/>
  <c r="Z94" i="1"/>
  <c r="BN94" i="1"/>
  <c r="Z101" i="1"/>
  <c r="BN101" i="1"/>
  <c r="Y110" i="1"/>
  <c r="Z113" i="1"/>
  <c r="BN113" i="1"/>
  <c r="Z119" i="1"/>
  <c r="Z120" i="1" s="1"/>
  <c r="BN119" i="1"/>
  <c r="BP119" i="1"/>
  <c r="Y120" i="1"/>
  <c r="Z124" i="1"/>
  <c r="BN124" i="1"/>
  <c r="Y127" i="1"/>
  <c r="Z134" i="1"/>
  <c r="BN134" i="1"/>
  <c r="Y149" i="1"/>
  <c r="BP145" i="1"/>
  <c r="BN145" i="1"/>
  <c r="Z145" i="1"/>
  <c r="BP168" i="1"/>
  <c r="BN168" i="1"/>
  <c r="Z168" i="1"/>
  <c r="Y182" i="1"/>
  <c r="Y181" i="1"/>
  <c r="BP180" i="1"/>
  <c r="BN180" i="1"/>
  <c r="Z180" i="1"/>
  <c r="Z181" i="1" s="1"/>
  <c r="BP185" i="1"/>
  <c r="BN185" i="1"/>
  <c r="Z185" i="1"/>
  <c r="BP200" i="1"/>
  <c r="BN200" i="1"/>
  <c r="Z200" i="1"/>
  <c r="BP210" i="1"/>
  <c r="BN210" i="1"/>
  <c r="Z210" i="1"/>
  <c r="K500" i="1"/>
  <c r="BP225" i="1"/>
  <c r="BN225" i="1"/>
  <c r="Z225" i="1"/>
  <c r="BP233" i="1"/>
  <c r="BN233" i="1"/>
  <c r="Z233" i="1"/>
  <c r="BP254" i="1"/>
  <c r="BN254" i="1"/>
  <c r="Z254" i="1"/>
  <c r="BP265" i="1"/>
  <c r="BN265" i="1"/>
  <c r="Z265" i="1"/>
  <c r="BP292" i="1"/>
  <c r="BN292" i="1"/>
  <c r="Z292" i="1"/>
  <c r="BP302" i="1"/>
  <c r="BN302" i="1"/>
  <c r="Z302" i="1"/>
  <c r="BP316" i="1"/>
  <c r="BN316" i="1"/>
  <c r="Z316" i="1"/>
  <c r="BP330" i="1"/>
  <c r="BN330" i="1"/>
  <c r="Z330" i="1"/>
  <c r="BP345" i="1"/>
  <c r="BN345" i="1"/>
  <c r="Z345" i="1"/>
  <c r="BP359" i="1"/>
  <c r="BN359" i="1"/>
  <c r="Z359" i="1"/>
  <c r="BP389" i="1"/>
  <c r="BN389" i="1"/>
  <c r="Z389" i="1"/>
  <c r="Y405" i="1"/>
  <c r="BP404" i="1"/>
  <c r="BN404" i="1"/>
  <c r="Z404" i="1"/>
  <c r="Z405" i="1" s="1"/>
  <c r="Y412" i="1"/>
  <c r="BP408" i="1"/>
  <c r="BN408" i="1"/>
  <c r="Z408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Y137" i="1"/>
  <c r="H500" i="1"/>
  <c r="Y148" i="1"/>
  <c r="Y177" i="1"/>
  <c r="Y192" i="1"/>
  <c r="Y220" i="1"/>
  <c r="Y250" i="1"/>
  <c r="Y275" i="1"/>
  <c r="Y306" i="1"/>
  <c r="BP298" i="1"/>
  <c r="BN298" i="1"/>
  <c r="Z298" i="1"/>
  <c r="Y312" i="1"/>
  <c r="BP308" i="1"/>
  <c r="BN308" i="1"/>
  <c r="Z308" i="1"/>
  <c r="BP324" i="1"/>
  <c r="BN324" i="1"/>
  <c r="Z324" i="1"/>
  <c r="BP337" i="1"/>
  <c r="BN337" i="1"/>
  <c r="Z337" i="1"/>
  <c r="BP349" i="1"/>
  <c r="BN349" i="1"/>
  <c r="Z349" i="1"/>
  <c r="BP374" i="1"/>
  <c r="BN374" i="1"/>
  <c r="Z374" i="1"/>
  <c r="BP393" i="1"/>
  <c r="BN393" i="1"/>
  <c r="Z393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Y326" i="1"/>
  <c r="Y332" i="1"/>
  <c r="Y355" i="1"/>
  <c r="Y381" i="1"/>
  <c r="U500" i="1"/>
  <c r="Y455" i="1"/>
  <c r="Y454" i="1"/>
  <c r="H9" i="1"/>
  <c r="A10" i="1"/>
  <c r="B500" i="1"/>
  <c r="X491" i="1"/>
  <c r="X492" i="1"/>
  <c r="Y24" i="1"/>
  <c r="Z27" i="1"/>
  <c r="BN27" i="1"/>
  <c r="BP27" i="1"/>
  <c r="Z29" i="1"/>
  <c r="BN29" i="1"/>
  <c r="C500" i="1"/>
  <c r="Z41" i="1"/>
  <c r="Z43" i="1" s="1"/>
  <c r="BN41" i="1"/>
  <c r="BP41" i="1"/>
  <c r="Y44" i="1"/>
  <c r="D500" i="1"/>
  <c r="Z52" i="1"/>
  <c r="BN52" i="1"/>
  <c r="BP52" i="1"/>
  <c r="Z54" i="1"/>
  <c r="BN54" i="1"/>
  <c r="Z56" i="1"/>
  <c r="BN56" i="1"/>
  <c r="Y57" i="1"/>
  <c r="Z60" i="1"/>
  <c r="BN60" i="1"/>
  <c r="BP60" i="1"/>
  <c r="Z62" i="1"/>
  <c r="BN62" i="1"/>
  <c r="Y63" i="1"/>
  <c r="Z66" i="1"/>
  <c r="BN66" i="1"/>
  <c r="BP66" i="1"/>
  <c r="Z68" i="1"/>
  <c r="BN68" i="1"/>
  <c r="Y69" i="1"/>
  <c r="Z72" i="1"/>
  <c r="BN72" i="1"/>
  <c r="BP72" i="1"/>
  <c r="Z74" i="1"/>
  <c r="BN74" i="1"/>
  <c r="Y77" i="1"/>
  <c r="Z80" i="1"/>
  <c r="Z81" i="1" s="1"/>
  <c r="BN80" i="1"/>
  <c r="BP80" i="1"/>
  <c r="Z85" i="1"/>
  <c r="BN85" i="1"/>
  <c r="BP85" i="1"/>
  <c r="Z87" i="1"/>
  <c r="BN87" i="1"/>
  <c r="Y88" i="1"/>
  <c r="Z91" i="1"/>
  <c r="BN91" i="1"/>
  <c r="BP91" i="1"/>
  <c r="Z93" i="1"/>
  <c r="BN93" i="1"/>
  <c r="Y96" i="1"/>
  <c r="F500" i="1"/>
  <c r="Z100" i="1"/>
  <c r="BN100" i="1"/>
  <c r="BP100" i="1"/>
  <c r="Z102" i="1"/>
  <c r="BN102" i="1"/>
  <c r="Y103" i="1"/>
  <c r="Z106" i="1"/>
  <c r="BN106" i="1"/>
  <c r="BP106" i="1"/>
  <c r="Z108" i="1"/>
  <c r="BN108" i="1"/>
  <c r="Y109" i="1"/>
  <c r="Z112" i="1"/>
  <c r="BN112" i="1"/>
  <c r="BP112" i="1"/>
  <c r="Z114" i="1"/>
  <c r="BN114" i="1"/>
  <c r="Y117" i="1"/>
  <c r="G500" i="1"/>
  <c r="Z125" i="1"/>
  <c r="BN125" i="1"/>
  <c r="BP125" i="1"/>
  <c r="Y126" i="1"/>
  <c r="Z129" i="1"/>
  <c r="Z131" i="1" s="1"/>
  <c r="BN129" i="1"/>
  <c r="BP129" i="1"/>
  <c r="Y132" i="1"/>
  <c r="Z135" i="1"/>
  <c r="Z136" i="1" s="1"/>
  <c r="BN135" i="1"/>
  <c r="BP135" i="1"/>
  <c r="Z140" i="1"/>
  <c r="Z142" i="1" s="1"/>
  <c r="BN140" i="1"/>
  <c r="BP140" i="1"/>
  <c r="Y143" i="1"/>
  <c r="Z146" i="1"/>
  <c r="Z148" i="1" s="1"/>
  <c r="BN146" i="1"/>
  <c r="BP146" i="1"/>
  <c r="I500" i="1"/>
  <c r="Y159" i="1"/>
  <c r="Z162" i="1"/>
  <c r="BN162" i="1"/>
  <c r="Z164" i="1"/>
  <c r="BN164" i="1"/>
  <c r="Z165" i="1"/>
  <c r="BN165" i="1"/>
  <c r="Z167" i="1"/>
  <c r="BN167" i="1"/>
  <c r="Z169" i="1"/>
  <c r="BN169" i="1"/>
  <c r="Y172" i="1"/>
  <c r="Z175" i="1"/>
  <c r="Z177" i="1" s="1"/>
  <c r="BN175" i="1"/>
  <c r="BP175" i="1"/>
  <c r="J500" i="1"/>
  <c r="Y188" i="1"/>
  <c r="Z186" i="1"/>
  <c r="BN186" i="1"/>
  <c r="Y187" i="1"/>
  <c r="BP191" i="1"/>
  <c r="BN191" i="1"/>
  <c r="Z191" i="1"/>
  <c r="Z192" i="1" s="1"/>
  <c r="Y193" i="1"/>
  <c r="Y203" i="1"/>
  <c r="Y204" i="1"/>
  <c r="BP195" i="1"/>
  <c r="BN195" i="1"/>
  <c r="Z195" i="1"/>
  <c r="F9" i="1"/>
  <c r="J9" i="1"/>
  <c r="Y89" i="1"/>
  <c r="Y142" i="1"/>
  <c r="Z187" i="1"/>
  <c r="BP197" i="1"/>
  <c r="BN197" i="1"/>
  <c r="Z197" i="1"/>
  <c r="Z199" i="1"/>
  <c r="BN199" i="1"/>
  <c r="Z201" i="1"/>
  <c r="BN201" i="1"/>
  <c r="Z207" i="1"/>
  <c r="BN207" i="1"/>
  <c r="Z209" i="1"/>
  <c r="BN209" i="1"/>
  <c r="Z211" i="1"/>
  <c r="BN211" i="1"/>
  <c r="Z213" i="1"/>
  <c r="BN213" i="1"/>
  <c r="Y216" i="1"/>
  <c r="Z219" i="1"/>
  <c r="Z220" i="1" s="1"/>
  <c r="BN219" i="1"/>
  <c r="BP219" i="1"/>
  <c r="Z224" i="1"/>
  <c r="BN224" i="1"/>
  <c r="BP224" i="1"/>
  <c r="Z226" i="1"/>
  <c r="BN226" i="1"/>
  <c r="Z228" i="1"/>
  <c r="BN228" i="1"/>
  <c r="Z230" i="1"/>
  <c r="BN230" i="1"/>
  <c r="Z232" i="1"/>
  <c r="BN232" i="1"/>
  <c r="Y235" i="1"/>
  <c r="Z246" i="1"/>
  <c r="BN246" i="1"/>
  <c r="Z248" i="1"/>
  <c r="BN248" i="1"/>
  <c r="Y251" i="1"/>
  <c r="L500" i="1"/>
  <c r="Y260" i="1"/>
  <c r="Z255" i="1"/>
  <c r="BN255" i="1"/>
  <c r="Z257" i="1"/>
  <c r="BN257" i="1"/>
  <c r="BP264" i="1"/>
  <c r="BN264" i="1"/>
  <c r="Z264" i="1"/>
  <c r="BP273" i="1"/>
  <c r="BN273" i="1"/>
  <c r="Z273" i="1"/>
  <c r="P500" i="1"/>
  <c r="Y281" i="1"/>
  <c r="BP278" i="1"/>
  <c r="BN278" i="1"/>
  <c r="Z278" i="1"/>
  <c r="Z280" i="1" s="1"/>
  <c r="Y285" i="1"/>
  <c r="BP291" i="1"/>
  <c r="BN291" i="1"/>
  <c r="Z291" i="1"/>
  <c r="Y234" i="1"/>
  <c r="Y259" i="1"/>
  <c r="BP266" i="1"/>
  <c r="BN266" i="1"/>
  <c r="Z266" i="1"/>
  <c r="Y268" i="1"/>
  <c r="O500" i="1"/>
  <c r="Y274" i="1"/>
  <c r="BP271" i="1"/>
  <c r="BN271" i="1"/>
  <c r="Z271" i="1"/>
  <c r="Z274" i="1" s="1"/>
  <c r="BP284" i="1"/>
  <c r="BN284" i="1"/>
  <c r="Z284" i="1"/>
  <c r="Y286" i="1"/>
  <c r="Q500" i="1"/>
  <c r="Y296" i="1"/>
  <c r="BP289" i="1"/>
  <c r="BN289" i="1"/>
  <c r="Z289" i="1"/>
  <c r="Y295" i="1"/>
  <c r="Y305" i="1"/>
  <c r="Y313" i="1"/>
  <c r="Y319" i="1"/>
  <c r="Y325" i="1"/>
  <c r="Y331" i="1"/>
  <c r="Y338" i="1"/>
  <c r="Y350" i="1"/>
  <c r="Y356" i="1"/>
  <c r="Y360" i="1"/>
  <c r="Y371" i="1"/>
  <c r="Y375" i="1"/>
  <c r="Y382" i="1"/>
  <c r="Y396" i="1"/>
  <c r="Y400" i="1"/>
  <c r="Y413" i="1"/>
  <c r="Y418" i="1"/>
  <c r="X500" i="1"/>
  <c r="Y433" i="1"/>
  <c r="BP424" i="1"/>
  <c r="BN424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BP446" i="1"/>
  <c r="BN446" i="1"/>
  <c r="Z446" i="1"/>
  <c r="BP460" i="1"/>
  <c r="BN460" i="1"/>
  <c r="Z460" i="1"/>
  <c r="BP468" i="1"/>
  <c r="BN468" i="1"/>
  <c r="Z468" i="1"/>
  <c r="Y470" i="1"/>
  <c r="Y475" i="1"/>
  <c r="BP472" i="1"/>
  <c r="BN472" i="1"/>
  <c r="Z472" i="1"/>
  <c r="Z474" i="1" s="1"/>
  <c r="M500" i="1"/>
  <c r="Y267" i="1"/>
  <c r="Z293" i="1"/>
  <c r="BN293" i="1"/>
  <c r="Z299" i="1"/>
  <c r="BN299" i="1"/>
  <c r="Z301" i="1"/>
  <c r="BN301" i="1"/>
  <c r="Z303" i="1"/>
  <c r="BN303" i="1"/>
  <c r="Z309" i="1"/>
  <c r="BN309" i="1"/>
  <c r="Z311" i="1"/>
  <c r="BN311" i="1"/>
  <c r="Z315" i="1"/>
  <c r="BN315" i="1"/>
  <c r="BP315" i="1"/>
  <c r="Z317" i="1"/>
  <c r="BN317" i="1"/>
  <c r="Z321" i="1"/>
  <c r="BN321" i="1"/>
  <c r="BP321" i="1"/>
  <c r="Z323" i="1"/>
  <c r="BN323" i="1"/>
  <c r="Z329" i="1"/>
  <c r="Z331" i="1" s="1"/>
  <c r="BN329" i="1"/>
  <c r="R500" i="1"/>
  <c r="Z336" i="1"/>
  <c r="BN336" i="1"/>
  <c r="Y339" i="1"/>
  <c r="S500" i="1"/>
  <c r="Z344" i="1"/>
  <c r="BN344" i="1"/>
  <c r="Z346" i="1"/>
  <c r="BN346" i="1"/>
  <c r="Z348" i="1"/>
  <c r="BN348" i="1"/>
  <c r="Y351" i="1"/>
  <c r="Z354" i="1"/>
  <c r="Z355" i="1" s="1"/>
  <c r="BN354" i="1"/>
  <c r="Z358" i="1"/>
  <c r="Z360" i="1" s="1"/>
  <c r="BN358" i="1"/>
  <c r="BP358" i="1"/>
  <c r="T500" i="1"/>
  <c r="Z369" i="1"/>
  <c r="Z370" i="1" s="1"/>
  <c r="BN369" i="1"/>
  <c r="Y370" i="1"/>
  <c r="Z373" i="1"/>
  <c r="BN373" i="1"/>
  <c r="BP373" i="1"/>
  <c r="Z379" i="1"/>
  <c r="BN379" i="1"/>
  <c r="Z380" i="1"/>
  <c r="BN380" i="1"/>
  <c r="Z386" i="1"/>
  <c r="BN386" i="1"/>
  <c r="BP386" i="1"/>
  <c r="Z388" i="1"/>
  <c r="BN388" i="1"/>
  <c r="Z390" i="1"/>
  <c r="BN390" i="1"/>
  <c r="Z392" i="1"/>
  <c r="BN392" i="1"/>
  <c r="Z394" i="1"/>
  <c r="BN394" i="1"/>
  <c r="Y395" i="1"/>
  <c r="Z398" i="1"/>
  <c r="Z400" i="1" s="1"/>
  <c r="BN398" i="1"/>
  <c r="BP398" i="1"/>
  <c r="V500" i="1"/>
  <c r="Y406" i="1"/>
  <c r="Z409" i="1"/>
  <c r="BN409" i="1"/>
  <c r="Z411" i="1"/>
  <c r="BN411" i="1"/>
  <c r="Z416" i="1"/>
  <c r="Z417" i="1" s="1"/>
  <c r="BN416" i="1"/>
  <c r="BP416" i="1"/>
  <c r="Y417" i="1"/>
  <c r="Z422" i="1"/>
  <c r="BN422" i="1"/>
  <c r="BP422" i="1"/>
  <c r="Z424" i="1"/>
  <c r="BP428" i="1"/>
  <c r="BN428" i="1"/>
  <c r="Z428" i="1"/>
  <c r="BP432" i="1"/>
  <c r="BN432" i="1"/>
  <c r="Z432" i="1"/>
  <c r="Y434" i="1"/>
  <c r="Y439" i="1"/>
  <c r="BP436" i="1"/>
  <c r="BN436" i="1"/>
  <c r="Z436" i="1"/>
  <c r="BP444" i="1"/>
  <c r="BN444" i="1"/>
  <c r="Z444" i="1"/>
  <c r="Y448" i="1"/>
  <c r="BP452" i="1"/>
  <c r="BN452" i="1"/>
  <c r="Z452" i="1"/>
  <c r="Z454" i="1" s="1"/>
  <c r="Y463" i="1"/>
  <c r="BP462" i="1"/>
  <c r="BN462" i="1"/>
  <c r="Z462" i="1"/>
  <c r="Y464" i="1"/>
  <c r="Y469" i="1"/>
  <c r="BP466" i="1"/>
  <c r="BN466" i="1"/>
  <c r="Z466" i="1"/>
  <c r="Y474" i="1"/>
  <c r="Y484" i="1"/>
  <c r="Y489" i="1"/>
  <c r="Y500" i="1"/>
  <c r="Z482" i="1"/>
  <c r="Z483" i="1" s="1"/>
  <c r="BN482" i="1"/>
  <c r="Z487" i="1"/>
  <c r="Z488" i="1" s="1"/>
  <c r="BN487" i="1"/>
  <c r="BP487" i="1"/>
  <c r="Y488" i="1"/>
  <c r="Z469" i="1" l="1"/>
  <c r="Z439" i="1"/>
  <c r="Z375" i="1"/>
  <c r="Z338" i="1"/>
  <c r="Z463" i="1"/>
  <c r="Z234" i="1"/>
  <c r="Z126" i="1"/>
  <c r="Z95" i="1"/>
  <c r="Z88" i="1"/>
  <c r="Z31" i="1"/>
  <c r="Z412" i="1"/>
  <c r="Z250" i="1"/>
  <c r="Z215" i="1"/>
  <c r="Z171" i="1"/>
  <c r="Z381" i="1"/>
  <c r="Z312" i="1"/>
  <c r="Z305" i="1"/>
  <c r="Z285" i="1"/>
  <c r="Z259" i="1"/>
  <c r="Y492" i="1"/>
  <c r="Z103" i="1"/>
  <c r="Z57" i="1"/>
  <c r="Y491" i="1"/>
  <c r="Y494" i="1"/>
  <c r="Z350" i="1"/>
  <c r="Z395" i="1"/>
  <c r="Z318" i="1"/>
  <c r="Z295" i="1"/>
  <c r="Z267" i="1"/>
  <c r="Z203" i="1"/>
  <c r="Z116" i="1"/>
  <c r="Z109" i="1"/>
  <c r="Z76" i="1"/>
  <c r="Z69" i="1"/>
  <c r="Z63" i="1"/>
  <c r="Y490" i="1"/>
  <c r="X493" i="1"/>
  <c r="Z433" i="1"/>
  <c r="Z325" i="1"/>
  <c r="Z448" i="1"/>
  <c r="Y493" i="1" l="1"/>
  <c r="Z495" i="1"/>
</calcChain>
</file>

<file path=xl/sharedStrings.xml><?xml version="1.0" encoding="utf-8"?>
<sst xmlns="http://schemas.openxmlformats.org/spreadsheetml/2006/main" count="2344" uniqueCount="766">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</sst>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4" t="s">
        <v>0</v>
      </c>
      <c r="E1" s="579"/>
      <c r="F1" s="579"/>
      <c r="G1" s="12" t="s">
        <v>1</v>
      </c>
      <c r="H1" s="634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2" t="s">
        <v>8</v>
      </c>
      <c r="B5" s="651"/>
      <c r="C5" s="608"/>
      <c r="D5" s="635"/>
      <c r="E5" s="636"/>
      <c r="F5" s="826" t="s">
        <v>9</v>
      </c>
      <c r="G5" s="608"/>
      <c r="H5" s="635" t="s">
        <v>765</v>
      </c>
      <c r="I5" s="775"/>
      <c r="J5" s="775"/>
      <c r="K5" s="775"/>
      <c r="L5" s="775"/>
      <c r="M5" s="636"/>
      <c r="N5" s="58"/>
      <c r="P5" s="24" t="s">
        <v>10</v>
      </c>
      <c r="Q5" s="855">
        <v>45992</v>
      </c>
      <c r="R5" s="663"/>
      <c r="T5" s="865" t="s">
        <v>11</v>
      </c>
      <c r="U5" s="712"/>
      <c r="V5" s="864" t="s">
        <v>12</v>
      </c>
      <c r="W5" s="663"/>
      <c r="AB5" s="51"/>
      <c r="AC5" s="51"/>
      <c r="AD5" s="51"/>
      <c r="AE5" s="51"/>
    </row>
    <row r="6" spans="1:32" s="537" customFormat="1" ht="24" customHeight="1" x14ac:dyDescent="0.2">
      <c r="A6" s="672" t="s">
        <v>13</v>
      </c>
      <c r="B6" s="651"/>
      <c r="C6" s="608"/>
      <c r="D6" s="778" t="s">
        <v>14</v>
      </c>
      <c r="E6" s="779"/>
      <c r="F6" s="779"/>
      <c r="G6" s="779"/>
      <c r="H6" s="779"/>
      <c r="I6" s="779"/>
      <c r="J6" s="779"/>
      <c r="K6" s="779"/>
      <c r="L6" s="779"/>
      <c r="M6" s="663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Понедельник</v>
      </c>
      <c r="R6" s="548"/>
      <c r="T6" s="722" t="s">
        <v>16</v>
      </c>
      <c r="U6" s="712"/>
      <c r="V6" s="759" t="s">
        <v>17</v>
      </c>
      <c r="W6" s="591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7"/>
      <c r="U7" s="712"/>
      <c r="V7" s="760"/>
      <c r="W7" s="761"/>
      <c r="AB7" s="51"/>
      <c r="AC7" s="51"/>
      <c r="AD7" s="51"/>
      <c r="AE7" s="51"/>
    </row>
    <row r="8" spans="1:32" s="537" customFormat="1" ht="25.5" customHeight="1" x14ac:dyDescent="0.2">
      <c r="A8" s="868" t="s">
        <v>18</v>
      </c>
      <c r="B8" s="561"/>
      <c r="C8" s="562"/>
      <c r="D8" s="625" t="s">
        <v>19</v>
      </c>
      <c r="E8" s="626"/>
      <c r="F8" s="626"/>
      <c r="G8" s="626"/>
      <c r="H8" s="626"/>
      <c r="I8" s="626"/>
      <c r="J8" s="626"/>
      <c r="K8" s="626"/>
      <c r="L8" s="626"/>
      <c r="M8" s="627"/>
      <c r="N8" s="61"/>
      <c r="P8" s="24" t="s">
        <v>20</v>
      </c>
      <c r="Q8" s="678">
        <v>0.41666666666666669</v>
      </c>
      <c r="R8" s="612"/>
      <c r="T8" s="557"/>
      <c r="U8" s="712"/>
      <c r="V8" s="760"/>
      <c r="W8" s="761"/>
      <c r="AB8" s="51"/>
      <c r="AC8" s="51"/>
      <c r="AD8" s="51"/>
      <c r="AE8" s="51"/>
    </row>
    <row r="9" spans="1:32" s="537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7"/>
      <c r="E9" s="566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5"/>
      <c r="P9" s="26" t="s">
        <v>21</v>
      </c>
      <c r="Q9" s="660"/>
      <c r="R9" s="661"/>
      <c r="T9" s="557"/>
      <c r="U9" s="712"/>
      <c r="V9" s="762"/>
      <c r="W9" s="763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7"/>
      <c r="E10" s="566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48" t="str">
        <f>IFERROR(VLOOKUP($D$10,Proxy,2,FALSE),"")</f>
        <v/>
      </c>
      <c r="I10" s="557"/>
      <c r="J10" s="557"/>
      <c r="K10" s="557"/>
      <c r="L10" s="557"/>
      <c r="M10" s="557"/>
      <c r="N10" s="536"/>
      <c r="P10" s="26" t="s">
        <v>22</v>
      </c>
      <c r="Q10" s="723"/>
      <c r="R10" s="724"/>
      <c r="U10" s="24" t="s">
        <v>23</v>
      </c>
      <c r="V10" s="590" t="s">
        <v>24</v>
      </c>
      <c r="W10" s="591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2"/>
      <c r="R11" s="663"/>
      <c r="U11" s="24" t="s">
        <v>27</v>
      </c>
      <c r="V11" s="792" t="s">
        <v>28</v>
      </c>
      <c r="W11" s="66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0" t="s">
        <v>29</v>
      </c>
      <c r="B12" s="651"/>
      <c r="C12" s="651"/>
      <c r="D12" s="651"/>
      <c r="E12" s="651"/>
      <c r="F12" s="651"/>
      <c r="G12" s="651"/>
      <c r="H12" s="651"/>
      <c r="I12" s="651"/>
      <c r="J12" s="651"/>
      <c r="K12" s="651"/>
      <c r="L12" s="651"/>
      <c r="M12" s="608"/>
      <c r="N12" s="62"/>
      <c r="P12" s="24" t="s">
        <v>30</v>
      </c>
      <c r="Q12" s="678"/>
      <c r="R12" s="612"/>
      <c r="S12" s="23"/>
      <c r="U12" s="24"/>
      <c r="V12" s="579"/>
      <c r="W12" s="557"/>
      <c r="AB12" s="51"/>
      <c r="AC12" s="51"/>
      <c r="AD12" s="51"/>
      <c r="AE12" s="51"/>
    </row>
    <row r="13" spans="1:32" s="537" customFormat="1" ht="23.25" customHeight="1" x14ac:dyDescent="0.2">
      <c r="A13" s="700" t="s">
        <v>31</v>
      </c>
      <c r="B13" s="651"/>
      <c r="C13" s="651"/>
      <c r="D13" s="651"/>
      <c r="E13" s="651"/>
      <c r="F13" s="651"/>
      <c r="G13" s="651"/>
      <c r="H13" s="651"/>
      <c r="I13" s="651"/>
      <c r="J13" s="651"/>
      <c r="K13" s="651"/>
      <c r="L13" s="651"/>
      <c r="M13" s="608"/>
      <c r="N13" s="62"/>
      <c r="O13" s="26"/>
      <c r="P13" s="26" t="s">
        <v>32</v>
      </c>
      <c r="Q13" s="792"/>
      <c r="R13" s="66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0" t="s">
        <v>33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0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28" t="s">
        <v>34</v>
      </c>
      <c r="B15" s="651"/>
      <c r="C15" s="651"/>
      <c r="D15" s="651"/>
      <c r="E15" s="651"/>
      <c r="F15" s="651"/>
      <c r="G15" s="651"/>
      <c r="H15" s="651"/>
      <c r="I15" s="651"/>
      <c r="J15" s="651"/>
      <c r="K15" s="651"/>
      <c r="L15" s="651"/>
      <c r="M15" s="608"/>
      <c r="N15" s="63"/>
      <c r="P15" s="707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8"/>
      <c r="Q16" s="708"/>
      <c r="R16" s="708"/>
      <c r="S16" s="708"/>
      <c r="T16" s="70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7" t="s">
        <v>36</v>
      </c>
      <c r="B17" s="587" t="s">
        <v>37</v>
      </c>
      <c r="C17" s="686" t="s">
        <v>38</v>
      </c>
      <c r="D17" s="587" t="s">
        <v>39</v>
      </c>
      <c r="E17" s="643"/>
      <c r="F17" s="587" t="s">
        <v>40</v>
      </c>
      <c r="G17" s="587" t="s">
        <v>41</v>
      </c>
      <c r="H17" s="587" t="s">
        <v>42</v>
      </c>
      <c r="I17" s="587" t="s">
        <v>43</v>
      </c>
      <c r="J17" s="587" t="s">
        <v>44</v>
      </c>
      <c r="K17" s="587" t="s">
        <v>45</v>
      </c>
      <c r="L17" s="587" t="s">
        <v>46</v>
      </c>
      <c r="M17" s="587" t="s">
        <v>47</v>
      </c>
      <c r="N17" s="587" t="s">
        <v>48</v>
      </c>
      <c r="O17" s="587" t="s">
        <v>49</v>
      </c>
      <c r="P17" s="587" t="s">
        <v>50</v>
      </c>
      <c r="Q17" s="642"/>
      <c r="R17" s="642"/>
      <c r="S17" s="642"/>
      <c r="T17" s="643"/>
      <c r="U17" s="607" t="s">
        <v>51</v>
      </c>
      <c r="V17" s="608"/>
      <c r="W17" s="587" t="s">
        <v>52</v>
      </c>
      <c r="X17" s="587" t="s">
        <v>53</v>
      </c>
      <c r="Y17" s="862" t="s">
        <v>54</v>
      </c>
      <c r="Z17" s="769" t="s">
        <v>55</v>
      </c>
      <c r="AA17" s="746" t="s">
        <v>56</v>
      </c>
      <c r="AB17" s="746" t="s">
        <v>57</v>
      </c>
      <c r="AC17" s="746" t="s">
        <v>58</v>
      </c>
      <c r="AD17" s="746" t="s">
        <v>59</v>
      </c>
      <c r="AE17" s="821"/>
      <c r="AF17" s="822"/>
      <c r="AG17" s="66"/>
      <c r="BD17" s="65" t="s">
        <v>60</v>
      </c>
    </row>
    <row r="18" spans="1:68" ht="14.25" customHeight="1" x14ac:dyDescent="0.2">
      <c r="A18" s="588"/>
      <c r="B18" s="588"/>
      <c r="C18" s="588"/>
      <c r="D18" s="644"/>
      <c r="E18" s="646"/>
      <c r="F18" s="588"/>
      <c r="G18" s="588"/>
      <c r="H18" s="588"/>
      <c r="I18" s="588"/>
      <c r="J18" s="588"/>
      <c r="K18" s="588"/>
      <c r="L18" s="588"/>
      <c r="M18" s="588"/>
      <c r="N18" s="588"/>
      <c r="O18" s="588"/>
      <c r="P18" s="644"/>
      <c r="Q18" s="645"/>
      <c r="R18" s="645"/>
      <c r="S18" s="645"/>
      <c r="T18" s="646"/>
      <c r="U18" s="67" t="s">
        <v>61</v>
      </c>
      <c r="V18" s="67" t="s">
        <v>62</v>
      </c>
      <c r="W18" s="588"/>
      <c r="X18" s="588"/>
      <c r="Y18" s="863"/>
      <c r="Z18" s="770"/>
      <c r="AA18" s="747"/>
      <c r="AB18" s="747"/>
      <c r="AC18" s="747"/>
      <c r="AD18" s="823"/>
      <c r="AE18" s="824"/>
      <c r="AF18" s="825"/>
      <c r="AG18" s="66"/>
      <c r="BD18" s="65"/>
    </row>
    <row r="19" spans="1:68" ht="27.75" hidden="1" customHeight="1" x14ac:dyDescent="0.2">
      <c r="A19" s="568" t="s">
        <v>63</v>
      </c>
      <c r="B19" s="569"/>
      <c r="C19" s="569"/>
      <c r="D19" s="569"/>
      <c r="E19" s="569"/>
      <c r="F19" s="569"/>
      <c r="G19" s="569"/>
      <c r="H19" s="569"/>
      <c r="I19" s="569"/>
      <c r="J19" s="569"/>
      <c r="K19" s="569"/>
      <c r="L19" s="569"/>
      <c r="M19" s="569"/>
      <c r="N19" s="569"/>
      <c r="O19" s="569"/>
      <c r="P19" s="569"/>
      <c r="Q19" s="569"/>
      <c r="R19" s="569"/>
      <c r="S19" s="569"/>
      <c r="T19" s="569"/>
      <c r="U19" s="569"/>
      <c r="V19" s="569"/>
      <c r="W19" s="569"/>
      <c r="X19" s="569"/>
      <c r="Y19" s="569"/>
      <c r="Z19" s="569"/>
      <c r="AA19" s="48"/>
      <c r="AB19" s="48"/>
      <c r="AC19" s="48"/>
    </row>
    <row r="20" spans="1:68" ht="16.5" hidden="1" customHeight="1" x14ac:dyDescent="0.25">
      <c r="A20" s="558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38"/>
      <c r="AB20" s="538"/>
      <c r="AC20" s="538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70"/>
      <c r="B23" s="557"/>
      <c r="C23" s="557"/>
      <c r="D23" s="557"/>
      <c r="E23" s="557"/>
      <c r="F23" s="557"/>
      <c r="G23" s="557"/>
      <c r="H23" s="557"/>
      <c r="I23" s="557"/>
      <c r="J23" s="557"/>
      <c r="K23" s="557"/>
      <c r="L23" s="557"/>
      <c r="M23" s="557"/>
      <c r="N23" s="557"/>
      <c r="O23" s="571"/>
      <c r="P23" s="560" t="s">
        <v>71</v>
      </c>
      <c r="Q23" s="561"/>
      <c r="R23" s="561"/>
      <c r="S23" s="561"/>
      <c r="T23" s="561"/>
      <c r="U23" s="561"/>
      <c r="V23" s="562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71"/>
      <c r="P24" s="560" t="s">
        <v>71</v>
      </c>
      <c r="Q24" s="561"/>
      <c r="R24" s="561"/>
      <c r="S24" s="561"/>
      <c r="T24" s="561"/>
      <c r="U24" s="561"/>
      <c r="V24" s="562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56" t="s">
        <v>73</v>
      </c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7"/>
      <c r="P25" s="557"/>
      <c r="Q25" s="557"/>
      <c r="R25" s="557"/>
      <c r="S25" s="557"/>
      <c r="T25" s="557"/>
      <c r="U25" s="557"/>
      <c r="V25" s="557"/>
      <c r="W25" s="557"/>
      <c r="X25" s="557"/>
      <c r="Y25" s="557"/>
      <c r="Z25" s="557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70"/>
      <c r="B31" s="557"/>
      <c r="C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  <c r="O31" s="571"/>
      <c r="P31" s="560" t="s">
        <v>71</v>
      </c>
      <c r="Q31" s="561"/>
      <c r="R31" s="561"/>
      <c r="S31" s="561"/>
      <c r="T31" s="561"/>
      <c r="U31" s="561"/>
      <c r="V31" s="562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71"/>
      <c r="P32" s="560" t="s">
        <v>71</v>
      </c>
      <c r="Q32" s="561"/>
      <c r="R32" s="561"/>
      <c r="S32" s="561"/>
      <c r="T32" s="561"/>
      <c r="U32" s="561"/>
      <c r="V32" s="562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56" t="s">
        <v>93</v>
      </c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7"/>
      <c r="P33" s="557"/>
      <c r="Q33" s="557"/>
      <c r="R33" s="557"/>
      <c r="S33" s="557"/>
      <c r="T33" s="557"/>
      <c r="U33" s="557"/>
      <c r="V33" s="557"/>
      <c r="W33" s="557"/>
      <c r="X33" s="557"/>
      <c r="Y33" s="557"/>
      <c r="Z33" s="557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70"/>
      <c r="B35" s="557"/>
      <c r="C35" s="557"/>
      <c r="D35" s="557"/>
      <c r="E35" s="557"/>
      <c r="F35" s="557"/>
      <c r="G35" s="557"/>
      <c r="H35" s="557"/>
      <c r="I35" s="557"/>
      <c r="J35" s="557"/>
      <c r="K35" s="557"/>
      <c r="L35" s="557"/>
      <c r="M35" s="557"/>
      <c r="N35" s="557"/>
      <c r="O35" s="571"/>
      <c r="P35" s="560" t="s">
        <v>71</v>
      </c>
      <c r="Q35" s="561"/>
      <c r="R35" s="561"/>
      <c r="S35" s="561"/>
      <c r="T35" s="561"/>
      <c r="U35" s="561"/>
      <c r="V35" s="562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71"/>
      <c r="P36" s="560" t="s">
        <v>71</v>
      </c>
      <c r="Q36" s="561"/>
      <c r="R36" s="561"/>
      <c r="S36" s="561"/>
      <c r="T36" s="561"/>
      <c r="U36" s="561"/>
      <c r="V36" s="562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68" t="s">
        <v>99</v>
      </c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69"/>
      <c r="P37" s="569"/>
      <c r="Q37" s="569"/>
      <c r="R37" s="569"/>
      <c r="S37" s="569"/>
      <c r="T37" s="569"/>
      <c r="U37" s="569"/>
      <c r="V37" s="569"/>
      <c r="W37" s="569"/>
      <c r="X37" s="569"/>
      <c r="Y37" s="569"/>
      <c r="Z37" s="569"/>
      <c r="AA37" s="48"/>
      <c r="AB37" s="48"/>
      <c r="AC37" s="48"/>
    </row>
    <row r="38" spans="1:68" ht="16.5" hidden="1" customHeight="1" x14ac:dyDescent="0.25">
      <c r="A38" s="558" t="s">
        <v>100</v>
      </c>
      <c r="B38" s="557"/>
      <c r="C38" s="557"/>
      <c r="D38" s="557"/>
      <c r="E38" s="557"/>
      <c r="F38" s="557"/>
      <c r="G38" s="557"/>
      <c r="H38" s="557"/>
      <c r="I38" s="557"/>
      <c r="J38" s="557"/>
      <c r="K38" s="557"/>
      <c r="L38" s="557"/>
      <c r="M38" s="557"/>
      <c r="N38" s="557"/>
      <c r="O38" s="557"/>
      <c r="P38" s="557"/>
      <c r="Q38" s="557"/>
      <c r="R38" s="557"/>
      <c r="S38" s="557"/>
      <c r="T38" s="557"/>
      <c r="U38" s="557"/>
      <c r="V38" s="557"/>
      <c r="W38" s="557"/>
      <c r="X38" s="557"/>
      <c r="Y38" s="557"/>
      <c r="Z38" s="557"/>
      <c r="AA38" s="538"/>
      <c r="AB38" s="538"/>
      <c r="AC38" s="538"/>
    </row>
    <row r="39" spans="1:68" ht="14.25" hidden="1" customHeight="1" x14ac:dyDescent="0.25">
      <c r="A39" s="556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600</v>
      </c>
      <c r="Y40" s="544">
        <f>IFERROR(IF(X40="",0,CEILING((X40/$H40),1)*$H40),"")</f>
        <v>604.80000000000007</v>
      </c>
      <c r="Z40" s="36">
        <f>IFERROR(IF(Y40=0,"",ROUNDUP(Y40/H40,0)*0.01898),"")</f>
        <v>1.06288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622.77777777777783</v>
      </c>
      <c r="BN40" s="64">
        <f>IFERROR(Y40*I40/H40,"0")</f>
        <v>627.76</v>
      </c>
      <c r="BO40" s="64">
        <f>IFERROR(1/J40*(X40/H40),"0")</f>
        <v>0.86805555555555547</v>
      </c>
      <c r="BP40" s="64">
        <f>IFERROR(1/J40*(Y40/H40),"0")</f>
        <v>0.875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150</v>
      </c>
      <c r="Y41" s="544">
        <f>IFERROR(IF(X41="",0,CEILING((X41/$H41),1)*$H41),"")</f>
        <v>152</v>
      </c>
      <c r="Z41" s="36">
        <f>IFERROR(IF(Y41=0,"",ROUNDUP(Y41/H41,0)*0.00902),"")</f>
        <v>0.34276000000000001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157.12500000000003</v>
      </c>
      <c r="BN41" s="64">
        <f>IFERROR(Y41*I41/H41,"0")</f>
        <v>159.22000000000003</v>
      </c>
      <c r="BO41" s="64">
        <f>IFERROR(1/J41*(X41/H41),"0")</f>
        <v>0.28409090909090912</v>
      </c>
      <c r="BP41" s="64">
        <f>IFERROR(1/J41*(Y41/H41),"0")</f>
        <v>0.2878787878787879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7"/>
      <c r="C43" s="557"/>
      <c r="D43" s="557"/>
      <c r="E43" s="557"/>
      <c r="F43" s="557"/>
      <c r="G43" s="557"/>
      <c r="H43" s="557"/>
      <c r="I43" s="557"/>
      <c r="J43" s="557"/>
      <c r="K43" s="557"/>
      <c r="L43" s="557"/>
      <c r="M43" s="557"/>
      <c r="N43" s="557"/>
      <c r="O43" s="571"/>
      <c r="P43" s="560" t="s">
        <v>71</v>
      </c>
      <c r="Q43" s="561"/>
      <c r="R43" s="561"/>
      <c r="S43" s="561"/>
      <c r="T43" s="561"/>
      <c r="U43" s="561"/>
      <c r="V43" s="562"/>
      <c r="W43" s="37" t="s">
        <v>72</v>
      </c>
      <c r="X43" s="545">
        <f>IFERROR(X40/H40,"0")+IFERROR(X41/H41,"0")+IFERROR(X42/H42,"0")</f>
        <v>93.055555555555543</v>
      </c>
      <c r="Y43" s="545">
        <f>IFERROR(Y40/H40,"0")+IFERROR(Y41/H41,"0")+IFERROR(Y42/H42,"0")</f>
        <v>94</v>
      </c>
      <c r="Z43" s="545">
        <f>IFERROR(IF(Z40="",0,Z40),"0")+IFERROR(IF(Z41="",0,Z41),"0")+IFERROR(IF(Z42="",0,Z42),"0")</f>
        <v>1.40564</v>
      </c>
      <c r="AA43" s="546"/>
      <c r="AB43" s="546"/>
      <c r="AC43" s="546"/>
    </row>
    <row r="44" spans="1:68" x14ac:dyDescent="0.2">
      <c r="A44" s="55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71"/>
      <c r="P44" s="560" t="s">
        <v>71</v>
      </c>
      <c r="Q44" s="561"/>
      <c r="R44" s="561"/>
      <c r="S44" s="561"/>
      <c r="T44" s="561"/>
      <c r="U44" s="561"/>
      <c r="V44" s="562"/>
      <c r="W44" s="37" t="s">
        <v>69</v>
      </c>
      <c r="X44" s="545">
        <f>IFERROR(SUM(X40:X42),"0")</f>
        <v>750</v>
      </c>
      <c r="Y44" s="545">
        <f>IFERROR(SUM(Y40:Y42),"0")</f>
        <v>756.80000000000007</v>
      </c>
      <c r="Z44" s="37"/>
      <c r="AA44" s="546"/>
      <c r="AB44" s="546"/>
      <c r="AC44" s="546"/>
    </row>
    <row r="45" spans="1:68" ht="14.25" hidden="1" customHeight="1" x14ac:dyDescent="0.25">
      <c r="A45" s="556" t="s">
        <v>73</v>
      </c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7"/>
      <c r="P45" s="557"/>
      <c r="Q45" s="557"/>
      <c r="R45" s="557"/>
      <c r="S45" s="557"/>
      <c r="T45" s="557"/>
      <c r="U45" s="557"/>
      <c r="V45" s="557"/>
      <c r="W45" s="557"/>
      <c r="X45" s="557"/>
      <c r="Y45" s="557"/>
      <c r="Z45" s="557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70"/>
      <c r="B47" s="557"/>
      <c r="C47" s="557"/>
      <c r="D47" s="557"/>
      <c r="E47" s="557"/>
      <c r="F47" s="557"/>
      <c r="G47" s="557"/>
      <c r="H47" s="557"/>
      <c r="I47" s="557"/>
      <c r="J47" s="557"/>
      <c r="K47" s="557"/>
      <c r="L47" s="557"/>
      <c r="M47" s="557"/>
      <c r="N47" s="557"/>
      <c r="O47" s="571"/>
      <c r="P47" s="560" t="s">
        <v>71</v>
      </c>
      <c r="Q47" s="561"/>
      <c r="R47" s="561"/>
      <c r="S47" s="561"/>
      <c r="T47" s="561"/>
      <c r="U47" s="561"/>
      <c r="V47" s="562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71"/>
      <c r="P48" s="560" t="s">
        <v>71</v>
      </c>
      <c r="Q48" s="561"/>
      <c r="R48" s="561"/>
      <c r="S48" s="561"/>
      <c r="T48" s="561"/>
      <c r="U48" s="561"/>
      <c r="V48" s="562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8" t="s">
        <v>117</v>
      </c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7"/>
      <c r="P49" s="557"/>
      <c r="Q49" s="557"/>
      <c r="R49" s="557"/>
      <c r="S49" s="557"/>
      <c r="T49" s="557"/>
      <c r="U49" s="557"/>
      <c r="V49" s="557"/>
      <c r="W49" s="557"/>
      <c r="X49" s="557"/>
      <c r="Y49" s="557"/>
      <c r="Z49" s="557"/>
      <c r="AA49" s="538"/>
      <c r="AB49" s="538"/>
      <c r="AC49" s="538"/>
    </row>
    <row r="50" spans="1:68" ht="14.25" hidden="1" customHeight="1" x14ac:dyDescent="0.25">
      <c r="A50" s="556" t="s">
        <v>101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50</v>
      </c>
      <c r="Y51" s="544">
        <f t="shared" ref="Y51:Y56" si="0">IFERROR(IF(X51="",0,CEILING((X51/$H51),1)*$H51),"")</f>
        <v>56</v>
      </c>
      <c r="Z51" s="36">
        <f>IFERROR(IF(Y51=0,"",ROUNDUP(Y51/H51,0)*0.01898),"")</f>
        <v>9.4899999999999998E-2</v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51.830357142857146</v>
      </c>
      <c r="BN51" s="64">
        <f t="shared" ref="BN51:BN56" si="2">IFERROR(Y51*I51/H51,"0")</f>
        <v>58.050000000000004</v>
      </c>
      <c r="BO51" s="64">
        <f t="shared" ref="BO51:BO56" si="3">IFERROR(1/J51*(X51/H51),"0")</f>
        <v>6.9754464285714288E-2</v>
      </c>
      <c r="BP51" s="64">
        <f t="shared" ref="BP51:BP56" si="4">IFERROR(1/J51*(Y51/H51),"0")</f>
        <v>7.8125E-2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250</v>
      </c>
      <c r="Y52" s="544">
        <f t="shared" si="0"/>
        <v>259.20000000000005</v>
      </c>
      <c r="Z52" s="36">
        <f>IFERROR(IF(Y52=0,"",ROUNDUP(Y52/H52,0)*0.01898),"")</f>
        <v>0.45552000000000004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259.4907407407407</v>
      </c>
      <c r="BN52" s="64">
        <f t="shared" si="2"/>
        <v>269.04000000000002</v>
      </c>
      <c r="BO52" s="64">
        <f t="shared" si="3"/>
        <v>0.36168981481481477</v>
      </c>
      <c r="BP52" s="64">
        <f t="shared" si="4"/>
        <v>0.37500000000000006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600</v>
      </c>
      <c r="Y56" s="544">
        <f t="shared" si="0"/>
        <v>603</v>
      </c>
      <c r="Z56" s="36">
        <f>IFERROR(IF(Y56=0,"",ROUNDUP(Y56/H56,0)*0.00902),"")</f>
        <v>1.20868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625.33333333333348</v>
      </c>
      <c r="BN56" s="64">
        <f t="shared" si="2"/>
        <v>628.46</v>
      </c>
      <c r="BO56" s="64">
        <f t="shared" si="3"/>
        <v>1.0101010101010102</v>
      </c>
      <c r="BP56" s="64">
        <f t="shared" si="4"/>
        <v>1.0151515151515151</v>
      </c>
    </row>
    <row r="57" spans="1:68" x14ac:dyDescent="0.2">
      <c r="A57" s="570"/>
      <c r="B57" s="557"/>
      <c r="C57" s="557"/>
      <c r="D57" s="557"/>
      <c r="E57" s="557"/>
      <c r="F57" s="557"/>
      <c r="G57" s="557"/>
      <c r="H57" s="557"/>
      <c r="I57" s="557"/>
      <c r="J57" s="557"/>
      <c r="K57" s="557"/>
      <c r="L57" s="557"/>
      <c r="M57" s="557"/>
      <c r="N57" s="557"/>
      <c r="O57" s="571"/>
      <c r="P57" s="560" t="s">
        <v>71</v>
      </c>
      <c r="Q57" s="561"/>
      <c r="R57" s="561"/>
      <c r="S57" s="561"/>
      <c r="T57" s="561"/>
      <c r="U57" s="561"/>
      <c r="V57" s="562"/>
      <c r="W57" s="37" t="s">
        <v>72</v>
      </c>
      <c r="X57" s="545">
        <f>IFERROR(X51/H51,"0")+IFERROR(X52/H52,"0")+IFERROR(X53/H53,"0")+IFERROR(X54/H54,"0")+IFERROR(X55/H55,"0")+IFERROR(X56/H56,"0")</f>
        <v>160.94576719576719</v>
      </c>
      <c r="Y57" s="545">
        <f>IFERROR(Y51/H51,"0")+IFERROR(Y52/H52,"0")+IFERROR(Y53/H53,"0")+IFERROR(Y54/H54,"0")+IFERROR(Y55/H55,"0")+IFERROR(Y56/H56,"0")</f>
        <v>163</v>
      </c>
      <c r="Z57" s="545">
        <f>IFERROR(IF(Z51="",0,Z51),"0")+IFERROR(IF(Z52="",0,Z52),"0")+IFERROR(IF(Z53="",0,Z53),"0")+IFERROR(IF(Z54="",0,Z54),"0")+IFERROR(IF(Z55="",0,Z55),"0")+IFERROR(IF(Z56="",0,Z56),"0")</f>
        <v>1.7591000000000001</v>
      </c>
      <c r="AA57" s="546"/>
      <c r="AB57" s="546"/>
      <c r="AC57" s="546"/>
    </row>
    <row r="58" spans="1:68" x14ac:dyDescent="0.2">
      <c r="A58" s="55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71"/>
      <c r="P58" s="560" t="s">
        <v>71</v>
      </c>
      <c r="Q58" s="561"/>
      <c r="R58" s="561"/>
      <c r="S58" s="561"/>
      <c r="T58" s="561"/>
      <c r="U58" s="561"/>
      <c r="V58" s="562"/>
      <c r="W58" s="37" t="s">
        <v>69</v>
      </c>
      <c r="X58" s="545">
        <f>IFERROR(SUM(X51:X56),"0")</f>
        <v>900</v>
      </c>
      <c r="Y58" s="545">
        <f>IFERROR(SUM(Y51:Y56),"0")</f>
        <v>918.2</v>
      </c>
      <c r="Z58" s="37"/>
      <c r="AA58" s="546"/>
      <c r="AB58" s="546"/>
      <c r="AC58" s="546"/>
    </row>
    <row r="59" spans="1:68" ht="14.25" hidden="1" customHeight="1" x14ac:dyDescent="0.25">
      <c r="A59" s="556" t="s">
        <v>136</v>
      </c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7"/>
      <c r="P59" s="557"/>
      <c r="Q59" s="557"/>
      <c r="R59" s="557"/>
      <c r="S59" s="557"/>
      <c r="T59" s="557"/>
      <c r="U59" s="557"/>
      <c r="V59" s="557"/>
      <c r="W59" s="557"/>
      <c r="X59" s="557"/>
      <c r="Y59" s="557"/>
      <c r="Z59" s="557"/>
      <c r="AA59" s="539"/>
      <c r="AB59" s="539"/>
      <c r="AC59" s="539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0</v>
      </c>
      <c r="Y60" s="544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70"/>
      <c r="B63" s="557"/>
      <c r="C63" s="557"/>
      <c r="D63" s="557"/>
      <c r="E63" s="557"/>
      <c r="F63" s="557"/>
      <c r="G63" s="557"/>
      <c r="H63" s="557"/>
      <c r="I63" s="557"/>
      <c r="J63" s="557"/>
      <c r="K63" s="557"/>
      <c r="L63" s="557"/>
      <c r="M63" s="557"/>
      <c r="N63" s="557"/>
      <c r="O63" s="571"/>
      <c r="P63" s="560" t="s">
        <v>71</v>
      </c>
      <c r="Q63" s="561"/>
      <c r="R63" s="561"/>
      <c r="S63" s="561"/>
      <c r="T63" s="561"/>
      <c r="U63" s="561"/>
      <c r="V63" s="562"/>
      <c r="W63" s="37" t="s">
        <v>72</v>
      </c>
      <c r="X63" s="545">
        <f>IFERROR(X60/H60,"0")+IFERROR(X61/H61,"0")+IFERROR(X62/H62,"0")</f>
        <v>0</v>
      </c>
      <c r="Y63" s="545">
        <f>IFERROR(Y60/H60,"0")+IFERROR(Y61/H61,"0")+IFERROR(Y62/H62,"0")</f>
        <v>0</v>
      </c>
      <c r="Z63" s="545">
        <f>IFERROR(IF(Z60="",0,Z60),"0")+IFERROR(IF(Z61="",0,Z61),"0")+IFERROR(IF(Z62="",0,Z62),"0")</f>
        <v>0</v>
      </c>
      <c r="AA63" s="546"/>
      <c r="AB63" s="546"/>
      <c r="AC63" s="546"/>
    </row>
    <row r="64" spans="1:68" hidden="1" x14ac:dyDescent="0.2">
      <c r="A64" s="55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71"/>
      <c r="P64" s="560" t="s">
        <v>71</v>
      </c>
      <c r="Q64" s="561"/>
      <c r="R64" s="561"/>
      <c r="S64" s="561"/>
      <c r="T64" s="561"/>
      <c r="U64" s="561"/>
      <c r="V64" s="562"/>
      <c r="W64" s="37" t="s">
        <v>69</v>
      </c>
      <c r="X64" s="545">
        <f>IFERROR(SUM(X60:X62),"0")</f>
        <v>0</v>
      </c>
      <c r="Y64" s="545">
        <f>IFERROR(SUM(Y60:Y62),"0")</f>
        <v>0</v>
      </c>
      <c r="Z64" s="37"/>
      <c r="AA64" s="546"/>
      <c r="AB64" s="546"/>
      <c r="AC64" s="546"/>
    </row>
    <row r="65" spans="1:68" ht="14.25" hidden="1" customHeight="1" x14ac:dyDescent="0.25">
      <c r="A65" s="556" t="s">
        <v>64</v>
      </c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7"/>
      <c r="P65" s="557"/>
      <c r="Q65" s="557"/>
      <c r="R65" s="557"/>
      <c r="S65" s="557"/>
      <c r="T65" s="557"/>
      <c r="U65" s="557"/>
      <c r="V65" s="557"/>
      <c r="W65" s="557"/>
      <c r="X65" s="557"/>
      <c r="Y65" s="557"/>
      <c r="Z65" s="557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0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0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71"/>
      <c r="P69" s="560" t="s">
        <v>71</v>
      </c>
      <c r="Q69" s="561"/>
      <c r="R69" s="561"/>
      <c r="S69" s="561"/>
      <c r="T69" s="561"/>
      <c r="U69" s="561"/>
      <c r="V69" s="562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71"/>
      <c r="P70" s="560" t="s">
        <v>71</v>
      </c>
      <c r="Q70" s="561"/>
      <c r="R70" s="561"/>
      <c r="S70" s="561"/>
      <c r="T70" s="561"/>
      <c r="U70" s="561"/>
      <c r="V70" s="562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56" t="s">
        <v>73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39"/>
      <c r="AB71" s="539"/>
      <c r="AC71" s="539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7">
        <v>4680115885769</v>
      </c>
      <c r="E72" s="548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7">
        <v>4680115884311</v>
      </c>
      <c r="E73" s="548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7">
        <v>4680115885929</v>
      </c>
      <c r="E74" s="548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7">
        <v>4680115884403</v>
      </c>
      <c r="E75" s="548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0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71"/>
      <c r="P76" s="560" t="s">
        <v>71</v>
      </c>
      <c r="Q76" s="561"/>
      <c r="R76" s="561"/>
      <c r="S76" s="561"/>
      <c r="T76" s="561"/>
      <c r="U76" s="561"/>
      <c r="V76" s="562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hidden="1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71"/>
      <c r="P77" s="560" t="s">
        <v>71</v>
      </c>
      <c r="Q77" s="561"/>
      <c r="R77" s="561"/>
      <c r="S77" s="561"/>
      <c r="T77" s="561"/>
      <c r="U77" s="561"/>
      <c r="V77" s="562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hidden="1" customHeight="1" x14ac:dyDescent="0.25">
      <c r="A78" s="556" t="s">
        <v>164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39"/>
      <c r="AB78" s="539"/>
      <c r="AC78" s="539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7">
        <v>4680115881532</v>
      </c>
      <c r="E79" s="548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60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7">
        <v>4680115881464</v>
      </c>
      <c r="E80" s="548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70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71"/>
      <c r="P81" s="560" t="s">
        <v>71</v>
      </c>
      <c r="Q81" s="561"/>
      <c r="R81" s="561"/>
      <c r="S81" s="561"/>
      <c r="T81" s="561"/>
      <c r="U81" s="561"/>
      <c r="V81" s="562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hidden="1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71"/>
      <c r="P82" s="560" t="s">
        <v>71</v>
      </c>
      <c r="Q82" s="561"/>
      <c r="R82" s="561"/>
      <c r="S82" s="561"/>
      <c r="T82" s="561"/>
      <c r="U82" s="561"/>
      <c r="V82" s="562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hidden="1" customHeight="1" x14ac:dyDescent="0.25">
      <c r="A83" s="558" t="s">
        <v>171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38"/>
      <c r="AB83" s="538"/>
      <c r="AC83" s="538"/>
    </row>
    <row r="84" spans="1:68" ht="14.25" hidden="1" customHeight="1" x14ac:dyDescent="0.25">
      <c r="A84" s="556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39"/>
      <c r="AB84" s="539"/>
      <c r="AC84" s="5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7">
        <v>4680115881327</v>
      </c>
      <c r="E85" s="548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4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0"/>
      <c r="R85" s="550"/>
      <c r="S85" s="550"/>
      <c r="T85" s="551"/>
      <c r="U85" s="34"/>
      <c r="V85" s="34"/>
      <c r="W85" s="35" t="s">
        <v>69</v>
      </c>
      <c r="X85" s="543">
        <v>300</v>
      </c>
      <c r="Y85" s="544">
        <f>IFERROR(IF(X85="",0,CEILING((X85/$H85),1)*$H85),"")</f>
        <v>302.40000000000003</v>
      </c>
      <c r="Z85" s="36">
        <f>IFERROR(IF(Y85=0,"",ROUNDUP(Y85/H85,0)*0.01898),"")</f>
        <v>0.53144000000000002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311.38888888888891</v>
      </c>
      <c r="BN85" s="64">
        <f>IFERROR(Y85*I85/H85,"0")</f>
        <v>313.88</v>
      </c>
      <c r="BO85" s="64">
        <f>IFERROR(1/J85*(X85/H85),"0")</f>
        <v>0.43402777777777773</v>
      </c>
      <c r="BP85" s="64">
        <f>IFERROR(1/J85*(Y85/H85),"0")</f>
        <v>0.4375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7">
        <v>4680115881518</v>
      </c>
      <c r="E86" s="548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47">
        <v>4680115881303</v>
      </c>
      <c r="E87" s="548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70"/>
      <c r="B88" s="557"/>
      <c r="C88" s="557"/>
      <c r="D88" s="557"/>
      <c r="E88" s="557"/>
      <c r="F88" s="557"/>
      <c r="G88" s="557"/>
      <c r="H88" s="557"/>
      <c r="I88" s="557"/>
      <c r="J88" s="557"/>
      <c r="K88" s="557"/>
      <c r="L88" s="557"/>
      <c r="M88" s="557"/>
      <c r="N88" s="557"/>
      <c r="O88" s="571"/>
      <c r="P88" s="560" t="s">
        <v>71</v>
      </c>
      <c r="Q88" s="561"/>
      <c r="R88" s="561"/>
      <c r="S88" s="561"/>
      <c r="T88" s="561"/>
      <c r="U88" s="561"/>
      <c r="V88" s="562"/>
      <c r="W88" s="37" t="s">
        <v>72</v>
      </c>
      <c r="X88" s="545">
        <f>IFERROR(X85/H85,"0")+IFERROR(X86/H86,"0")+IFERROR(X87/H87,"0")</f>
        <v>27.777777777777775</v>
      </c>
      <c r="Y88" s="545">
        <f>IFERROR(Y85/H85,"0")+IFERROR(Y86/H86,"0")+IFERROR(Y87/H87,"0")</f>
        <v>28</v>
      </c>
      <c r="Z88" s="545">
        <f>IFERROR(IF(Z85="",0,Z85),"0")+IFERROR(IF(Z86="",0,Z86),"0")+IFERROR(IF(Z87="",0,Z87),"0")</f>
        <v>0.53144000000000002</v>
      </c>
      <c r="AA88" s="546"/>
      <c r="AB88" s="546"/>
      <c r="AC88" s="546"/>
    </row>
    <row r="89" spans="1:68" x14ac:dyDescent="0.2">
      <c r="A89" s="55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71"/>
      <c r="P89" s="560" t="s">
        <v>71</v>
      </c>
      <c r="Q89" s="561"/>
      <c r="R89" s="561"/>
      <c r="S89" s="561"/>
      <c r="T89" s="561"/>
      <c r="U89" s="561"/>
      <c r="V89" s="562"/>
      <c r="W89" s="37" t="s">
        <v>69</v>
      </c>
      <c r="X89" s="545">
        <f>IFERROR(SUM(X85:X87),"0")</f>
        <v>300</v>
      </c>
      <c r="Y89" s="545">
        <f>IFERROR(SUM(Y85:Y87),"0")</f>
        <v>302.40000000000003</v>
      </c>
      <c r="Z89" s="37"/>
      <c r="AA89" s="546"/>
      <c r="AB89" s="546"/>
      <c r="AC89" s="546"/>
    </row>
    <row r="90" spans="1:68" ht="14.25" hidden="1" customHeight="1" x14ac:dyDescent="0.25">
      <c r="A90" s="556" t="s">
        <v>73</v>
      </c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7"/>
      <c r="P90" s="557"/>
      <c r="Q90" s="557"/>
      <c r="R90" s="557"/>
      <c r="S90" s="557"/>
      <c r="T90" s="557"/>
      <c r="U90" s="557"/>
      <c r="V90" s="557"/>
      <c r="W90" s="557"/>
      <c r="X90" s="557"/>
      <c r="Y90" s="557"/>
      <c r="Z90" s="557"/>
      <c r="AA90" s="539"/>
      <c r="AB90" s="539"/>
      <c r="AC90" s="539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47">
        <v>4607091386967</v>
      </c>
      <c r="E91" s="548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3">
        <v>150</v>
      </c>
      <c r="Y91" s="544">
        <f>IFERROR(IF(X91="",0,CEILING((X91/$H91),1)*$H91),"")</f>
        <v>153.9</v>
      </c>
      <c r="Z91" s="36">
        <f>IFERROR(IF(Y91=0,"",ROUNDUP(Y91/H91,0)*0.01898),"")</f>
        <v>0.36062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159.14814814814815</v>
      </c>
      <c r="BN91" s="64">
        <f>IFERROR(Y91*I91/H91,"0")</f>
        <v>163.286</v>
      </c>
      <c r="BO91" s="64">
        <f>IFERROR(1/J91*(X91/H91),"0")</f>
        <v>0.28935185185185186</v>
      </c>
      <c r="BP91" s="64">
        <f>IFERROR(1/J91*(Y91/H91),"0")</f>
        <v>0.296875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7">
        <v>4680115884953</v>
      </c>
      <c r="E92" s="548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7">
        <v>4607091385731</v>
      </c>
      <c r="E93" s="548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83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400</v>
      </c>
      <c r="Y93" s="544">
        <f>IFERROR(IF(X93="",0,CEILING((X93/$H93),1)*$H93),"")</f>
        <v>402.3</v>
      </c>
      <c r="Z93" s="36">
        <f>IFERROR(IF(Y93=0,"",ROUNDUP(Y93/H93,0)*0.00651),"")</f>
        <v>0.96999000000000002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437.33333333333331</v>
      </c>
      <c r="BN93" s="64">
        <f>IFERROR(Y93*I93/H93,"0")</f>
        <v>439.84799999999996</v>
      </c>
      <c r="BO93" s="64">
        <f>IFERROR(1/J93*(X93/H93),"0")</f>
        <v>0.81400081400081403</v>
      </c>
      <c r="BP93" s="64">
        <f>IFERROR(1/J93*(Y93/H93),"0")</f>
        <v>0.81868131868131877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7">
        <v>4680115880894</v>
      </c>
      <c r="E94" s="548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2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3">
        <v>150</v>
      </c>
      <c r="Y94" s="544">
        <f>IFERROR(IF(X94="",0,CEILING((X94/$H94),1)*$H94),"")</f>
        <v>150.47999999999999</v>
      </c>
      <c r="Z94" s="36">
        <f>IFERROR(IF(Y94=0,"",ROUNDUP(Y94/H94,0)*0.00651),"")</f>
        <v>0.49476000000000003</v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169.54545454545453</v>
      </c>
      <c r="BN94" s="64">
        <f>IFERROR(Y94*I94/H94,"0")</f>
        <v>170.08799999999999</v>
      </c>
      <c r="BO94" s="64">
        <f>IFERROR(1/J94*(X94/H94),"0")</f>
        <v>0.41625041625041631</v>
      </c>
      <c r="BP94" s="64">
        <f>IFERROR(1/J94*(Y94/H94),"0")</f>
        <v>0.4175824175824176</v>
      </c>
    </row>
    <row r="95" spans="1:68" x14ac:dyDescent="0.2">
      <c r="A95" s="570"/>
      <c r="B95" s="557"/>
      <c r="C95" s="557"/>
      <c r="D95" s="557"/>
      <c r="E95" s="557"/>
      <c r="F95" s="557"/>
      <c r="G95" s="557"/>
      <c r="H95" s="557"/>
      <c r="I95" s="557"/>
      <c r="J95" s="557"/>
      <c r="K95" s="557"/>
      <c r="L95" s="557"/>
      <c r="M95" s="557"/>
      <c r="N95" s="557"/>
      <c r="O95" s="571"/>
      <c r="P95" s="560" t="s">
        <v>71</v>
      </c>
      <c r="Q95" s="561"/>
      <c r="R95" s="561"/>
      <c r="S95" s="561"/>
      <c r="T95" s="561"/>
      <c r="U95" s="561"/>
      <c r="V95" s="562"/>
      <c r="W95" s="37" t="s">
        <v>72</v>
      </c>
      <c r="X95" s="545">
        <f>IFERROR(X91/H91,"0")+IFERROR(X92/H92,"0")+IFERROR(X93/H93,"0")+IFERROR(X94/H94,"0")</f>
        <v>242.42424242424244</v>
      </c>
      <c r="Y95" s="545">
        <f>IFERROR(Y91/H91,"0")+IFERROR(Y92/H92,"0")+IFERROR(Y93/H93,"0")+IFERROR(Y94/H94,"0")</f>
        <v>244</v>
      </c>
      <c r="Z95" s="545">
        <f>IFERROR(IF(Z91="",0,Z91),"0")+IFERROR(IF(Z92="",0,Z92),"0")+IFERROR(IF(Z93="",0,Z93),"0")+IFERROR(IF(Z94="",0,Z94),"0")</f>
        <v>1.8253700000000002</v>
      </c>
      <c r="AA95" s="546"/>
      <c r="AB95" s="546"/>
      <c r="AC95" s="546"/>
    </row>
    <row r="96" spans="1:68" x14ac:dyDescent="0.2">
      <c r="A96" s="55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71"/>
      <c r="P96" s="560" t="s">
        <v>71</v>
      </c>
      <c r="Q96" s="561"/>
      <c r="R96" s="561"/>
      <c r="S96" s="561"/>
      <c r="T96" s="561"/>
      <c r="U96" s="561"/>
      <c r="V96" s="562"/>
      <c r="W96" s="37" t="s">
        <v>69</v>
      </c>
      <c r="X96" s="545">
        <f>IFERROR(SUM(X91:X94),"0")</f>
        <v>700</v>
      </c>
      <c r="Y96" s="545">
        <f>IFERROR(SUM(Y91:Y94),"0")</f>
        <v>706.68000000000006</v>
      </c>
      <c r="Z96" s="37"/>
      <c r="AA96" s="546"/>
      <c r="AB96" s="546"/>
      <c r="AC96" s="546"/>
    </row>
    <row r="97" spans="1:68" ht="16.5" hidden="1" customHeight="1" x14ac:dyDescent="0.25">
      <c r="A97" s="558" t="s">
        <v>190</v>
      </c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7"/>
      <c r="P97" s="557"/>
      <c r="Q97" s="557"/>
      <c r="R97" s="557"/>
      <c r="S97" s="557"/>
      <c r="T97" s="557"/>
      <c r="U97" s="557"/>
      <c r="V97" s="557"/>
      <c r="W97" s="557"/>
      <c r="X97" s="557"/>
      <c r="Y97" s="557"/>
      <c r="Z97" s="557"/>
      <c r="AA97" s="538"/>
      <c r="AB97" s="538"/>
      <c r="AC97" s="538"/>
    </row>
    <row r="98" spans="1:68" ht="14.25" hidden="1" customHeight="1" x14ac:dyDescent="0.25">
      <c r="A98" s="556" t="s">
        <v>101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39"/>
      <c r="AB98" s="539"/>
      <c r="AC98" s="539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7">
        <v>4680115882133</v>
      </c>
      <c r="E99" s="548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3">
        <v>500</v>
      </c>
      <c r="Y99" s="544">
        <f>IFERROR(IF(X99="",0,CEILING((X99/$H99),1)*$H99),"")</f>
        <v>507.6</v>
      </c>
      <c r="Z99" s="36">
        <f>IFERROR(IF(Y99=0,"",ROUNDUP(Y99/H99,0)*0.01898),"")</f>
        <v>0.89205999999999996</v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518.98148148148141</v>
      </c>
      <c r="BN99" s="64">
        <f>IFERROR(Y99*I99/H99,"0")</f>
        <v>526.87</v>
      </c>
      <c r="BO99" s="64">
        <f>IFERROR(1/J99*(X99/H99),"0")</f>
        <v>0.72337962962962954</v>
      </c>
      <c r="BP99" s="64">
        <f>IFERROR(1/J99*(Y99/H99),"0")</f>
        <v>0.734375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7">
        <v>4680115880269</v>
      </c>
      <c r="E100" s="548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100</v>
      </c>
      <c r="Y100" s="544">
        <f>IFERROR(IF(X100="",0,CEILING((X100/$H100),1)*$H100),"")</f>
        <v>101.25</v>
      </c>
      <c r="Z100" s="36">
        <f>IFERROR(IF(Y100=0,"",ROUNDUP(Y100/H100,0)*0.00902),"")</f>
        <v>0.24354000000000001</v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105.06666666666666</v>
      </c>
      <c r="BN100" s="64">
        <f>IFERROR(Y100*I100/H100,"0")</f>
        <v>106.38000000000001</v>
      </c>
      <c r="BO100" s="64">
        <f>IFERROR(1/J100*(X100/H100),"0")</f>
        <v>0.20202020202020204</v>
      </c>
      <c r="BP100" s="64">
        <f>IFERROR(1/J100*(Y100/H100),"0")</f>
        <v>0.20454545454545456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7">
        <v>4680115880429</v>
      </c>
      <c r="E101" s="548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9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7">
        <v>4680115881457</v>
      </c>
      <c r="E102" s="548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70"/>
      <c r="B103" s="557"/>
      <c r="C103" s="557"/>
      <c r="D103" s="557"/>
      <c r="E103" s="557"/>
      <c r="F103" s="557"/>
      <c r="G103" s="557"/>
      <c r="H103" s="557"/>
      <c r="I103" s="557"/>
      <c r="J103" s="557"/>
      <c r="K103" s="557"/>
      <c r="L103" s="557"/>
      <c r="M103" s="557"/>
      <c r="N103" s="557"/>
      <c r="O103" s="571"/>
      <c r="P103" s="560" t="s">
        <v>71</v>
      </c>
      <c r="Q103" s="561"/>
      <c r="R103" s="561"/>
      <c r="S103" s="561"/>
      <c r="T103" s="561"/>
      <c r="U103" s="561"/>
      <c r="V103" s="562"/>
      <c r="W103" s="37" t="s">
        <v>72</v>
      </c>
      <c r="X103" s="545">
        <f>IFERROR(X99/H99,"0")+IFERROR(X100/H100,"0")+IFERROR(X101/H101,"0")+IFERROR(X102/H102,"0")</f>
        <v>72.962962962962962</v>
      </c>
      <c r="Y103" s="545">
        <f>IFERROR(Y99/H99,"0")+IFERROR(Y100/H100,"0")+IFERROR(Y101/H101,"0")+IFERROR(Y102/H102,"0")</f>
        <v>74</v>
      </c>
      <c r="Z103" s="545">
        <f>IFERROR(IF(Z99="",0,Z99),"0")+IFERROR(IF(Z100="",0,Z100),"0")+IFERROR(IF(Z101="",0,Z101),"0")+IFERROR(IF(Z102="",0,Z102),"0")</f>
        <v>1.1355999999999999</v>
      </c>
      <c r="AA103" s="546"/>
      <c r="AB103" s="546"/>
      <c r="AC103" s="546"/>
    </row>
    <row r="104" spans="1:68" x14ac:dyDescent="0.2">
      <c r="A104" s="557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71"/>
      <c r="P104" s="560" t="s">
        <v>71</v>
      </c>
      <c r="Q104" s="561"/>
      <c r="R104" s="561"/>
      <c r="S104" s="561"/>
      <c r="T104" s="561"/>
      <c r="U104" s="561"/>
      <c r="V104" s="562"/>
      <c r="W104" s="37" t="s">
        <v>69</v>
      </c>
      <c r="X104" s="545">
        <f>IFERROR(SUM(X99:X102),"0")</f>
        <v>600</v>
      </c>
      <c r="Y104" s="545">
        <f>IFERROR(SUM(Y99:Y102),"0")</f>
        <v>608.85</v>
      </c>
      <c r="Z104" s="37"/>
      <c r="AA104" s="546"/>
      <c r="AB104" s="546"/>
      <c r="AC104" s="546"/>
    </row>
    <row r="105" spans="1:68" ht="14.25" hidden="1" customHeight="1" x14ac:dyDescent="0.25">
      <c r="A105" s="556" t="s">
        <v>136</v>
      </c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57"/>
      <c r="P105" s="557"/>
      <c r="Q105" s="557"/>
      <c r="R105" s="557"/>
      <c r="S105" s="557"/>
      <c r="T105" s="557"/>
      <c r="U105" s="557"/>
      <c r="V105" s="557"/>
      <c r="W105" s="557"/>
      <c r="X105" s="557"/>
      <c r="Y105" s="557"/>
      <c r="Z105" s="557"/>
      <c r="AA105" s="539"/>
      <c r="AB105" s="539"/>
      <c r="AC105" s="539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7">
        <v>4680115881488</v>
      </c>
      <c r="E106" s="548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0"/>
      <c r="R106" s="550"/>
      <c r="S106" s="550"/>
      <c r="T106" s="551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7">
        <v>4680115882775</v>
      </c>
      <c r="E107" s="548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7">
        <v>4680115880658</v>
      </c>
      <c r="E108" s="548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5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70"/>
      <c r="B109" s="557"/>
      <c r="C109" s="557"/>
      <c r="D109" s="557"/>
      <c r="E109" s="557"/>
      <c r="F109" s="557"/>
      <c r="G109" s="557"/>
      <c r="H109" s="557"/>
      <c r="I109" s="557"/>
      <c r="J109" s="557"/>
      <c r="K109" s="557"/>
      <c r="L109" s="557"/>
      <c r="M109" s="557"/>
      <c r="N109" s="557"/>
      <c r="O109" s="571"/>
      <c r="P109" s="560" t="s">
        <v>71</v>
      </c>
      <c r="Q109" s="561"/>
      <c r="R109" s="561"/>
      <c r="S109" s="561"/>
      <c r="T109" s="561"/>
      <c r="U109" s="561"/>
      <c r="V109" s="562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hidden="1" x14ac:dyDescent="0.2">
      <c r="A110" s="557"/>
      <c r="B110" s="557"/>
      <c r="C110" s="557"/>
      <c r="D110" s="557"/>
      <c r="E110" s="557"/>
      <c r="F110" s="557"/>
      <c r="G110" s="557"/>
      <c r="H110" s="557"/>
      <c r="I110" s="557"/>
      <c r="J110" s="557"/>
      <c r="K110" s="557"/>
      <c r="L110" s="557"/>
      <c r="M110" s="557"/>
      <c r="N110" s="557"/>
      <c r="O110" s="571"/>
      <c r="P110" s="560" t="s">
        <v>71</v>
      </c>
      <c r="Q110" s="561"/>
      <c r="R110" s="561"/>
      <c r="S110" s="561"/>
      <c r="T110" s="561"/>
      <c r="U110" s="561"/>
      <c r="V110" s="562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hidden="1" customHeight="1" x14ac:dyDescent="0.25">
      <c r="A111" s="556" t="s">
        <v>73</v>
      </c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57"/>
      <c r="P111" s="557"/>
      <c r="Q111" s="557"/>
      <c r="R111" s="557"/>
      <c r="S111" s="557"/>
      <c r="T111" s="557"/>
      <c r="U111" s="557"/>
      <c r="V111" s="557"/>
      <c r="W111" s="557"/>
      <c r="X111" s="557"/>
      <c r="Y111" s="557"/>
      <c r="Z111" s="557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7">
        <v>4607091385168</v>
      </c>
      <c r="E112" s="548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3">
        <v>400</v>
      </c>
      <c r="Y112" s="544">
        <f>IFERROR(IF(X112="",0,CEILING((X112/$H112),1)*$H112),"")</f>
        <v>405</v>
      </c>
      <c r="Z112" s="36">
        <f>IFERROR(IF(Y112=0,"",ROUNDUP(Y112/H112,0)*0.01898),"")</f>
        <v>0.94900000000000007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424.09876543209879</v>
      </c>
      <c r="BN112" s="64">
        <f>IFERROR(Y112*I112/H112,"0")</f>
        <v>429.4</v>
      </c>
      <c r="BO112" s="64">
        <f>IFERROR(1/J112*(X112/H112),"0")</f>
        <v>0.77160493827160492</v>
      </c>
      <c r="BP112" s="64">
        <f>IFERROR(1/J112*(Y112/H112),"0")</f>
        <v>0.78125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7">
        <v>4607091383256</v>
      </c>
      <c r="E113" s="548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5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7">
        <v>4607091385748</v>
      </c>
      <c r="E114" s="548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100</v>
      </c>
      <c r="Y114" s="544">
        <f>IFERROR(IF(X114="",0,CEILING((X114/$H114),1)*$H114),"")</f>
        <v>102.60000000000001</v>
      </c>
      <c r="Z114" s="36">
        <f>IFERROR(IF(Y114=0,"",ROUNDUP(Y114/H114,0)*0.00651),"")</f>
        <v>0.24738000000000002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109.33333333333333</v>
      </c>
      <c r="BN114" s="64">
        <f>IFERROR(Y114*I114/H114,"0")</f>
        <v>112.176</v>
      </c>
      <c r="BO114" s="64">
        <f>IFERROR(1/J114*(X114/H114),"0")</f>
        <v>0.20350020350020351</v>
      </c>
      <c r="BP114" s="64">
        <f>IFERROR(1/J114*(Y114/H114),"0")</f>
        <v>0.2087912087912088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7">
        <v>4680115884533</v>
      </c>
      <c r="E115" s="548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70"/>
      <c r="B116" s="557"/>
      <c r="C116" s="557"/>
      <c r="D116" s="557"/>
      <c r="E116" s="557"/>
      <c r="F116" s="557"/>
      <c r="G116" s="557"/>
      <c r="H116" s="557"/>
      <c r="I116" s="557"/>
      <c r="J116" s="557"/>
      <c r="K116" s="557"/>
      <c r="L116" s="557"/>
      <c r="M116" s="557"/>
      <c r="N116" s="557"/>
      <c r="O116" s="571"/>
      <c r="P116" s="560" t="s">
        <v>71</v>
      </c>
      <c r="Q116" s="561"/>
      <c r="R116" s="561"/>
      <c r="S116" s="561"/>
      <c r="T116" s="561"/>
      <c r="U116" s="561"/>
      <c r="V116" s="562"/>
      <c r="W116" s="37" t="s">
        <v>72</v>
      </c>
      <c r="X116" s="545">
        <f>IFERROR(X112/H112,"0")+IFERROR(X113/H113,"0")+IFERROR(X114/H114,"0")+IFERROR(X115/H115,"0")</f>
        <v>86.419753086419746</v>
      </c>
      <c r="Y116" s="545">
        <f>IFERROR(Y112/H112,"0")+IFERROR(Y113/H113,"0")+IFERROR(Y114/H114,"0")+IFERROR(Y115/H115,"0")</f>
        <v>88</v>
      </c>
      <c r="Z116" s="545">
        <f>IFERROR(IF(Z112="",0,Z112),"0")+IFERROR(IF(Z113="",0,Z113),"0")+IFERROR(IF(Z114="",0,Z114),"0")+IFERROR(IF(Z115="",0,Z115),"0")</f>
        <v>1.19638</v>
      </c>
      <c r="AA116" s="546"/>
      <c r="AB116" s="546"/>
      <c r="AC116" s="546"/>
    </row>
    <row r="117" spans="1:68" x14ac:dyDescent="0.2">
      <c r="A117" s="557"/>
      <c r="B117" s="557"/>
      <c r="C117" s="557"/>
      <c r="D117" s="557"/>
      <c r="E117" s="557"/>
      <c r="F117" s="557"/>
      <c r="G117" s="557"/>
      <c r="H117" s="557"/>
      <c r="I117" s="557"/>
      <c r="J117" s="557"/>
      <c r="K117" s="557"/>
      <c r="L117" s="557"/>
      <c r="M117" s="557"/>
      <c r="N117" s="557"/>
      <c r="O117" s="571"/>
      <c r="P117" s="560" t="s">
        <v>71</v>
      </c>
      <c r="Q117" s="561"/>
      <c r="R117" s="561"/>
      <c r="S117" s="561"/>
      <c r="T117" s="561"/>
      <c r="U117" s="561"/>
      <c r="V117" s="562"/>
      <c r="W117" s="37" t="s">
        <v>69</v>
      </c>
      <c r="X117" s="545">
        <f>IFERROR(SUM(X112:X115),"0")</f>
        <v>500</v>
      </c>
      <c r="Y117" s="545">
        <f>IFERROR(SUM(Y112:Y115),"0")</f>
        <v>507.6</v>
      </c>
      <c r="Z117" s="37"/>
      <c r="AA117" s="546"/>
      <c r="AB117" s="546"/>
      <c r="AC117" s="546"/>
    </row>
    <row r="118" spans="1:68" ht="14.25" hidden="1" customHeight="1" x14ac:dyDescent="0.25">
      <c r="A118" s="556" t="s">
        <v>164</v>
      </c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57"/>
      <c r="P118" s="557"/>
      <c r="Q118" s="557"/>
      <c r="R118" s="557"/>
      <c r="S118" s="557"/>
      <c r="T118" s="557"/>
      <c r="U118" s="557"/>
      <c r="V118" s="557"/>
      <c r="W118" s="557"/>
      <c r="X118" s="557"/>
      <c r="Y118" s="557"/>
      <c r="Z118" s="557"/>
      <c r="AA118" s="539"/>
      <c r="AB118" s="539"/>
      <c r="AC118" s="539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7">
        <v>4680115880238</v>
      </c>
      <c r="E119" s="548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70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71"/>
      <c r="P120" s="560" t="s">
        <v>71</v>
      </c>
      <c r="Q120" s="561"/>
      <c r="R120" s="561"/>
      <c r="S120" s="561"/>
      <c r="T120" s="561"/>
      <c r="U120" s="561"/>
      <c r="V120" s="562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hidden="1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71"/>
      <c r="P121" s="560" t="s">
        <v>71</v>
      </c>
      <c r="Q121" s="561"/>
      <c r="R121" s="561"/>
      <c r="S121" s="561"/>
      <c r="T121" s="561"/>
      <c r="U121" s="561"/>
      <c r="V121" s="562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hidden="1" customHeight="1" x14ac:dyDescent="0.25">
      <c r="A122" s="558" t="s">
        <v>220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38"/>
      <c r="AB122" s="538"/>
      <c r="AC122" s="538"/>
    </row>
    <row r="123" spans="1:68" ht="14.25" hidden="1" customHeight="1" x14ac:dyDescent="0.25">
      <c r="A123" s="556" t="s">
        <v>101</v>
      </c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7"/>
      <c r="P123" s="557"/>
      <c r="Q123" s="557"/>
      <c r="R123" s="557"/>
      <c r="S123" s="557"/>
      <c r="T123" s="557"/>
      <c r="U123" s="557"/>
      <c r="V123" s="557"/>
      <c r="W123" s="557"/>
      <c r="X123" s="557"/>
      <c r="Y123" s="557"/>
      <c r="Z123" s="557"/>
      <c r="AA123" s="539"/>
      <c r="AB123" s="539"/>
      <c r="AC123" s="539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7">
        <v>4680115882577</v>
      </c>
      <c r="E124" s="548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0"/>
      <c r="R124" s="550"/>
      <c r="S124" s="550"/>
      <c r="T124" s="551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70"/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71"/>
      <c r="P126" s="560" t="s">
        <v>71</v>
      </c>
      <c r="Q126" s="561"/>
      <c r="R126" s="561"/>
      <c r="S126" s="561"/>
      <c r="T126" s="561"/>
      <c r="U126" s="561"/>
      <c r="V126" s="562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hidden="1" x14ac:dyDescent="0.2">
      <c r="A127" s="557"/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71"/>
      <c r="P127" s="560" t="s">
        <v>71</v>
      </c>
      <c r="Q127" s="561"/>
      <c r="R127" s="561"/>
      <c r="S127" s="561"/>
      <c r="T127" s="561"/>
      <c r="U127" s="561"/>
      <c r="V127" s="562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hidden="1" customHeight="1" x14ac:dyDescent="0.25">
      <c r="A128" s="556" t="s">
        <v>64</v>
      </c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57"/>
      <c r="P128" s="557"/>
      <c r="Q128" s="557"/>
      <c r="R128" s="557"/>
      <c r="S128" s="557"/>
      <c r="T128" s="557"/>
      <c r="U128" s="557"/>
      <c r="V128" s="557"/>
      <c r="W128" s="557"/>
      <c r="X128" s="557"/>
      <c r="Y128" s="557"/>
      <c r="Z128" s="557"/>
      <c r="AA128" s="539"/>
      <c r="AB128" s="539"/>
      <c r="AC128" s="539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7">
        <v>4680115883444</v>
      </c>
      <c r="E129" s="548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0"/>
      <c r="R129" s="550"/>
      <c r="S129" s="550"/>
      <c r="T129" s="551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70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71"/>
      <c r="P131" s="560" t="s">
        <v>71</v>
      </c>
      <c r="Q131" s="561"/>
      <c r="R131" s="561"/>
      <c r="S131" s="561"/>
      <c r="T131" s="561"/>
      <c r="U131" s="561"/>
      <c r="V131" s="562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hidden="1" x14ac:dyDescent="0.2">
      <c r="A132" s="557"/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71"/>
      <c r="P132" s="560" t="s">
        <v>71</v>
      </c>
      <c r="Q132" s="561"/>
      <c r="R132" s="561"/>
      <c r="S132" s="561"/>
      <c r="T132" s="561"/>
      <c r="U132" s="561"/>
      <c r="V132" s="562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hidden="1" customHeight="1" x14ac:dyDescent="0.25">
      <c r="A133" s="556" t="s">
        <v>73</v>
      </c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57"/>
      <c r="P133" s="557"/>
      <c r="Q133" s="557"/>
      <c r="R133" s="557"/>
      <c r="S133" s="557"/>
      <c r="T133" s="557"/>
      <c r="U133" s="557"/>
      <c r="V133" s="557"/>
      <c r="W133" s="557"/>
      <c r="X133" s="557"/>
      <c r="Y133" s="557"/>
      <c r="Z133" s="557"/>
      <c r="AA133" s="539"/>
      <c r="AB133" s="539"/>
      <c r="AC133" s="539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7">
        <v>4680115882584</v>
      </c>
      <c r="E134" s="548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0"/>
      <c r="R134" s="550"/>
      <c r="S134" s="550"/>
      <c r="T134" s="551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70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71"/>
      <c r="P136" s="560" t="s">
        <v>71</v>
      </c>
      <c r="Q136" s="561"/>
      <c r="R136" s="561"/>
      <c r="S136" s="561"/>
      <c r="T136" s="561"/>
      <c r="U136" s="561"/>
      <c r="V136" s="562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hidden="1" x14ac:dyDescent="0.2">
      <c r="A137" s="557"/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71"/>
      <c r="P137" s="560" t="s">
        <v>71</v>
      </c>
      <c r="Q137" s="561"/>
      <c r="R137" s="561"/>
      <c r="S137" s="561"/>
      <c r="T137" s="561"/>
      <c r="U137" s="561"/>
      <c r="V137" s="562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hidden="1" customHeight="1" x14ac:dyDescent="0.25">
      <c r="A138" s="558" t="s">
        <v>99</v>
      </c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57"/>
      <c r="P138" s="557"/>
      <c r="Q138" s="557"/>
      <c r="R138" s="557"/>
      <c r="S138" s="557"/>
      <c r="T138" s="557"/>
      <c r="U138" s="557"/>
      <c r="V138" s="557"/>
      <c r="W138" s="557"/>
      <c r="X138" s="557"/>
      <c r="Y138" s="557"/>
      <c r="Z138" s="557"/>
      <c r="AA138" s="538"/>
      <c r="AB138" s="538"/>
      <c r="AC138" s="538"/>
    </row>
    <row r="139" spans="1:68" ht="14.25" hidden="1" customHeight="1" x14ac:dyDescent="0.25">
      <c r="A139" s="556" t="s">
        <v>101</v>
      </c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7"/>
      <c r="P139" s="557"/>
      <c r="Q139" s="557"/>
      <c r="R139" s="557"/>
      <c r="S139" s="557"/>
      <c r="T139" s="557"/>
      <c r="U139" s="557"/>
      <c r="V139" s="557"/>
      <c r="W139" s="557"/>
      <c r="X139" s="557"/>
      <c r="Y139" s="557"/>
      <c r="Z139" s="557"/>
      <c r="AA139" s="539"/>
      <c r="AB139" s="539"/>
      <c r="AC139" s="539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7">
        <v>4680115887374</v>
      </c>
      <c r="E140" s="548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0"/>
      <c r="R140" s="550"/>
      <c r="S140" s="550"/>
      <c r="T140" s="551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7">
        <v>4607091384604</v>
      </c>
      <c r="E141" s="548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70"/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71"/>
      <c r="P142" s="560" t="s">
        <v>71</v>
      </c>
      <c r="Q142" s="561"/>
      <c r="R142" s="561"/>
      <c r="S142" s="561"/>
      <c r="T142" s="561"/>
      <c r="U142" s="561"/>
      <c r="V142" s="562"/>
      <c r="W142" s="37" t="s">
        <v>72</v>
      </c>
      <c r="X142" s="545">
        <f>IFERROR(X140/H140,"0")+IFERROR(X141/H141,"0")</f>
        <v>0</v>
      </c>
      <c r="Y142" s="545">
        <f>IFERROR(Y140/H140,"0")+IFERROR(Y141/H141,"0")</f>
        <v>0</v>
      </c>
      <c r="Z142" s="545">
        <f>IFERROR(IF(Z140="",0,Z140),"0")+IFERROR(IF(Z141="",0,Z141),"0")</f>
        <v>0</v>
      </c>
      <c r="AA142" s="546"/>
      <c r="AB142" s="546"/>
      <c r="AC142" s="546"/>
    </row>
    <row r="143" spans="1:68" hidden="1" x14ac:dyDescent="0.2">
      <c r="A143" s="557"/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71"/>
      <c r="P143" s="560" t="s">
        <v>71</v>
      </c>
      <c r="Q143" s="561"/>
      <c r="R143" s="561"/>
      <c r="S143" s="561"/>
      <c r="T143" s="561"/>
      <c r="U143" s="561"/>
      <c r="V143" s="562"/>
      <c r="W143" s="37" t="s">
        <v>69</v>
      </c>
      <c r="X143" s="545">
        <f>IFERROR(SUM(X140:X141),"0")</f>
        <v>0</v>
      </c>
      <c r="Y143" s="545">
        <f>IFERROR(SUM(Y140:Y141),"0")</f>
        <v>0</v>
      </c>
      <c r="Z143" s="37"/>
      <c r="AA143" s="546"/>
      <c r="AB143" s="546"/>
      <c r="AC143" s="546"/>
    </row>
    <row r="144" spans="1:68" ht="14.25" hidden="1" customHeight="1" x14ac:dyDescent="0.25">
      <c r="A144" s="556" t="s">
        <v>64</v>
      </c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57"/>
      <c r="P144" s="557"/>
      <c r="Q144" s="557"/>
      <c r="R144" s="557"/>
      <c r="S144" s="557"/>
      <c r="T144" s="557"/>
      <c r="U144" s="557"/>
      <c r="V144" s="557"/>
      <c r="W144" s="557"/>
      <c r="X144" s="557"/>
      <c r="Y144" s="557"/>
      <c r="Z144" s="557"/>
      <c r="AA144" s="539"/>
      <c r="AB144" s="539"/>
      <c r="AC144" s="539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7">
        <v>4607091387667</v>
      </c>
      <c r="E145" s="548"/>
      <c r="F145" s="542">
        <v>0.9</v>
      </c>
      <c r="G145" s="32">
        <v>10</v>
      </c>
      <c r="H145" s="542">
        <v>9</v>
      </c>
      <c r="I145" s="542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50"/>
      <c r="R145" s="550"/>
      <c r="S145" s="550"/>
      <c r="T145" s="551"/>
      <c r="U145" s="34"/>
      <c r="V145" s="34"/>
      <c r="W145" s="35" t="s">
        <v>69</v>
      </c>
      <c r="X145" s="543">
        <v>0</v>
      </c>
      <c r="Y145" s="544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7">
        <v>4607091387636</v>
      </c>
      <c r="E146" s="548"/>
      <c r="F146" s="542">
        <v>0.7</v>
      </c>
      <c r="G146" s="32">
        <v>6</v>
      </c>
      <c r="H146" s="542">
        <v>4.2</v>
      </c>
      <c r="I146" s="542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7">
        <v>4607091382426</v>
      </c>
      <c r="E147" s="548"/>
      <c r="F147" s="542">
        <v>0.9</v>
      </c>
      <c r="G147" s="32">
        <v>10</v>
      </c>
      <c r="H147" s="542">
        <v>9</v>
      </c>
      <c r="I147" s="542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70"/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71"/>
      <c r="P148" s="560" t="s">
        <v>71</v>
      </c>
      <c r="Q148" s="561"/>
      <c r="R148" s="561"/>
      <c r="S148" s="561"/>
      <c r="T148" s="561"/>
      <c r="U148" s="561"/>
      <c r="V148" s="562"/>
      <c r="W148" s="37" t="s">
        <v>72</v>
      </c>
      <c r="X148" s="545">
        <f>IFERROR(X145/H145,"0")+IFERROR(X146/H146,"0")+IFERROR(X147/H147,"0")</f>
        <v>0</v>
      </c>
      <c r="Y148" s="545">
        <f>IFERROR(Y145/H145,"0")+IFERROR(Y146/H146,"0")+IFERROR(Y147/H147,"0")</f>
        <v>0</v>
      </c>
      <c r="Z148" s="545">
        <f>IFERROR(IF(Z145="",0,Z145),"0")+IFERROR(IF(Z146="",0,Z146),"0")+IFERROR(IF(Z147="",0,Z147),"0")</f>
        <v>0</v>
      </c>
      <c r="AA148" s="546"/>
      <c r="AB148" s="546"/>
      <c r="AC148" s="546"/>
    </row>
    <row r="149" spans="1:68" hidden="1" x14ac:dyDescent="0.2">
      <c r="A149" s="557"/>
      <c r="B149" s="557"/>
      <c r="C149" s="557"/>
      <c r="D149" s="557"/>
      <c r="E149" s="557"/>
      <c r="F149" s="557"/>
      <c r="G149" s="557"/>
      <c r="H149" s="557"/>
      <c r="I149" s="557"/>
      <c r="J149" s="557"/>
      <c r="K149" s="557"/>
      <c r="L149" s="557"/>
      <c r="M149" s="557"/>
      <c r="N149" s="557"/>
      <c r="O149" s="571"/>
      <c r="P149" s="560" t="s">
        <v>71</v>
      </c>
      <c r="Q149" s="561"/>
      <c r="R149" s="561"/>
      <c r="S149" s="561"/>
      <c r="T149" s="561"/>
      <c r="U149" s="561"/>
      <c r="V149" s="562"/>
      <c r="W149" s="37" t="s">
        <v>69</v>
      </c>
      <c r="X149" s="545">
        <f>IFERROR(SUM(X145:X147),"0")</f>
        <v>0</v>
      </c>
      <c r="Y149" s="545">
        <f>IFERROR(SUM(Y145:Y147),"0")</f>
        <v>0</v>
      </c>
      <c r="Z149" s="37"/>
      <c r="AA149" s="546"/>
      <c r="AB149" s="546"/>
      <c r="AC149" s="546"/>
    </row>
    <row r="150" spans="1:68" ht="14.25" hidden="1" customHeight="1" x14ac:dyDescent="0.25">
      <c r="A150" s="556" t="s">
        <v>73</v>
      </c>
      <c r="B150" s="557"/>
      <c r="C150" s="557"/>
      <c r="D150" s="557"/>
      <c r="E150" s="557"/>
      <c r="F150" s="557"/>
      <c r="G150" s="557"/>
      <c r="H150" s="557"/>
      <c r="I150" s="557"/>
      <c r="J150" s="557"/>
      <c r="K150" s="557"/>
      <c r="L150" s="557"/>
      <c r="M150" s="557"/>
      <c r="N150" s="557"/>
      <c r="O150" s="557"/>
      <c r="P150" s="557"/>
      <c r="Q150" s="557"/>
      <c r="R150" s="557"/>
      <c r="S150" s="557"/>
      <c r="T150" s="557"/>
      <c r="U150" s="557"/>
      <c r="V150" s="557"/>
      <c r="W150" s="557"/>
      <c r="X150" s="557"/>
      <c r="Y150" s="557"/>
      <c r="Z150" s="557"/>
      <c r="AA150" s="539"/>
      <c r="AB150" s="539"/>
      <c r="AC150" s="539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7">
        <v>4680115887459</v>
      </c>
      <c r="E151" s="548"/>
      <c r="F151" s="542">
        <v>0.3</v>
      </c>
      <c r="G151" s="32">
        <v>6</v>
      </c>
      <c r="H151" s="542">
        <v>1.8</v>
      </c>
      <c r="I151" s="542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3">
        <v>0</v>
      </c>
      <c r="Y151" s="54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70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71"/>
      <c r="P152" s="560" t="s">
        <v>71</v>
      </c>
      <c r="Q152" s="561"/>
      <c r="R152" s="561"/>
      <c r="S152" s="561"/>
      <c r="T152" s="561"/>
      <c r="U152" s="561"/>
      <c r="V152" s="562"/>
      <c r="W152" s="37" t="s">
        <v>72</v>
      </c>
      <c r="X152" s="545">
        <f>IFERROR(X151/H151,"0")</f>
        <v>0</v>
      </c>
      <c r="Y152" s="545">
        <f>IFERROR(Y151/H151,"0")</f>
        <v>0</v>
      </c>
      <c r="Z152" s="545">
        <f>IFERROR(IF(Z151="",0,Z151),"0")</f>
        <v>0</v>
      </c>
      <c r="AA152" s="546"/>
      <c r="AB152" s="546"/>
      <c r="AC152" s="546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71"/>
      <c r="P153" s="560" t="s">
        <v>71</v>
      </c>
      <c r="Q153" s="561"/>
      <c r="R153" s="561"/>
      <c r="S153" s="561"/>
      <c r="T153" s="561"/>
      <c r="U153" s="561"/>
      <c r="V153" s="562"/>
      <c r="W153" s="37" t="s">
        <v>69</v>
      </c>
      <c r="X153" s="545">
        <f>IFERROR(SUM(X151:X151),"0")</f>
        <v>0</v>
      </c>
      <c r="Y153" s="545">
        <f>IFERROR(SUM(Y151:Y151),"0")</f>
        <v>0</v>
      </c>
      <c r="Z153" s="37"/>
      <c r="AA153" s="546"/>
      <c r="AB153" s="546"/>
      <c r="AC153" s="546"/>
    </row>
    <row r="154" spans="1:68" ht="27.75" hidden="1" customHeight="1" x14ac:dyDescent="0.2">
      <c r="A154" s="568" t="s">
        <v>250</v>
      </c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69"/>
      <c r="P154" s="569"/>
      <c r="Q154" s="569"/>
      <c r="R154" s="569"/>
      <c r="S154" s="569"/>
      <c r="T154" s="569"/>
      <c r="U154" s="569"/>
      <c r="V154" s="569"/>
      <c r="W154" s="569"/>
      <c r="X154" s="569"/>
      <c r="Y154" s="569"/>
      <c r="Z154" s="569"/>
      <c r="AA154" s="48"/>
      <c r="AB154" s="48"/>
      <c r="AC154" s="48"/>
    </row>
    <row r="155" spans="1:68" ht="16.5" hidden="1" customHeight="1" x14ac:dyDescent="0.25">
      <c r="A155" s="558" t="s">
        <v>251</v>
      </c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57"/>
      <c r="P155" s="557"/>
      <c r="Q155" s="557"/>
      <c r="R155" s="557"/>
      <c r="S155" s="557"/>
      <c r="T155" s="557"/>
      <c r="U155" s="557"/>
      <c r="V155" s="557"/>
      <c r="W155" s="557"/>
      <c r="X155" s="557"/>
      <c r="Y155" s="557"/>
      <c r="Z155" s="557"/>
      <c r="AA155" s="538"/>
      <c r="AB155" s="538"/>
      <c r="AC155" s="538"/>
    </row>
    <row r="156" spans="1:68" ht="14.25" hidden="1" customHeight="1" x14ac:dyDescent="0.25">
      <c r="A156" s="556" t="s">
        <v>136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39"/>
      <c r="AB156" s="539"/>
      <c r="AC156" s="539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7">
        <v>4680115886223</v>
      </c>
      <c r="E157" s="548"/>
      <c r="F157" s="542">
        <v>0.33</v>
      </c>
      <c r="G157" s="32">
        <v>6</v>
      </c>
      <c r="H157" s="542">
        <v>1.98</v>
      </c>
      <c r="I157" s="542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50"/>
      <c r="R157" s="550"/>
      <c r="S157" s="550"/>
      <c r="T157" s="551"/>
      <c r="U157" s="34"/>
      <c r="V157" s="34"/>
      <c r="W157" s="35" t="s">
        <v>69</v>
      </c>
      <c r="X157" s="543">
        <v>0</v>
      </c>
      <c r="Y157" s="544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0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71"/>
      <c r="P158" s="560" t="s">
        <v>71</v>
      </c>
      <c r="Q158" s="561"/>
      <c r="R158" s="561"/>
      <c r="S158" s="561"/>
      <c r="T158" s="561"/>
      <c r="U158" s="561"/>
      <c r="V158" s="562"/>
      <c r="W158" s="37" t="s">
        <v>72</v>
      </c>
      <c r="X158" s="545">
        <f>IFERROR(X157/H157,"0")</f>
        <v>0</v>
      </c>
      <c r="Y158" s="545">
        <f>IFERROR(Y157/H157,"0")</f>
        <v>0</v>
      </c>
      <c r="Z158" s="545">
        <f>IFERROR(IF(Z157="",0,Z157),"0")</f>
        <v>0</v>
      </c>
      <c r="AA158" s="546"/>
      <c r="AB158" s="546"/>
      <c r="AC158" s="546"/>
    </row>
    <row r="159" spans="1:68" hidden="1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71"/>
      <c r="P159" s="560" t="s">
        <v>71</v>
      </c>
      <c r="Q159" s="561"/>
      <c r="R159" s="561"/>
      <c r="S159" s="561"/>
      <c r="T159" s="561"/>
      <c r="U159" s="561"/>
      <c r="V159" s="562"/>
      <c r="W159" s="37" t="s">
        <v>69</v>
      </c>
      <c r="X159" s="545">
        <f>IFERROR(SUM(X157:X157),"0")</f>
        <v>0</v>
      </c>
      <c r="Y159" s="545">
        <f>IFERROR(SUM(Y157:Y157),"0")</f>
        <v>0</v>
      </c>
      <c r="Z159" s="37"/>
      <c r="AA159" s="546"/>
      <c r="AB159" s="546"/>
      <c r="AC159" s="546"/>
    </row>
    <row r="160" spans="1:68" ht="14.25" hidden="1" customHeight="1" x14ac:dyDescent="0.25">
      <c r="A160" s="556" t="s">
        <v>64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39"/>
      <c r="AB160" s="539"/>
      <c r="AC160" s="539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7">
        <v>4680115880993</v>
      </c>
      <c r="E161" s="548"/>
      <c r="F161" s="542">
        <v>0.7</v>
      </c>
      <c r="G161" s="32">
        <v>6</v>
      </c>
      <c r="H161" s="542">
        <v>4.2</v>
      </c>
      <c r="I161" s="542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50"/>
      <c r="R161" s="550"/>
      <c r="S161" s="550"/>
      <c r="T161" s="551"/>
      <c r="U161" s="34"/>
      <c r="V161" s="34"/>
      <c r="W161" s="35" t="s">
        <v>69</v>
      </c>
      <c r="X161" s="543">
        <v>0</v>
      </c>
      <c r="Y161" s="544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7">
        <v>4680115881761</v>
      </c>
      <c r="E162" s="548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8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50"/>
      <c r="R162" s="550"/>
      <c r="S162" s="550"/>
      <c r="T162" s="551"/>
      <c r="U162" s="34"/>
      <c r="V162" s="34"/>
      <c r="W162" s="35" t="s">
        <v>69</v>
      </c>
      <c r="X162" s="543">
        <v>0</v>
      </c>
      <c r="Y162" s="544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7">
        <v>4680115881563</v>
      </c>
      <c r="E163" s="548"/>
      <c r="F163" s="542">
        <v>0.7</v>
      </c>
      <c r="G163" s="32">
        <v>6</v>
      </c>
      <c r="H163" s="542">
        <v>4.2</v>
      </c>
      <c r="I163" s="542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100</v>
      </c>
      <c r="Y163" s="544">
        <f t="shared" si="5"/>
        <v>100.80000000000001</v>
      </c>
      <c r="Z163" s="36">
        <f>IFERROR(IF(Y163=0,"",ROUNDUP(Y163/H163,0)*0.00902),"")</f>
        <v>0.21648000000000001</v>
      </c>
      <c r="AA163" s="56"/>
      <c r="AB163" s="57"/>
      <c r="AC163" s="195" t="s">
        <v>263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104.5238095238095</v>
      </c>
      <c r="BN163" s="64">
        <f t="shared" si="7"/>
        <v>105.36</v>
      </c>
      <c r="BO163" s="64">
        <f t="shared" si="8"/>
        <v>0.18037518037518038</v>
      </c>
      <c r="BP163" s="64">
        <f t="shared" si="9"/>
        <v>0.18181818181818182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7">
        <v>4680115880986</v>
      </c>
      <c r="E164" s="548"/>
      <c r="F164" s="542">
        <v>0.35</v>
      </c>
      <c r="G164" s="32">
        <v>6</v>
      </c>
      <c r="H164" s="542">
        <v>2.1</v>
      </c>
      <c r="I164" s="542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8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7">
        <v>4680115887213</v>
      </c>
      <c r="E165" s="548"/>
      <c r="F165" s="542">
        <v>0.3</v>
      </c>
      <c r="G165" s="32">
        <v>6</v>
      </c>
      <c r="H165" s="542">
        <v>1.8</v>
      </c>
      <c r="I165" s="542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83" t="s">
        <v>269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7">
        <v>4680115881785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266</v>
      </c>
      <c r="M166" s="33" t="s">
        <v>68</v>
      </c>
      <c r="N166" s="33"/>
      <c r="O166" s="32">
        <v>40</v>
      </c>
      <c r="P166" s="61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7">
        <v>4680115886537</v>
      </c>
      <c r="E167" s="548"/>
      <c r="F167" s="542">
        <v>0.3</v>
      </c>
      <c r="G167" s="32">
        <v>6</v>
      </c>
      <c r="H167" s="542">
        <v>1.8</v>
      </c>
      <c r="I167" s="542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47">
        <v>4680115881679</v>
      </c>
      <c r="E168" s="548"/>
      <c r="F168" s="542">
        <v>0.35</v>
      </c>
      <c r="G168" s="32">
        <v>6</v>
      </c>
      <c r="H168" s="542">
        <v>2.1</v>
      </c>
      <c r="I168" s="542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7">
        <v>4680115880191</v>
      </c>
      <c r="E169" s="548"/>
      <c r="F169" s="542">
        <v>0.4</v>
      </c>
      <c r="G169" s="32">
        <v>6</v>
      </c>
      <c r="H169" s="542">
        <v>2.4</v>
      </c>
      <c r="I169" s="542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7">
        <v>4680115883963</v>
      </c>
      <c r="E170" s="548"/>
      <c r="F170" s="542">
        <v>0.28000000000000003</v>
      </c>
      <c r="G170" s="32">
        <v>6</v>
      </c>
      <c r="H170" s="542">
        <v>1.68</v>
      </c>
      <c r="I170" s="542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70"/>
      <c r="B171" s="557"/>
      <c r="C171" s="557"/>
      <c r="D171" s="557"/>
      <c r="E171" s="557"/>
      <c r="F171" s="557"/>
      <c r="G171" s="557"/>
      <c r="H171" s="557"/>
      <c r="I171" s="557"/>
      <c r="J171" s="557"/>
      <c r="K171" s="557"/>
      <c r="L171" s="557"/>
      <c r="M171" s="557"/>
      <c r="N171" s="557"/>
      <c r="O171" s="571"/>
      <c r="P171" s="560" t="s">
        <v>71</v>
      </c>
      <c r="Q171" s="561"/>
      <c r="R171" s="561"/>
      <c r="S171" s="561"/>
      <c r="T171" s="561"/>
      <c r="U171" s="561"/>
      <c r="V171" s="562"/>
      <c r="W171" s="37" t="s">
        <v>72</v>
      </c>
      <c r="X171" s="545">
        <f>IFERROR(X161/H161,"0")+IFERROR(X162/H162,"0")+IFERROR(X163/H163,"0")+IFERROR(X164/H164,"0")+IFERROR(X165/H165,"0")+IFERROR(X166/H166,"0")+IFERROR(X167/H167,"0")+IFERROR(X168/H168,"0")+IFERROR(X169/H169,"0")+IFERROR(X170/H170,"0")</f>
        <v>23.80952380952381</v>
      </c>
      <c r="Y171" s="545">
        <f>IFERROR(Y161/H161,"0")+IFERROR(Y162/H162,"0")+IFERROR(Y163/H163,"0")+IFERROR(Y164/H164,"0")+IFERROR(Y165/H165,"0")+IFERROR(Y166/H166,"0")+IFERROR(Y167/H167,"0")+IFERROR(Y168/H168,"0")+IFERROR(Y169/H169,"0")+IFERROR(Y170/H170,"0")</f>
        <v>24</v>
      </c>
      <c r="Z171" s="54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0.21648000000000001</v>
      </c>
      <c r="AA171" s="546"/>
      <c r="AB171" s="546"/>
      <c r="AC171" s="546"/>
    </row>
    <row r="172" spans="1:68" x14ac:dyDescent="0.2">
      <c r="A172" s="557"/>
      <c r="B172" s="557"/>
      <c r="C172" s="557"/>
      <c r="D172" s="557"/>
      <c r="E172" s="557"/>
      <c r="F172" s="557"/>
      <c r="G172" s="557"/>
      <c r="H172" s="557"/>
      <c r="I172" s="557"/>
      <c r="J172" s="557"/>
      <c r="K172" s="557"/>
      <c r="L172" s="557"/>
      <c r="M172" s="557"/>
      <c r="N172" s="557"/>
      <c r="O172" s="571"/>
      <c r="P172" s="560" t="s">
        <v>71</v>
      </c>
      <c r="Q172" s="561"/>
      <c r="R172" s="561"/>
      <c r="S172" s="561"/>
      <c r="T172" s="561"/>
      <c r="U172" s="561"/>
      <c r="V172" s="562"/>
      <c r="W172" s="37" t="s">
        <v>69</v>
      </c>
      <c r="X172" s="545">
        <f>IFERROR(SUM(X161:X170),"0")</f>
        <v>100</v>
      </c>
      <c r="Y172" s="545">
        <f>IFERROR(SUM(Y161:Y170),"0")</f>
        <v>100.80000000000001</v>
      </c>
      <c r="Z172" s="37"/>
      <c r="AA172" s="546"/>
      <c r="AB172" s="546"/>
      <c r="AC172" s="546"/>
    </row>
    <row r="173" spans="1:68" ht="14.25" hidden="1" customHeight="1" x14ac:dyDescent="0.25">
      <c r="A173" s="556" t="s">
        <v>93</v>
      </c>
      <c r="B173" s="557"/>
      <c r="C173" s="557"/>
      <c r="D173" s="557"/>
      <c r="E173" s="557"/>
      <c r="F173" s="557"/>
      <c r="G173" s="557"/>
      <c r="H173" s="557"/>
      <c r="I173" s="557"/>
      <c r="J173" s="557"/>
      <c r="K173" s="557"/>
      <c r="L173" s="557"/>
      <c r="M173" s="557"/>
      <c r="N173" s="557"/>
      <c r="O173" s="557"/>
      <c r="P173" s="557"/>
      <c r="Q173" s="557"/>
      <c r="R173" s="557"/>
      <c r="S173" s="557"/>
      <c r="T173" s="557"/>
      <c r="U173" s="557"/>
      <c r="V173" s="557"/>
      <c r="W173" s="557"/>
      <c r="X173" s="557"/>
      <c r="Y173" s="557"/>
      <c r="Z173" s="557"/>
      <c r="AA173" s="539"/>
      <c r="AB173" s="539"/>
      <c r="AC173" s="539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7">
        <v>4680115886780</v>
      </c>
      <c r="E174" s="548"/>
      <c r="F174" s="542">
        <v>7.0000000000000007E-2</v>
      </c>
      <c r="G174" s="32">
        <v>18</v>
      </c>
      <c r="H174" s="542">
        <v>1.26</v>
      </c>
      <c r="I174" s="542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3">
        <v>0</v>
      </c>
      <c r="Y174" s="544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7">
        <v>4680115886742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7">
        <v>4680115886766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83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70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71"/>
      <c r="P177" s="560" t="s">
        <v>71</v>
      </c>
      <c r="Q177" s="561"/>
      <c r="R177" s="561"/>
      <c r="S177" s="561"/>
      <c r="T177" s="561"/>
      <c r="U177" s="561"/>
      <c r="V177" s="562"/>
      <c r="W177" s="37" t="s">
        <v>72</v>
      </c>
      <c r="X177" s="545">
        <f>IFERROR(X174/H174,"0")+IFERROR(X175/H175,"0")+IFERROR(X176/H176,"0")</f>
        <v>0</v>
      </c>
      <c r="Y177" s="545">
        <f>IFERROR(Y174/H174,"0")+IFERROR(Y175/H175,"0")+IFERROR(Y176/H176,"0")</f>
        <v>0</v>
      </c>
      <c r="Z177" s="545">
        <f>IFERROR(IF(Z174="",0,Z174),"0")+IFERROR(IF(Z175="",0,Z175),"0")+IFERROR(IF(Z176="",0,Z176),"0")</f>
        <v>0</v>
      </c>
      <c r="AA177" s="546"/>
      <c r="AB177" s="546"/>
      <c r="AC177" s="546"/>
    </row>
    <row r="178" spans="1:68" hidden="1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71"/>
      <c r="P178" s="560" t="s">
        <v>71</v>
      </c>
      <c r="Q178" s="561"/>
      <c r="R178" s="561"/>
      <c r="S178" s="561"/>
      <c r="T178" s="561"/>
      <c r="U178" s="561"/>
      <c r="V178" s="562"/>
      <c r="W178" s="37" t="s">
        <v>69</v>
      </c>
      <c r="X178" s="545">
        <f>IFERROR(SUM(X174:X176),"0")</f>
        <v>0</v>
      </c>
      <c r="Y178" s="545">
        <f>IFERROR(SUM(Y174:Y176),"0")</f>
        <v>0</v>
      </c>
      <c r="Z178" s="37"/>
      <c r="AA178" s="546"/>
      <c r="AB178" s="546"/>
      <c r="AC178" s="546"/>
    </row>
    <row r="179" spans="1:68" ht="14.25" hidden="1" customHeight="1" x14ac:dyDescent="0.25">
      <c r="A179" s="556" t="s">
        <v>293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39"/>
      <c r="AB179" s="539"/>
      <c r="AC179" s="539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7">
        <v>4680115886797</v>
      </c>
      <c r="E180" s="548"/>
      <c r="F180" s="542">
        <v>7.0000000000000007E-2</v>
      </c>
      <c r="G180" s="32">
        <v>18</v>
      </c>
      <c r="H180" s="542">
        <v>1.26</v>
      </c>
      <c r="I180" s="542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7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3">
        <v>0</v>
      </c>
      <c r="Y180" s="544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70"/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71"/>
      <c r="P181" s="560" t="s">
        <v>71</v>
      </c>
      <c r="Q181" s="561"/>
      <c r="R181" s="561"/>
      <c r="S181" s="561"/>
      <c r="T181" s="561"/>
      <c r="U181" s="561"/>
      <c r="V181" s="562"/>
      <c r="W181" s="37" t="s">
        <v>72</v>
      </c>
      <c r="X181" s="545">
        <f>IFERROR(X180/H180,"0")</f>
        <v>0</v>
      </c>
      <c r="Y181" s="545">
        <f>IFERROR(Y180/H180,"0")</f>
        <v>0</v>
      </c>
      <c r="Z181" s="545">
        <f>IFERROR(IF(Z180="",0,Z180),"0")</f>
        <v>0</v>
      </c>
      <c r="AA181" s="546"/>
      <c r="AB181" s="546"/>
      <c r="AC181" s="546"/>
    </row>
    <row r="182" spans="1:68" hidden="1" x14ac:dyDescent="0.2">
      <c r="A182" s="557"/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71"/>
      <c r="P182" s="560" t="s">
        <v>71</v>
      </c>
      <c r="Q182" s="561"/>
      <c r="R182" s="561"/>
      <c r="S182" s="561"/>
      <c r="T182" s="561"/>
      <c r="U182" s="561"/>
      <c r="V182" s="562"/>
      <c r="W182" s="37" t="s">
        <v>69</v>
      </c>
      <c r="X182" s="545">
        <f>IFERROR(SUM(X180:X180),"0")</f>
        <v>0</v>
      </c>
      <c r="Y182" s="545">
        <f>IFERROR(SUM(Y180:Y180),"0")</f>
        <v>0</v>
      </c>
      <c r="Z182" s="37"/>
      <c r="AA182" s="546"/>
      <c r="AB182" s="546"/>
      <c r="AC182" s="546"/>
    </row>
    <row r="183" spans="1:68" ht="16.5" hidden="1" customHeight="1" x14ac:dyDescent="0.25">
      <c r="A183" s="558" t="s">
        <v>296</v>
      </c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7"/>
      <c r="P183" s="557"/>
      <c r="Q183" s="557"/>
      <c r="R183" s="557"/>
      <c r="S183" s="557"/>
      <c r="T183" s="557"/>
      <c r="U183" s="557"/>
      <c r="V183" s="557"/>
      <c r="W183" s="557"/>
      <c r="X183" s="557"/>
      <c r="Y183" s="557"/>
      <c r="Z183" s="557"/>
      <c r="AA183" s="538"/>
      <c r="AB183" s="538"/>
      <c r="AC183" s="538"/>
    </row>
    <row r="184" spans="1:68" ht="14.25" hidden="1" customHeight="1" x14ac:dyDescent="0.25">
      <c r="A184" s="556" t="s">
        <v>101</v>
      </c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7"/>
      <c r="P184" s="557"/>
      <c r="Q184" s="557"/>
      <c r="R184" s="557"/>
      <c r="S184" s="557"/>
      <c r="T184" s="557"/>
      <c r="U184" s="557"/>
      <c r="V184" s="557"/>
      <c r="W184" s="557"/>
      <c r="X184" s="557"/>
      <c r="Y184" s="557"/>
      <c r="Z184" s="557"/>
      <c r="AA184" s="539"/>
      <c r="AB184" s="539"/>
      <c r="AC184" s="539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7">
        <v>4680115881402</v>
      </c>
      <c r="E185" s="548"/>
      <c r="F185" s="542">
        <v>1.35</v>
      </c>
      <c r="G185" s="32">
        <v>8</v>
      </c>
      <c r="H185" s="542">
        <v>10.8</v>
      </c>
      <c r="I185" s="542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0"/>
      <c r="R185" s="550"/>
      <c r="S185" s="550"/>
      <c r="T185" s="551"/>
      <c r="U185" s="34"/>
      <c r="V185" s="34"/>
      <c r="W185" s="35" t="s">
        <v>69</v>
      </c>
      <c r="X185" s="543">
        <v>0</v>
      </c>
      <c r="Y185" s="544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7">
        <v>4680115881396</v>
      </c>
      <c r="E186" s="548"/>
      <c r="F186" s="542">
        <v>0.45</v>
      </c>
      <c r="G186" s="32">
        <v>6</v>
      </c>
      <c r="H186" s="542">
        <v>2.7</v>
      </c>
      <c r="I186" s="542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0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71"/>
      <c r="P187" s="560" t="s">
        <v>71</v>
      </c>
      <c r="Q187" s="561"/>
      <c r="R187" s="561"/>
      <c r="S187" s="561"/>
      <c r="T187" s="561"/>
      <c r="U187" s="561"/>
      <c r="V187" s="562"/>
      <c r="W187" s="37" t="s">
        <v>72</v>
      </c>
      <c r="X187" s="545">
        <f>IFERROR(X185/H185,"0")+IFERROR(X186/H186,"0")</f>
        <v>0</v>
      </c>
      <c r="Y187" s="545">
        <f>IFERROR(Y185/H185,"0")+IFERROR(Y186/H186,"0")</f>
        <v>0</v>
      </c>
      <c r="Z187" s="545">
        <f>IFERROR(IF(Z185="",0,Z185),"0")+IFERROR(IF(Z186="",0,Z186),"0")</f>
        <v>0</v>
      </c>
      <c r="AA187" s="546"/>
      <c r="AB187" s="546"/>
      <c r="AC187" s="546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71"/>
      <c r="P188" s="560" t="s">
        <v>71</v>
      </c>
      <c r="Q188" s="561"/>
      <c r="R188" s="561"/>
      <c r="S188" s="561"/>
      <c r="T188" s="561"/>
      <c r="U188" s="561"/>
      <c r="V188" s="562"/>
      <c r="W188" s="37" t="s">
        <v>69</v>
      </c>
      <c r="X188" s="545">
        <f>IFERROR(SUM(X185:X186),"0")</f>
        <v>0</v>
      </c>
      <c r="Y188" s="545">
        <f>IFERROR(SUM(Y185:Y186),"0")</f>
        <v>0</v>
      </c>
      <c r="Z188" s="37"/>
      <c r="AA188" s="546"/>
      <c r="AB188" s="546"/>
      <c r="AC188" s="546"/>
    </row>
    <row r="189" spans="1:68" ht="14.25" hidden="1" customHeight="1" x14ac:dyDescent="0.25">
      <c r="A189" s="556" t="s">
        <v>136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39"/>
      <c r="AB189" s="539"/>
      <c r="AC189" s="539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7">
        <v>4680115882935</v>
      </c>
      <c r="E190" s="548"/>
      <c r="F190" s="542">
        <v>1.35</v>
      </c>
      <c r="G190" s="32">
        <v>8</v>
      </c>
      <c r="H190" s="542">
        <v>10.8</v>
      </c>
      <c r="I190" s="542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0"/>
      <c r="R190" s="550"/>
      <c r="S190" s="550"/>
      <c r="T190" s="551"/>
      <c r="U190" s="34"/>
      <c r="V190" s="34"/>
      <c r="W190" s="35" t="s">
        <v>69</v>
      </c>
      <c r="X190" s="543">
        <v>0</v>
      </c>
      <c r="Y190" s="544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7">
        <v>4680115880764</v>
      </c>
      <c r="E191" s="548"/>
      <c r="F191" s="542">
        <v>0.35</v>
      </c>
      <c r="G191" s="32">
        <v>6</v>
      </c>
      <c r="H191" s="542">
        <v>2.1</v>
      </c>
      <c r="I191" s="542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70"/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71"/>
      <c r="P192" s="560" t="s">
        <v>71</v>
      </c>
      <c r="Q192" s="561"/>
      <c r="R192" s="561"/>
      <c r="S192" s="561"/>
      <c r="T192" s="561"/>
      <c r="U192" s="561"/>
      <c r="V192" s="562"/>
      <c r="W192" s="37" t="s">
        <v>72</v>
      </c>
      <c r="X192" s="545">
        <f>IFERROR(X190/H190,"0")+IFERROR(X191/H191,"0")</f>
        <v>0</v>
      </c>
      <c r="Y192" s="545">
        <f>IFERROR(Y190/H190,"0")+IFERROR(Y191/H191,"0")</f>
        <v>0</v>
      </c>
      <c r="Z192" s="545">
        <f>IFERROR(IF(Z190="",0,Z190),"0")+IFERROR(IF(Z191="",0,Z191),"0")</f>
        <v>0</v>
      </c>
      <c r="AA192" s="546"/>
      <c r="AB192" s="546"/>
      <c r="AC192" s="546"/>
    </row>
    <row r="193" spans="1:68" hidden="1" x14ac:dyDescent="0.2">
      <c r="A193" s="55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71"/>
      <c r="P193" s="560" t="s">
        <v>71</v>
      </c>
      <c r="Q193" s="561"/>
      <c r="R193" s="561"/>
      <c r="S193" s="561"/>
      <c r="T193" s="561"/>
      <c r="U193" s="561"/>
      <c r="V193" s="562"/>
      <c r="W193" s="37" t="s">
        <v>69</v>
      </c>
      <c r="X193" s="545">
        <f>IFERROR(SUM(X190:X191),"0")</f>
        <v>0</v>
      </c>
      <c r="Y193" s="545">
        <f>IFERROR(SUM(Y190:Y191),"0")</f>
        <v>0</v>
      </c>
      <c r="Z193" s="37"/>
      <c r="AA193" s="546"/>
      <c r="AB193" s="546"/>
      <c r="AC193" s="546"/>
    </row>
    <row r="194" spans="1:68" ht="14.25" hidden="1" customHeight="1" x14ac:dyDescent="0.25">
      <c r="A194" s="556" t="s">
        <v>64</v>
      </c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7"/>
      <c r="P194" s="557"/>
      <c r="Q194" s="557"/>
      <c r="R194" s="557"/>
      <c r="S194" s="557"/>
      <c r="T194" s="557"/>
      <c r="U194" s="557"/>
      <c r="V194" s="557"/>
      <c r="W194" s="557"/>
      <c r="X194" s="557"/>
      <c r="Y194" s="557"/>
      <c r="Z194" s="557"/>
      <c r="AA194" s="539"/>
      <c r="AB194" s="539"/>
      <c r="AC194" s="539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7">
        <v>4680115882683</v>
      </c>
      <c r="E195" s="548"/>
      <c r="F195" s="542">
        <v>0.9</v>
      </c>
      <c r="G195" s="32">
        <v>6</v>
      </c>
      <c r="H195" s="542">
        <v>5.4</v>
      </c>
      <c r="I195" s="542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0"/>
      <c r="R195" s="550"/>
      <c r="S195" s="550"/>
      <c r="T195" s="551"/>
      <c r="U195" s="34"/>
      <c r="V195" s="34"/>
      <c r="W195" s="35" t="s">
        <v>69</v>
      </c>
      <c r="X195" s="543">
        <v>150</v>
      </c>
      <c r="Y195" s="544">
        <f t="shared" ref="Y195:Y202" si="10">IFERROR(IF(X195="",0,CEILING((X195/$H195),1)*$H195),"")</f>
        <v>151.20000000000002</v>
      </c>
      <c r="Z195" s="36">
        <f>IFERROR(IF(Y195=0,"",ROUNDUP(Y195/H195,0)*0.00902),"")</f>
        <v>0.25256000000000001</v>
      </c>
      <c r="AA195" s="56"/>
      <c r="AB195" s="57"/>
      <c r="AC195" s="227" t="s">
        <v>309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155.27777777777777</v>
      </c>
      <c r="BN195" s="64">
        <f t="shared" ref="BN195:BN202" si="12">IFERROR(Y195*I195/H195,"0")</f>
        <v>156.52000000000001</v>
      </c>
      <c r="BO195" s="64">
        <f t="shared" ref="BO195:BO202" si="13">IFERROR(1/J195*(X195/H195),"0")</f>
        <v>0.21043771043771042</v>
      </c>
      <c r="BP195" s="64">
        <f t="shared" ref="BP195:BP202" si="14">IFERROR(1/J195*(Y195/H195),"0")</f>
        <v>0.21212121212121213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7">
        <v>4680115882690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150</v>
      </c>
      <c r="Y196" s="544">
        <f t="shared" si="10"/>
        <v>151.20000000000002</v>
      </c>
      <c r="Z196" s="36">
        <f>IFERROR(IF(Y196=0,"",ROUNDUP(Y196/H196,0)*0.00902),"")</f>
        <v>0.25256000000000001</v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155.27777777777777</v>
      </c>
      <c r="BN196" s="64">
        <f t="shared" si="12"/>
        <v>156.52000000000001</v>
      </c>
      <c r="BO196" s="64">
        <f t="shared" si="13"/>
        <v>0.21043771043771042</v>
      </c>
      <c r="BP196" s="64">
        <f t="shared" si="14"/>
        <v>0.21212121212121213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7">
        <v>4680115882669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300</v>
      </c>
      <c r="Y197" s="544">
        <f t="shared" si="10"/>
        <v>302.40000000000003</v>
      </c>
      <c r="Z197" s="36">
        <f>IFERROR(IF(Y197=0,"",ROUNDUP(Y197/H197,0)*0.00902),"")</f>
        <v>0.50512000000000001</v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310.55555555555554</v>
      </c>
      <c r="BN197" s="64">
        <f t="shared" si="12"/>
        <v>313.04000000000002</v>
      </c>
      <c r="BO197" s="64">
        <f t="shared" si="13"/>
        <v>0.42087542087542085</v>
      </c>
      <c r="BP197" s="64">
        <f t="shared" si="14"/>
        <v>0.42424242424242425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7">
        <v>4680115882676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200</v>
      </c>
      <c r="Y198" s="544">
        <f t="shared" si="10"/>
        <v>205.20000000000002</v>
      </c>
      <c r="Z198" s="36">
        <f>IFERROR(IF(Y198=0,"",ROUNDUP(Y198/H198,0)*0.00902),"")</f>
        <v>0.34276000000000001</v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207.03703703703701</v>
      </c>
      <c r="BN198" s="64">
        <f t="shared" si="12"/>
        <v>212.42</v>
      </c>
      <c r="BO198" s="64">
        <f t="shared" si="13"/>
        <v>0.28058361391694725</v>
      </c>
      <c r="BP198" s="64">
        <f t="shared" si="14"/>
        <v>0.2878787878787879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47">
        <v>4680115884014</v>
      </c>
      <c r="E199" s="548"/>
      <c r="F199" s="542">
        <v>0.3</v>
      </c>
      <c r="G199" s="32">
        <v>6</v>
      </c>
      <c r="H199" s="542">
        <v>1.8</v>
      </c>
      <c r="I199" s="542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7">
        <v>4680115884007</v>
      </c>
      <c r="E200" s="548"/>
      <c r="F200" s="542">
        <v>0.3</v>
      </c>
      <c r="G200" s="32">
        <v>6</v>
      </c>
      <c r="H200" s="542">
        <v>1.8</v>
      </c>
      <c r="I200" s="542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7">
        <v>4680115884038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7">
        <v>4680115884021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70"/>
      <c r="B203" s="557"/>
      <c r="C203" s="557"/>
      <c r="D203" s="557"/>
      <c r="E203" s="557"/>
      <c r="F203" s="557"/>
      <c r="G203" s="557"/>
      <c r="H203" s="557"/>
      <c r="I203" s="557"/>
      <c r="J203" s="557"/>
      <c r="K203" s="557"/>
      <c r="L203" s="557"/>
      <c r="M203" s="557"/>
      <c r="N203" s="557"/>
      <c r="O203" s="571"/>
      <c r="P203" s="560" t="s">
        <v>71</v>
      </c>
      <c r="Q203" s="561"/>
      <c r="R203" s="561"/>
      <c r="S203" s="561"/>
      <c r="T203" s="561"/>
      <c r="U203" s="561"/>
      <c r="V203" s="562"/>
      <c r="W203" s="37" t="s">
        <v>72</v>
      </c>
      <c r="X203" s="545">
        <f>IFERROR(X195/H195,"0")+IFERROR(X196/H196,"0")+IFERROR(X197/H197,"0")+IFERROR(X198/H198,"0")+IFERROR(X199/H199,"0")+IFERROR(X200/H200,"0")+IFERROR(X201/H201,"0")+IFERROR(X202/H202,"0")</f>
        <v>148.14814814814815</v>
      </c>
      <c r="Y203" s="545">
        <f>IFERROR(Y195/H195,"0")+IFERROR(Y196/H196,"0")+IFERROR(Y197/H197,"0")+IFERROR(Y198/H198,"0")+IFERROR(Y199/H199,"0")+IFERROR(Y200/H200,"0")+IFERROR(Y201/H201,"0")+IFERROR(Y202/H202,"0")</f>
        <v>150</v>
      </c>
      <c r="Z203" s="545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1.353</v>
      </c>
      <c r="AA203" s="546"/>
      <c r="AB203" s="546"/>
      <c r="AC203" s="546"/>
    </row>
    <row r="204" spans="1:68" x14ac:dyDescent="0.2">
      <c r="A204" s="557"/>
      <c r="B204" s="557"/>
      <c r="C204" s="557"/>
      <c r="D204" s="557"/>
      <c r="E204" s="557"/>
      <c r="F204" s="557"/>
      <c r="G204" s="557"/>
      <c r="H204" s="557"/>
      <c r="I204" s="557"/>
      <c r="J204" s="557"/>
      <c r="K204" s="557"/>
      <c r="L204" s="557"/>
      <c r="M204" s="557"/>
      <c r="N204" s="557"/>
      <c r="O204" s="571"/>
      <c r="P204" s="560" t="s">
        <v>71</v>
      </c>
      <c r="Q204" s="561"/>
      <c r="R204" s="561"/>
      <c r="S204" s="561"/>
      <c r="T204" s="561"/>
      <c r="U204" s="561"/>
      <c r="V204" s="562"/>
      <c r="W204" s="37" t="s">
        <v>69</v>
      </c>
      <c r="X204" s="545">
        <f>IFERROR(SUM(X195:X202),"0")</f>
        <v>800</v>
      </c>
      <c r="Y204" s="545">
        <f>IFERROR(SUM(Y195:Y202),"0")</f>
        <v>810.00000000000011</v>
      </c>
      <c r="Z204" s="37"/>
      <c r="AA204" s="546"/>
      <c r="AB204" s="546"/>
      <c r="AC204" s="546"/>
    </row>
    <row r="205" spans="1:68" ht="14.25" hidden="1" customHeight="1" x14ac:dyDescent="0.25">
      <c r="A205" s="556" t="s">
        <v>73</v>
      </c>
      <c r="B205" s="557"/>
      <c r="C205" s="557"/>
      <c r="D205" s="557"/>
      <c r="E205" s="557"/>
      <c r="F205" s="557"/>
      <c r="G205" s="557"/>
      <c r="H205" s="557"/>
      <c r="I205" s="557"/>
      <c r="J205" s="557"/>
      <c r="K205" s="557"/>
      <c r="L205" s="557"/>
      <c r="M205" s="557"/>
      <c r="N205" s="557"/>
      <c r="O205" s="557"/>
      <c r="P205" s="557"/>
      <c r="Q205" s="557"/>
      <c r="R205" s="557"/>
      <c r="S205" s="557"/>
      <c r="T205" s="557"/>
      <c r="U205" s="557"/>
      <c r="V205" s="557"/>
      <c r="W205" s="557"/>
      <c r="X205" s="557"/>
      <c r="Y205" s="557"/>
      <c r="Z205" s="557"/>
      <c r="AA205" s="539"/>
      <c r="AB205" s="539"/>
      <c r="AC205" s="539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7">
        <v>4680115881594</v>
      </c>
      <c r="E206" s="548"/>
      <c r="F206" s="542">
        <v>1.35</v>
      </c>
      <c r="G206" s="32">
        <v>6</v>
      </c>
      <c r="H206" s="542">
        <v>8.1</v>
      </c>
      <c r="I206" s="542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3">
        <v>100</v>
      </c>
      <c r="Y206" s="544">
        <f t="shared" ref="Y206:Y214" si="15">IFERROR(IF(X206="",0,CEILING((X206/$H206),1)*$H206),"")</f>
        <v>105.3</v>
      </c>
      <c r="Z206" s="36">
        <f>IFERROR(IF(Y206=0,"",ROUNDUP(Y206/H206,0)*0.01898),"")</f>
        <v>0.24674000000000001</v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106.09876543209877</v>
      </c>
      <c r="BN206" s="64">
        <f t="shared" ref="BN206:BN214" si="17">IFERROR(Y206*I206/H206,"0")</f>
        <v>111.72199999999999</v>
      </c>
      <c r="BO206" s="64">
        <f t="shared" ref="BO206:BO214" si="18">IFERROR(1/J206*(X206/H206),"0")</f>
        <v>0.19290123456790123</v>
      </c>
      <c r="BP206" s="64">
        <f t="shared" ref="BP206:BP214" si="19">IFERROR(1/J206*(Y206/H206),"0")</f>
        <v>0.203125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7">
        <v>4680115881617</v>
      </c>
      <c r="E207" s="548"/>
      <c r="F207" s="542">
        <v>1.35</v>
      </c>
      <c r="G207" s="32">
        <v>6</v>
      </c>
      <c r="H207" s="542">
        <v>8.1</v>
      </c>
      <c r="I207" s="542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100</v>
      </c>
      <c r="Y207" s="544">
        <f t="shared" si="15"/>
        <v>105.3</v>
      </c>
      <c r="Z207" s="36">
        <f>IFERROR(IF(Y207=0,"",ROUNDUP(Y207/H207,0)*0.01898),"")</f>
        <v>0.24674000000000001</v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105.87654320987654</v>
      </c>
      <c r="BN207" s="64">
        <f t="shared" si="17"/>
        <v>111.48800000000001</v>
      </c>
      <c r="BO207" s="64">
        <f t="shared" si="18"/>
        <v>0.19290123456790123</v>
      </c>
      <c r="BP207" s="64">
        <f t="shared" si="19"/>
        <v>0.203125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7">
        <v>4680115880573</v>
      </c>
      <c r="E208" s="548"/>
      <c r="F208" s="542">
        <v>1.45</v>
      </c>
      <c r="G208" s="32">
        <v>6</v>
      </c>
      <c r="H208" s="542">
        <v>8.6999999999999993</v>
      </c>
      <c r="I208" s="542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9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100</v>
      </c>
      <c r="Y208" s="544">
        <f t="shared" si="15"/>
        <v>104.39999999999999</v>
      </c>
      <c r="Z208" s="36">
        <f>IFERROR(IF(Y208=0,"",ROUNDUP(Y208/H208,0)*0.01898),"")</f>
        <v>0.22776000000000002</v>
      </c>
      <c r="AA208" s="56"/>
      <c r="AB208" s="57"/>
      <c r="AC208" s="247" t="s">
        <v>335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105.67816091954025</v>
      </c>
      <c r="BN208" s="64">
        <f t="shared" si="17"/>
        <v>110.32800000000002</v>
      </c>
      <c r="BO208" s="64">
        <f t="shared" si="18"/>
        <v>0.1795977011494253</v>
      </c>
      <c r="BP208" s="64">
        <f t="shared" si="19"/>
        <v>0.1875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47">
        <v>4680115882195</v>
      </c>
      <c r="E209" s="548"/>
      <c r="F209" s="542">
        <v>0.4</v>
      </c>
      <c r="G209" s="32">
        <v>6</v>
      </c>
      <c r="H209" s="542">
        <v>2.4</v>
      </c>
      <c r="I209" s="542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6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7">
        <v>4680115882607</v>
      </c>
      <c r="E210" s="548"/>
      <c r="F210" s="542">
        <v>0.3</v>
      </c>
      <c r="G210" s="32">
        <v>6</v>
      </c>
      <c r="H210" s="542">
        <v>1.8</v>
      </c>
      <c r="I210" s="542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7">
        <v>4680115880092</v>
      </c>
      <c r="E211" s="548"/>
      <c r="F211" s="542">
        <v>0.4</v>
      </c>
      <c r="G211" s="32">
        <v>6</v>
      </c>
      <c r="H211" s="542">
        <v>2.4</v>
      </c>
      <c r="I211" s="542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700</v>
      </c>
      <c r="Y211" s="544">
        <f t="shared" si="15"/>
        <v>700.8</v>
      </c>
      <c r="Z211" s="36">
        <f t="shared" si="20"/>
        <v>1.9009199999999999</v>
      </c>
      <c r="AA211" s="56"/>
      <c r="AB211" s="57"/>
      <c r="AC211" s="253" t="s">
        <v>335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773.50000000000011</v>
      </c>
      <c r="BN211" s="64">
        <f t="shared" si="17"/>
        <v>774.38400000000001</v>
      </c>
      <c r="BO211" s="64">
        <f t="shared" si="18"/>
        <v>1.6025641025641029</v>
      </c>
      <c r="BP211" s="64">
        <f t="shared" si="19"/>
        <v>1.6043956043956045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7">
        <v>4680115880221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700</v>
      </c>
      <c r="Y212" s="544">
        <f t="shared" si="15"/>
        <v>700.8</v>
      </c>
      <c r="Z212" s="36">
        <f t="shared" si="20"/>
        <v>1.9009199999999999</v>
      </c>
      <c r="AA212" s="56"/>
      <c r="AB212" s="57"/>
      <c r="AC212" s="255" t="s">
        <v>335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773.50000000000011</v>
      </c>
      <c r="BN212" s="64">
        <f t="shared" si="17"/>
        <v>774.38400000000001</v>
      </c>
      <c r="BO212" s="64">
        <f t="shared" si="18"/>
        <v>1.6025641025641029</v>
      </c>
      <c r="BP212" s="64">
        <f t="shared" si="19"/>
        <v>1.6043956043956045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7">
        <v>4680115880504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7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100</v>
      </c>
      <c r="Y213" s="544">
        <f t="shared" si="15"/>
        <v>100.8</v>
      </c>
      <c r="Z213" s="36">
        <f t="shared" si="20"/>
        <v>0.27342</v>
      </c>
      <c r="AA213" s="56"/>
      <c r="AB213" s="57"/>
      <c r="AC213" s="257" t="s">
        <v>346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110.5</v>
      </c>
      <c r="BN213" s="64">
        <f t="shared" si="17"/>
        <v>111.384</v>
      </c>
      <c r="BO213" s="64">
        <f t="shared" si="18"/>
        <v>0.22893772893772898</v>
      </c>
      <c r="BP213" s="64">
        <f t="shared" si="19"/>
        <v>0.23076923076923078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7">
        <v>4680115882164</v>
      </c>
      <c r="E214" s="548"/>
      <c r="F214" s="542">
        <v>0.4</v>
      </c>
      <c r="G214" s="32">
        <v>6</v>
      </c>
      <c r="H214" s="542">
        <v>2.4</v>
      </c>
      <c r="I214" s="542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80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100</v>
      </c>
      <c r="Y214" s="544">
        <f t="shared" si="15"/>
        <v>100.8</v>
      </c>
      <c r="Z214" s="36">
        <f t="shared" si="20"/>
        <v>0.27342</v>
      </c>
      <c r="AA214" s="56"/>
      <c r="AB214" s="57"/>
      <c r="AC214" s="259" t="s">
        <v>332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110.75000000000001</v>
      </c>
      <c r="BN214" s="64">
        <f t="shared" si="17"/>
        <v>111.63600000000001</v>
      </c>
      <c r="BO214" s="64">
        <f t="shared" si="18"/>
        <v>0.22893772893772898</v>
      </c>
      <c r="BP214" s="64">
        <f t="shared" si="19"/>
        <v>0.23076923076923078</v>
      </c>
    </row>
    <row r="215" spans="1:68" x14ac:dyDescent="0.2">
      <c r="A215" s="570"/>
      <c r="B215" s="557"/>
      <c r="C215" s="557"/>
      <c r="D215" s="557"/>
      <c r="E215" s="557"/>
      <c r="F215" s="557"/>
      <c r="G215" s="557"/>
      <c r="H215" s="557"/>
      <c r="I215" s="557"/>
      <c r="J215" s="557"/>
      <c r="K215" s="557"/>
      <c r="L215" s="557"/>
      <c r="M215" s="557"/>
      <c r="N215" s="557"/>
      <c r="O215" s="571"/>
      <c r="P215" s="560" t="s">
        <v>71</v>
      </c>
      <c r="Q215" s="561"/>
      <c r="R215" s="561"/>
      <c r="S215" s="561"/>
      <c r="T215" s="561"/>
      <c r="U215" s="561"/>
      <c r="V215" s="562"/>
      <c r="W215" s="37" t="s">
        <v>72</v>
      </c>
      <c r="X215" s="545">
        <f>IFERROR(X206/H206,"0")+IFERROR(X207/H207,"0")+IFERROR(X208/H208,"0")+IFERROR(X209/H209,"0")+IFERROR(X210/H210,"0")+IFERROR(X211/H211,"0")+IFERROR(X212/H212,"0")+IFERROR(X213/H213,"0")+IFERROR(X214/H214,"0")</f>
        <v>702.85227756492122</v>
      </c>
      <c r="Y215" s="545">
        <f>IFERROR(Y206/H206,"0")+IFERROR(Y207/H207,"0")+IFERROR(Y208/H208,"0")+IFERROR(Y209/H209,"0")+IFERROR(Y210/H210,"0")+IFERROR(Y211/H211,"0")+IFERROR(Y212/H212,"0")+IFERROR(Y213/H213,"0")+IFERROR(Y214/H214,"0")</f>
        <v>706</v>
      </c>
      <c r="Z215" s="545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5.0699199999999998</v>
      </c>
      <c r="AA215" s="546"/>
      <c r="AB215" s="546"/>
      <c r="AC215" s="546"/>
    </row>
    <row r="216" spans="1:68" x14ac:dyDescent="0.2">
      <c r="A216" s="557"/>
      <c r="B216" s="557"/>
      <c r="C216" s="557"/>
      <c r="D216" s="557"/>
      <c r="E216" s="557"/>
      <c r="F216" s="557"/>
      <c r="G216" s="557"/>
      <c r="H216" s="557"/>
      <c r="I216" s="557"/>
      <c r="J216" s="557"/>
      <c r="K216" s="557"/>
      <c r="L216" s="557"/>
      <c r="M216" s="557"/>
      <c r="N216" s="557"/>
      <c r="O216" s="571"/>
      <c r="P216" s="560" t="s">
        <v>71</v>
      </c>
      <c r="Q216" s="561"/>
      <c r="R216" s="561"/>
      <c r="S216" s="561"/>
      <c r="T216" s="561"/>
      <c r="U216" s="561"/>
      <c r="V216" s="562"/>
      <c r="W216" s="37" t="s">
        <v>69</v>
      </c>
      <c r="X216" s="545">
        <f>IFERROR(SUM(X206:X214),"0")</f>
        <v>1900</v>
      </c>
      <c r="Y216" s="545">
        <f>IFERROR(SUM(Y206:Y214),"0")</f>
        <v>1918.1999999999998</v>
      </c>
      <c r="Z216" s="37"/>
      <c r="AA216" s="546"/>
      <c r="AB216" s="546"/>
      <c r="AC216" s="546"/>
    </row>
    <row r="217" spans="1:68" ht="14.25" hidden="1" customHeight="1" x14ac:dyDescent="0.25">
      <c r="A217" s="556" t="s">
        <v>164</v>
      </c>
      <c r="B217" s="557"/>
      <c r="C217" s="557"/>
      <c r="D217" s="557"/>
      <c r="E217" s="557"/>
      <c r="F217" s="557"/>
      <c r="G217" s="557"/>
      <c r="H217" s="557"/>
      <c r="I217" s="557"/>
      <c r="J217" s="557"/>
      <c r="K217" s="557"/>
      <c r="L217" s="557"/>
      <c r="M217" s="557"/>
      <c r="N217" s="557"/>
      <c r="O217" s="557"/>
      <c r="P217" s="557"/>
      <c r="Q217" s="557"/>
      <c r="R217" s="557"/>
      <c r="S217" s="557"/>
      <c r="T217" s="557"/>
      <c r="U217" s="557"/>
      <c r="V217" s="557"/>
      <c r="W217" s="557"/>
      <c r="X217" s="557"/>
      <c r="Y217" s="557"/>
      <c r="Z217" s="557"/>
      <c r="AA217" s="539"/>
      <c r="AB217" s="539"/>
      <c r="AC217" s="539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7">
        <v>4680115880818</v>
      </c>
      <c r="E218" s="548"/>
      <c r="F218" s="542">
        <v>0.4</v>
      </c>
      <c r="G218" s="32">
        <v>6</v>
      </c>
      <c r="H218" s="542">
        <v>2.4</v>
      </c>
      <c r="I218" s="542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3">
        <v>0</v>
      </c>
      <c r="Y218" s="544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7">
        <v>4680115880801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0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70"/>
      <c r="B220" s="557"/>
      <c r="C220" s="557"/>
      <c r="D220" s="557"/>
      <c r="E220" s="557"/>
      <c r="F220" s="557"/>
      <c r="G220" s="557"/>
      <c r="H220" s="557"/>
      <c r="I220" s="557"/>
      <c r="J220" s="557"/>
      <c r="K220" s="557"/>
      <c r="L220" s="557"/>
      <c r="M220" s="557"/>
      <c r="N220" s="557"/>
      <c r="O220" s="571"/>
      <c r="P220" s="560" t="s">
        <v>71</v>
      </c>
      <c r="Q220" s="561"/>
      <c r="R220" s="561"/>
      <c r="S220" s="561"/>
      <c r="T220" s="561"/>
      <c r="U220" s="561"/>
      <c r="V220" s="562"/>
      <c r="W220" s="37" t="s">
        <v>72</v>
      </c>
      <c r="X220" s="545">
        <f>IFERROR(X218/H218,"0")+IFERROR(X219/H219,"0")</f>
        <v>0</v>
      </c>
      <c r="Y220" s="545">
        <f>IFERROR(Y218/H218,"0")+IFERROR(Y219/H219,"0")</f>
        <v>0</v>
      </c>
      <c r="Z220" s="545">
        <f>IFERROR(IF(Z218="",0,Z218),"0")+IFERROR(IF(Z219="",0,Z219),"0")</f>
        <v>0</v>
      </c>
      <c r="AA220" s="546"/>
      <c r="AB220" s="546"/>
      <c r="AC220" s="546"/>
    </row>
    <row r="221" spans="1:68" hidden="1" x14ac:dyDescent="0.2">
      <c r="A221" s="55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71"/>
      <c r="P221" s="560" t="s">
        <v>71</v>
      </c>
      <c r="Q221" s="561"/>
      <c r="R221" s="561"/>
      <c r="S221" s="561"/>
      <c r="T221" s="561"/>
      <c r="U221" s="561"/>
      <c r="V221" s="562"/>
      <c r="W221" s="37" t="s">
        <v>69</v>
      </c>
      <c r="X221" s="545">
        <f>IFERROR(SUM(X218:X219),"0")</f>
        <v>0</v>
      </c>
      <c r="Y221" s="545">
        <f>IFERROR(SUM(Y218:Y219),"0")</f>
        <v>0</v>
      </c>
      <c r="Z221" s="37"/>
      <c r="AA221" s="546"/>
      <c r="AB221" s="546"/>
      <c r="AC221" s="546"/>
    </row>
    <row r="222" spans="1:68" ht="16.5" hidden="1" customHeight="1" x14ac:dyDescent="0.25">
      <c r="A222" s="558" t="s">
        <v>355</v>
      </c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7"/>
      <c r="P222" s="557"/>
      <c r="Q222" s="557"/>
      <c r="R222" s="557"/>
      <c r="S222" s="557"/>
      <c r="T222" s="557"/>
      <c r="U222" s="557"/>
      <c r="V222" s="557"/>
      <c r="W222" s="557"/>
      <c r="X222" s="557"/>
      <c r="Y222" s="557"/>
      <c r="Z222" s="557"/>
      <c r="AA222" s="538"/>
      <c r="AB222" s="538"/>
      <c r="AC222" s="538"/>
    </row>
    <row r="223" spans="1:68" ht="14.25" hidden="1" customHeight="1" x14ac:dyDescent="0.25">
      <c r="A223" s="556" t="s">
        <v>101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39"/>
      <c r="AB223" s="539"/>
      <c r="AC223" s="539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7">
        <v>4680115884137</v>
      </c>
      <c r="E224" s="548"/>
      <c r="F224" s="542">
        <v>1.45</v>
      </c>
      <c r="G224" s="32">
        <v>8</v>
      </c>
      <c r="H224" s="542">
        <v>11.6</v>
      </c>
      <c r="I224" s="542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3">
        <v>0</v>
      </c>
      <c r="Y224" s="544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7">
        <v>4680115884236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7">
        <v>4680115884175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7">
        <v>4680115884144</v>
      </c>
      <c r="E227" s="548"/>
      <c r="F227" s="542">
        <v>0.4</v>
      </c>
      <c r="G227" s="32">
        <v>10</v>
      </c>
      <c r="H227" s="542">
        <v>4</v>
      </c>
      <c r="I227" s="542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5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7">
        <v>4680115886551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7">
        <v>4680115884182</v>
      </c>
      <c r="E230" s="548"/>
      <c r="F230" s="542">
        <v>0.37</v>
      </c>
      <c r="G230" s="32">
        <v>10</v>
      </c>
      <c r="H230" s="542">
        <v>3.7</v>
      </c>
      <c r="I230" s="542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1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7">
        <v>4680115887282</v>
      </c>
      <c r="E231" s="548"/>
      <c r="F231" s="542">
        <v>0.4</v>
      </c>
      <c r="G231" s="32">
        <v>6</v>
      </c>
      <c r="H231" s="542">
        <v>2.4</v>
      </c>
      <c r="I231" s="542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7">
        <v>4680115884205</v>
      </c>
      <c r="E232" s="548"/>
      <c r="F232" s="542">
        <v>0.4</v>
      </c>
      <c r="G232" s="32">
        <v>10</v>
      </c>
      <c r="H232" s="542">
        <v>4</v>
      </c>
      <c r="I232" s="542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80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70"/>
      <c r="B234" s="557"/>
      <c r="C234" s="557"/>
      <c r="D234" s="557"/>
      <c r="E234" s="557"/>
      <c r="F234" s="557"/>
      <c r="G234" s="557"/>
      <c r="H234" s="557"/>
      <c r="I234" s="557"/>
      <c r="J234" s="557"/>
      <c r="K234" s="557"/>
      <c r="L234" s="557"/>
      <c r="M234" s="557"/>
      <c r="N234" s="557"/>
      <c r="O234" s="571"/>
      <c r="P234" s="560" t="s">
        <v>71</v>
      </c>
      <c r="Q234" s="561"/>
      <c r="R234" s="561"/>
      <c r="S234" s="561"/>
      <c r="T234" s="561"/>
      <c r="U234" s="561"/>
      <c r="V234" s="562"/>
      <c r="W234" s="37" t="s">
        <v>72</v>
      </c>
      <c r="X234" s="545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5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5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6"/>
      <c r="AB234" s="546"/>
      <c r="AC234" s="546"/>
    </row>
    <row r="235" spans="1:68" hidden="1" x14ac:dyDescent="0.2">
      <c r="A235" s="557"/>
      <c r="B235" s="557"/>
      <c r="C235" s="557"/>
      <c r="D235" s="557"/>
      <c r="E235" s="557"/>
      <c r="F235" s="557"/>
      <c r="G235" s="557"/>
      <c r="H235" s="557"/>
      <c r="I235" s="557"/>
      <c r="J235" s="557"/>
      <c r="K235" s="557"/>
      <c r="L235" s="557"/>
      <c r="M235" s="557"/>
      <c r="N235" s="557"/>
      <c r="O235" s="571"/>
      <c r="P235" s="560" t="s">
        <v>71</v>
      </c>
      <c r="Q235" s="561"/>
      <c r="R235" s="561"/>
      <c r="S235" s="561"/>
      <c r="T235" s="561"/>
      <c r="U235" s="561"/>
      <c r="V235" s="562"/>
      <c r="W235" s="37" t="s">
        <v>69</v>
      </c>
      <c r="X235" s="545">
        <f>IFERROR(SUM(X224:X233),"0")</f>
        <v>0</v>
      </c>
      <c r="Y235" s="545">
        <f>IFERROR(SUM(Y224:Y233),"0")</f>
        <v>0</v>
      </c>
      <c r="Z235" s="37"/>
      <c r="AA235" s="546"/>
      <c r="AB235" s="546"/>
      <c r="AC235" s="546"/>
    </row>
    <row r="236" spans="1:68" ht="14.25" hidden="1" customHeight="1" x14ac:dyDescent="0.25">
      <c r="A236" s="556" t="s">
        <v>136</v>
      </c>
      <c r="B236" s="557"/>
      <c r="C236" s="557"/>
      <c r="D236" s="557"/>
      <c r="E236" s="557"/>
      <c r="F236" s="557"/>
      <c r="G236" s="557"/>
      <c r="H236" s="557"/>
      <c r="I236" s="557"/>
      <c r="J236" s="557"/>
      <c r="K236" s="557"/>
      <c r="L236" s="557"/>
      <c r="M236" s="557"/>
      <c r="N236" s="557"/>
      <c r="O236" s="557"/>
      <c r="P236" s="557"/>
      <c r="Q236" s="557"/>
      <c r="R236" s="557"/>
      <c r="S236" s="557"/>
      <c r="T236" s="557"/>
      <c r="U236" s="557"/>
      <c r="V236" s="557"/>
      <c r="W236" s="557"/>
      <c r="X236" s="557"/>
      <c r="Y236" s="557"/>
      <c r="Z236" s="557"/>
      <c r="AA236" s="539"/>
      <c r="AB236" s="539"/>
      <c r="AC236" s="539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7">
        <v>4680115885981</v>
      </c>
      <c r="E237" s="548"/>
      <c r="F237" s="542">
        <v>0.33</v>
      </c>
      <c r="G237" s="32">
        <v>6</v>
      </c>
      <c r="H237" s="542">
        <v>1.98</v>
      </c>
      <c r="I237" s="542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3">
        <v>0</v>
      </c>
      <c r="Y237" s="544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70"/>
      <c r="B238" s="557"/>
      <c r="C238" s="557"/>
      <c r="D238" s="557"/>
      <c r="E238" s="557"/>
      <c r="F238" s="557"/>
      <c r="G238" s="557"/>
      <c r="H238" s="557"/>
      <c r="I238" s="557"/>
      <c r="J238" s="557"/>
      <c r="K238" s="557"/>
      <c r="L238" s="557"/>
      <c r="M238" s="557"/>
      <c r="N238" s="557"/>
      <c r="O238" s="571"/>
      <c r="P238" s="560" t="s">
        <v>71</v>
      </c>
      <c r="Q238" s="561"/>
      <c r="R238" s="561"/>
      <c r="S238" s="561"/>
      <c r="T238" s="561"/>
      <c r="U238" s="561"/>
      <c r="V238" s="562"/>
      <c r="W238" s="37" t="s">
        <v>72</v>
      </c>
      <c r="X238" s="545">
        <f>IFERROR(X237/H237,"0")</f>
        <v>0</v>
      </c>
      <c r="Y238" s="545">
        <f>IFERROR(Y237/H237,"0")</f>
        <v>0</v>
      </c>
      <c r="Z238" s="545">
        <f>IFERROR(IF(Z237="",0,Z237),"0")</f>
        <v>0</v>
      </c>
      <c r="AA238" s="546"/>
      <c r="AB238" s="546"/>
      <c r="AC238" s="546"/>
    </row>
    <row r="239" spans="1:68" hidden="1" x14ac:dyDescent="0.2">
      <c r="A239" s="55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71"/>
      <c r="P239" s="560" t="s">
        <v>71</v>
      </c>
      <c r="Q239" s="561"/>
      <c r="R239" s="561"/>
      <c r="S239" s="561"/>
      <c r="T239" s="561"/>
      <c r="U239" s="561"/>
      <c r="V239" s="562"/>
      <c r="W239" s="37" t="s">
        <v>69</v>
      </c>
      <c r="X239" s="545">
        <f>IFERROR(SUM(X237:X237),"0")</f>
        <v>0</v>
      </c>
      <c r="Y239" s="545">
        <f>IFERROR(SUM(Y237:Y237),"0")</f>
        <v>0</v>
      </c>
      <c r="Z239" s="37"/>
      <c r="AA239" s="546"/>
      <c r="AB239" s="546"/>
      <c r="AC239" s="546"/>
    </row>
    <row r="240" spans="1:68" ht="14.25" hidden="1" customHeight="1" x14ac:dyDescent="0.25">
      <c r="A240" s="556" t="s">
        <v>381</v>
      </c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7"/>
      <c r="P240" s="557"/>
      <c r="Q240" s="557"/>
      <c r="R240" s="557"/>
      <c r="S240" s="557"/>
      <c r="T240" s="557"/>
      <c r="U240" s="557"/>
      <c r="V240" s="557"/>
      <c r="W240" s="557"/>
      <c r="X240" s="557"/>
      <c r="Y240" s="557"/>
      <c r="Z240" s="557"/>
      <c r="AA240" s="539"/>
      <c r="AB240" s="539"/>
      <c r="AC240" s="539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7">
        <v>4680115886803</v>
      </c>
      <c r="E241" s="548"/>
      <c r="F241" s="542">
        <v>0.12</v>
      </c>
      <c r="G241" s="32">
        <v>15</v>
      </c>
      <c r="H241" s="542">
        <v>1.8</v>
      </c>
      <c r="I241" s="542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0"/>
      <c r="R241" s="550"/>
      <c r="S241" s="550"/>
      <c r="T241" s="551"/>
      <c r="U241" s="34"/>
      <c r="V241" s="34"/>
      <c r="W241" s="35" t="s">
        <v>69</v>
      </c>
      <c r="X241" s="543">
        <v>0</v>
      </c>
      <c r="Y241" s="544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70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71"/>
      <c r="P242" s="560" t="s">
        <v>71</v>
      </c>
      <c r="Q242" s="561"/>
      <c r="R242" s="561"/>
      <c r="S242" s="561"/>
      <c r="T242" s="561"/>
      <c r="U242" s="561"/>
      <c r="V242" s="562"/>
      <c r="W242" s="37" t="s">
        <v>72</v>
      </c>
      <c r="X242" s="545">
        <f>IFERROR(X241/H241,"0")</f>
        <v>0</v>
      </c>
      <c r="Y242" s="545">
        <f>IFERROR(Y241/H241,"0")</f>
        <v>0</v>
      </c>
      <c r="Z242" s="545">
        <f>IFERROR(IF(Z241="",0,Z241),"0")</f>
        <v>0</v>
      </c>
      <c r="AA242" s="546"/>
      <c r="AB242" s="546"/>
      <c r="AC242" s="546"/>
    </row>
    <row r="243" spans="1:68" hidden="1" x14ac:dyDescent="0.2">
      <c r="A243" s="55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71"/>
      <c r="P243" s="560" t="s">
        <v>71</v>
      </c>
      <c r="Q243" s="561"/>
      <c r="R243" s="561"/>
      <c r="S243" s="561"/>
      <c r="T243" s="561"/>
      <c r="U243" s="561"/>
      <c r="V243" s="562"/>
      <c r="W243" s="37" t="s">
        <v>69</v>
      </c>
      <c r="X243" s="545">
        <f>IFERROR(SUM(X241:X241),"0")</f>
        <v>0</v>
      </c>
      <c r="Y243" s="545">
        <f>IFERROR(SUM(Y241:Y241),"0")</f>
        <v>0</v>
      </c>
      <c r="Z243" s="37"/>
      <c r="AA243" s="546"/>
      <c r="AB243" s="546"/>
      <c r="AC243" s="546"/>
    </row>
    <row r="244" spans="1:68" ht="14.25" hidden="1" customHeight="1" x14ac:dyDescent="0.25">
      <c r="A244" s="556" t="s">
        <v>385</v>
      </c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7"/>
      <c r="P244" s="557"/>
      <c r="Q244" s="557"/>
      <c r="R244" s="557"/>
      <c r="S244" s="557"/>
      <c r="T244" s="557"/>
      <c r="U244" s="557"/>
      <c r="V244" s="557"/>
      <c r="W244" s="557"/>
      <c r="X244" s="557"/>
      <c r="Y244" s="557"/>
      <c r="Z244" s="557"/>
      <c r="AA244" s="539"/>
      <c r="AB244" s="539"/>
      <c r="AC244" s="539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7">
        <v>4680115886704</v>
      </c>
      <c r="E245" s="548"/>
      <c r="F245" s="542">
        <v>5.5E-2</v>
      </c>
      <c r="G245" s="32">
        <v>18</v>
      </c>
      <c r="H245" s="542">
        <v>0.99</v>
      </c>
      <c r="I245" s="542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0"/>
      <c r="R245" s="550"/>
      <c r="S245" s="550"/>
      <c r="T245" s="551"/>
      <c r="U245" s="34"/>
      <c r="V245" s="34"/>
      <c r="W245" s="35" t="s">
        <v>69</v>
      </c>
      <c r="X245" s="543">
        <v>0</v>
      </c>
      <c r="Y245" s="54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7">
        <v>4680115886681</v>
      </c>
      <c r="E246" s="548"/>
      <c r="F246" s="542">
        <v>0.12</v>
      </c>
      <c r="G246" s="32">
        <v>15</v>
      </c>
      <c r="H246" s="542">
        <v>1.8</v>
      </c>
      <c r="I246" s="542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7">
        <v>4680115886735</v>
      </c>
      <c r="E247" s="548"/>
      <c r="F247" s="542">
        <v>0.05</v>
      </c>
      <c r="G247" s="32">
        <v>18</v>
      </c>
      <c r="H247" s="542">
        <v>0.9</v>
      </c>
      <c r="I247" s="542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7">
        <v>4680115886728</v>
      </c>
      <c r="E248" s="548"/>
      <c r="F248" s="542">
        <v>5.5E-2</v>
      </c>
      <c r="G248" s="32">
        <v>18</v>
      </c>
      <c r="H248" s="542">
        <v>0.99</v>
      </c>
      <c r="I248" s="542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7">
        <v>4680115886711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70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71"/>
      <c r="P250" s="560" t="s">
        <v>71</v>
      </c>
      <c r="Q250" s="561"/>
      <c r="R250" s="561"/>
      <c r="S250" s="561"/>
      <c r="T250" s="561"/>
      <c r="U250" s="561"/>
      <c r="V250" s="562"/>
      <c r="W250" s="37" t="s">
        <v>72</v>
      </c>
      <c r="X250" s="545">
        <f>IFERROR(X245/H245,"0")+IFERROR(X246/H246,"0")+IFERROR(X247/H247,"0")+IFERROR(X248/H248,"0")+IFERROR(X249/H249,"0")</f>
        <v>0</v>
      </c>
      <c r="Y250" s="545">
        <f>IFERROR(Y245/H245,"0")+IFERROR(Y246/H246,"0")+IFERROR(Y247/H247,"0")+IFERROR(Y248/H248,"0")+IFERROR(Y249/H249,"0")</f>
        <v>0</v>
      </c>
      <c r="Z250" s="545">
        <f>IFERROR(IF(Z245="",0,Z245),"0")+IFERROR(IF(Z246="",0,Z246),"0")+IFERROR(IF(Z247="",0,Z247),"0")+IFERROR(IF(Z248="",0,Z248),"0")+IFERROR(IF(Z249="",0,Z249),"0")</f>
        <v>0</v>
      </c>
      <c r="AA250" s="546"/>
      <c r="AB250" s="546"/>
      <c r="AC250" s="546"/>
    </row>
    <row r="251" spans="1:68" hidden="1" x14ac:dyDescent="0.2">
      <c r="A251" s="55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71"/>
      <c r="P251" s="560" t="s">
        <v>71</v>
      </c>
      <c r="Q251" s="561"/>
      <c r="R251" s="561"/>
      <c r="S251" s="561"/>
      <c r="T251" s="561"/>
      <c r="U251" s="561"/>
      <c r="V251" s="562"/>
      <c r="W251" s="37" t="s">
        <v>69</v>
      </c>
      <c r="X251" s="545">
        <f>IFERROR(SUM(X245:X249),"0")</f>
        <v>0</v>
      </c>
      <c r="Y251" s="545">
        <f>IFERROR(SUM(Y245:Y249),"0")</f>
        <v>0</v>
      </c>
      <c r="Z251" s="37"/>
      <c r="AA251" s="546"/>
      <c r="AB251" s="546"/>
      <c r="AC251" s="546"/>
    </row>
    <row r="252" spans="1:68" ht="16.5" hidden="1" customHeight="1" x14ac:dyDescent="0.25">
      <c r="A252" s="558" t="s">
        <v>397</v>
      </c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57"/>
      <c r="P252" s="557"/>
      <c r="Q252" s="557"/>
      <c r="R252" s="557"/>
      <c r="S252" s="557"/>
      <c r="T252" s="557"/>
      <c r="U252" s="557"/>
      <c r="V252" s="557"/>
      <c r="W252" s="557"/>
      <c r="X252" s="557"/>
      <c r="Y252" s="557"/>
      <c r="Z252" s="557"/>
      <c r="AA252" s="538"/>
      <c r="AB252" s="538"/>
      <c r="AC252" s="538"/>
    </row>
    <row r="253" spans="1:68" ht="14.25" hidden="1" customHeight="1" x14ac:dyDescent="0.25">
      <c r="A253" s="556" t="s">
        <v>101</v>
      </c>
      <c r="B253" s="557"/>
      <c r="C253" s="557"/>
      <c r="D253" s="557"/>
      <c r="E253" s="557"/>
      <c r="F253" s="557"/>
      <c r="G253" s="557"/>
      <c r="H253" s="557"/>
      <c r="I253" s="557"/>
      <c r="J253" s="557"/>
      <c r="K253" s="557"/>
      <c r="L253" s="557"/>
      <c r="M253" s="557"/>
      <c r="N253" s="557"/>
      <c r="O253" s="557"/>
      <c r="P253" s="557"/>
      <c r="Q253" s="557"/>
      <c r="R253" s="557"/>
      <c r="S253" s="557"/>
      <c r="T253" s="557"/>
      <c r="U253" s="557"/>
      <c r="V253" s="557"/>
      <c r="W253" s="557"/>
      <c r="X253" s="557"/>
      <c r="Y253" s="557"/>
      <c r="Z253" s="557"/>
      <c r="AA253" s="539"/>
      <c r="AB253" s="539"/>
      <c r="AC253" s="539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7">
        <v>4680115885837</v>
      </c>
      <c r="E254" s="548"/>
      <c r="F254" s="542">
        <v>1.35</v>
      </c>
      <c r="G254" s="32">
        <v>8</v>
      </c>
      <c r="H254" s="542">
        <v>10.8</v>
      </c>
      <c r="I254" s="542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5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3">
        <v>0</v>
      </c>
      <c r="Y254" s="54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7">
        <v>4680115885851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5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7">
        <v>4680115885806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7">
        <v>4680115885844</v>
      </c>
      <c r="E257" s="548"/>
      <c r="F257" s="542">
        <v>0.4</v>
      </c>
      <c r="G257" s="32">
        <v>10</v>
      </c>
      <c r="H257" s="542">
        <v>4</v>
      </c>
      <c r="I257" s="542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7">
        <v>4680115885820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5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0"/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71"/>
      <c r="P259" s="560" t="s">
        <v>71</v>
      </c>
      <c r="Q259" s="561"/>
      <c r="R259" s="561"/>
      <c r="S259" s="561"/>
      <c r="T259" s="561"/>
      <c r="U259" s="561"/>
      <c r="V259" s="562"/>
      <c r="W259" s="37" t="s">
        <v>72</v>
      </c>
      <c r="X259" s="545">
        <f>IFERROR(X254/H254,"0")+IFERROR(X255/H255,"0")+IFERROR(X256/H256,"0")+IFERROR(X257/H257,"0")+IFERROR(X258/H258,"0")</f>
        <v>0</v>
      </c>
      <c r="Y259" s="545">
        <f>IFERROR(Y254/H254,"0")+IFERROR(Y255/H255,"0")+IFERROR(Y256/H256,"0")+IFERROR(Y257/H257,"0")+IFERROR(Y258/H258,"0")</f>
        <v>0</v>
      </c>
      <c r="Z259" s="545">
        <f>IFERROR(IF(Z254="",0,Z254),"0")+IFERROR(IF(Z255="",0,Z255),"0")+IFERROR(IF(Z256="",0,Z256),"0")+IFERROR(IF(Z257="",0,Z257),"0")+IFERROR(IF(Z258="",0,Z258),"0")</f>
        <v>0</v>
      </c>
      <c r="AA259" s="546"/>
      <c r="AB259" s="546"/>
      <c r="AC259" s="546"/>
    </row>
    <row r="260" spans="1:68" hidden="1" x14ac:dyDescent="0.2">
      <c r="A260" s="557"/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71"/>
      <c r="P260" s="560" t="s">
        <v>71</v>
      </c>
      <c r="Q260" s="561"/>
      <c r="R260" s="561"/>
      <c r="S260" s="561"/>
      <c r="T260" s="561"/>
      <c r="U260" s="561"/>
      <c r="V260" s="562"/>
      <c r="W260" s="37" t="s">
        <v>69</v>
      </c>
      <c r="X260" s="545">
        <f>IFERROR(SUM(X254:X258),"0")</f>
        <v>0</v>
      </c>
      <c r="Y260" s="545">
        <f>IFERROR(SUM(Y254:Y258),"0")</f>
        <v>0</v>
      </c>
      <c r="Z260" s="37"/>
      <c r="AA260" s="546"/>
      <c r="AB260" s="546"/>
      <c r="AC260" s="546"/>
    </row>
    <row r="261" spans="1:68" ht="16.5" hidden="1" customHeight="1" x14ac:dyDescent="0.25">
      <c r="A261" s="558" t="s">
        <v>413</v>
      </c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  <c r="Z261" s="557"/>
      <c r="AA261" s="538"/>
      <c r="AB261" s="538"/>
      <c r="AC261" s="538"/>
    </row>
    <row r="262" spans="1:68" ht="14.25" hidden="1" customHeight="1" x14ac:dyDescent="0.25">
      <c r="A262" s="556" t="s">
        <v>101</v>
      </c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  <c r="Z262" s="557"/>
      <c r="AA262" s="539"/>
      <c r="AB262" s="539"/>
      <c r="AC262" s="539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7">
        <v>4607091383423</v>
      </c>
      <c r="E263" s="548"/>
      <c r="F263" s="542">
        <v>1.35</v>
      </c>
      <c r="G263" s="32">
        <v>8</v>
      </c>
      <c r="H263" s="542">
        <v>10.8</v>
      </c>
      <c r="I263" s="542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5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0"/>
      <c r="R263" s="550"/>
      <c r="S263" s="550"/>
      <c r="T263" s="551"/>
      <c r="U263" s="34"/>
      <c r="V263" s="34"/>
      <c r="W263" s="35" t="s">
        <v>69</v>
      </c>
      <c r="X263" s="543">
        <v>0</v>
      </c>
      <c r="Y263" s="54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7">
        <v>4680115886957</v>
      </c>
      <c r="E264" s="548"/>
      <c r="F264" s="542">
        <v>1.35</v>
      </c>
      <c r="G264" s="32">
        <v>8</v>
      </c>
      <c r="H264" s="542">
        <v>10.8</v>
      </c>
      <c r="I264" s="542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7">
        <v>4680115885660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2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7">
        <v>4680115886773</v>
      </c>
      <c r="E266" s="548"/>
      <c r="F266" s="542">
        <v>0.9</v>
      </c>
      <c r="G266" s="32">
        <v>10</v>
      </c>
      <c r="H266" s="542">
        <v>9</v>
      </c>
      <c r="I266" s="542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70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71"/>
      <c r="P267" s="560" t="s">
        <v>71</v>
      </c>
      <c r="Q267" s="561"/>
      <c r="R267" s="561"/>
      <c r="S267" s="561"/>
      <c r="T267" s="561"/>
      <c r="U267" s="561"/>
      <c r="V267" s="562"/>
      <c r="W267" s="37" t="s">
        <v>72</v>
      </c>
      <c r="X267" s="545">
        <f>IFERROR(X263/H263,"0")+IFERROR(X264/H264,"0")+IFERROR(X265/H265,"0")+IFERROR(X266/H266,"0")</f>
        <v>0</v>
      </c>
      <c r="Y267" s="545">
        <f>IFERROR(Y263/H263,"0")+IFERROR(Y264/H264,"0")+IFERROR(Y265/H265,"0")+IFERROR(Y266/H266,"0")</f>
        <v>0</v>
      </c>
      <c r="Z267" s="545">
        <f>IFERROR(IF(Z263="",0,Z263),"0")+IFERROR(IF(Z264="",0,Z264),"0")+IFERROR(IF(Z265="",0,Z265),"0")+IFERROR(IF(Z266="",0,Z266),"0")</f>
        <v>0</v>
      </c>
      <c r="AA267" s="546"/>
      <c r="AB267" s="546"/>
      <c r="AC267" s="546"/>
    </row>
    <row r="268" spans="1:68" hidden="1" x14ac:dyDescent="0.2">
      <c r="A268" s="55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71"/>
      <c r="P268" s="560" t="s">
        <v>71</v>
      </c>
      <c r="Q268" s="561"/>
      <c r="R268" s="561"/>
      <c r="S268" s="561"/>
      <c r="T268" s="561"/>
      <c r="U268" s="561"/>
      <c r="V268" s="562"/>
      <c r="W268" s="37" t="s">
        <v>69</v>
      </c>
      <c r="X268" s="545">
        <f>IFERROR(SUM(X263:X266),"0")</f>
        <v>0</v>
      </c>
      <c r="Y268" s="545">
        <f>IFERROR(SUM(Y263:Y266),"0")</f>
        <v>0</v>
      </c>
      <c r="Z268" s="37"/>
      <c r="AA268" s="546"/>
      <c r="AB268" s="546"/>
      <c r="AC268" s="546"/>
    </row>
    <row r="269" spans="1:68" ht="16.5" hidden="1" customHeight="1" x14ac:dyDescent="0.25">
      <c r="A269" s="558" t="s">
        <v>424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38"/>
      <c r="AB269" s="538"/>
      <c r="AC269" s="538"/>
    </row>
    <row r="270" spans="1:68" ht="14.25" hidden="1" customHeight="1" x14ac:dyDescent="0.25">
      <c r="A270" s="556" t="s">
        <v>73</v>
      </c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  <c r="Z270" s="557"/>
      <c r="AA270" s="539"/>
      <c r="AB270" s="539"/>
      <c r="AC270" s="539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7">
        <v>4680115886186</v>
      </c>
      <c r="E271" s="548"/>
      <c r="F271" s="542">
        <v>0.3</v>
      </c>
      <c r="G271" s="32">
        <v>6</v>
      </c>
      <c r="H271" s="542">
        <v>1.8</v>
      </c>
      <c r="I271" s="542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3">
        <v>0</v>
      </c>
      <c r="Y271" s="544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7">
        <v>4680115881228</v>
      </c>
      <c r="E272" s="548"/>
      <c r="F272" s="542">
        <v>0.4</v>
      </c>
      <c r="G272" s="32">
        <v>6</v>
      </c>
      <c r="H272" s="542">
        <v>2.4</v>
      </c>
      <c r="I272" s="542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50</v>
      </c>
      <c r="Y272" s="544">
        <f>IFERROR(IF(X272="",0,CEILING((X272/$H272),1)*$H272),"")</f>
        <v>50.4</v>
      </c>
      <c r="Z272" s="36">
        <f>IFERROR(IF(Y272=0,"",ROUNDUP(Y272/H272,0)*0.00651),"")</f>
        <v>0.13671</v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55.25</v>
      </c>
      <c r="BN272" s="64">
        <f>IFERROR(Y272*I272/H272,"0")</f>
        <v>55.692</v>
      </c>
      <c r="BO272" s="64">
        <f>IFERROR(1/J272*(X272/H272),"0")</f>
        <v>0.11446886446886449</v>
      </c>
      <c r="BP272" s="64">
        <f>IFERROR(1/J272*(Y272/H272),"0")</f>
        <v>0.11538461538461539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7">
        <v>4680115881211</v>
      </c>
      <c r="E273" s="548"/>
      <c r="F273" s="542">
        <v>0.4</v>
      </c>
      <c r="G273" s="32">
        <v>6</v>
      </c>
      <c r="H273" s="542">
        <v>2.4</v>
      </c>
      <c r="I273" s="542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3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50</v>
      </c>
      <c r="Y273" s="544">
        <f>IFERROR(IF(X273="",0,CEILING((X273/$H273),1)*$H273),"")</f>
        <v>50.4</v>
      </c>
      <c r="Z273" s="36">
        <f>IFERROR(IF(Y273=0,"",ROUNDUP(Y273/H273,0)*0.00651),"")</f>
        <v>0.13671</v>
      </c>
      <c r="AA273" s="56"/>
      <c r="AB273" s="57"/>
      <c r="AC273" s="321" t="s">
        <v>427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53.75</v>
      </c>
      <c r="BN273" s="64">
        <f>IFERROR(Y273*I273/H273,"0")</f>
        <v>54.180000000000007</v>
      </c>
      <c r="BO273" s="64">
        <f>IFERROR(1/J273*(X273/H273),"0")</f>
        <v>0.11446886446886449</v>
      </c>
      <c r="BP273" s="64">
        <f>IFERROR(1/J273*(Y273/H273),"0")</f>
        <v>0.11538461538461539</v>
      </c>
    </row>
    <row r="274" spans="1:68" x14ac:dyDescent="0.2">
      <c r="A274" s="570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71"/>
      <c r="P274" s="560" t="s">
        <v>71</v>
      </c>
      <c r="Q274" s="561"/>
      <c r="R274" s="561"/>
      <c r="S274" s="561"/>
      <c r="T274" s="561"/>
      <c r="U274" s="561"/>
      <c r="V274" s="562"/>
      <c r="W274" s="37" t="s">
        <v>72</v>
      </c>
      <c r="X274" s="545">
        <f>IFERROR(X271/H271,"0")+IFERROR(X272/H272,"0")+IFERROR(X273/H273,"0")</f>
        <v>41.666666666666671</v>
      </c>
      <c r="Y274" s="545">
        <f>IFERROR(Y271/H271,"0")+IFERROR(Y272/H272,"0")+IFERROR(Y273/H273,"0")</f>
        <v>42</v>
      </c>
      <c r="Z274" s="545">
        <f>IFERROR(IF(Z271="",0,Z271),"0")+IFERROR(IF(Z272="",0,Z272),"0")+IFERROR(IF(Z273="",0,Z273),"0")</f>
        <v>0.27342</v>
      </c>
      <c r="AA274" s="546"/>
      <c r="AB274" s="546"/>
      <c r="AC274" s="546"/>
    </row>
    <row r="275" spans="1:68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71"/>
      <c r="P275" s="560" t="s">
        <v>71</v>
      </c>
      <c r="Q275" s="561"/>
      <c r="R275" s="561"/>
      <c r="S275" s="561"/>
      <c r="T275" s="561"/>
      <c r="U275" s="561"/>
      <c r="V275" s="562"/>
      <c r="W275" s="37" t="s">
        <v>69</v>
      </c>
      <c r="X275" s="545">
        <f>IFERROR(SUM(X271:X273),"0")</f>
        <v>100</v>
      </c>
      <c r="Y275" s="545">
        <f>IFERROR(SUM(Y271:Y273),"0")</f>
        <v>100.8</v>
      </c>
      <c r="Z275" s="37"/>
      <c r="AA275" s="546"/>
      <c r="AB275" s="546"/>
      <c r="AC275" s="546"/>
    </row>
    <row r="276" spans="1:68" ht="16.5" hidden="1" customHeight="1" x14ac:dyDescent="0.25">
      <c r="A276" s="558" t="s">
        <v>433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38"/>
      <c r="AB276" s="538"/>
      <c r="AC276" s="538"/>
    </row>
    <row r="277" spans="1:68" ht="14.25" hidden="1" customHeight="1" x14ac:dyDescent="0.25">
      <c r="A277" s="556" t="s">
        <v>64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39"/>
      <c r="AB277" s="539"/>
      <c r="AC277" s="539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7">
        <v>4680115880344</v>
      </c>
      <c r="E278" s="548"/>
      <c r="F278" s="542">
        <v>0.28000000000000003</v>
      </c>
      <c r="G278" s="32">
        <v>6</v>
      </c>
      <c r="H278" s="542">
        <v>1.68</v>
      </c>
      <c r="I278" s="542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3">
        <v>0</v>
      </c>
      <c r="Y278" s="544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7">
        <v>4680115886919</v>
      </c>
      <c r="E279" s="548"/>
      <c r="F279" s="542">
        <v>0.4</v>
      </c>
      <c r="G279" s="32">
        <v>6</v>
      </c>
      <c r="H279" s="542">
        <v>2.4</v>
      </c>
      <c r="I279" s="542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70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71"/>
      <c r="P280" s="560" t="s">
        <v>71</v>
      </c>
      <c r="Q280" s="561"/>
      <c r="R280" s="561"/>
      <c r="S280" s="561"/>
      <c r="T280" s="561"/>
      <c r="U280" s="561"/>
      <c r="V280" s="562"/>
      <c r="W280" s="37" t="s">
        <v>72</v>
      </c>
      <c r="X280" s="545">
        <f>IFERROR(X278/H278,"0")+IFERROR(X279/H279,"0")</f>
        <v>0</v>
      </c>
      <c r="Y280" s="545">
        <f>IFERROR(Y278/H278,"0")+IFERROR(Y279/H279,"0")</f>
        <v>0</v>
      </c>
      <c r="Z280" s="545">
        <f>IFERROR(IF(Z278="",0,Z278),"0")+IFERROR(IF(Z279="",0,Z279),"0")</f>
        <v>0</v>
      </c>
      <c r="AA280" s="546"/>
      <c r="AB280" s="546"/>
      <c r="AC280" s="546"/>
    </row>
    <row r="281" spans="1:68" hidden="1" x14ac:dyDescent="0.2">
      <c r="A281" s="557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71"/>
      <c r="P281" s="560" t="s">
        <v>71</v>
      </c>
      <c r="Q281" s="561"/>
      <c r="R281" s="561"/>
      <c r="S281" s="561"/>
      <c r="T281" s="561"/>
      <c r="U281" s="561"/>
      <c r="V281" s="562"/>
      <c r="W281" s="37" t="s">
        <v>69</v>
      </c>
      <c r="X281" s="545">
        <f>IFERROR(SUM(X278:X279),"0")</f>
        <v>0</v>
      </c>
      <c r="Y281" s="545">
        <f>IFERROR(SUM(Y278:Y279),"0")</f>
        <v>0</v>
      </c>
      <c r="Z281" s="37"/>
      <c r="AA281" s="546"/>
      <c r="AB281" s="546"/>
      <c r="AC281" s="546"/>
    </row>
    <row r="282" spans="1:68" ht="14.25" hidden="1" customHeight="1" x14ac:dyDescent="0.25">
      <c r="A282" s="556" t="s">
        <v>73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39"/>
      <c r="AB282" s="539"/>
      <c r="AC282" s="539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7">
        <v>4680115884618</v>
      </c>
      <c r="E283" s="548"/>
      <c r="F283" s="542">
        <v>0.6</v>
      </c>
      <c r="G283" s="32">
        <v>6</v>
      </c>
      <c r="H283" s="542">
        <v>3.6</v>
      </c>
      <c r="I283" s="542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0"/>
      <c r="R283" s="550"/>
      <c r="S283" s="550"/>
      <c r="T283" s="551"/>
      <c r="U283" s="34"/>
      <c r="V283" s="34"/>
      <c r="W283" s="35" t="s">
        <v>69</v>
      </c>
      <c r="X283" s="543">
        <v>0</v>
      </c>
      <c r="Y283" s="544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7">
        <v>4680115887114</v>
      </c>
      <c r="E284" s="548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70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71"/>
      <c r="P285" s="560" t="s">
        <v>71</v>
      </c>
      <c r="Q285" s="561"/>
      <c r="R285" s="561"/>
      <c r="S285" s="561"/>
      <c r="T285" s="561"/>
      <c r="U285" s="561"/>
      <c r="V285" s="562"/>
      <c r="W285" s="37" t="s">
        <v>72</v>
      </c>
      <c r="X285" s="545">
        <f>IFERROR(X283/H283,"0")+IFERROR(X284/H284,"0")</f>
        <v>0</v>
      </c>
      <c r="Y285" s="545">
        <f>IFERROR(Y283/H283,"0")+IFERROR(Y284/H284,"0")</f>
        <v>0</v>
      </c>
      <c r="Z285" s="545">
        <f>IFERROR(IF(Z283="",0,Z283),"0")+IFERROR(IF(Z284="",0,Z284),"0")</f>
        <v>0</v>
      </c>
      <c r="AA285" s="546"/>
      <c r="AB285" s="546"/>
      <c r="AC285" s="546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71"/>
      <c r="P286" s="560" t="s">
        <v>71</v>
      </c>
      <c r="Q286" s="561"/>
      <c r="R286" s="561"/>
      <c r="S286" s="561"/>
      <c r="T286" s="561"/>
      <c r="U286" s="561"/>
      <c r="V286" s="562"/>
      <c r="W286" s="37" t="s">
        <v>69</v>
      </c>
      <c r="X286" s="545">
        <f>IFERROR(SUM(X283:X284),"0")</f>
        <v>0</v>
      </c>
      <c r="Y286" s="545">
        <f>IFERROR(SUM(Y283:Y284),"0")</f>
        <v>0</v>
      </c>
      <c r="Z286" s="37"/>
      <c r="AA286" s="546"/>
      <c r="AB286" s="546"/>
      <c r="AC286" s="546"/>
    </row>
    <row r="287" spans="1:68" ht="16.5" hidden="1" customHeight="1" x14ac:dyDescent="0.25">
      <c r="A287" s="558" t="s">
        <v>446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38"/>
      <c r="AB287" s="538"/>
      <c r="AC287" s="538"/>
    </row>
    <row r="288" spans="1:68" ht="14.25" hidden="1" customHeight="1" x14ac:dyDescent="0.25">
      <c r="A288" s="556" t="s">
        <v>101</v>
      </c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  <c r="Z288" s="557"/>
      <c r="AA288" s="539"/>
      <c r="AB288" s="539"/>
      <c r="AC288" s="539"/>
    </row>
    <row r="289" spans="1:68" ht="27" hidden="1" customHeight="1" x14ac:dyDescent="0.25">
      <c r="A289" s="54" t="s">
        <v>447</v>
      </c>
      <c r="B289" s="54" t="s">
        <v>448</v>
      </c>
      <c r="C289" s="31">
        <v>4301012126</v>
      </c>
      <c r="D289" s="547">
        <v>4607091386004</v>
      </c>
      <c r="E289" s="548"/>
      <c r="F289" s="542">
        <v>1.35</v>
      </c>
      <c r="G289" s="32">
        <v>8</v>
      </c>
      <c r="H289" s="542">
        <v>10.8</v>
      </c>
      <c r="I289" s="542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2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hidden="1" customHeight="1" x14ac:dyDescent="0.25">
      <c r="A290" s="54" t="s">
        <v>450</v>
      </c>
      <c r="B290" s="54" t="s">
        <v>451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hidden="1" customHeight="1" x14ac:dyDescent="0.25">
      <c r="A291" s="54" t="s">
        <v>453</v>
      </c>
      <c r="B291" s="54" t="s">
        <v>454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5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461</v>
      </c>
      <c r="B294" s="54" t="s">
        <v>462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idden="1" x14ac:dyDescent="0.2">
      <c r="A295" s="570"/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71"/>
      <c r="P295" s="560" t="s">
        <v>71</v>
      </c>
      <c r="Q295" s="561"/>
      <c r="R295" s="561"/>
      <c r="S295" s="561"/>
      <c r="T295" s="561"/>
      <c r="U295" s="561"/>
      <c r="V295" s="562"/>
      <c r="W295" s="37" t="s">
        <v>72</v>
      </c>
      <c r="X295" s="545">
        <f>IFERROR(X289/H289,"0")+IFERROR(X290/H290,"0")+IFERROR(X291/H291,"0")+IFERROR(X292/H292,"0")+IFERROR(X293/H293,"0")+IFERROR(X294/H294,"0")</f>
        <v>0</v>
      </c>
      <c r="Y295" s="545">
        <f>IFERROR(Y289/H289,"0")+IFERROR(Y290/H290,"0")+IFERROR(Y291/H291,"0")+IFERROR(Y292/H292,"0")+IFERROR(Y293/H293,"0")+IFERROR(Y294/H294,"0")</f>
        <v>0</v>
      </c>
      <c r="Z295" s="545">
        <f>IFERROR(IF(Z289="",0,Z289),"0")+IFERROR(IF(Z290="",0,Z290),"0")+IFERROR(IF(Z291="",0,Z291),"0")+IFERROR(IF(Z292="",0,Z292),"0")+IFERROR(IF(Z293="",0,Z293),"0")+IFERROR(IF(Z294="",0,Z294),"0")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hidden="1" x14ac:dyDescent="0.2">
      <c r="A296" s="557"/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71"/>
      <c r="P296" s="560" t="s">
        <v>71</v>
      </c>
      <c r="Q296" s="561"/>
      <c r="R296" s="561"/>
      <c r="S296" s="561"/>
      <c r="T296" s="561"/>
      <c r="U296" s="561"/>
      <c r="V296" s="562"/>
      <c r="W296" s="37" t="s">
        <v>69</v>
      </c>
      <c r="X296" s="545">
        <f>IFERROR(SUM(X289:X294),"0")</f>
        <v>0</v>
      </c>
      <c r="Y296" s="545">
        <f>IFERROR(SUM(Y289:Y294),"0")</f>
        <v>0</v>
      </c>
      <c r="Z296" s="37"/>
      <c r="AA296" s="546"/>
      <c r="AB296" s="546"/>
      <c r="AC296" s="546"/>
    </row>
    <row r="297" spans="1:68" ht="14.25" hidden="1" customHeight="1" x14ac:dyDescent="0.25">
      <c r="A297" s="556" t="s">
        <v>64</v>
      </c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  <c r="Z297" s="557"/>
      <c r="AA297" s="539"/>
      <c r="AB297" s="539"/>
      <c r="AC297" s="539"/>
    </row>
    <row r="298" spans="1:68" ht="27" hidden="1" customHeight="1" x14ac:dyDescent="0.25">
      <c r="A298" s="54" t="s">
        <v>464</v>
      </c>
      <c r="B298" s="54" t="s">
        <v>465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4"/>
      <c r="V298" s="34"/>
      <c r="W298" s="35" t="s">
        <v>69</v>
      </c>
      <c r="X298" s="543">
        <v>0</v>
      </c>
      <c r="Y298" s="544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0</v>
      </c>
      <c r="Y299" s="544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266</v>
      </c>
      <c r="M302" s="33" t="s">
        <v>68</v>
      </c>
      <c r="N302" s="33"/>
      <c r="O302" s="32">
        <v>40</v>
      </c>
      <c r="P302" s="5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4301031306</v>
      </c>
      <c r="D303" s="547">
        <v>4680115882881</v>
      </c>
      <c r="E303" s="548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477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480</v>
      </c>
      <c r="B304" s="54" t="s">
        <v>481</v>
      </c>
      <c r="C304" s="31">
        <v>4301031066</v>
      </c>
      <c r="D304" s="547">
        <v>4607091383836</v>
      </c>
      <c r="E304" s="548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482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idden="1" x14ac:dyDescent="0.2">
      <c r="A305" s="570"/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71"/>
      <c r="P305" s="560" t="s">
        <v>71</v>
      </c>
      <c r="Q305" s="561"/>
      <c r="R305" s="561"/>
      <c r="S305" s="561"/>
      <c r="T305" s="561"/>
      <c r="U305" s="561"/>
      <c r="V305" s="562"/>
      <c r="W305" s="37" t="s">
        <v>72</v>
      </c>
      <c r="X305" s="545">
        <f>IFERROR(X298/H298,"0")+IFERROR(X299/H299,"0")+IFERROR(X300/H300,"0")+IFERROR(X301/H301,"0")+IFERROR(X302/H302,"0")+IFERROR(X303/H303,"0")+IFERROR(X304/H304,"0")</f>
        <v>0</v>
      </c>
      <c r="Y305" s="545">
        <f>IFERROR(Y298/H298,"0")+IFERROR(Y299/H299,"0")+IFERROR(Y300/H300,"0")+IFERROR(Y301/H301,"0")+IFERROR(Y302/H302,"0")+IFERROR(Y303/H303,"0")+IFERROR(Y304/H304,"0")</f>
        <v>0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6"/>
      <c r="AB305" s="546"/>
      <c r="AC305" s="546"/>
    </row>
    <row r="306" spans="1:68" hidden="1" x14ac:dyDescent="0.2">
      <c r="A306" s="557"/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71"/>
      <c r="P306" s="560" t="s">
        <v>71</v>
      </c>
      <c r="Q306" s="561"/>
      <c r="R306" s="561"/>
      <c r="S306" s="561"/>
      <c r="T306" s="561"/>
      <c r="U306" s="561"/>
      <c r="V306" s="562"/>
      <c r="W306" s="37" t="s">
        <v>69</v>
      </c>
      <c r="X306" s="545">
        <f>IFERROR(SUM(X298:X304),"0")</f>
        <v>0</v>
      </c>
      <c r="Y306" s="545">
        <f>IFERROR(SUM(Y298:Y304),"0")</f>
        <v>0</v>
      </c>
      <c r="Z306" s="37"/>
      <c r="AA306" s="546"/>
      <c r="AB306" s="546"/>
      <c r="AC306" s="546"/>
    </row>
    <row r="307" spans="1:68" ht="14.25" hidden="1" customHeight="1" x14ac:dyDescent="0.25">
      <c r="A307" s="556" t="s">
        <v>73</v>
      </c>
      <c r="B307" s="557"/>
      <c r="C307" s="557"/>
      <c r="D307" s="557"/>
      <c r="E307" s="557"/>
      <c r="F307" s="557"/>
      <c r="G307" s="557"/>
      <c r="H307" s="557"/>
      <c r="I307" s="557"/>
      <c r="J307" s="557"/>
      <c r="K307" s="557"/>
      <c r="L307" s="557"/>
      <c r="M307" s="557"/>
      <c r="N307" s="557"/>
      <c r="O307" s="557"/>
      <c r="P307" s="557"/>
      <c r="Q307" s="557"/>
      <c r="R307" s="557"/>
      <c r="S307" s="557"/>
      <c r="T307" s="557"/>
      <c r="U307" s="557"/>
      <c r="V307" s="557"/>
      <c r="W307" s="557"/>
      <c r="X307" s="557"/>
      <c r="Y307" s="557"/>
      <c r="Z307" s="557"/>
      <c r="AA307" s="539"/>
      <c r="AB307" s="539"/>
      <c r="AC307" s="539"/>
    </row>
    <row r="308" spans="1:68" ht="27" hidden="1" customHeight="1" x14ac:dyDescent="0.25">
      <c r="A308" s="54" t="s">
        <v>483</v>
      </c>
      <c r="B308" s="54" t="s">
        <v>484</v>
      </c>
      <c r="C308" s="31">
        <v>4301051100</v>
      </c>
      <c r="D308" s="547">
        <v>4607091387766</v>
      </c>
      <c r="E308" s="548"/>
      <c r="F308" s="542">
        <v>1.3</v>
      </c>
      <c r="G308" s="32">
        <v>6</v>
      </c>
      <c r="H308" s="542">
        <v>7.8</v>
      </c>
      <c r="I308" s="542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0"/>
      <c r="R308" s="550"/>
      <c r="S308" s="550"/>
      <c r="T308" s="551"/>
      <c r="U308" s="34"/>
      <c r="V308" s="34"/>
      <c r="W308" s="35" t="s">
        <v>69</v>
      </c>
      <c r="X308" s="543">
        <v>0</v>
      </c>
      <c r="Y308" s="544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4301051818</v>
      </c>
      <c r="D309" s="547">
        <v>4607091387957</v>
      </c>
      <c r="E309" s="548"/>
      <c r="F309" s="542">
        <v>1.3</v>
      </c>
      <c r="G309" s="32">
        <v>6</v>
      </c>
      <c r="H309" s="542">
        <v>7.8</v>
      </c>
      <c r="I309" s="542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0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4301051819</v>
      </c>
      <c r="D310" s="547">
        <v>4607091387964</v>
      </c>
      <c r="E310" s="548"/>
      <c r="F310" s="542">
        <v>1.35</v>
      </c>
      <c r="G310" s="32">
        <v>6</v>
      </c>
      <c r="H310" s="542">
        <v>8.1</v>
      </c>
      <c r="I310" s="542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69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492</v>
      </c>
      <c r="B311" s="54" t="s">
        <v>493</v>
      </c>
      <c r="C311" s="31">
        <v>4301051734</v>
      </c>
      <c r="D311" s="547">
        <v>4680115884588</v>
      </c>
      <c r="E311" s="548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494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70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71"/>
      <c r="P312" s="560" t="s">
        <v>71</v>
      </c>
      <c r="Q312" s="561"/>
      <c r="R312" s="561"/>
      <c r="S312" s="561"/>
      <c r="T312" s="561"/>
      <c r="U312" s="561"/>
      <c r="V312" s="562"/>
      <c r="W312" s="37" t="s">
        <v>72</v>
      </c>
      <c r="X312" s="545">
        <f>IFERROR(X308/H308,"0")+IFERROR(X309/H309,"0")+IFERROR(X310/H310,"0")+IFERROR(X311/H311,"0")</f>
        <v>0</v>
      </c>
      <c r="Y312" s="545">
        <f>IFERROR(Y308/H308,"0")+IFERROR(Y309/H309,"0")+IFERROR(Y310/H310,"0")+IFERROR(Y311/H311,"0")</f>
        <v>0</v>
      </c>
      <c r="Z312" s="545">
        <f>IFERROR(IF(Z308="",0,Z308),"0")+IFERROR(IF(Z309="",0,Z309),"0")+IFERROR(IF(Z310="",0,Z310),"0")+IFERROR(IF(Z311="",0,Z311),"0")</f>
        <v>0</v>
      </c>
      <c r="AA312" s="546"/>
      <c r="AB312" s="546"/>
      <c r="AC312" s="546"/>
    </row>
    <row r="313" spans="1:68" hidden="1" x14ac:dyDescent="0.2">
      <c r="A313" s="557"/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71"/>
      <c r="P313" s="560" t="s">
        <v>71</v>
      </c>
      <c r="Q313" s="561"/>
      <c r="R313" s="561"/>
      <c r="S313" s="561"/>
      <c r="T313" s="561"/>
      <c r="U313" s="561"/>
      <c r="V313" s="562"/>
      <c r="W313" s="37" t="s">
        <v>69</v>
      </c>
      <c r="X313" s="545">
        <f>IFERROR(SUM(X308:X311),"0")</f>
        <v>0</v>
      </c>
      <c r="Y313" s="545">
        <f>IFERROR(SUM(Y308:Y311),"0")</f>
        <v>0</v>
      </c>
      <c r="Z313" s="37"/>
      <c r="AA313" s="546"/>
      <c r="AB313" s="546"/>
      <c r="AC313" s="546"/>
    </row>
    <row r="314" spans="1:68" ht="14.25" hidden="1" customHeight="1" x14ac:dyDescent="0.25">
      <c r="A314" s="556" t="s">
        <v>164</v>
      </c>
      <c r="B314" s="557"/>
      <c r="C314" s="557"/>
      <c r="D314" s="557"/>
      <c r="E314" s="557"/>
      <c r="F314" s="557"/>
      <c r="G314" s="557"/>
      <c r="H314" s="557"/>
      <c r="I314" s="557"/>
      <c r="J314" s="557"/>
      <c r="K314" s="557"/>
      <c r="L314" s="557"/>
      <c r="M314" s="557"/>
      <c r="N314" s="557"/>
      <c r="O314" s="557"/>
      <c r="P314" s="557"/>
      <c r="Q314" s="557"/>
      <c r="R314" s="557"/>
      <c r="S314" s="557"/>
      <c r="T314" s="557"/>
      <c r="U314" s="557"/>
      <c r="V314" s="557"/>
      <c r="W314" s="557"/>
      <c r="X314" s="557"/>
      <c r="Y314" s="557"/>
      <c r="Z314" s="557"/>
      <c r="AA314" s="539"/>
      <c r="AB314" s="539"/>
      <c r="AC314" s="539"/>
    </row>
    <row r="315" spans="1:68" ht="27" hidden="1" customHeight="1" x14ac:dyDescent="0.25">
      <c r="A315" s="54" t="s">
        <v>495</v>
      </c>
      <c r="B315" s="54" t="s">
        <v>496</v>
      </c>
      <c r="C315" s="31">
        <v>4301060387</v>
      </c>
      <c r="D315" s="547">
        <v>4607091380880</v>
      </c>
      <c r="E315" s="548"/>
      <c r="F315" s="542">
        <v>1.4</v>
      </c>
      <c r="G315" s="32">
        <v>6</v>
      </c>
      <c r="H315" s="542">
        <v>8.4</v>
      </c>
      <c r="I315" s="542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0"/>
      <c r="R315" s="550"/>
      <c r="S315" s="550"/>
      <c r="T315" s="551"/>
      <c r="U315" s="34"/>
      <c r="V315" s="34"/>
      <c r="W315" s="35" t="s">
        <v>69</v>
      </c>
      <c r="X315" s="543">
        <v>0</v>
      </c>
      <c r="Y315" s="54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498</v>
      </c>
      <c r="B316" s="54" t="s">
        <v>499</v>
      </c>
      <c r="C316" s="31">
        <v>4301060406</v>
      </c>
      <c r="D316" s="547">
        <v>4607091384482</v>
      </c>
      <c r="E316" s="548"/>
      <c r="F316" s="542">
        <v>1.3</v>
      </c>
      <c r="G316" s="32">
        <v>6</v>
      </c>
      <c r="H316" s="542">
        <v>7.8</v>
      </c>
      <c r="I316" s="542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150</v>
      </c>
      <c r="Y316" s="544">
        <f>IFERROR(IF(X316="",0,CEILING((X316/$H316),1)*$H316),"")</f>
        <v>156</v>
      </c>
      <c r="Z316" s="36">
        <f>IFERROR(IF(Y316=0,"",ROUNDUP(Y316/H316,0)*0.01898),"")</f>
        <v>0.37959999999999999</v>
      </c>
      <c r="AA316" s="56"/>
      <c r="AB316" s="57"/>
      <c r="AC316" s="367" t="s">
        <v>500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159.50000000000003</v>
      </c>
      <c r="BN316" s="64">
        <f>IFERROR(Y316*I316/H316,"0")</f>
        <v>165.88</v>
      </c>
      <c r="BO316" s="64">
        <f>IFERROR(1/J316*(X316/H316),"0")</f>
        <v>0.30048076923076922</v>
      </c>
      <c r="BP316" s="64">
        <f>IFERROR(1/J316*(Y316/H316),"0")</f>
        <v>0.3125</v>
      </c>
    </row>
    <row r="317" spans="1:68" ht="16.5" hidden="1" customHeight="1" x14ac:dyDescent="0.25">
      <c r="A317" s="54" t="s">
        <v>501</v>
      </c>
      <c r="B317" s="54" t="s">
        <v>502</v>
      </c>
      <c r="C317" s="31">
        <v>4301060484</v>
      </c>
      <c r="D317" s="547">
        <v>4607091380897</v>
      </c>
      <c r="E317" s="548"/>
      <c r="F317" s="542">
        <v>1.4</v>
      </c>
      <c r="G317" s="32">
        <v>6</v>
      </c>
      <c r="H317" s="542">
        <v>8.4</v>
      </c>
      <c r="I317" s="542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503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70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71"/>
      <c r="P318" s="560" t="s">
        <v>71</v>
      </c>
      <c r="Q318" s="561"/>
      <c r="R318" s="561"/>
      <c r="S318" s="561"/>
      <c r="T318" s="561"/>
      <c r="U318" s="561"/>
      <c r="V318" s="562"/>
      <c r="W318" s="37" t="s">
        <v>72</v>
      </c>
      <c r="X318" s="545">
        <f>IFERROR(X315/H315,"0")+IFERROR(X316/H316,"0")+IFERROR(X317/H317,"0")</f>
        <v>19.23076923076923</v>
      </c>
      <c r="Y318" s="545">
        <f>IFERROR(Y315/H315,"0")+IFERROR(Y316/H316,"0")+IFERROR(Y317/H317,"0")</f>
        <v>20</v>
      </c>
      <c r="Z318" s="545">
        <f>IFERROR(IF(Z315="",0,Z315),"0")+IFERROR(IF(Z316="",0,Z316),"0")+IFERROR(IF(Z317="",0,Z317),"0")</f>
        <v>0.37959999999999999</v>
      </c>
      <c r="AA318" s="546"/>
      <c r="AB318" s="546"/>
      <c r="AC318" s="546"/>
    </row>
    <row r="319" spans="1:68" x14ac:dyDescent="0.2">
      <c r="A319" s="557"/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71"/>
      <c r="P319" s="560" t="s">
        <v>71</v>
      </c>
      <c r="Q319" s="561"/>
      <c r="R319" s="561"/>
      <c r="S319" s="561"/>
      <c r="T319" s="561"/>
      <c r="U319" s="561"/>
      <c r="V319" s="562"/>
      <c r="W319" s="37" t="s">
        <v>69</v>
      </c>
      <c r="X319" s="545">
        <f>IFERROR(SUM(X315:X317),"0")</f>
        <v>150</v>
      </c>
      <c r="Y319" s="545">
        <f>IFERROR(SUM(Y315:Y317),"0")</f>
        <v>156</v>
      </c>
      <c r="Z319" s="37"/>
      <c r="AA319" s="546"/>
      <c r="AB319" s="546"/>
      <c r="AC319" s="546"/>
    </row>
    <row r="320" spans="1:68" ht="14.25" hidden="1" customHeight="1" x14ac:dyDescent="0.25">
      <c r="A320" s="556" t="s">
        <v>93</v>
      </c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  <c r="Z320" s="557"/>
      <c r="AA320" s="539"/>
      <c r="AB320" s="539"/>
      <c r="AC320" s="539"/>
    </row>
    <row r="321" spans="1:68" ht="27" hidden="1" customHeight="1" x14ac:dyDescent="0.25">
      <c r="A321" s="54" t="s">
        <v>504</v>
      </c>
      <c r="B321" s="54" t="s">
        <v>505</v>
      </c>
      <c r="C321" s="31">
        <v>4301030235</v>
      </c>
      <c r="D321" s="547">
        <v>4607091388381</v>
      </c>
      <c r="E321" s="548"/>
      <c r="F321" s="542">
        <v>0.38</v>
      </c>
      <c r="G321" s="32">
        <v>8</v>
      </c>
      <c r="H321" s="542">
        <v>3.04</v>
      </c>
      <c r="I321" s="542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0"/>
      <c r="R321" s="550"/>
      <c r="S321" s="550"/>
      <c r="T321" s="551"/>
      <c r="U321" s="34"/>
      <c r="V321" s="34"/>
      <c r="W321" s="35" t="s">
        <v>69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4301030232</v>
      </c>
      <c r="D322" s="547">
        <v>4607091388374</v>
      </c>
      <c r="E322" s="548"/>
      <c r="F322" s="542">
        <v>0.38</v>
      </c>
      <c r="G322" s="32">
        <v>8</v>
      </c>
      <c r="H322" s="542">
        <v>3.04</v>
      </c>
      <c r="I322" s="542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506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4301032015</v>
      </c>
      <c r="D323" s="547">
        <v>4607091383102</v>
      </c>
      <c r="E323" s="548"/>
      <c r="F323" s="542">
        <v>0.17</v>
      </c>
      <c r="G323" s="32">
        <v>15</v>
      </c>
      <c r="H323" s="542">
        <v>2.5499999999999998</v>
      </c>
      <c r="I323" s="542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511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512</v>
      </c>
      <c r="B324" s="54" t="s">
        <v>513</v>
      </c>
      <c r="C324" s="31">
        <v>4301030233</v>
      </c>
      <c r="D324" s="547">
        <v>4607091388404</v>
      </c>
      <c r="E324" s="548"/>
      <c r="F324" s="542">
        <v>0.17</v>
      </c>
      <c r="G324" s="32">
        <v>15</v>
      </c>
      <c r="H324" s="542">
        <v>2.5499999999999998</v>
      </c>
      <c r="I324" s="542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6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506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70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71"/>
      <c r="P325" s="560" t="s">
        <v>71</v>
      </c>
      <c r="Q325" s="561"/>
      <c r="R325" s="561"/>
      <c r="S325" s="561"/>
      <c r="T325" s="561"/>
      <c r="U325" s="561"/>
      <c r="V325" s="562"/>
      <c r="W325" s="37" t="s">
        <v>72</v>
      </c>
      <c r="X325" s="545">
        <f>IFERROR(X321/H321,"0")+IFERROR(X322/H322,"0")+IFERROR(X323/H323,"0")+IFERROR(X324/H324,"0")</f>
        <v>0</v>
      </c>
      <c r="Y325" s="545">
        <f>IFERROR(Y321/H321,"0")+IFERROR(Y322/H322,"0")+IFERROR(Y323/H323,"0")+IFERROR(Y324/H324,"0")</f>
        <v>0</v>
      </c>
      <c r="Z325" s="545">
        <f>IFERROR(IF(Z321="",0,Z321),"0")+IFERROR(IF(Z322="",0,Z322),"0")+IFERROR(IF(Z323="",0,Z323),"0")+IFERROR(IF(Z324="",0,Z324),"0")</f>
        <v>0</v>
      </c>
      <c r="AA325" s="546"/>
      <c r="AB325" s="546"/>
      <c r="AC325" s="546"/>
    </row>
    <row r="326" spans="1:68" hidden="1" x14ac:dyDescent="0.2">
      <c r="A326" s="557"/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71"/>
      <c r="P326" s="560" t="s">
        <v>71</v>
      </c>
      <c r="Q326" s="561"/>
      <c r="R326" s="561"/>
      <c r="S326" s="561"/>
      <c r="T326" s="561"/>
      <c r="U326" s="561"/>
      <c r="V326" s="562"/>
      <c r="W326" s="37" t="s">
        <v>69</v>
      </c>
      <c r="X326" s="545">
        <f>IFERROR(SUM(X321:X324),"0")</f>
        <v>0</v>
      </c>
      <c r="Y326" s="545">
        <f>IFERROR(SUM(Y321:Y324),"0")</f>
        <v>0</v>
      </c>
      <c r="Z326" s="37"/>
      <c r="AA326" s="546"/>
      <c r="AB326" s="546"/>
      <c r="AC326" s="546"/>
    </row>
    <row r="327" spans="1:68" ht="14.25" hidden="1" customHeight="1" x14ac:dyDescent="0.25">
      <c r="A327" s="556" t="s">
        <v>514</v>
      </c>
      <c r="B327" s="557"/>
      <c r="C327" s="557"/>
      <c r="D327" s="557"/>
      <c r="E327" s="557"/>
      <c r="F327" s="557"/>
      <c r="G327" s="557"/>
      <c r="H327" s="557"/>
      <c r="I327" s="557"/>
      <c r="J327" s="557"/>
      <c r="K327" s="557"/>
      <c r="L327" s="557"/>
      <c r="M327" s="557"/>
      <c r="N327" s="557"/>
      <c r="O327" s="557"/>
      <c r="P327" s="557"/>
      <c r="Q327" s="557"/>
      <c r="R327" s="557"/>
      <c r="S327" s="557"/>
      <c r="T327" s="557"/>
      <c r="U327" s="557"/>
      <c r="V327" s="557"/>
      <c r="W327" s="557"/>
      <c r="X327" s="557"/>
      <c r="Y327" s="557"/>
      <c r="Z327" s="557"/>
      <c r="AA327" s="539"/>
      <c r="AB327" s="539"/>
      <c r="AC327" s="539"/>
    </row>
    <row r="328" spans="1:68" ht="16.5" hidden="1" customHeight="1" x14ac:dyDescent="0.25">
      <c r="A328" s="54" t="s">
        <v>515</v>
      </c>
      <c r="B328" s="54" t="s">
        <v>516</v>
      </c>
      <c r="C328" s="31">
        <v>4301180007</v>
      </c>
      <c r="D328" s="547">
        <v>4680115881808</v>
      </c>
      <c r="E328" s="548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0"/>
      <c r="R328" s="550"/>
      <c r="S328" s="550"/>
      <c r="T328" s="551"/>
      <c r="U328" s="34"/>
      <c r="V328" s="34"/>
      <c r="W328" s="35" t="s">
        <v>69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519</v>
      </c>
      <c r="B329" s="54" t="s">
        <v>520</v>
      </c>
      <c r="C329" s="31">
        <v>4301180006</v>
      </c>
      <c r="D329" s="547">
        <v>4680115881822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521</v>
      </c>
      <c r="B330" s="54" t="s">
        <v>522</v>
      </c>
      <c r="C330" s="31">
        <v>4301180001</v>
      </c>
      <c r="D330" s="547">
        <v>4680115880016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517</v>
      </c>
      <c r="N330" s="33"/>
      <c r="O330" s="32">
        <v>730</v>
      </c>
      <c r="P330" s="8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518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70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71"/>
      <c r="P331" s="560" t="s">
        <v>71</v>
      </c>
      <c r="Q331" s="561"/>
      <c r="R331" s="561"/>
      <c r="S331" s="561"/>
      <c r="T331" s="561"/>
      <c r="U331" s="561"/>
      <c r="V331" s="562"/>
      <c r="W331" s="37" t="s">
        <v>72</v>
      </c>
      <c r="X331" s="545">
        <f>IFERROR(X328/H328,"0")+IFERROR(X329/H329,"0")+IFERROR(X330/H330,"0")</f>
        <v>0</v>
      </c>
      <c r="Y331" s="545">
        <f>IFERROR(Y328/H328,"0")+IFERROR(Y329/H329,"0")+IFERROR(Y330/H330,"0")</f>
        <v>0</v>
      </c>
      <c r="Z331" s="545">
        <f>IFERROR(IF(Z328="",0,Z328),"0")+IFERROR(IF(Z329="",0,Z329),"0")+IFERROR(IF(Z330="",0,Z330),"0")</f>
        <v>0</v>
      </c>
      <c r="AA331" s="546"/>
      <c r="AB331" s="546"/>
      <c r="AC331" s="546"/>
    </row>
    <row r="332" spans="1:68" hidden="1" x14ac:dyDescent="0.2">
      <c r="A332" s="557"/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71"/>
      <c r="P332" s="560" t="s">
        <v>71</v>
      </c>
      <c r="Q332" s="561"/>
      <c r="R332" s="561"/>
      <c r="S332" s="561"/>
      <c r="T332" s="561"/>
      <c r="U332" s="561"/>
      <c r="V332" s="562"/>
      <c r="W332" s="37" t="s">
        <v>69</v>
      </c>
      <c r="X332" s="545">
        <f>IFERROR(SUM(X328:X330),"0")</f>
        <v>0</v>
      </c>
      <c r="Y332" s="545">
        <f>IFERROR(SUM(Y328:Y330),"0")</f>
        <v>0</v>
      </c>
      <c r="Z332" s="37"/>
      <c r="AA332" s="546"/>
      <c r="AB332" s="546"/>
      <c r="AC332" s="546"/>
    </row>
    <row r="333" spans="1:68" ht="16.5" hidden="1" customHeight="1" x14ac:dyDescent="0.25">
      <c r="A333" s="558" t="s">
        <v>523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38"/>
      <c r="AB333" s="538"/>
      <c r="AC333" s="538"/>
    </row>
    <row r="334" spans="1:68" ht="14.25" hidden="1" customHeight="1" x14ac:dyDescent="0.25">
      <c r="A334" s="556" t="s">
        <v>73</v>
      </c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57"/>
      <c r="P334" s="557"/>
      <c r="Q334" s="557"/>
      <c r="R334" s="557"/>
      <c r="S334" s="557"/>
      <c r="T334" s="557"/>
      <c r="U334" s="557"/>
      <c r="V334" s="557"/>
      <c r="W334" s="557"/>
      <c r="X334" s="557"/>
      <c r="Y334" s="557"/>
      <c r="Z334" s="557"/>
      <c r="AA334" s="539"/>
      <c r="AB334" s="539"/>
      <c r="AC334" s="539"/>
    </row>
    <row r="335" spans="1:68" ht="27" hidden="1" customHeight="1" x14ac:dyDescent="0.25">
      <c r="A335" s="54" t="s">
        <v>524</v>
      </c>
      <c r="B335" s="54" t="s">
        <v>525</v>
      </c>
      <c r="C335" s="31">
        <v>4301051489</v>
      </c>
      <c r="D335" s="547">
        <v>4607091387919</v>
      </c>
      <c r="E335" s="548"/>
      <c r="F335" s="542">
        <v>1.35</v>
      </c>
      <c r="G335" s="32">
        <v>6</v>
      </c>
      <c r="H335" s="542">
        <v>8.1</v>
      </c>
      <c r="I335" s="542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526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4301051461</v>
      </c>
      <c r="D336" s="547">
        <v>4680115883604</v>
      </c>
      <c r="E336" s="548"/>
      <c r="F336" s="542">
        <v>0.35</v>
      </c>
      <c r="G336" s="32">
        <v>6</v>
      </c>
      <c r="H336" s="542">
        <v>2.1</v>
      </c>
      <c r="I336" s="542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170</v>
      </c>
      <c r="Y336" s="544">
        <f>IFERROR(IF(X336="",0,CEILING((X336/$H336),1)*$H336),"")</f>
        <v>170.1</v>
      </c>
      <c r="Z336" s="36">
        <f>IFERROR(IF(Y336=0,"",ROUNDUP(Y336/H336,0)*0.00651),"")</f>
        <v>0.52731000000000006</v>
      </c>
      <c r="AA336" s="56"/>
      <c r="AB336" s="57"/>
      <c r="AC336" s="387" t="s">
        <v>529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190.39999999999998</v>
      </c>
      <c r="BN336" s="64">
        <f>IFERROR(Y336*I336/H336,"0")</f>
        <v>190.51199999999997</v>
      </c>
      <c r="BO336" s="64">
        <f>IFERROR(1/J336*(X336/H336),"0")</f>
        <v>0.44479330193615907</v>
      </c>
      <c r="BP336" s="64">
        <f>IFERROR(1/J336*(Y336/H336),"0")</f>
        <v>0.44505494505494508</v>
      </c>
    </row>
    <row r="337" spans="1:68" ht="27" customHeight="1" x14ac:dyDescent="0.25">
      <c r="A337" s="54" t="s">
        <v>530</v>
      </c>
      <c r="B337" s="54" t="s">
        <v>531</v>
      </c>
      <c r="C337" s="31">
        <v>4301051864</v>
      </c>
      <c r="D337" s="547">
        <v>4680115883567</v>
      </c>
      <c r="E337" s="548"/>
      <c r="F337" s="542">
        <v>0.35</v>
      </c>
      <c r="G337" s="32">
        <v>6</v>
      </c>
      <c r="H337" s="542">
        <v>2.1</v>
      </c>
      <c r="I337" s="542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70</v>
      </c>
      <c r="Y337" s="544">
        <f>IFERROR(IF(X337="",0,CEILING((X337/$H337),1)*$H337),"")</f>
        <v>71.400000000000006</v>
      </c>
      <c r="Z337" s="36">
        <f>IFERROR(IF(Y337=0,"",ROUNDUP(Y337/H337,0)*0.00651),"")</f>
        <v>0.22134000000000001</v>
      </c>
      <c r="AA337" s="56"/>
      <c r="AB337" s="57"/>
      <c r="AC337" s="389" t="s">
        <v>532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77.999999999999986</v>
      </c>
      <c r="BN337" s="64">
        <f>IFERROR(Y337*I337/H337,"0")</f>
        <v>79.559999999999988</v>
      </c>
      <c r="BO337" s="64">
        <f>IFERROR(1/J337*(X337/H337),"0")</f>
        <v>0.18315018315018314</v>
      </c>
      <c r="BP337" s="64">
        <f>IFERROR(1/J337*(Y337/H337),"0")</f>
        <v>0.18681318681318682</v>
      </c>
    </row>
    <row r="338" spans="1:68" x14ac:dyDescent="0.2">
      <c r="A338" s="570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71"/>
      <c r="P338" s="560" t="s">
        <v>71</v>
      </c>
      <c r="Q338" s="561"/>
      <c r="R338" s="561"/>
      <c r="S338" s="561"/>
      <c r="T338" s="561"/>
      <c r="U338" s="561"/>
      <c r="V338" s="562"/>
      <c r="W338" s="37" t="s">
        <v>72</v>
      </c>
      <c r="X338" s="545">
        <f>IFERROR(X335/H335,"0")+IFERROR(X336/H336,"0")+IFERROR(X337/H337,"0")</f>
        <v>114.28571428571428</v>
      </c>
      <c r="Y338" s="545">
        <f>IFERROR(Y335/H335,"0")+IFERROR(Y336/H336,"0")+IFERROR(Y337/H337,"0")</f>
        <v>115</v>
      </c>
      <c r="Z338" s="545">
        <f>IFERROR(IF(Z335="",0,Z335),"0")+IFERROR(IF(Z336="",0,Z336),"0")+IFERROR(IF(Z337="",0,Z337),"0")</f>
        <v>0.74865000000000004</v>
      </c>
      <c r="AA338" s="546"/>
      <c r="AB338" s="546"/>
      <c r="AC338" s="546"/>
    </row>
    <row r="339" spans="1:68" x14ac:dyDescent="0.2">
      <c r="A339" s="557"/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71"/>
      <c r="P339" s="560" t="s">
        <v>71</v>
      </c>
      <c r="Q339" s="561"/>
      <c r="R339" s="561"/>
      <c r="S339" s="561"/>
      <c r="T339" s="561"/>
      <c r="U339" s="561"/>
      <c r="V339" s="562"/>
      <c r="W339" s="37" t="s">
        <v>69</v>
      </c>
      <c r="X339" s="545">
        <f>IFERROR(SUM(X335:X337),"0")</f>
        <v>240</v>
      </c>
      <c r="Y339" s="545">
        <f>IFERROR(SUM(Y335:Y337),"0")</f>
        <v>241.5</v>
      </c>
      <c r="Z339" s="37"/>
      <c r="AA339" s="546"/>
      <c r="AB339" s="546"/>
      <c r="AC339" s="546"/>
    </row>
    <row r="340" spans="1:68" ht="27.75" hidden="1" customHeight="1" x14ac:dyDescent="0.2">
      <c r="A340" s="568" t="s">
        <v>533</v>
      </c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69"/>
      <c r="P340" s="569"/>
      <c r="Q340" s="569"/>
      <c r="R340" s="569"/>
      <c r="S340" s="569"/>
      <c r="T340" s="569"/>
      <c r="U340" s="569"/>
      <c r="V340" s="569"/>
      <c r="W340" s="569"/>
      <c r="X340" s="569"/>
      <c r="Y340" s="569"/>
      <c r="Z340" s="569"/>
      <c r="AA340" s="48"/>
      <c r="AB340" s="48"/>
      <c r="AC340" s="48"/>
    </row>
    <row r="341" spans="1:68" ht="16.5" hidden="1" customHeight="1" x14ac:dyDescent="0.25">
      <c r="A341" s="558" t="s">
        <v>534</v>
      </c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  <c r="Z341" s="557"/>
      <c r="AA341" s="538"/>
      <c r="AB341" s="538"/>
      <c r="AC341" s="538"/>
    </row>
    <row r="342" spans="1:68" ht="14.25" hidden="1" customHeight="1" x14ac:dyDescent="0.25">
      <c r="A342" s="556" t="s">
        <v>101</v>
      </c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7"/>
      <c r="P342" s="557"/>
      <c r="Q342" s="557"/>
      <c r="R342" s="557"/>
      <c r="S342" s="557"/>
      <c r="T342" s="557"/>
      <c r="U342" s="557"/>
      <c r="V342" s="557"/>
      <c r="W342" s="557"/>
      <c r="X342" s="557"/>
      <c r="Y342" s="557"/>
      <c r="Z342" s="557"/>
      <c r="AA342" s="539"/>
      <c r="AB342" s="539"/>
      <c r="AC342" s="539"/>
    </row>
    <row r="343" spans="1:68" ht="37.5" customHeight="1" x14ac:dyDescent="0.25">
      <c r="A343" s="54" t="s">
        <v>535</v>
      </c>
      <c r="B343" s="54" t="s">
        <v>536</v>
      </c>
      <c r="C343" s="31">
        <v>4301011869</v>
      </c>
      <c r="D343" s="547">
        <v>4680115884847</v>
      </c>
      <c r="E343" s="548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5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0"/>
      <c r="R343" s="550"/>
      <c r="S343" s="550"/>
      <c r="T343" s="551"/>
      <c r="U343" s="34"/>
      <c r="V343" s="34"/>
      <c r="W343" s="35" t="s">
        <v>69</v>
      </c>
      <c r="X343" s="543">
        <v>300</v>
      </c>
      <c r="Y343" s="544">
        <f t="shared" ref="Y343:Y349" si="36">IFERROR(IF(X343="",0,CEILING((X343/$H343),1)*$H343),"")</f>
        <v>300</v>
      </c>
      <c r="Z343" s="36">
        <f>IFERROR(IF(Y343=0,"",ROUNDUP(Y343/H343,0)*0.02175),"")</f>
        <v>0.43499999999999994</v>
      </c>
      <c r="AA343" s="56"/>
      <c r="AB343" s="57"/>
      <c r="AC343" s="391" t="s">
        <v>537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309.39999999999998</v>
      </c>
      <c r="BN343" s="64">
        <f t="shared" ref="BN343:BN349" si="38">IFERROR(Y343*I343/H343,"0")</f>
        <v>309.39999999999998</v>
      </c>
      <c r="BO343" s="64">
        <f t="shared" ref="BO343:BO349" si="39">IFERROR(1/J343*(X343/H343),"0")</f>
        <v>0.41666666666666663</v>
      </c>
      <c r="BP343" s="64">
        <f t="shared" ref="BP343:BP349" si="40">IFERROR(1/J343*(Y343/H343),"0")</f>
        <v>0.41666666666666663</v>
      </c>
    </row>
    <row r="344" spans="1:68" ht="27" customHeight="1" x14ac:dyDescent="0.25">
      <c r="A344" s="54" t="s">
        <v>538</v>
      </c>
      <c r="B344" s="54" t="s">
        <v>539</v>
      </c>
      <c r="C344" s="31">
        <v>4301011870</v>
      </c>
      <c r="D344" s="547">
        <v>4680115884854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0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100</v>
      </c>
      <c r="Y344" s="544">
        <f t="shared" si="36"/>
        <v>105</v>
      </c>
      <c r="Z344" s="36">
        <f>IFERROR(IF(Y344=0,"",ROUNDUP(Y344/H344,0)*0.02175),"")</f>
        <v>0.15225</v>
      </c>
      <c r="AA344" s="56"/>
      <c r="AB344" s="57"/>
      <c r="AC344" s="393" t="s">
        <v>540</v>
      </c>
      <c r="AG344" s="64"/>
      <c r="AJ344" s="68"/>
      <c r="AK344" s="68">
        <v>0</v>
      </c>
      <c r="BB344" s="394" t="s">
        <v>1</v>
      </c>
      <c r="BM344" s="64">
        <f t="shared" si="37"/>
        <v>103.13333333333334</v>
      </c>
      <c r="BN344" s="64">
        <f t="shared" si="38"/>
        <v>108.29</v>
      </c>
      <c r="BO344" s="64">
        <f t="shared" si="39"/>
        <v>0.1388888888888889</v>
      </c>
      <c r="BP344" s="64">
        <f t="shared" si="40"/>
        <v>0.14583333333333331</v>
      </c>
    </row>
    <row r="345" spans="1:68" ht="37.5" hidden="1" customHeight="1" x14ac:dyDescent="0.25">
      <c r="A345" s="54" t="s">
        <v>541</v>
      </c>
      <c r="B345" s="54" t="s">
        <v>542</v>
      </c>
      <c r="C345" s="31">
        <v>4301011867</v>
      </c>
      <c r="D345" s="547">
        <v>4680115884830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544</v>
      </c>
      <c r="B346" s="54" t="s">
        <v>545</v>
      </c>
      <c r="C346" s="31">
        <v>4301012215</v>
      </c>
      <c r="D346" s="547">
        <v>4680115887046</v>
      </c>
      <c r="E346" s="548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100</v>
      </c>
      <c r="Y346" s="544">
        <f t="shared" si="36"/>
        <v>105</v>
      </c>
      <c r="Z346" s="36">
        <f>IFERROR(IF(Y346=0,"",ROUNDUP(Y346/H346,0)*0.02175),"")</f>
        <v>0.15225</v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7"/>
        <v>103.13333333333334</v>
      </c>
      <c r="BN346" s="64">
        <f t="shared" si="38"/>
        <v>108.29</v>
      </c>
      <c r="BO346" s="64">
        <f t="shared" si="39"/>
        <v>0.1388888888888889</v>
      </c>
      <c r="BP346" s="64">
        <f t="shared" si="40"/>
        <v>0.14583333333333331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4301011433</v>
      </c>
      <c r="D347" s="547">
        <v>4680115882638</v>
      </c>
      <c r="E347" s="548"/>
      <c r="F347" s="542">
        <v>0.4</v>
      </c>
      <c r="G347" s="32">
        <v>10</v>
      </c>
      <c r="H347" s="542">
        <v>4</v>
      </c>
      <c r="I347" s="542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549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550</v>
      </c>
      <c r="B348" s="54" t="s">
        <v>551</v>
      </c>
      <c r="C348" s="31">
        <v>4301011952</v>
      </c>
      <c r="D348" s="547">
        <v>4680115884922</v>
      </c>
      <c r="E348" s="548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552</v>
      </c>
      <c r="B349" s="54" t="s">
        <v>553</v>
      </c>
      <c r="C349" s="31">
        <v>4301011868</v>
      </c>
      <c r="D349" s="547">
        <v>4680115884861</v>
      </c>
      <c r="E349" s="548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543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71"/>
      <c r="P350" s="560" t="s">
        <v>71</v>
      </c>
      <c r="Q350" s="561"/>
      <c r="R350" s="561"/>
      <c r="S350" s="561"/>
      <c r="T350" s="561"/>
      <c r="U350" s="561"/>
      <c r="V350" s="562"/>
      <c r="W350" s="37" t="s">
        <v>72</v>
      </c>
      <c r="X350" s="545">
        <f>IFERROR(X343/H343,"0")+IFERROR(X344/H344,"0")+IFERROR(X345/H345,"0")+IFERROR(X346/H346,"0")+IFERROR(X347/H347,"0")+IFERROR(X348/H348,"0")+IFERROR(X349/H349,"0")</f>
        <v>33.333333333333336</v>
      </c>
      <c r="Y350" s="545">
        <f>IFERROR(Y343/H343,"0")+IFERROR(Y344/H344,"0")+IFERROR(Y345/H345,"0")+IFERROR(Y346/H346,"0")+IFERROR(Y347/H347,"0")+IFERROR(Y348/H348,"0")+IFERROR(Y349/H349,"0")</f>
        <v>34</v>
      </c>
      <c r="Z350" s="545">
        <f>IFERROR(IF(Z343="",0,Z343),"0")+IFERROR(IF(Z344="",0,Z344),"0")+IFERROR(IF(Z345="",0,Z345),"0")+IFERROR(IF(Z346="",0,Z346),"0")+IFERROR(IF(Z347="",0,Z347),"0")+IFERROR(IF(Z348="",0,Z348),"0")+IFERROR(IF(Z349="",0,Z349),"0")</f>
        <v>0.73949999999999994</v>
      </c>
      <c r="AA350" s="546"/>
      <c r="AB350" s="546"/>
      <c r="AC350" s="546"/>
    </row>
    <row r="351" spans="1:68" x14ac:dyDescent="0.2">
      <c r="A351" s="557"/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71"/>
      <c r="P351" s="560" t="s">
        <v>71</v>
      </c>
      <c r="Q351" s="561"/>
      <c r="R351" s="561"/>
      <c r="S351" s="561"/>
      <c r="T351" s="561"/>
      <c r="U351" s="561"/>
      <c r="V351" s="562"/>
      <c r="W351" s="37" t="s">
        <v>69</v>
      </c>
      <c r="X351" s="545">
        <f>IFERROR(SUM(X343:X349),"0")</f>
        <v>500</v>
      </c>
      <c r="Y351" s="545">
        <f>IFERROR(SUM(Y343:Y349),"0")</f>
        <v>510</v>
      </c>
      <c r="Z351" s="37"/>
      <c r="AA351" s="546"/>
      <c r="AB351" s="546"/>
      <c r="AC351" s="546"/>
    </row>
    <row r="352" spans="1:68" ht="14.25" hidden="1" customHeight="1" x14ac:dyDescent="0.25">
      <c r="A352" s="556" t="s">
        <v>136</v>
      </c>
      <c r="B352" s="557"/>
      <c r="C352" s="557"/>
      <c r="D352" s="557"/>
      <c r="E352" s="557"/>
      <c r="F352" s="557"/>
      <c r="G352" s="557"/>
      <c r="H352" s="557"/>
      <c r="I352" s="557"/>
      <c r="J352" s="557"/>
      <c r="K352" s="557"/>
      <c r="L352" s="557"/>
      <c r="M352" s="557"/>
      <c r="N352" s="557"/>
      <c r="O352" s="557"/>
      <c r="P352" s="557"/>
      <c r="Q352" s="557"/>
      <c r="R352" s="557"/>
      <c r="S352" s="557"/>
      <c r="T352" s="557"/>
      <c r="U352" s="557"/>
      <c r="V352" s="557"/>
      <c r="W352" s="557"/>
      <c r="X352" s="557"/>
      <c r="Y352" s="557"/>
      <c r="Z352" s="557"/>
      <c r="AA352" s="539"/>
      <c r="AB352" s="539"/>
      <c r="AC352" s="539"/>
    </row>
    <row r="353" spans="1:68" ht="27" customHeight="1" x14ac:dyDescent="0.25">
      <c r="A353" s="54" t="s">
        <v>554</v>
      </c>
      <c r="B353" s="54" t="s">
        <v>555</v>
      </c>
      <c r="C353" s="31">
        <v>4301020178</v>
      </c>
      <c r="D353" s="547">
        <v>4607091383980</v>
      </c>
      <c r="E353" s="548"/>
      <c r="F353" s="542">
        <v>2.5</v>
      </c>
      <c r="G353" s="32">
        <v>6</v>
      </c>
      <c r="H353" s="542">
        <v>15</v>
      </c>
      <c r="I353" s="542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0"/>
      <c r="R353" s="550"/>
      <c r="S353" s="550"/>
      <c r="T353" s="551"/>
      <c r="U353" s="34"/>
      <c r="V353" s="34"/>
      <c r="W353" s="35" t="s">
        <v>69</v>
      </c>
      <c r="X353" s="543">
        <v>200</v>
      </c>
      <c r="Y353" s="544">
        <f>IFERROR(IF(X353="",0,CEILING((X353/$H353),1)*$H353),"")</f>
        <v>210</v>
      </c>
      <c r="Z353" s="36">
        <f>IFERROR(IF(Y353=0,"",ROUNDUP(Y353/H353,0)*0.02175),"")</f>
        <v>0.30449999999999999</v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206.26666666666668</v>
      </c>
      <c r="BN353" s="64">
        <f>IFERROR(Y353*I353/H353,"0")</f>
        <v>216.58</v>
      </c>
      <c r="BO353" s="64">
        <f>IFERROR(1/J353*(X353/H353),"0")</f>
        <v>0.27777777777777779</v>
      </c>
      <c r="BP353" s="64">
        <f>IFERROR(1/J353*(Y353/H353),"0")</f>
        <v>0.29166666666666663</v>
      </c>
    </row>
    <row r="354" spans="1:68" ht="27" hidden="1" customHeight="1" x14ac:dyDescent="0.25">
      <c r="A354" s="54" t="s">
        <v>557</v>
      </c>
      <c r="B354" s="54" t="s">
        <v>558</v>
      </c>
      <c r="C354" s="31">
        <v>4301020179</v>
      </c>
      <c r="D354" s="547">
        <v>4607091384178</v>
      </c>
      <c r="E354" s="548"/>
      <c r="F354" s="542">
        <v>0.4</v>
      </c>
      <c r="G354" s="32">
        <v>10</v>
      </c>
      <c r="H354" s="542">
        <v>4</v>
      </c>
      <c r="I354" s="542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0</v>
      </c>
      <c r="Y354" s="5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559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70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71"/>
      <c r="P355" s="560" t="s">
        <v>71</v>
      </c>
      <c r="Q355" s="561"/>
      <c r="R355" s="561"/>
      <c r="S355" s="561"/>
      <c r="T355" s="561"/>
      <c r="U355" s="561"/>
      <c r="V355" s="562"/>
      <c r="W355" s="37" t="s">
        <v>72</v>
      </c>
      <c r="X355" s="545">
        <f>IFERROR(X353/H353,"0")+IFERROR(X354/H354,"0")</f>
        <v>13.333333333333334</v>
      </c>
      <c r="Y355" s="545">
        <f>IFERROR(Y353/H353,"0")+IFERROR(Y354/H354,"0")</f>
        <v>14</v>
      </c>
      <c r="Z355" s="545">
        <f>IFERROR(IF(Z353="",0,Z353),"0")+IFERROR(IF(Z354="",0,Z354),"0")</f>
        <v>0.30449999999999999</v>
      </c>
      <c r="AA355" s="546"/>
      <c r="AB355" s="546"/>
      <c r="AC355" s="546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71"/>
      <c r="P356" s="560" t="s">
        <v>71</v>
      </c>
      <c r="Q356" s="561"/>
      <c r="R356" s="561"/>
      <c r="S356" s="561"/>
      <c r="T356" s="561"/>
      <c r="U356" s="561"/>
      <c r="V356" s="562"/>
      <c r="W356" s="37" t="s">
        <v>69</v>
      </c>
      <c r="X356" s="545">
        <f>IFERROR(SUM(X353:X354),"0")</f>
        <v>200</v>
      </c>
      <c r="Y356" s="545">
        <f>IFERROR(SUM(Y353:Y354),"0")</f>
        <v>210</v>
      </c>
      <c r="Z356" s="37"/>
      <c r="AA356" s="546"/>
      <c r="AB356" s="546"/>
      <c r="AC356" s="546"/>
    </row>
    <row r="357" spans="1:68" ht="14.25" hidden="1" customHeight="1" x14ac:dyDescent="0.25">
      <c r="A357" s="556" t="s">
        <v>73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39"/>
      <c r="AB357" s="539"/>
      <c r="AC357" s="539"/>
    </row>
    <row r="358" spans="1:68" ht="27" hidden="1" customHeight="1" x14ac:dyDescent="0.25">
      <c r="A358" s="54" t="s">
        <v>560</v>
      </c>
      <c r="B358" s="54" t="s">
        <v>561</v>
      </c>
      <c r="C358" s="31">
        <v>4301051903</v>
      </c>
      <c r="D358" s="547">
        <v>4607091383928</v>
      </c>
      <c r="E358" s="548"/>
      <c r="F358" s="542">
        <v>1.5</v>
      </c>
      <c r="G358" s="32">
        <v>6</v>
      </c>
      <c r="H358" s="542">
        <v>9</v>
      </c>
      <c r="I358" s="542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8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0"/>
      <c r="R358" s="550"/>
      <c r="S358" s="550"/>
      <c r="T358" s="551"/>
      <c r="U358" s="34"/>
      <c r="V358" s="34"/>
      <c r="W358" s="35" t="s">
        <v>69</v>
      </c>
      <c r="X358" s="543">
        <v>0</v>
      </c>
      <c r="Y358" s="5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563</v>
      </c>
      <c r="B359" s="54" t="s">
        <v>564</v>
      </c>
      <c r="C359" s="31">
        <v>4301051897</v>
      </c>
      <c r="D359" s="547">
        <v>4607091384260</v>
      </c>
      <c r="E359" s="548"/>
      <c r="F359" s="542">
        <v>1.5</v>
      </c>
      <c r="G359" s="32">
        <v>6</v>
      </c>
      <c r="H359" s="542">
        <v>9</v>
      </c>
      <c r="I359" s="542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565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70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71"/>
      <c r="P360" s="560" t="s">
        <v>71</v>
      </c>
      <c r="Q360" s="561"/>
      <c r="R360" s="561"/>
      <c r="S360" s="561"/>
      <c r="T360" s="561"/>
      <c r="U360" s="561"/>
      <c r="V360" s="562"/>
      <c r="W360" s="37" t="s">
        <v>72</v>
      </c>
      <c r="X360" s="545">
        <f>IFERROR(X358/H358,"0")+IFERROR(X359/H359,"0")</f>
        <v>0</v>
      </c>
      <c r="Y360" s="545">
        <f>IFERROR(Y358/H358,"0")+IFERROR(Y359/H359,"0")</f>
        <v>0</v>
      </c>
      <c r="Z360" s="545">
        <f>IFERROR(IF(Z358="",0,Z358),"0")+IFERROR(IF(Z359="",0,Z359),"0")</f>
        <v>0</v>
      </c>
      <c r="AA360" s="546"/>
      <c r="AB360" s="546"/>
      <c r="AC360" s="546"/>
    </row>
    <row r="361" spans="1:68" hidden="1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71"/>
      <c r="P361" s="560" t="s">
        <v>71</v>
      </c>
      <c r="Q361" s="561"/>
      <c r="R361" s="561"/>
      <c r="S361" s="561"/>
      <c r="T361" s="561"/>
      <c r="U361" s="561"/>
      <c r="V361" s="562"/>
      <c r="W361" s="37" t="s">
        <v>69</v>
      </c>
      <c r="X361" s="545">
        <f>IFERROR(SUM(X358:X359),"0")</f>
        <v>0</v>
      </c>
      <c r="Y361" s="545">
        <f>IFERROR(SUM(Y358:Y359),"0")</f>
        <v>0</v>
      </c>
      <c r="Z361" s="37"/>
      <c r="AA361" s="546"/>
      <c r="AB361" s="546"/>
      <c r="AC361" s="546"/>
    </row>
    <row r="362" spans="1:68" ht="14.25" hidden="1" customHeight="1" x14ac:dyDescent="0.25">
      <c r="A362" s="556" t="s">
        <v>164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39"/>
      <c r="AB362" s="539"/>
      <c r="AC362" s="539"/>
    </row>
    <row r="363" spans="1:68" ht="16.5" customHeight="1" x14ac:dyDescent="0.25">
      <c r="A363" s="54" t="s">
        <v>566</v>
      </c>
      <c r="B363" s="54" t="s">
        <v>567</v>
      </c>
      <c r="C363" s="31">
        <v>4301060524</v>
      </c>
      <c r="D363" s="547">
        <v>4607091384673</v>
      </c>
      <c r="E363" s="548"/>
      <c r="F363" s="542">
        <v>1.5</v>
      </c>
      <c r="G363" s="32">
        <v>6</v>
      </c>
      <c r="H363" s="542">
        <v>9</v>
      </c>
      <c r="I363" s="542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3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3">
        <v>100</v>
      </c>
      <c r="Y363" s="544">
        <f>IFERROR(IF(X363="",0,CEILING((X363/$H363),1)*$H363),"")</f>
        <v>108</v>
      </c>
      <c r="Z363" s="36">
        <f>IFERROR(IF(Y363=0,"",ROUNDUP(Y363/H363,0)*0.01898),"")</f>
        <v>0.22776000000000002</v>
      </c>
      <c r="AA363" s="56"/>
      <c r="AB363" s="57"/>
      <c r="AC363" s="413" t="s">
        <v>568</v>
      </c>
      <c r="AG363" s="64"/>
      <c r="AJ363" s="68"/>
      <c r="AK363" s="68">
        <v>0</v>
      </c>
      <c r="BB363" s="414" t="s">
        <v>1</v>
      </c>
      <c r="BM363" s="64">
        <f>IFERROR(X363*I363/H363,"0")</f>
        <v>105.48888888888888</v>
      </c>
      <c r="BN363" s="64">
        <f>IFERROR(Y363*I363/H363,"0")</f>
        <v>113.92799999999998</v>
      </c>
      <c r="BO363" s="64">
        <f>IFERROR(1/J363*(X363/H363),"0")</f>
        <v>0.1736111111111111</v>
      </c>
      <c r="BP363" s="64">
        <f>IFERROR(1/J363*(Y363/H363),"0")</f>
        <v>0.1875</v>
      </c>
    </row>
    <row r="364" spans="1:68" x14ac:dyDescent="0.2">
      <c r="A364" s="570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71"/>
      <c r="P364" s="560" t="s">
        <v>71</v>
      </c>
      <c r="Q364" s="561"/>
      <c r="R364" s="561"/>
      <c r="S364" s="561"/>
      <c r="T364" s="561"/>
      <c r="U364" s="561"/>
      <c r="V364" s="562"/>
      <c r="W364" s="37" t="s">
        <v>72</v>
      </c>
      <c r="X364" s="545">
        <f>IFERROR(X363/H363,"0")</f>
        <v>11.111111111111111</v>
      </c>
      <c r="Y364" s="545">
        <f>IFERROR(Y363/H363,"0")</f>
        <v>12</v>
      </c>
      <c r="Z364" s="545">
        <f>IFERROR(IF(Z363="",0,Z363),"0")</f>
        <v>0.22776000000000002</v>
      </c>
      <c r="AA364" s="546"/>
      <c r="AB364" s="546"/>
      <c r="AC364" s="546"/>
    </row>
    <row r="365" spans="1:68" x14ac:dyDescent="0.2">
      <c r="A365" s="557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71"/>
      <c r="P365" s="560" t="s">
        <v>71</v>
      </c>
      <c r="Q365" s="561"/>
      <c r="R365" s="561"/>
      <c r="S365" s="561"/>
      <c r="T365" s="561"/>
      <c r="U365" s="561"/>
      <c r="V365" s="562"/>
      <c r="W365" s="37" t="s">
        <v>69</v>
      </c>
      <c r="X365" s="545">
        <f>IFERROR(SUM(X363:X363),"0")</f>
        <v>100</v>
      </c>
      <c r="Y365" s="545">
        <f>IFERROR(SUM(Y363:Y363),"0")</f>
        <v>108</v>
      </c>
      <c r="Z365" s="37"/>
      <c r="AA365" s="546"/>
      <c r="AB365" s="546"/>
      <c r="AC365" s="546"/>
    </row>
    <row r="366" spans="1:68" ht="16.5" hidden="1" customHeight="1" x14ac:dyDescent="0.25">
      <c r="A366" s="558" t="s">
        <v>569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38"/>
      <c r="AB366" s="538"/>
      <c r="AC366" s="538"/>
    </row>
    <row r="367" spans="1:68" ht="14.25" hidden="1" customHeight="1" x14ac:dyDescent="0.25">
      <c r="A367" s="556" t="s">
        <v>101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39"/>
      <c r="AB367" s="539"/>
      <c r="AC367" s="539"/>
    </row>
    <row r="368" spans="1:68" ht="37.5" hidden="1" customHeight="1" x14ac:dyDescent="0.25">
      <c r="A368" s="54" t="s">
        <v>570</v>
      </c>
      <c r="B368" s="54" t="s">
        <v>571</v>
      </c>
      <c r="C368" s="31">
        <v>4301011875</v>
      </c>
      <c r="D368" s="547">
        <v>4680115884885</v>
      </c>
      <c r="E368" s="548"/>
      <c r="F368" s="542">
        <v>0.8</v>
      </c>
      <c r="G368" s="32">
        <v>15</v>
      </c>
      <c r="H368" s="542">
        <v>12</v>
      </c>
      <c r="I368" s="542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4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572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573</v>
      </c>
      <c r="B369" s="54" t="s">
        <v>574</v>
      </c>
      <c r="C369" s="31">
        <v>4301011871</v>
      </c>
      <c r="D369" s="547">
        <v>4680115884908</v>
      </c>
      <c r="E369" s="548"/>
      <c r="F369" s="542">
        <v>0.4</v>
      </c>
      <c r="G369" s="32">
        <v>10</v>
      </c>
      <c r="H369" s="542">
        <v>4</v>
      </c>
      <c r="I369" s="542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572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70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71"/>
      <c r="P370" s="560" t="s">
        <v>71</v>
      </c>
      <c r="Q370" s="561"/>
      <c r="R370" s="561"/>
      <c r="S370" s="561"/>
      <c r="T370" s="561"/>
      <c r="U370" s="561"/>
      <c r="V370" s="562"/>
      <c r="W370" s="37" t="s">
        <v>72</v>
      </c>
      <c r="X370" s="545">
        <f>IFERROR(X368/H368,"0")+IFERROR(X369/H369,"0")</f>
        <v>0</v>
      </c>
      <c r="Y370" s="545">
        <f>IFERROR(Y368/H368,"0")+IFERROR(Y369/H369,"0")</f>
        <v>0</v>
      </c>
      <c r="Z370" s="545">
        <f>IFERROR(IF(Z368="",0,Z368),"0")+IFERROR(IF(Z369="",0,Z369),"0")</f>
        <v>0</v>
      </c>
      <c r="AA370" s="546"/>
      <c r="AB370" s="546"/>
      <c r="AC370" s="546"/>
    </row>
    <row r="371" spans="1:68" hidden="1" x14ac:dyDescent="0.2">
      <c r="A371" s="557"/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71"/>
      <c r="P371" s="560" t="s">
        <v>71</v>
      </c>
      <c r="Q371" s="561"/>
      <c r="R371" s="561"/>
      <c r="S371" s="561"/>
      <c r="T371" s="561"/>
      <c r="U371" s="561"/>
      <c r="V371" s="562"/>
      <c r="W371" s="37" t="s">
        <v>69</v>
      </c>
      <c r="X371" s="545">
        <f>IFERROR(SUM(X368:X369),"0")</f>
        <v>0</v>
      </c>
      <c r="Y371" s="545">
        <f>IFERROR(SUM(Y368:Y369),"0")</f>
        <v>0</v>
      </c>
      <c r="Z371" s="37"/>
      <c r="AA371" s="546"/>
      <c r="AB371" s="546"/>
      <c r="AC371" s="546"/>
    </row>
    <row r="372" spans="1:68" ht="14.25" hidden="1" customHeight="1" x14ac:dyDescent="0.25">
      <c r="A372" s="556" t="s">
        <v>64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39"/>
      <c r="AB372" s="539"/>
      <c r="AC372" s="539"/>
    </row>
    <row r="373" spans="1:68" ht="27" customHeight="1" x14ac:dyDescent="0.25">
      <c r="A373" s="54" t="s">
        <v>575</v>
      </c>
      <c r="B373" s="54" t="s">
        <v>576</v>
      </c>
      <c r="C373" s="31">
        <v>4301031303</v>
      </c>
      <c r="D373" s="547">
        <v>4607091384802</v>
      </c>
      <c r="E373" s="548"/>
      <c r="F373" s="542">
        <v>0.73</v>
      </c>
      <c r="G373" s="32">
        <v>6</v>
      </c>
      <c r="H373" s="542">
        <v>4.38</v>
      </c>
      <c r="I373" s="542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0"/>
      <c r="R373" s="550"/>
      <c r="S373" s="550"/>
      <c r="T373" s="551"/>
      <c r="U373" s="34"/>
      <c r="V373" s="34"/>
      <c r="W373" s="35" t="s">
        <v>69</v>
      </c>
      <c r="X373" s="543">
        <v>30</v>
      </c>
      <c r="Y373" s="544">
        <f>IFERROR(IF(X373="",0,CEILING((X373/$H373),1)*$H373),"")</f>
        <v>30.66</v>
      </c>
      <c r="Z373" s="36">
        <f>IFERROR(IF(Y373=0,"",ROUNDUP(Y373/H373,0)*0.00902),"")</f>
        <v>6.3140000000000002E-2</v>
      </c>
      <c r="AA373" s="56"/>
      <c r="AB373" s="57"/>
      <c r="AC373" s="419" t="s">
        <v>577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31.712328767123289</v>
      </c>
      <c r="BN373" s="64">
        <f>IFERROR(Y373*I373/H373,"0")</f>
        <v>32.410000000000004</v>
      </c>
      <c r="BO373" s="64">
        <f>IFERROR(1/J373*(X373/H373),"0")</f>
        <v>5.1888750518887507E-2</v>
      </c>
      <c r="BP373" s="64">
        <f>IFERROR(1/J373*(Y373/H373),"0")</f>
        <v>5.3030303030303032E-2</v>
      </c>
    </row>
    <row r="374" spans="1:68" ht="27" hidden="1" customHeight="1" x14ac:dyDescent="0.25">
      <c r="A374" s="54" t="s">
        <v>575</v>
      </c>
      <c r="B374" s="54" t="s">
        <v>578</v>
      </c>
      <c r="C374" s="31">
        <v>4301031457</v>
      </c>
      <c r="D374" s="547">
        <v>4607091384802</v>
      </c>
      <c r="E374" s="548"/>
      <c r="F374" s="542">
        <v>0.7</v>
      </c>
      <c r="G374" s="32">
        <v>6</v>
      </c>
      <c r="H374" s="542">
        <v>4.2</v>
      </c>
      <c r="I374" s="542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579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71"/>
      <c r="P375" s="560" t="s">
        <v>71</v>
      </c>
      <c r="Q375" s="561"/>
      <c r="R375" s="561"/>
      <c r="S375" s="561"/>
      <c r="T375" s="561"/>
      <c r="U375" s="561"/>
      <c r="V375" s="562"/>
      <c r="W375" s="37" t="s">
        <v>72</v>
      </c>
      <c r="X375" s="545">
        <f>IFERROR(X373/H373,"0")+IFERROR(X374/H374,"0")</f>
        <v>6.8493150684931505</v>
      </c>
      <c r="Y375" s="545">
        <f>IFERROR(Y373/H373,"0")+IFERROR(Y374/H374,"0")</f>
        <v>7</v>
      </c>
      <c r="Z375" s="545">
        <f>IFERROR(IF(Z373="",0,Z373),"0")+IFERROR(IF(Z374="",0,Z374),"0")</f>
        <v>6.3140000000000002E-2</v>
      </c>
      <c r="AA375" s="546"/>
      <c r="AB375" s="546"/>
      <c r="AC375" s="546"/>
    </row>
    <row r="376" spans="1:68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71"/>
      <c r="P376" s="560" t="s">
        <v>71</v>
      </c>
      <c r="Q376" s="561"/>
      <c r="R376" s="561"/>
      <c r="S376" s="561"/>
      <c r="T376" s="561"/>
      <c r="U376" s="561"/>
      <c r="V376" s="562"/>
      <c r="W376" s="37" t="s">
        <v>69</v>
      </c>
      <c r="X376" s="545">
        <f>IFERROR(SUM(X373:X374),"0")</f>
        <v>30</v>
      </c>
      <c r="Y376" s="545">
        <f>IFERROR(SUM(Y373:Y374),"0")</f>
        <v>30.66</v>
      </c>
      <c r="Z376" s="37"/>
      <c r="AA376" s="546"/>
      <c r="AB376" s="546"/>
      <c r="AC376" s="546"/>
    </row>
    <row r="377" spans="1:68" ht="14.25" hidden="1" customHeight="1" x14ac:dyDescent="0.25">
      <c r="A377" s="556" t="s">
        <v>73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39"/>
      <c r="AB377" s="539"/>
      <c r="AC377" s="539"/>
    </row>
    <row r="378" spans="1:68" ht="27" customHeight="1" x14ac:dyDescent="0.25">
      <c r="A378" s="54" t="s">
        <v>580</v>
      </c>
      <c r="B378" s="54" t="s">
        <v>581</v>
      </c>
      <c r="C378" s="31">
        <v>4301051899</v>
      </c>
      <c r="D378" s="547">
        <v>4607091384246</v>
      </c>
      <c r="E378" s="548"/>
      <c r="F378" s="542">
        <v>1.5</v>
      </c>
      <c r="G378" s="32">
        <v>6</v>
      </c>
      <c r="H378" s="542">
        <v>9</v>
      </c>
      <c r="I378" s="542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0"/>
      <c r="R378" s="550"/>
      <c r="S378" s="550"/>
      <c r="T378" s="551"/>
      <c r="U378" s="34"/>
      <c r="V378" s="34"/>
      <c r="W378" s="35" t="s">
        <v>69</v>
      </c>
      <c r="X378" s="543">
        <v>800</v>
      </c>
      <c r="Y378" s="544">
        <f>IFERROR(IF(X378="",0,CEILING((X378/$H378),1)*$H378),"")</f>
        <v>801</v>
      </c>
      <c r="Z378" s="36">
        <f>IFERROR(IF(Y378=0,"",ROUNDUP(Y378/H378,0)*0.01898),"")</f>
        <v>1.6892199999999999</v>
      </c>
      <c r="AA378" s="56"/>
      <c r="AB378" s="57"/>
      <c r="AC378" s="423" t="s">
        <v>582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843.91111111111104</v>
      </c>
      <c r="BN378" s="64">
        <f>IFERROR(Y378*I378/H378,"0")</f>
        <v>844.96599999999989</v>
      </c>
      <c r="BO378" s="64">
        <f>IFERROR(1/J378*(X378/H378),"0")</f>
        <v>1.3888888888888888</v>
      </c>
      <c r="BP378" s="64">
        <f>IFERROR(1/J378*(Y378/H378),"0")</f>
        <v>1.390625</v>
      </c>
    </row>
    <row r="379" spans="1:68" ht="27" customHeight="1" x14ac:dyDescent="0.25">
      <c r="A379" s="54" t="s">
        <v>583</v>
      </c>
      <c r="B379" s="54" t="s">
        <v>584</v>
      </c>
      <c r="C379" s="31">
        <v>4301051660</v>
      </c>
      <c r="D379" s="547">
        <v>4607091384253</v>
      </c>
      <c r="E379" s="548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250</v>
      </c>
      <c r="Y379" s="544">
        <f>IFERROR(IF(X379="",0,CEILING((X379/$H379),1)*$H379),"")</f>
        <v>252</v>
      </c>
      <c r="Z379" s="36">
        <f>IFERROR(IF(Y379=0,"",ROUNDUP(Y379/H379,0)*0.00651),"")</f>
        <v>0.68354999999999999</v>
      </c>
      <c r="AA379" s="56"/>
      <c r="AB379" s="57"/>
      <c r="AC379" s="425" t="s">
        <v>582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277.5</v>
      </c>
      <c r="BN379" s="64">
        <f>IFERROR(Y379*I379/H379,"0")</f>
        <v>279.72000000000003</v>
      </c>
      <c r="BO379" s="64">
        <f>IFERROR(1/J379*(X379/H379),"0")</f>
        <v>0.57234432234432242</v>
      </c>
      <c r="BP379" s="64">
        <f>IFERROR(1/J379*(Y379/H379),"0")</f>
        <v>0.57692307692307698</v>
      </c>
    </row>
    <row r="380" spans="1:68" ht="27" hidden="1" customHeight="1" x14ac:dyDescent="0.25">
      <c r="A380" s="54" t="s">
        <v>583</v>
      </c>
      <c r="B380" s="54" t="s">
        <v>585</v>
      </c>
      <c r="C380" s="31">
        <v>4301052069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726" t="s">
        <v>586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0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71"/>
      <c r="P381" s="560" t="s">
        <v>71</v>
      </c>
      <c r="Q381" s="561"/>
      <c r="R381" s="561"/>
      <c r="S381" s="561"/>
      <c r="T381" s="561"/>
      <c r="U381" s="561"/>
      <c r="V381" s="562"/>
      <c r="W381" s="37" t="s">
        <v>72</v>
      </c>
      <c r="X381" s="545">
        <f>IFERROR(X378/H378,"0")+IFERROR(X379/H379,"0")+IFERROR(X380/H380,"0")</f>
        <v>193.05555555555554</v>
      </c>
      <c r="Y381" s="545">
        <f>IFERROR(Y378/H378,"0")+IFERROR(Y379/H379,"0")+IFERROR(Y380/H380,"0")</f>
        <v>194</v>
      </c>
      <c r="Z381" s="545">
        <f>IFERROR(IF(Z378="",0,Z378),"0")+IFERROR(IF(Z379="",0,Z379),"0")+IFERROR(IF(Z380="",0,Z380),"0")</f>
        <v>2.37277</v>
      </c>
      <c r="AA381" s="546"/>
      <c r="AB381" s="546"/>
      <c r="AC381" s="546"/>
    </row>
    <row r="382" spans="1:68" x14ac:dyDescent="0.2">
      <c r="A382" s="557"/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71"/>
      <c r="P382" s="560" t="s">
        <v>71</v>
      </c>
      <c r="Q382" s="561"/>
      <c r="R382" s="561"/>
      <c r="S382" s="561"/>
      <c r="T382" s="561"/>
      <c r="U382" s="561"/>
      <c r="V382" s="562"/>
      <c r="W382" s="37" t="s">
        <v>69</v>
      </c>
      <c r="X382" s="545">
        <f>IFERROR(SUM(X378:X380),"0")</f>
        <v>1050</v>
      </c>
      <c r="Y382" s="545">
        <f>IFERROR(SUM(Y378:Y380),"0")</f>
        <v>1053</v>
      </c>
      <c r="Z382" s="37"/>
      <c r="AA382" s="546"/>
      <c r="AB382" s="546"/>
      <c r="AC382" s="546"/>
    </row>
    <row r="383" spans="1:68" ht="27.75" hidden="1" customHeight="1" x14ac:dyDescent="0.2">
      <c r="A383" s="568" t="s">
        <v>588</v>
      </c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69"/>
      <c r="P383" s="569"/>
      <c r="Q383" s="569"/>
      <c r="R383" s="569"/>
      <c r="S383" s="569"/>
      <c r="T383" s="569"/>
      <c r="U383" s="569"/>
      <c r="V383" s="569"/>
      <c r="W383" s="569"/>
      <c r="X383" s="569"/>
      <c r="Y383" s="569"/>
      <c r="Z383" s="569"/>
      <c r="AA383" s="48"/>
      <c r="AB383" s="48"/>
      <c r="AC383" s="48"/>
    </row>
    <row r="384" spans="1:68" ht="16.5" hidden="1" customHeight="1" x14ac:dyDescent="0.25">
      <c r="A384" s="558" t="s">
        <v>589</v>
      </c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  <c r="Z384" s="557"/>
      <c r="AA384" s="538"/>
      <c r="AB384" s="538"/>
      <c r="AC384" s="538"/>
    </row>
    <row r="385" spans="1:68" ht="14.25" hidden="1" customHeight="1" x14ac:dyDescent="0.25">
      <c r="A385" s="556" t="s">
        <v>64</v>
      </c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7"/>
      <c r="P385" s="557"/>
      <c r="Q385" s="557"/>
      <c r="R385" s="557"/>
      <c r="S385" s="557"/>
      <c r="T385" s="557"/>
      <c r="U385" s="557"/>
      <c r="V385" s="557"/>
      <c r="W385" s="557"/>
      <c r="X385" s="557"/>
      <c r="Y385" s="557"/>
      <c r="Z385" s="557"/>
      <c r="AA385" s="539"/>
      <c r="AB385" s="539"/>
      <c r="AC385" s="539"/>
    </row>
    <row r="386" spans="1:68" ht="27" hidden="1" customHeight="1" x14ac:dyDescent="0.25">
      <c r="A386" s="54" t="s">
        <v>590</v>
      </c>
      <c r="B386" s="54" t="s">
        <v>591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3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100</v>
      </c>
      <c r="Y388" s="544">
        <f t="shared" si="41"/>
        <v>102.60000000000001</v>
      </c>
      <c r="Z388" s="36">
        <f>IFERROR(IF(Y388=0,"",ROUNDUP(Y388/H388,0)*0.00902),"")</f>
        <v>0.17138</v>
      </c>
      <c r="AA388" s="56"/>
      <c r="AB388" s="57"/>
      <c r="AC388" s="433" t="s">
        <v>598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103.5185185185185</v>
      </c>
      <c r="BN388" s="64">
        <f t="shared" si="43"/>
        <v>106.21</v>
      </c>
      <c r="BO388" s="64">
        <f t="shared" si="44"/>
        <v>0.14029180695847362</v>
      </c>
      <c r="BP388" s="64">
        <f t="shared" si="45"/>
        <v>0.14393939393939395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603</v>
      </c>
      <c r="B391" s="54" t="s">
        <v>604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609</v>
      </c>
      <c r="B393" s="54" t="s">
        <v>610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612</v>
      </c>
      <c r="B394" s="54" t="s">
        <v>613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70"/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71"/>
      <c r="P395" s="560" t="s">
        <v>71</v>
      </c>
      <c r="Q395" s="561"/>
      <c r="R395" s="561"/>
      <c r="S395" s="561"/>
      <c r="T395" s="561"/>
      <c r="U395" s="561"/>
      <c r="V395" s="562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18.518518518518519</v>
      </c>
      <c r="Y395" s="545">
        <f>IFERROR(Y386/H386,"0")+IFERROR(Y387/H387,"0")+IFERROR(Y388/H388,"0")+IFERROR(Y389/H389,"0")+IFERROR(Y390/H390,"0")+IFERROR(Y391/H391,"0")+IFERROR(Y392/H392,"0")+IFERROR(Y393/H393,"0")+IFERROR(Y394/H394,"0")</f>
        <v>19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0.17138</v>
      </c>
      <c r="AA395" s="546"/>
      <c r="AB395" s="546"/>
      <c r="AC395" s="546"/>
    </row>
    <row r="396" spans="1:68" x14ac:dyDescent="0.2">
      <c r="A396" s="557"/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71"/>
      <c r="P396" s="560" t="s">
        <v>71</v>
      </c>
      <c r="Q396" s="561"/>
      <c r="R396" s="561"/>
      <c r="S396" s="561"/>
      <c r="T396" s="561"/>
      <c r="U396" s="561"/>
      <c r="V396" s="562"/>
      <c r="W396" s="37" t="s">
        <v>69</v>
      </c>
      <c r="X396" s="545">
        <f>IFERROR(SUM(X386:X394),"0")</f>
        <v>100</v>
      </c>
      <c r="Y396" s="545">
        <f>IFERROR(SUM(Y386:Y394),"0")</f>
        <v>102.60000000000001</v>
      </c>
      <c r="Z396" s="37"/>
      <c r="AA396" s="546"/>
      <c r="AB396" s="546"/>
      <c r="AC396" s="546"/>
    </row>
    <row r="397" spans="1:68" ht="14.25" hidden="1" customHeight="1" x14ac:dyDescent="0.25">
      <c r="A397" s="556" t="s">
        <v>73</v>
      </c>
      <c r="B397" s="557"/>
      <c r="C397" s="557"/>
      <c r="D397" s="557"/>
      <c r="E397" s="557"/>
      <c r="F397" s="557"/>
      <c r="G397" s="557"/>
      <c r="H397" s="557"/>
      <c r="I397" s="557"/>
      <c r="J397" s="557"/>
      <c r="K397" s="557"/>
      <c r="L397" s="557"/>
      <c r="M397" s="557"/>
      <c r="N397" s="557"/>
      <c r="O397" s="557"/>
      <c r="P397" s="557"/>
      <c r="Q397" s="557"/>
      <c r="R397" s="557"/>
      <c r="S397" s="557"/>
      <c r="T397" s="557"/>
      <c r="U397" s="557"/>
      <c r="V397" s="557"/>
      <c r="W397" s="557"/>
      <c r="X397" s="557"/>
      <c r="Y397" s="557"/>
      <c r="Z397" s="557"/>
      <c r="AA397" s="539"/>
      <c r="AB397" s="539"/>
      <c r="AC397" s="539"/>
    </row>
    <row r="398" spans="1:68" ht="27" hidden="1" customHeight="1" x14ac:dyDescent="0.25">
      <c r="A398" s="54" t="s">
        <v>614</v>
      </c>
      <c r="B398" s="54" t="s">
        <v>615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617</v>
      </c>
      <c r="B399" s="54" t="s">
        <v>618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70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71"/>
      <c r="P400" s="560" t="s">
        <v>71</v>
      </c>
      <c r="Q400" s="561"/>
      <c r="R400" s="561"/>
      <c r="S400" s="561"/>
      <c r="T400" s="561"/>
      <c r="U400" s="561"/>
      <c r="V400" s="562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71"/>
      <c r="P401" s="560" t="s">
        <v>71</v>
      </c>
      <c r="Q401" s="561"/>
      <c r="R401" s="561"/>
      <c r="S401" s="561"/>
      <c r="T401" s="561"/>
      <c r="U401" s="561"/>
      <c r="V401" s="562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58" t="s">
        <v>620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38"/>
      <c r="AB402" s="538"/>
      <c r="AC402" s="538"/>
    </row>
    <row r="403" spans="1:68" ht="14.25" hidden="1" customHeight="1" x14ac:dyDescent="0.25">
      <c r="A403" s="556" t="s">
        <v>136</v>
      </c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57"/>
      <c r="P403" s="557"/>
      <c r="Q403" s="557"/>
      <c r="R403" s="557"/>
      <c r="S403" s="557"/>
      <c r="T403" s="557"/>
      <c r="U403" s="557"/>
      <c r="V403" s="557"/>
      <c r="W403" s="557"/>
      <c r="X403" s="557"/>
      <c r="Y403" s="557"/>
      <c r="Z403" s="557"/>
      <c r="AA403" s="539"/>
      <c r="AB403" s="539"/>
      <c r="AC403" s="539"/>
    </row>
    <row r="404" spans="1:68" ht="27" hidden="1" customHeight="1" x14ac:dyDescent="0.25">
      <c r="A404" s="54" t="s">
        <v>621</v>
      </c>
      <c r="B404" s="54" t="s">
        <v>622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70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71"/>
      <c r="P405" s="560" t="s">
        <v>71</v>
      </c>
      <c r="Q405" s="561"/>
      <c r="R405" s="561"/>
      <c r="S405" s="561"/>
      <c r="T405" s="561"/>
      <c r="U405" s="561"/>
      <c r="V405" s="562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71"/>
      <c r="P406" s="560" t="s">
        <v>71</v>
      </c>
      <c r="Q406" s="561"/>
      <c r="R406" s="561"/>
      <c r="S406" s="561"/>
      <c r="T406" s="561"/>
      <c r="U406" s="561"/>
      <c r="V406" s="562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56" t="s">
        <v>64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39"/>
      <c r="AB407" s="539"/>
      <c r="AC407" s="539"/>
    </row>
    <row r="408" spans="1:68" ht="27" hidden="1" customHeight="1" x14ac:dyDescent="0.25">
      <c r="A408" s="54" t="s">
        <v>624</v>
      </c>
      <c r="B408" s="54" t="s">
        <v>625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3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3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633</v>
      </c>
      <c r="B411" s="54" t="s">
        <v>634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70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71"/>
      <c r="P412" s="560" t="s">
        <v>71</v>
      </c>
      <c r="Q412" s="561"/>
      <c r="R412" s="561"/>
      <c r="S412" s="561"/>
      <c r="T412" s="561"/>
      <c r="U412" s="561"/>
      <c r="V412" s="562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hidden="1" x14ac:dyDescent="0.2">
      <c r="A413" s="557"/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71"/>
      <c r="P413" s="560" t="s">
        <v>71</v>
      </c>
      <c r="Q413" s="561"/>
      <c r="R413" s="561"/>
      <c r="S413" s="561"/>
      <c r="T413" s="561"/>
      <c r="U413" s="561"/>
      <c r="V413" s="562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hidden="1" customHeight="1" x14ac:dyDescent="0.25">
      <c r="A414" s="558" t="s">
        <v>635</v>
      </c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  <c r="Z414" s="557"/>
      <c r="AA414" s="538"/>
      <c r="AB414" s="538"/>
      <c r="AC414" s="538"/>
    </row>
    <row r="415" spans="1:68" ht="14.25" hidden="1" customHeight="1" x14ac:dyDescent="0.25">
      <c r="A415" s="556" t="s">
        <v>64</v>
      </c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57"/>
      <c r="P415" s="557"/>
      <c r="Q415" s="557"/>
      <c r="R415" s="557"/>
      <c r="S415" s="557"/>
      <c r="T415" s="557"/>
      <c r="U415" s="557"/>
      <c r="V415" s="557"/>
      <c r="W415" s="557"/>
      <c r="X415" s="557"/>
      <c r="Y415" s="557"/>
      <c r="Z415" s="557"/>
      <c r="AA415" s="539"/>
      <c r="AB415" s="539"/>
      <c r="AC415" s="539"/>
    </row>
    <row r="416" spans="1:68" ht="27" hidden="1" customHeight="1" x14ac:dyDescent="0.25">
      <c r="A416" s="54" t="s">
        <v>636</v>
      </c>
      <c r="B416" s="54" t="s">
        <v>637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70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71"/>
      <c r="P417" s="560" t="s">
        <v>71</v>
      </c>
      <c r="Q417" s="561"/>
      <c r="R417" s="561"/>
      <c r="S417" s="561"/>
      <c r="T417" s="561"/>
      <c r="U417" s="561"/>
      <c r="V417" s="562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71"/>
      <c r="P418" s="560" t="s">
        <v>71</v>
      </c>
      <c r="Q418" s="561"/>
      <c r="R418" s="561"/>
      <c r="S418" s="561"/>
      <c r="T418" s="561"/>
      <c r="U418" s="561"/>
      <c r="V418" s="562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68" t="s">
        <v>639</v>
      </c>
      <c r="B419" s="569"/>
      <c r="C419" s="569"/>
      <c r="D419" s="569"/>
      <c r="E419" s="569"/>
      <c r="F419" s="569"/>
      <c r="G419" s="569"/>
      <c r="H419" s="569"/>
      <c r="I419" s="569"/>
      <c r="J419" s="569"/>
      <c r="K419" s="569"/>
      <c r="L419" s="569"/>
      <c r="M419" s="569"/>
      <c r="N419" s="569"/>
      <c r="O419" s="569"/>
      <c r="P419" s="569"/>
      <c r="Q419" s="569"/>
      <c r="R419" s="569"/>
      <c r="S419" s="569"/>
      <c r="T419" s="569"/>
      <c r="U419" s="569"/>
      <c r="V419" s="569"/>
      <c r="W419" s="569"/>
      <c r="X419" s="569"/>
      <c r="Y419" s="569"/>
      <c r="Z419" s="569"/>
      <c r="AA419" s="48"/>
      <c r="AB419" s="48"/>
      <c r="AC419" s="48"/>
    </row>
    <row r="420" spans="1:68" ht="16.5" hidden="1" customHeight="1" x14ac:dyDescent="0.25">
      <c r="A420" s="558" t="s">
        <v>639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38"/>
      <c r="AB420" s="538"/>
      <c r="AC420" s="538"/>
    </row>
    <row r="421" spans="1:68" ht="14.25" hidden="1" customHeight="1" x14ac:dyDescent="0.25">
      <c r="A421" s="556" t="s">
        <v>101</v>
      </c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7"/>
      <c r="P421" s="557"/>
      <c r="Q421" s="557"/>
      <c r="R421" s="557"/>
      <c r="S421" s="557"/>
      <c r="T421" s="557"/>
      <c r="U421" s="557"/>
      <c r="V421" s="557"/>
      <c r="W421" s="557"/>
      <c r="X421" s="557"/>
      <c r="Y421" s="557"/>
      <c r="Z421" s="557"/>
      <c r="AA421" s="539"/>
      <c r="AB421" s="539"/>
      <c r="AC421" s="539"/>
    </row>
    <row r="422" spans="1:68" ht="27" hidden="1" customHeight="1" x14ac:dyDescent="0.25">
      <c r="A422" s="54" t="s">
        <v>640</v>
      </c>
      <c r="B422" s="54" t="s">
        <v>641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4301012145</v>
      </c>
      <c r="D423" s="547">
        <v>4607091383522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/>
      <c r="M423" s="33" t="s">
        <v>106</v>
      </c>
      <c r="N423" s="33"/>
      <c r="O423" s="32">
        <v>60</v>
      </c>
      <c r="P423" s="64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4301011961</v>
      </c>
      <c r="D424" s="547">
        <v>4680115885271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106</v>
      </c>
      <c r="N424" s="33"/>
      <c r="O424" s="32">
        <v>60</v>
      </c>
      <c r="P424" s="70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100</v>
      </c>
      <c r="Y424" s="544">
        <f t="shared" si="47"/>
        <v>100.32000000000001</v>
      </c>
      <c r="Z424" s="36">
        <f t="shared" si="48"/>
        <v>0.22724</v>
      </c>
      <c r="AA424" s="56"/>
      <c r="AB424" s="57"/>
      <c r="AC424" s="467" t="s">
        <v>647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106.62878787878788</v>
      </c>
      <c r="BN424" s="64">
        <f t="shared" si="50"/>
        <v>106.97</v>
      </c>
      <c r="BO424" s="64">
        <f t="shared" si="51"/>
        <v>0.18210955710955709</v>
      </c>
      <c r="BP424" s="64">
        <f t="shared" si="52"/>
        <v>0.18269230769230771</v>
      </c>
    </row>
    <row r="425" spans="1:68" ht="27" customHeight="1" x14ac:dyDescent="0.25">
      <c r="A425" s="54" t="s">
        <v>648</v>
      </c>
      <c r="B425" s="54" t="s">
        <v>649</v>
      </c>
      <c r="C425" s="31">
        <v>4301011376</v>
      </c>
      <c r="D425" s="547">
        <v>4680115885226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 t="s">
        <v>105</v>
      </c>
      <c r="M425" s="33" t="s">
        <v>77</v>
      </c>
      <c r="N425" s="33"/>
      <c r="O425" s="32">
        <v>60</v>
      </c>
      <c r="P425" s="72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1000</v>
      </c>
      <c r="Y425" s="544">
        <f t="shared" si="47"/>
        <v>1003.2</v>
      </c>
      <c r="Z425" s="36">
        <f t="shared" si="48"/>
        <v>2.2724000000000002</v>
      </c>
      <c r="AA425" s="56"/>
      <c r="AB425" s="57"/>
      <c r="AC425" s="469" t="s">
        <v>650</v>
      </c>
      <c r="AG425" s="64"/>
      <c r="AJ425" s="68" t="s">
        <v>90</v>
      </c>
      <c r="AK425" s="68">
        <v>42.24</v>
      </c>
      <c r="BB425" s="470" t="s">
        <v>1</v>
      </c>
      <c r="BM425" s="64">
        <f t="shared" si="49"/>
        <v>1066.2878787878788</v>
      </c>
      <c r="BN425" s="64">
        <f t="shared" si="50"/>
        <v>1069.7</v>
      </c>
      <c r="BO425" s="64">
        <f t="shared" si="51"/>
        <v>1.821095571095571</v>
      </c>
      <c r="BP425" s="64">
        <f t="shared" si="52"/>
        <v>1.8269230769230771</v>
      </c>
    </row>
    <row r="426" spans="1:68" ht="16.5" hidden="1" customHeight="1" x14ac:dyDescent="0.25">
      <c r="A426" s="54" t="s">
        <v>651</v>
      </c>
      <c r="B426" s="54" t="s">
        <v>652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653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6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1000</v>
      </c>
      <c r="Y427" s="544">
        <f t="shared" si="47"/>
        <v>1003.2</v>
      </c>
      <c r="Z427" s="36">
        <f t="shared" si="48"/>
        <v>2.2724000000000002</v>
      </c>
      <c r="AA427" s="56"/>
      <c r="AB427" s="57"/>
      <c r="AC427" s="473" t="s">
        <v>656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1066.2878787878788</v>
      </c>
      <c r="BN427" s="64">
        <f t="shared" si="50"/>
        <v>1069.7</v>
      </c>
      <c r="BO427" s="64">
        <f t="shared" si="51"/>
        <v>1.821095571095571</v>
      </c>
      <c r="BP427" s="64">
        <f t="shared" si="52"/>
        <v>1.8269230769230771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0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647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666</v>
      </c>
      <c r="B432" s="54" t="s">
        <v>667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700</v>
      </c>
      <c r="Y432" s="544">
        <f t="shared" si="47"/>
        <v>700.8</v>
      </c>
      <c r="Z432" s="36">
        <f>IFERROR(IF(Y432=0,"",ROUNDUP(Y432/H432,0)*0.00902),"")</f>
        <v>1.3169200000000001</v>
      </c>
      <c r="AA432" s="56"/>
      <c r="AB432" s="57"/>
      <c r="AC432" s="483" t="s">
        <v>656</v>
      </c>
      <c r="AG432" s="64"/>
      <c r="AJ432" s="68"/>
      <c r="AK432" s="68">
        <v>0</v>
      </c>
      <c r="BB432" s="484" t="s">
        <v>1</v>
      </c>
      <c r="BM432" s="64">
        <f t="shared" si="49"/>
        <v>1007.7083333333334</v>
      </c>
      <c r="BN432" s="64">
        <f t="shared" si="50"/>
        <v>1008.8599999999999</v>
      </c>
      <c r="BO432" s="64">
        <f t="shared" si="51"/>
        <v>1.1047979797979799</v>
      </c>
      <c r="BP432" s="64">
        <f t="shared" si="52"/>
        <v>1.1060606060606062</v>
      </c>
    </row>
    <row r="433" spans="1:68" x14ac:dyDescent="0.2">
      <c r="A433" s="570"/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71"/>
      <c r="P433" s="560" t="s">
        <v>71</v>
      </c>
      <c r="Q433" s="561"/>
      <c r="R433" s="561"/>
      <c r="S433" s="561"/>
      <c r="T433" s="561"/>
      <c r="U433" s="561"/>
      <c r="V433" s="562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543.56060606060601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545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6.0889600000000002</v>
      </c>
      <c r="AA433" s="546"/>
      <c r="AB433" s="546"/>
      <c r="AC433" s="546"/>
    </row>
    <row r="434" spans="1:68" x14ac:dyDescent="0.2">
      <c r="A434" s="557"/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71"/>
      <c r="P434" s="560" t="s">
        <v>71</v>
      </c>
      <c r="Q434" s="561"/>
      <c r="R434" s="561"/>
      <c r="S434" s="561"/>
      <c r="T434" s="561"/>
      <c r="U434" s="561"/>
      <c r="V434" s="562"/>
      <c r="W434" s="37" t="s">
        <v>69</v>
      </c>
      <c r="X434" s="545">
        <f>IFERROR(SUM(X422:X432),"0")</f>
        <v>2800</v>
      </c>
      <c r="Y434" s="545">
        <f>IFERROR(SUM(Y422:Y432),"0")</f>
        <v>2807.5200000000004</v>
      </c>
      <c r="Z434" s="37"/>
      <c r="AA434" s="546"/>
      <c r="AB434" s="546"/>
      <c r="AC434" s="546"/>
    </row>
    <row r="435" spans="1:68" ht="14.25" hidden="1" customHeight="1" x14ac:dyDescent="0.25">
      <c r="A435" s="556" t="s">
        <v>136</v>
      </c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  <c r="Z435" s="557"/>
      <c r="AA435" s="539"/>
      <c r="AB435" s="539"/>
      <c r="AC435" s="539"/>
    </row>
    <row r="436" spans="1:68" ht="16.5" hidden="1" customHeight="1" x14ac:dyDescent="0.25">
      <c r="A436" s="54" t="s">
        <v>668</v>
      </c>
      <c r="B436" s="54" t="s">
        <v>669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670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673</v>
      </c>
      <c r="B438" s="54" t="s">
        <v>674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2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670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570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71"/>
      <c r="P439" s="560" t="s">
        <v>71</v>
      </c>
      <c r="Q439" s="561"/>
      <c r="R439" s="561"/>
      <c r="S439" s="561"/>
      <c r="T439" s="561"/>
      <c r="U439" s="561"/>
      <c r="V439" s="562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hidden="1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71"/>
      <c r="P440" s="560" t="s">
        <v>71</v>
      </c>
      <c r="Q440" s="561"/>
      <c r="R440" s="561"/>
      <c r="S440" s="561"/>
      <c r="T440" s="561"/>
      <c r="U440" s="561"/>
      <c r="V440" s="562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hidden="1" customHeight="1" x14ac:dyDescent="0.25">
      <c r="A441" s="556" t="s">
        <v>64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39"/>
      <c r="AB441" s="539"/>
      <c r="AC441" s="539"/>
    </row>
    <row r="442" spans="1:68" ht="27" customHeight="1" x14ac:dyDescent="0.25">
      <c r="A442" s="54" t="s">
        <v>675</v>
      </c>
      <c r="B442" s="54" t="s">
        <v>676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500</v>
      </c>
      <c r="Y442" s="544">
        <f t="shared" ref="Y442:Y447" si="53">IFERROR(IF(X442="",0,CEILING((X442/$H442),1)*$H442),"")</f>
        <v>501.6</v>
      </c>
      <c r="Z442" s="36">
        <f>IFERROR(IF(Y442=0,"",ROUNDUP(Y442/H442,0)*0.01196),"")</f>
        <v>1.1362000000000001</v>
      </c>
      <c r="AA442" s="56"/>
      <c r="AB442" s="57"/>
      <c r="AC442" s="491" t="s">
        <v>677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533.14393939393938</v>
      </c>
      <c r="BN442" s="64">
        <f t="shared" ref="BN442:BN447" si="55">IFERROR(Y442*I442/H442,"0")</f>
        <v>534.85</v>
      </c>
      <c r="BO442" s="64">
        <f t="shared" ref="BO442:BO447" si="56">IFERROR(1/J442*(X442/H442),"0")</f>
        <v>0.91054778554778548</v>
      </c>
      <c r="BP442" s="64">
        <f t="shared" ref="BP442:BP447" si="57">IFERROR(1/J442*(Y442/H442),"0")</f>
        <v>0.91346153846153855</v>
      </c>
    </row>
    <row r="443" spans="1:68" ht="27" customHeight="1" x14ac:dyDescent="0.25">
      <c r="A443" s="54" t="s">
        <v>678</v>
      </c>
      <c r="B443" s="54" t="s">
        <v>679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500</v>
      </c>
      <c r="Y443" s="544">
        <f t="shared" si="53"/>
        <v>501.6</v>
      </c>
      <c r="Z443" s="36">
        <f>IFERROR(IF(Y443=0,"",ROUNDUP(Y443/H443,0)*0.01196),"")</f>
        <v>1.1362000000000001</v>
      </c>
      <c r="AA443" s="56"/>
      <c r="AB443" s="57"/>
      <c r="AC443" s="493" t="s">
        <v>680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533.14393939393938</v>
      </c>
      <c r="BN443" s="64">
        <f t="shared" si="55"/>
        <v>534.85</v>
      </c>
      <c r="BO443" s="64">
        <f t="shared" si="56"/>
        <v>0.91054778554778548</v>
      </c>
      <c r="BP443" s="64">
        <f t="shared" si="57"/>
        <v>0.91346153846153855</v>
      </c>
    </row>
    <row r="444" spans="1:68" ht="27" customHeight="1" x14ac:dyDescent="0.25">
      <c r="A444" s="54" t="s">
        <v>681</v>
      </c>
      <c r="B444" s="54" t="s">
        <v>682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6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500</v>
      </c>
      <c r="Y444" s="544">
        <f t="shared" si="53"/>
        <v>501.6</v>
      </c>
      <c r="Z444" s="36">
        <f>IFERROR(IF(Y444=0,"",ROUNDUP(Y444/H444,0)*0.01196),"")</f>
        <v>1.1362000000000001</v>
      </c>
      <c r="AA444" s="56"/>
      <c r="AB444" s="57"/>
      <c r="AC444" s="495" t="s">
        <v>683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533.14393939393938</v>
      </c>
      <c r="BN444" s="64">
        <f t="shared" si="55"/>
        <v>534.85</v>
      </c>
      <c r="BO444" s="64">
        <f t="shared" si="56"/>
        <v>0.91054778554778548</v>
      </c>
      <c r="BP444" s="64">
        <f t="shared" si="57"/>
        <v>0.91346153846153855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688</v>
      </c>
      <c r="B447" s="54" t="s">
        <v>689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3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683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70"/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71"/>
      <c r="P448" s="560" t="s">
        <v>71</v>
      </c>
      <c r="Q448" s="561"/>
      <c r="R448" s="561"/>
      <c r="S448" s="561"/>
      <c r="T448" s="561"/>
      <c r="U448" s="561"/>
      <c r="V448" s="562"/>
      <c r="W448" s="37" t="s">
        <v>72</v>
      </c>
      <c r="X448" s="545">
        <f>IFERROR(X442/H442,"0")+IFERROR(X443/H443,"0")+IFERROR(X444/H444,"0")+IFERROR(X445/H445,"0")+IFERROR(X446/H446,"0")+IFERROR(X447/H447,"0")</f>
        <v>284.09090909090907</v>
      </c>
      <c r="Y448" s="545">
        <f>IFERROR(Y442/H442,"0")+IFERROR(Y443/H443,"0")+IFERROR(Y444/H444,"0")+IFERROR(Y445/H445,"0")+IFERROR(Y446/H446,"0")+IFERROR(Y447/H447,"0")</f>
        <v>285</v>
      </c>
      <c r="Z448" s="545">
        <f>IFERROR(IF(Z442="",0,Z442),"0")+IFERROR(IF(Z443="",0,Z443),"0")+IFERROR(IF(Z444="",0,Z444),"0")+IFERROR(IF(Z445="",0,Z445),"0")+IFERROR(IF(Z446="",0,Z446),"0")+IFERROR(IF(Z447="",0,Z447),"0")</f>
        <v>3.4086000000000003</v>
      </c>
      <c r="AA448" s="546"/>
      <c r="AB448" s="546"/>
      <c r="AC448" s="546"/>
    </row>
    <row r="449" spans="1:68" x14ac:dyDescent="0.2">
      <c r="A449" s="557"/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71"/>
      <c r="P449" s="560" t="s">
        <v>71</v>
      </c>
      <c r="Q449" s="561"/>
      <c r="R449" s="561"/>
      <c r="S449" s="561"/>
      <c r="T449" s="561"/>
      <c r="U449" s="561"/>
      <c r="V449" s="562"/>
      <c r="W449" s="37" t="s">
        <v>69</v>
      </c>
      <c r="X449" s="545">
        <f>IFERROR(SUM(X442:X447),"0")</f>
        <v>1500</v>
      </c>
      <c r="Y449" s="545">
        <f>IFERROR(SUM(Y442:Y447),"0")</f>
        <v>1504.8000000000002</v>
      </c>
      <c r="Z449" s="37"/>
      <c r="AA449" s="546"/>
      <c r="AB449" s="546"/>
      <c r="AC449" s="546"/>
    </row>
    <row r="450" spans="1:68" ht="14.25" hidden="1" customHeight="1" x14ac:dyDescent="0.25">
      <c r="A450" s="556" t="s">
        <v>73</v>
      </c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  <c r="Z450" s="557"/>
      <c r="AA450" s="539"/>
      <c r="AB450" s="539"/>
      <c r="AC450" s="539"/>
    </row>
    <row r="451" spans="1:68" ht="16.5" hidden="1" customHeight="1" x14ac:dyDescent="0.25">
      <c r="A451" s="54" t="s">
        <v>690</v>
      </c>
      <c r="B451" s="54" t="s">
        <v>691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693</v>
      </c>
      <c r="B452" s="54" t="s">
        <v>694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6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696</v>
      </c>
      <c r="B453" s="54" t="s">
        <v>697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70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71"/>
      <c r="P454" s="560" t="s">
        <v>71</v>
      </c>
      <c r="Q454" s="561"/>
      <c r="R454" s="561"/>
      <c r="S454" s="561"/>
      <c r="T454" s="561"/>
      <c r="U454" s="561"/>
      <c r="V454" s="562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71"/>
      <c r="P455" s="560" t="s">
        <v>71</v>
      </c>
      <c r="Q455" s="561"/>
      <c r="R455" s="561"/>
      <c r="S455" s="561"/>
      <c r="T455" s="561"/>
      <c r="U455" s="561"/>
      <c r="V455" s="562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568" t="s">
        <v>699</v>
      </c>
      <c r="B456" s="569"/>
      <c r="C456" s="569"/>
      <c r="D456" s="569"/>
      <c r="E456" s="569"/>
      <c r="F456" s="569"/>
      <c r="G456" s="569"/>
      <c r="H456" s="569"/>
      <c r="I456" s="569"/>
      <c r="J456" s="569"/>
      <c r="K456" s="569"/>
      <c r="L456" s="569"/>
      <c r="M456" s="569"/>
      <c r="N456" s="569"/>
      <c r="O456" s="569"/>
      <c r="P456" s="569"/>
      <c r="Q456" s="569"/>
      <c r="R456" s="569"/>
      <c r="S456" s="569"/>
      <c r="T456" s="569"/>
      <c r="U456" s="569"/>
      <c r="V456" s="569"/>
      <c r="W456" s="569"/>
      <c r="X456" s="569"/>
      <c r="Y456" s="569"/>
      <c r="Z456" s="569"/>
      <c r="AA456" s="48"/>
      <c r="AB456" s="48"/>
      <c r="AC456" s="48"/>
    </row>
    <row r="457" spans="1:68" ht="16.5" hidden="1" customHeight="1" x14ac:dyDescent="0.25">
      <c r="A457" s="558" t="s">
        <v>699</v>
      </c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  <c r="Z457" s="557"/>
      <c r="AA457" s="538"/>
      <c r="AB457" s="538"/>
      <c r="AC457" s="538"/>
    </row>
    <row r="458" spans="1:68" ht="14.25" hidden="1" customHeight="1" x14ac:dyDescent="0.25">
      <c r="A458" s="556" t="s">
        <v>101</v>
      </c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  <c r="Z458" s="557"/>
      <c r="AA458" s="539"/>
      <c r="AB458" s="539"/>
      <c r="AC458" s="539"/>
    </row>
    <row r="459" spans="1:68" ht="27" hidden="1" customHeight="1" x14ac:dyDescent="0.25">
      <c r="A459" s="54" t="s">
        <v>700</v>
      </c>
      <c r="B459" s="54" t="s">
        <v>701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100</v>
      </c>
      <c r="Y461" s="544">
        <f>IFERROR(IF(X461="",0,CEILING((X461/$H461),1)*$H461),"")</f>
        <v>108</v>
      </c>
      <c r="Z461" s="36">
        <f>IFERROR(IF(Y461=0,"",ROUNDUP(Y461/H461,0)*0.01898),"")</f>
        <v>0.17082</v>
      </c>
      <c r="AA461" s="56"/>
      <c r="AB461" s="57"/>
      <c r="AC461" s="513" t="s">
        <v>708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103.41666666666667</v>
      </c>
      <c r="BN461" s="64">
        <f>IFERROR(Y461*I461/H461,"0")</f>
        <v>111.69</v>
      </c>
      <c r="BO461" s="64">
        <f>IFERROR(1/J461*(X461/H461),"0")</f>
        <v>0.13020833333333334</v>
      </c>
      <c r="BP461" s="64">
        <f>IFERROR(1/J461*(Y461/H461),"0")</f>
        <v>0.140625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8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71"/>
      <c r="P463" s="560" t="s">
        <v>71</v>
      </c>
      <c r="Q463" s="561"/>
      <c r="R463" s="561"/>
      <c r="S463" s="561"/>
      <c r="T463" s="561"/>
      <c r="U463" s="561"/>
      <c r="V463" s="562"/>
      <c r="W463" s="37" t="s">
        <v>72</v>
      </c>
      <c r="X463" s="545">
        <f>IFERROR(X459/H459,"0")+IFERROR(X460/H460,"0")+IFERROR(X461/H461,"0")+IFERROR(X462/H462,"0")</f>
        <v>8.3333333333333339</v>
      </c>
      <c r="Y463" s="545">
        <f>IFERROR(Y459/H459,"0")+IFERROR(Y460/H460,"0")+IFERROR(Y461/H461,"0")+IFERROR(Y462/H462,"0")</f>
        <v>9</v>
      </c>
      <c r="Z463" s="545">
        <f>IFERROR(IF(Z459="",0,Z459),"0")+IFERROR(IF(Z460="",0,Z460),"0")+IFERROR(IF(Z461="",0,Z461),"0")+IFERROR(IF(Z462="",0,Z462),"0")</f>
        <v>0.17082</v>
      </c>
      <c r="AA463" s="546"/>
      <c r="AB463" s="546"/>
      <c r="AC463" s="546"/>
    </row>
    <row r="464" spans="1:68" x14ac:dyDescent="0.2">
      <c r="A464" s="557"/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71"/>
      <c r="P464" s="560" t="s">
        <v>71</v>
      </c>
      <c r="Q464" s="561"/>
      <c r="R464" s="561"/>
      <c r="S464" s="561"/>
      <c r="T464" s="561"/>
      <c r="U464" s="561"/>
      <c r="V464" s="562"/>
      <c r="W464" s="37" t="s">
        <v>69</v>
      </c>
      <c r="X464" s="545">
        <f>IFERROR(SUM(X459:X462),"0")</f>
        <v>100</v>
      </c>
      <c r="Y464" s="545">
        <f>IFERROR(SUM(Y459:Y462),"0")</f>
        <v>108</v>
      </c>
      <c r="Z464" s="37"/>
      <c r="AA464" s="546"/>
      <c r="AB464" s="546"/>
      <c r="AC464" s="546"/>
    </row>
    <row r="465" spans="1:68" ht="14.25" hidden="1" customHeight="1" x14ac:dyDescent="0.25">
      <c r="A465" s="556" t="s">
        <v>136</v>
      </c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  <c r="Z465" s="557"/>
      <c r="AA465" s="539"/>
      <c r="AB465" s="539"/>
      <c r="AC465" s="539"/>
    </row>
    <row r="466" spans="1:68" ht="27" hidden="1" customHeight="1" x14ac:dyDescent="0.25">
      <c r="A466" s="54" t="s">
        <v>711</v>
      </c>
      <c r="B466" s="54" t="s">
        <v>712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8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70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71"/>
      <c r="P469" s="560" t="s">
        <v>71</v>
      </c>
      <c r="Q469" s="561"/>
      <c r="R469" s="561"/>
      <c r="S469" s="561"/>
      <c r="T469" s="561"/>
      <c r="U469" s="561"/>
      <c r="V469" s="562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71"/>
      <c r="P470" s="560" t="s">
        <v>71</v>
      </c>
      <c r="Q470" s="561"/>
      <c r="R470" s="561"/>
      <c r="S470" s="561"/>
      <c r="T470" s="561"/>
      <c r="U470" s="561"/>
      <c r="V470" s="562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56" t="s">
        <v>64</v>
      </c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  <c r="Z471" s="557"/>
      <c r="AA471" s="539"/>
      <c r="AB471" s="539"/>
      <c r="AC471" s="539"/>
    </row>
    <row r="472" spans="1:68" ht="27" hidden="1" customHeight="1" x14ac:dyDescent="0.25">
      <c r="A472" s="54" t="s">
        <v>720</v>
      </c>
      <c r="B472" s="54" t="s">
        <v>721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723</v>
      </c>
      <c r="B473" s="54" t="s">
        <v>724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70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71"/>
      <c r="P474" s="560" t="s">
        <v>71</v>
      </c>
      <c r="Q474" s="561"/>
      <c r="R474" s="561"/>
      <c r="S474" s="561"/>
      <c r="T474" s="561"/>
      <c r="U474" s="561"/>
      <c r="V474" s="562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hidden="1" x14ac:dyDescent="0.2">
      <c r="A475" s="55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71"/>
      <c r="P475" s="560" t="s">
        <v>71</v>
      </c>
      <c r="Q475" s="561"/>
      <c r="R475" s="561"/>
      <c r="S475" s="561"/>
      <c r="T475" s="561"/>
      <c r="U475" s="561"/>
      <c r="V475" s="562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hidden="1" customHeight="1" x14ac:dyDescent="0.25">
      <c r="A476" s="556" t="s">
        <v>73</v>
      </c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  <c r="Z476" s="557"/>
      <c r="AA476" s="539"/>
      <c r="AB476" s="539"/>
      <c r="AC476" s="539"/>
    </row>
    <row r="477" spans="1:68" ht="27" customHeight="1" x14ac:dyDescent="0.25">
      <c r="A477" s="54" t="s">
        <v>726</v>
      </c>
      <c r="B477" s="54" t="s">
        <v>727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150</v>
      </c>
      <c r="Y477" s="544">
        <f>IFERROR(IF(X477="",0,CEILING((X477/$H477),1)*$H477),"")</f>
        <v>153</v>
      </c>
      <c r="Z477" s="36">
        <f>IFERROR(IF(Y477=0,"",ROUNDUP(Y477/H477,0)*0.01898),"")</f>
        <v>0.32266</v>
      </c>
      <c r="AA477" s="56"/>
      <c r="AB477" s="57"/>
      <c r="AC477" s="527" t="s">
        <v>728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158.23333333333332</v>
      </c>
      <c r="BN477" s="64">
        <f>IFERROR(Y477*I477/H477,"0")</f>
        <v>161.398</v>
      </c>
      <c r="BO477" s="64">
        <f>IFERROR(1/J477*(X477/H477),"0")</f>
        <v>0.26041666666666669</v>
      </c>
      <c r="BP477" s="64">
        <f>IFERROR(1/J477*(Y477/H477),"0")</f>
        <v>0.265625</v>
      </c>
    </row>
    <row r="478" spans="1:68" x14ac:dyDescent="0.2">
      <c r="A478" s="570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71"/>
      <c r="P478" s="560" t="s">
        <v>71</v>
      </c>
      <c r="Q478" s="561"/>
      <c r="R478" s="561"/>
      <c r="S478" s="561"/>
      <c r="T478" s="561"/>
      <c r="U478" s="561"/>
      <c r="V478" s="562"/>
      <c r="W478" s="37" t="s">
        <v>72</v>
      </c>
      <c r="X478" s="545">
        <f>IFERROR(X477/H477,"0")</f>
        <v>16.666666666666668</v>
      </c>
      <c r="Y478" s="545">
        <f>IFERROR(Y477/H477,"0")</f>
        <v>17</v>
      </c>
      <c r="Z478" s="545">
        <f>IFERROR(IF(Z477="",0,Z477),"0")</f>
        <v>0.32266</v>
      </c>
      <c r="AA478" s="546"/>
      <c r="AB478" s="546"/>
      <c r="AC478" s="546"/>
    </row>
    <row r="479" spans="1:68" x14ac:dyDescent="0.2">
      <c r="A479" s="55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71"/>
      <c r="P479" s="560" t="s">
        <v>71</v>
      </c>
      <c r="Q479" s="561"/>
      <c r="R479" s="561"/>
      <c r="S479" s="561"/>
      <c r="T479" s="561"/>
      <c r="U479" s="561"/>
      <c r="V479" s="562"/>
      <c r="W479" s="37" t="s">
        <v>69</v>
      </c>
      <c r="X479" s="545">
        <f>IFERROR(SUM(X477:X477),"0")</f>
        <v>150</v>
      </c>
      <c r="Y479" s="545">
        <f>IFERROR(SUM(Y477:Y477),"0")</f>
        <v>153</v>
      </c>
      <c r="Z479" s="37"/>
      <c r="AA479" s="546"/>
      <c r="AB479" s="546"/>
      <c r="AC479" s="546"/>
    </row>
    <row r="480" spans="1:68" ht="14.25" hidden="1" customHeight="1" x14ac:dyDescent="0.25">
      <c r="A480" s="556" t="s">
        <v>164</v>
      </c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  <c r="Z480" s="557"/>
      <c r="AA480" s="539"/>
      <c r="AB480" s="539"/>
      <c r="AC480" s="539"/>
    </row>
    <row r="481" spans="1:68" ht="27" hidden="1" customHeight="1" x14ac:dyDescent="0.25">
      <c r="A481" s="54" t="s">
        <v>729</v>
      </c>
      <c r="B481" s="54" t="s">
        <v>730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732</v>
      </c>
      <c r="B482" s="54" t="s">
        <v>733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70"/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71"/>
      <c r="P483" s="560" t="s">
        <v>71</v>
      </c>
      <c r="Q483" s="561"/>
      <c r="R483" s="561"/>
      <c r="S483" s="561"/>
      <c r="T483" s="561"/>
      <c r="U483" s="561"/>
      <c r="V483" s="562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71"/>
      <c r="P484" s="560" t="s">
        <v>71</v>
      </c>
      <c r="Q484" s="561"/>
      <c r="R484" s="561"/>
      <c r="S484" s="561"/>
      <c r="T484" s="561"/>
      <c r="U484" s="561"/>
      <c r="V484" s="562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8" t="s">
        <v>735</v>
      </c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  <c r="Z485" s="557"/>
      <c r="AA485" s="538"/>
      <c r="AB485" s="538"/>
      <c r="AC485" s="538"/>
    </row>
    <row r="486" spans="1:68" ht="14.25" hidden="1" customHeight="1" x14ac:dyDescent="0.25">
      <c r="A486" s="556" t="s">
        <v>136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39"/>
      <c r="AB486" s="539"/>
      <c r="AC486" s="539"/>
    </row>
    <row r="487" spans="1:68" ht="27" hidden="1" customHeight="1" x14ac:dyDescent="0.25">
      <c r="A487" s="54" t="s">
        <v>736</v>
      </c>
      <c r="B487" s="54" t="s">
        <v>737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70"/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71"/>
      <c r="P488" s="560" t="s">
        <v>71</v>
      </c>
      <c r="Q488" s="561"/>
      <c r="R488" s="561"/>
      <c r="S488" s="561"/>
      <c r="T488" s="561"/>
      <c r="U488" s="561"/>
      <c r="V488" s="562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71"/>
      <c r="P489" s="560" t="s">
        <v>71</v>
      </c>
      <c r="Q489" s="561"/>
      <c r="R489" s="561"/>
      <c r="S489" s="561"/>
      <c r="T489" s="561"/>
      <c r="U489" s="561"/>
      <c r="V489" s="562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11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712"/>
      <c r="P490" s="650" t="s">
        <v>739</v>
      </c>
      <c r="Q490" s="651"/>
      <c r="R490" s="651"/>
      <c r="S490" s="651"/>
      <c r="T490" s="651"/>
      <c r="U490" s="651"/>
      <c r="V490" s="608"/>
      <c r="W490" s="37" t="s">
        <v>69</v>
      </c>
      <c r="X490" s="545">
        <f>IFERROR(X24+X32+X36+X44+X48+X58+X64+X70+X77+X82+X89+X96+X104+X110+X117+X121+X127+X132+X137+X143+X149+X153+X159+X172+X178+X182+X188+X193+X204+X216+X221+X235+X239+X243+X251+X260+X268+X275+X281+X286+X296+X306+X313+X319+X326+X332+X339+X351+X356+X361+X365+X371+X376+X382+X396+X401+X406+X413+X418+X434+X440+X449+X455+X464+X470+X475+X479+X484+X489,"0")</f>
        <v>13570</v>
      </c>
      <c r="Y490" s="545">
        <f>IFERROR(Y24+Y32+Y36+Y44+Y48+Y58+Y64+Y70+Y77+Y82+Y89+Y96+Y104+Y110+Y117+Y121+Y127+Y132+Y137+Y143+Y149+Y153+Y159+Y172+Y178+Y182+Y188+Y193+Y204+Y216+Y221+Y235+Y239+Y243+Y251+Y260+Y268+Y275+Y281+Y286+Y296+Y306+Y313+Y319+Y326+Y332+Y339+Y351+Y356+Y361+Y365+Y371+Y376+Y382+Y396+Y401+Y406+Y413+Y418+Y434+Y440+Y449+Y455+Y464+Y470+Y475+Y479+Y484+Y489,"0")</f>
        <v>13715.41</v>
      </c>
      <c r="Z490" s="37"/>
      <c r="AA490" s="546"/>
      <c r="AB490" s="546"/>
      <c r="AC490" s="546"/>
    </row>
    <row r="491" spans="1:68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12"/>
      <c r="P491" s="650" t="s">
        <v>740</v>
      </c>
      <c r="Q491" s="651"/>
      <c r="R491" s="651"/>
      <c r="S491" s="651"/>
      <c r="T491" s="651"/>
      <c r="U491" s="651"/>
      <c r="V491" s="608"/>
      <c r="W491" s="37" t="s">
        <v>69</v>
      </c>
      <c r="X491" s="545">
        <f>IFERROR(SUM(BM22:BM487),"0")</f>
        <v>14698.987585646259</v>
      </c>
      <c r="Y491" s="545">
        <f>IFERROR(SUM(BN22:BN487),"0")</f>
        <v>14852.130000000003</v>
      </c>
      <c r="Z491" s="37"/>
      <c r="AA491" s="546"/>
      <c r="AB491" s="546"/>
      <c r="AC491" s="546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12"/>
      <c r="P492" s="650" t="s">
        <v>741</v>
      </c>
      <c r="Q492" s="651"/>
      <c r="R492" s="651"/>
      <c r="S492" s="651"/>
      <c r="T492" s="651"/>
      <c r="U492" s="651"/>
      <c r="V492" s="608"/>
      <c r="W492" s="37" t="s">
        <v>742</v>
      </c>
      <c r="X492" s="38">
        <f>ROUNDUP(SUM(BO22:BO487),0)</f>
        <v>25</v>
      </c>
      <c r="Y492" s="38">
        <f>ROUNDUP(SUM(BP22:BP487),0)</f>
        <v>25</v>
      </c>
      <c r="Z492" s="37"/>
      <c r="AA492" s="546"/>
      <c r="AB492" s="546"/>
      <c r="AC492" s="546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12"/>
      <c r="P493" s="650" t="s">
        <v>743</v>
      </c>
      <c r="Q493" s="651"/>
      <c r="R493" s="651"/>
      <c r="S493" s="651"/>
      <c r="T493" s="651"/>
      <c r="U493" s="651"/>
      <c r="V493" s="608"/>
      <c r="W493" s="37" t="s">
        <v>69</v>
      </c>
      <c r="X493" s="545">
        <f>GrossWeightTotal+PalletQtyTotal*25</f>
        <v>15323.987585646259</v>
      </c>
      <c r="Y493" s="545">
        <f>GrossWeightTotalR+PalletQtyTotalR*25</f>
        <v>15477.130000000003</v>
      </c>
      <c r="Z493" s="37"/>
      <c r="AA493" s="546"/>
      <c r="AB493" s="546"/>
      <c r="AC493" s="546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12"/>
      <c r="P494" s="650" t="s">
        <v>744</v>
      </c>
      <c r="Q494" s="651"/>
      <c r="R494" s="651"/>
      <c r="S494" s="651"/>
      <c r="T494" s="651"/>
      <c r="U494" s="651"/>
      <c r="V494" s="608"/>
      <c r="W494" s="37" t="s">
        <v>742</v>
      </c>
      <c r="X494" s="545">
        <f>IFERROR(X23+X31+X35+X43+X47+X57+X63+X69+X76+X81+X88+X95+X103+X109+X116+X120+X126+X131+X136+X142+X148+X152+X158+X171+X177+X181+X187+X192+X203+X215+X220+X234+X238+X242+X250+X259+X267+X274+X280+X285+X295+X305+X312+X318+X325+X331+X338+X350+X355+X360+X364+X370+X375+X381+X395+X400+X405+X412+X417+X433+X439+X448+X454+X463+X469+X474+X478+X483+X488,"0")</f>
        <v>2862.4318407803285</v>
      </c>
      <c r="Y494" s="545">
        <f>IFERROR(Y23+Y31+Y35+Y43+Y47+Y57+Y63+Y69+Y76+Y81+Y88+Y95+Y103+Y109+Y116+Y120+Y126+Y131+Y136+Y142+Y148+Y152+Y158+Y171+Y177+Y181+Y187+Y192+Y203+Y215+Y220+Y234+Y238+Y242+Y250+Y259+Y267+Y274+Y280+Y285+Y295+Y305+Y312+Y318+Y325+Y331+Y338+Y350+Y355+Y360+Y364+Y370+Y375+Y381+Y395+Y400+Y405+Y412+Y417+Y433+Y439+Y448+Y454+Y463+Y469+Y474+Y478+Y483+Y488,"0")</f>
        <v>2884</v>
      </c>
      <c r="Z494" s="37"/>
      <c r="AA494" s="546"/>
      <c r="AB494" s="546"/>
      <c r="AC494" s="546"/>
    </row>
    <row r="495" spans="1:68" ht="14.25" hidden="1" customHeight="1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12"/>
      <c r="P495" s="650" t="s">
        <v>745</v>
      </c>
      <c r="Q495" s="651"/>
      <c r="R495" s="651"/>
      <c r="S495" s="651"/>
      <c r="T495" s="651"/>
      <c r="U495" s="651"/>
      <c r="V495" s="608"/>
      <c r="W495" s="39" t="s">
        <v>746</v>
      </c>
      <c r="X495" s="37"/>
      <c r="Y495" s="37"/>
      <c r="Z495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381+Z395+Z400+Z405+Z412+Z417+Z433+Z439+Z448+Z454+Z463+Z469+Z474+Z478+Z483+Z488,"0")</f>
        <v>29.764689999999998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7" t="s">
        <v>99</v>
      </c>
      <c r="D497" s="600"/>
      <c r="E497" s="600"/>
      <c r="F497" s="600"/>
      <c r="G497" s="600"/>
      <c r="H497" s="601"/>
      <c r="I497" s="597" t="s">
        <v>250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533</v>
      </c>
      <c r="T497" s="601"/>
      <c r="U497" s="597" t="s">
        <v>588</v>
      </c>
      <c r="V497" s="600"/>
      <c r="W497" s="601"/>
      <c r="X497" s="540" t="s">
        <v>639</v>
      </c>
      <c r="Y497" s="597" t="s">
        <v>699</v>
      </c>
      <c r="Z497" s="601"/>
      <c r="AB497" s="52"/>
      <c r="AC497" s="52"/>
      <c r="AF497" s="541"/>
    </row>
    <row r="498" spans="1:32" ht="14.25" customHeight="1" thickTop="1" x14ac:dyDescent="0.2">
      <c r="A498" s="621" t="s">
        <v>748</v>
      </c>
      <c r="B498" s="597" t="s">
        <v>63</v>
      </c>
      <c r="C498" s="597" t="s">
        <v>100</v>
      </c>
      <c r="D498" s="597" t="s">
        <v>117</v>
      </c>
      <c r="E498" s="597" t="s">
        <v>171</v>
      </c>
      <c r="F498" s="597" t="s">
        <v>190</v>
      </c>
      <c r="G498" s="597" t="s">
        <v>220</v>
      </c>
      <c r="H498" s="597" t="s">
        <v>99</v>
      </c>
      <c r="I498" s="597" t="s">
        <v>251</v>
      </c>
      <c r="J498" s="597" t="s">
        <v>296</v>
      </c>
      <c r="K498" s="597" t="s">
        <v>355</v>
      </c>
      <c r="L498" s="597" t="s">
        <v>397</v>
      </c>
      <c r="M498" s="597" t="s">
        <v>413</v>
      </c>
      <c r="N498" s="541"/>
      <c r="O498" s="597" t="s">
        <v>424</v>
      </c>
      <c r="P498" s="597" t="s">
        <v>433</v>
      </c>
      <c r="Q498" s="597" t="s">
        <v>446</v>
      </c>
      <c r="R498" s="597" t="s">
        <v>523</v>
      </c>
      <c r="S498" s="597" t="s">
        <v>534</v>
      </c>
      <c r="T498" s="597" t="s">
        <v>569</v>
      </c>
      <c r="U498" s="597" t="s">
        <v>589</v>
      </c>
      <c r="V498" s="597" t="s">
        <v>620</v>
      </c>
      <c r="W498" s="597" t="s">
        <v>635</v>
      </c>
      <c r="X498" s="597" t="s">
        <v>639</v>
      </c>
      <c r="Y498" s="597" t="s">
        <v>699</v>
      </c>
      <c r="Z498" s="597" t="s">
        <v>735</v>
      </c>
      <c r="AB498" s="52"/>
      <c r="AC498" s="52"/>
      <c r="AF498" s="541"/>
    </row>
    <row r="499" spans="1:32" ht="13.5" customHeight="1" thickBot="1" x14ac:dyDescent="0.25">
      <c r="A499" s="622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756.80000000000007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918.2</v>
      </c>
      <c r="E500" s="46">
        <f>IFERROR(Y85*1,"0")+IFERROR(Y86*1,"0")+IFERROR(Y87*1,"0")+IFERROR(Y91*1,"0")+IFERROR(Y92*1,"0")+IFERROR(Y93*1,"0")+IFERROR(Y94*1,"0")</f>
        <v>1009.0800000000002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1116.45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IFERROR(Y140*1,"0")+IFERROR(Y141*1,"0")+IFERROR(Y145*1,"0")+IFERROR(Y146*1,"0")+IFERROR(Y147*1,"0")+IFERROR(Y151*1,"0")</f>
        <v>0</v>
      </c>
      <c r="I500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100.80000000000001</v>
      </c>
      <c r="J500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2728.2000000000003</v>
      </c>
      <c r="K500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500" s="46">
        <f>IFERROR(Y254*1,"0")+IFERROR(Y255*1,"0")+IFERROR(Y256*1,"0")+IFERROR(Y257*1,"0")+IFERROR(Y258*1,"0")</f>
        <v>0</v>
      </c>
      <c r="M500" s="46">
        <f>IFERROR(Y263*1,"0")+IFERROR(Y264*1,"0")+IFERROR(Y265*1,"0")+IFERROR(Y266*1,"0")</f>
        <v>0</v>
      </c>
      <c r="N500" s="541"/>
      <c r="O500" s="46">
        <f>IFERROR(Y271*1,"0")+IFERROR(Y272*1,"0")+IFERROR(Y273*1,"0")</f>
        <v>100.8</v>
      </c>
      <c r="P500" s="46">
        <f>IFERROR(Y278*1,"0")+IFERROR(Y279*1,"0")+IFERROR(Y283*1,"0")+IFERROR(Y284*1,"0")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156</v>
      </c>
      <c r="R500" s="46">
        <f>IFERROR(Y335*1,"0")+IFERROR(Y336*1,"0")+IFERROR(Y337*1,"0")</f>
        <v>241.5</v>
      </c>
      <c r="S500" s="46">
        <f>IFERROR(Y343*1,"0")+IFERROR(Y344*1,"0")+IFERROR(Y345*1,"0")+IFERROR(Y346*1,"0")+IFERROR(Y347*1,"0")+IFERROR(Y348*1,"0")+IFERROR(Y349*1,"0")+IFERROR(Y353*1,"0")+IFERROR(Y354*1,"0")+IFERROR(Y358*1,"0")+IFERROR(Y359*1,"0")+IFERROR(Y363*1,"0")</f>
        <v>828</v>
      </c>
      <c r="T500" s="46">
        <f>IFERROR(Y368*1,"0")+IFERROR(Y369*1,"0")+IFERROR(Y373*1,"0")+IFERROR(Y374*1,"0")+IFERROR(Y378*1,"0")+IFERROR(Y379*1,"0")+IFERROR(Y380*1,"0")</f>
        <v>1083.6599999999999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102.60000000000001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4312.3200000000006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261</v>
      </c>
      <c r="Z500" s="46">
        <f>IFERROR(Y487*1,"0")</f>
        <v>0</v>
      </c>
      <c r="AB500" s="52"/>
      <c r="AC500" s="52"/>
      <c r="AF500" s="541"/>
    </row>
  </sheetData>
  <sheetProtection algorithmName="SHA-512" hashValue="QALiwLyuFOlIzJLVCMfcomKOTLKo3VehrKvx9TmydSX9ILdda0n1y2GfiwIblZPl+mdLwf5YIJ2t334pdcq6OA==" saltValue="faOA1ZDOyvbIAJfqAJrEOQ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50,00"/>
        <filter val="1 500,00"/>
        <filter val="1 900,00"/>
        <filter val="100,00"/>
        <filter val="11,11"/>
        <filter val="114,29"/>
        <filter val="13 570,00"/>
        <filter val="13,33"/>
        <filter val="14 698,99"/>
        <filter val="148,15"/>
        <filter val="15 323,99"/>
        <filter val="150,00"/>
        <filter val="16,67"/>
        <filter val="160,95"/>
        <filter val="170,00"/>
        <filter val="18,52"/>
        <filter val="19,23"/>
        <filter val="193,06"/>
        <filter val="2 800,00"/>
        <filter val="2 862,43"/>
        <filter val="200,00"/>
        <filter val="23,81"/>
        <filter val="240,00"/>
        <filter val="242,42"/>
        <filter val="25"/>
        <filter val="250,00"/>
        <filter val="27,78"/>
        <filter val="284,09"/>
        <filter val="30,00"/>
        <filter val="300,00"/>
        <filter val="33,33"/>
        <filter val="400,00"/>
        <filter val="41,67"/>
        <filter val="50,00"/>
        <filter val="500,00"/>
        <filter val="543,56"/>
        <filter val="6,85"/>
        <filter val="600,00"/>
        <filter val="70,00"/>
        <filter val="700,00"/>
        <filter val="702,85"/>
        <filter val="72,96"/>
        <filter val="750,00"/>
        <filter val="8,33"/>
        <filter val="800,00"/>
        <filter val="86,42"/>
        <filter val="900,00"/>
        <filter val="93,06"/>
      </filters>
    </filterColumn>
    <filterColumn colId="29" showButton="0"/>
    <filterColumn colId="30" showButton="0"/>
  </autoFilter>
  <mergeCells count="876">
    <mergeCell ref="L498:L499"/>
    <mergeCell ref="P444:T444"/>
    <mergeCell ref="P202:T202"/>
    <mergeCell ref="X17:X18"/>
    <mergeCell ref="D408:E408"/>
    <mergeCell ref="P216:V216"/>
    <mergeCell ref="A8:C8"/>
    <mergeCell ref="P124:T124"/>
    <mergeCell ref="D293:E293"/>
    <mergeCell ref="P151:T151"/>
    <mergeCell ref="P76:V76"/>
    <mergeCell ref="A128:Z128"/>
    <mergeCell ref="A10:C10"/>
    <mergeCell ref="P361:V361"/>
    <mergeCell ref="A217:Z217"/>
    <mergeCell ref="P218:T218"/>
    <mergeCell ref="P69:V69"/>
    <mergeCell ref="A21:Z21"/>
    <mergeCell ref="A355:O356"/>
    <mergeCell ref="A194:Z194"/>
    <mergeCell ref="P296:V296"/>
    <mergeCell ref="P356:V356"/>
    <mergeCell ref="D42:E42"/>
    <mergeCell ref="D344:E344"/>
    <mergeCell ref="Q5:R5"/>
    <mergeCell ref="D278:E278"/>
    <mergeCell ref="P291:T291"/>
    <mergeCell ref="D163:E163"/>
    <mergeCell ref="D107:E107"/>
    <mergeCell ref="P305:V305"/>
    <mergeCell ref="P263:T263"/>
    <mergeCell ref="P228:T228"/>
    <mergeCell ref="P241:T241"/>
    <mergeCell ref="A222:Z222"/>
    <mergeCell ref="J9:M9"/>
    <mergeCell ref="D112:E112"/>
    <mergeCell ref="P141:T141"/>
    <mergeCell ref="D62:E62"/>
    <mergeCell ref="D56:E56"/>
    <mergeCell ref="A38:Z38"/>
    <mergeCell ref="D140:E140"/>
    <mergeCell ref="P43:V43"/>
    <mergeCell ref="A39:Z39"/>
    <mergeCell ref="P60:T60"/>
    <mergeCell ref="Y17:Y18"/>
    <mergeCell ref="V5:W5"/>
    <mergeCell ref="T5:U5"/>
    <mergeCell ref="Q6:R6"/>
    <mergeCell ref="P200:T200"/>
    <mergeCell ref="P134:T134"/>
    <mergeCell ref="P292:T292"/>
    <mergeCell ref="D102:E102"/>
    <mergeCell ref="P81:V81"/>
    <mergeCell ref="A33:Z33"/>
    <mergeCell ref="D196:E196"/>
    <mergeCell ref="A269:Z269"/>
    <mergeCell ref="A126:O127"/>
    <mergeCell ref="P23:V23"/>
    <mergeCell ref="A262:Z262"/>
    <mergeCell ref="A103:O104"/>
    <mergeCell ref="M17:M18"/>
    <mergeCell ref="O17:O18"/>
    <mergeCell ref="P102:T102"/>
    <mergeCell ref="P62:T62"/>
    <mergeCell ref="P103:V103"/>
    <mergeCell ref="P247:T247"/>
    <mergeCell ref="P114:T114"/>
    <mergeCell ref="D17:E18"/>
    <mergeCell ref="M498:M499"/>
    <mergeCell ref="O498:O499"/>
    <mergeCell ref="D249:E249"/>
    <mergeCell ref="A476:Z476"/>
    <mergeCell ref="D170:E170"/>
    <mergeCell ref="P93:T93"/>
    <mergeCell ref="D468:E468"/>
    <mergeCell ref="P132:V132"/>
    <mergeCell ref="P72:T72"/>
    <mergeCell ref="P199:T199"/>
    <mergeCell ref="P436:T436"/>
    <mergeCell ref="A360:O361"/>
    <mergeCell ref="U497:W497"/>
    <mergeCell ref="P381:V381"/>
    <mergeCell ref="D271:E271"/>
    <mergeCell ref="D191:E191"/>
    <mergeCell ref="P368:T368"/>
    <mergeCell ref="A362:Z362"/>
    <mergeCell ref="D237:E237"/>
    <mergeCell ref="P285:V285"/>
    <mergeCell ref="A215:O216"/>
    <mergeCell ref="P85:T85"/>
    <mergeCell ref="A142:O143"/>
    <mergeCell ref="D291:E291"/>
    <mergeCell ref="P493:V493"/>
    <mergeCell ref="D452:E452"/>
    <mergeCell ref="P371:V371"/>
    <mergeCell ref="P408:T408"/>
    <mergeCell ref="D218:E218"/>
    <mergeCell ref="P137:V137"/>
    <mergeCell ref="D247:E247"/>
    <mergeCell ref="P495:V495"/>
    <mergeCell ref="A320:Z320"/>
    <mergeCell ref="P351:V351"/>
    <mergeCell ref="A314:Z314"/>
    <mergeCell ref="P239:V239"/>
    <mergeCell ref="D266:E266"/>
    <mergeCell ref="P174:T174"/>
    <mergeCell ref="P447:T447"/>
    <mergeCell ref="P410:T410"/>
    <mergeCell ref="A415:Z415"/>
    <mergeCell ref="P363:T363"/>
    <mergeCell ref="P373:T373"/>
    <mergeCell ref="P492:V492"/>
    <mergeCell ref="P286:V286"/>
    <mergeCell ref="P479:V479"/>
    <mergeCell ref="A318:O319"/>
    <mergeCell ref="P176:T176"/>
    <mergeCell ref="AD17:AF18"/>
    <mergeCell ref="P142:V142"/>
    <mergeCell ref="D101:E101"/>
    <mergeCell ref="P117:V117"/>
    <mergeCell ref="F5:G5"/>
    <mergeCell ref="P365:V365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A370:O371"/>
    <mergeCell ref="V11:W11"/>
    <mergeCell ref="D165:E165"/>
    <mergeCell ref="P75:T75"/>
    <mergeCell ref="P406:V406"/>
    <mergeCell ref="P317:T317"/>
    <mergeCell ref="D323:E323"/>
    <mergeCell ref="P146:T146"/>
    <mergeCell ref="D394:E394"/>
    <mergeCell ref="D279:E279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D404:E404"/>
    <mergeCell ref="P312:V31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P376:V376"/>
    <mergeCell ref="D310:E310"/>
    <mergeCell ref="A192:O193"/>
    <mergeCell ref="C498:C499"/>
    <mergeCell ref="P336:T336"/>
    <mergeCell ref="P187:V187"/>
    <mergeCell ref="E498:E499"/>
    <mergeCell ref="P131:V131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D462:E462"/>
    <mergeCell ref="Z498:Z499"/>
    <mergeCell ref="X498:X499"/>
    <mergeCell ref="P474:V474"/>
    <mergeCell ref="A155:Z155"/>
    <mergeCell ref="P401:V401"/>
    <mergeCell ref="P268:V268"/>
    <mergeCell ref="P339:V339"/>
    <mergeCell ref="P201:T201"/>
    <mergeCell ref="D389:E389"/>
    <mergeCell ref="P469:V469"/>
    <mergeCell ref="A465:Z465"/>
    <mergeCell ref="A136:O137"/>
    <mergeCell ref="P344:T344"/>
    <mergeCell ref="D265:E265"/>
    <mergeCell ref="D447:E447"/>
    <mergeCell ref="P301:T301"/>
    <mergeCell ref="A400:O401"/>
    <mergeCell ref="D257:E257"/>
    <mergeCell ref="P214:T214"/>
    <mergeCell ref="D213:E213"/>
    <mergeCell ref="A457:Z457"/>
    <mergeCell ref="P192:V192"/>
    <mergeCell ref="D151:E151"/>
    <mergeCell ref="D283:E283"/>
    <mergeCell ref="D348:E348"/>
    <mergeCell ref="P454:V454"/>
    <mergeCell ref="P206:T206"/>
    <mergeCell ref="P233:T233"/>
    <mergeCell ref="P330:T330"/>
    <mergeCell ref="D438:E438"/>
    <mergeCell ref="A340:Z340"/>
    <mergeCell ref="D425:E425"/>
    <mergeCell ref="D359:E359"/>
    <mergeCell ref="A9:C9"/>
    <mergeCell ref="D373:E373"/>
    <mergeCell ref="D202:E202"/>
    <mergeCell ref="A242:O243"/>
    <mergeCell ref="A179:Z179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D29:E29"/>
    <mergeCell ref="A20:Z20"/>
    <mergeCell ref="A31:O32"/>
    <mergeCell ref="N17:N18"/>
    <mergeCell ref="F17:F18"/>
    <mergeCell ref="D54:E54"/>
    <mergeCell ref="V12:W12"/>
    <mergeCell ref="P348:T348"/>
    <mergeCell ref="D294:E294"/>
    <mergeCell ref="P323:T323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P399:T399"/>
    <mergeCell ref="P171:V171"/>
    <mergeCell ref="P413:V413"/>
    <mergeCell ref="P242:V242"/>
    <mergeCell ref="A403:Z403"/>
    <mergeCell ref="P382:V382"/>
    <mergeCell ref="D459:E459"/>
    <mergeCell ref="P190:T190"/>
    <mergeCell ref="Y498:Y499"/>
    <mergeCell ref="A412:O413"/>
    <mergeCell ref="D225:E225"/>
    <mergeCell ref="P409:T409"/>
    <mergeCell ref="D461:E461"/>
    <mergeCell ref="P498:P499"/>
    <mergeCell ref="I497:R497"/>
    <mergeCell ref="A90:Z90"/>
    <mergeCell ref="K17:K18"/>
    <mergeCell ref="D446:E446"/>
    <mergeCell ref="A277:Z277"/>
    <mergeCell ref="P44:V44"/>
    <mergeCell ref="H5:M5"/>
    <mergeCell ref="P31:V31"/>
    <mergeCell ref="P158:V158"/>
    <mergeCell ref="A154:Z154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P487:T487"/>
    <mergeCell ref="P343:T343"/>
    <mergeCell ref="A288:Z288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D428:E428"/>
    <mergeCell ref="P40:T40"/>
    <mergeCell ref="P257:T257"/>
    <mergeCell ref="P80:T80"/>
    <mergeCell ref="Z17:Z18"/>
    <mergeCell ref="P331:V331"/>
    <mergeCell ref="P460:T460"/>
    <mergeCell ref="P398:T398"/>
    <mergeCell ref="P227:T227"/>
    <mergeCell ref="D368:E368"/>
    <mergeCell ref="P106:T106"/>
    <mergeCell ref="P120:V120"/>
    <mergeCell ref="D85:E85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A435:Z435"/>
    <mergeCell ref="AB17:AB18"/>
    <mergeCell ref="A81:O82"/>
    <mergeCell ref="P57:V57"/>
    <mergeCell ref="A152:O153"/>
    <mergeCell ref="G17:G18"/>
    <mergeCell ref="P121:V121"/>
    <mergeCell ref="D80:E80"/>
    <mergeCell ref="P148:V148"/>
    <mergeCell ref="P130:T130"/>
    <mergeCell ref="P46:T46"/>
    <mergeCell ref="P61:T61"/>
    <mergeCell ref="D200:E200"/>
    <mergeCell ref="A486:Z486"/>
    <mergeCell ref="H17:H18"/>
    <mergeCell ref="A220:O221"/>
    <mergeCell ref="P161:T161"/>
    <mergeCell ref="P388:T388"/>
    <mergeCell ref="P459:T459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483:V483"/>
    <mergeCell ref="D298:E298"/>
    <mergeCell ref="P91:T91"/>
    <mergeCell ref="D273:E273"/>
    <mergeCell ref="A160:Z160"/>
    <mergeCell ref="P212:T212"/>
    <mergeCell ref="P359:T359"/>
    <mergeCell ref="D436:E436"/>
    <mergeCell ref="A305:O306"/>
    <mergeCell ref="S498:S499"/>
    <mergeCell ref="D347:E347"/>
    <mergeCell ref="P304:T304"/>
    <mergeCell ref="D176:E176"/>
    <mergeCell ref="D114:E114"/>
    <mergeCell ref="P220:V220"/>
    <mergeCell ref="P248:T248"/>
    <mergeCell ref="D51:E51"/>
    <mergeCell ref="P477:T477"/>
    <mergeCell ref="D349:E349"/>
    <mergeCell ref="P455:V455"/>
    <mergeCell ref="A454:O455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R498:R499"/>
    <mergeCell ref="A261:Z261"/>
    <mergeCell ref="P338:V338"/>
    <mergeCell ref="P313:V313"/>
    <mergeCell ref="A138:Z138"/>
    <mergeCell ref="P380:T380"/>
    <mergeCell ref="P58:V58"/>
    <mergeCell ref="A13:M13"/>
    <mergeCell ref="D87:E87"/>
    <mergeCell ref="A367:Z367"/>
    <mergeCell ref="P115:T115"/>
    <mergeCell ref="D254:E254"/>
    <mergeCell ref="D61:E61"/>
    <mergeCell ref="A15:M15"/>
    <mergeCell ref="A183:Z183"/>
    <mergeCell ref="A88:O89"/>
    <mergeCell ref="D346:E346"/>
    <mergeCell ref="P229:T229"/>
    <mergeCell ref="A419:Z419"/>
    <mergeCell ref="D477:E477"/>
    <mergeCell ref="A133:Z133"/>
    <mergeCell ref="D125:E125"/>
    <mergeCell ref="P446:T446"/>
    <mergeCell ref="Q498:Q499"/>
    <mergeCell ref="Q8:R8"/>
    <mergeCell ref="P311:T311"/>
    <mergeCell ref="P140:T140"/>
    <mergeCell ref="P438:T438"/>
    <mergeCell ref="D444:E444"/>
    <mergeCell ref="D248:E248"/>
    <mergeCell ref="D219:E219"/>
    <mergeCell ref="P425:T425"/>
    <mergeCell ref="T6:U9"/>
    <mergeCell ref="P319:V319"/>
    <mergeCell ref="Q10:R10"/>
    <mergeCell ref="D185:E185"/>
    <mergeCell ref="D41:E41"/>
    <mergeCell ref="P318:V318"/>
    <mergeCell ref="A37:Z37"/>
    <mergeCell ref="P149:V149"/>
    <mergeCell ref="P387:T387"/>
    <mergeCell ref="A139:Z139"/>
    <mergeCell ref="D422:E422"/>
    <mergeCell ref="P360:V360"/>
    <mergeCell ref="D119:E119"/>
    <mergeCell ref="A12:M12"/>
    <mergeCell ref="A240:Z240"/>
    <mergeCell ref="P321:T321"/>
    <mergeCell ref="G498:G499"/>
    <mergeCell ref="D190:E190"/>
    <mergeCell ref="P374:T374"/>
    <mergeCell ref="I498:I499"/>
    <mergeCell ref="D246:E246"/>
    <mergeCell ref="D46:E46"/>
    <mergeCell ref="D40:E40"/>
    <mergeCell ref="A490:O495"/>
    <mergeCell ref="D74:E74"/>
    <mergeCell ref="D130:E130"/>
    <mergeCell ref="P87:T87"/>
    <mergeCell ref="P451:T451"/>
    <mergeCell ref="P449:V449"/>
    <mergeCell ref="D335:E335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P355:V355"/>
    <mergeCell ref="D487:E487"/>
    <mergeCell ref="A14:M14"/>
    <mergeCell ref="A111:Z111"/>
    <mergeCell ref="P163:T163"/>
    <mergeCell ref="A480:Z480"/>
    <mergeCell ref="D467:E467"/>
    <mergeCell ref="P424:T424"/>
    <mergeCell ref="D345:E345"/>
    <mergeCell ref="A280:O281"/>
    <mergeCell ref="A285:O286"/>
    <mergeCell ref="P211:T211"/>
    <mergeCell ref="D399:E399"/>
    <mergeCell ref="A439:O440"/>
    <mergeCell ref="P309:T309"/>
    <mergeCell ref="P51:T51"/>
    <mergeCell ref="P26:T26"/>
    <mergeCell ref="P15:T16"/>
    <mergeCell ref="A325:O326"/>
    <mergeCell ref="P219:T219"/>
    <mergeCell ref="D91:E91"/>
    <mergeCell ref="D409:E409"/>
    <mergeCell ref="A463:O464"/>
    <mergeCell ref="P125:T125"/>
    <mergeCell ref="A478:O479"/>
    <mergeCell ref="A414:Z414"/>
    <mergeCell ref="D460:E460"/>
    <mergeCell ref="P210:T210"/>
    <mergeCell ref="P439:V439"/>
    <mergeCell ref="D398:E398"/>
    <mergeCell ref="A267:O268"/>
    <mergeCell ref="P433:V433"/>
    <mergeCell ref="P308:T308"/>
    <mergeCell ref="D343:E343"/>
    <mergeCell ref="P74:T74"/>
    <mergeCell ref="P243:V243"/>
    <mergeCell ref="P310:T310"/>
    <mergeCell ref="D231:E231"/>
    <mergeCell ref="D358:E358"/>
    <mergeCell ref="A327:Z327"/>
    <mergeCell ref="A156:Z156"/>
    <mergeCell ref="P116:V116"/>
    <mergeCell ref="D86:E86"/>
    <mergeCell ref="D321:E321"/>
    <mergeCell ref="P278:T278"/>
    <mergeCell ref="P107:T107"/>
    <mergeCell ref="P101:T101"/>
    <mergeCell ref="D386:E386"/>
    <mergeCell ref="P250:V250"/>
    <mergeCell ref="A364:O365"/>
    <mergeCell ref="P427:T427"/>
    <mergeCell ref="D106:E106"/>
    <mergeCell ref="P283:T283"/>
    <mergeCell ref="D264:E264"/>
    <mergeCell ref="D93:E93"/>
    <mergeCell ref="D391:E391"/>
    <mergeCell ref="P370:V370"/>
    <mergeCell ref="D328:E328"/>
    <mergeCell ref="D162:E162"/>
    <mergeCell ref="P272:T272"/>
    <mergeCell ref="P346:T346"/>
    <mergeCell ref="D292:E292"/>
    <mergeCell ref="D227:E227"/>
    <mergeCell ref="A295:O296"/>
    <mergeCell ref="D233:E233"/>
    <mergeCell ref="D336:E336"/>
    <mergeCell ref="P293:T293"/>
    <mergeCell ref="P294:T294"/>
    <mergeCell ref="A333:Z333"/>
    <mergeCell ref="A483:O484"/>
    <mergeCell ref="P353:T353"/>
    <mergeCell ref="A312:O313"/>
    <mergeCell ref="P204:V204"/>
    <mergeCell ref="D169:E169"/>
    <mergeCell ref="P82:V82"/>
    <mergeCell ref="P440:V440"/>
    <mergeCell ref="P303:T303"/>
    <mergeCell ref="A357:Z357"/>
    <mergeCell ref="D330:E330"/>
    <mergeCell ref="P181:V181"/>
    <mergeCell ref="A421:Z421"/>
    <mergeCell ref="A98:Z98"/>
    <mergeCell ref="P306:V306"/>
    <mergeCell ref="P110:V110"/>
    <mergeCell ref="A338:O339"/>
    <mergeCell ref="P208:T208"/>
    <mergeCell ref="P484:V484"/>
    <mergeCell ref="D157:E157"/>
    <mergeCell ref="P136:V136"/>
    <mergeCell ref="P434:V434"/>
    <mergeCell ref="A433:O434"/>
    <mergeCell ref="A253:Z253"/>
    <mergeCell ref="P324:T324"/>
    <mergeCell ref="P489:V489"/>
    <mergeCell ref="P491:V491"/>
    <mergeCell ref="P127:V127"/>
    <mergeCell ref="A5:C5"/>
    <mergeCell ref="P418:V418"/>
    <mergeCell ref="P412:V412"/>
    <mergeCell ref="P64:V64"/>
    <mergeCell ref="H498:H499"/>
    <mergeCell ref="J498:J499"/>
    <mergeCell ref="A485:Z485"/>
    <mergeCell ref="D337:E337"/>
    <mergeCell ref="D166:E166"/>
    <mergeCell ref="P195:T195"/>
    <mergeCell ref="P364:V364"/>
    <mergeCell ref="A189:Z189"/>
    <mergeCell ref="P300:T300"/>
    <mergeCell ref="A17:A18"/>
    <mergeCell ref="P431:T431"/>
    <mergeCell ref="A118:Z118"/>
    <mergeCell ref="C17:C18"/>
    <mergeCell ref="A488:O489"/>
    <mergeCell ref="P358:T358"/>
    <mergeCell ref="D230:E230"/>
    <mergeCell ref="D168:E168"/>
    <mergeCell ref="D9:E9"/>
    <mergeCell ref="P197:T197"/>
    <mergeCell ref="F9:G9"/>
    <mergeCell ref="P53:T53"/>
    <mergeCell ref="D167:E167"/>
    <mergeCell ref="P422:T422"/>
    <mergeCell ref="K498:K499"/>
    <mergeCell ref="D453:E453"/>
    <mergeCell ref="A6:C6"/>
    <mergeCell ref="D309:E309"/>
    <mergeCell ref="D113:E113"/>
    <mergeCell ref="P180:T180"/>
    <mergeCell ref="P416:T416"/>
    <mergeCell ref="P167:T167"/>
    <mergeCell ref="D26:E26"/>
    <mergeCell ref="D324:E324"/>
    <mergeCell ref="P378:T378"/>
    <mergeCell ref="A259:O260"/>
    <mergeCell ref="D311:E311"/>
    <mergeCell ref="D115:E115"/>
    <mergeCell ref="P55:T55"/>
    <mergeCell ref="P417:V417"/>
    <mergeCell ref="A203:O204"/>
    <mergeCell ref="Q12:R12"/>
    <mergeCell ref="D451:E451"/>
    <mergeCell ref="D255:E255"/>
    <mergeCell ref="P36:V36"/>
    <mergeCell ref="P478:V478"/>
    <mergeCell ref="A97:Z97"/>
    <mergeCell ref="D322:E322"/>
    <mergeCell ref="Q11:R11"/>
    <mergeCell ref="D388:E388"/>
    <mergeCell ref="P119:T119"/>
    <mergeCell ref="P246:T246"/>
    <mergeCell ref="A43:O44"/>
    <mergeCell ref="D390:E390"/>
    <mergeCell ref="A123:Z123"/>
    <mergeCell ref="P66:T66"/>
    <mergeCell ref="D180:E180"/>
    <mergeCell ref="A274:O275"/>
    <mergeCell ref="P169:T169"/>
    <mergeCell ref="P411:T411"/>
    <mergeCell ref="P467:T467"/>
    <mergeCell ref="P442:T442"/>
    <mergeCell ref="D466:E466"/>
    <mergeCell ref="A69:O70"/>
    <mergeCell ref="P185:T185"/>
    <mergeCell ref="D416:E416"/>
    <mergeCell ref="B498:B499"/>
    <mergeCell ref="A184:Z184"/>
    <mergeCell ref="A244:Z244"/>
    <mergeCell ref="P490:V490"/>
    <mergeCell ref="P426:T426"/>
    <mergeCell ref="P255:T255"/>
    <mergeCell ref="A342:Z342"/>
    <mergeCell ref="P48:V48"/>
    <mergeCell ref="A407:Z407"/>
    <mergeCell ref="A116:O117"/>
    <mergeCell ref="P428:T428"/>
    <mergeCell ref="D100:E100"/>
    <mergeCell ref="P284:T284"/>
    <mergeCell ref="P113:T113"/>
    <mergeCell ref="A173:Z173"/>
    <mergeCell ref="A471:Z471"/>
    <mergeCell ref="P129:T129"/>
    <mergeCell ref="D329:E329"/>
    <mergeCell ref="A402:Z402"/>
    <mergeCell ref="D229:E229"/>
    <mergeCell ref="D108:E108"/>
    <mergeCell ref="P429:T429"/>
    <mergeCell ref="P258:T258"/>
    <mergeCell ref="D369:E369"/>
    <mergeCell ref="D1:F1"/>
    <mergeCell ref="P466:T466"/>
    <mergeCell ref="A71:Z71"/>
    <mergeCell ref="P488:V488"/>
    <mergeCell ref="A307:Z307"/>
    <mergeCell ref="J17:J18"/>
    <mergeCell ref="L17:L18"/>
    <mergeCell ref="P17:T18"/>
    <mergeCell ref="P423:T423"/>
    <mergeCell ref="P52:T52"/>
    <mergeCell ref="P481:T481"/>
    <mergeCell ref="I17:I18"/>
    <mergeCell ref="D141:E141"/>
    <mergeCell ref="D135:E135"/>
    <mergeCell ref="A417:O418"/>
    <mergeCell ref="P203:V203"/>
    <mergeCell ref="P470:V470"/>
    <mergeCell ref="D72:E72"/>
    <mergeCell ref="P295:V295"/>
    <mergeCell ref="P178:V178"/>
    <mergeCell ref="A177:O178"/>
    <mergeCell ref="P463:V463"/>
    <mergeCell ref="P267:V267"/>
    <mergeCell ref="Q9:R9"/>
    <mergeCell ref="U498:U499"/>
    <mergeCell ref="P475:V475"/>
    <mergeCell ref="W498:W499"/>
    <mergeCell ref="A45:Z45"/>
    <mergeCell ref="A458:Z458"/>
    <mergeCell ref="A287:Z287"/>
    <mergeCell ref="P35:V35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D380:E380"/>
    <mergeCell ref="P337:T337"/>
    <mergeCell ref="A282:Z282"/>
    <mergeCell ref="D209:E209"/>
    <mergeCell ref="A187:O188"/>
    <mergeCell ref="D445:E445"/>
    <mergeCell ref="D245:E245"/>
    <mergeCell ref="D301:E301"/>
    <mergeCell ref="H1:Q1"/>
    <mergeCell ref="A448:O449"/>
    <mergeCell ref="P280:V280"/>
    <mergeCell ref="P109:V109"/>
    <mergeCell ref="P274:V274"/>
    <mergeCell ref="A366:Z366"/>
    <mergeCell ref="A397:Z397"/>
    <mergeCell ref="D214:E214"/>
    <mergeCell ref="D284:E284"/>
    <mergeCell ref="P193:V193"/>
    <mergeCell ref="D28:E28"/>
    <mergeCell ref="D432:E432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498:A499"/>
    <mergeCell ref="P265:T265"/>
    <mergeCell ref="P94:T94"/>
    <mergeCell ref="D379:E379"/>
    <mergeCell ref="D208:E208"/>
    <mergeCell ref="D8:M8"/>
    <mergeCell ref="D300:E300"/>
    <mergeCell ref="P237:T237"/>
    <mergeCell ref="P473:T473"/>
    <mergeCell ref="P329:T329"/>
    <mergeCell ref="A148:O149"/>
    <mergeCell ref="P251:V251"/>
    <mergeCell ref="P266:T266"/>
    <mergeCell ref="P182:V182"/>
    <mergeCell ref="S497:T497"/>
    <mergeCell ref="V498:V499"/>
    <mergeCell ref="P453:T453"/>
    <mergeCell ref="A474:O475"/>
    <mergeCell ref="P396:V396"/>
    <mergeCell ref="A395:O396"/>
    <mergeCell ref="A109:O110"/>
    <mergeCell ref="A47:O48"/>
    <mergeCell ref="P482:T482"/>
    <mergeCell ref="D354:E354"/>
    <mergeCell ref="D7:M7"/>
    <mergeCell ref="A405:O406"/>
    <mergeCell ref="D79:E79"/>
    <mergeCell ref="P92:T92"/>
    <mergeCell ref="A450:Z450"/>
    <mergeCell ref="P394:T394"/>
    <mergeCell ref="D315:E315"/>
    <mergeCell ref="D442:E442"/>
    <mergeCell ref="D302:E302"/>
    <mergeCell ref="D429:E429"/>
    <mergeCell ref="P29:T29"/>
    <mergeCell ref="P271:T271"/>
    <mergeCell ref="P100:T100"/>
    <mergeCell ref="P177:V177"/>
    <mergeCell ref="P188:V188"/>
    <mergeCell ref="P166:T166"/>
    <mergeCell ref="D147:E147"/>
    <mergeCell ref="A105:Z105"/>
    <mergeCell ref="D224:E224"/>
    <mergeCell ref="P230:T230"/>
    <mergeCell ref="P289:T289"/>
    <mergeCell ref="D232:E232"/>
    <mergeCell ref="D161:E161"/>
    <mergeCell ref="P238:V238"/>
    <mergeCell ref="W17:W18"/>
    <mergeCell ref="P96:V96"/>
    <mergeCell ref="P332:V332"/>
    <mergeCell ref="A384:Z384"/>
    <mergeCell ref="A331:O332"/>
    <mergeCell ref="P325:V325"/>
    <mergeCell ref="A150:Z150"/>
    <mergeCell ref="A144:Z144"/>
    <mergeCell ref="A120:O121"/>
    <mergeCell ref="D378:E378"/>
    <mergeCell ref="D129:E129"/>
    <mergeCell ref="P264:T264"/>
    <mergeCell ref="P68:T68"/>
    <mergeCell ref="D52:E52"/>
    <mergeCell ref="D27:E27"/>
    <mergeCell ref="U17:V17"/>
    <mergeCell ref="P79:T79"/>
    <mergeCell ref="D211:E211"/>
    <mergeCell ref="P168:T168"/>
    <mergeCell ref="A19:Z19"/>
    <mergeCell ref="P70:V70"/>
    <mergeCell ref="V10:W10"/>
    <mergeCell ref="D431:E431"/>
    <mergeCell ref="P99:T99"/>
    <mergeCell ref="P170:T170"/>
    <mergeCell ref="P468:T468"/>
    <mergeCell ref="P316:T316"/>
    <mergeCell ref="P145:T145"/>
    <mergeCell ref="D66:E6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159:V159"/>
    <mergeCell ref="P395:V395"/>
    <mergeCell ref="C497:H497"/>
    <mergeCell ref="P209:T209"/>
    <mergeCell ref="A385:Z385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A381:O382"/>
    <mergeCell ref="P165:T165"/>
    <mergeCell ref="P432:T432"/>
    <mergeCell ref="P400:V400"/>
    <mergeCell ref="D73:E73"/>
    <mergeCell ref="P77:V77"/>
    <mergeCell ref="P30:T30"/>
    <mergeCell ref="A76:O77"/>
    <mergeCell ref="P375:V375"/>
    <mergeCell ref="P290:T290"/>
    <mergeCell ref="A234:O235"/>
    <mergeCell ref="A63:O64"/>
    <mergeCell ref="B17:B18"/>
    <mergeCell ref="P143:V143"/>
    <mergeCell ref="A171:O172"/>
    <mergeCell ref="D258:E258"/>
    <mergeCell ref="P235:V235"/>
    <mergeCell ref="P404:T404"/>
    <mergeCell ref="D124:E124"/>
    <mergeCell ref="H9:I9"/>
    <mergeCell ref="A49:Z49"/>
    <mergeCell ref="P24:V24"/>
    <mergeCell ref="P260:V260"/>
    <mergeCell ref="P89:V89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D263:E263"/>
    <mergeCell ref="A65:Z65"/>
    <mergeCell ref="P86:T86"/>
    <mergeCell ref="P328:T328"/>
    <mergeCell ref="P213:T213"/>
    <mergeCell ref="P157:T157"/>
    <mergeCell ref="D134:E134"/>
    <mergeCell ref="P249:T249"/>
    <mergeCell ref="D363:E363"/>
    <mergeCell ref="P56:T56"/>
    <mergeCell ref="D473:E473"/>
    <mergeCell ref="D60:E60"/>
    <mergeCell ref="P73:T73"/>
    <mergeCell ref="P437:T437"/>
    <mergeCell ref="P315:T315"/>
    <mergeCell ref="P231:T231"/>
    <mergeCell ref="D423:E423"/>
    <mergeCell ref="P302:T302"/>
    <mergeCell ref="D174:E174"/>
    <mergeCell ref="D472:E472"/>
    <mergeCell ref="A352:Z352"/>
    <mergeCell ref="D410:E410"/>
    <mergeCell ref="A276:Z276"/>
    <mergeCell ref="A83:Z83"/>
    <mergeCell ref="A441:Z441"/>
    <mergeCell ref="A270:Z270"/>
    <mergeCell ref="P391:T391"/>
    <mergeCell ref="D426:E426"/>
    <mergeCell ref="P464:V464"/>
    <mergeCell ref="P452:T452"/>
    <mergeCell ref="P448:V448"/>
    <mergeCell ref="D195:E195"/>
    <mergeCell ref="P379:T379"/>
    <mergeCell ref="A469:O47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6 X388 X398:X399 X408 X422 X424:X425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a9X41r9Xdg+US6IUY2ikkeuh1yGla/1xABoFt1+QI9D7iCE3Nn3FyKTFT9My24bx4U6vepHRCqxDfgs++Cpvmw==" saltValue="JnjrUqJMOvRZ4jTWTMUi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2025-11-28T10:22:18Z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