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EC3518F-5ED3-4AF3-ADAF-0B8CB97B900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Z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4" i="1" s="1"/>
  <c r="P22" i="1"/>
  <c r="H10" i="1"/>
  <c r="A9" i="1"/>
  <c r="A10" i="1" s="1"/>
  <c r="D7" i="1"/>
  <c r="Q6" i="1"/>
  <c r="P2" i="1"/>
  <c r="BP101" i="1" l="1"/>
  <c r="BN101" i="1"/>
  <c r="Z101" i="1"/>
  <c r="BP147" i="1"/>
  <c r="BN147" i="1"/>
  <c r="Z147" i="1"/>
  <c r="BP191" i="1"/>
  <c r="BN191" i="1"/>
  <c r="Z191" i="1"/>
  <c r="BP213" i="1"/>
  <c r="BN213" i="1"/>
  <c r="Z213" i="1"/>
  <c r="BP248" i="1"/>
  <c r="BN248" i="1"/>
  <c r="Z248" i="1"/>
  <c r="BP298" i="1"/>
  <c r="BN298" i="1"/>
  <c r="Z298" i="1"/>
  <c r="BP328" i="1"/>
  <c r="BN328" i="1"/>
  <c r="Z328" i="1"/>
  <c r="BP378" i="1"/>
  <c r="BN378" i="1"/>
  <c r="Z378" i="1"/>
  <c r="BP391" i="1"/>
  <c r="BN391" i="1"/>
  <c r="Z391" i="1"/>
  <c r="BP426" i="1"/>
  <c r="BN426" i="1"/>
  <c r="Z426" i="1"/>
  <c r="BP452" i="1"/>
  <c r="BN452" i="1"/>
  <c r="Z452" i="1"/>
  <c r="Z28" i="1"/>
  <c r="BN28" i="1"/>
  <c r="Z46" i="1"/>
  <c r="Z47" i="1" s="1"/>
  <c r="BN46" i="1"/>
  <c r="BP46" i="1"/>
  <c r="Y47" i="1"/>
  <c r="Z51" i="1"/>
  <c r="BN51" i="1"/>
  <c r="Z67" i="1"/>
  <c r="BN67" i="1"/>
  <c r="BP86" i="1"/>
  <c r="BN86" i="1"/>
  <c r="Z86" i="1"/>
  <c r="Y121" i="1"/>
  <c r="Y120" i="1"/>
  <c r="BP119" i="1"/>
  <c r="BN119" i="1"/>
  <c r="Z119" i="1"/>
  <c r="Z120" i="1" s="1"/>
  <c r="BP124" i="1"/>
  <c r="BN124" i="1"/>
  <c r="Z124" i="1"/>
  <c r="BP170" i="1"/>
  <c r="BN170" i="1"/>
  <c r="Z170" i="1"/>
  <c r="BP201" i="1"/>
  <c r="BN201" i="1"/>
  <c r="Z201" i="1"/>
  <c r="BP228" i="1"/>
  <c r="BN228" i="1"/>
  <c r="Z228" i="1"/>
  <c r="BP272" i="1"/>
  <c r="BN272" i="1"/>
  <c r="Z272" i="1"/>
  <c r="BP310" i="1"/>
  <c r="BN310" i="1"/>
  <c r="Z310" i="1"/>
  <c r="BP347" i="1"/>
  <c r="BN347" i="1"/>
  <c r="Z347" i="1"/>
  <c r="BP379" i="1"/>
  <c r="BN379" i="1"/>
  <c r="Z379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172" i="1"/>
  <c r="Y203" i="1"/>
  <c r="Y215" i="1"/>
  <c r="J9" i="1"/>
  <c r="Y221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Z453" i="1" s="1"/>
  <c r="BP466" i="1"/>
  <c r="BN466" i="1"/>
  <c r="Z466" i="1"/>
  <c r="F9" i="1"/>
  <c r="F10" i="1"/>
  <c r="Z22" i="1"/>
  <c r="Z23" i="1" s="1"/>
  <c r="BN22" i="1"/>
  <c r="BP22" i="1"/>
  <c r="Y23" i="1"/>
  <c r="Z26" i="1"/>
  <c r="BN26" i="1"/>
  <c r="Z30" i="1"/>
  <c r="BN30" i="1"/>
  <c r="Z42" i="1"/>
  <c r="BN42" i="1"/>
  <c r="Z53" i="1"/>
  <c r="BN53" i="1"/>
  <c r="Z61" i="1"/>
  <c r="BN61" i="1"/>
  <c r="Z73" i="1"/>
  <c r="BN73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Y136" i="1"/>
  <c r="Z141" i="1"/>
  <c r="BN141" i="1"/>
  <c r="Z145" i="1"/>
  <c r="BN145" i="1"/>
  <c r="Z151" i="1"/>
  <c r="Z152" i="1" s="1"/>
  <c r="BN151" i="1"/>
  <c r="BP151" i="1"/>
  <c r="Y152" i="1"/>
  <c r="Z157" i="1"/>
  <c r="Z158" i="1" s="1"/>
  <c r="BN157" i="1"/>
  <c r="BP157" i="1"/>
  <c r="Z161" i="1"/>
  <c r="BN161" i="1"/>
  <c r="BP161" i="1"/>
  <c r="Z168" i="1"/>
  <c r="BN168" i="1"/>
  <c r="Z174" i="1"/>
  <c r="BN174" i="1"/>
  <c r="BP174" i="1"/>
  <c r="Z180" i="1"/>
  <c r="Z181" i="1" s="1"/>
  <c r="BN180" i="1"/>
  <c r="BP180" i="1"/>
  <c r="Y181" i="1"/>
  <c r="Z185" i="1"/>
  <c r="BN185" i="1"/>
  <c r="BP185" i="1"/>
  <c r="Z195" i="1"/>
  <c r="BN195" i="1"/>
  <c r="BP195" i="1"/>
  <c r="Z199" i="1"/>
  <c r="BN199" i="1"/>
  <c r="Z207" i="1"/>
  <c r="BN207" i="1"/>
  <c r="Z211" i="1"/>
  <c r="BN211" i="1"/>
  <c r="Z219" i="1"/>
  <c r="BN219" i="1"/>
  <c r="Z226" i="1"/>
  <c r="BN226" i="1"/>
  <c r="Z230" i="1"/>
  <c r="BN230" i="1"/>
  <c r="Z246" i="1"/>
  <c r="BN246" i="1"/>
  <c r="Z255" i="1"/>
  <c r="BN255" i="1"/>
  <c r="BP257" i="1"/>
  <c r="BN257" i="1"/>
  <c r="Z257" i="1"/>
  <c r="BP279" i="1"/>
  <c r="BN279" i="1"/>
  <c r="Z279" i="1"/>
  <c r="BP283" i="1"/>
  <c r="BN283" i="1"/>
  <c r="Z283" i="1"/>
  <c r="BP300" i="1"/>
  <c r="BN300" i="1"/>
  <c r="Z300" i="1"/>
  <c r="Y318" i="1"/>
  <c r="BP314" i="1"/>
  <c r="BN314" i="1"/>
  <c r="Z314" i="1"/>
  <c r="Z317" i="1" s="1"/>
  <c r="BP335" i="1"/>
  <c r="BN335" i="1"/>
  <c r="Z335" i="1"/>
  <c r="BP353" i="1"/>
  <c r="BN353" i="1"/>
  <c r="Z353" i="1"/>
  <c r="U49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359" i="1"/>
  <c r="Y399" i="1"/>
  <c r="BP27" i="1"/>
  <c r="BN27" i="1"/>
  <c r="Z27" i="1"/>
  <c r="B499" i="1"/>
  <c r="Y31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Y148" i="1"/>
  <c r="X489" i="1"/>
  <c r="Y32" i="1"/>
  <c r="BP29" i="1"/>
  <c r="BN29" i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F499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Y149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BP373" i="1"/>
  <c r="BN373" i="1"/>
  <c r="Z373" i="1"/>
  <c r="Z374" i="1" s="1"/>
  <c r="Y375" i="1"/>
  <c r="Y381" i="1"/>
  <c r="BP377" i="1"/>
  <c r="BN377" i="1"/>
  <c r="Z377" i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Y453" i="1"/>
  <c r="J499" i="1"/>
  <c r="S499" i="1"/>
  <c r="H9" i="1"/>
  <c r="X490" i="1"/>
  <c r="X491" i="1"/>
  <c r="X493" i="1"/>
  <c r="C499" i="1"/>
  <c r="Y44" i="1"/>
  <c r="D499" i="1"/>
  <c r="Y57" i="1"/>
  <c r="Y103" i="1"/>
  <c r="G499" i="1"/>
  <c r="Y126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BN175" i="1"/>
  <c r="Z186" i="1"/>
  <c r="Z187" i="1" s="1"/>
  <c r="BN186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25" i="1"/>
  <c r="Y330" i="1"/>
  <c r="BP327" i="1"/>
  <c r="BN327" i="1"/>
  <c r="Z327" i="1"/>
  <c r="BP336" i="1"/>
  <c r="BN336" i="1"/>
  <c r="Z336" i="1"/>
  <c r="Y338" i="1"/>
  <c r="Y349" i="1"/>
  <c r="BP342" i="1"/>
  <c r="BN342" i="1"/>
  <c r="Z342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Y374" i="1"/>
  <c r="Y380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Y482" i="1"/>
  <c r="Y499" i="1"/>
  <c r="Z462" i="1" l="1"/>
  <c r="Z369" i="1"/>
  <c r="Z349" i="1"/>
  <c r="Z330" i="1"/>
  <c r="Z311" i="1"/>
  <c r="Z267" i="1"/>
  <c r="Z259" i="1"/>
  <c r="Z177" i="1"/>
  <c r="X492" i="1"/>
  <c r="Z380" i="1"/>
  <c r="Z354" i="1"/>
  <c r="Z142" i="1"/>
  <c r="Z234" i="1"/>
  <c r="Z171" i="1"/>
  <c r="Z324" i="1"/>
  <c r="Y493" i="1"/>
  <c r="Z31" i="1"/>
  <c r="Y491" i="1"/>
  <c r="Z447" i="1"/>
  <c r="Z394" i="1"/>
  <c r="Z203" i="1"/>
  <c r="Y489" i="1"/>
  <c r="Z116" i="1"/>
  <c r="Z103" i="1"/>
  <c r="Z95" i="1"/>
  <c r="Y490" i="1"/>
  <c r="Y492" i="1" s="1"/>
  <c r="Z468" i="1"/>
  <c r="Z250" i="1"/>
  <c r="Z215" i="1"/>
  <c r="Z337" i="1"/>
  <c r="Z304" i="1"/>
  <c r="Z294" i="1"/>
  <c r="Z69" i="1"/>
  <c r="Z432" i="1"/>
  <c r="Z438" i="1"/>
  <c r="Z274" i="1"/>
  <c r="Z494" i="1" l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<sst xmlns="http://schemas.openxmlformats.org/spreadsheetml/2006/main" count="2317" uniqueCount="763">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</sst>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195" sqref="AA1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0.54166666666666663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150</v>
      </c>
      <c r="Y196" s="542">
        <f t="shared" si="10"/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155.27777777777777</v>
      </c>
      <c r="BN196" s="64">
        <f t="shared" si="12"/>
        <v>156.52000000000001</v>
      </c>
      <c r="BO196" s="64">
        <f t="shared" si="13"/>
        <v>0.21043771043771042</v>
      </c>
      <c r="BP196" s="64">
        <f t="shared" si="14"/>
        <v>0.21212121212121213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46.296296296296291</v>
      </c>
      <c r="Y203" s="543">
        <f>IFERROR(Y195/H195,"0")+IFERROR(Y196/H196,"0")+IFERROR(Y197/H197,"0")+IFERROR(Y198/H198,"0")+IFERROR(Y199/H199,"0")+IFERROR(Y200/H200,"0")+IFERROR(Y201/H201,"0")+IFERROR(Y202/H202,"0")</f>
        <v>47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0.42393999999999998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250</v>
      </c>
      <c r="Y204" s="543">
        <f>IFERROR(SUM(Y195:Y202),"0")</f>
        <v>253.8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150</v>
      </c>
      <c r="Y342" s="542">
        <f t="shared" ref="Y342:Y348" si="31">IFERROR(IF(X342="",0,CEILING((X342/$H342),1)*$H342),"")</f>
        <v>150</v>
      </c>
      <c r="Z342" s="36">
        <f>IFERROR(IF(Y342=0,"",ROUNDUP(Y342/H342,0)*0.02175),"")</f>
        <v>0.21749999999999997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154.69999999999999</v>
      </c>
      <c r="BN342" s="64">
        <f t="shared" ref="BN342:BN348" si="33">IFERROR(Y342*I342/H342,"0")</f>
        <v>154.69999999999999</v>
      </c>
      <c r="BO342" s="64">
        <f t="shared" ref="BO342:BO348" si="34">IFERROR(1/J342*(X342/H342),"0")</f>
        <v>0.20833333333333331</v>
      </c>
      <c r="BP342" s="64">
        <f t="shared" ref="BP342:BP348" si="35">IFERROR(1/J342*(Y342/H342),"0")</f>
        <v>0.20833333333333331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300</v>
      </c>
      <c r="Y345" s="542">
        <f t="shared" si="31"/>
        <v>300</v>
      </c>
      <c r="Z345" s="36">
        <f>IFERROR(IF(Y345=0,"",ROUNDUP(Y345/H345,0)*0.02175),"")</f>
        <v>0.43499999999999994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309.39999999999998</v>
      </c>
      <c r="BN345" s="64">
        <f t="shared" si="33"/>
        <v>309.39999999999998</v>
      </c>
      <c r="BO345" s="64">
        <f t="shared" si="34"/>
        <v>0.41666666666666663</v>
      </c>
      <c r="BP345" s="64">
        <f t="shared" si="35"/>
        <v>0.41666666666666663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30</v>
      </c>
      <c r="Y349" s="543">
        <f>IFERROR(Y342/H342,"0")+IFERROR(Y343/H343,"0")+IFERROR(Y344/H344,"0")+IFERROR(Y345/H345,"0")+IFERROR(Y346/H346,"0")+IFERROR(Y347/H347,"0")+IFERROR(Y348/H348,"0")</f>
        <v>30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0.65249999999999986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450</v>
      </c>
      <c r="Y350" s="543">
        <f>IFERROR(SUM(Y342:Y348),"0")</f>
        <v>450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150</v>
      </c>
      <c r="Y352" s="542">
        <f>IFERROR(IF(X352="",0,CEILING((X352/$H352),1)*$H352),"")</f>
        <v>150</v>
      </c>
      <c r="Z352" s="36">
        <f>IFERROR(IF(Y352=0,"",ROUNDUP(Y352/H352,0)*0.02175),"")</f>
        <v>0.21749999999999997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154.69999999999999</v>
      </c>
      <c r="BN352" s="64">
        <f>IFERROR(Y352*I352/H352,"0")</f>
        <v>154.69999999999999</v>
      </c>
      <c r="BO352" s="64">
        <f>IFERROR(1/J352*(X352/H352),"0")</f>
        <v>0.20833333333333331</v>
      </c>
      <c r="BP352" s="64">
        <f>IFERROR(1/J352*(Y352/H352),"0")</f>
        <v>0.20833333333333331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10</v>
      </c>
      <c r="Y354" s="543">
        <f>IFERROR(Y352/H352,"0")+IFERROR(Y353/H353,"0")</f>
        <v>10</v>
      </c>
      <c r="Z354" s="543">
        <f>IFERROR(IF(Z352="",0,Z352),"0")+IFERROR(IF(Z353="",0,Z353),"0")</f>
        <v>0.21749999999999997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150</v>
      </c>
      <c r="Y355" s="543">
        <f>IFERROR(SUM(Y352:Y353),"0")</f>
        <v>150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150</v>
      </c>
      <c r="Y377" s="542">
        <f>IFERROR(IF(X377="",0,CEILING((X377/$H377),1)*$H377),"")</f>
        <v>153</v>
      </c>
      <c r="Z377" s="36">
        <f>IFERROR(IF(Y377=0,"",ROUNDUP(Y377/H377,0)*0.01898),"")</f>
        <v>0.32266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158.23333333333332</v>
      </c>
      <c r="BN377" s="64">
        <f>IFERROR(Y377*I377/H377,"0")</f>
        <v>161.398</v>
      </c>
      <c r="BO377" s="64">
        <f>IFERROR(1/J377*(X377/H377),"0")</f>
        <v>0.26041666666666669</v>
      </c>
      <c r="BP377" s="64">
        <f>IFERROR(1/J377*(Y377/H377),"0")</f>
        <v>0.265625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16.666666666666668</v>
      </c>
      <c r="Y380" s="543">
        <f>IFERROR(Y377/H377,"0")+IFERROR(Y378/H378,"0")+IFERROR(Y379/H379,"0")</f>
        <v>17</v>
      </c>
      <c r="Z380" s="543">
        <f>IFERROR(IF(Z377="",0,Z377),"0")+IFERROR(IF(Z378="",0,Z378),"0")+IFERROR(IF(Z379="",0,Z379),"0")</f>
        <v>0.32266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150</v>
      </c>
      <c r="Y381" s="543">
        <f>IFERROR(SUM(Y377:Y379),"0")</f>
        <v>153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1000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1006.8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1035.8296296296296</v>
      </c>
      <c r="Y490" s="543">
        <f>IFERROR(SUM(BN22:BN486),"0")</f>
        <v>1042.9279999999999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1085.8296296296296</v>
      </c>
      <c r="Y492" s="543">
        <f>GrossWeightTotalR+PalletQtyTotalR*25</f>
        <v>1092.9279999999999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102.96296296296296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104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1.6165999999999998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253.8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600</v>
      </c>
      <c r="T499" s="46">
        <f>IFERROR(Y367*1,"0")+IFERROR(Y368*1,"0")+IFERROR(Y372*1,"0")+IFERROR(Y373*1,"0")+IFERROR(Y377*1,"0")+IFERROR(Y378*1,"0")+IFERROR(Y379*1,"0")</f>
        <v>153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5,83"/>
        <filter val="1 085,83"/>
        <filter val="10,00"/>
        <filter val="100,00"/>
        <filter val="102,96"/>
        <filter val="150,00"/>
        <filter val="16,67"/>
        <filter val="2"/>
        <filter val="250,00"/>
        <filter val="30,00"/>
        <filter val="300,00"/>
        <filter val="450,00"/>
        <filter val="46,3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