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369947C-9B6C-451A-B048-C4D52F32FD3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Y374" i="1" s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O358" i="1"/>
  <c r="BM358" i="1"/>
  <c r="Y358" i="1"/>
  <c r="P358" i="1"/>
  <c r="BO357" i="1"/>
  <c r="BM357" i="1"/>
  <c r="Y357" i="1"/>
  <c r="Z357" i="1" s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Y331" i="1" s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BP283" i="1" s="1"/>
  <c r="P283" i="1"/>
  <c r="X281" i="1"/>
  <c r="X280" i="1"/>
  <c r="BO279" i="1"/>
  <c r="BM279" i="1"/>
  <c r="Y279" i="1"/>
  <c r="BP279" i="1" s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O219" i="1"/>
  <c r="BM219" i="1"/>
  <c r="Y219" i="1"/>
  <c r="Y221" i="1" s="1"/>
  <c r="P219" i="1"/>
  <c r="BP218" i="1"/>
  <c r="BO218" i="1"/>
  <c r="BN218" i="1"/>
  <c r="BM218" i="1"/>
  <c r="Z218" i="1"/>
  <c r="Y218" i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O201" i="1"/>
  <c r="BM201" i="1"/>
  <c r="Y201" i="1"/>
  <c r="BP201" i="1" s="1"/>
  <c r="P201" i="1"/>
  <c r="BO200" i="1"/>
  <c r="BM200" i="1"/>
  <c r="Y200" i="1"/>
  <c r="P200" i="1"/>
  <c r="BO199" i="1"/>
  <c r="BM199" i="1"/>
  <c r="Y199" i="1"/>
  <c r="P199" i="1"/>
  <c r="BO198" i="1"/>
  <c r="BM198" i="1"/>
  <c r="Y198" i="1"/>
  <c r="P198" i="1"/>
  <c r="BO197" i="1"/>
  <c r="BM197" i="1"/>
  <c r="Y197" i="1"/>
  <c r="BP197" i="1" s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Y178" i="1" s="1"/>
  <c r="P174" i="1"/>
  <c r="X172" i="1"/>
  <c r="X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O161" i="1"/>
  <c r="BM161" i="1"/>
  <c r="Y161" i="1"/>
  <c r="BP161" i="1" s="1"/>
  <c r="P161" i="1"/>
  <c r="X159" i="1"/>
  <c r="X158" i="1"/>
  <c r="BO157" i="1"/>
  <c r="BM157" i="1"/>
  <c r="Y157" i="1"/>
  <c r="Y158" i="1" s="1"/>
  <c r="P157" i="1"/>
  <c r="X153" i="1"/>
  <c r="X152" i="1"/>
  <c r="BO151" i="1"/>
  <c r="BM151" i="1"/>
  <c r="Y151" i="1"/>
  <c r="Y153" i="1" s="1"/>
  <c r="P151" i="1"/>
  <c r="X149" i="1"/>
  <c r="X148" i="1"/>
  <c r="BO147" i="1"/>
  <c r="BM147" i="1"/>
  <c r="Y147" i="1"/>
  <c r="BP147" i="1" s="1"/>
  <c r="P147" i="1"/>
  <c r="BO146" i="1"/>
  <c r="BM146" i="1"/>
  <c r="Y146" i="1"/>
  <c r="P146" i="1"/>
  <c r="BO145" i="1"/>
  <c r="BM145" i="1"/>
  <c r="Y145" i="1"/>
  <c r="P145" i="1"/>
  <c r="X143" i="1"/>
  <c r="X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N26" i="1"/>
  <c r="BM26" i="1"/>
  <c r="Z26" i="1"/>
  <c r="Y26" i="1"/>
  <c r="BP26" i="1" s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F9" i="1"/>
  <c r="A9" i="1"/>
  <c r="A10" i="1" s="1"/>
  <c r="D7" i="1"/>
  <c r="Q6" i="1"/>
  <c r="P2" i="1"/>
  <c r="BP42" i="1" l="1"/>
  <c r="BN42" i="1"/>
  <c r="Z42" i="1"/>
  <c r="BP79" i="1"/>
  <c r="BN79" i="1"/>
  <c r="Z79" i="1"/>
  <c r="BP115" i="1"/>
  <c r="BN115" i="1"/>
  <c r="Z115" i="1"/>
  <c r="BP170" i="1"/>
  <c r="BN170" i="1"/>
  <c r="Z170" i="1"/>
  <c r="BP199" i="1"/>
  <c r="BN199" i="1"/>
  <c r="Z199" i="1"/>
  <c r="BP227" i="1"/>
  <c r="BN227" i="1"/>
  <c r="Z227" i="1"/>
  <c r="BP256" i="1"/>
  <c r="BN256" i="1"/>
  <c r="Z256" i="1"/>
  <c r="BP298" i="1"/>
  <c r="BN298" i="1"/>
  <c r="Z298" i="1"/>
  <c r="BP320" i="1"/>
  <c r="BN320" i="1"/>
  <c r="Z320" i="1"/>
  <c r="BP424" i="1"/>
  <c r="BN424" i="1"/>
  <c r="Z424" i="1"/>
  <c r="BP450" i="1"/>
  <c r="BN450" i="1"/>
  <c r="Z450" i="1"/>
  <c r="BP61" i="1"/>
  <c r="BN61" i="1"/>
  <c r="Z61" i="1"/>
  <c r="BP99" i="1"/>
  <c r="BN99" i="1"/>
  <c r="Z99" i="1"/>
  <c r="BP145" i="1"/>
  <c r="BN145" i="1"/>
  <c r="Z145" i="1"/>
  <c r="Y182" i="1"/>
  <c r="Y181" i="1"/>
  <c r="BP180" i="1"/>
  <c r="BN180" i="1"/>
  <c r="Z180" i="1"/>
  <c r="Z181" i="1" s="1"/>
  <c r="BP185" i="1"/>
  <c r="BN185" i="1"/>
  <c r="Z185" i="1"/>
  <c r="BP211" i="1"/>
  <c r="BN211" i="1"/>
  <c r="Z211" i="1"/>
  <c r="Y239" i="1"/>
  <c r="Y238" i="1"/>
  <c r="BP237" i="1"/>
  <c r="BN237" i="1"/>
  <c r="Z237" i="1"/>
  <c r="Z238" i="1" s="1"/>
  <c r="Y243" i="1"/>
  <c r="Y242" i="1"/>
  <c r="BP241" i="1"/>
  <c r="BN241" i="1"/>
  <c r="Z241" i="1"/>
  <c r="Z242" i="1" s="1"/>
  <c r="BP245" i="1"/>
  <c r="BN245" i="1"/>
  <c r="Z245" i="1"/>
  <c r="BP272" i="1"/>
  <c r="BN272" i="1"/>
  <c r="Z272" i="1"/>
  <c r="BP310" i="1"/>
  <c r="BN310" i="1"/>
  <c r="Z310" i="1"/>
  <c r="BP343" i="1"/>
  <c r="BN343" i="1"/>
  <c r="Z343" i="1"/>
  <c r="BP392" i="1"/>
  <c r="BN392" i="1"/>
  <c r="Z392" i="1"/>
  <c r="BP436" i="1"/>
  <c r="BN436" i="1"/>
  <c r="Z436" i="1"/>
  <c r="BP472" i="1"/>
  <c r="BN472" i="1"/>
  <c r="Z472" i="1"/>
  <c r="Y57" i="1"/>
  <c r="Y82" i="1"/>
  <c r="Y177" i="1"/>
  <c r="BP300" i="1"/>
  <c r="BN300" i="1"/>
  <c r="Z300" i="1"/>
  <c r="Y318" i="1"/>
  <c r="BP314" i="1"/>
  <c r="BN314" i="1"/>
  <c r="Z314" i="1"/>
  <c r="Z317" i="1" s="1"/>
  <c r="BP335" i="1"/>
  <c r="BN335" i="1"/>
  <c r="Z335" i="1"/>
  <c r="BP353" i="1"/>
  <c r="BN353" i="1"/>
  <c r="Z353" i="1"/>
  <c r="BP373" i="1"/>
  <c r="BN373" i="1"/>
  <c r="Z373" i="1"/>
  <c r="BP377" i="1"/>
  <c r="BN377" i="1"/>
  <c r="Z377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J9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Z75" i="1"/>
  <c r="BN75" i="1"/>
  <c r="Z86" i="1"/>
  <c r="BN86" i="1"/>
  <c r="Z94" i="1"/>
  <c r="BN94" i="1"/>
  <c r="Z101" i="1"/>
  <c r="BN101" i="1"/>
  <c r="Y104" i="1"/>
  <c r="Z113" i="1"/>
  <c r="BN113" i="1"/>
  <c r="Z119" i="1"/>
  <c r="Z120" i="1" s="1"/>
  <c r="BN119" i="1"/>
  <c r="BP119" i="1"/>
  <c r="Y120" i="1"/>
  <c r="Z124" i="1"/>
  <c r="BN124" i="1"/>
  <c r="Z141" i="1"/>
  <c r="BN141" i="1"/>
  <c r="Y149" i="1"/>
  <c r="Z147" i="1"/>
  <c r="BN147" i="1"/>
  <c r="Y148" i="1"/>
  <c r="Z151" i="1"/>
  <c r="Z152" i="1" s="1"/>
  <c r="BN151" i="1"/>
  <c r="BP151" i="1"/>
  <c r="Y152" i="1"/>
  <c r="Z157" i="1"/>
  <c r="Z158" i="1" s="1"/>
  <c r="BN157" i="1"/>
  <c r="BP157" i="1"/>
  <c r="Z161" i="1"/>
  <c r="BN161" i="1"/>
  <c r="Z168" i="1"/>
  <c r="BN168" i="1"/>
  <c r="Z174" i="1"/>
  <c r="BN174" i="1"/>
  <c r="BP174" i="1"/>
  <c r="Z191" i="1"/>
  <c r="BN191" i="1"/>
  <c r="Y203" i="1"/>
  <c r="Z197" i="1"/>
  <c r="BN197" i="1"/>
  <c r="Z201" i="1"/>
  <c r="BN201" i="1"/>
  <c r="Z209" i="1"/>
  <c r="BN209" i="1"/>
  <c r="Z214" i="1"/>
  <c r="BN214" i="1"/>
  <c r="Z225" i="1"/>
  <c r="BN225" i="1"/>
  <c r="Z229" i="1"/>
  <c r="BN229" i="1"/>
  <c r="Z233" i="1"/>
  <c r="BN233" i="1"/>
  <c r="Y251" i="1"/>
  <c r="Z247" i="1"/>
  <c r="BN247" i="1"/>
  <c r="Z254" i="1"/>
  <c r="BN254" i="1"/>
  <c r="BP254" i="1"/>
  <c r="Z258" i="1"/>
  <c r="BN258" i="1"/>
  <c r="Z265" i="1"/>
  <c r="BN265" i="1"/>
  <c r="Z279" i="1"/>
  <c r="BN279" i="1"/>
  <c r="Z283" i="1"/>
  <c r="BN283" i="1"/>
  <c r="BP292" i="1"/>
  <c r="BN292" i="1"/>
  <c r="Z292" i="1"/>
  <c r="BP308" i="1"/>
  <c r="BN308" i="1"/>
  <c r="Z308" i="1"/>
  <c r="Y317" i="1"/>
  <c r="BP322" i="1"/>
  <c r="BN322" i="1"/>
  <c r="Z322" i="1"/>
  <c r="BP345" i="1"/>
  <c r="BN345" i="1"/>
  <c r="Z345" i="1"/>
  <c r="Z359" i="1"/>
  <c r="BP358" i="1"/>
  <c r="BN358" i="1"/>
  <c r="Z35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454" i="1"/>
  <c r="Y453" i="1"/>
  <c r="Y77" i="1"/>
  <c r="BP72" i="1"/>
  <c r="BN72" i="1"/>
  <c r="Z72" i="1"/>
  <c r="Y76" i="1"/>
  <c r="BP114" i="1"/>
  <c r="BN114" i="1"/>
  <c r="Z114" i="1"/>
  <c r="BP135" i="1"/>
  <c r="BN135" i="1"/>
  <c r="Z135" i="1"/>
  <c r="Z136" i="1" s="1"/>
  <c r="H499" i="1"/>
  <c r="Y143" i="1"/>
  <c r="BP140" i="1"/>
  <c r="BN140" i="1"/>
  <c r="Z140" i="1"/>
  <c r="BP162" i="1"/>
  <c r="BN162" i="1"/>
  <c r="Z162" i="1"/>
  <c r="BP165" i="1"/>
  <c r="BN165" i="1"/>
  <c r="Z165" i="1"/>
  <c r="Y193" i="1"/>
  <c r="BP190" i="1"/>
  <c r="BN190" i="1"/>
  <c r="Z190" i="1"/>
  <c r="BP202" i="1"/>
  <c r="BN202" i="1"/>
  <c r="Z202" i="1"/>
  <c r="Y216" i="1"/>
  <c r="BP206" i="1"/>
  <c r="BN206" i="1"/>
  <c r="Z206" i="1"/>
  <c r="BP210" i="1"/>
  <c r="BN210" i="1"/>
  <c r="Z210" i="1"/>
  <c r="Y215" i="1"/>
  <c r="BP228" i="1"/>
  <c r="BN228" i="1"/>
  <c r="Z228" i="1"/>
  <c r="BP257" i="1"/>
  <c r="BN257" i="1"/>
  <c r="Z257" i="1"/>
  <c r="BP321" i="1"/>
  <c r="BN321" i="1"/>
  <c r="Z321" i="1"/>
  <c r="Y325" i="1"/>
  <c r="Y355" i="1"/>
  <c r="BP352" i="1"/>
  <c r="BN352" i="1"/>
  <c r="Z352" i="1"/>
  <c r="Z354" i="1" s="1"/>
  <c r="Y354" i="1"/>
  <c r="Y31" i="1"/>
  <c r="Y43" i="1"/>
  <c r="Y58" i="1"/>
  <c r="Y64" i="1"/>
  <c r="Y70" i="1"/>
  <c r="BP80" i="1"/>
  <c r="BN80" i="1"/>
  <c r="Z80" i="1"/>
  <c r="E499" i="1"/>
  <c r="Y88" i="1"/>
  <c r="BP85" i="1"/>
  <c r="BN85" i="1"/>
  <c r="Z85" i="1"/>
  <c r="BP93" i="1"/>
  <c r="BN93" i="1"/>
  <c r="Z93" i="1"/>
  <c r="BP102" i="1"/>
  <c r="BN102" i="1"/>
  <c r="Z102" i="1"/>
  <c r="Y109" i="1"/>
  <c r="BP106" i="1"/>
  <c r="BN106" i="1"/>
  <c r="Z106" i="1"/>
  <c r="Y137" i="1"/>
  <c r="BP169" i="1"/>
  <c r="BN169" i="1"/>
  <c r="Z169" i="1"/>
  <c r="BP186" i="1"/>
  <c r="BN186" i="1"/>
  <c r="Z186" i="1"/>
  <c r="Y188" i="1"/>
  <c r="BP198" i="1"/>
  <c r="BN198" i="1"/>
  <c r="Z198" i="1"/>
  <c r="Y204" i="1"/>
  <c r="BP219" i="1"/>
  <c r="BN219" i="1"/>
  <c r="Z219" i="1"/>
  <c r="Z220" i="1" s="1"/>
  <c r="K499" i="1"/>
  <c r="Y235" i="1"/>
  <c r="BP224" i="1"/>
  <c r="BN224" i="1"/>
  <c r="Z224" i="1"/>
  <c r="Y234" i="1"/>
  <c r="BP232" i="1"/>
  <c r="BN232" i="1"/>
  <c r="Z232" i="1"/>
  <c r="BP329" i="1"/>
  <c r="BN329" i="1"/>
  <c r="Z329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Z63" i="1" s="1"/>
  <c r="BN60" i="1"/>
  <c r="BP60" i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Y136" i="1"/>
  <c r="Y142" i="1"/>
  <c r="BP146" i="1"/>
  <c r="BN146" i="1"/>
  <c r="Z146" i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Y250" i="1"/>
  <c r="BP255" i="1"/>
  <c r="BN255" i="1"/>
  <c r="Z255" i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62" i="1" l="1"/>
  <c r="Z411" i="1"/>
  <c r="Z311" i="1"/>
  <c r="Z259" i="1"/>
  <c r="Z250" i="1"/>
  <c r="Z148" i="1"/>
  <c r="Z187" i="1"/>
  <c r="Z81" i="1"/>
  <c r="Y491" i="1"/>
  <c r="Z57" i="1"/>
  <c r="Z31" i="1"/>
  <c r="Z324" i="1"/>
  <c r="Z380" i="1"/>
  <c r="Z171" i="1"/>
  <c r="Z126" i="1"/>
  <c r="Z116" i="1"/>
  <c r="Z103" i="1"/>
  <c r="Y490" i="1"/>
  <c r="Y492" i="1" s="1"/>
  <c r="Y493" i="1"/>
  <c r="Z192" i="1"/>
  <c r="Z142" i="1"/>
  <c r="Z438" i="1"/>
  <c r="Z447" i="1"/>
  <c r="Z432" i="1"/>
  <c r="Z349" i="1"/>
  <c r="X492" i="1"/>
  <c r="Z337" i="1"/>
  <c r="Z234" i="1"/>
  <c r="Z76" i="1"/>
  <c r="Z394" i="1"/>
  <c r="Z304" i="1"/>
  <c r="Z294" i="1"/>
  <c r="Z274" i="1"/>
  <c r="Z69" i="1"/>
  <c r="Y489" i="1"/>
  <c r="Z109" i="1"/>
  <c r="Z88" i="1"/>
  <c r="Z215" i="1"/>
  <c r="Z494" i="1" l="1"/>
</calcChain>
</file>

<file path=xl/sharedStrings.xml><?xml version="1.0" encoding="utf-8"?>
<sst xmlns="http://schemas.openxmlformats.org/spreadsheetml/2006/main" count="2277" uniqueCount="763">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</sst>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topLeftCell="A318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7" t="s">
        <v>0</v>
      </c>
      <c r="E1" s="575"/>
      <c r="F1" s="575"/>
      <c r="G1" s="12" t="s">
        <v>1</v>
      </c>
      <c r="H1" s="617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2" t="s">
        <v>8</v>
      </c>
      <c r="B5" s="626"/>
      <c r="C5" s="627"/>
      <c r="D5" s="618"/>
      <c r="E5" s="619"/>
      <c r="F5" s="834" t="s">
        <v>9</v>
      </c>
      <c r="G5" s="627"/>
      <c r="H5" s="618" t="s">
        <v>762</v>
      </c>
      <c r="I5" s="779"/>
      <c r="J5" s="779"/>
      <c r="K5" s="779"/>
      <c r="L5" s="779"/>
      <c r="M5" s="619"/>
      <c r="N5" s="58"/>
      <c r="P5" s="24" t="s">
        <v>10</v>
      </c>
      <c r="Q5" s="841">
        <v>45992</v>
      </c>
      <c r="R5" s="655"/>
      <c r="T5" s="705" t="s">
        <v>11</v>
      </c>
      <c r="U5" s="706"/>
      <c r="V5" s="707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2" t="s">
        <v>13</v>
      </c>
      <c r="B6" s="626"/>
      <c r="C6" s="627"/>
      <c r="D6" s="781" t="s">
        <v>14</v>
      </c>
      <c r="E6" s="782"/>
      <c r="F6" s="782"/>
      <c r="G6" s="782"/>
      <c r="H6" s="782"/>
      <c r="I6" s="782"/>
      <c r="J6" s="782"/>
      <c r="K6" s="782"/>
      <c r="L6" s="782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6"/>
      <c r="T6" s="709" t="s">
        <v>16</v>
      </c>
      <c r="U6" s="706"/>
      <c r="V6" s="726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1" t="str">
        <f>IFERROR(VLOOKUP(DeliveryAddress,Table,3,0),1)</f>
        <v>1</v>
      </c>
      <c r="E7" s="602"/>
      <c r="F7" s="602"/>
      <c r="G7" s="602"/>
      <c r="H7" s="602"/>
      <c r="I7" s="602"/>
      <c r="J7" s="602"/>
      <c r="K7" s="602"/>
      <c r="L7" s="602"/>
      <c r="M7" s="603"/>
      <c r="N7" s="60"/>
      <c r="P7" s="24"/>
      <c r="Q7" s="42"/>
      <c r="R7" s="42"/>
      <c r="T7" s="554"/>
      <c r="U7" s="706"/>
      <c r="V7" s="727"/>
      <c r="W7" s="728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58"/>
      <c r="C8" s="559"/>
      <c r="D8" s="611" t="s">
        <v>19</v>
      </c>
      <c r="E8" s="612"/>
      <c r="F8" s="612"/>
      <c r="G8" s="612"/>
      <c r="H8" s="612"/>
      <c r="I8" s="612"/>
      <c r="J8" s="612"/>
      <c r="K8" s="612"/>
      <c r="L8" s="612"/>
      <c r="M8" s="613"/>
      <c r="N8" s="61"/>
      <c r="P8" s="24" t="s">
        <v>20</v>
      </c>
      <c r="Q8" s="670">
        <v>0.58333333333333337</v>
      </c>
      <c r="R8" s="603"/>
      <c r="T8" s="554"/>
      <c r="U8" s="706"/>
      <c r="V8" s="727"/>
      <c r="W8" s="728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0"/>
      <c r="E9" s="56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33"/>
      <c r="P9" s="26" t="s">
        <v>21</v>
      </c>
      <c r="Q9" s="652"/>
      <c r="R9" s="653"/>
      <c r="T9" s="554"/>
      <c r="U9" s="706"/>
      <c r="V9" s="729"/>
      <c r="W9" s="730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0"/>
      <c r="E10" s="56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7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10"/>
      <c r="R10" s="711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33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87" t="s">
        <v>29</v>
      </c>
      <c r="B12" s="626"/>
      <c r="C12" s="626"/>
      <c r="D12" s="626"/>
      <c r="E12" s="626"/>
      <c r="F12" s="626"/>
      <c r="G12" s="626"/>
      <c r="H12" s="626"/>
      <c r="I12" s="626"/>
      <c r="J12" s="626"/>
      <c r="K12" s="626"/>
      <c r="L12" s="626"/>
      <c r="M12" s="627"/>
      <c r="N12" s="62"/>
      <c r="P12" s="24" t="s">
        <v>30</v>
      </c>
      <c r="Q12" s="670"/>
      <c r="R12" s="603"/>
      <c r="S12" s="23"/>
      <c r="U12" s="24"/>
      <c r="V12" s="575"/>
      <c r="W12" s="554"/>
      <c r="AB12" s="51"/>
      <c r="AC12" s="51"/>
      <c r="AD12" s="51"/>
      <c r="AE12" s="51"/>
    </row>
    <row r="13" spans="1:32" s="535" customFormat="1" ht="23.25" customHeight="1" x14ac:dyDescent="0.2">
      <c r="A13" s="687" t="s">
        <v>31</v>
      </c>
      <c r="B13" s="626"/>
      <c r="C13" s="626"/>
      <c r="D13" s="626"/>
      <c r="E13" s="626"/>
      <c r="F13" s="626"/>
      <c r="G13" s="626"/>
      <c r="H13" s="626"/>
      <c r="I13" s="626"/>
      <c r="J13" s="626"/>
      <c r="K13" s="626"/>
      <c r="L13" s="626"/>
      <c r="M13" s="627"/>
      <c r="N13" s="62"/>
      <c r="O13" s="26"/>
      <c r="P13" s="26" t="s">
        <v>32</v>
      </c>
      <c r="Q13" s="733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87" t="s">
        <v>33</v>
      </c>
      <c r="B14" s="626"/>
      <c r="C14" s="626"/>
      <c r="D14" s="626"/>
      <c r="E14" s="626"/>
      <c r="F14" s="626"/>
      <c r="G14" s="626"/>
      <c r="H14" s="626"/>
      <c r="I14" s="626"/>
      <c r="J14" s="626"/>
      <c r="K14" s="626"/>
      <c r="L14" s="626"/>
      <c r="M14" s="62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13" t="s">
        <v>34</v>
      </c>
      <c r="B15" s="626"/>
      <c r="C15" s="626"/>
      <c r="D15" s="626"/>
      <c r="E15" s="626"/>
      <c r="F15" s="626"/>
      <c r="G15" s="626"/>
      <c r="H15" s="626"/>
      <c r="I15" s="626"/>
      <c r="J15" s="626"/>
      <c r="K15" s="626"/>
      <c r="L15" s="626"/>
      <c r="M15" s="627"/>
      <c r="N15" s="63"/>
      <c r="P15" s="719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0"/>
      <c r="Q16" s="720"/>
      <c r="R16" s="720"/>
      <c r="S16" s="720"/>
      <c r="T16" s="72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2" t="s">
        <v>36</v>
      </c>
      <c r="B17" s="582" t="s">
        <v>37</v>
      </c>
      <c r="C17" s="677" t="s">
        <v>38</v>
      </c>
      <c r="D17" s="582" t="s">
        <v>39</v>
      </c>
      <c r="E17" s="637"/>
      <c r="F17" s="582" t="s">
        <v>40</v>
      </c>
      <c r="G17" s="582" t="s">
        <v>41</v>
      </c>
      <c r="H17" s="582" t="s">
        <v>42</v>
      </c>
      <c r="I17" s="582" t="s">
        <v>43</v>
      </c>
      <c r="J17" s="582" t="s">
        <v>44</v>
      </c>
      <c r="K17" s="582" t="s">
        <v>45</v>
      </c>
      <c r="L17" s="582" t="s">
        <v>46</v>
      </c>
      <c r="M17" s="582" t="s">
        <v>47</v>
      </c>
      <c r="N17" s="582" t="s">
        <v>48</v>
      </c>
      <c r="O17" s="582" t="s">
        <v>49</v>
      </c>
      <c r="P17" s="582" t="s">
        <v>50</v>
      </c>
      <c r="Q17" s="636"/>
      <c r="R17" s="636"/>
      <c r="S17" s="636"/>
      <c r="T17" s="637"/>
      <c r="U17" s="715" t="s">
        <v>51</v>
      </c>
      <c r="V17" s="627"/>
      <c r="W17" s="582" t="s">
        <v>52</v>
      </c>
      <c r="X17" s="582" t="s">
        <v>53</v>
      </c>
      <c r="Y17" s="716" t="s">
        <v>54</v>
      </c>
      <c r="Z17" s="731" t="s">
        <v>55</v>
      </c>
      <c r="AA17" s="755" t="s">
        <v>56</v>
      </c>
      <c r="AB17" s="755" t="s">
        <v>57</v>
      </c>
      <c r="AC17" s="755" t="s">
        <v>58</v>
      </c>
      <c r="AD17" s="755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638"/>
      <c r="E18" s="640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638"/>
      <c r="Q18" s="639"/>
      <c r="R18" s="639"/>
      <c r="S18" s="639"/>
      <c r="T18" s="640"/>
      <c r="U18" s="67" t="s">
        <v>61</v>
      </c>
      <c r="V18" s="67" t="s">
        <v>62</v>
      </c>
      <c r="W18" s="583"/>
      <c r="X18" s="583"/>
      <c r="Y18" s="717"/>
      <c r="Z18" s="732"/>
      <c r="AA18" s="756"/>
      <c r="AB18" s="756"/>
      <c r="AC18" s="756"/>
      <c r="AD18" s="831"/>
      <c r="AE18" s="832"/>
      <c r="AF18" s="833"/>
      <c r="AG18" s="66"/>
      <c r="BD18" s="65"/>
    </row>
    <row r="19" spans="1:68" ht="27.75" hidden="1" customHeight="1" x14ac:dyDescent="0.2">
      <c r="A19" s="631" t="s">
        <v>63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632"/>
      <c r="P19" s="632"/>
      <c r="Q19" s="632"/>
      <c r="R19" s="632"/>
      <c r="S19" s="632"/>
      <c r="T19" s="632"/>
      <c r="U19" s="632"/>
      <c r="V19" s="632"/>
      <c r="W19" s="632"/>
      <c r="X19" s="632"/>
      <c r="Y19" s="632"/>
      <c r="Z19" s="632"/>
      <c r="AA19" s="48"/>
      <c r="AB19" s="48"/>
      <c r="AC19" s="48"/>
    </row>
    <row r="20" spans="1:68" ht="16.5" hidden="1" customHeight="1" x14ac:dyDescent="0.25">
      <c r="A20" s="560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61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61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69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61" t="s">
        <v>91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4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1" t="s">
        <v>97</v>
      </c>
      <c r="B37" s="632"/>
      <c r="C37" s="632"/>
      <c r="D37" s="632"/>
      <c r="E37" s="632"/>
      <c r="F37" s="632"/>
      <c r="G37" s="632"/>
      <c r="H37" s="632"/>
      <c r="I37" s="632"/>
      <c r="J37" s="632"/>
      <c r="K37" s="632"/>
      <c r="L37" s="632"/>
      <c r="M37" s="632"/>
      <c r="N37" s="632"/>
      <c r="O37" s="632"/>
      <c r="P37" s="632"/>
      <c r="Q37" s="632"/>
      <c r="R37" s="632"/>
      <c r="S37" s="632"/>
      <c r="T37" s="632"/>
      <c r="U37" s="632"/>
      <c r="V37" s="632"/>
      <c r="W37" s="632"/>
      <c r="X37" s="632"/>
      <c r="Y37" s="632"/>
      <c r="Z37" s="632"/>
      <c r="AA37" s="48"/>
      <c r="AB37" s="48"/>
      <c r="AC37" s="48"/>
    </row>
    <row r="38" spans="1:68" ht="16.5" hidden="1" customHeight="1" x14ac:dyDescent="0.25">
      <c r="A38" s="560" t="s">
        <v>98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61" t="s">
        <v>99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61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4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0" t="s">
        <v>116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61" t="s">
        <v>99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69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5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hidden="1" customHeight="1" x14ac:dyDescent="0.25">
      <c r="A59" s="561" t="s">
        <v>135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8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61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5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61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8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61" t="s">
        <v>163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78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7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0" t="s">
        <v>170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61" t="s">
        <v>99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500</v>
      </c>
      <c r="Y85" s="542">
        <f>IFERROR(IF(X85="",0,CEILING((X85/$H85),1)*$H85),"")</f>
        <v>507.6</v>
      </c>
      <c r="Z85" s="36">
        <f>IFERROR(IF(Y85=0,"",ROUNDUP(Y85/H85,0)*0.01898),"")</f>
        <v>0.89205999999999996</v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518.98148148148141</v>
      </c>
      <c r="BN85" s="64">
        <f>IFERROR(Y85*I85/H85,"0")</f>
        <v>526.87</v>
      </c>
      <c r="BO85" s="64">
        <f>IFERROR(1/J85*(X85/H85),"0")</f>
        <v>0.72337962962962954</v>
      </c>
      <c r="BP85" s="64">
        <f>IFERROR(1/J85*(Y85/H85),"0")</f>
        <v>0.734375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0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3">
        <f>IFERROR(X85/H85,"0")+IFERROR(X86/H86,"0")+IFERROR(X87/H87,"0")</f>
        <v>46.296296296296291</v>
      </c>
      <c r="Y88" s="543">
        <f>IFERROR(Y85/H85,"0")+IFERROR(Y86/H86,"0")+IFERROR(Y87/H87,"0")</f>
        <v>47</v>
      </c>
      <c r="Z88" s="543">
        <f>IFERROR(IF(Z85="",0,Z85),"0")+IFERROR(IF(Z86="",0,Z86),"0")+IFERROR(IF(Z87="",0,Z87),"0")</f>
        <v>0.89205999999999996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3">
        <f>IFERROR(SUM(X85:X87),"0")</f>
        <v>500</v>
      </c>
      <c r="Y89" s="543">
        <f>IFERROR(SUM(Y85:Y87),"0")</f>
        <v>507.6</v>
      </c>
      <c r="Z89" s="37"/>
      <c r="AA89" s="544"/>
      <c r="AB89" s="544"/>
      <c r="AC89" s="544"/>
    </row>
    <row r="90" spans="1:68" ht="14.25" hidden="1" customHeight="1" x14ac:dyDescent="0.25">
      <c r="A90" s="561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27" hidden="1" customHeight="1" x14ac:dyDescent="0.25">
      <c r="A91" s="54" t="s">
        <v>178</v>
      </c>
      <c r="B91" s="54" t="s">
        <v>179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5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225</v>
      </c>
      <c r="Y93" s="542">
        <f>IFERROR(IF(X93="",0,CEILING((X93/$H93),1)*$H93),"")</f>
        <v>226.8</v>
      </c>
      <c r="Z93" s="36">
        <f>IFERROR(IF(Y93=0,"",ROUNDUP(Y93/H93,0)*0.00651),"")</f>
        <v>0.54683999999999999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246</v>
      </c>
      <c r="BN93" s="64">
        <f>IFERROR(Y93*I93/H93,"0")</f>
        <v>247.96799999999999</v>
      </c>
      <c r="BO93" s="64">
        <f>IFERROR(1/J93*(X93/H93),"0")</f>
        <v>0.45787545787545786</v>
      </c>
      <c r="BP93" s="64">
        <f>IFERROR(1/J93*(Y93/H93),"0")</f>
        <v>0.46153846153846156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3">
        <f>IFERROR(X91/H91,"0")+IFERROR(X92/H92,"0")+IFERROR(X93/H93,"0")+IFERROR(X94/H94,"0")</f>
        <v>83.333333333333329</v>
      </c>
      <c r="Y95" s="543">
        <f>IFERROR(Y91/H91,"0")+IFERROR(Y92/H92,"0")+IFERROR(Y93/H93,"0")+IFERROR(Y94/H94,"0")</f>
        <v>84</v>
      </c>
      <c r="Z95" s="543">
        <f>IFERROR(IF(Z91="",0,Z91),"0")+IFERROR(IF(Z92="",0,Z92),"0")+IFERROR(IF(Z93="",0,Z93),"0")+IFERROR(IF(Z94="",0,Z94),"0")</f>
        <v>0.54683999999999999</v>
      </c>
      <c r="AA95" s="544"/>
      <c r="AB95" s="544"/>
      <c r="AC95" s="544"/>
    </row>
    <row r="96" spans="1:68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3">
        <f>IFERROR(SUM(X91:X94),"0")</f>
        <v>225</v>
      </c>
      <c r="Y96" s="543">
        <f>IFERROR(SUM(Y91:Y94),"0")</f>
        <v>226.8</v>
      </c>
      <c r="Z96" s="37"/>
      <c r="AA96" s="544"/>
      <c r="AB96" s="544"/>
      <c r="AC96" s="544"/>
    </row>
    <row r="97" spans="1:68" ht="16.5" hidden="1" customHeight="1" x14ac:dyDescent="0.25">
      <c r="A97" s="560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61" t="s">
        <v>99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300</v>
      </c>
      <c r="Y99" s="542">
        <f>IFERROR(IF(X99="",0,CEILING((X99/$H99),1)*$H99),"")</f>
        <v>302.40000000000003</v>
      </c>
      <c r="Z99" s="36">
        <f>IFERROR(IF(Y99=0,"",ROUNDUP(Y99/H99,0)*0.01898),"")</f>
        <v>0.53144000000000002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311.38888888888891</v>
      </c>
      <c r="BN99" s="64">
        <f>IFERROR(Y99*I99/H99,"0")</f>
        <v>313.88</v>
      </c>
      <c r="BO99" s="64">
        <f>IFERROR(1/J99*(X99/H99),"0")</f>
        <v>0.43402777777777773</v>
      </c>
      <c r="BP99" s="64">
        <f>IFERROR(1/J99*(Y99/H99),"0")</f>
        <v>0.4375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9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3">
        <f>IFERROR(X99/H99,"0")+IFERROR(X100/H100,"0")+IFERROR(X101/H101,"0")+IFERROR(X102/H102,"0")</f>
        <v>27.777777777777775</v>
      </c>
      <c r="Y103" s="543">
        <f>IFERROR(Y99/H99,"0")+IFERROR(Y100/H100,"0")+IFERROR(Y101/H101,"0")+IFERROR(Y102/H102,"0")</f>
        <v>28</v>
      </c>
      <c r="Z103" s="543">
        <f>IFERROR(IF(Z99="",0,Z99),"0")+IFERROR(IF(Z100="",0,Z100),"0")+IFERROR(IF(Z101="",0,Z101),"0")+IFERROR(IF(Z102="",0,Z102),"0")</f>
        <v>0.53144000000000002</v>
      </c>
      <c r="AA103" s="544"/>
      <c r="AB103" s="544"/>
      <c r="AC103" s="544"/>
    </row>
    <row r="104" spans="1:68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3">
        <f>IFERROR(SUM(X99:X102),"0")</f>
        <v>300</v>
      </c>
      <c r="Y104" s="543">
        <f>IFERROR(SUM(Y99:Y102),"0")</f>
        <v>302.40000000000003</v>
      </c>
      <c r="Z104" s="37"/>
      <c r="AA104" s="544"/>
      <c r="AB104" s="544"/>
      <c r="AC104" s="544"/>
    </row>
    <row r="105" spans="1:68" ht="14.25" hidden="1" customHeight="1" x14ac:dyDescent="0.25">
      <c r="A105" s="561" t="s">
        <v>135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6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61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225</v>
      </c>
      <c r="Y114" s="542">
        <f>IFERROR(IF(X114="",0,CEILING((X114/$H114),1)*$H114),"")</f>
        <v>226.8</v>
      </c>
      <c r="Z114" s="36">
        <f>IFERROR(IF(Y114=0,"",ROUNDUP(Y114/H114,0)*0.00651),"")</f>
        <v>0.54683999999999999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246</v>
      </c>
      <c r="BN114" s="64">
        <f>IFERROR(Y114*I114/H114,"0")</f>
        <v>247.96799999999999</v>
      </c>
      <c r="BO114" s="64">
        <f>IFERROR(1/J114*(X114/H114),"0")</f>
        <v>0.45787545787545786</v>
      </c>
      <c r="BP114" s="64">
        <f>IFERROR(1/J114*(Y114/H114),"0")</f>
        <v>0.46153846153846156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3">
        <f>IFERROR(X112/H112,"0")+IFERROR(X113/H113,"0")+IFERROR(X114/H114,"0")+IFERROR(X115/H115,"0")</f>
        <v>83.333333333333329</v>
      </c>
      <c r="Y116" s="543">
        <f>IFERROR(Y112/H112,"0")+IFERROR(Y113/H113,"0")+IFERROR(Y114/H114,"0")+IFERROR(Y115/H115,"0")</f>
        <v>84</v>
      </c>
      <c r="Z116" s="543">
        <f>IFERROR(IF(Z112="",0,Z112),"0")+IFERROR(IF(Z113="",0,Z113),"0")+IFERROR(IF(Z114="",0,Z114),"0")+IFERROR(IF(Z115="",0,Z115),"0")</f>
        <v>0.54683999999999999</v>
      </c>
      <c r="AA116" s="544"/>
      <c r="AB116" s="544"/>
      <c r="AC116" s="544"/>
    </row>
    <row r="117" spans="1:68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3">
        <f>IFERROR(SUM(X112:X115),"0")</f>
        <v>225</v>
      </c>
      <c r="Y117" s="543">
        <f>IFERROR(SUM(Y112:Y115),"0")</f>
        <v>226.8</v>
      </c>
      <c r="Z117" s="37"/>
      <c r="AA117" s="544"/>
      <c r="AB117" s="544"/>
      <c r="AC117" s="544"/>
    </row>
    <row r="118" spans="1:68" ht="14.25" hidden="1" customHeight="1" x14ac:dyDescent="0.25">
      <c r="A118" s="561" t="s">
        <v>163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0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61" t="s">
        <v>99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61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61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0" t="s">
        <v>97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61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3"/>
      <c r="B142" s="554"/>
      <c r="C142" s="554"/>
      <c r="D142" s="554"/>
      <c r="E142" s="554"/>
      <c r="F142" s="554"/>
      <c r="G142" s="554"/>
      <c r="H142" s="554"/>
      <c r="I142" s="554"/>
      <c r="J142" s="554"/>
      <c r="K142" s="554"/>
      <c r="L142" s="554"/>
      <c r="M142" s="554"/>
      <c r="N142" s="554"/>
      <c r="O142" s="555"/>
      <c r="P142" s="557" t="s">
        <v>71</v>
      </c>
      <c r="Q142" s="558"/>
      <c r="R142" s="558"/>
      <c r="S142" s="558"/>
      <c r="T142" s="558"/>
      <c r="U142" s="558"/>
      <c r="V142" s="559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54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7" t="s">
        <v>71</v>
      </c>
      <c r="Q143" s="558"/>
      <c r="R143" s="558"/>
      <c r="S143" s="558"/>
      <c r="T143" s="558"/>
      <c r="U143" s="558"/>
      <c r="V143" s="559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61" t="s">
        <v>64</v>
      </c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4"/>
      <c r="P144" s="554"/>
      <c r="Q144" s="554"/>
      <c r="R144" s="554"/>
      <c r="S144" s="554"/>
      <c r="T144" s="554"/>
      <c r="U144" s="554"/>
      <c r="V144" s="554"/>
      <c r="W144" s="554"/>
      <c r="X144" s="554"/>
      <c r="Y144" s="554"/>
      <c r="Z144" s="554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45">
        <v>4607091387667</v>
      </c>
      <c r="E145" s="546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45">
        <v>4607091387636</v>
      </c>
      <c r="E146" s="546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45">
        <v>4607091382426</v>
      </c>
      <c r="E147" s="546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3"/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5"/>
      <c r="P148" s="557" t="s">
        <v>71</v>
      </c>
      <c r="Q148" s="558"/>
      <c r="R148" s="558"/>
      <c r="S148" s="558"/>
      <c r="T148" s="558"/>
      <c r="U148" s="558"/>
      <c r="V148" s="559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54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7" t="s">
        <v>71</v>
      </c>
      <c r="Q149" s="558"/>
      <c r="R149" s="558"/>
      <c r="S149" s="558"/>
      <c r="T149" s="558"/>
      <c r="U149" s="558"/>
      <c r="V149" s="559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61" t="s">
        <v>73</v>
      </c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4"/>
      <c r="P150" s="554"/>
      <c r="Q150" s="554"/>
      <c r="R150" s="554"/>
      <c r="S150" s="554"/>
      <c r="T150" s="554"/>
      <c r="U150" s="554"/>
      <c r="V150" s="554"/>
      <c r="W150" s="554"/>
      <c r="X150" s="554"/>
      <c r="Y150" s="554"/>
      <c r="Z150" s="554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45">
        <v>4680115887459</v>
      </c>
      <c r="E151" s="546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3"/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5"/>
      <c r="P152" s="557" t="s">
        <v>71</v>
      </c>
      <c r="Q152" s="558"/>
      <c r="R152" s="558"/>
      <c r="S152" s="558"/>
      <c r="T152" s="558"/>
      <c r="U152" s="558"/>
      <c r="V152" s="559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54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7" t="s">
        <v>71</v>
      </c>
      <c r="Q153" s="558"/>
      <c r="R153" s="558"/>
      <c r="S153" s="558"/>
      <c r="T153" s="558"/>
      <c r="U153" s="558"/>
      <c r="V153" s="559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31" t="s">
        <v>250</v>
      </c>
      <c r="B154" s="632"/>
      <c r="C154" s="632"/>
      <c r="D154" s="632"/>
      <c r="E154" s="632"/>
      <c r="F154" s="632"/>
      <c r="G154" s="632"/>
      <c r="H154" s="632"/>
      <c r="I154" s="632"/>
      <c r="J154" s="632"/>
      <c r="K154" s="632"/>
      <c r="L154" s="632"/>
      <c r="M154" s="632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48"/>
      <c r="AB154" s="48"/>
      <c r="AC154" s="48"/>
    </row>
    <row r="155" spans="1:68" ht="16.5" hidden="1" customHeight="1" x14ac:dyDescent="0.25">
      <c r="A155" s="560" t="s">
        <v>251</v>
      </c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4"/>
      <c r="P155" s="554"/>
      <c r="Q155" s="554"/>
      <c r="R155" s="554"/>
      <c r="S155" s="554"/>
      <c r="T155" s="554"/>
      <c r="U155" s="554"/>
      <c r="V155" s="554"/>
      <c r="W155" s="554"/>
      <c r="X155" s="554"/>
      <c r="Y155" s="554"/>
      <c r="Z155" s="554"/>
      <c r="AA155" s="536"/>
      <c r="AB155" s="536"/>
      <c r="AC155" s="536"/>
    </row>
    <row r="156" spans="1:68" ht="14.25" hidden="1" customHeight="1" x14ac:dyDescent="0.25">
      <c r="A156" s="561" t="s">
        <v>135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45">
        <v>4680115886223</v>
      </c>
      <c r="E157" s="546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3"/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5"/>
      <c r="P158" s="557" t="s">
        <v>71</v>
      </c>
      <c r="Q158" s="558"/>
      <c r="R158" s="558"/>
      <c r="S158" s="558"/>
      <c r="T158" s="558"/>
      <c r="U158" s="558"/>
      <c r="V158" s="559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54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7" t="s">
        <v>71</v>
      </c>
      <c r="Q159" s="558"/>
      <c r="R159" s="558"/>
      <c r="S159" s="558"/>
      <c r="T159" s="558"/>
      <c r="U159" s="558"/>
      <c r="V159" s="559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61" t="s">
        <v>64</v>
      </c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4"/>
      <c r="P160" s="554"/>
      <c r="Q160" s="554"/>
      <c r="R160" s="554"/>
      <c r="S160" s="554"/>
      <c r="T160" s="554"/>
      <c r="U160" s="554"/>
      <c r="V160" s="554"/>
      <c r="W160" s="554"/>
      <c r="X160" s="554"/>
      <c r="Y160" s="554"/>
      <c r="Z160" s="554"/>
      <c r="AA160" s="537"/>
      <c r="AB160" s="537"/>
      <c r="AC160" s="537"/>
    </row>
    <row r="161" spans="1:68" ht="27" hidden="1" customHeight="1" x14ac:dyDescent="0.25">
      <c r="A161" s="54" t="s">
        <v>255</v>
      </c>
      <c r="B161" s="54" t="s">
        <v>256</v>
      </c>
      <c r="C161" s="31">
        <v>4301031191</v>
      </c>
      <c r="D161" s="545">
        <v>4680115880993</v>
      </c>
      <c r="E161" s="546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/>
      <c r="M161" s="33" t="s">
        <v>68</v>
      </c>
      <c r="N161" s="33"/>
      <c r="O161" s="32">
        <v>40</v>
      </c>
      <c r="P161" s="7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45">
        <v>4680115881761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8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45">
        <v>4680115881563</v>
      </c>
      <c r="E163" s="546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45">
        <v>4680115880986</v>
      </c>
      <c r="E164" s="546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45">
        <v>4680115887213</v>
      </c>
      <c r="E165" s="546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9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62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hidden="1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hidden="1" customHeight="1" x14ac:dyDescent="0.25">
      <c r="A173" s="561" t="s">
        <v>91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8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61" t="s">
        <v>293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6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0" t="s">
        <v>296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61" t="s">
        <v>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186</v>
      </c>
      <c r="M186" s="33" t="s">
        <v>104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106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61" t="s">
        <v>135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5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61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7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79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61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69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200</v>
      </c>
      <c r="Y211" s="542">
        <f t="shared" si="15"/>
        <v>201.6</v>
      </c>
      <c r="Z211" s="36">
        <f t="shared" si="20"/>
        <v>0.54683999999999999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221</v>
      </c>
      <c r="BN211" s="64">
        <f t="shared" si="17"/>
        <v>222.768</v>
      </c>
      <c r="BO211" s="64">
        <f t="shared" si="18"/>
        <v>0.45787545787545797</v>
      </c>
      <c r="BP211" s="64">
        <f t="shared" si="19"/>
        <v>0.46153846153846156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5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83.333333333333343</v>
      </c>
      <c r="Y215" s="543">
        <f>IFERROR(Y206/H206,"0")+IFERROR(Y207/H207,"0")+IFERROR(Y208/H208,"0")+IFERROR(Y209/H209,"0")+IFERROR(Y210/H210,"0")+IFERROR(Y211/H211,"0")+IFERROR(Y212/H212,"0")+IFERROR(Y213/H213,"0")+IFERROR(Y214/H214,"0")</f>
        <v>84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0.54683999999999999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3">
        <f>IFERROR(SUM(X206:X214),"0")</f>
        <v>200</v>
      </c>
      <c r="Y216" s="543">
        <f>IFERROR(SUM(Y206:Y214),"0")</f>
        <v>201.6</v>
      </c>
      <c r="Z216" s="37"/>
      <c r="AA216" s="544"/>
      <c r="AB216" s="544"/>
      <c r="AC216" s="544"/>
    </row>
    <row r="217" spans="1:68" ht="14.25" hidden="1" customHeight="1" x14ac:dyDescent="0.25">
      <c r="A217" s="561" t="s">
        <v>163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7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60" t="s">
        <v>355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61" t="s">
        <v>99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6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1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 t="s">
        <v>110</v>
      </c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61" t="s">
        <v>135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61" t="s">
        <v>381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61" t="s">
        <v>385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6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5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60" t="s">
        <v>397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61" t="s">
        <v>99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 t="s">
        <v>103</v>
      </c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106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60" t="s">
        <v>413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61" t="s">
        <v>99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4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0" t="s">
        <v>424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61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4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5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60" t="s">
        <v>433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61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5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61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45">
        <v>4680115887114</v>
      </c>
      <c r="E284" s="546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7" t="s">
        <v>71</v>
      </c>
      <c r="Q285" s="558"/>
      <c r="R285" s="558"/>
      <c r="S285" s="558"/>
      <c r="T285" s="558"/>
      <c r="U285" s="558"/>
      <c r="V285" s="559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57" t="s">
        <v>71</v>
      </c>
      <c r="Q286" s="558"/>
      <c r="R286" s="558"/>
      <c r="S286" s="558"/>
      <c r="T286" s="558"/>
      <c r="U286" s="558"/>
      <c r="V286" s="559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60" t="s">
        <v>446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6"/>
      <c r="AB287" s="536"/>
      <c r="AC287" s="536"/>
    </row>
    <row r="288" spans="1:68" ht="14.25" hidden="1" customHeight="1" x14ac:dyDescent="0.25">
      <c r="A288" s="561" t="s">
        <v>99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6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8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7" t="s">
        <v>71</v>
      </c>
      <c r="Q294" s="558"/>
      <c r="R294" s="558"/>
      <c r="S294" s="558"/>
      <c r="T294" s="558"/>
      <c r="U294" s="558"/>
      <c r="V294" s="559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7" t="s">
        <v>71</v>
      </c>
      <c r="Q295" s="558"/>
      <c r="R295" s="558"/>
      <c r="S295" s="558"/>
      <c r="T295" s="558"/>
      <c r="U295" s="558"/>
      <c r="V295" s="559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61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7" t="s">
        <v>71</v>
      </c>
      <c r="Q304" s="558"/>
      <c r="R304" s="558"/>
      <c r="S304" s="558"/>
      <c r="T304" s="558"/>
      <c r="U304" s="558"/>
      <c r="V304" s="559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7" t="s">
        <v>71</v>
      </c>
      <c r="Q305" s="558"/>
      <c r="R305" s="558"/>
      <c r="S305" s="558"/>
      <c r="T305" s="558"/>
      <c r="U305" s="558"/>
      <c r="V305" s="559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61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3"/>
      <c r="B311" s="554"/>
      <c r="C311" s="554"/>
      <c r="D311" s="554"/>
      <c r="E311" s="554"/>
      <c r="F311" s="554"/>
      <c r="G311" s="554"/>
      <c r="H311" s="554"/>
      <c r="I311" s="554"/>
      <c r="J311" s="554"/>
      <c r="K311" s="554"/>
      <c r="L311" s="554"/>
      <c r="M311" s="554"/>
      <c r="N311" s="554"/>
      <c r="O311" s="555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54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61" t="s">
        <v>163</v>
      </c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4"/>
      <c r="P313" s="554"/>
      <c r="Q313" s="554"/>
      <c r="R313" s="554"/>
      <c r="S313" s="554"/>
      <c r="T313" s="554"/>
      <c r="U313" s="554"/>
      <c r="V313" s="554"/>
      <c r="W313" s="554"/>
      <c r="X313" s="554"/>
      <c r="Y313" s="554"/>
      <c r="Z313" s="554"/>
      <c r="AA313" s="537"/>
      <c r="AB313" s="537"/>
      <c r="AC313" s="537"/>
    </row>
    <row r="314" spans="1:68" ht="27" hidden="1" customHeight="1" x14ac:dyDescent="0.25">
      <c r="A314" s="54" t="s">
        <v>492</v>
      </c>
      <c r="B314" s="54" t="s">
        <v>493</v>
      </c>
      <c r="C314" s="31">
        <v>4301060387</v>
      </c>
      <c r="D314" s="545">
        <v>4607091380880</v>
      </c>
      <c r="E314" s="546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6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5">
        <v>4607091384482</v>
      </c>
      <c r="E315" s="546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300</v>
      </c>
      <c r="Y315" s="542">
        <f>IFERROR(IF(X315="",0,CEILING((X315/$H315),1)*$H315),"")</f>
        <v>304.2</v>
      </c>
      <c r="Z315" s="36">
        <f>IFERROR(IF(Y315=0,"",ROUNDUP(Y315/H315,0)*0.01898),"")</f>
        <v>0.74021999999999999</v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319.00000000000006</v>
      </c>
      <c r="BN315" s="64">
        <f>IFERROR(Y315*I315/H315,"0")</f>
        <v>323.46600000000001</v>
      </c>
      <c r="BO315" s="64">
        <f>IFERROR(1/J315*(X315/H315),"0")</f>
        <v>0.60096153846153844</v>
      </c>
      <c r="BP315" s="64">
        <f>IFERROR(1/J315*(Y315/H315),"0")</f>
        <v>0.609375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45">
        <v>4607091380897</v>
      </c>
      <c r="E316" s="546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9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3"/>
      <c r="B317" s="554"/>
      <c r="C317" s="554"/>
      <c r="D317" s="554"/>
      <c r="E317" s="554"/>
      <c r="F317" s="554"/>
      <c r="G317" s="554"/>
      <c r="H317" s="554"/>
      <c r="I317" s="554"/>
      <c r="J317" s="554"/>
      <c r="K317" s="554"/>
      <c r="L317" s="554"/>
      <c r="M317" s="554"/>
      <c r="N317" s="554"/>
      <c r="O317" s="555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3">
        <f>IFERROR(X314/H314,"0")+IFERROR(X315/H315,"0")+IFERROR(X316/H316,"0")</f>
        <v>38.46153846153846</v>
      </c>
      <c r="Y317" s="543">
        <f>IFERROR(Y314/H314,"0")+IFERROR(Y315/H315,"0")+IFERROR(Y316/H316,"0")</f>
        <v>39</v>
      </c>
      <c r="Z317" s="543">
        <f>IFERROR(IF(Z314="",0,Z314),"0")+IFERROR(IF(Z315="",0,Z315),"0")+IFERROR(IF(Z316="",0,Z316),"0")</f>
        <v>0.74021999999999999</v>
      </c>
      <c r="AA317" s="544"/>
      <c r="AB317" s="544"/>
      <c r="AC317" s="544"/>
    </row>
    <row r="318" spans="1:68" x14ac:dyDescent="0.2">
      <c r="A318" s="554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3">
        <f>IFERROR(SUM(X314:X316),"0")</f>
        <v>300</v>
      </c>
      <c r="Y318" s="543">
        <f>IFERROR(SUM(Y314:Y316),"0")</f>
        <v>304.2</v>
      </c>
      <c r="Z318" s="37"/>
      <c r="AA318" s="544"/>
      <c r="AB318" s="544"/>
      <c r="AC318" s="544"/>
    </row>
    <row r="319" spans="1:68" ht="14.25" hidden="1" customHeight="1" x14ac:dyDescent="0.25">
      <c r="A319" s="561" t="s">
        <v>91</v>
      </c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4"/>
      <c r="P319" s="554"/>
      <c r="Q319" s="554"/>
      <c r="R319" s="554"/>
      <c r="S319" s="554"/>
      <c r="T319" s="554"/>
      <c r="U319" s="554"/>
      <c r="V319" s="554"/>
      <c r="W319" s="554"/>
      <c r="X319" s="554"/>
      <c r="Y319" s="554"/>
      <c r="Z319" s="554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45">
        <v>4607091388381</v>
      </c>
      <c r="E320" s="546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45">
        <v>4607091388374</v>
      </c>
      <c r="E321" s="546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85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45">
        <v>4607091383102</v>
      </c>
      <c r="E322" s="546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45">
        <v>4607091388404</v>
      </c>
      <c r="E323" s="546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3"/>
      <c r="B324" s="554"/>
      <c r="C324" s="554"/>
      <c r="D324" s="554"/>
      <c r="E324" s="554"/>
      <c r="F324" s="554"/>
      <c r="G324" s="554"/>
      <c r="H324" s="554"/>
      <c r="I324" s="554"/>
      <c r="J324" s="554"/>
      <c r="K324" s="554"/>
      <c r="L324" s="554"/>
      <c r="M324" s="554"/>
      <c r="N324" s="554"/>
      <c r="O324" s="555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54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61" t="s">
        <v>511</v>
      </c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4"/>
      <c r="P326" s="554"/>
      <c r="Q326" s="554"/>
      <c r="R326" s="554"/>
      <c r="S326" s="554"/>
      <c r="T326" s="554"/>
      <c r="U326" s="554"/>
      <c r="V326" s="554"/>
      <c r="W326" s="554"/>
      <c r="X326" s="554"/>
      <c r="Y326" s="554"/>
      <c r="Z326" s="554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45">
        <v>4680115881808</v>
      </c>
      <c r="E327" s="546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5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45">
        <v>4680115881822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45">
        <v>4680115880016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3"/>
      <c r="B330" s="554"/>
      <c r="C330" s="554"/>
      <c r="D330" s="554"/>
      <c r="E330" s="554"/>
      <c r="F330" s="554"/>
      <c r="G330" s="554"/>
      <c r="H330" s="554"/>
      <c r="I330" s="554"/>
      <c r="J330" s="554"/>
      <c r="K330" s="554"/>
      <c r="L330" s="554"/>
      <c r="M330" s="554"/>
      <c r="N330" s="554"/>
      <c r="O330" s="555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54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60" t="s">
        <v>520</v>
      </c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4"/>
      <c r="P332" s="554"/>
      <c r="Q332" s="554"/>
      <c r="R332" s="554"/>
      <c r="S332" s="554"/>
      <c r="T332" s="554"/>
      <c r="U332" s="554"/>
      <c r="V332" s="554"/>
      <c r="W332" s="554"/>
      <c r="X332" s="554"/>
      <c r="Y332" s="554"/>
      <c r="Z332" s="554"/>
      <c r="AA332" s="536"/>
      <c r="AB332" s="536"/>
      <c r="AC332" s="536"/>
    </row>
    <row r="333" spans="1:68" ht="14.25" hidden="1" customHeight="1" x14ac:dyDescent="0.25">
      <c r="A333" s="561" t="s">
        <v>73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45">
        <v>4607091387919</v>
      </c>
      <c r="E334" s="546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45">
        <v>4680115883604</v>
      </c>
      <c r="E335" s="546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45">
        <v>4680115883567</v>
      </c>
      <c r="E336" s="546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3"/>
      <c r="B337" s="554"/>
      <c r="C337" s="554"/>
      <c r="D337" s="554"/>
      <c r="E337" s="554"/>
      <c r="F337" s="554"/>
      <c r="G337" s="554"/>
      <c r="H337" s="554"/>
      <c r="I337" s="554"/>
      <c r="J337" s="554"/>
      <c r="K337" s="554"/>
      <c r="L337" s="554"/>
      <c r="M337" s="554"/>
      <c r="N337" s="554"/>
      <c r="O337" s="555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54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31" t="s">
        <v>530</v>
      </c>
      <c r="B339" s="632"/>
      <c r="C339" s="632"/>
      <c r="D339" s="632"/>
      <c r="E339" s="632"/>
      <c r="F339" s="632"/>
      <c r="G339" s="632"/>
      <c r="H339" s="632"/>
      <c r="I339" s="632"/>
      <c r="J339" s="632"/>
      <c r="K339" s="632"/>
      <c r="L339" s="632"/>
      <c r="M339" s="632"/>
      <c r="N339" s="632"/>
      <c r="O339" s="632"/>
      <c r="P339" s="632"/>
      <c r="Q339" s="632"/>
      <c r="R339" s="632"/>
      <c r="S339" s="632"/>
      <c r="T339" s="632"/>
      <c r="U339" s="632"/>
      <c r="V339" s="632"/>
      <c r="W339" s="632"/>
      <c r="X339" s="632"/>
      <c r="Y339" s="632"/>
      <c r="Z339" s="632"/>
      <c r="AA339" s="48"/>
      <c r="AB339" s="48"/>
      <c r="AC339" s="48"/>
    </row>
    <row r="340" spans="1:68" ht="16.5" hidden="1" customHeight="1" x14ac:dyDescent="0.25">
      <c r="A340" s="560" t="s">
        <v>531</v>
      </c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4"/>
      <c r="P340" s="554"/>
      <c r="Q340" s="554"/>
      <c r="R340" s="554"/>
      <c r="S340" s="554"/>
      <c r="T340" s="554"/>
      <c r="U340" s="554"/>
      <c r="V340" s="554"/>
      <c r="W340" s="554"/>
      <c r="X340" s="554"/>
      <c r="Y340" s="554"/>
      <c r="Z340" s="554"/>
      <c r="AA340" s="536"/>
      <c r="AB340" s="536"/>
      <c r="AC340" s="536"/>
    </row>
    <row r="341" spans="1:68" ht="14.25" hidden="1" customHeight="1" x14ac:dyDescent="0.25">
      <c r="A341" s="561" t="s">
        <v>99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5">
        <v>4680115884847</v>
      </c>
      <c r="E342" s="546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3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1000</v>
      </c>
      <c r="Y342" s="542">
        <f t="shared" ref="Y342:Y348" si="31">IFERROR(IF(X342="",0,CEILING((X342/$H342),1)*$H342),"")</f>
        <v>1005</v>
      </c>
      <c r="Z342" s="36">
        <f>IFERROR(IF(Y342=0,"",ROUNDUP(Y342/H342,0)*0.02175),"")</f>
        <v>1.4572499999999999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1031.3333333333333</v>
      </c>
      <c r="BN342" s="64">
        <f t="shared" ref="BN342:BN348" si="33">IFERROR(Y342*I342/H342,"0")</f>
        <v>1036.49</v>
      </c>
      <c r="BO342" s="64">
        <f t="shared" ref="BO342:BO348" si="34">IFERROR(1/J342*(X342/H342),"0")</f>
        <v>1.3888888888888888</v>
      </c>
      <c r="BP342" s="64">
        <f t="shared" ref="BP342:BP348" si="35">IFERROR(1/J342*(Y342/H342),"0")</f>
        <v>1.3958333333333333</v>
      </c>
    </row>
    <row r="343" spans="1:68" ht="27" hidden="1" customHeight="1" x14ac:dyDescent="0.25">
      <c r="A343" s="54" t="s">
        <v>535</v>
      </c>
      <c r="B343" s="54" t="s">
        <v>536</v>
      </c>
      <c r="C343" s="31">
        <v>4301011870</v>
      </c>
      <c r="D343" s="545">
        <v>4680115884854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0</v>
      </c>
      <c r="Y343" s="542">
        <f t="shared" si="31"/>
        <v>0</v>
      </c>
      <c r="Z343" s="36" t="str">
        <f>IFERROR(IF(Y343=0,"",ROUNDUP(Y343/H343,0)*0.02175),"")</f>
        <v/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0</v>
      </c>
      <c r="BN343" s="64">
        <f t="shared" si="33"/>
        <v>0</v>
      </c>
      <c r="BO343" s="64">
        <f t="shared" si="34"/>
        <v>0</v>
      </c>
      <c r="BP343" s="64">
        <f t="shared" si="35"/>
        <v>0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5">
        <v>4680115884830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270</v>
      </c>
      <c r="Y344" s="542">
        <f t="shared" si="31"/>
        <v>270</v>
      </c>
      <c r="Z344" s="36">
        <f>IFERROR(IF(Y344=0,"",ROUNDUP(Y344/H344,0)*0.02175),"")</f>
        <v>0.39149999999999996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278.46000000000004</v>
      </c>
      <c r="BN344" s="64">
        <f t="shared" si="33"/>
        <v>278.46000000000004</v>
      </c>
      <c r="BO344" s="64">
        <f t="shared" si="34"/>
        <v>0.375</v>
      </c>
      <c r="BP344" s="64">
        <f t="shared" si="35"/>
        <v>0.375</v>
      </c>
    </row>
    <row r="345" spans="1:68" ht="27" hidden="1" customHeight="1" x14ac:dyDescent="0.25">
      <c r="A345" s="54" t="s">
        <v>541</v>
      </c>
      <c r="B345" s="54" t="s">
        <v>542</v>
      </c>
      <c r="C345" s="31">
        <v>4301012215</v>
      </c>
      <c r="D345" s="545">
        <v>4680115887046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6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45">
        <v>4680115882638</v>
      </c>
      <c r="E346" s="546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85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45">
        <v>4680115884922</v>
      </c>
      <c r="E347" s="546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45">
        <v>4680115884861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3"/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5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3">
        <f>IFERROR(X342/H342,"0")+IFERROR(X343/H343,"0")+IFERROR(X344/H344,"0")+IFERROR(X345/H345,"0")+IFERROR(X346/H346,"0")+IFERROR(X347/H347,"0")+IFERROR(X348/H348,"0")</f>
        <v>84.666666666666671</v>
      </c>
      <c r="Y349" s="543">
        <f>IFERROR(Y342/H342,"0")+IFERROR(Y343/H343,"0")+IFERROR(Y344/H344,"0")+IFERROR(Y345/H345,"0")+IFERROR(Y346/H346,"0")+IFERROR(Y347/H347,"0")+IFERROR(Y348/H348,"0")</f>
        <v>85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1.8487499999999999</v>
      </c>
      <c r="AA349" s="544"/>
      <c r="AB349" s="544"/>
      <c r="AC349" s="544"/>
    </row>
    <row r="350" spans="1:68" x14ac:dyDescent="0.2">
      <c r="A350" s="554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3">
        <f>IFERROR(SUM(X342:X348),"0")</f>
        <v>1270</v>
      </c>
      <c r="Y350" s="543">
        <f>IFERROR(SUM(Y342:Y348),"0")</f>
        <v>1275</v>
      </c>
      <c r="Z350" s="37"/>
      <c r="AA350" s="544"/>
      <c r="AB350" s="544"/>
      <c r="AC350" s="544"/>
    </row>
    <row r="351" spans="1:68" ht="14.25" hidden="1" customHeight="1" x14ac:dyDescent="0.25">
      <c r="A351" s="561" t="s">
        <v>135</v>
      </c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4"/>
      <c r="P351" s="554"/>
      <c r="Q351" s="554"/>
      <c r="R351" s="554"/>
      <c r="S351" s="554"/>
      <c r="T351" s="554"/>
      <c r="U351" s="554"/>
      <c r="V351" s="554"/>
      <c r="W351" s="554"/>
      <c r="X351" s="554"/>
      <c r="Y351" s="554"/>
      <c r="Z351" s="554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5">
        <v>4607091383980</v>
      </c>
      <c r="E352" s="546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800</v>
      </c>
      <c r="Y352" s="542">
        <f>IFERROR(IF(X352="",0,CEILING((X352/$H352),1)*$H352),"")</f>
        <v>810</v>
      </c>
      <c r="Z352" s="36">
        <f>IFERROR(IF(Y352=0,"",ROUNDUP(Y352/H352,0)*0.02175),"")</f>
        <v>1.1744999999999999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825.06666666666672</v>
      </c>
      <c r="BN352" s="64">
        <f>IFERROR(Y352*I352/H352,"0")</f>
        <v>835.38</v>
      </c>
      <c r="BO352" s="64">
        <f>IFERROR(1/J352*(X352/H352),"0")</f>
        <v>1.1111111111111112</v>
      </c>
      <c r="BP352" s="64">
        <f>IFERROR(1/J352*(Y352/H352),"0")</f>
        <v>1.125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45">
        <v>4607091384178</v>
      </c>
      <c r="E353" s="546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5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3"/>
      <c r="B354" s="554"/>
      <c r="C354" s="554"/>
      <c r="D354" s="554"/>
      <c r="E354" s="554"/>
      <c r="F354" s="554"/>
      <c r="G354" s="554"/>
      <c r="H354" s="554"/>
      <c r="I354" s="554"/>
      <c r="J354" s="554"/>
      <c r="K354" s="554"/>
      <c r="L354" s="554"/>
      <c r="M354" s="554"/>
      <c r="N354" s="554"/>
      <c r="O354" s="555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3">
        <f>IFERROR(X352/H352,"0")+IFERROR(X353/H353,"0")</f>
        <v>53.333333333333336</v>
      </c>
      <c r="Y354" s="543">
        <f>IFERROR(Y352/H352,"0")+IFERROR(Y353/H353,"0")</f>
        <v>54</v>
      </c>
      <c r="Z354" s="543">
        <f>IFERROR(IF(Z352="",0,Z352),"0")+IFERROR(IF(Z353="",0,Z353),"0")</f>
        <v>1.1744999999999999</v>
      </c>
      <c r="AA354" s="544"/>
      <c r="AB354" s="544"/>
      <c r="AC354" s="544"/>
    </row>
    <row r="355" spans="1:68" x14ac:dyDescent="0.2">
      <c r="A355" s="554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3">
        <f>IFERROR(SUM(X352:X353),"0")</f>
        <v>800</v>
      </c>
      <c r="Y355" s="543">
        <f>IFERROR(SUM(Y352:Y353),"0")</f>
        <v>810</v>
      </c>
      <c r="Z355" s="37"/>
      <c r="AA355" s="544"/>
      <c r="AB355" s="544"/>
      <c r="AC355" s="544"/>
    </row>
    <row r="356" spans="1:68" ht="14.25" hidden="1" customHeight="1" x14ac:dyDescent="0.25">
      <c r="A356" s="561" t="s">
        <v>73</v>
      </c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4"/>
      <c r="P356" s="554"/>
      <c r="Q356" s="554"/>
      <c r="R356" s="554"/>
      <c r="S356" s="554"/>
      <c r="T356" s="554"/>
      <c r="U356" s="554"/>
      <c r="V356" s="554"/>
      <c r="W356" s="554"/>
      <c r="X356" s="554"/>
      <c r="Y356" s="554"/>
      <c r="Z356" s="554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45">
        <v>4607091383928</v>
      </c>
      <c r="E357" s="546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2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45">
        <v>4607091384260</v>
      </c>
      <c r="E358" s="546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3"/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5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54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61" t="s">
        <v>163</v>
      </c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4"/>
      <c r="P361" s="554"/>
      <c r="Q361" s="554"/>
      <c r="R361" s="554"/>
      <c r="S361" s="554"/>
      <c r="T361" s="554"/>
      <c r="U361" s="554"/>
      <c r="V361" s="554"/>
      <c r="W361" s="554"/>
      <c r="X361" s="554"/>
      <c r="Y361" s="554"/>
      <c r="Z361" s="554"/>
      <c r="AA361" s="537"/>
      <c r="AB361" s="537"/>
      <c r="AC361" s="537"/>
    </row>
    <row r="362" spans="1:68" ht="16.5" hidden="1" customHeight="1" x14ac:dyDescent="0.25">
      <c r="A362" s="54" t="s">
        <v>563</v>
      </c>
      <c r="B362" s="54" t="s">
        <v>564</v>
      </c>
      <c r="C362" s="31">
        <v>4301060524</v>
      </c>
      <c r="D362" s="545">
        <v>4607091384673</v>
      </c>
      <c r="E362" s="546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3"/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5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hidden="1" x14ac:dyDescent="0.2">
      <c r="A364" s="554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hidden="1" customHeight="1" x14ac:dyDescent="0.25">
      <c r="A365" s="560" t="s">
        <v>566</v>
      </c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4"/>
      <c r="P365" s="554"/>
      <c r="Q365" s="554"/>
      <c r="R365" s="554"/>
      <c r="S365" s="554"/>
      <c r="T365" s="554"/>
      <c r="U365" s="554"/>
      <c r="V365" s="554"/>
      <c r="W365" s="554"/>
      <c r="X365" s="554"/>
      <c r="Y365" s="554"/>
      <c r="Z365" s="554"/>
      <c r="AA365" s="536"/>
      <c r="AB365" s="536"/>
      <c r="AC365" s="536"/>
    </row>
    <row r="366" spans="1:68" ht="14.25" hidden="1" customHeight="1" x14ac:dyDescent="0.25">
      <c r="A366" s="561" t="s">
        <v>99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45">
        <v>4680115884885</v>
      </c>
      <c r="E367" s="546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3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45">
        <v>4680115884908</v>
      </c>
      <c r="E368" s="546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3"/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5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54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61" t="s">
        <v>64</v>
      </c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4"/>
      <c r="P371" s="554"/>
      <c r="Q371" s="554"/>
      <c r="R371" s="554"/>
      <c r="S371" s="554"/>
      <c r="T371" s="554"/>
      <c r="U371" s="554"/>
      <c r="V371" s="554"/>
      <c r="W371" s="554"/>
      <c r="X371" s="554"/>
      <c r="Y371" s="554"/>
      <c r="Z371" s="554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45">
        <v>4607091384802</v>
      </c>
      <c r="E372" s="546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45">
        <v>4607091384802</v>
      </c>
      <c r="E373" s="546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3"/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5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54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61" t="s">
        <v>73</v>
      </c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4"/>
      <c r="P376" s="554"/>
      <c r="Q376" s="554"/>
      <c r="R376" s="554"/>
      <c r="S376" s="554"/>
      <c r="T376" s="554"/>
      <c r="U376" s="554"/>
      <c r="V376" s="554"/>
      <c r="W376" s="554"/>
      <c r="X376" s="554"/>
      <c r="Y376" s="554"/>
      <c r="Z376" s="554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5">
        <v>4607091384246</v>
      </c>
      <c r="E377" s="546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2500</v>
      </c>
      <c r="Y377" s="542">
        <f>IFERROR(IF(X377="",0,CEILING((X377/$H377),1)*$H377),"")</f>
        <v>2502</v>
      </c>
      <c r="Z377" s="36">
        <f>IFERROR(IF(Y377=0,"",ROUNDUP(Y377/H377,0)*0.01898),"")</f>
        <v>5.27644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2637.2222222222222</v>
      </c>
      <c r="BN377" s="64">
        <f>IFERROR(Y377*I377/H377,"0")</f>
        <v>2639.3320000000003</v>
      </c>
      <c r="BO377" s="64">
        <f>IFERROR(1/J377*(X377/H377),"0")</f>
        <v>4.3402777777777777</v>
      </c>
      <c r="BP377" s="64">
        <f>IFERROR(1/J377*(Y377/H377),"0")</f>
        <v>4.34375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45">
        <v>4607091384253</v>
      </c>
      <c r="E378" s="546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5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7" t="s">
        <v>71</v>
      </c>
      <c r="Q380" s="558"/>
      <c r="R380" s="558"/>
      <c r="S380" s="558"/>
      <c r="T380" s="558"/>
      <c r="U380" s="558"/>
      <c r="V380" s="559"/>
      <c r="W380" s="37" t="s">
        <v>72</v>
      </c>
      <c r="X380" s="543">
        <f>IFERROR(X377/H377,"0")+IFERROR(X378/H378,"0")+IFERROR(X379/H379,"0")</f>
        <v>277.77777777777777</v>
      </c>
      <c r="Y380" s="543">
        <f>IFERROR(Y377/H377,"0")+IFERROR(Y378/H378,"0")+IFERROR(Y379/H379,"0")</f>
        <v>278</v>
      </c>
      <c r="Z380" s="543">
        <f>IFERROR(IF(Z377="",0,Z377),"0")+IFERROR(IF(Z378="",0,Z378),"0")+IFERROR(IF(Z379="",0,Z379),"0")</f>
        <v>5.27644</v>
      </c>
      <c r="AA380" s="544"/>
      <c r="AB380" s="544"/>
      <c r="AC380" s="544"/>
    </row>
    <row r="381" spans="1:68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7" t="s">
        <v>71</v>
      </c>
      <c r="Q381" s="558"/>
      <c r="R381" s="558"/>
      <c r="S381" s="558"/>
      <c r="T381" s="558"/>
      <c r="U381" s="558"/>
      <c r="V381" s="559"/>
      <c r="W381" s="37" t="s">
        <v>69</v>
      </c>
      <c r="X381" s="543">
        <f>IFERROR(SUM(X377:X379),"0")</f>
        <v>2500</v>
      </c>
      <c r="Y381" s="543">
        <f>IFERROR(SUM(Y377:Y379),"0")</f>
        <v>2502</v>
      </c>
      <c r="Z381" s="37"/>
      <c r="AA381" s="544"/>
      <c r="AB381" s="544"/>
      <c r="AC381" s="544"/>
    </row>
    <row r="382" spans="1:68" ht="27.75" hidden="1" customHeight="1" x14ac:dyDescent="0.2">
      <c r="A382" s="631" t="s">
        <v>585</v>
      </c>
      <c r="B382" s="632"/>
      <c r="C382" s="632"/>
      <c r="D382" s="632"/>
      <c r="E382" s="632"/>
      <c r="F382" s="632"/>
      <c r="G382" s="632"/>
      <c r="H382" s="632"/>
      <c r="I382" s="632"/>
      <c r="J382" s="632"/>
      <c r="K382" s="632"/>
      <c r="L382" s="632"/>
      <c r="M382" s="632"/>
      <c r="N382" s="632"/>
      <c r="O382" s="632"/>
      <c r="P382" s="632"/>
      <c r="Q382" s="632"/>
      <c r="R382" s="632"/>
      <c r="S382" s="632"/>
      <c r="T382" s="632"/>
      <c r="U382" s="632"/>
      <c r="V382" s="632"/>
      <c r="W382" s="632"/>
      <c r="X382" s="632"/>
      <c r="Y382" s="632"/>
      <c r="Z382" s="632"/>
      <c r="AA382" s="48"/>
      <c r="AB382" s="48"/>
      <c r="AC382" s="48"/>
    </row>
    <row r="383" spans="1:68" ht="16.5" hidden="1" customHeight="1" x14ac:dyDescent="0.25">
      <c r="A383" s="560" t="s">
        <v>586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61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hidden="1" customHeight="1" x14ac:dyDescent="0.25">
      <c r="A385" s="54" t="s">
        <v>587</v>
      </c>
      <c r="B385" s="54" t="s">
        <v>588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78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0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hidden="1" customHeight="1" x14ac:dyDescent="0.25">
      <c r="A393" s="54" t="s">
        <v>609</v>
      </c>
      <c r="B393" s="54" t="s">
        <v>610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idden="1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7" t="s">
        <v>71</v>
      </c>
      <c r="Q394" s="558"/>
      <c r="R394" s="558"/>
      <c r="S394" s="558"/>
      <c r="T394" s="558"/>
      <c r="U394" s="558"/>
      <c r="V394" s="559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hidden="1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7" t="s">
        <v>71</v>
      </c>
      <c r="Q395" s="558"/>
      <c r="R395" s="558"/>
      <c r="S395" s="558"/>
      <c r="T395" s="558"/>
      <c r="U395" s="558"/>
      <c r="V395" s="559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hidden="1" customHeight="1" x14ac:dyDescent="0.25">
      <c r="A396" s="561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7" t="s">
        <v>71</v>
      </c>
      <c r="Q399" s="558"/>
      <c r="R399" s="558"/>
      <c r="S399" s="558"/>
      <c r="T399" s="558"/>
      <c r="U399" s="558"/>
      <c r="V399" s="559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7" t="s">
        <v>71</v>
      </c>
      <c r="Q400" s="558"/>
      <c r="R400" s="558"/>
      <c r="S400" s="558"/>
      <c r="T400" s="558"/>
      <c r="U400" s="558"/>
      <c r="V400" s="559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0" t="s">
        <v>617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61" t="s">
        <v>135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7" t="s">
        <v>71</v>
      </c>
      <c r="Q404" s="558"/>
      <c r="R404" s="558"/>
      <c r="S404" s="558"/>
      <c r="T404" s="558"/>
      <c r="U404" s="558"/>
      <c r="V404" s="559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7" t="s">
        <v>71</v>
      </c>
      <c r="Q405" s="558"/>
      <c r="R405" s="558"/>
      <c r="S405" s="558"/>
      <c r="T405" s="558"/>
      <c r="U405" s="558"/>
      <c r="V405" s="559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61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621</v>
      </c>
      <c r="B407" s="54" t="s">
        <v>622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59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7" t="s">
        <v>71</v>
      </c>
      <c r="Q411" s="558"/>
      <c r="R411" s="558"/>
      <c r="S411" s="558"/>
      <c r="T411" s="558"/>
      <c r="U411" s="558"/>
      <c r="V411" s="559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7" t="s">
        <v>71</v>
      </c>
      <c r="Q412" s="558"/>
      <c r="R412" s="558"/>
      <c r="S412" s="558"/>
      <c r="T412" s="558"/>
      <c r="U412" s="558"/>
      <c r="V412" s="559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0" t="s">
        <v>632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61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7" t="s">
        <v>71</v>
      </c>
      <c r="Q416" s="558"/>
      <c r="R416" s="558"/>
      <c r="S416" s="558"/>
      <c r="T416" s="558"/>
      <c r="U416" s="558"/>
      <c r="V416" s="559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7" t="s">
        <v>71</v>
      </c>
      <c r="Q417" s="558"/>
      <c r="R417" s="558"/>
      <c r="S417" s="558"/>
      <c r="T417" s="558"/>
      <c r="U417" s="558"/>
      <c r="V417" s="559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1" t="s">
        <v>636</v>
      </c>
      <c r="B418" s="632"/>
      <c r="C418" s="632"/>
      <c r="D418" s="632"/>
      <c r="E418" s="632"/>
      <c r="F418" s="632"/>
      <c r="G418" s="632"/>
      <c r="H418" s="632"/>
      <c r="I418" s="632"/>
      <c r="J418" s="632"/>
      <c r="K418" s="632"/>
      <c r="L418" s="632"/>
      <c r="M418" s="632"/>
      <c r="N418" s="632"/>
      <c r="O418" s="632"/>
      <c r="P418" s="632"/>
      <c r="Q418" s="632"/>
      <c r="R418" s="632"/>
      <c r="S418" s="632"/>
      <c r="T418" s="632"/>
      <c r="U418" s="632"/>
      <c r="V418" s="632"/>
      <c r="W418" s="632"/>
      <c r="X418" s="632"/>
      <c r="Y418" s="632"/>
      <c r="Z418" s="632"/>
      <c r="AA418" s="48"/>
      <c r="AB418" s="48"/>
      <c r="AC418" s="48"/>
    </row>
    <row r="419" spans="1:68" ht="16.5" hidden="1" customHeight="1" x14ac:dyDescent="0.25">
      <c r="A419" s="560" t="s">
        <v>636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61" t="s">
        <v>99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2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45">
        <v>4607091383522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4301011961</v>
      </c>
      <c r="D423" s="545">
        <v>4680115885271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5">
        <v>4680115885226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1200</v>
      </c>
      <c r="Y424" s="542">
        <f t="shared" si="42"/>
        <v>1203.8400000000001</v>
      </c>
      <c r="Z424" s="36">
        <f t="shared" si="43"/>
        <v>2.72688</v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1279.5454545454545</v>
      </c>
      <c r="BN424" s="64">
        <f t="shared" si="45"/>
        <v>1283.6400000000001</v>
      </c>
      <c r="BO424" s="64">
        <f t="shared" si="46"/>
        <v>2.1853146853146854</v>
      </c>
      <c r="BP424" s="64">
        <f t="shared" si="47"/>
        <v>2.1923076923076925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2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1400</v>
      </c>
      <c r="Y426" s="542">
        <f t="shared" si="42"/>
        <v>1404.48</v>
      </c>
      <c r="Z426" s="36">
        <f t="shared" si="43"/>
        <v>3.1813600000000002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1492.8030303030303</v>
      </c>
      <c r="BN426" s="64">
        <f t="shared" si="45"/>
        <v>1497.58</v>
      </c>
      <c r="BO426" s="64">
        <f t="shared" si="46"/>
        <v>2.5495337995337994</v>
      </c>
      <c r="BP426" s="64">
        <f t="shared" si="47"/>
        <v>2.5576923076923079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7" t="s">
        <v>71</v>
      </c>
      <c r="Q432" s="558"/>
      <c r="R432" s="558"/>
      <c r="S432" s="558"/>
      <c r="T432" s="558"/>
      <c r="U432" s="558"/>
      <c r="V432" s="559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492.42424242424238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494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5.9082400000000002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7" t="s">
        <v>71</v>
      </c>
      <c r="Q433" s="558"/>
      <c r="R433" s="558"/>
      <c r="S433" s="558"/>
      <c r="T433" s="558"/>
      <c r="U433" s="558"/>
      <c r="V433" s="559"/>
      <c r="W433" s="37" t="s">
        <v>69</v>
      </c>
      <c r="X433" s="543">
        <f>IFERROR(SUM(X421:X431),"0")</f>
        <v>2600</v>
      </c>
      <c r="Y433" s="543">
        <f>IFERROR(SUM(Y421:Y431),"0")</f>
        <v>2608.3200000000002</v>
      </c>
      <c r="Z433" s="37"/>
      <c r="AA433" s="544"/>
      <c r="AB433" s="544"/>
      <c r="AC433" s="544"/>
    </row>
    <row r="434" spans="1:68" ht="14.25" hidden="1" customHeight="1" x14ac:dyDescent="0.25">
      <c r="A434" s="561" t="s">
        <v>135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hidden="1" customHeight="1" x14ac:dyDescent="0.25">
      <c r="A435" s="54" t="s">
        <v>665</v>
      </c>
      <c r="B435" s="54" t="s">
        <v>666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9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idden="1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7" t="s">
        <v>71</v>
      </c>
      <c r="Q438" s="558"/>
      <c r="R438" s="558"/>
      <c r="S438" s="558"/>
      <c r="T438" s="558"/>
      <c r="U438" s="558"/>
      <c r="V438" s="559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hidden="1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7" t="s">
        <v>71</v>
      </c>
      <c r="Q439" s="558"/>
      <c r="R439" s="558"/>
      <c r="S439" s="558"/>
      <c r="T439" s="558"/>
      <c r="U439" s="558"/>
      <c r="V439" s="559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hidden="1" customHeight="1" x14ac:dyDescent="0.25">
      <c r="A440" s="561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hidden="1" customHeight="1" x14ac:dyDescent="0.25">
      <c r="A441" s="54" t="s">
        <v>672</v>
      </c>
      <c r="B441" s="54" t="s">
        <v>673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hidden="1" customHeight="1" x14ac:dyDescent="0.25">
      <c r="A442" s="54" t="s">
        <v>675</v>
      </c>
      <c r="B442" s="54" t="s">
        <v>676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600</v>
      </c>
      <c r="Y443" s="542">
        <f t="shared" si="48"/>
        <v>601.92000000000007</v>
      </c>
      <c r="Z443" s="36">
        <f>IFERROR(IF(Y443=0,"",ROUNDUP(Y443/H443,0)*0.01196),"")</f>
        <v>1.36344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639.77272727272725</v>
      </c>
      <c r="BN443" s="64">
        <f t="shared" si="50"/>
        <v>641.82000000000005</v>
      </c>
      <c r="BO443" s="64">
        <f t="shared" si="51"/>
        <v>1.0926573426573427</v>
      </c>
      <c r="BP443" s="64">
        <f t="shared" si="52"/>
        <v>1.0961538461538463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7" t="s">
        <v>71</v>
      </c>
      <c r="Q447" s="558"/>
      <c r="R447" s="558"/>
      <c r="S447" s="558"/>
      <c r="T447" s="558"/>
      <c r="U447" s="558"/>
      <c r="V447" s="559"/>
      <c r="W447" s="37" t="s">
        <v>72</v>
      </c>
      <c r="X447" s="543">
        <f>IFERROR(X441/H441,"0")+IFERROR(X442/H442,"0")+IFERROR(X443/H443,"0")+IFERROR(X444/H444,"0")+IFERROR(X445/H445,"0")+IFERROR(X446/H446,"0")</f>
        <v>113.63636363636363</v>
      </c>
      <c r="Y447" s="543">
        <f>IFERROR(Y441/H441,"0")+IFERROR(Y442/H442,"0")+IFERROR(Y443/H443,"0")+IFERROR(Y444/H444,"0")+IFERROR(Y445/H445,"0")+IFERROR(Y446/H446,"0")</f>
        <v>114.00000000000001</v>
      </c>
      <c r="Z447" s="543">
        <f>IFERROR(IF(Z441="",0,Z441),"0")+IFERROR(IF(Z442="",0,Z442),"0")+IFERROR(IF(Z443="",0,Z443),"0")+IFERROR(IF(Z444="",0,Z444),"0")+IFERROR(IF(Z445="",0,Z445),"0")+IFERROR(IF(Z446="",0,Z446),"0")</f>
        <v>1.36344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7" t="s">
        <v>71</v>
      </c>
      <c r="Q448" s="558"/>
      <c r="R448" s="558"/>
      <c r="S448" s="558"/>
      <c r="T448" s="558"/>
      <c r="U448" s="558"/>
      <c r="V448" s="559"/>
      <c r="W448" s="37" t="s">
        <v>69</v>
      </c>
      <c r="X448" s="543">
        <f>IFERROR(SUM(X441:X446),"0")</f>
        <v>600</v>
      </c>
      <c r="Y448" s="543">
        <f>IFERROR(SUM(Y441:Y446),"0")</f>
        <v>601.92000000000007</v>
      </c>
      <c r="Z448" s="37"/>
      <c r="AA448" s="544"/>
      <c r="AB448" s="544"/>
      <c r="AC448" s="544"/>
    </row>
    <row r="449" spans="1:68" ht="14.25" hidden="1" customHeight="1" x14ac:dyDescent="0.25">
      <c r="A449" s="561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0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7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7" t="s">
        <v>71</v>
      </c>
      <c r="Q453" s="558"/>
      <c r="R453" s="558"/>
      <c r="S453" s="558"/>
      <c r="T453" s="558"/>
      <c r="U453" s="558"/>
      <c r="V453" s="559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7" t="s">
        <v>71</v>
      </c>
      <c r="Q454" s="558"/>
      <c r="R454" s="558"/>
      <c r="S454" s="558"/>
      <c r="T454" s="558"/>
      <c r="U454" s="558"/>
      <c r="V454" s="559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1" t="s">
        <v>696</v>
      </c>
      <c r="B455" s="632"/>
      <c r="C455" s="632"/>
      <c r="D455" s="632"/>
      <c r="E455" s="632"/>
      <c r="F455" s="632"/>
      <c r="G455" s="632"/>
      <c r="H455" s="632"/>
      <c r="I455" s="632"/>
      <c r="J455" s="632"/>
      <c r="K455" s="632"/>
      <c r="L455" s="632"/>
      <c r="M455" s="632"/>
      <c r="N455" s="632"/>
      <c r="O455" s="632"/>
      <c r="P455" s="632"/>
      <c r="Q455" s="632"/>
      <c r="R455" s="632"/>
      <c r="S455" s="632"/>
      <c r="T455" s="632"/>
      <c r="U455" s="632"/>
      <c r="V455" s="632"/>
      <c r="W455" s="632"/>
      <c r="X455" s="632"/>
      <c r="Y455" s="632"/>
      <c r="Z455" s="632"/>
      <c r="AA455" s="48"/>
      <c r="AB455" s="48"/>
      <c r="AC455" s="48"/>
    </row>
    <row r="456" spans="1:68" ht="16.5" hidden="1" customHeight="1" x14ac:dyDescent="0.25">
      <c r="A456" s="560" t="s">
        <v>696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61" t="s">
        <v>99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8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7" t="s">
        <v>71</v>
      </c>
      <c r="Q462" s="558"/>
      <c r="R462" s="558"/>
      <c r="S462" s="558"/>
      <c r="T462" s="558"/>
      <c r="U462" s="558"/>
      <c r="V462" s="559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7" t="s">
        <v>71</v>
      </c>
      <c r="Q463" s="558"/>
      <c r="R463" s="558"/>
      <c r="S463" s="558"/>
      <c r="T463" s="558"/>
      <c r="U463" s="558"/>
      <c r="V463" s="559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61" t="s">
        <v>135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7" t="s">
        <v>71</v>
      </c>
      <c r="Q468" s="558"/>
      <c r="R468" s="558"/>
      <c r="S468" s="558"/>
      <c r="T468" s="558"/>
      <c r="U468" s="558"/>
      <c r="V468" s="559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7" t="s">
        <v>71</v>
      </c>
      <c r="Q469" s="558"/>
      <c r="R469" s="558"/>
      <c r="S469" s="558"/>
      <c r="T469" s="558"/>
      <c r="U469" s="558"/>
      <c r="V469" s="559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61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717</v>
      </c>
      <c r="B471" s="54" t="s">
        <v>718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0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720</v>
      </c>
      <c r="B472" s="54" t="s">
        <v>721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7" t="s">
        <v>71</v>
      </c>
      <c r="Q473" s="558"/>
      <c r="R473" s="558"/>
      <c r="S473" s="558"/>
      <c r="T473" s="558"/>
      <c r="U473" s="558"/>
      <c r="V473" s="559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7" t="s">
        <v>71</v>
      </c>
      <c r="Q474" s="558"/>
      <c r="R474" s="558"/>
      <c r="S474" s="558"/>
      <c r="T474" s="558"/>
      <c r="U474" s="558"/>
      <c r="V474" s="559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61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59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7" t="s">
        <v>71</v>
      </c>
      <c r="Q477" s="558"/>
      <c r="R477" s="558"/>
      <c r="S477" s="558"/>
      <c r="T477" s="558"/>
      <c r="U477" s="558"/>
      <c r="V477" s="559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7" t="s">
        <v>71</v>
      </c>
      <c r="Q478" s="558"/>
      <c r="R478" s="558"/>
      <c r="S478" s="558"/>
      <c r="T478" s="558"/>
      <c r="U478" s="558"/>
      <c r="V478" s="559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61" t="s">
        <v>163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7" t="s">
        <v>71</v>
      </c>
      <c r="Q482" s="558"/>
      <c r="R482" s="558"/>
      <c r="S482" s="558"/>
      <c r="T482" s="558"/>
      <c r="U482" s="558"/>
      <c r="V482" s="559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7" t="s">
        <v>71</v>
      </c>
      <c r="Q483" s="558"/>
      <c r="R483" s="558"/>
      <c r="S483" s="558"/>
      <c r="T483" s="558"/>
      <c r="U483" s="558"/>
      <c r="V483" s="559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0" t="s">
        <v>732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61" t="s">
        <v>135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7" t="s">
        <v>71</v>
      </c>
      <c r="Q487" s="558"/>
      <c r="R487" s="558"/>
      <c r="S487" s="558"/>
      <c r="T487" s="558"/>
      <c r="U487" s="558"/>
      <c r="V487" s="559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7" t="s">
        <v>71</v>
      </c>
      <c r="Q488" s="558"/>
      <c r="R488" s="558"/>
      <c r="S488" s="558"/>
      <c r="T488" s="558"/>
      <c r="U488" s="558"/>
      <c r="V488" s="559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3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06"/>
      <c r="P489" s="625" t="s">
        <v>736</v>
      </c>
      <c r="Q489" s="626"/>
      <c r="R489" s="626"/>
      <c r="S489" s="626"/>
      <c r="T489" s="626"/>
      <c r="U489" s="626"/>
      <c r="V489" s="627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9520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9566.64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6"/>
      <c r="P490" s="625" t="s">
        <v>737</v>
      </c>
      <c r="Q490" s="626"/>
      <c r="R490" s="626"/>
      <c r="S490" s="626"/>
      <c r="T490" s="626"/>
      <c r="U490" s="626"/>
      <c r="V490" s="627"/>
      <c r="W490" s="37" t="s">
        <v>69</v>
      </c>
      <c r="X490" s="543">
        <f>IFERROR(SUM(BM22:BM486),"0")</f>
        <v>10046.573804713804</v>
      </c>
      <c r="Y490" s="543">
        <f>IFERROR(SUM(BN22:BN486),"0")</f>
        <v>10095.621999999999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6"/>
      <c r="P491" s="625" t="s">
        <v>738</v>
      </c>
      <c r="Q491" s="626"/>
      <c r="R491" s="626"/>
      <c r="S491" s="626"/>
      <c r="T491" s="626"/>
      <c r="U491" s="626"/>
      <c r="V491" s="627"/>
      <c r="W491" s="37" t="s">
        <v>739</v>
      </c>
      <c r="X491" s="38">
        <f>ROUNDUP(SUM(BO22:BO486),0)</f>
        <v>17</v>
      </c>
      <c r="Y491" s="38">
        <f>ROUNDUP(SUM(BP22:BP486),0)</f>
        <v>17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6"/>
      <c r="P492" s="625" t="s">
        <v>740</v>
      </c>
      <c r="Q492" s="626"/>
      <c r="R492" s="626"/>
      <c r="S492" s="626"/>
      <c r="T492" s="626"/>
      <c r="U492" s="626"/>
      <c r="V492" s="627"/>
      <c r="W492" s="37" t="s">
        <v>69</v>
      </c>
      <c r="X492" s="543">
        <f>GrossWeightTotal+PalletQtyTotal*25</f>
        <v>10471.573804713804</v>
      </c>
      <c r="Y492" s="543">
        <f>GrossWeightTotalR+PalletQtyTotalR*25</f>
        <v>10520.621999999999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6"/>
      <c r="P493" s="625" t="s">
        <v>741</v>
      </c>
      <c r="Q493" s="626"/>
      <c r="R493" s="626"/>
      <c r="S493" s="626"/>
      <c r="T493" s="626"/>
      <c r="U493" s="626"/>
      <c r="V493" s="627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1384.3739963739963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1391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6"/>
      <c r="P494" s="625" t="s">
        <v>742</v>
      </c>
      <c r="Q494" s="626"/>
      <c r="R494" s="626"/>
      <c r="S494" s="626"/>
      <c r="T494" s="626"/>
      <c r="U494" s="626"/>
      <c r="V494" s="627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19.375609999999998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63"/>
      <c r="E496" s="663"/>
      <c r="F496" s="663"/>
      <c r="G496" s="663"/>
      <c r="H496" s="621"/>
      <c r="I496" s="592" t="s">
        <v>250</v>
      </c>
      <c r="J496" s="663"/>
      <c r="K496" s="663"/>
      <c r="L496" s="663"/>
      <c r="M496" s="663"/>
      <c r="N496" s="663"/>
      <c r="O496" s="663"/>
      <c r="P496" s="663"/>
      <c r="Q496" s="663"/>
      <c r="R496" s="621"/>
      <c r="S496" s="592" t="s">
        <v>530</v>
      </c>
      <c r="T496" s="621"/>
      <c r="U496" s="592" t="s">
        <v>585</v>
      </c>
      <c r="V496" s="663"/>
      <c r="W496" s="621"/>
      <c r="X496" s="538" t="s">
        <v>636</v>
      </c>
      <c r="Y496" s="592" t="s">
        <v>696</v>
      </c>
      <c r="Z496" s="621"/>
      <c r="AB496" s="52"/>
      <c r="AC496" s="52"/>
      <c r="AF496" s="539"/>
    </row>
    <row r="497" spans="1:32" ht="14.25" customHeight="1" thickTop="1" x14ac:dyDescent="0.2">
      <c r="A497" s="813" t="s">
        <v>745</v>
      </c>
      <c r="B497" s="592" t="s">
        <v>63</v>
      </c>
      <c r="C497" s="592" t="s">
        <v>98</v>
      </c>
      <c r="D497" s="592" t="s">
        <v>116</v>
      </c>
      <c r="E497" s="592" t="s">
        <v>170</v>
      </c>
      <c r="F497" s="592" t="s">
        <v>190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14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734.40000000000009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529.20000000000005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201.6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304.2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2085</v>
      </c>
      <c r="T499" s="46">
        <f>IFERROR(Y367*1,"0")+IFERROR(Y368*1,"0")+IFERROR(Y372*1,"0")+IFERROR(Y373*1,"0")+IFERROR(Y377*1,"0")+IFERROR(Y378*1,"0")+IFERROR(Y379*1,"0")</f>
        <v>2502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3210.2400000000002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KsyrZkJsBYn0v0p57SqHd6TtPtMCBscTCBjX3zRZfC0O5DsnhAHZpxfhkhRYQmfjLqUM7baNZPnqVuFh6TgdEA==" saltValue="8KWS2d12fJEDSrDhzUBqKg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270,00"/>
        <filter val="1 384,37"/>
        <filter val="1 400,00"/>
        <filter val="10 046,57"/>
        <filter val="10 471,57"/>
        <filter val="113,64"/>
        <filter val="17"/>
        <filter val="2 500,00"/>
        <filter val="2 600,00"/>
        <filter val="200,00"/>
        <filter val="225,00"/>
        <filter val="27,78"/>
        <filter val="270,00"/>
        <filter val="277,78"/>
        <filter val="300,00"/>
        <filter val="38,46"/>
        <filter val="46,30"/>
        <filter val="492,42"/>
        <filter val="500,00"/>
        <filter val="53,33"/>
        <filter val="600,00"/>
        <filter val="800,00"/>
        <filter val="83,33"/>
        <filter val="84,67"/>
        <filter val="9 520,0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7 X421 X423:X424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ai57I0qyl3NU9xU6W9fvpzPqiYM3RzYA9l/zekjC704yffVkUfJ431EvWCl8S1TE2Fn8CpRYIjNZoV3KJ6O/1w==" saltValue="uz1nQfykUEKLwYQ5X/8O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