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FEF32D6-EEDD-491D-8255-EECBAB1643A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Y473" i="1" s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Z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O367" i="1"/>
  <c r="BM367" i="1"/>
  <c r="Y367" i="1"/>
  <c r="Y369" i="1" s="1"/>
  <c r="P367" i="1"/>
  <c r="X364" i="1"/>
  <c r="X363" i="1"/>
  <c r="BO362" i="1"/>
  <c r="BM362" i="1"/>
  <c r="Y362" i="1"/>
  <c r="P362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X355" i="1"/>
  <c r="X354" i="1"/>
  <c r="BO353" i="1"/>
  <c r="BM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Y280" i="1" s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Z266" i="1" s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BP256" i="1" s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P246" i="1"/>
  <c r="BO245" i="1"/>
  <c r="BM245" i="1"/>
  <c r="Y245" i="1"/>
  <c r="P245" i="1"/>
  <c r="X243" i="1"/>
  <c r="X242" i="1"/>
  <c r="BO241" i="1"/>
  <c r="BM241" i="1"/>
  <c r="Y241" i="1"/>
  <c r="Y242" i="1" s="1"/>
  <c r="P241" i="1"/>
  <c r="X239" i="1"/>
  <c r="X238" i="1"/>
  <c r="BO237" i="1"/>
  <c r="BM237" i="1"/>
  <c r="Y237" i="1"/>
  <c r="Y238" i="1" s="1"/>
  <c r="P237" i="1"/>
  <c r="X235" i="1"/>
  <c r="X234" i="1"/>
  <c r="BO233" i="1"/>
  <c r="BM233" i="1"/>
  <c r="Y233" i="1"/>
  <c r="BP233" i="1" s="1"/>
  <c r="P233" i="1"/>
  <c r="BO232" i="1"/>
  <c r="BM232" i="1"/>
  <c r="Y232" i="1"/>
  <c r="P232" i="1"/>
  <c r="BO231" i="1"/>
  <c r="BM231" i="1"/>
  <c r="Y231" i="1"/>
  <c r="BP231" i="1" s="1"/>
  <c r="P231" i="1"/>
  <c r="BP230" i="1"/>
  <c r="BO230" i="1"/>
  <c r="BN230" i="1"/>
  <c r="BM230" i="1"/>
  <c r="Z230" i="1"/>
  <c r="Y230" i="1"/>
  <c r="P230" i="1"/>
  <c r="BO229" i="1"/>
  <c r="BM229" i="1"/>
  <c r="Y229" i="1"/>
  <c r="BP229" i="1" s="1"/>
  <c r="P229" i="1"/>
  <c r="BO228" i="1"/>
  <c r="BM228" i="1"/>
  <c r="Y228" i="1"/>
  <c r="P228" i="1"/>
  <c r="BO227" i="1"/>
  <c r="BM227" i="1"/>
  <c r="Y227" i="1"/>
  <c r="BP227" i="1" s="1"/>
  <c r="P227" i="1"/>
  <c r="BO226" i="1"/>
  <c r="BM226" i="1"/>
  <c r="Y226" i="1"/>
  <c r="P226" i="1"/>
  <c r="BO225" i="1"/>
  <c r="BM225" i="1"/>
  <c r="Y225" i="1"/>
  <c r="BP225" i="1" s="1"/>
  <c r="P225" i="1"/>
  <c r="BO224" i="1"/>
  <c r="BM224" i="1"/>
  <c r="Y224" i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Y218" i="1"/>
  <c r="Y221" i="1" s="1"/>
  <c r="P218" i="1"/>
  <c r="X216" i="1"/>
  <c r="X215" i="1"/>
  <c r="BO214" i="1"/>
  <c r="BM214" i="1"/>
  <c r="Y214" i="1"/>
  <c r="BP214" i="1" s="1"/>
  <c r="P214" i="1"/>
  <c r="BO213" i="1"/>
  <c r="BM213" i="1"/>
  <c r="Y213" i="1"/>
  <c r="P213" i="1"/>
  <c r="BO212" i="1"/>
  <c r="BM212" i="1"/>
  <c r="Y212" i="1"/>
  <c r="BP212" i="1" s="1"/>
  <c r="P212" i="1"/>
  <c r="BO211" i="1"/>
  <c r="BM211" i="1"/>
  <c r="Y211" i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P195" i="1"/>
  <c r="BO195" i="1"/>
  <c r="BN195" i="1"/>
  <c r="BM195" i="1"/>
  <c r="Z195" i="1"/>
  <c r="Y195" i="1"/>
  <c r="P195" i="1"/>
  <c r="X193" i="1"/>
  <c r="X192" i="1"/>
  <c r="BO191" i="1"/>
  <c r="BM191" i="1"/>
  <c r="Y191" i="1"/>
  <c r="P191" i="1"/>
  <c r="BO190" i="1"/>
  <c r="BM190" i="1"/>
  <c r="Y190" i="1"/>
  <c r="Y193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BO164" i="1"/>
  <c r="BM164" i="1"/>
  <c r="Y164" i="1"/>
  <c r="BP164" i="1" s="1"/>
  <c r="P164" i="1"/>
  <c r="BO163" i="1"/>
  <c r="BM163" i="1"/>
  <c r="Y163" i="1"/>
  <c r="P163" i="1"/>
  <c r="BO162" i="1"/>
  <c r="BM162" i="1"/>
  <c r="Y162" i="1"/>
  <c r="BP162" i="1" s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P151" i="1"/>
  <c r="X149" i="1"/>
  <c r="X148" i="1"/>
  <c r="BO147" i="1"/>
  <c r="BM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O134" i="1"/>
  <c r="BM134" i="1"/>
  <c r="Y134" i="1"/>
  <c r="P134" i="1"/>
  <c r="X132" i="1"/>
  <c r="X131" i="1"/>
  <c r="BO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P55" i="1"/>
  <c r="BO54" i="1"/>
  <c r="BM54" i="1"/>
  <c r="Y54" i="1"/>
  <c r="P54" i="1"/>
  <c r="BP53" i="1"/>
  <c r="BO53" i="1"/>
  <c r="BN53" i="1"/>
  <c r="BM53" i="1"/>
  <c r="Z53" i="1"/>
  <c r="Y53" i="1"/>
  <c r="P53" i="1"/>
  <c r="BO52" i="1"/>
  <c r="BM52" i="1"/>
  <c r="Y52" i="1"/>
  <c r="P52" i="1"/>
  <c r="BO51" i="1"/>
  <c r="BM51" i="1"/>
  <c r="Y51" i="1"/>
  <c r="BP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P29" i="1"/>
  <c r="BO28" i="1"/>
  <c r="BM28" i="1"/>
  <c r="Y28" i="1"/>
  <c r="BP28" i="1" s="1"/>
  <c r="P28" i="1"/>
  <c r="BO27" i="1"/>
  <c r="BM27" i="1"/>
  <c r="Y27" i="1"/>
  <c r="P27" i="1"/>
  <c r="BO26" i="1"/>
  <c r="BM26" i="1"/>
  <c r="Y26" i="1"/>
  <c r="BP26" i="1" s="1"/>
  <c r="P26" i="1"/>
  <c r="X24" i="1"/>
  <c r="X23" i="1"/>
  <c r="BO22" i="1"/>
  <c r="BM22" i="1"/>
  <c r="Y22" i="1"/>
  <c r="Y24" i="1" s="1"/>
  <c r="P22" i="1"/>
  <c r="H10" i="1"/>
  <c r="F10" i="1"/>
  <c r="F9" i="1"/>
  <c r="A9" i="1"/>
  <c r="A10" i="1" s="1"/>
  <c r="D7" i="1"/>
  <c r="Q6" i="1"/>
  <c r="P2" i="1"/>
  <c r="BP168" i="1" l="1"/>
  <c r="BN168" i="1"/>
  <c r="Z168" i="1"/>
  <c r="BP199" i="1"/>
  <c r="BN199" i="1"/>
  <c r="Z199" i="1"/>
  <c r="BP226" i="1"/>
  <c r="BN226" i="1"/>
  <c r="Z226" i="1"/>
  <c r="BP264" i="1"/>
  <c r="BN264" i="1"/>
  <c r="Z264" i="1"/>
  <c r="BP302" i="1"/>
  <c r="BN302" i="1"/>
  <c r="Z302" i="1"/>
  <c r="BP328" i="1"/>
  <c r="BN328" i="1"/>
  <c r="Z328" i="1"/>
  <c r="BP378" i="1"/>
  <c r="BN378" i="1"/>
  <c r="Z378" i="1"/>
  <c r="BP391" i="1"/>
  <c r="BN391" i="1"/>
  <c r="Z391" i="1"/>
  <c r="BP426" i="1"/>
  <c r="BN426" i="1"/>
  <c r="Z426" i="1"/>
  <c r="BP452" i="1"/>
  <c r="BN452" i="1"/>
  <c r="Z452" i="1"/>
  <c r="Z22" i="1"/>
  <c r="Z23" i="1" s="1"/>
  <c r="BN22" i="1"/>
  <c r="BP22" i="1"/>
  <c r="Y23" i="1"/>
  <c r="Z26" i="1"/>
  <c r="BN26" i="1"/>
  <c r="Z42" i="1"/>
  <c r="BN42" i="1"/>
  <c r="Z61" i="1"/>
  <c r="BN61" i="1"/>
  <c r="Z79" i="1"/>
  <c r="BN79" i="1"/>
  <c r="Z99" i="1"/>
  <c r="BN99" i="1"/>
  <c r="Z115" i="1"/>
  <c r="BN115" i="1"/>
  <c r="BP130" i="1"/>
  <c r="BN130" i="1"/>
  <c r="Y153" i="1"/>
  <c r="Y152" i="1"/>
  <c r="BP151" i="1"/>
  <c r="BN151" i="1"/>
  <c r="Z151" i="1"/>
  <c r="Z152" i="1" s="1"/>
  <c r="Y158" i="1"/>
  <c r="BP157" i="1"/>
  <c r="BN157" i="1"/>
  <c r="Z157" i="1"/>
  <c r="Z158" i="1" s="1"/>
  <c r="BP161" i="1"/>
  <c r="BN161" i="1"/>
  <c r="Z161" i="1"/>
  <c r="Y182" i="1"/>
  <c r="Y181" i="1"/>
  <c r="BP180" i="1"/>
  <c r="BN180" i="1"/>
  <c r="Z180" i="1"/>
  <c r="Z181" i="1" s="1"/>
  <c r="BP185" i="1"/>
  <c r="BN185" i="1"/>
  <c r="Z185" i="1"/>
  <c r="BP211" i="1"/>
  <c r="BN211" i="1"/>
  <c r="Z211" i="1"/>
  <c r="BP246" i="1"/>
  <c r="BN246" i="1"/>
  <c r="Z246" i="1"/>
  <c r="BP290" i="1"/>
  <c r="BN290" i="1"/>
  <c r="Z290" i="1"/>
  <c r="BP316" i="1"/>
  <c r="BN316" i="1"/>
  <c r="Z316" i="1"/>
  <c r="BP347" i="1"/>
  <c r="BN347" i="1"/>
  <c r="Z347" i="1"/>
  <c r="BP379" i="1"/>
  <c r="BN379" i="1"/>
  <c r="Z379" i="1"/>
  <c r="BP410" i="1"/>
  <c r="BN410" i="1"/>
  <c r="Z410" i="1"/>
  <c r="BP442" i="1"/>
  <c r="BN442" i="1"/>
  <c r="Z442" i="1"/>
  <c r="BP472" i="1"/>
  <c r="BN472" i="1"/>
  <c r="Z472" i="1"/>
  <c r="Y478" i="1"/>
  <c r="Y477" i="1"/>
  <c r="BP476" i="1"/>
  <c r="BN476" i="1"/>
  <c r="Z476" i="1"/>
  <c r="Z477" i="1" s="1"/>
  <c r="BP480" i="1"/>
  <c r="BN480" i="1"/>
  <c r="Z480" i="1"/>
  <c r="BP55" i="1"/>
  <c r="BN55" i="1"/>
  <c r="BP67" i="1"/>
  <c r="BN67" i="1"/>
  <c r="Z67" i="1"/>
  <c r="BP147" i="1"/>
  <c r="BN147" i="1"/>
  <c r="Z147" i="1"/>
  <c r="BP166" i="1"/>
  <c r="BN166" i="1"/>
  <c r="Z166" i="1"/>
  <c r="BP176" i="1"/>
  <c r="BN176" i="1"/>
  <c r="Z176" i="1"/>
  <c r="BP197" i="1"/>
  <c r="BN197" i="1"/>
  <c r="Z197" i="1"/>
  <c r="BP209" i="1"/>
  <c r="BN209" i="1"/>
  <c r="Z209" i="1"/>
  <c r="BP224" i="1"/>
  <c r="BN224" i="1"/>
  <c r="Z224" i="1"/>
  <c r="BP232" i="1"/>
  <c r="BN232" i="1"/>
  <c r="Z232" i="1"/>
  <c r="BP257" i="1"/>
  <c r="BN257" i="1"/>
  <c r="Z257" i="1"/>
  <c r="BP279" i="1"/>
  <c r="BN279" i="1"/>
  <c r="Z279" i="1"/>
  <c r="BP283" i="1"/>
  <c r="BN283" i="1"/>
  <c r="Z283" i="1"/>
  <c r="BP300" i="1"/>
  <c r="BN300" i="1"/>
  <c r="Z300" i="1"/>
  <c r="Y318" i="1"/>
  <c r="BP314" i="1"/>
  <c r="BN314" i="1"/>
  <c r="Z314" i="1"/>
  <c r="Y317" i="1"/>
  <c r="BP86" i="1"/>
  <c r="BN86" i="1"/>
  <c r="Z86" i="1"/>
  <c r="BP101" i="1"/>
  <c r="BN101" i="1"/>
  <c r="Z101" i="1"/>
  <c r="Y121" i="1"/>
  <c r="Y120" i="1"/>
  <c r="BP119" i="1"/>
  <c r="BN119" i="1"/>
  <c r="Z119" i="1"/>
  <c r="Z120" i="1" s="1"/>
  <c r="BP124" i="1"/>
  <c r="BN124" i="1"/>
  <c r="Z124" i="1"/>
  <c r="J9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Z55" i="1"/>
  <c r="BP75" i="1"/>
  <c r="BN75" i="1"/>
  <c r="Z75" i="1"/>
  <c r="BP94" i="1"/>
  <c r="BN94" i="1"/>
  <c r="Z94" i="1"/>
  <c r="BP113" i="1"/>
  <c r="BN113" i="1"/>
  <c r="Z113" i="1"/>
  <c r="Y136" i="1"/>
  <c r="BP134" i="1"/>
  <c r="BN134" i="1"/>
  <c r="Z134" i="1"/>
  <c r="BP163" i="1"/>
  <c r="BN163" i="1"/>
  <c r="Z163" i="1"/>
  <c r="BP170" i="1"/>
  <c r="BN170" i="1"/>
  <c r="Z170" i="1"/>
  <c r="BP191" i="1"/>
  <c r="BN191" i="1"/>
  <c r="Z191" i="1"/>
  <c r="BP201" i="1"/>
  <c r="BN201" i="1"/>
  <c r="Z201" i="1"/>
  <c r="BP213" i="1"/>
  <c r="BN213" i="1"/>
  <c r="Z213" i="1"/>
  <c r="BP228" i="1"/>
  <c r="BN228" i="1"/>
  <c r="Z228" i="1"/>
  <c r="BP248" i="1"/>
  <c r="BN248" i="1"/>
  <c r="Z248" i="1"/>
  <c r="BP335" i="1"/>
  <c r="BN335" i="1"/>
  <c r="Z335" i="1"/>
  <c r="BP353" i="1"/>
  <c r="BN353" i="1"/>
  <c r="Z353" i="1"/>
  <c r="U499" i="1"/>
  <c r="BP385" i="1"/>
  <c r="BN385" i="1"/>
  <c r="Z385" i="1"/>
  <c r="BP393" i="1"/>
  <c r="BN393" i="1"/>
  <c r="Z393" i="1"/>
  <c r="Y417" i="1"/>
  <c r="W499" i="1"/>
  <c r="Y416" i="1"/>
  <c r="BP415" i="1"/>
  <c r="BN415" i="1"/>
  <c r="Z415" i="1"/>
  <c r="Z416" i="1" s="1"/>
  <c r="BP421" i="1"/>
  <c r="BN421" i="1"/>
  <c r="Z421" i="1"/>
  <c r="BP428" i="1"/>
  <c r="BN428" i="1"/>
  <c r="Z428" i="1"/>
  <c r="BP444" i="1"/>
  <c r="BN444" i="1"/>
  <c r="Z444" i="1"/>
  <c r="Y462" i="1"/>
  <c r="BP458" i="1"/>
  <c r="BN458" i="1"/>
  <c r="Z458" i="1"/>
  <c r="Y81" i="1"/>
  <c r="Y172" i="1"/>
  <c r="Y178" i="1"/>
  <c r="Y187" i="1"/>
  <c r="Y203" i="1"/>
  <c r="Y215" i="1"/>
  <c r="Y250" i="1"/>
  <c r="L499" i="1"/>
  <c r="BP292" i="1"/>
  <c r="BN292" i="1"/>
  <c r="Z292" i="1"/>
  <c r="BP308" i="1"/>
  <c r="BN308" i="1"/>
  <c r="Z308" i="1"/>
  <c r="BP322" i="1"/>
  <c r="BN322" i="1"/>
  <c r="Z322" i="1"/>
  <c r="BP345" i="1"/>
  <c r="BN345" i="1"/>
  <c r="Z345" i="1"/>
  <c r="BP368" i="1"/>
  <c r="BN368" i="1"/>
  <c r="Z368" i="1"/>
  <c r="BP372" i="1"/>
  <c r="BN372" i="1"/>
  <c r="Z372" i="1"/>
  <c r="BP389" i="1"/>
  <c r="BN389" i="1"/>
  <c r="Z389" i="1"/>
  <c r="BP408" i="1"/>
  <c r="BN408" i="1"/>
  <c r="Z408" i="1"/>
  <c r="BP424" i="1"/>
  <c r="BN424" i="1"/>
  <c r="Z424" i="1"/>
  <c r="BP436" i="1"/>
  <c r="BN436" i="1"/>
  <c r="Z436" i="1"/>
  <c r="BP450" i="1"/>
  <c r="BN450" i="1"/>
  <c r="Z450" i="1"/>
  <c r="BP466" i="1"/>
  <c r="BN466" i="1"/>
  <c r="Z466" i="1"/>
  <c r="Y359" i="1"/>
  <c r="Y399" i="1"/>
  <c r="BP27" i="1"/>
  <c r="BN27" i="1"/>
  <c r="Z27" i="1"/>
  <c r="B499" i="1"/>
  <c r="Y31" i="1"/>
  <c r="BP41" i="1"/>
  <c r="BN41" i="1"/>
  <c r="Z41" i="1"/>
  <c r="Z43" i="1" s="1"/>
  <c r="Y69" i="1"/>
  <c r="BP66" i="1"/>
  <c r="BN66" i="1"/>
  <c r="Z66" i="1"/>
  <c r="BP54" i="1"/>
  <c r="BN54" i="1"/>
  <c r="Z54" i="1"/>
  <c r="BP62" i="1"/>
  <c r="BN62" i="1"/>
  <c r="Z62" i="1"/>
  <c r="Y64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BP146" i="1"/>
  <c r="BN146" i="1"/>
  <c r="Z146" i="1"/>
  <c r="Z148" i="1" s="1"/>
  <c r="Y148" i="1"/>
  <c r="X489" i="1"/>
  <c r="Y32" i="1"/>
  <c r="BP29" i="1"/>
  <c r="BN29" i="1"/>
  <c r="Z29" i="1"/>
  <c r="Y43" i="1"/>
  <c r="BP52" i="1"/>
  <c r="BN52" i="1"/>
  <c r="Z52" i="1"/>
  <c r="Z57" i="1" s="1"/>
  <c r="BP56" i="1"/>
  <c r="BN56" i="1"/>
  <c r="Z56" i="1"/>
  <c r="Y58" i="1"/>
  <c r="Y63" i="1"/>
  <c r="BP60" i="1"/>
  <c r="BN60" i="1"/>
  <c r="Z60" i="1"/>
  <c r="Z63" i="1" s="1"/>
  <c r="BP68" i="1"/>
  <c r="BN68" i="1"/>
  <c r="Z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499" i="1"/>
  <c r="Y88" i="1"/>
  <c r="BP85" i="1"/>
  <c r="BN85" i="1"/>
  <c r="Z85" i="1"/>
  <c r="Z88" i="1" s="1"/>
  <c r="BP93" i="1"/>
  <c r="BN93" i="1"/>
  <c r="Z93" i="1"/>
  <c r="F499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9" i="1"/>
  <c r="Y143" i="1"/>
  <c r="BP140" i="1"/>
  <c r="BN140" i="1"/>
  <c r="Z140" i="1"/>
  <c r="Z142" i="1" s="1"/>
  <c r="Y149" i="1"/>
  <c r="Y171" i="1"/>
  <c r="Y177" i="1"/>
  <c r="Y188" i="1"/>
  <c r="Y192" i="1"/>
  <c r="Y204" i="1"/>
  <c r="Y216" i="1"/>
  <c r="Y220" i="1"/>
  <c r="Y235" i="1"/>
  <c r="Y239" i="1"/>
  <c r="Y243" i="1"/>
  <c r="Y251" i="1"/>
  <c r="Y260" i="1"/>
  <c r="M499" i="1"/>
  <c r="Y267" i="1"/>
  <c r="Y268" i="1"/>
  <c r="Y274" i="1"/>
  <c r="BP271" i="1"/>
  <c r="BN271" i="1"/>
  <c r="Z271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BP301" i="1"/>
  <c r="BN301" i="1"/>
  <c r="Z301" i="1"/>
  <c r="BP309" i="1"/>
  <c r="BN309" i="1"/>
  <c r="Z309" i="1"/>
  <c r="BP321" i="1"/>
  <c r="BN321" i="1"/>
  <c r="Z321" i="1"/>
  <c r="BP329" i="1"/>
  <c r="BN329" i="1"/>
  <c r="Z329" i="1"/>
  <c r="Y331" i="1"/>
  <c r="R499" i="1"/>
  <c r="Y337" i="1"/>
  <c r="BP334" i="1"/>
  <c r="BN334" i="1"/>
  <c r="Z334" i="1"/>
  <c r="BP344" i="1"/>
  <c r="BN344" i="1"/>
  <c r="Z344" i="1"/>
  <c r="BP348" i="1"/>
  <c r="BN348" i="1"/>
  <c r="Z348" i="1"/>
  <c r="Y350" i="1"/>
  <c r="Y355" i="1"/>
  <c r="BP352" i="1"/>
  <c r="BN352" i="1"/>
  <c r="Z352" i="1"/>
  <c r="BP373" i="1"/>
  <c r="BN373" i="1"/>
  <c r="Z373" i="1"/>
  <c r="Z374" i="1" s="1"/>
  <c r="Y375" i="1"/>
  <c r="Y381" i="1"/>
  <c r="BP377" i="1"/>
  <c r="BN377" i="1"/>
  <c r="Z377" i="1"/>
  <c r="BP388" i="1"/>
  <c r="BN388" i="1"/>
  <c r="Z388" i="1"/>
  <c r="BP392" i="1"/>
  <c r="BN392" i="1"/>
  <c r="Z392" i="1"/>
  <c r="BP409" i="1"/>
  <c r="BN409" i="1"/>
  <c r="Z409" i="1"/>
  <c r="BP427" i="1"/>
  <c r="BN427" i="1"/>
  <c r="Z427" i="1"/>
  <c r="BP431" i="1"/>
  <c r="BN431" i="1"/>
  <c r="Z431" i="1"/>
  <c r="Y433" i="1"/>
  <c r="Y438" i="1"/>
  <c r="BP435" i="1"/>
  <c r="BN435" i="1"/>
  <c r="Z435" i="1"/>
  <c r="Y439" i="1"/>
  <c r="BP443" i="1"/>
  <c r="BN443" i="1"/>
  <c r="Z443" i="1"/>
  <c r="Y447" i="1"/>
  <c r="BP451" i="1"/>
  <c r="BN451" i="1"/>
  <c r="Z451" i="1"/>
  <c r="Z453" i="1" s="1"/>
  <c r="Y453" i="1"/>
  <c r="J499" i="1"/>
  <c r="S499" i="1"/>
  <c r="H9" i="1"/>
  <c r="X490" i="1"/>
  <c r="X491" i="1"/>
  <c r="X493" i="1"/>
  <c r="C499" i="1"/>
  <c r="Y44" i="1"/>
  <c r="D499" i="1"/>
  <c r="Y57" i="1"/>
  <c r="Y103" i="1"/>
  <c r="G499" i="1"/>
  <c r="Y126" i="1"/>
  <c r="I499" i="1"/>
  <c r="Y159" i="1"/>
  <c r="Z162" i="1"/>
  <c r="BN162" i="1"/>
  <c r="Z164" i="1"/>
  <c r="BN164" i="1"/>
  <c r="Z165" i="1"/>
  <c r="BN165" i="1"/>
  <c r="Z167" i="1"/>
  <c r="BN167" i="1"/>
  <c r="Z169" i="1"/>
  <c r="BN169" i="1"/>
  <c r="Z175" i="1"/>
  <c r="Z177" i="1" s="1"/>
  <c r="BN175" i="1"/>
  <c r="Z186" i="1"/>
  <c r="BN186" i="1"/>
  <c r="Z190" i="1"/>
  <c r="BN190" i="1"/>
  <c r="BP190" i="1"/>
  <c r="Z196" i="1"/>
  <c r="BN196" i="1"/>
  <c r="Z198" i="1"/>
  <c r="BN198" i="1"/>
  <c r="Z200" i="1"/>
  <c r="BN200" i="1"/>
  <c r="Z202" i="1"/>
  <c r="BN202" i="1"/>
  <c r="Z206" i="1"/>
  <c r="BN206" i="1"/>
  <c r="BP206" i="1"/>
  <c r="Z208" i="1"/>
  <c r="BN208" i="1"/>
  <c r="Z210" i="1"/>
  <c r="BN210" i="1"/>
  <c r="Z212" i="1"/>
  <c r="BN212" i="1"/>
  <c r="Z214" i="1"/>
  <c r="BN214" i="1"/>
  <c r="Z218" i="1"/>
  <c r="Z220" i="1" s="1"/>
  <c r="BN218" i="1"/>
  <c r="BP218" i="1"/>
  <c r="K499" i="1"/>
  <c r="Z225" i="1"/>
  <c r="BN225" i="1"/>
  <c r="Z227" i="1"/>
  <c r="BN227" i="1"/>
  <c r="Z229" i="1"/>
  <c r="BN229" i="1"/>
  <c r="Z231" i="1"/>
  <c r="BN231" i="1"/>
  <c r="Z233" i="1"/>
  <c r="BN233" i="1"/>
  <c r="Y234" i="1"/>
  <c r="Z237" i="1"/>
  <c r="Z238" i="1" s="1"/>
  <c r="BN237" i="1"/>
  <c r="BP237" i="1"/>
  <c r="Z241" i="1"/>
  <c r="Z242" i="1" s="1"/>
  <c r="BN241" i="1"/>
  <c r="BP241" i="1"/>
  <c r="Z245" i="1"/>
  <c r="BN245" i="1"/>
  <c r="BP245" i="1"/>
  <c r="Z247" i="1"/>
  <c r="BN247" i="1"/>
  <c r="Z249" i="1"/>
  <c r="BN249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BP266" i="1"/>
  <c r="BN266" i="1"/>
  <c r="BP273" i="1"/>
  <c r="BN273" i="1"/>
  <c r="Z273" i="1"/>
  <c r="Y275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05" i="1"/>
  <c r="Y312" i="1"/>
  <c r="BP307" i="1"/>
  <c r="BN307" i="1"/>
  <c r="Z307" i="1"/>
  <c r="Y311" i="1"/>
  <c r="BP315" i="1"/>
  <c r="BN315" i="1"/>
  <c r="Z315" i="1"/>
  <c r="Z317" i="1" s="1"/>
  <c r="Y324" i="1"/>
  <c r="BP323" i="1"/>
  <c r="BN323" i="1"/>
  <c r="Z323" i="1"/>
  <c r="Y325" i="1"/>
  <c r="Y330" i="1"/>
  <c r="BP327" i="1"/>
  <c r="BN327" i="1"/>
  <c r="Z327" i="1"/>
  <c r="BP336" i="1"/>
  <c r="BN336" i="1"/>
  <c r="Z336" i="1"/>
  <c r="Y338" i="1"/>
  <c r="Y349" i="1"/>
  <c r="BP342" i="1"/>
  <c r="BN342" i="1"/>
  <c r="Z342" i="1"/>
  <c r="BP346" i="1"/>
  <c r="BN346" i="1"/>
  <c r="Z346" i="1"/>
  <c r="Y354" i="1"/>
  <c r="BP358" i="1"/>
  <c r="BN358" i="1"/>
  <c r="Z358" i="1"/>
  <c r="Z359" i="1" s="1"/>
  <c r="Y360" i="1"/>
  <c r="Y363" i="1"/>
  <c r="BP362" i="1"/>
  <c r="BN362" i="1"/>
  <c r="Z362" i="1"/>
  <c r="Z363" i="1" s="1"/>
  <c r="Y364" i="1"/>
  <c r="T499" i="1"/>
  <c r="Y370" i="1"/>
  <c r="BP367" i="1"/>
  <c r="BN367" i="1"/>
  <c r="Z367" i="1"/>
  <c r="Z369" i="1" s="1"/>
  <c r="Y374" i="1"/>
  <c r="Y380" i="1"/>
  <c r="BP386" i="1"/>
  <c r="BN386" i="1"/>
  <c r="Z386" i="1"/>
  <c r="BP390" i="1"/>
  <c r="BN390" i="1"/>
  <c r="Z390" i="1"/>
  <c r="Y394" i="1"/>
  <c r="BP398" i="1"/>
  <c r="BN398" i="1"/>
  <c r="Z398" i="1"/>
  <c r="Z399" i="1" s="1"/>
  <c r="Y400" i="1"/>
  <c r="V499" i="1"/>
  <c r="Y404" i="1"/>
  <c r="BP403" i="1"/>
  <c r="BN403" i="1"/>
  <c r="Z403" i="1"/>
  <c r="Z404" i="1" s="1"/>
  <c r="Y405" i="1"/>
  <c r="Y412" i="1"/>
  <c r="BP407" i="1"/>
  <c r="BN407" i="1"/>
  <c r="Z407" i="1"/>
  <c r="Z411" i="1" s="1"/>
  <c r="Y411" i="1"/>
  <c r="BP422" i="1"/>
  <c r="BN422" i="1"/>
  <c r="Z422" i="1"/>
  <c r="BP461" i="1"/>
  <c r="BN461" i="1"/>
  <c r="Z461" i="1"/>
  <c r="Y463" i="1"/>
  <c r="Y468" i="1"/>
  <c r="BP465" i="1"/>
  <c r="BN465" i="1"/>
  <c r="Z465" i="1"/>
  <c r="Y469" i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O499" i="1"/>
  <c r="Y395" i="1"/>
  <c r="X499" i="1"/>
  <c r="Y432" i="1"/>
  <c r="BP423" i="1"/>
  <c r="BN423" i="1"/>
  <c r="BP425" i="1"/>
  <c r="BN425" i="1"/>
  <c r="Z425" i="1"/>
  <c r="BP429" i="1"/>
  <c r="BN429" i="1"/>
  <c r="Z429" i="1"/>
  <c r="BP437" i="1"/>
  <c r="BN437" i="1"/>
  <c r="Z437" i="1"/>
  <c r="Y448" i="1"/>
  <c r="BP441" i="1"/>
  <c r="BN441" i="1"/>
  <c r="Z441" i="1"/>
  <c r="BP445" i="1"/>
  <c r="BN445" i="1"/>
  <c r="Z445" i="1"/>
  <c r="Y454" i="1"/>
  <c r="BP459" i="1"/>
  <c r="BN459" i="1"/>
  <c r="Z459" i="1"/>
  <c r="BP467" i="1"/>
  <c r="BN467" i="1"/>
  <c r="Z467" i="1"/>
  <c r="Y474" i="1"/>
  <c r="BP471" i="1"/>
  <c r="BN471" i="1"/>
  <c r="Z471" i="1"/>
  <c r="Z473" i="1" s="1"/>
  <c r="Y482" i="1"/>
  <c r="Y499" i="1"/>
  <c r="Z462" i="1" l="1"/>
  <c r="Z349" i="1"/>
  <c r="Z330" i="1"/>
  <c r="Z311" i="1"/>
  <c r="Z267" i="1"/>
  <c r="Z259" i="1"/>
  <c r="Z192" i="1"/>
  <c r="Z187" i="1"/>
  <c r="X492" i="1"/>
  <c r="Z380" i="1"/>
  <c r="Z354" i="1"/>
  <c r="Z234" i="1"/>
  <c r="Z171" i="1"/>
  <c r="Z324" i="1"/>
  <c r="Y493" i="1"/>
  <c r="Z31" i="1"/>
  <c r="Y491" i="1"/>
  <c r="Z447" i="1"/>
  <c r="Z394" i="1"/>
  <c r="Z203" i="1"/>
  <c r="Y490" i="1"/>
  <c r="Y492" i="1" s="1"/>
  <c r="Y489" i="1"/>
  <c r="Z103" i="1"/>
  <c r="Z468" i="1"/>
  <c r="Z250" i="1"/>
  <c r="Z215" i="1"/>
  <c r="Z337" i="1"/>
  <c r="Z304" i="1"/>
  <c r="Z294" i="1"/>
  <c r="Z432" i="1"/>
  <c r="Z438" i="1"/>
  <c r="Z274" i="1"/>
  <c r="Z116" i="1"/>
  <c r="Z95" i="1"/>
  <c r="Z69" i="1"/>
  <c r="Z494" i="1" l="1"/>
</calcChain>
</file>

<file path=xl/sharedStrings.xml><?xml version="1.0" encoding="utf-8"?>
<sst xmlns="http://schemas.openxmlformats.org/spreadsheetml/2006/main" count="2317" uniqueCount="763">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</sst>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4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75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803" t="s">
        <v>0</v>
      </c>
      <c r="E1" s="595"/>
      <c r="F1" s="595"/>
      <c r="G1" s="12" t="s">
        <v>1</v>
      </c>
      <c r="H1" s="803" t="s">
        <v>2</v>
      </c>
      <c r="I1" s="595"/>
      <c r="J1" s="595"/>
      <c r="K1" s="595"/>
      <c r="L1" s="595"/>
      <c r="M1" s="595"/>
      <c r="N1" s="595"/>
      <c r="O1" s="595"/>
      <c r="P1" s="595"/>
      <c r="Q1" s="595"/>
      <c r="R1" s="846" t="s">
        <v>3</v>
      </c>
      <c r="S1" s="595"/>
      <c r="T1" s="5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6"/>
      <c r="R2" s="546"/>
      <c r="S2" s="546"/>
      <c r="T2" s="546"/>
      <c r="U2" s="546"/>
      <c r="V2" s="546"/>
      <c r="W2" s="546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6"/>
      <c r="Q3" s="546"/>
      <c r="R3" s="546"/>
      <c r="S3" s="546"/>
      <c r="T3" s="546"/>
      <c r="U3" s="546"/>
      <c r="V3" s="546"/>
      <c r="W3" s="546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769" t="s">
        <v>8</v>
      </c>
      <c r="B5" s="621"/>
      <c r="C5" s="603"/>
      <c r="D5" s="660"/>
      <c r="E5" s="662"/>
      <c r="F5" s="602" t="s">
        <v>9</v>
      </c>
      <c r="G5" s="603"/>
      <c r="H5" s="660" t="s">
        <v>762</v>
      </c>
      <c r="I5" s="661"/>
      <c r="J5" s="661"/>
      <c r="K5" s="661"/>
      <c r="L5" s="661"/>
      <c r="M5" s="662"/>
      <c r="N5" s="58"/>
      <c r="P5" s="24" t="s">
        <v>10</v>
      </c>
      <c r="Q5" s="583">
        <v>45992</v>
      </c>
      <c r="R5" s="584"/>
      <c r="T5" s="736" t="s">
        <v>11</v>
      </c>
      <c r="U5" s="575"/>
      <c r="V5" s="737" t="s">
        <v>12</v>
      </c>
      <c r="W5" s="584"/>
      <c r="AB5" s="51"/>
      <c r="AC5" s="51"/>
      <c r="AD5" s="51"/>
      <c r="AE5" s="51"/>
    </row>
    <row r="6" spans="1:32" s="535" customFormat="1" ht="24" customHeight="1" x14ac:dyDescent="0.2">
      <c r="A6" s="769" t="s">
        <v>13</v>
      </c>
      <c r="B6" s="621"/>
      <c r="C6" s="603"/>
      <c r="D6" s="664" t="s">
        <v>14</v>
      </c>
      <c r="E6" s="665"/>
      <c r="F6" s="665"/>
      <c r="G6" s="665"/>
      <c r="H6" s="665"/>
      <c r="I6" s="665"/>
      <c r="J6" s="665"/>
      <c r="K6" s="665"/>
      <c r="L6" s="665"/>
      <c r="M6" s="584"/>
      <c r="N6" s="59"/>
      <c r="P6" s="24" t="s">
        <v>15</v>
      </c>
      <c r="Q6" s="591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41" t="s">
        <v>16</v>
      </c>
      <c r="U6" s="575"/>
      <c r="V6" s="717" t="s">
        <v>17</v>
      </c>
      <c r="W6" s="718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817" t="str">
        <f>IFERROR(VLOOKUP(DeliveryAddress,Table,3,0),1)</f>
        <v>1</v>
      </c>
      <c r="E7" s="818"/>
      <c r="F7" s="818"/>
      <c r="G7" s="818"/>
      <c r="H7" s="818"/>
      <c r="I7" s="818"/>
      <c r="J7" s="818"/>
      <c r="K7" s="818"/>
      <c r="L7" s="818"/>
      <c r="M7" s="739"/>
      <c r="N7" s="60"/>
      <c r="P7" s="24"/>
      <c r="Q7" s="42"/>
      <c r="R7" s="42"/>
      <c r="T7" s="546"/>
      <c r="U7" s="575"/>
      <c r="V7" s="719"/>
      <c r="W7" s="720"/>
      <c r="AB7" s="51"/>
      <c r="AC7" s="51"/>
      <c r="AD7" s="51"/>
      <c r="AE7" s="51"/>
    </row>
    <row r="8" spans="1:32" s="535" customFormat="1" ht="25.5" customHeight="1" x14ac:dyDescent="0.2">
      <c r="A8" s="564" t="s">
        <v>18</v>
      </c>
      <c r="B8" s="551"/>
      <c r="C8" s="552"/>
      <c r="D8" s="826" t="s">
        <v>19</v>
      </c>
      <c r="E8" s="827"/>
      <c r="F8" s="827"/>
      <c r="G8" s="827"/>
      <c r="H8" s="827"/>
      <c r="I8" s="827"/>
      <c r="J8" s="827"/>
      <c r="K8" s="827"/>
      <c r="L8" s="827"/>
      <c r="M8" s="828"/>
      <c r="N8" s="61"/>
      <c r="P8" s="24" t="s">
        <v>20</v>
      </c>
      <c r="Q8" s="738">
        <v>0.5</v>
      </c>
      <c r="R8" s="739"/>
      <c r="T8" s="546"/>
      <c r="U8" s="575"/>
      <c r="V8" s="719"/>
      <c r="W8" s="720"/>
      <c r="AB8" s="51"/>
      <c r="AC8" s="51"/>
      <c r="AD8" s="51"/>
      <c r="AE8" s="51"/>
    </row>
    <row r="9" spans="1:32" s="535" customFormat="1" ht="39.950000000000003" customHeight="1" x14ac:dyDescent="0.2">
      <c r="A9" s="5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6"/>
      <c r="C9" s="546"/>
      <c r="D9" s="612"/>
      <c r="E9" s="613"/>
      <c r="F9" s="5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6"/>
      <c r="H9" s="712" t="str">
        <f>IF(AND($A$9="Тип доверенности/получателя при получении в адресе перегруза:",$D$9="Разовая доверенность"),"Введите ФИО","")</f>
        <v/>
      </c>
      <c r="I9" s="613"/>
      <c r="J9" s="71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13"/>
      <c r="L9" s="613"/>
      <c r="M9" s="613"/>
      <c r="N9" s="533"/>
      <c r="P9" s="26" t="s">
        <v>21</v>
      </c>
      <c r="Q9" s="786"/>
      <c r="R9" s="607"/>
      <c r="T9" s="546"/>
      <c r="U9" s="575"/>
      <c r="V9" s="721"/>
      <c r="W9" s="722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5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6"/>
      <c r="C10" s="546"/>
      <c r="D10" s="612"/>
      <c r="E10" s="613"/>
      <c r="F10" s="5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6"/>
      <c r="H10" s="680" t="str">
        <f>IFERROR(VLOOKUP($D$10,Proxy,2,FALSE),"")</f>
        <v/>
      </c>
      <c r="I10" s="546"/>
      <c r="J10" s="546"/>
      <c r="K10" s="546"/>
      <c r="L10" s="546"/>
      <c r="M10" s="546"/>
      <c r="N10" s="534"/>
      <c r="P10" s="26" t="s">
        <v>22</v>
      </c>
      <c r="Q10" s="742"/>
      <c r="R10" s="743"/>
      <c r="U10" s="24" t="s">
        <v>23</v>
      </c>
      <c r="V10" s="841" t="s">
        <v>24</v>
      </c>
      <c r="W10" s="718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4"/>
      <c r="U11" s="24" t="s">
        <v>27</v>
      </c>
      <c r="V11" s="606" t="s">
        <v>28</v>
      </c>
      <c r="W11" s="607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725" t="s">
        <v>29</v>
      </c>
      <c r="B12" s="621"/>
      <c r="C12" s="621"/>
      <c r="D12" s="621"/>
      <c r="E12" s="621"/>
      <c r="F12" s="621"/>
      <c r="G12" s="621"/>
      <c r="H12" s="621"/>
      <c r="I12" s="621"/>
      <c r="J12" s="621"/>
      <c r="K12" s="621"/>
      <c r="L12" s="621"/>
      <c r="M12" s="603"/>
      <c r="N12" s="62"/>
      <c r="P12" s="24" t="s">
        <v>30</v>
      </c>
      <c r="Q12" s="738"/>
      <c r="R12" s="739"/>
      <c r="S12" s="23"/>
      <c r="U12" s="24"/>
      <c r="V12" s="595"/>
      <c r="W12" s="546"/>
      <c r="AB12" s="51"/>
      <c r="AC12" s="51"/>
      <c r="AD12" s="51"/>
      <c r="AE12" s="51"/>
    </row>
    <row r="13" spans="1:32" s="535" customFormat="1" ht="23.25" customHeight="1" x14ac:dyDescent="0.2">
      <c r="A13" s="725" t="s">
        <v>31</v>
      </c>
      <c r="B13" s="621"/>
      <c r="C13" s="621"/>
      <c r="D13" s="621"/>
      <c r="E13" s="621"/>
      <c r="F13" s="621"/>
      <c r="G13" s="621"/>
      <c r="H13" s="621"/>
      <c r="I13" s="621"/>
      <c r="J13" s="621"/>
      <c r="K13" s="621"/>
      <c r="L13" s="621"/>
      <c r="M13" s="603"/>
      <c r="N13" s="62"/>
      <c r="O13" s="26"/>
      <c r="P13" s="26" t="s">
        <v>32</v>
      </c>
      <c r="Q13" s="606"/>
      <c r="R13" s="60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725" t="s">
        <v>33</v>
      </c>
      <c r="B14" s="621"/>
      <c r="C14" s="621"/>
      <c r="D14" s="621"/>
      <c r="E14" s="621"/>
      <c r="F14" s="621"/>
      <c r="G14" s="621"/>
      <c r="H14" s="621"/>
      <c r="I14" s="621"/>
      <c r="J14" s="621"/>
      <c r="K14" s="621"/>
      <c r="L14" s="621"/>
      <c r="M14" s="60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7" t="s">
        <v>34</v>
      </c>
      <c r="B15" s="621"/>
      <c r="C15" s="621"/>
      <c r="D15" s="621"/>
      <c r="E15" s="621"/>
      <c r="F15" s="621"/>
      <c r="G15" s="621"/>
      <c r="H15" s="621"/>
      <c r="I15" s="621"/>
      <c r="J15" s="621"/>
      <c r="K15" s="621"/>
      <c r="L15" s="621"/>
      <c r="M15" s="603"/>
      <c r="N15" s="63"/>
      <c r="P15" s="733" t="s">
        <v>35</v>
      </c>
      <c r="Q15" s="595"/>
      <c r="R15" s="595"/>
      <c r="S15" s="595"/>
      <c r="T15" s="5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34"/>
      <c r="Q16" s="734"/>
      <c r="R16" s="734"/>
      <c r="S16" s="734"/>
      <c r="T16" s="7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68" t="s">
        <v>36</v>
      </c>
      <c r="B17" s="568" t="s">
        <v>37</v>
      </c>
      <c r="C17" s="773" t="s">
        <v>38</v>
      </c>
      <c r="D17" s="568" t="s">
        <v>39</v>
      </c>
      <c r="E17" s="569"/>
      <c r="F17" s="568" t="s">
        <v>40</v>
      </c>
      <c r="G17" s="568" t="s">
        <v>41</v>
      </c>
      <c r="H17" s="568" t="s">
        <v>42</v>
      </c>
      <c r="I17" s="568" t="s">
        <v>43</v>
      </c>
      <c r="J17" s="568" t="s">
        <v>44</v>
      </c>
      <c r="K17" s="568" t="s">
        <v>45</v>
      </c>
      <c r="L17" s="568" t="s">
        <v>46</v>
      </c>
      <c r="M17" s="568" t="s">
        <v>47</v>
      </c>
      <c r="N17" s="568" t="s">
        <v>48</v>
      </c>
      <c r="O17" s="568" t="s">
        <v>49</v>
      </c>
      <c r="P17" s="568" t="s">
        <v>50</v>
      </c>
      <c r="Q17" s="810"/>
      <c r="R17" s="810"/>
      <c r="S17" s="810"/>
      <c r="T17" s="569"/>
      <c r="U17" s="729" t="s">
        <v>51</v>
      </c>
      <c r="V17" s="603"/>
      <c r="W17" s="568" t="s">
        <v>52</v>
      </c>
      <c r="X17" s="568" t="s">
        <v>53</v>
      </c>
      <c r="Y17" s="730" t="s">
        <v>54</v>
      </c>
      <c r="Z17" s="723" t="s">
        <v>55</v>
      </c>
      <c r="AA17" s="596" t="s">
        <v>56</v>
      </c>
      <c r="AB17" s="596" t="s">
        <v>57</v>
      </c>
      <c r="AC17" s="596" t="s">
        <v>58</v>
      </c>
      <c r="AD17" s="596" t="s">
        <v>59</v>
      </c>
      <c r="AE17" s="597"/>
      <c r="AF17" s="598"/>
      <c r="AG17" s="66"/>
      <c r="BD17" s="65" t="s">
        <v>60</v>
      </c>
    </row>
    <row r="18" spans="1:68" ht="14.25" customHeight="1" x14ac:dyDescent="0.2">
      <c r="A18" s="572"/>
      <c r="B18" s="572"/>
      <c r="C18" s="572"/>
      <c r="D18" s="570"/>
      <c r="E18" s="571"/>
      <c r="F18" s="572"/>
      <c r="G18" s="572"/>
      <c r="H18" s="572"/>
      <c r="I18" s="572"/>
      <c r="J18" s="572"/>
      <c r="K18" s="572"/>
      <c r="L18" s="572"/>
      <c r="M18" s="572"/>
      <c r="N18" s="572"/>
      <c r="O18" s="572"/>
      <c r="P18" s="570"/>
      <c r="Q18" s="811"/>
      <c r="R18" s="811"/>
      <c r="S18" s="811"/>
      <c r="T18" s="571"/>
      <c r="U18" s="67" t="s">
        <v>61</v>
      </c>
      <c r="V18" s="67" t="s">
        <v>62</v>
      </c>
      <c r="W18" s="572"/>
      <c r="X18" s="572"/>
      <c r="Y18" s="731"/>
      <c r="Z18" s="724"/>
      <c r="AA18" s="659"/>
      <c r="AB18" s="659"/>
      <c r="AC18" s="659"/>
      <c r="AD18" s="599"/>
      <c r="AE18" s="600"/>
      <c r="AF18" s="601"/>
      <c r="AG18" s="66"/>
      <c r="BD18" s="65"/>
    </row>
    <row r="19" spans="1:68" ht="27.75" hidden="1" customHeight="1" x14ac:dyDescent="0.2">
      <c r="A19" s="645" t="s">
        <v>63</v>
      </c>
      <c r="B19" s="646"/>
      <c r="C19" s="646"/>
      <c r="D19" s="646"/>
      <c r="E19" s="646"/>
      <c r="F19" s="646"/>
      <c r="G19" s="646"/>
      <c r="H19" s="646"/>
      <c r="I19" s="646"/>
      <c r="J19" s="646"/>
      <c r="K19" s="646"/>
      <c r="L19" s="646"/>
      <c r="M19" s="646"/>
      <c r="N19" s="646"/>
      <c r="O19" s="646"/>
      <c r="P19" s="646"/>
      <c r="Q19" s="646"/>
      <c r="R19" s="646"/>
      <c r="S19" s="646"/>
      <c r="T19" s="646"/>
      <c r="U19" s="646"/>
      <c r="V19" s="646"/>
      <c r="W19" s="646"/>
      <c r="X19" s="646"/>
      <c r="Y19" s="646"/>
      <c r="Z19" s="646"/>
      <c r="AA19" s="48"/>
      <c r="AB19" s="48"/>
      <c r="AC19" s="48"/>
    </row>
    <row r="20" spans="1:68" ht="16.5" hidden="1" customHeight="1" x14ac:dyDescent="0.25">
      <c r="A20" s="545" t="s">
        <v>63</v>
      </c>
      <c r="B20" s="546"/>
      <c r="C20" s="546"/>
      <c r="D20" s="546"/>
      <c r="E20" s="546"/>
      <c r="F20" s="546"/>
      <c r="G20" s="546"/>
      <c r="H20" s="546"/>
      <c r="I20" s="546"/>
      <c r="J20" s="546"/>
      <c r="K20" s="546"/>
      <c r="L20" s="546"/>
      <c r="M20" s="546"/>
      <c r="N20" s="546"/>
      <c r="O20" s="546"/>
      <c r="P20" s="546"/>
      <c r="Q20" s="546"/>
      <c r="R20" s="546"/>
      <c r="S20" s="546"/>
      <c r="T20" s="546"/>
      <c r="U20" s="546"/>
      <c r="V20" s="546"/>
      <c r="W20" s="546"/>
      <c r="X20" s="546"/>
      <c r="Y20" s="546"/>
      <c r="Z20" s="546"/>
      <c r="AA20" s="536"/>
      <c r="AB20" s="536"/>
      <c r="AC20" s="536"/>
    </row>
    <row r="21" spans="1:68" ht="14.25" hidden="1" customHeight="1" x14ac:dyDescent="0.25">
      <c r="A21" s="553" t="s">
        <v>64</v>
      </c>
      <c r="B21" s="546"/>
      <c r="C21" s="546"/>
      <c r="D21" s="546"/>
      <c r="E21" s="546"/>
      <c r="F21" s="546"/>
      <c r="G21" s="546"/>
      <c r="H21" s="546"/>
      <c r="I21" s="546"/>
      <c r="J21" s="546"/>
      <c r="K21" s="546"/>
      <c r="L21" s="546"/>
      <c r="M21" s="546"/>
      <c r="N21" s="546"/>
      <c r="O21" s="546"/>
      <c r="P21" s="546"/>
      <c r="Q21" s="546"/>
      <c r="R21" s="546"/>
      <c r="S21" s="546"/>
      <c r="T21" s="546"/>
      <c r="U21" s="546"/>
      <c r="V21" s="546"/>
      <c r="W21" s="546"/>
      <c r="X21" s="546"/>
      <c r="Y21" s="546"/>
      <c r="Z21" s="546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56">
        <v>4680115886643</v>
      </c>
      <c r="E22" s="557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6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8"/>
      <c r="B23" s="546"/>
      <c r="C23" s="546"/>
      <c r="D23" s="546"/>
      <c r="E23" s="546"/>
      <c r="F23" s="546"/>
      <c r="G23" s="546"/>
      <c r="H23" s="546"/>
      <c r="I23" s="546"/>
      <c r="J23" s="546"/>
      <c r="K23" s="546"/>
      <c r="L23" s="546"/>
      <c r="M23" s="546"/>
      <c r="N23" s="546"/>
      <c r="O23" s="559"/>
      <c r="P23" s="550" t="s">
        <v>71</v>
      </c>
      <c r="Q23" s="551"/>
      <c r="R23" s="551"/>
      <c r="S23" s="551"/>
      <c r="T23" s="551"/>
      <c r="U23" s="551"/>
      <c r="V23" s="552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46"/>
      <c r="B24" s="546"/>
      <c r="C24" s="546"/>
      <c r="D24" s="546"/>
      <c r="E24" s="546"/>
      <c r="F24" s="546"/>
      <c r="G24" s="546"/>
      <c r="H24" s="546"/>
      <c r="I24" s="546"/>
      <c r="J24" s="546"/>
      <c r="K24" s="546"/>
      <c r="L24" s="546"/>
      <c r="M24" s="546"/>
      <c r="N24" s="546"/>
      <c r="O24" s="559"/>
      <c r="P24" s="550" t="s">
        <v>71</v>
      </c>
      <c r="Q24" s="551"/>
      <c r="R24" s="551"/>
      <c r="S24" s="551"/>
      <c r="T24" s="551"/>
      <c r="U24" s="551"/>
      <c r="V24" s="552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3" t="s">
        <v>73</v>
      </c>
      <c r="B25" s="546"/>
      <c r="C25" s="546"/>
      <c r="D25" s="546"/>
      <c r="E25" s="546"/>
      <c r="F25" s="546"/>
      <c r="G25" s="546"/>
      <c r="H25" s="546"/>
      <c r="I25" s="546"/>
      <c r="J25" s="546"/>
      <c r="K25" s="546"/>
      <c r="L25" s="546"/>
      <c r="M25" s="546"/>
      <c r="N25" s="546"/>
      <c r="O25" s="546"/>
      <c r="P25" s="546"/>
      <c r="Q25" s="546"/>
      <c r="R25" s="546"/>
      <c r="S25" s="546"/>
      <c r="T25" s="546"/>
      <c r="U25" s="546"/>
      <c r="V25" s="546"/>
      <c r="W25" s="546"/>
      <c r="X25" s="546"/>
      <c r="Y25" s="546"/>
      <c r="Z25" s="546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56">
        <v>4680115885912</v>
      </c>
      <c r="E26" s="557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6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56">
        <v>4607091388237</v>
      </c>
      <c r="E27" s="557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6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56">
        <v>4680115887350</v>
      </c>
      <c r="E28" s="557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84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56">
        <v>4680115885905</v>
      </c>
      <c r="E29" s="557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82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56">
        <v>4607091388244</v>
      </c>
      <c r="E30" s="557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85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8"/>
      <c r="B31" s="546"/>
      <c r="C31" s="546"/>
      <c r="D31" s="546"/>
      <c r="E31" s="546"/>
      <c r="F31" s="546"/>
      <c r="G31" s="546"/>
      <c r="H31" s="546"/>
      <c r="I31" s="546"/>
      <c r="J31" s="546"/>
      <c r="K31" s="546"/>
      <c r="L31" s="546"/>
      <c r="M31" s="546"/>
      <c r="N31" s="546"/>
      <c r="O31" s="559"/>
      <c r="P31" s="550" t="s">
        <v>71</v>
      </c>
      <c r="Q31" s="551"/>
      <c r="R31" s="551"/>
      <c r="S31" s="551"/>
      <c r="T31" s="551"/>
      <c r="U31" s="551"/>
      <c r="V31" s="552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46"/>
      <c r="B32" s="546"/>
      <c r="C32" s="546"/>
      <c r="D32" s="546"/>
      <c r="E32" s="546"/>
      <c r="F32" s="546"/>
      <c r="G32" s="546"/>
      <c r="H32" s="546"/>
      <c r="I32" s="546"/>
      <c r="J32" s="546"/>
      <c r="K32" s="546"/>
      <c r="L32" s="546"/>
      <c r="M32" s="546"/>
      <c r="N32" s="546"/>
      <c r="O32" s="559"/>
      <c r="P32" s="550" t="s">
        <v>71</v>
      </c>
      <c r="Q32" s="551"/>
      <c r="R32" s="551"/>
      <c r="S32" s="551"/>
      <c r="T32" s="551"/>
      <c r="U32" s="551"/>
      <c r="V32" s="552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3" t="s">
        <v>91</v>
      </c>
      <c r="B33" s="546"/>
      <c r="C33" s="546"/>
      <c r="D33" s="546"/>
      <c r="E33" s="546"/>
      <c r="F33" s="546"/>
      <c r="G33" s="546"/>
      <c r="H33" s="546"/>
      <c r="I33" s="546"/>
      <c r="J33" s="546"/>
      <c r="K33" s="546"/>
      <c r="L33" s="546"/>
      <c r="M33" s="546"/>
      <c r="N33" s="546"/>
      <c r="O33" s="546"/>
      <c r="P33" s="546"/>
      <c r="Q33" s="546"/>
      <c r="R33" s="546"/>
      <c r="S33" s="546"/>
      <c r="T33" s="546"/>
      <c r="U33" s="546"/>
      <c r="V33" s="546"/>
      <c r="W33" s="546"/>
      <c r="X33" s="546"/>
      <c r="Y33" s="546"/>
      <c r="Z33" s="546"/>
      <c r="AA33" s="537"/>
      <c r="AB33" s="537"/>
      <c r="AC33" s="537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00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8"/>
      <c r="B35" s="546"/>
      <c r="C35" s="546"/>
      <c r="D35" s="546"/>
      <c r="E35" s="546"/>
      <c r="F35" s="546"/>
      <c r="G35" s="546"/>
      <c r="H35" s="546"/>
      <c r="I35" s="546"/>
      <c r="J35" s="546"/>
      <c r="K35" s="546"/>
      <c r="L35" s="546"/>
      <c r="M35" s="546"/>
      <c r="N35" s="546"/>
      <c r="O35" s="559"/>
      <c r="P35" s="550" t="s">
        <v>71</v>
      </c>
      <c r="Q35" s="551"/>
      <c r="R35" s="551"/>
      <c r="S35" s="551"/>
      <c r="T35" s="551"/>
      <c r="U35" s="551"/>
      <c r="V35" s="552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46"/>
      <c r="B36" s="546"/>
      <c r="C36" s="546"/>
      <c r="D36" s="546"/>
      <c r="E36" s="546"/>
      <c r="F36" s="546"/>
      <c r="G36" s="546"/>
      <c r="H36" s="546"/>
      <c r="I36" s="546"/>
      <c r="J36" s="546"/>
      <c r="K36" s="546"/>
      <c r="L36" s="546"/>
      <c r="M36" s="546"/>
      <c r="N36" s="546"/>
      <c r="O36" s="559"/>
      <c r="P36" s="550" t="s">
        <v>71</v>
      </c>
      <c r="Q36" s="551"/>
      <c r="R36" s="551"/>
      <c r="S36" s="551"/>
      <c r="T36" s="551"/>
      <c r="U36" s="551"/>
      <c r="V36" s="552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45" t="s">
        <v>97</v>
      </c>
      <c r="B37" s="646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646"/>
      <c r="U37" s="646"/>
      <c r="V37" s="646"/>
      <c r="W37" s="646"/>
      <c r="X37" s="646"/>
      <c r="Y37" s="646"/>
      <c r="Z37" s="646"/>
      <c r="AA37" s="48"/>
      <c r="AB37" s="48"/>
      <c r="AC37" s="48"/>
    </row>
    <row r="38" spans="1:68" ht="16.5" hidden="1" customHeight="1" x14ac:dyDescent="0.25">
      <c r="A38" s="545" t="s">
        <v>98</v>
      </c>
      <c r="B38" s="546"/>
      <c r="C38" s="546"/>
      <c r="D38" s="546"/>
      <c r="E38" s="546"/>
      <c r="F38" s="546"/>
      <c r="G38" s="546"/>
      <c r="H38" s="546"/>
      <c r="I38" s="546"/>
      <c r="J38" s="546"/>
      <c r="K38" s="546"/>
      <c r="L38" s="546"/>
      <c r="M38" s="546"/>
      <c r="N38" s="546"/>
      <c r="O38" s="546"/>
      <c r="P38" s="546"/>
      <c r="Q38" s="546"/>
      <c r="R38" s="546"/>
      <c r="S38" s="546"/>
      <c r="T38" s="546"/>
      <c r="U38" s="546"/>
      <c r="V38" s="546"/>
      <c r="W38" s="546"/>
      <c r="X38" s="546"/>
      <c r="Y38" s="546"/>
      <c r="Z38" s="546"/>
      <c r="AA38" s="536"/>
      <c r="AB38" s="536"/>
      <c r="AC38" s="536"/>
    </row>
    <row r="39" spans="1:68" ht="14.25" hidden="1" customHeight="1" x14ac:dyDescent="0.25">
      <c r="A39" s="553" t="s">
        <v>99</v>
      </c>
      <c r="B39" s="546"/>
      <c r="C39" s="546"/>
      <c r="D39" s="546"/>
      <c r="E39" s="546"/>
      <c r="F39" s="546"/>
      <c r="G39" s="546"/>
      <c r="H39" s="546"/>
      <c r="I39" s="546"/>
      <c r="J39" s="546"/>
      <c r="K39" s="546"/>
      <c r="L39" s="546"/>
      <c r="M39" s="546"/>
      <c r="N39" s="546"/>
      <c r="O39" s="546"/>
      <c r="P39" s="546"/>
      <c r="Q39" s="546"/>
      <c r="R39" s="546"/>
      <c r="S39" s="546"/>
      <c r="T39" s="546"/>
      <c r="U39" s="546"/>
      <c r="V39" s="546"/>
      <c r="W39" s="546"/>
      <c r="X39" s="546"/>
      <c r="Y39" s="546"/>
      <c r="Z39" s="546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50</v>
      </c>
      <c r="Y40" s="542">
        <f>IFERROR(IF(X40="",0,CEILING((X40/$H40),1)*$H40),"")</f>
        <v>54</v>
      </c>
      <c r="Z40" s="36">
        <f>IFERROR(IF(Y40=0,"",ROUNDUP(Y40/H40,0)*0.01898),"")</f>
        <v>9.4899999999999998E-2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51.898148148148145</v>
      </c>
      <c r="BN40" s="64">
        <f>IFERROR(Y40*I40/H40,"0")</f>
        <v>56.05</v>
      </c>
      <c r="BO40" s="64">
        <f>IFERROR(1/J40*(X40/H40),"0")</f>
        <v>7.2337962962962965E-2</v>
      </c>
      <c r="BP40" s="64">
        <f>IFERROR(1/J40*(Y40/H40),"0")</f>
        <v>7.8125E-2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56">
        <v>4680115882539</v>
      </c>
      <c r="E42" s="557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8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8"/>
      <c r="B43" s="546"/>
      <c r="C43" s="546"/>
      <c r="D43" s="546"/>
      <c r="E43" s="546"/>
      <c r="F43" s="546"/>
      <c r="G43" s="546"/>
      <c r="H43" s="546"/>
      <c r="I43" s="546"/>
      <c r="J43" s="546"/>
      <c r="K43" s="546"/>
      <c r="L43" s="546"/>
      <c r="M43" s="546"/>
      <c r="N43" s="546"/>
      <c r="O43" s="559"/>
      <c r="P43" s="550" t="s">
        <v>71</v>
      </c>
      <c r="Q43" s="551"/>
      <c r="R43" s="551"/>
      <c r="S43" s="551"/>
      <c r="T43" s="551"/>
      <c r="U43" s="551"/>
      <c r="V43" s="552"/>
      <c r="W43" s="37" t="s">
        <v>72</v>
      </c>
      <c r="X43" s="543">
        <f>IFERROR(X40/H40,"0")+IFERROR(X41/H41,"0")+IFERROR(X42/H42,"0")</f>
        <v>4.6296296296296298</v>
      </c>
      <c r="Y43" s="543">
        <f>IFERROR(Y40/H40,"0")+IFERROR(Y41/H41,"0")+IFERROR(Y42/H42,"0")</f>
        <v>5</v>
      </c>
      <c r="Z43" s="543">
        <f>IFERROR(IF(Z40="",0,Z40),"0")+IFERROR(IF(Z41="",0,Z41),"0")+IFERROR(IF(Z42="",0,Z42),"0")</f>
        <v>9.4899999999999998E-2</v>
      </c>
      <c r="AA43" s="544"/>
      <c r="AB43" s="544"/>
      <c r="AC43" s="544"/>
    </row>
    <row r="44" spans="1:68" x14ac:dyDescent="0.2">
      <c r="A44" s="546"/>
      <c r="B44" s="546"/>
      <c r="C44" s="546"/>
      <c r="D44" s="546"/>
      <c r="E44" s="546"/>
      <c r="F44" s="546"/>
      <c r="G44" s="546"/>
      <c r="H44" s="546"/>
      <c r="I44" s="546"/>
      <c r="J44" s="546"/>
      <c r="K44" s="546"/>
      <c r="L44" s="546"/>
      <c r="M44" s="546"/>
      <c r="N44" s="546"/>
      <c r="O44" s="559"/>
      <c r="P44" s="550" t="s">
        <v>71</v>
      </c>
      <c r="Q44" s="551"/>
      <c r="R44" s="551"/>
      <c r="S44" s="551"/>
      <c r="T44" s="551"/>
      <c r="U44" s="551"/>
      <c r="V44" s="552"/>
      <c r="W44" s="37" t="s">
        <v>69</v>
      </c>
      <c r="X44" s="543">
        <f>IFERROR(SUM(X40:X42),"0")</f>
        <v>50</v>
      </c>
      <c r="Y44" s="543">
        <f>IFERROR(SUM(Y40:Y42),"0")</f>
        <v>54</v>
      </c>
      <c r="Z44" s="37"/>
      <c r="AA44" s="544"/>
      <c r="AB44" s="544"/>
      <c r="AC44" s="544"/>
    </row>
    <row r="45" spans="1:68" ht="14.25" hidden="1" customHeight="1" x14ac:dyDescent="0.25">
      <c r="A45" s="553" t="s">
        <v>73</v>
      </c>
      <c r="B45" s="546"/>
      <c r="C45" s="546"/>
      <c r="D45" s="546"/>
      <c r="E45" s="546"/>
      <c r="F45" s="546"/>
      <c r="G45" s="546"/>
      <c r="H45" s="546"/>
      <c r="I45" s="546"/>
      <c r="J45" s="546"/>
      <c r="K45" s="546"/>
      <c r="L45" s="546"/>
      <c r="M45" s="546"/>
      <c r="N45" s="546"/>
      <c r="O45" s="546"/>
      <c r="P45" s="546"/>
      <c r="Q45" s="546"/>
      <c r="R45" s="546"/>
      <c r="S45" s="546"/>
      <c r="T45" s="546"/>
      <c r="U45" s="546"/>
      <c r="V45" s="546"/>
      <c r="W45" s="546"/>
      <c r="X45" s="546"/>
      <c r="Y45" s="546"/>
      <c r="Z45" s="546"/>
      <c r="AA45" s="537"/>
      <c r="AB45" s="537"/>
      <c r="AC45" s="537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6">
        <v>4680115884915</v>
      </c>
      <c r="E46" s="557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69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8"/>
      <c r="B47" s="546"/>
      <c r="C47" s="546"/>
      <c r="D47" s="546"/>
      <c r="E47" s="546"/>
      <c r="F47" s="546"/>
      <c r="G47" s="546"/>
      <c r="H47" s="546"/>
      <c r="I47" s="546"/>
      <c r="J47" s="546"/>
      <c r="K47" s="546"/>
      <c r="L47" s="546"/>
      <c r="M47" s="546"/>
      <c r="N47" s="546"/>
      <c r="O47" s="559"/>
      <c r="P47" s="550" t="s">
        <v>71</v>
      </c>
      <c r="Q47" s="551"/>
      <c r="R47" s="551"/>
      <c r="S47" s="551"/>
      <c r="T47" s="551"/>
      <c r="U47" s="551"/>
      <c r="V47" s="552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46"/>
      <c r="B48" s="546"/>
      <c r="C48" s="546"/>
      <c r="D48" s="546"/>
      <c r="E48" s="546"/>
      <c r="F48" s="546"/>
      <c r="G48" s="546"/>
      <c r="H48" s="546"/>
      <c r="I48" s="546"/>
      <c r="J48" s="546"/>
      <c r="K48" s="546"/>
      <c r="L48" s="546"/>
      <c r="M48" s="546"/>
      <c r="N48" s="546"/>
      <c r="O48" s="559"/>
      <c r="P48" s="550" t="s">
        <v>71</v>
      </c>
      <c r="Q48" s="551"/>
      <c r="R48" s="551"/>
      <c r="S48" s="551"/>
      <c r="T48" s="551"/>
      <c r="U48" s="551"/>
      <c r="V48" s="552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45" t="s">
        <v>116</v>
      </c>
      <c r="B49" s="546"/>
      <c r="C49" s="546"/>
      <c r="D49" s="546"/>
      <c r="E49" s="546"/>
      <c r="F49" s="546"/>
      <c r="G49" s="546"/>
      <c r="H49" s="546"/>
      <c r="I49" s="546"/>
      <c r="J49" s="546"/>
      <c r="K49" s="546"/>
      <c r="L49" s="546"/>
      <c r="M49" s="546"/>
      <c r="N49" s="546"/>
      <c r="O49" s="546"/>
      <c r="P49" s="546"/>
      <c r="Q49" s="546"/>
      <c r="R49" s="546"/>
      <c r="S49" s="546"/>
      <c r="T49" s="546"/>
      <c r="U49" s="546"/>
      <c r="V49" s="546"/>
      <c r="W49" s="546"/>
      <c r="X49" s="546"/>
      <c r="Y49" s="546"/>
      <c r="Z49" s="546"/>
      <c r="AA49" s="536"/>
      <c r="AB49" s="536"/>
      <c r="AC49" s="536"/>
    </row>
    <row r="50" spans="1:68" ht="14.25" hidden="1" customHeight="1" x14ac:dyDescent="0.25">
      <c r="A50" s="553" t="s">
        <v>99</v>
      </c>
      <c r="B50" s="546"/>
      <c r="C50" s="546"/>
      <c r="D50" s="546"/>
      <c r="E50" s="546"/>
      <c r="F50" s="546"/>
      <c r="G50" s="546"/>
      <c r="H50" s="546"/>
      <c r="I50" s="546"/>
      <c r="J50" s="546"/>
      <c r="K50" s="546"/>
      <c r="L50" s="546"/>
      <c r="M50" s="546"/>
      <c r="N50" s="546"/>
      <c r="O50" s="546"/>
      <c r="P50" s="546"/>
      <c r="Q50" s="546"/>
      <c r="R50" s="546"/>
      <c r="S50" s="546"/>
      <c r="T50" s="546"/>
      <c r="U50" s="546"/>
      <c r="V50" s="546"/>
      <c r="W50" s="546"/>
      <c r="X50" s="546"/>
      <c r="Y50" s="546"/>
      <c r="Z50" s="546"/>
      <c r="AA50" s="537"/>
      <c r="AB50" s="537"/>
      <c r="AC50" s="537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6">
        <v>4680115885882</v>
      </c>
      <c r="E51" s="557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5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120</v>
      </c>
      <c r="B52" s="54" t="s">
        <v>121</v>
      </c>
      <c r="C52" s="31">
        <v>4301011816</v>
      </c>
      <c r="D52" s="556">
        <v>4680115881426</v>
      </c>
      <c r="E52" s="557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79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50</v>
      </c>
      <c r="Y52" s="542">
        <f t="shared" si="0"/>
        <v>54</v>
      </c>
      <c r="Z52" s="36">
        <f>IFERROR(IF(Y52=0,"",ROUNDUP(Y52/H52,0)*0.01898),"")</f>
        <v>9.4899999999999998E-2</v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51.898148148148145</v>
      </c>
      <c r="BN52" s="64">
        <f t="shared" si="2"/>
        <v>56.05</v>
      </c>
      <c r="BO52" s="64">
        <f t="shared" si="3"/>
        <v>7.2337962962962965E-2</v>
      </c>
      <c r="BP52" s="64">
        <f t="shared" si="4"/>
        <v>7.8125E-2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6">
        <v>4680115880283</v>
      </c>
      <c r="E53" s="557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56">
        <v>4680115881525</v>
      </c>
      <c r="E54" s="557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6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6">
        <v>4680115885899</v>
      </c>
      <c r="E55" s="557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78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132</v>
      </c>
      <c r="B56" s="54" t="s">
        <v>133</v>
      </c>
      <c r="C56" s="31">
        <v>4301011801</v>
      </c>
      <c r="D56" s="556">
        <v>4680115881419</v>
      </c>
      <c r="E56" s="557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8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22.5</v>
      </c>
      <c r="Y56" s="542">
        <f t="shared" si="0"/>
        <v>22.5</v>
      </c>
      <c r="Z56" s="36">
        <f>IFERROR(IF(Y56=0,"",ROUNDUP(Y56/H56,0)*0.00902),"")</f>
        <v>4.5100000000000001E-2</v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23.450000000000003</v>
      </c>
      <c r="BN56" s="64">
        <f t="shared" si="2"/>
        <v>23.450000000000003</v>
      </c>
      <c r="BO56" s="64">
        <f t="shared" si="3"/>
        <v>3.787878787878788E-2</v>
      </c>
      <c r="BP56" s="64">
        <f t="shared" si="4"/>
        <v>3.787878787878788E-2</v>
      </c>
    </row>
    <row r="57" spans="1:68" x14ac:dyDescent="0.2">
      <c r="A57" s="558"/>
      <c r="B57" s="546"/>
      <c r="C57" s="546"/>
      <c r="D57" s="546"/>
      <c r="E57" s="546"/>
      <c r="F57" s="546"/>
      <c r="G57" s="546"/>
      <c r="H57" s="546"/>
      <c r="I57" s="546"/>
      <c r="J57" s="546"/>
      <c r="K57" s="546"/>
      <c r="L57" s="546"/>
      <c r="M57" s="546"/>
      <c r="N57" s="546"/>
      <c r="O57" s="559"/>
      <c r="P57" s="550" t="s">
        <v>71</v>
      </c>
      <c r="Q57" s="551"/>
      <c r="R57" s="551"/>
      <c r="S57" s="551"/>
      <c r="T57" s="551"/>
      <c r="U57" s="551"/>
      <c r="V57" s="552"/>
      <c r="W57" s="37" t="s">
        <v>72</v>
      </c>
      <c r="X57" s="543">
        <f>IFERROR(X51/H51,"0")+IFERROR(X52/H52,"0")+IFERROR(X53/H53,"0")+IFERROR(X54/H54,"0")+IFERROR(X55/H55,"0")+IFERROR(X56/H56,"0")</f>
        <v>9.6296296296296298</v>
      </c>
      <c r="Y57" s="543">
        <f>IFERROR(Y51/H51,"0")+IFERROR(Y52/H52,"0")+IFERROR(Y53/H53,"0")+IFERROR(Y54/H54,"0")+IFERROR(Y55/H55,"0")+IFERROR(Y56/H56,"0")</f>
        <v>10</v>
      </c>
      <c r="Z57" s="543">
        <f>IFERROR(IF(Z51="",0,Z51),"0")+IFERROR(IF(Z52="",0,Z52),"0")+IFERROR(IF(Z53="",0,Z53),"0")+IFERROR(IF(Z54="",0,Z54),"0")+IFERROR(IF(Z55="",0,Z55),"0")+IFERROR(IF(Z56="",0,Z56),"0")</f>
        <v>0.14000000000000001</v>
      </c>
      <c r="AA57" s="544"/>
      <c r="AB57" s="544"/>
      <c r="AC57" s="544"/>
    </row>
    <row r="58" spans="1:68" x14ac:dyDescent="0.2">
      <c r="A58" s="546"/>
      <c r="B58" s="546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59"/>
      <c r="P58" s="550" t="s">
        <v>71</v>
      </c>
      <c r="Q58" s="551"/>
      <c r="R58" s="551"/>
      <c r="S58" s="551"/>
      <c r="T58" s="551"/>
      <c r="U58" s="551"/>
      <c r="V58" s="552"/>
      <c r="W58" s="37" t="s">
        <v>69</v>
      </c>
      <c r="X58" s="543">
        <f>IFERROR(SUM(X51:X56),"0")</f>
        <v>72.5</v>
      </c>
      <c r="Y58" s="543">
        <f>IFERROR(SUM(Y51:Y56),"0")</f>
        <v>76.5</v>
      </c>
      <c r="Z58" s="37"/>
      <c r="AA58" s="544"/>
      <c r="AB58" s="544"/>
      <c r="AC58" s="544"/>
    </row>
    <row r="59" spans="1:68" ht="14.25" hidden="1" customHeight="1" x14ac:dyDescent="0.25">
      <c r="A59" s="553" t="s">
        <v>135</v>
      </c>
      <c r="B59" s="546"/>
      <c r="C59" s="546"/>
      <c r="D59" s="546"/>
      <c r="E59" s="546"/>
      <c r="F59" s="546"/>
      <c r="G59" s="546"/>
      <c r="H59" s="546"/>
      <c r="I59" s="546"/>
      <c r="J59" s="546"/>
      <c r="K59" s="546"/>
      <c r="L59" s="546"/>
      <c r="M59" s="546"/>
      <c r="N59" s="546"/>
      <c r="O59" s="546"/>
      <c r="P59" s="546"/>
      <c r="Q59" s="546"/>
      <c r="R59" s="546"/>
      <c r="S59" s="546"/>
      <c r="T59" s="546"/>
      <c r="U59" s="546"/>
      <c r="V59" s="546"/>
      <c r="W59" s="546"/>
      <c r="X59" s="546"/>
      <c r="Y59" s="546"/>
      <c r="Z59" s="546"/>
      <c r="AA59" s="537"/>
      <c r="AB59" s="537"/>
      <c r="AC59" s="537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56">
        <v>4680115881440</v>
      </c>
      <c r="E60" s="557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57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170</v>
      </c>
      <c r="Y60" s="542">
        <f>IFERROR(IF(X60="",0,CEILING((X60/$H60),1)*$H60),"")</f>
        <v>172.8</v>
      </c>
      <c r="Z60" s="36">
        <f>IFERROR(IF(Y60=0,"",ROUNDUP(Y60/H60,0)*0.01898),"")</f>
        <v>0.30368000000000001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176.4537037037037</v>
      </c>
      <c r="BN60" s="64">
        <f>IFERROR(Y60*I60/H60,"0")</f>
        <v>179.36</v>
      </c>
      <c r="BO60" s="64">
        <f>IFERROR(1/J60*(X60/H60),"0")</f>
        <v>0.24594907407407407</v>
      </c>
      <c r="BP60" s="64">
        <f>IFERROR(1/J60*(Y60/H60),"0")</f>
        <v>0.25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6">
        <v>4680115885950</v>
      </c>
      <c r="E61" s="557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5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6">
        <v>4680115881433</v>
      </c>
      <c r="E62" s="557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6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8"/>
      <c r="B63" s="546"/>
      <c r="C63" s="546"/>
      <c r="D63" s="546"/>
      <c r="E63" s="546"/>
      <c r="F63" s="546"/>
      <c r="G63" s="546"/>
      <c r="H63" s="546"/>
      <c r="I63" s="546"/>
      <c r="J63" s="546"/>
      <c r="K63" s="546"/>
      <c r="L63" s="546"/>
      <c r="M63" s="546"/>
      <c r="N63" s="546"/>
      <c r="O63" s="559"/>
      <c r="P63" s="550" t="s">
        <v>71</v>
      </c>
      <c r="Q63" s="551"/>
      <c r="R63" s="551"/>
      <c r="S63" s="551"/>
      <c r="T63" s="551"/>
      <c r="U63" s="551"/>
      <c r="V63" s="552"/>
      <c r="W63" s="37" t="s">
        <v>72</v>
      </c>
      <c r="X63" s="543">
        <f>IFERROR(X60/H60,"0")+IFERROR(X61/H61,"0")+IFERROR(X62/H62,"0")</f>
        <v>15.74074074074074</v>
      </c>
      <c r="Y63" s="543">
        <f>IFERROR(Y60/H60,"0")+IFERROR(Y61/H61,"0")+IFERROR(Y62/H62,"0")</f>
        <v>16</v>
      </c>
      <c r="Z63" s="543">
        <f>IFERROR(IF(Z60="",0,Z60),"0")+IFERROR(IF(Z61="",0,Z61),"0")+IFERROR(IF(Z62="",0,Z62),"0")</f>
        <v>0.30368000000000001</v>
      </c>
      <c r="AA63" s="544"/>
      <c r="AB63" s="544"/>
      <c r="AC63" s="544"/>
    </row>
    <row r="64" spans="1:68" x14ac:dyDescent="0.2">
      <c r="A64" s="546"/>
      <c r="B64" s="546"/>
      <c r="C64" s="546"/>
      <c r="D64" s="546"/>
      <c r="E64" s="546"/>
      <c r="F64" s="546"/>
      <c r="G64" s="546"/>
      <c r="H64" s="546"/>
      <c r="I64" s="546"/>
      <c r="J64" s="546"/>
      <c r="K64" s="546"/>
      <c r="L64" s="546"/>
      <c r="M64" s="546"/>
      <c r="N64" s="546"/>
      <c r="O64" s="559"/>
      <c r="P64" s="550" t="s">
        <v>71</v>
      </c>
      <c r="Q64" s="551"/>
      <c r="R64" s="551"/>
      <c r="S64" s="551"/>
      <c r="T64" s="551"/>
      <c r="U64" s="551"/>
      <c r="V64" s="552"/>
      <c r="W64" s="37" t="s">
        <v>69</v>
      </c>
      <c r="X64" s="543">
        <f>IFERROR(SUM(X60:X62),"0")</f>
        <v>170</v>
      </c>
      <c r="Y64" s="543">
        <f>IFERROR(SUM(Y60:Y62),"0")</f>
        <v>172.8</v>
      </c>
      <c r="Z64" s="37"/>
      <c r="AA64" s="544"/>
      <c r="AB64" s="544"/>
      <c r="AC64" s="544"/>
    </row>
    <row r="65" spans="1:68" ht="14.25" hidden="1" customHeight="1" x14ac:dyDescent="0.25">
      <c r="A65" s="553" t="s">
        <v>64</v>
      </c>
      <c r="B65" s="546"/>
      <c r="C65" s="546"/>
      <c r="D65" s="546"/>
      <c r="E65" s="546"/>
      <c r="F65" s="546"/>
      <c r="G65" s="546"/>
      <c r="H65" s="546"/>
      <c r="I65" s="546"/>
      <c r="J65" s="546"/>
      <c r="K65" s="546"/>
      <c r="L65" s="546"/>
      <c r="M65" s="546"/>
      <c r="N65" s="546"/>
      <c r="O65" s="546"/>
      <c r="P65" s="546"/>
      <c r="Q65" s="546"/>
      <c r="R65" s="546"/>
      <c r="S65" s="546"/>
      <c r="T65" s="546"/>
      <c r="U65" s="546"/>
      <c r="V65" s="546"/>
      <c r="W65" s="546"/>
      <c r="X65" s="546"/>
      <c r="Y65" s="546"/>
      <c r="Z65" s="546"/>
      <c r="AA65" s="537"/>
      <c r="AB65" s="537"/>
      <c r="AC65" s="537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6">
        <v>4680115885073</v>
      </c>
      <c r="E66" s="557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77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56">
        <v>4680115885059</v>
      </c>
      <c r="E67" s="557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60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56">
        <v>4680115885097</v>
      </c>
      <c r="E68" s="557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7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8"/>
      <c r="B69" s="546"/>
      <c r="C69" s="546"/>
      <c r="D69" s="546"/>
      <c r="E69" s="546"/>
      <c r="F69" s="546"/>
      <c r="G69" s="546"/>
      <c r="H69" s="546"/>
      <c r="I69" s="546"/>
      <c r="J69" s="546"/>
      <c r="K69" s="546"/>
      <c r="L69" s="546"/>
      <c r="M69" s="546"/>
      <c r="N69" s="546"/>
      <c r="O69" s="559"/>
      <c r="P69" s="550" t="s">
        <v>71</v>
      </c>
      <c r="Q69" s="551"/>
      <c r="R69" s="551"/>
      <c r="S69" s="551"/>
      <c r="T69" s="551"/>
      <c r="U69" s="551"/>
      <c r="V69" s="552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46"/>
      <c r="B70" s="546"/>
      <c r="C70" s="546"/>
      <c r="D70" s="546"/>
      <c r="E70" s="546"/>
      <c r="F70" s="546"/>
      <c r="G70" s="546"/>
      <c r="H70" s="546"/>
      <c r="I70" s="546"/>
      <c r="J70" s="546"/>
      <c r="K70" s="546"/>
      <c r="L70" s="546"/>
      <c r="M70" s="546"/>
      <c r="N70" s="546"/>
      <c r="O70" s="559"/>
      <c r="P70" s="550" t="s">
        <v>71</v>
      </c>
      <c r="Q70" s="551"/>
      <c r="R70" s="551"/>
      <c r="S70" s="551"/>
      <c r="T70" s="551"/>
      <c r="U70" s="551"/>
      <c r="V70" s="552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3" t="s">
        <v>73</v>
      </c>
      <c r="B71" s="546"/>
      <c r="C71" s="546"/>
      <c r="D71" s="546"/>
      <c r="E71" s="546"/>
      <c r="F71" s="546"/>
      <c r="G71" s="546"/>
      <c r="H71" s="546"/>
      <c r="I71" s="546"/>
      <c r="J71" s="546"/>
      <c r="K71" s="546"/>
      <c r="L71" s="546"/>
      <c r="M71" s="546"/>
      <c r="N71" s="546"/>
      <c r="O71" s="546"/>
      <c r="P71" s="546"/>
      <c r="Q71" s="546"/>
      <c r="R71" s="546"/>
      <c r="S71" s="546"/>
      <c r="T71" s="546"/>
      <c r="U71" s="546"/>
      <c r="V71" s="546"/>
      <c r="W71" s="546"/>
      <c r="X71" s="546"/>
      <c r="Y71" s="546"/>
      <c r="Z71" s="546"/>
      <c r="AA71" s="537"/>
      <c r="AB71" s="537"/>
      <c r="AC71" s="537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56">
        <v>4680115885769</v>
      </c>
      <c r="E72" s="557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62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56">
        <v>4680115884311</v>
      </c>
      <c r="E73" s="557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86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56">
        <v>4680115885929</v>
      </c>
      <c r="E74" s="557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5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56">
        <v>4680115884403</v>
      </c>
      <c r="E75" s="557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60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8"/>
      <c r="B76" s="546"/>
      <c r="C76" s="546"/>
      <c r="D76" s="546"/>
      <c r="E76" s="546"/>
      <c r="F76" s="546"/>
      <c r="G76" s="546"/>
      <c r="H76" s="546"/>
      <c r="I76" s="546"/>
      <c r="J76" s="546"/>
      <c r="K76" s="546"/>
      <c r="L76" s="546"/>
      <c r="M76" s="546"/>
      <c r="N76" s="546"/>
      <c r="O76" s="559"/>
      <c r="P76" s="550" t="s">
        <v>71</v>
      </c>
      <c r="Q76" s="551"/>
      <c r="R76" s="551"/>
      <c r="S76" s="551"/>
      <c r="T76" s="551"/>
      <c r="U76" s="551"/>
      <c r="V76" s="552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46"/>
      <c r="B77" s="546"/>
      <c r="C77" s="546"/>
      <c r="D77" s="546"/>
      <c r="E77" s="546"/>
      <c r="F77" s="546"/>
      <c r="G77" s="546"/>
      <c r="H77" s="546"/>
      <c r="I77" s="546"/>
      <c r="J77" s="546"/>
      <c r="K77" s="546"/>
      <c r="L77" s="546"/>
      <c r="M77" s="546"/>
      <c r="N77" s="546"/>
      <c r="O77" s="559"/>
      <c r="P77" s="550" t="s">
        <v>71</v>
      </c>
      <c r="Q77" s="551"/>
      <c r="R77" s="551"/>
      <c r="S77" s="551"/>
      <c r="T77" s="551"/>
      <c r="U77" s="551"/>
      <c r="V77" s="552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3" t="s">
        <v>163</v>
      </c>
      <c r="B78" s="546"/>
      <c r="C78" s="546"/>
      <c r="D78" s="546"/>
      <c r="E78" s="546"/>
      <c r="F78" s="546"/>
      <c r="G78" s="546"/>
      <c r="H78" s="546"/>
      <c r="I78" s="546"/>
      <c r="J78" s="546"/>
      <c r="K78" s="546"/>
      <c r="L78" s="546"/>
      <c r="M78" s="546"/>
      <c r="N78" s="546"/>
      <c r="O78" s="546"/>
      <c r="P78" s="546"/>
      <c r="Q78" s="546"/>
      <c r="R78" s="546"/>
      <c r="S78" s="546"/>
      <c r="T78" s="546"/>
      <c r="U78" s="546"/>
      <c r="V78" s="546"/>
      <c r="W78" s="546"/>
      <c r="X78" s="546"/>
      <c r="Y78" s="546"/>
      <c r="Z78" s="546"/>
      <c r="AA78" s="537"/>
      <c r="AB78" s="537"/>
      <c r="AC78" s="537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56">
        <v>4680115881532</v>
      </c>
      <c r="E79" s="557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8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56">
        <v>4680115881464</v>
      </c>
      <c r="E80" s="557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67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8"/>
      <c r="B81" s="546"/>
      <c r="C81" s="546"/>
      <c r="D81" s="546"/>
      <c r="E81" s="546"/>
      <c r="F81" s="546"/>
      <c r="G81" s="546"/>
      <c r="H81" s="546"/>
      <c r="I81" s="546"/>
      <c r="J81" s="546"/>
      <c r="K81" s="546"/>
      <c r="L81" s="546"/>
      <c r="M81" s="546"/>
      <c r="N81" s="546"/>
      <c r="O81" s="559"/>
      <c r="P81" s="550" t="s">
        <v>71</v>
      </c>
      <c r="Q81" s="551"/>
      <c r="R81" s="551"/>
      <c r="S81" s="551"/>
      <c r="T81" s="551"/>
      <c r="U81" s="551"/>
      <c r="V81" s="552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46"/>
      <c r="B82" s="546"/>
      <c r="C82" s="546"/>
      <c r="D82" s="546"/>
      <c r="E82" s="546"/>
      <c r="F82" s="546"/>
      <c r="G82" s="546"/>
      <c r="H82" s="546"/>
      <c r="I82" s="546"/>
      <c r="J82" s="546"/>
      <c r="K82" s="546"/>
      <c r="L82" s="546"/>
      <c r="M82" s="546"/>
      <c r="N82" s="546"/>
      <c r="O82" s="559"/>
      <c r="P82" s="550" t="s">
        <v>71</v>
      </c>
      <c r="Q82" s="551"/>
      <c r="R82" s="551"/>
      <c r="S82" s="551"/>
      <c r="T82" s="551"/>
      <c r="U82" s="551"/>
      <c r="V82" s="552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45" t="s">
        <v>170</v>
      </c>
      <c r="B83" s="546"/>
      <c r="C83" s="546"/>
      <c r="D83" s="546"/>
      <c r="E83" s="546"/>
      <c r="F83" s="546"/>
      <c r="G83" s="546"/>
      <c r="H83" s="546"/>
      <c r="I83" s="546"/>
      <c r="J83" s="546"/>
      <c r="K83" s="546"/>
      <c r="L83" s="546"/>
      <c r="M83" s="546"/>
      <c r="N83" s="546"/>
      <c r="O83" s="546"/>
      <c r="P83" s="546"/>
      <c r="Q83" s="546"/>
      <c r="R83" s="546"/>
      <c r="S83" s="546"/>
      <c r="T83" s="546"/>
      <c r="U83" s="546"/>
      <c r="V83" s="546"/>
      <c r="W83" s="546"/>
      <c r="X83" s="546"/>
      <c r="Y83" s="546"/>
      <c r="Z83" s="546"/>
      <c r="AA83" s="536"/>
      <c r="AB83" s="536"/>
      <c r="AC83" s="536"/>
    </row>
    <row r="84" spans="1:68" ht="14.25" hidden="1" customHeight="1" x14ac:dyDescent="0.25">
      <c r="A84" s="553" t="s">
        <v>99</v>
      </c>
      <c r="B84" s="546"/>
      <c r="C84" s="546"/>
      <c r="D84" s="546"/>
      <c r="E84" s="546"/>
      <c r="F84" s="546"/>
      <c r="G84" s="546"/>
      <c r="H84" s="546"/>
      <c r="I84" s="546"/>
      <c r="J84" s="546"/>
      <c r="K84" s="546"/>
      <c r="L84" s="546"/>
      <c r="M84" s="546"/>
      <c r="N84" s="546"/>
      <c r="O84" s="546"/>
      <c r="P84" s="546"/>
      <c r="Q84" s="546"/>
      <c r="R84" s="546"/>
      <c r="S84" s="546"/>
      <c r="T84" s="546"/>
      <c r="U84" s="546"/>
      <c r="V84" s="546"/>
      <c r="W84" s="546"/>
      <c r="X84" s="546"/>
      <c r="Y84" s="546"/>
      <c r="Z84" s="546"/>
      <c r="AA84" s="537"/>
      <c r="AB84" s="537"/>
      <c r="AC84" s="537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56">
        <v>4680115881327</v>
      </c>
      <c r="E85" s="557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57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85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4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8"/>
      <c r="B88" s="546"/>
      <c r="C88" s="546"/>
      <c r="D88" s="546"/>
      <c r="E88" s="546"/>
      <c r="F88" s="546"/>
      <c r="G88" s="546"/>
      <c r="H88" s="546"/>
      <c r="I88" s="546"/>
      <c r="J88" s="546"/>
      <c r="K88" s="546"/>
      <c r="L88" s="546"/>
      <c r="M88" s="546"/>
      <c r="N88" s="546"/>
      <c r="O88" s="559"/>
      <c r="P88" s="550" t="s">
        <v>71</v>
      </c>
      <c r="Q88" s="551"/>
      <c r="R88" s="551"/>
      <c r="S88" s="551"/>
      <c r="T88" s="551"/>
      <c r="U88" s="551"/>
      <c r="V88" s="552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hidden="1" x14ac:dyDescent="0.2">
      <c r="A89" s="546"/>
      <c r="B89" s="546"/>
      <c r="C89" s="546"/>
      <c r="D89" s="546"/>
      <c r="E89" s="546"/>
      <c r="F89" s="546"/>
      <c r="G89" s="546"/>
      <c r="H89" s="546"/>
      <c r="I89" s="546"/>
      <c r="J89" s="546"/>
      <c r="K89" s="546"/>
      <c r="L89" s="546"/>
      <c r="M89" s="546"/>
      <c r="N89" s="546"/>
      <c r="O89" s="559"/>
      <c r="P89" s="550" t="s">
        <v>71</v>
      </c>
      <c r="Q89" s="551"/>
      <c r="R89" s="551"/>
      <c r="S89" s="551"/>
      <c r="T89" s="551"/>
      <c r="U89" s="551"/>
      <c r="V89" s="552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hidden="1" customHeight="1" x14ac:dyDescent="0.25">
      <c r="A90" s="553" t="s">
        <v>73</v>
      </c>
      <c r="B90" s="546"/>
      <c r="C90" s="546"/>
      <c r="D90" s="546"/>
      <c r="E90" s="546"/>
      <c r="F90" s="546"/>
      <c r="G90" s="546"/>
      <c r="H90" s="546"/>
      <c r="I90" s="546"/>
      <c r="J90" s="546"/>
      <c r="K90" s="546"/>
      <c r="L90" s="546"/>
      <c r="M90" s="546"/>
      <c r="N90" s="546"/>
      <c r="O90" s="546"/>
      <c r="P90" s="546"/>
      <c r="Q90" s="546"/>
      <c r="R90" s="546"/>
      <c r="S90" s="546"/>
      <c r="T90" s="546"/>
      <c r="U90" s="546"/>
      <c r="V90" s="546"/>
      <c r="W90" s="546"/>
      <c r="X90" s="546"/>
      <c r="Y90" s="546"/>
      <c r="Z90" s="546"/>
      <c r="AA90" s="537"/>
      <c r="AB90" s="537"/>
      <c r="AC90" s="537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69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400</v>
      </c>
      <c r="Y91" s="542">
        <f>IFERROR(IF(X91="",0,CEILING((X91/$H91),1)*$H91),"")</f>
        <v>405</v>
      </c>
      <c r="Z91" s="36">
        <f>IFERROR(IF(Y91=0,"",ROUNDUP(Y91/H91,0)*0.01898),"")</f>
        <v>0.94900000000000007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424.39506172839509</v>
      </c>
      <c r="BN91" s="64">
        <f>IFERROR(Y91*I91/H91,"0")</f>
        <v>429.7</v>
      </c>
      <c r="BO91" s="64">
        <f>IFERROR(1/J91*(X91/H91),"0")</f>
        <v>0.77160493827160492</v>
      </c>
      <c r="BP91" s="64">
        <f>IFERROR(1/J91*(Y91/H91),"0")</f>
        <v>0.78125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81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56">
        <v>4607091385731</v>
      </c>
      <c r="E93" s="557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6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56">
        <v>4680115880894</v>
      </c>
      <c r="E94" s="557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8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8"/>
      <c r="B95" s="546"/>
      <c r="C95" s="546"/>
      <c r="D95" s="546"/>
      <c r="E95" s="546"/>
      <c r="F95" s="546"/>
      <c r="G95" s="546"/>
      <c r="H95" s="546"/>
      <c r="I95" s="546"/>
      <c r="J95" s="546"/>
      <c r="K95" s="546"/>
      <c r="L95" s="546"/>
      <c r="M95" s="546"/>
      <c r="N95" s="546"/>
      <c r="O95" s="559"/>
      <c r="P95" s="550" t="s">
        <v>71</v>
      </c>
      <c r="Q95" s="551"/>
      <c r="R95" s="551"/>
      <c r="S95" s="551"/>
      <c r="T95" s="551"/>
      <c r="U95" s="551"/>
      <c r="V95" s="552"/>
      <c r="W95" s="37" t="s">
        <v>72</v>
      </c>
      <c r="X95" s="543">
        <f>IFERROR(X91/H91,"0")+IFERROR(X92/H92,"0")+IFERROR(X93/H93,"0")+IFERROR(X94/H94,"0")</f>
        <v>49.382716049382715</v>
      </c>
      <c r="Y95" s="543">
        <f>IFERROR(Y91/H91,"0")+IFERROR(Y92/H92,"0")+IFERROR(Y93/H93,"0")+IFERROR(Y94/H94,"0")</f>
        <v>50</v>
      </c>
      <c r="Z95" s="543">
        <f>IFERROR(IF(Z91="",0,Z91),"0")+IFERROR(IF(Z92="",0,Z92),"0")+IFERROR(IF(Z93="",0,Z93),"0")+IFERROR(IF(Z94="",0,Z94),"0")</f>
        <v>0.94900000000000007</v>
      </c>
      <c r="AA95" s="544"/>
      <c r="AB95" s="544"/>
      <c r="AC95" s="544"/>
    </row>
    <row r="96" spans="1:68" x14ac:dyDescent="0.2">
      <c r="A96" s="546"/>
      <c r="B96" s="546"/>
      <c r="C96" s="546"/>
      <c r="D96" s="546"/>
      <c r="E96" s="546"/>
      <c r="F96" s="546"/>
      <c r="G96" s="546"/>
      <c r="H96" s="546"/>
      <c r="I96" s="546"/>
      <c r="J96" s="546"/>
      <c r="K96" s="546"/>
      <c r="L96" s="546"/>
      <c r="M96" s="546"/>
      <c r="N96" s="546"/>
      <c r="O96" s="559"/>
      <c r="P96" s="550" t="s">
        <v>71</v>
      </c>
      <c r="Q96" s="551"/>
      <c r="R96" s="551"/>
      <c r="S96" s="551"/>
      <c r="T96" s="551"/>
      <c r="U96" s="551"/>
      <c r="V96" s="552"/>
      <c r="W96" s="37" t="s">
        <v>69</v>
      </c>
      <c r="X96" s="543">
        <f>IFERROR(SUM(X91:X94),"0")</f>
        <v>400</v>
      </c>
      <c r="Y96" s="543">
        <f>IFERROR(SUM(Y91:Y94),"0")</f>
        <v>405</v>
      </c>
      <c r="Z96" s="37"/>
      <c r="AA96" s="544"/>
      <c r="AB96" s="544"/>
      <c r="AC96" s="544"/>
    </row>
    <row r="97" spans="1:68" ht="16.5" hidden="1" customHeight="1" x14ac:dyDescent="0.25">
      <c r="A97" s="545" t="s">
        <v>190</v>
      </c>
      <c r="B97" s="546"/>
      <c r="C97" s="546"/>
      <c r="D97" s="546"/>
      <c r="E97" s="546"/>
      <c r="F97" s="546"/>
      <c r="G97" s="546"/>
      <c r="H97" s="546"/>
      <c r="I97" s="546"/>
      <c r="J97" s="546"/>
      <c r="K97" s="546"/>
      <c r="L97" s="546"/>
      <c r="M97" s="546"/>
      <c r="N97" s="546"/>
      <c r="O97" s="546"/>
      <c r="P97" s="546"/>
      <c r="Q97" s="546"/>
      <c r="R97" s="546"/>
      <c r="S97" s="546"/>
      <c r="T97" s="546"/>
      <c r="U97" s="546"/>
      <c r="V97" s="546"/>
      <c r="W97" s="546"/>
      <c r="X97" s="546"/>
      <c r="Y97" s="546"/>
      <c r="Z97" s="546"/>
      <c r="AA97" s="536"/>
      <c r="AB97" s="536"/>
      <c r="AC97" s="536"/>
    </row>
    <row r="98" spans="1:68" ht="14.25" hidden="1" customHeight="1" x14ac:dyDescent="0.25">
      <c r="A98" s="553" t="s">
        <v>99</v>
      </c>
      <c r="B98" s="546"/>
      <c r="C98" s="546"/>
      <c r="D98" s="546"/>
      <c r="E98" s="546"/>
      <c r="F98" s="546"/>
      <c r="G98" s="546"/>
      <c r="H98" s="546"/>
      <c r="I98" s="546"/>
      <c r="J98" s="546"/>
      <c r="K98" s="546"/>
      <c r="L98" s="546"/>
      <c r="M98" s="546"/>
      <c r="N98" s="546"/>
      <c r="O98" s="546"/>
      <c r="P98" s="546"/>
      <c r="Q98" s="546"/>
      <c r="R98" s="546"/>
      <c r="S98" s="546"/>
      <c r="T98" s="546"/>
      <c r="U98" s="546"/>
      <c r="V98" s="546"/>
      <c r="W98" s="546"/>
      <c r="X98" s="546"/>
      <c r="Y98" s="546"/>
      <c r="Z98" s="546"/>
      <c r="AA98" s="537"/>
      <c r="AB98" s="537"/>
      <c r="AC98" s="537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6">
        <v>4680115882133</v>
      </c>
      <c r="E99" s="557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4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150</v>
      </c>
      <c r="Y99" s="542">
        <f>IFERROR(IF(X99="",0,CEILING((X99/$H99),1)*$H99),"")</f>
        <v>151.20000000000002</v>
      </c>
      <c r="Z99" s="36">
        <f>IFERROR(IF(Y99=0,"",ROUNDUP(Y99/H99,0)*0.01898),"")</f>
        <v>0.26572000000000001</v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155.69444444444446</v>
      </c>
      <c r="BN99" s="64">
        <f>IFERROR(Y99*I99/H99,"0")</f>
        <v>156.94</v>
      </c>
      <c r="BO99" s="64">
        <f>IFERROR(1/J99*(X99/H99),"0")</f>
        <v>0.21701388888888887</v>
      </c>
      <c r="BP99" s="64">
        <f>IFERROR(1/J99*(Y99/H99),"0")</f>
        <v>0.21875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56">
        <v>4680115880269</v>
      </c>
      <c r="E100" s="557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82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56">
        <v>4680115880429</v>
      </c>
      <c r="E101" s="557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65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56">
        <v>4680115881457</v>
      </c>
      <c r="E102" s="557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63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8"/>
      <c r="B103" s="546"/>
      <c r="C103" s="546"/>
      <c r="D103" s="546"/>
      <c r="E103" s="546"/>
      <c r="F103" s="546"/>
      <c r="G103" s="546"/>
      <c r="H103" s="546"/>
      <c r="I103" s="546"/>
      <c r="J103" s="546"/>
      <c r="K103" s="546"/>
      <c r="L103" s="546"/>
      <c r="M103" s="546"/>
      <c r="N103" s="546"/>
      <c r="O103" s="559"/>
      <c r="P103" s="550" t="s">
        <v>71</v>
      </c>
      <c r="Q103" s="551"/>
      <c r="R103" s="551"/>
      <c r="S103" s="551"/>
      <c r="T103" s="551"/>
      <c r="U103" s="551"/>
      <c r="V103" s="552"/>
      <c r="W103" s="37" t="s">
        <v>72</v>
      </c>
      <c r="X103" s="543">
        <f>IFERROR(X99/H99,"0")+IFERROR(X100/H100,"0")+IFERROR(X101/H101,"0")+IFERROR(X102/H102,"0")</f>
        <v>13.888888888888888</v>
      </c>
      <c r="Y103" s="543">
        <f>IFERROR(Y99/H99,"0")+IFERROR(Y100/H100,"0")+IFERROR(Y101/H101,"0")+IFERROR(Y102/H102,"0")</f>
        <v>14</v>
      </c>
      <c r="Z103" s="543">
        <f>IFERROR(IF(Z99="",0,Z99),"0")+IFERROR(IF(Z100="",0,Z100),"0")+IFERROR(IF(Z101="",0,Z101),"0")+IFERROR(IF(Z102="",0,Z102),"0")</f>
        <v>0.26572000000000001</v>
      </c>
      <c r="AA103" s="544"/>
      <c r="AB103" s="544"/>
      <c r="AC103" s="544"/>
    </row>
    <row r="104" spans="1:68" x14ac:dyDescent="0.2">
      <c r="A104" s="546"/>
      <c r="B104" s="546"/>
      <c r="C104" s="546"/>
      <c r="D104" s="546"/>
      <c r="E104" s="546"/>
      <c r="F104" s="546"/>
      <c r="G104" s="546"/>
      <c r="H104" s="546"/>
      <c r="I104" s="546"/>
      <c r="J104" s="546"/>
      <c r="K104" s="546"/>
      <c r="L104" s="546"/>
      <c r="M104" s="546"/>
      <c r="N104" s="546"/>
      <c r="O104" s="559"/>
      <c r="P104" s="550" t="s">
        <v>71</v>
      </c>
      <c r="Q104" s="551"/>
      <c r="R104" s="551"/>
      <c r="S104" s="551"/>
      <c r="T104" s="551"/>
      <c r="U104" s="551"/>
      <c r="V104" s="552"/>
      <c r="W104" s="37" t="s">
        <v>69</v>
      </c>
      <c r="X104" s="543">
        <f>IFERROR(SUM(X99:X102),"0")</f>
        <v>150</v>
      </c>
      <c r="Y104" s="543">
        <f>IFERROR(SUM(Y99:Y102),"0")</f>
        <v>151.20000000000002</v>
      </c>
      <c r="Z104" s="37"/>
      <c r="AA104" s="544"/>
      <c r="AB104" s="544"/>
      <c r="AC104" s="544"/>
    </row>
    <row r="105" spans="1:68" ht="14.25" hidden="1" customHeight="1" x14ac:dyDescent="0.25">
      <c r="A105" s="553" t="s">
        <v>135</v>
      </c>
      <c r="B105" s="546"/>
      <c r="C105" s="546"/>
      <c r="D105" s="546"/>
      <c r="E105" s="546"/>
      <c r="F105" s="546"/>
      <c r="G105" s="546"/>
      <c r="H105" s="546"/>
      <c r="I105" s="546"/>
      <c r="J105" s="546"/>
      <c r="K105" s="546"/>
      <c r="L105" s="546"/>
      <c r="M105" s="546"/>
      <c r="N105" s="546"/>
      <c r="O105" s="546"/>
      <c r="P105" s="546"/>
      <c r="Q105" s="546"/>
      <c r="R105" s="546"/>
      <c r="S105" s="546"/>
      <c r="T105" s="546"/>
      <c r="U105" s="546"/>
      <c r="V105" s="546"/>
      <c r="W105" s="546"/>
      <c r="X105" s="546"/>
      <c r="Y105" s="546"/>
      <c r="Z105" s="546"/>
      <c r="AA105" s="537"/>
      <c r="AB105" s="537"/>
      <c r="AC105" s="537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56">
        <v>4680115881488</v>
      </c>
      <c r="E106" s="557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67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56">
        <v>4680115882775</v>
      </c>
      <c r="E107" s="557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65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56">
        <v>4680115880658</v>
      </c>
      <c r="E108" s="557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68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8"/>
      <c r="B109" s="546"/>
      <c r="C109" s="546"/>
      <c r="D109" s="546"/>
      <c r="E109" s="546"/>
      <c r="F109" s="546"/>
      <c r="G109" s="546"/>
      <c r="H109" s="546"/>
      <c r="I109" s="546"/>
      <c r="J109" s="546"/>
      <c r="K109" s="546"/>
      <c r="L109" s="546"/>
      <c r="M109" s="546"/>
      <c r="N109" s="546"/>
      <c r="O109" s="559"/>
      <c r="P109" s="550" t="s">
        <v>71</v>
      </c>
      <c r="Q109" s="551"/>
      <c r="R109" s="551"/>
      <c r="S109" s="551"/>
      <c r="T109" s="551"/>
      <c r="U109" s="551"/>
      <c r="V109" s="552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46"/>
      <c r="B110" s="546"/>
      <c r="C110" s="546"/>
      <c r="D110" s="546"/>
      <c r="E110" s="546"/>
      <c r="F110" s="546"/>
      <c r="G110" s="546"/>
      <c r="H110" s="546"/>
      <c r="I110" s="546"/>
      <c r="J110" s="546"/>
      <c r="K110" s="546"/>
      <c r="L110" s="546"/>
      <c r="M110" s="546"/>
      <c r="N110" s="546"/>
      <c r="O110" s="559"/>
      <c r="P110" s="550" t="s">
        <v>71</v>
      </c>
      <c r="Q110" s="551"/>
      <c r="R110" s="551"/>
      <c r="S110" s="551"/>
      <c r="T110" s="551"/>
      <c r="U110" s="551"/>
      <c r="V110" s="552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3" t="s">
        <v>73</v>
      </c>
      <c r="B111" s="546"/>
      <c r="C111" s="546"/>
      <c r="D111" s="546"/>
      <c r="E111" s="546"/>
      <c r="F111" s="546"/>
      <c r="G111" s="546"/>
      <c r="H111" s="546"/>
      <c r="I111" s="546"/>
      <c r="J111" s="546"/>
      <c r="K111" s="546"/>
      <c r="L111" s="546"/>
      <c r="M111" s="546"/>
      <c r="N111" s="546"/>
      <c r="O111" s="546"/>
      <c r="P111" s="546"/>
      <c r="Q111" s="546"/>
      <c r="R111" s="546"/>
      <c r="S111" s="546"/>
      <c r="T111" s="546"/>
      <c r="U111" s="546"/>
      <c r="V111" s="546"/>
      <c r="W111" s="546"/>
      <c r="X111" s="546"/>
      <c r="Y111" s="546"/>
      <c r="Z111" s="546"/>
      <c r="AA111" s="537"/>
      <c r="AB111" s="537"/>
      <c r="AC111" s="537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56">
        <v>4607091385168</v>
      </c>
      <c r="E112" s="557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65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56">
        <v>4607091383256</v>
      </c>
      <c r="E113" s="557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212</v>
      </c>
      <c r="B114" s="54" t="s">
        <v>213</v>
      </c>
      <c r="C114" s="31">
        <v>4301051721</v>
      </c>
      <c r="D114" s="556">
        <v>4607091385748</v>
      </c>
      <c r="E114" s="557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45</v>
      </c>
      <c r="Y114" s="542">
        <f>IFERROR(IF(X114="",0,CEILING((X114/$H114),1)*$H114),"")</f>
        <v>45.900000000000006</v>
      </c>
      <c r="Z114" s="36">
        <f>IFERROR(IF(Y114=0,"",ROUNDUP(Y114/H114,0)*0.00651),"")</f>
        <v>0.11067</v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49.199999999999996</v>
      </c>
      <c r="BN114" s="64">
        <f>IFERROR(Y114*I114/H114,"0")</f>
        <v>50.183999999999997</v>
      </c>
      <c r="BO114" s="64">
        <f>IFERROR(1/J114*(X114/H114),"0")</f>
        <v>9.1575091575091569E-2</v>
      </c>
      <c r="BP114" s="64">
        <f>IFERROR(1/J114*(Y114/H114),"0")</f>
        <v>9.3406593406593408E-2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56">
        <v>4680115884533</v>
      </c>
      <c r="E115" s="557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8"/>
      <c r="B116" s="546"/>
      <c r="C116" s="546"/>
      <c r="D116" s="546"/>
      <c r="E116" s="546"/>
      <c r="F116" s="546"/>
      <c r="G116" s="546"/>
      <c r="H116" s="546"/>
      <c r="I116" s="546"/>
      <c r="J116" s="546"/>
      <c r="K116" s="546"/>
      <c r="L116" s="546"/>
      <c r="M116" s="546"/>
      <c r="N116" s="546"/>
      <c r="O116" s="559"/>
      <c r="P116" s="550" t="s">
        <v>71</v>
      </c>
      <c r="Q116" s="551"/>
      <c r="R116" s="551"/>
      <c r="S116" s="551"/>
      <c r="T116" s="551"/>
      <c r="U116" s="551"/>
      <c r="V116" s="552"/>
      <c r="W116" s="37" t="s">
        <v>72</v>
      </c>
      <c r="X116" s="543">
        <f>IFERROR(X112/H112,"0")+IFERROR(X113/H113,"0")+IFERROR(X114/H114,"0")+IFERROR(X115/H115,"0")</f>
        <v>16.666666666666664</v>
      </c>
      <c r="Y116" s="543">
        <f>IFERROR(Y112/H112,"0")+IFERROR(Y113/H113,"0")+IFERROR(Y114/H114,"0")+IFERROR(Y115/H115,"0")</f>
        <v>17</v>
      </c>
      <c r="Z116" s="543">
        <f>IFERROR(IF(Z112="",0,Z112),"0")+IFERROR(IF(Z113="",0,Z113),"0")+IFERROR(IF(Z114="",0,Z114),"0")+IFERROR(IF(Z115="",0,Z115),"0")</f>
        <v>0.11067</v>
      </c>
      <c r="AA116" s="544"/>
      <c r="AB116" s="544"/>
      <c r="AC116" s="544"/>
    </row>
    <row r="117" spans="1:68" x14ac:dyDescent="0.2">
      <c r="A117" s="546"/>
      <c r="B117" s="546"/>
      <c r="C117" s="546"/>
      <c r="D117" s="546"/>
      <c r="E117" s="546"/>
      <c r="F117" s="546"/>
      <c r="G117" s="546"/>
      <c r="H117" s="546"/>
      <c r="I117" s="546"/>
      <c r="J117" s="546"/>
      <c r="K117" s="546"/>
      <c r="L117" s="546"/>
      <c r="M117" s="546"/>
      <c r="N117" s="546"/>
      <c r="O117" s="559"/>
      <c r="P117" s="550" t="s">
        <v>71</v>
      </c>
      <c r="Q117" s="551"/>
      <c r="R117" s="551"/>
      <c r="S117" s="551"/>
      <c r="T117" s="551"/>
      <c r="U117" s="551"/>
      <c r="V117" s="552"/>
      <c r="W117" s="37" t="s">
        <v>69</v>
      </c>
      <c r="X117" s="543">
        <f>IFERROR(SUM(X112:X115),"0")</f>
        <v>45</v>
      </c>
      <c r="Y117" s="543">
        <f>IFERROR(SUM(Y112:Y115),"0")</f>
        <v>45.900000000000006</v>
      </c>
      <c r="Z117" s="37"/>
      <c r="AA117" s="544"/>
      <c r="AB117" s="544"/>
      <c r="AC117" s="544"/>
    </row>
    <row r="118" spans="1:68" ht="14.25" hidden="1" customHeight="1" x14ac:dyDescent="0.25">
      <c r="A118" s="553" t="s">
        <v>163</v>
      </c>
      <c r="B118" s="546"/>
      <c r="C118" s="546"/>
      <c r="D118" s="546"/>
      <c r="E118" s="546"/>
      <c r="F118" s="546"/>
      <c r="G118" s="546"/>
      <c r="H118" s="546"/>
      <c r="I118" s="546"/>
      <c r="J118" s="546"/>
      <c r="K118" s="546"/>
      <c r="L118" s="546"/>
      <c r="M118" s="546"/>
      <c r="N118" s="546"/>
      <c r="O118" s="546"/>
      <c r="P118" s="546"/>
      <c r="Q118" s="546"/>
      <c r="R118" s="546"/>
      <c r="S118" s="546"/>
      <c r="T118" s="546"/>
      <c r="U118" s="546"/>
      <c r="V118" s="546"/>
      <c r="W118" s="546"/>
      <c r="X118" s="546"/>
      <c r="Y118" s="546"/>
      <c r="Z118" s="546"/>
      <c r="AA118" s="537"/>
      <c r="AB118" s="537"/>
      <c r="AC118" s="537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56">
        <v>4680115880238</v>
      </c>
      <c r="E119" s="557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78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8"/>
      <c r="B120" s="546"/>
      <c r="C120" s="546"/>
      <c r="D120" s="546"/>
      <c r="E120" s="546"/>
      <c r="F120" s="546"/>
      <c r="G120" s="546"/>
      <c r="H120" s="546"/>
      <c r="I120" s="546"/>
      <c r="J120" s="546"/>
      <c r="K120" s="546"/>
      <c r="L120" s="546"/>
      <c r="M120" s="546"/>
      <c r="N120" s="546"/>
      <c r="O120" s="559"/>
      <c r="P120" s="550" t="s">
        <v>71</v>
      </c>
      <c r="Q120" s="551"/>
      <c r="R120" s="551"/>
      <c r="S120" s="551"/>
      <c r="T120" s="551"/>
      <c r="U120" s="551"/>
      <c r="V120" s="552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46"/>
      <c r="B121" s="546"/>
      <c r="C121" s="546"/>
      <c r="D121" s="546"/>
      <c r="E121" s="546"/>
      <c r="F121" s="546"/>
      <c r="G121" s="546"/>
      <c r="H121" s="546"/>
      <c r="I121" s="546"/>
      <c r="J121" s="546"/>
      <c r="K121" s="546"/>
      <c r="L121" s="546"/>
      <c r="M121" s="546"/>
      <c r="N121" s="546"/>
      <c r="O121" s="559"/>
      <c r="P121" s="550" t="s">
        <v>71</v>
      </c>
      <c r="Q121" s="551"/>
      <c r="R121" s="551"/>
      <c r="S121" s="551"/>
      <c r="T121" s="551"/>
      <c r="U121" s="551"/>
      <c r="V121" s="552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45" t="s">
        <v>220</v>
      </c>
      <c r="B122" s="546"/>
      <c r="C122" s="546"/>
      <c r="D122" s="546"/>
      <c r="E122" s="546"/>
      <c r="F122" s="546"/>
      <c r="G122" s="546"/>
      <c r="H122" s="546"/>
      <c r="I122" s="546"/>
      <c r="J122" s="546"/>
      <c r="K122" s="546"/>
      <c r="L122" s="546"/>
      <c r="M122" s="546"/>
      <c r="N122" s="546"/>
      <c r="O122" s="546"/>
      <c r="P122" s="546"/>
      <c r="Q122" s="546"/>
      <c r="R122" s="546"/>
      <c r="S122" s="546"/>
      <c r="T122" s="546"/>
      <c r="U122" s="546"/>
      <c r="V122" s="546"/>
      <c r="W122" s="546"/>
      <c r="X122" s="546"/>
      <c r="Y122" s="546"/>
      <c r="Z122" s="546"/>
      <c r="AA122" s="536"/>
      <c r="AB122" s="536"/>
      <c r="AC122" s="536"/>
    </row>
    <row r="123" spans="1:68" ht="14.25" hidden="1" customHeight="1" x14ac:dyDescent="0.25">
      <c r="A123" s="553" t="s">
        <v>99</v>
      </c>
      <c r="B123" s="546"/>
      <c r="C123" s="546"/>
      <c r="D123" s="546"/>
      <c r="E123" s="546"/>
      <c r="F123" s="546"/>
      <c r="G123" s="546"/>
      <c r="H123" s="546"/>
      <c r="I123" s="546"/>
      <c r="J123" s="546"/>
      <c r="K123" s="546"/>
      <c r="L123" s="546"/>
      <c r="M123" s="546"/>
      <c r="N123" s="546"/>
      <c r="O123" s="546"/>
      <c r="P123" s="546"/>
      <c r="Q123" s="546"/>
      <c r="R123" s="546"/>
      <c r="S123" s="546"/>
      <c r="T123" s="546"/>
      <c r="U123" s="546"/>
      <c r="V123" s="546"/>
      <c r="W123" s="546"/>
      <c r="X123" s="546"/>
      <c r="Y123" s="546"/>
      <c r="Z123" s="546"/>
      <c r="AA123" s="537"/>
      <c r="AB123" s="537"/>
      <c r="AC123" s="537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56">
        <v>4680115882577</v>
      </c>
      <c r="E124" s="557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56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56">
        <v>4680115882577</v>
      </c>
      <c r="E125" s="557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5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8"/>
      <c r="B126" s="546"/>
      <c r="C126" s="546"/>
      <c r="D126" s="546"/>
      <c r="E126" s="546"/>
      <c r="F126" s="546"/>
      <c r="G126" s="546"/>
      <c r="H126" s="546"/>
      <c r="I126" s="546"/>
      <c r="J126" s="546"/>
      <c r="K126" s="546"/>
      <c r="L126" s="546"/>
      <c r="M126" s="546"/>
      <c r="N126" s="546"/>
      <c r="O126" s="559"/>
      <c r="P126" s="550" t="s">
        <v>71</v>
      </c>
      <c r="Q126" s="551"/>
      <c r="R126" s="551"/>
      <c r="S126" s="551"/>
      <c r="T126" s="551"/>
      <c r="U126" s="551"/>
      <c r="V126" s="552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46"/>
      <c r="B127" s="546"/>
      <c r="C127" s="546"/>
      <c r="D127" s="546"/>
      <c r="E127" s="546"/>
      <c r="F127" s="546"/>
      <c r="G127" s="546"/>
      <c r="H127" s="546"/>
      <c r="I127" s="546"/>
      <c r="J127" s="546"/>
      <c r="K127" s="546"/>
      <c r="L127" s="546"/>
      <c r="M127" s="546"/>
      <c r="N127" s="546"/>
      <c r="O127" s="559"/>
      <c r="P127" s="550" t="s">
        <v>71</v>
      </c>
      <c r="Q127" s="551"/>
      <c r="R127" s="551"/>
      <c r="S127" s="551"/>
      <c r="T127" s="551"/>
      <c r="U127" s="551"/>
      <c r="V127" s="552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3" t="s">
        <v>64</v>
      </c>
      <c r="B128" s="546"/>
      <c r="C128" s="546"/>
      <c r="D128" s="546"/>
      <c r="E128" s="546"/>
      <c r="F128" s="546"/>
      <c r="G128" s="546"/>
      <c r="H128" s="546"/>
      <c r="I128" s="546"/>
      <c r="J128" s="546"/>
      <c r="K128" s="546"/>
      <c r="L128" s="546"/>
      <c r="M128" s="546"/>
      <c r="N128" s="546"/>
      <c r="O128" s="546"/>
      <c r="P128" s="546"/>
      <c r="Q128" s="546"/>
      <c r="R128" s="546"/>
      <c r="S128" s="546"/>
      <c r="T128" s="546"/>
      <c r="U128" s="546"/>
      <c r="V128" s="546"/>
      <c r="W128" s="546"/>
      <c r="X128" s="546"/>
      <c r="Y128" s="546"/>
      <c r="Z128" s="546"/>
      <c r="AA128" s="537"/>
      <c r="AB128" s="537"/>
      <c r="AC128" s="537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56">
        <v>4680115883444</v>
      </c>
      <c r="E129" s="557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8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56">
        <v>4680115883444</v>
      </c>
      <c r="E130" s="557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69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8"/>
      <c r="B131" s="546"/>
      <c r="C131" s="546"/>
      <c r="D131" s="546"/>
      <c r="E131" s="546"/>
      <c r="F131" s="546"/>
      <c r="G131" s="546"/>
      <c r="H131" s="546"/>
      <c r="I131" s="546"/>
      <c r="J131" s="546"/>
      <c r="K131" s="546"/>
      <c r="L131" s="546"/>
      <c r="M131" s="546"/>
      <c r="N131" s="546"/>
      <c r="O131" s="559"/>
      <c r="P131" s="550" t="s">
        <v>71</v>
      </c>
      <c r="Q131" s="551"/>
      <c r="R131" s="551"/>
      <c r="S131" s="551"/>
      <c r="T131" s="551"/>
      <c r="U131" s="551"/>
      <c r="V131" s="552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46"/>
      <c r="B132" s="546"/>
      <c r="C132" s="546"/>
      <c r="D132" s="546"/>
      <c r="E132" s="546"/>
      <c r="F132" s="546"/>
      <c r="G132" s="546"/>
      <c r="H132" s="546"/>
      <c r="I132" s="546"/>
      <c r="J132" s="546"/>
      <c r="K132" s="546"/>
      <c r="L132" s="546"/>
      <c r="M132" s="546"/>
      <c r="N132" s="546"/>
      <c r="O132" s="559"/>
      <c r="P132" s="550" t="s">
        <v>71</v>
      </c>
      <c r="Q132" s="551"/>
      <c r="R132" s="551"/>
      <c r="S132" s="551"/>
      <c r="T132" s="551"/>
      <c r="U132" s="551"/>
      <c r="V132" s="552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3" t="s">
        <v>73</v>
      </c>
      <c r="B133" s="546"/>
      <c r="C133" s="546"/>
      <c r="D133" s="546"/>
      <c r="E133" s="546"/>
      <c r="F133" s="546"/>
      <c r="G133" s="546"/>
      <c r="H133" s="546"/>
      <c r="I133" s="546"/>
      <c r="J133" s="546"/>
      <c r="K133" s="546"/>
      <c r="L133" s="546"/>
      <c r="M133" s="546"/>
      <c r="N133" s="546"/>
      <c r="O133" s="546"/>
      <c r="P133" s="546"/>
      <c r="Q133" s="546"/>
      <c r="R133" s="546"/>
      <c r="S133" s="546"/>
      <c r="T133" s="546"/>
      <c r="U133" s="546"/>
      <c r="V133" s="546"/>
      <c r="W133" s="546"/>
      <c r="X133" s="546"/>
      <c r="Y133" s="546"/>
      <c r="Z133" s="546"/>
      <c r="AA133" s="537"/>
      <c r="AB133" s="537"/>
      <c r="AC133" s="537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56">
        <v>4680115882584</v>
      </c>
      <c r="E134" s="557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56">
        <v>4680115882584</v>
      </c>
      <c r="E135" s="557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6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8"/>
      <c r="B136" s="546"/>
      <c r="C136" s="546"/>
      <c r="D136" s="546"/>
      <c r="E136" s="546"/>
      <c r="F136" s="546"/>
      <c r="G136" s="546"/>
      <c r="H136" s="546"/>
      <c r="I136" s="546"/>
      <c r="J136" s="546"/>
      <c r="K136" s="546"/>
      <c r="L136" s="546"/>
      <c r="M136" s="546"/>
      <c r="N136" s="546"/>
      <c r="O136" s="559"/>
      <c r="P136" s="550" t="s">
        <v>71</v>
      </c>
      <c r="Q136" s="551"/>
      <c r="R136" s="551"/>
      <c r="S136" s="551"/>
      <c r="T136" s="551"/>
      <c r="U136" s="551"/>
      <c r="V136" s="552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46"/>
      <c r="B137" s="546"/>
      <c r="C137" s="546"/>
      <c r="D137" s="546"/>
      <c r="E137" s="546"/>
      <c r="F137" s="546"/>
      <c r="G137" s="546"/>
      <c r="H137" s="546"/>
      <c r="I137" s="546"/>
      <c r="J137" s="546"/>
      <c r="K137" s="546"/>
      <c r="L137" s="546"/>
      <c r="M137" s="546"/>
      <c r="N137" s="546"/>
      <c r="O137" s="559"/>
      <c r="P137" s="550" t="s">
        <v>71</v>
      </c>
      <c r="Q137" s="551"/>
      <c r="R137" s="551"/>
      <c r="S137" s="551"/>
      <c r="T137" s="551"/>
      <c r="U137" s="551"/>
      <c r="V137" s="552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45" t="s">
        <v>97</v>
      </c>
      <c r="B138" s="546"/>
      <c r="C138" s="546"/>
      <c r="D138" s="546"/>
      <c r="E138" s="546"/>
      <c r="F138" s="546"/>
      <c r="G138" s="546"/>
      <c r="H138" s="546"/>
      <c r="I138" s="546"/>
      <c r="J138" s="546"/>
      <c r="K138" s="546"/>
      <c r="L138" s="546"/>
      <c r="M138" s="546"/>
      <c r="N138" s="546"/>
      <c r="O138" s="546"/>
      <c r="P138" s="546"/>
      <c r="Q138" s="546"/>
      <c r="R138" s="546"/>
      <c r="S138" s="546"/>
      <c r="T138" s="546"/>
      <c r="U138" s="546"/>
      <c r="V138" s="546"/>
      <c r="W138" s="546"/>
      <c r="X138" s="546"/>
      <c r="Y138" s="546"/>
      <c r="Z138" s="546"/>
      <c r="AA138" s="536"/>
      <c r="AB138" s="536"/>
      <c r="AC138" s="536"/>
    </row>
    <row r="139" spans="1:68" ht="14.25" hidden="1" customHeight="1" x14ac:dyDescent="0.25">
      <c r="A139" s="553" t="s">
        <v>99</v>
      </c>
      <c r="B139" s="546"/>
      <c r="C139" s="546"/>
      <c r="D139" s="546"/>
      <c r="E139" s="546"/>
      <c r="F139" s="546"/>
      <c r="G139" s="546"/>
      <c r="H139" s="546"/>
      <c r="I139" s="546"/>
      <c r="J139" s="546"/>
      <c r="K139" s="546"/>
      <c r="L139" s="546"/>
      <c r="M139" s="546"/>
      <c r="N139" s="546"/>
      <c r="O139" s="546"/>
      <c r="P139" s="546"/>
      <c r="Q139" s="546"/>
      <c r="R139" s="546"/>
      <c r="S139" s="546"/>
      <c r="T139" s="546"/>
      <c r="U139" s="546"/>
      <c r="V139" s="546"/>
      <c r="W139" s="546"/>
      <c r="X139" s="546"/>
      <c r="Y139" s="546"/>
      <c r="Z139" s="546"/>
      <c r="AA139" s="537"/>
      <c r="AB139" s="537"/>
      <c r="AC139" s="537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56">
        <v>4680115887374</v>
      </c>
      <c r="E140" s="557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56">
        <v>4607091384604</v>
      </c>
      <c r="E141" s="557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1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idden="1" x14ac:dyDescent="0.2">
      <c r="A142" s="558"/>
      <c r="B142" s="546"/>
      <c r="C142" s="546"/>
      <c r="D142" s="546"/>
      <c r="E142" s="546"/>
      <c r="F142" s="546"/>
      <c r="G142" s="546"/>
      <c r="H142" s="546"/>
      <c r="I142" s="546"/>
      <c r="J142" s="546"/>
      <c r="K142" s="546"/>
      <c r="L142" s="546"/>
      <c r="M142" s="546"/>
      <c r="N142" s="546"/>
      <c r="O142" s="559"/>
      <c r="P142" s="550" t="s">
        <v>71</v>
      </c>
      <c r="Q142" s="551"/>
      <c r="R142" s="551"/>
      <c r="S142" s="551"/>
      <c r="T142" s="551"/>
      <c r="U142" s="551"/>
      <c r="V142" s="552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hidden="1" x14ac:dyDescent="0.2">
      <c r="A143" s="546"/>
      <c r="B143" s="546"/>
      <c r="C143" s="546"/>
      <c r="D143" s="546"/>
      <c r="E143" s="546"/>
      <c r="F143" s="546"/>
      <c r="G143" s="546"/>
      <c r="H143" s="546"/>
      <c r="I143" s="546"/>
      <c r="J143" s="546"/>
      <c r="K143" s="546"/>
      <c r="L143" s="546"/>
      <c r="M143" s="546"/>
      <c r="N143" s="546"/>
      <c r="O143" s="559"/>
      <c r="P143" s="550" t="s">
        <v>71</v>
      </c>
      <c r="Q143" s="551"/>
      <c r="R143" s="551"/>
      <c r="S143" s="551"/>
      <c r="T143" s="551"/>
      <c r="U143" s="551"/>
      <c r="V143" s="552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hidden="1" customHeight="1" x14ac:dyDescent="0.25">
      <c r="A144" s="553" t="s">
        <v>64</v>
      </c>
      <c r="B144" s="546"/>
      <c r="C144" s="546"/>
      <c r="D144" s="546"/>
      <c r="E144" s="546"/>
      <c r="F144" s="546"/>
      <c r="G144" s="546"/>
      <c r="H144" s="546"/>
      <c r="I144" s="546"/>
      <c r="J144" s="546"/>
      <c r="K144" s="546"/>
      <c r="L144" s="546"/>
      <c r="M144" s="546"/>
      <c r="N144" s="546"/>
      <c r="O144" s="546"/>
      <c r="P144" s="546"/>
      <c r="Q144" s="546"/>
      <c r="R144" s="546"/>
      <c r="S144" s="546"/>
      <c r="T144" s="546"/>
      <c r="U144" s="546"/>
      <c r="V144" s="546"/>
      <c r="W144" s="546"/>
      <c r="X144" s="546"/>
      <c r="Y144" s="546"/>
      <c r="Z144" s="546"/>
      <c r="AA144" s="537"/>
      <c r="AB144" s="537"/>
      <c r="AC144" s="537"/>
    </row>
    <row r="145" spans="1:68" ht="16.5" hidden="1" customHeight="1" x14ac:dyDescent="0.25">
      <c r="A145" s="54" t="s">
        <v>238</v>
      </c>
      <c r="B145" s="54" t="s">
        <v>239</v>
      </c>
      <c r="C145" s="31">
        <v>4301030895</v>
      </c>
      <c r="D145" s="556">
        <v>4607091387667</v>
      </c>
      <c r="E145" s="557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8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8"/>
      <c r="R145" s="548"/>
      <c r="S145" s="548"/>
      <c r="T145" s="549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hidden="1" customHeight="1" x14ac:dyDescent="0.25">
      <c r="A146" s="54" t="s">
        <v>241</v>
      </c>
      <c r="B146" s="54" t="s">
        <v>242</v>
      </c>
      <c r="C146" s="31">
        <v>4301030961</v>
      </c>
      <c r="D146" s="556">
        <v>4607091387636</v>
      </c>
      <c r="E146" s="557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61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hidden="1" customHeight="1" x14ac:dyDescent="0.25">
      <c r="A147" s="54" t="s">
        <v>244</v>
      </c>
      <c r="B147" s="54" t="s">
        <v>245</v>
      </c>
      <c r="C147" s="31">
        <v>4301030963</v>
      </c>
      <c r="D147" s="556">
        <v>4607091382426</v>
      </c>
      <c r="E147" s="557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83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558"/>
      <c r="B148" s="546"/>
      <c r="C148" s="546"/>
      <c r="D148" s="546"/>
      <c r="E148" s="546"/>
      <c r="F148" s="546"/>
      <c r="G148" s="546"/>
      <c r="H148" s="546"/>
      <c r="I148" s="546"/>
      <c r="J148" s="546"/>
      <c r="K148" s="546"/>
      <c r="L148" s="546"/>
      <c r="M148" s="546"/>
      <c r="N148" s="546"/>
      <c r="O148" s="559"/>
      <c r="P148" s="550" t="s">
        <v>71</v>
      </c>
      <c r="Q148" s="551"/>
      <c r="R148" s="551"/>
      <c r="S148" s="551"/>
      <c r="T148" s="551"/>
      <c r="U148" s="551"/>
      <c r="V148" s="552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hidden="1" x14ac:dyDescent="0.2">
      <c r="A149" s="546"/>
      <c r="B149" s="546"/>
      <c r="C149" s="546"/>
      <c r="D149" s="546"/>
      <c r="E149" s="546"/>
      <c r="F149" s="546"/>
      <c r="G149" s="546"/>
      <c r="H149" s="546"/>
      <c r="I149" s="546"/>
      <c r="J149" s="546"/>
      <c r="K149" s="546"/>
      <c r="L149" s="546"/>
      <c r="M149" s="546"/>
      <c r="N149" s="546"/>
      <c r="O149" s="559"/>
      <c r="P149" s="550" t="s">
        <v>71</v>
      </c>
      <c r="Q149" s="551"/>
      <c r="R149" s="551"/>
      <c r="S149" s="551"/>
      <c r="T149" s="551"/>
      <c r="U149" s="551"/>
      <c r="V149" s="552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hidden="1" customHeight="1" x14ac:dyDescent="0.25">
      <c r="A150" s="553" t="s">
        <v>73</v>
      </c>
      <c r="B150" s="546"/>
      <c r="C150" s="546"/>
      <c r="D150" s="546"/>
      <c r="E150" s="546"/>
      <c r="F150" s="546"/>
      <c r="G150" s="546"/>
      <c r="H150" s="546"/>
      <c r="I150" s="546"/>
      <c r="J150" s="546"/>
      <c r="K150" s="546"/>
      <c r="L150" s="546"/>
      <c r="M150" s="546"/>
      <c r="N150" s="546"/>
      <c r="O150" s="546"/>
      <c r="P150" s="546"/>
      <c r="Q150" s="546"/>
      <c r="R150" s="546"/>
      <c r="S150" s="546"/>
      <c r="T150" s="546"/>
      <c r="U150" s="546"/>
      <c r="V150" s="546"/>
      <c r="W150" s="546"/>
      <c r="X150" s="546"/>
      <c r="Y150" s="546"/>
      <c r="Z150" s="546"/>
      <c r="AA150" s="537"/>
      <c r="AB150" s="537"/>
      <c r="AC150" s="537"/>
    </row>
    <row r="151" spans="1:68" ht="27" hidden="1" customHeight="1" x14ac:dyDescent="0.25">
      <c r="A151" s="54" t="s">
        <v>247</v>
      </c>
      <c r="B151" s="54" t="s">
        <v>248</v>
      </c>
      <c r="C151" s="31">
        <v>4301052064</v>
      </c>
      <c r="D151" s="556">
        <v>4680115887459</v>
      </c>
      <c r="E151" s="557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5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8"/>
      <c r="R151" s="548"/>
      <c r="S151" s="548"/>
      <c r="T151" s="549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58"/>
      <c r="B152" s="546"/>
      <c r="C152" s="546"/>
      <c r="D152" s="546"/>
      <c r="E152" s="546"/>
      <c r="F152" s="546"/>
      <c r="G152" s="546"/>
      <c r="H152" s="546"/>
      <c r="I152" s="546"/>
      <c r="J152" s="546"/>
      <c r="K152" s="546"/>
      <c r="L152" s="546"/>
      <c r="M152" s="546"/>
      <c r="N152" s="546"/>
      <c r="O152" s="559"/>
      <c r="P152" s="550" t="s">
        <v>71</v>
      </c>
      <c r="Q152" s="551"/>
      <c r="R152" s="551"/>
      <c r="S152" s="551"/>
      <c r="T152" s="551"/>
      <c r="U152" s="551"/>
      <c r="V152" s="552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hidden="1" x14ac:dyDescent="0.2">
      <c r="A153" s="546"/>
      <c r="B153" s="546"/>
      <c r="C153" s="546"/>
      <c r="D153" s="546"/>
      <c r="E153" s="546"/>
      <c r="F153" s="546"/>
      <c r="G153" s="546"/>
      <c r="H153" s="546"/>
      <c r="I153" s="546"/>
      <c r="J153" s="546"/>
      <c r="K153" s="546"/>
      <c r="L153" s="546"/>
      <c r="M153" s="546"/>
      <c r="N153" s="546"/>
      <c r="O153" s="559"/>
      <c r="P153" s="550" t="s">
        <v>71</v>
      </c>
      <c r="Q153" s="551"/>
      <c r="R153" s="551"/>
      <c r="S153" s="551"/>
      <c r="T153" s="551"/>
      <c r="U153" s="551"/>
      <c r="V153" s="552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hidden="1" customHeight="1" x14ac:dyDescent="0.2">
      <c r="A154" s="645" t="s">
        <v>250</v>
      </c>
      <c r="B154" s="646"/>
      <c r="C154" s="646"/>
      <c r="D154" s="646"/>
      <c r="E154" s="646"/>
      <c r="F154" s="646"/>
      <c r="G154" s="646"/>
      <c r="H154" s="646"/>
      <c r="I154" s="646"/>
      <c r="J154" s="646"/>
      <c r="K154" s="646"/>
      <c r="L154" s="646"/>
      <c r="M154" s="646"/>
      <c r="N154" s="646"/>
      <c r="O154" s="646"/>
      <c r="P154" s="646"/>
      <c r="Q154" s="646"/>
      <c r="R154" s="646"/>
      <c r="S154" s="646"/>
      <c r="T154" s="646"/>
      <c r="U154" s="646"/>
      <c r="V154" s="646"/>
      <c r="W154" s="646"/>
      <c r="X154" s="646"/>
      <c r="Y154" s="646"/>
      <c r="Z154" s="646"/>
      <c r="AA154" s="48"/>
      <c r="AB154" s="48"/>
      <c r="AC154" s="48"/>
    </row>
    <row r="155" spans="1:68" ht="16.5" hidden="1" customHeight="1" x14ac:dyDescent="0.25">
      <c r="A155" s="545" t="s">
        <v>251</v>
      </c>
      <c r="B155" s="546"/>
      <c r="C155" s="546"/>
      <c r="D155" s="546"/>
      <c r="E155" s="546"/>
      <c r="F155" s="546"/>
      <c r="G155" s="546"/>
      <c r="H155" s="546"/>
      <c r="I155" s="546"/>
      <c r="J155" s="546"/>
      <c r="K155" s="546"/>
      <c r="L155" s="546"/>
      <c r="M155" s="546"/>
      <c r="N155" s="546"/>
      <c r="O155" s="546"/>
      <c r="P155" s="546"/>
      <c r="Q155" s="546"/>
      <c r="R155" s="546"/>
      <c r="S155" s="546"/>
      <c r="T155" s="546"/>
      <c r="U155" s="546"/>
      <c r="V155" s="546"/>
      <c r="W155" s="546"/>
      <c r="X155" s="546"/>
      <c r="Y155" s="546"/>
      <c r="Z155" s="546"/>
      <c r="AA155" s="536"/>
      <c r="AB155" s="536"/>
      <c r="AC155" s="536"/>
    </row>
    <row r="156" spans="1:68" ht="14.25" hidden="1" customHeight="1" x14ac:dyDescent="0.25">
      <c r="A156" s="553" t="s">
        <v>135</v>
      </c>
      <c r="B156" s="546"/>
      <c r="C156" s="546"/>
      <c r="D156" s="546"/>
      <c r="E156" s="546"/>
      <c r="F156" s="546"/>
      <c r="G156" s="546"/>
      <c r="H156" s="546"/>
      <c r="I156" s="546"/>
      <c r="J156" s="546"/>
      <c r="K156" s="546"/>
      <c r="L156" s="546"/>
      <c r="M156" s="546"/>
      <c r="N156" s="546"/>
      <c r="O156" s="546"/>
      <c r="P156" s="546"/>
      <c r="Q156" s="546"/>
      <c r="R156" s="546"/>
      <c r="S156" s="546"/>
      <c r="T156" s="546"/>
      <c r="U156" s="546"/>
      <c r="V156" s="546"/>
      <c r="W156" s="546"/>
      <c r="X156" s="546"/>
      <c r="Y156" s="546"/>
      <c r="Z156" s="546"/>
      <c r="AA156" s="537"/>
      <c r="AB156" s="537"/>
      <c r="AC156" s="537"/>
    </row>
    <row r="157" spans="1:68" ht="27" hidden="1" customHeight="1" x14ac:dyDescent="0.25">
      <c r="A157" s="54" t="s">
        <v>252</v>
      </c>
      <c r="B157" s="54" t="s">
        <v>253</v>
      </c>
      <c r="C157" s="31">
        <v>4301020323</v>
      </c>
      <c r="D157" s="556">
        <v>4680115886223</v>
      </c>
      <c r="E157" s="557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85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8"/>
      <c r="R157" s="548"/>
      <c r="S157" s="548"/>
      <c r="T157" s="549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58"/>
      <c r="B158" s="546"/>
      <c r="C158" s="546"/>
      <c r="D158" s="546"/>
      <c r="E158" s="546"/>
      <c r="F158" s="546"/>
      <c r="G158" s="546"/>
      <c r="H158" s="546"/>
      <c r="I158" s="546"/>
      <c r="J158" s="546"/>
      <c r="K158" s="546"/>
      <c r="L158" s="546"/>
      <c r="M158" s="546"/>
      <c r="N158" s="546"/>
      <c r="O158" s="559"/>
      <c r="P158" s="550" t="s">
        <v>71</v>
      </c>
      <c r="Q158" s="551"/>
      <c r="R158" s="551"/>
      <c r="S158" s="551"/>
      <c r="T158" s="551"/>
      <c r="U158" s="551"/>
      <c r="V158" s="552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hidden="1" x14ac:dyDescent="0.2">
      <c r="A159" s="546"/>
      <c r="B159" s="546"/>
      <c r="C159" s="546"/>
      <c r="D159" s="546"/>
      <c r="E159" s="546"/>
      <c r="F159" s="546"/>
      <c r="G159" s="546"/>
      <c r="H159" s="546"/>
      <c r="I159" s="546"/>
      <c r="J159" s="546"/>
      <c r="K159" s="546"/>
      <c r="L159" s="546"/>
      <c r="M159" s="546"/>
      <c r="N159" s="546"/>
      <c r="O159" s="559"/>
      <c r="P159" s="550" t="s">
        <v>71</v>
      </c>
      <c r="Q159" s="551"/>
      <c r="R159" s="551"/>
      <c r="S159" s="551"/>
      <c r="T159" s="551"/>
      <c r="U159" s="551"/>
      <c r="V159" s="552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hidden="1" customHeight="1" x14ac:dyDescent="0.25">
      <c r="A160" s="553" t="s">
        <v>64</v>
      </c>
      <c r="B160" s="546"/>
      <c r="C160" s="546"/>
      <c r="D160" s="546"/>
      <c r="E160" s="546"/>
      <c r="F160" s="546"/>
      <c r="G160" s="546"/>
      <c r="H160" s="546"/>
      <c r="I160" s="546"/>
      <c r="J160" s="546"/>
      <c r="K160" s="546"/>
      <c r="L160" s="546"/>
      <c r="M160" s="546"/>
      <c r="N160" s="546"/>
      <c r="O160" s="546"/>
      <c r="P160" s="546"/>
      <c r="Q160" s="546"/>
      <c r="R160" s="546"/>
      <c r="S160" s="546"/>
      <c r="T160" s="546"/>
      <c r="U160" s="546"/>
      <c r="V160" s="546"/>
      <c r="W160" s="546"/>
      <c r="X160" s="546"/>
      <c r="Y160" s="546"/>
      <c r="Z160" s="546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56">
        <v>4680115880993</v>
      </c>
      <c r="E161" s="557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110</v>
      </c>
      <c r="M161" s="33" t="s">
        <v>68</v>
      </c>
      <c r="N161" s="33"/>
      <c r="O161" s="32">
        <v>40</v>
      </c>
      <c r="P161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8"/>
      <c r="R161" s="548"/>
      <c r="S161" s="548"/>
      <c r="T161" s="549"/>
      <c r="U161" s="34"/>
      <c r="V161" s="34"/>
      <c r="W161" s="35" t="s">
        <v>69</v>
      </c>
      <c r="X161" s="541">
        <v>150</v>
      </c>
      <c r="Y161" s="542">
        <f t="shared" ref="Y161:Y170" si="5">IFERROR(IF(X161="",0,CEILING((X161/$H161),1)*$H161),"")</f>
        <v>151.20000000000002</v>
      </c>
      <c r="Z161" s="36">
        <f>IFERROR(IF(Y161=0,"",ROUNDUP(Y161/H161,0)*0.00902),"")</f>
        <v>0.32472000000000001</v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158.92857142857142</v>
      </c>
      <c r="BN161" s="64">
        <f t="shared" ref="BN161:BN170" si="7">IFERROR(Y161*I161/H161,"0")</f>
        <v>160.20000000000002</v>
      </c>
      <c r="BO161" s="64">
        <f t="shared" ref="BO161:BO170" si="8">IFERROR(1/J161*(X161/H161),"0")</f>
        <v>0.27056277056277056</v>
      </c>
      <c r="BP161" s="64">
        <f t="shared" ref="BP161:BP170" si="9">IFERROR(1/J161*(Y161/H161),"0")</f>
        <v>0.27272727272727271</v>
      </c>
    </row>
    <row r="162" spans="1:68" ht="27" hidden="1" customHeight="1" x14ac:dyDescent="0.25">
      <c r="A162" s="54" t="s">
        <v>258</v>
      </c>
      <c r="B162" s="54" t="s">
        <v>259</v>
      </c>
      <c r="C162" s="31">
        <v>4301031204</v>
      </c>
      <c r="D162" s="556">
        <v>4680115881761</v>
      </c>
      <c r="E162" s="557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66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hidden="1" customHeight="1" x14ac:dyDescent="0.25">
      <c r="A163" s="54" t="s">
        <v>261</v>
      </c>
      <c r="B163" s="54" t="s">
        <v>262</v>
      </c>
      <c r="C163" s="31">
        <v>4301031201</v>
      </c>
      <c r="D163" s="556">
        <v>4680115881563</v>
      </c>
      <c r="E163" s="557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110</v>
      </c>
      <c r="M163" s="33" t="s">
        <v>68</v>
      </c>
      <c r="N163" s="33"/>
      <c r="O163" s="32">
        <v>40</v>
      </c>
      <c r="P163" s="74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264</v>
      </c>
      <c r="B164" s="54" t="s">
        <v>265</v>
      </c>
      <c r="C164" s="31">
        <v>4301031199</v>
      </c>
      <c r="D164" s="556">
        <v>4680115880986</v>
      </c>
      <c r="E164" s="557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67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267</v>
      </c>
      <c r="B165" s="54" t="s">
        <v>268</v>
      </c>
      <c r="C165" s="31">
        <v>4301031443</v>
      </c>
      <c r="D165" s="556">
        <v>4680115887213</v>
      </c>
      <c r="E165" s="557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850" t="s">
        <v>269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4301031205</v>
      </c>
      <c r="D166" s="556">
        <v>4680115881785</v>
      </c>
      <c r="E166" s="557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1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273</v>
      </c>
      <c r="B167" s="54" t="s">
        <v>274</v>
      </c>
      <c r="C167" s="31">
        <v>4301031399</v>
      </c>
      <c r="D167" s="556">
        <v>4680115886537</v>
      </c>
      <c r="E167" s="557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 t="s">
        <v>266</v>
      </c>
      <c r="M167" s="33" t="s">
        <v>68</v>
      </c>
      <c r="N167" s="33"/>
      <c r="O167" s="32">
        <v>40</v>
      </c>
      <c r="P167" s="77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276</v>
      </c>
      <c r="B168" s="54" t="s">
        <v>277</v>
      </c>
      <c r="C168" s="31">
        <v>4301031202</v>
      </c>
      <c r="D168" s="556">
        <v>4680115881679</v>
      </c>
      <c r="E168" s="557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266</v>
      </c>
      <c r="M168" s="33" t="s">
        <v>68</v>
      </c>
      <c r="N168" s="33"/>
      <c r="O168" s="32">
        <v>40</v>
      </c>
      <c r="P168" s="81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278</v>
      </c>
      <c r="B169" s="54" t="s">
        <v>279</v>
      </c>
      <c r="C169" s="31">
        <v>4301031158</v>
      </c>
      <c r="D169" s="556">
        <v>4680115880191</v>
      </c>
      <c r="E169" s="557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78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280</v>
      </c>
      <c r="B170" s="54" t="s">
        <v>281</v>
      </c>
      <c r="C170" s="31">
        <v>4301031245</v>
      </c>
      <c r="D170" s="556">
        <v>4680115883963</v>
      </c>
      <c r="E170" s="557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8"/>
      <c r="B171" s="546"/>
      <c r="C171" s="546"/>
      <c r="D171" s="546"/>
      <c r="E171" s="546"/>
      <c r="F171" s="546"/>
      <c r="G171" s="546"/>
      <c r="H171" s="546"/>
      <c r="I171" s="546"/>
      <c r="J171" s="546"/>
      <c r="K171" s="546"/>
      <c r="L171" s="546"/>
      <c r="M171" s="546"/>
      <c r="N171" s="546"/>
      <c r="O171" s="559"/>
      <c r="P171" s="550" t="s">
        <v>71</v>
      </c>
      <c r="Q171" s="551"/>
      <c r="R171" s="551"/>
      <c r="S171" s="551"/>
      <c r="T171" s="551"/>
      <c r="U171" s="551"/>
      <c r="V171" s="552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35.714285714285715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36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0.32472000000000001</v>
      </c>
      <c r="AA171" s="544"/>
      <c r="AB171" s="544"/>
      <c r="AC171" s="544"/>
    </row>
    <row r="172" spans="1:68" x14ac:dyDescent="0.2">
      <c r="A172" s="546"/>
      <c r="B172" s="546"/>
      <c r="C172" s="546"/>
      <c r="D172" s="546"/>
      <c r="E172" s="546"/>
      <c r="F172" s="546"/>
      <c r="G172" s="546"/>
      <c r="H172" s="546"/>
      <c r="I172" s="546"/>
      <c r="J172" s="546"/>
      <c r="K172" s="546"/>
      <c r="L172" s="546"/>
      <c r="M172" s="546"/>
      <c r="N172" s="546"/>
      <c r="O172" s="559"/>
      <c r="P172" s="550" t="s">
        <v>71</v>
      </c>
      <c r="Q172" s="551"/>
      <c r="R172" s="551"/>
      <c r="S172" s="551"/>
      <c r="T172" s="551"/>
      <c r="U172" s="551"/>
      <c r="V172" s="552"/>
      <c r="W172" s="37" t="s">
        <v>69</v>
      </c>
      <c r="X172" s="543">
        <f>IFERROR(SUM(X161:X170),"0")</f>
        <v>150</v>
      </c>
      <c r="Y172" s="543">
        <f>IFERROR(SUM(Y161:Y170),"0")</f>
        <v>151.20000000000002</v>
      </c>
      <c r="Z172" s="37"/>
      <c r="AA172" s="544"/>
      <c r="AB172" s="544"/>
      <c r="AC172" s="544"/>
    </row>
    <row r="173" spans="1:68" ht="14.25" hidden="1" customHeight="1" x14ac:dyDescent="0.25">
      <c r="A173" s="553" t="s">
        <v>91</v>
      </c>
      <c r="B173" s="546"/>
      <c r="C173" s="546"/>
      <c r="D173" s="546"/>
      <c r="E173" s="546"/>
      <c r="F173" s="546"/>
      <c r="G173" s="546"/>
      <c r="H173" s="546"/>
      <c r="I173" s="546"/>
      <c r="J173" s="546"/>
      <c r="K173" s="546"/>
      <c r="L173" s="546"/>
      <c r="M173" s="546"/>
      <c r="N173" s="546"/>
      <c r="O173" s="546"/>
      <c r="P173" s="546"/>
      <c r="Q173" s="546"/>
      <c r="R173" s="546"/>
      <c r="S173" s="546"/>
      <c r="T173" s="546"/>
      <c r="U173" s="546"/>
      <c r="V173" s="546"/>
      <c r="W173" s="546"/>
      <c r="X173" s="546"/>
      <c r="Y173" s="546"/>
      <c r="Z173" s="546"/>
      <c r="AA173" s="537"/>
      <c r="AB173" s="537"/>
      <c r="AC173" s="537"/>
    </row>
    <row r="174" spans="1:68" ht="27" hidden="1" customHeight="1" x14ac:dyDescent="0.25">
      <c r="A174" s="54" t="s">
        <v>283</v>
      </c>
      <c r="B174" s="54" t="s">
        <v>284</v>
      </c>
      <c r="C174" s="31">
        <v>4301032053</v>
      </c>
      <c r="D174" s="556">
        <v>4680115886780</v>
      </c>
      <c r="E174" s="557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76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288</v>
      </c>
      <c r="B175" s="54" t="s">
        <v>289</v>
      </c>
      <c r="C175" s="31">
        <v>4301032051</v>
      </c>
      <c r="D175" s="556">
        <v>4680115886742</v>
      </c>
      <c r="E175" s="557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66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291</v>
      </c>
      <c r="B176" s="54" t="s">
        <v>292</v>
      </c>
      <c r="C176" s="31">
        <v>4301032052</v>
      </c>
      <c r="D176" s="556">
        <v>4680115886766</v>
      </c>
      <c r="E176" s="557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64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8"/>
      <c r="B177" s="546"/>
      <c r="C177" s="546"/>
      <c r="D177" s="546"/>
      <c r="E177" s="546"/>
      <c r="F177" s="546"/>
      <c r="G177" s="546"/>
      <c r="H177" s="546"/>
      <c r="I177" s="546"/>
      <c r="J177" s="546"/>
      <c r="K177" s="546"/>
      <c r="L177" s="546"/>
      <c r="M177" s="546"/>
      <c r="N177" s="546"/>
      <c r="O177" s="559"/>
      <c r="P177" s="550" t="s">
        <v>71</v>
      </c>
      <c r="Q177" s="551"/>
      <c r="R177" s="551"/>
      <c r="S177" s="551"/>
      <c r="T177" s="551"/>
      <c r="U177" s="551"/>
      <c r="V177" s="552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46"/>
      <c r="B178" s="546"/>
      <c r="C178" s="546"/>
      <c r="D178" s="546"/>
      <c r="E178" s="546"/>
      <c r="F178" s="546"/>
      <c r="G178" s="546"/>
      <c r="H178" s="546"/>
      <c r="I178" s="546"/>
      <c r="J178" s="546"/>
      <c r="K178" s="546"/>
      <c r="L178" s="546"/>
      <c r="M178" s="546"/>
      <c r="N178" s="546"/>
      <c r="O178" s="559"/>
      <c r="P178" s="550" t="s">
        <v>71</v>
      </c>
      <c r="Q178" s="551"/>
      <c r="R178" s="551"/>
      <c r="S178" s="551"/>
      <c r="T178" s="551"/>
      <c r="U178" s="551"/>
      <c r="V178" s="552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3" t="s">
        <v>293</v>
      </c>
      <c r="B179" s="546"/>
      <c r="C179" s="546"/>
      <c r="D179" s="546"/>
      <c r="E179" s="546"/>
      <c r="F179" s="546"/>
      <c r="G179" s="546"/>
      <c r="H179" s="546"/>
      <c r="I179" s="546"/>
      <c r="J179" s="546"/>
      <c r="K179" s="546"/>
      <c r="L179" s="546"/>
      <c r="M179" s="546"/>
      <c r="N179" s="546"/>
      <c r="O179" s="546"/>
      <c r="P179" s="546"/>
      <c r="Q179" s="546"/>
      <c r="R179" s="546"/>
      <c r="S179" s="546"/>
      <c r="T179" s="546"/>
      <c r="U179" s="546"/>
      <c r="V179" s="546"/>
      <c r="W179" s="546"/>
      <c r="X179" s="546"/>
      <c r="Y179" s="546"/>
      <c r="Z179" s="546"/>
      <c r="AA179" s="537"/>
      <c r="AB179" s="537"/>
      <c r="AC179" s="537"/>
    </row>
    <row r="180" spans="1:68" ht="27" hidden="1" customHeight="1" x14ac:dyDescent="0.25">
      <c r="A180" s="54" t="s">
        <v>294</v>
      </c>
      <c r="B180" s="54" t="s">
        <v>295</v>
      </c>
      <c r="C180" s="31">
        <v>4301170013</v>
      </c>
      <c r="D180" s="556">
        <v>4680115886797</v>
      </c>
      <c r="E180" s="557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77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8"/>
      <c r="B181" s="546"/>
      <c r="C181" s="546"/>
      <c r="D181" s="546"/>
      <c r="E181" s="546"/>
      <c r="F181" s="546"/>
      <c r="G181" s="546"/>
      <c r="H181" s="546"/>
      <c r="I181" s="546"/>
      <c r="J181" s="546"/>
      <c r="K181" s="546"/>
      <c r="L181" s="546"/>
      <c r="M181" s="546"/>
      <c r="N181" s="546"/>
      <c r="O181" s="559"/>
      <c r="P181" s="550" t="s">
        <v>71</v>
      </c>
      <c r="Q181" s="551"/>
      <c r="R181" s="551"/>
      <c r="S181" s="551"/>
      <c r="T181" s="551"/>
      <c r="U181" s="551"/>
      <c r="V181" s="552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46"/>
      <c r="B182" s="546"/>
      <c r="C182" s="546"/>
      <c r="D182" s="546"/>
      <c r="E182" s="546"/>
      <c r="F182" s="546"/>
      <c r="G182" s="546"/>
      <c r="H182" s="546"/>
      <c r="I182" s="546"/>
      <c r="J182" s="546"/>
      <c r="K182" s="546"/>
      <c r="L182" s="546"/>
      <c r="M182" s="546"/>
      <c r="N182" s="546"/>
      <c r="O182" s="559"/>
      <c r="P182" s="550" t="s">
        <v>71</v>
      </c>
      <c r="Q182" s="551"/>
      <c r="R182" s="551"/>
      <c r="S182" s="551"/>
      <c r="T182" s="551"/>
      <c r="U182" s="551"/>
      <c r="V182" s="552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45" t="s">
        <v>296</v>
      </c>
      <c r="B183" s="546"/>
      <c r="C183" s="546"/>
      <c r="D183" s="546"/>
      <c r="E183" s="546"/>
      <c r="F183" s="546"/>
      <c r="G183" s="546"/>
      <c r="H183" s="546"/>
      <c r="I183" s="546"/>
      <c r="J183" s="546"/>
      <c r="K183" s="546"/>
      <c r="L183" s="546"/>
      <c r="M183" s="546"/>
      <c r="N183" s="546"/>
      <c r="O183" s="546"/>
      <c r="P183" s="546"/>
      <c r="Q183" s="546"/>
      <c r="R183" s="546"/>
      <c r="S183" s="546"/>
      <c r="T183" s="546"/>
      <c r="U183" s="546"/>
      <c r="V183" s="546"/>
      <c r="W183" s="546"/>
      <c r="X183" s="546"/>
      <c r="Y183" s="546"/>
      <c r="Z183" s="546"/>
      <c r="AA183" s="536"/>
      <c r="AB183" s="536"/>
      <c r="AC183" s="536"/>
    </row>
    <row r="184" spans="1:68" ht="14.25" hidden="1" customHeight="1" x14ac:dyDescent="0.25">
      <c r="A184" s="553" t="s">
        <v>99</v>
      </c>
      <c r="B184" s="546"/>
      <c r="C184" s="546"/>
      <c r="D184" s="546"/>
      <c r="E184" s="546"/>
      <c r="F184" s="546"/>
      <c r="G184" s="546"/>
      <c r="H184" s="546"/>
      <c r="I184" s="546"/>
      <c r="J184" s="546"/>
      <c r="K184" s="546"/>
      <c r="L184" s="546"/>
      <c r="M184" s="546"/>
      <c r="N184" s="546"/>
      <c r="O184" s="546"/>
      <c r="P184" s="546"/>
      <c r="Q184" s="546"/>
      <c r="R184" s="546"/>
      <c r="S184" s="546"/>
      <c r="T184" s="546"/>
      <c r="U184" s="546"/>
      <c r="V184" s="546"/>
      <c r="W184" s="546"/>
      <c r="X184" s="546"/>
      <c r="Y184" s="546"/>
      <c r="Z184" s="546"/>
      <c r="AA184" s="537"/>
      <c r="AB184" s="537"/>
      <c r="AC184" s="537"/>
    </row>
    <row r="185" spans="1:68" ht="27" hidden="1" customHeight="1" x14ac:dyDescent="0.25">
      <c r="A185" s="54" t="s">
        <v>297</v>
      </c>
      <c r="B185" s="54" t="s">
        <v>298</v>
      </c>
      <c r="C185" s="31">
        <v>4301011450</v>
      </c>
      <c r="D185" s="556">
        <v>4680115881402</v>
      </c>
      <c r="E185" s="557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76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300</v>
      </c>
      <c r="B186" s="54" t="s">
        <v>301</v>
      </c>
      <c r="C186" s="31">
        <v>4301011768</v>
      </c>
      <c r="D186" s="556">
        <v>4680115881396</v>
      </c>
      <c r="E186" s="557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6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8"/>
      <c r="B187" s="546"/>
      <c r="C187" s="546"/>
      <c r="D187" s="546"/>
      <c r="E187" s="546"/>
      <c r="F187" s="546"/>
      <c r="G187" s="546"/>
      <c r="H187" s="546"/>
      <c r="I187" s="546"/>
      <c r="J187" s="546"/>
      <c r="K187" s="546"/>
      <c r="L187" s="546"/>
      <c r="M187" s="546"/>
      <c r="N187" s="546"/>
      <c r="O187" s="559"/>
      <c r="P187" s="550" t="s">
        <v>71</v>
      </c>
      <c r="Q187" s="551"/>
      <c r="R187" s="551"/>
      <c r="S187" s="551"/>
      <c r="T187" s="551"/>
      <c r="U187" s="551"/>
      <c r="V187" s="552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46"/>
      <c r="B188" s="546"/>
      <c r="C188" s="546"/>
      <c r="D188" s="546"/>
      <c r="E188" s="546"/>
      <c r="F188" s="546"/>
      <c r="G188" s="546"/>
      <c r="H188" s="546"/>
      <c r="I188" s="546"/>
      <c r="J188" s="546"/>
      <c r="K188" s="546"/>
      <c r="L188" s="546"/>
      <c r="M188" s="546"/>
      <c r="N188" s="546"/>
      <c r="O188" s="559"/>
      <c r="P188" s="550" t="s">
        <v>71</v>
      </c>
      <c r="Q188" s="551"/>
      <c r="R188" s="551"/>
      <c r="S188" s="551"/>
      <c r="T188" s="551"/>
      <c r="U188" s="551"/>
      <c r="V188" s="552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3" t="s">
        <v>135</v>
      </c>
      <c r="B189" s="546"/>
      <c r="C189" s="546"/>
      <c r="D189" s="546"/>
      <c r="E189" s="546"/>
      <c r="F189" s="546"/>
      <c r="G189" s="546"/>
      <c r="H189" s="546"/>
      <c r="I189" s="546"/>
      <c r="J189" s="546"/>
      <c r="K189" s="546"/>
      <c r="L189" s="546"/>
      <c r="M189" s="546"/>
      <c r="N189" s="546"/>
      <c r="O189" s="546"/>
      <c r="P189" s="546"/>
      <c r="Q189" s="546"/>
      <c r="R189" s="546"/>
      <c r="S189" s="546"/>
      <c r="T189" s="546"/>
      <c r="U189" s="546"/>
      <c r="V189" s="546"/>
      <c r="W189" s="546"/>
      <c r="X189" s="546"/>
      <c r="Y189" s="546"/>
      <c r="Z189" s="546"/>
      <c r="AA189" s="537"/>
      <c r="AB189" s="537"/>
      <c r="AC189" s="537"/>
    </row>
    <row r="190" spans="1:68" ht="16.5" hidden="1" customHeight="1" x14ac:dyDescent="0.25">
      <c r="A190" s="54" t="s">
        <v>302</v>
      </c>
      <c r="B190" s="54" t="s">
        <v>303</v>
      </c>
      <c r="C190" s="31">
        <v>4301020261</v>
      </c>
      <c r="D190" s="556">
        <v>4680115882935</v>
      </c>
      <c r="E190" s="557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69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305</v>
      </c>
      <c r="B191" s="54" t="s">
        <v>306</v>
      </c>
      <c r="C191" s="31">
        <v>4301020220</v>
      </c>
      <c r="D191" s="556">
        <v>4680115880764</v>
      </c>
      <c r="E191" s="557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6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8"/>
      <c r="B192" s="546"/>
      <c r="C192" s="546"/>
      <c r="D192" s="546"/>
      <c r="E192" s="546"/>
      <c r="F192" s="546"/>
      <c r="G192" s="546"/>
      <c r="H192" s="546"/>
      <c r="I192" s="546"/>
      <c r="J192" s="546"/>
      <c r="K192" s="546"/>
      <c r="L192" s="546"/>
      <c r="M192" s="546"/>
      <c r="N192" s="546"/>
      <c r="O192" s="559"/>
      <c r="P192" s="550" t="s">
        <v>71</v>
      </c>
      <c r="Q192" s="551"/>
      <c r="R192" s="551"/>
      <c r="S192" s="551"/>
      <c r="T192" s="551"/>
      <c r="U192" s="551"/>
      <c r="V192" s="552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46"/>
      <c r="B193" s="546"/>
      <c r="C193" s="546"/>
      <c r="D193" s="546"/>
      <c r="E193" s="546"/>
      <c r="F193" s="546"/>
      <c r="G193" s="546"/>
      <c r="H193" s="546"/>
      <c r="I193" s="546"/>
      <c r="J193" s="546"/>
      <c r="K193" s="546"/>
      <c r="L193" s="546"/>
      <c r="M193" s="546"/>
      <c r="N193" s="546"/>
      <c r="O193" s="559"/>
      <c r="P193" s="550" t="s">
        <v>71</v>
      </c>
      <c r="Q193" s="551"/>
      <c r="R193" s="551"/>
      <c r="S193" s="551"/>
      <c r="T193" s="551"/>
      <c r="U193" s="551"/>
      <c r="V193" s="552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3" t="s">
        <v>64</v>
      </c>
      <c r="B194" s="546"/>
      <c r="C194" s="546"/>
      <c r="D194" s="546"/>
      <c r="E194" s="546"/>
      <c r="F194" s="546"/>
      <c r="G194" s="546"/>
      <c r="H194" s="546"/>
      <c r="I194" s="546"/>
      <c r="J194" s="546"/>
      <c r="K194" s="546"/>
      <c r="L194" s="546"/>
      <c r="M194" s="546"/>
      <c r="N194" s="546"/>
      <c r="O194" s="546"/>
      <c r="P194" s="546"/>
      <c r="Q194" s="546"/>
      <c r="R194" s="546"/>
      <c r="S194" s="546"/>
      <c r="T194" s="546"/>
      <c r="U194" s="546"/>
      <c r="V194" s="546"/>
      <c r="W194" s="546"/>
      <c r="X194" s="546"/>
      <c r="Y194" s="546"/>
      <c r="Z194" s="546"/>
      <c r="AA194" s="537"/>
      <c r="AB194" s="537"/>
      <c r="AC194" s="537"/>
    </row>
    <row r="195" spans="1:68" ht="27" hidden="1" customHeight="1" x14ac:dyDescent="0.25">
      <c r="A195" s="54" t="s">
        <v>307</v>
      </c>
      <c r="B195" s="54" t="s">
        <v>308</v>
      </c>
      <c r="C195" s="31">
        <v>4301031224</v>
      </c>
      <c r="D195" s="556">
        <v>4680115882683</v>
      </c>
      <c r="E195" s="557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77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310</v>
      </c>
      <c r="B196" s="54" t="s">
        <v>311</v>
      </c>
      <c r="C196" s="31">
        <v>4301031230</v>
      </c>
      <c r="D196" s="556">
        <v>4680115882690</v>
      </c>
      <c r="E196" s="557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6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4301031220</v>
      </c>
      <c r="D197" s="556">
        <v>4680115882669</v>
      </c>
      <c r="E197" s="557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77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4301031221</v>
      </c>
      <c r="D198" s="556">
        <v>4680115882676</v>
      </c>
      <c r="E198" s="557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62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4301031223</v>
      </c>
      <c r="D199" s="556">
        <v>4680115884014</v>
      </c>
      <c r="E199" s="557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 t="s">
        <v>266</v>
      </c>
      <c r="M199" s="33" t="s">
        <v>68</v>
      </c>
      <c r="N199" s="33"/>
      <c r="O199" s="32">
        <v>40</v>
      </c>
      <c r="P199" s="65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321</v>
      </c>
      <c r="B200" s="54" t="s">
        <v>322</v>
      </c>
      <c r="C200" s="31">
        <v>4301031222</v>
      </c>
      <c r="D200" s="556">
        <v>4680115884007</v>
      </c>
      <c r="E200" s="557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266</v>
      </c>
      <c r="M200" s="33" t="s">
        <v>68</v>
      </c>
      <c r="N200" s="33"/>
      <c r="O200" s="32">
        <v>40</v>
      </c>
      <c r="P200" s="59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323</v>
      </c>
      <c r="B201" s="54" t="s">
        <v>324</v>
      </c>
      <c r="C201" s="31">
        <v>4301031229</v>
      </c>
      <c r="D201" s="556">
        <v>4680115884038</v>
      </c>
      <c r="E201" s="557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6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325</v>
      </c>
      <c r="B202" s="54" t="s">
        <v>326</v>
      </c>
      <c r="C202" s="31">
        <v>4301031225</v>
      </c>
      <c r="D202" s="556">
        <v>4680115884021</v>
      </c>
      <c r="E202" s="557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266</v>
      </c>
      <c r="M202" s="33" t="s">
        <v>68</v>
      </c>
      <c r="N202" s="33"/>
      <c r="O202" s="32">
        <v>40</v>
      </c>
      <c r="P202" s="5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idden="1" x14ac:dyDescent="0.2">
      <c r="A203" s="558"/>
      <c r="B203" s="546"/>
      <c r="C203" s="546"/>
      <c r="D203" s="546"/>
      <c r="E203" s="546"/>
      <c r="F203" s="546"/>
      <c r="G203" s="546"/>
      <c r="H203" s="546"/>
      <c r="I203" s="546"/>
      <c r="J203" s="546"/>
      <c r="K203" s="546"/>
      <c r="L203" s="546"/>
      <c r="M203" s="546"/>
      <c r="N203" s="546"/>
      <c r="O203" s="559"/>
      <c r="P203" s="550" t="s">
        <v>71</v>
      </c>
      <c r="Q203" s="551"/>
      <c r="R203" s="551"/>
      <c r="S203" s="551"/>
      <c r="T203" s="551"/>
      <c r="U203" s="551"/>
      <c r="V203" s="552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hidden="1" x14ac:dyDescent="0.2">
      <c r="A204" s="546"/>
      <c r="B204" s="546"/>
      <c r="C204" s="546"/>
      <c r="D204" s="546"/>
      <c r="E204" s="546"/>
      <c r="F204" s="546"/>
      <c r="G204" s="546"/>
      <c r="H204" s="546"/>
      <c r="I204" s="546"/>
      <c r="J204" s="546"/>
      <c r="K204" s="546"/>
      <c r="L204" s="546"/>
      <c r="M204" s="546"/>
      <c r="N204" s="546"/>
      <c r="O204" s="559"/>
      <c r="P204" s="550" t="s">
        <v>71</v>
      </c>
      <c r="Q204" s="551"/>
      <c r="R204" s="551"/>
      <c r="S204" s="551"/>
      <c r="T204" s="551"/>
      <c r="U204" s="551"/>
      <c r="V204" s="552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hidden="1" customHeight="1" x14ac:dyDescent="0.25">
      <c r="A205" s="553" t="s">
        <v>73</v>
      </c>
      <c r="B205" s="546"/>
      <c r="C205" s="546"/>
      <c r="D205" s="546"/>
      <c r="E205" s="546"/>
      <c r="F205" s="546"/>
      <c r="G205" s="546"/>
      <c r="H205" s="546"/>
      <c r="I205" s="546"/>
      <c r="J205" s="546"/>
      <c r="K205" s="546"/>
      <c r="L205" s="546"/>
      <c r="M205" s="546"/>
      <c r="N205" s="546"/>
      <c r="O205" s="546"/>
      <c r="P205" s="546"/>
      <c r="Q205" s="546"/>
      <c r="R205" s="546"/>
      <c r="S205" s="546"/>
      <c r="T205" s="546"/>
      <c r="U205" s="546"/>
      <c r="V205" s="546"/>
      <c r="W205" s="546"/>
      <c r="X205" s="546"/>
      <c r="Y205" s="546"/>
      <c r="Z205" s="546"/>
      <c r="AA205" s="537"/>
      <c r="AB205" s="537"/>
      <c r="AC205" s="537"/>
    </row>
    <row r="206" spans="1:68" ht="27" hidden="1" customHeight="1" x14ac:dyDescent="0.25">
      <c r="A206" s="54" t="s">
        <v>327</v>
      </c>
      <c r="B206" s="54" t="s">
        <v>328</v>
      </c>
      <c r="C206" s="31">
        <v>4301051408</v>
      </c>
      <c r="D206" s="556">
        <v>4680115881594</v>
      </c>
      <c r="E206" s="557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330</v>
      </c>
      <c r="B207" s="54" t="s">
        <v>331</v>
      </c>
      <c r="C207" s="31">
        <v>4301051411</v>
      </c>
      <c r="D207" s="556">
        <v>4680115881617</v>
      </c>
      <c r="E207" s="557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706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4301051656</v>
      </c>
      <c r="D208" s="556">
        <v>4680115880573</v>
      </c>
      <c r="E208" s="557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73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4301051407</v>
      </c>
      <c r="D209" s="556">
        <v>4680115882195</v>
      </c>
      <c r="E209" s="557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83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338</v>
      </c>
      <c r="B210" s="54" t="s">
        <v>339</v>
      </c>
      <c r="C210" s="31">
        <v>4301051752</v>
      </c>
      <c r="D210" s="556">
        <v>4680115882607</v>
      </c>
      <c r="E210" s="557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76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56">
        <v>4680115880092</v>
      </c>
      <c r="E211" s="557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80</v>
      </c>
      <c r="Y211" s="542">
        <f t="shared" si="15"/>
        <v>81.599999999999994</v>
      </c>
      <c r="Z211" s="36">
        <f t="shared" si="20"/>
        <v>0.22134000000000001</v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88.40000000000002</v>
      </c>
      <c r="BN211" s="64">
        <f t="shared" si="17"/>
        <v>90.168000000000006</v>
      </c>
      <c r="BO211" s="64">
        <f t="shared" si="18"/>
        <v>0.18315018315018317</v>
      </c>
      <c r="BP211" s="64">
        <f t="shared" si="19"/>
        <v>0.18681318681318682</v>
      </c>
    </row>
    <row r="212" spans="1:68" ht="27" hidden="1" customHeight="1" x14ac:dyDescent="0.25">
      <c r="A212" s="54" t="s">
        <v>342</v>
      </c>
      <c r="B212" s="54" t="s">
        <v>343</v>
      </c>
      <c r="C212" s="31">
        <v>4301051668</v>
      </c>
      <c r="D212" s="556">
        <v>4680115880221</v>
      </c>
      <c r="E212" s="557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69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344</v>
      </c>
      <c r="B213" s="54" t="s">
        <v>345</v>
      </c>
      <c r="C213" s="31">
        <v>4301051945</v>
      </c>
      <c r="D213" s="556">
        <v>4680115880504</v>
      </c>
      <c r="E213" s="557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85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4301051410</v>
      </c>
      <c r="D214" s="556">
        <v>4680115882164</v>
      </c>
      <c r="E214" s="557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64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8"/>
      <c r="B215" s="546"/>
      <c r="C215" s="546"/>
      <c r="D215" s="546"/>
      <c r="E215" s="546"/>
      <c r="F215" s="546"/>
      <c r="G215" s="546"/>
      <c r="H215" s="546"/>
      <c r="I215" s="546"/>
      <c r="J215" s="546"/>
      <c r="K215" s="546"/>
      <c r="L215" s="546"/>
      <c r="M215" s="546"/>
      <c r="N215" s="546"/>
      <c r="O215" s="559"/>
      <c r="P215" s="550" t="s">
        <v>71</v>
      </c>
      <c r="Q215" s="551"/>
      <c r="R215" s="551"/>
      <c r="S215" s="551"/>
      <c r="T215" s="551"/>
      <c r="U215" s="551"/>
      <c r="V215" s="552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33.333333333333336</v>
      </c>
      <c r="Y215" s="543">
        <f>IFERROR(Y206/H206,"0")+IFERROR(Y207/H207,"0")+IFERROR(Y208/H208,"0")+IFERROR(Y209/H209,"0")+IFERROR(Y210/H210,"0")+IFERROR(Y211/H211,"0")+IFERROR(Y212/H212,"0")+IFERROR(Y213/H213,"0")+IFERROR(Y214/H214,"0")</f>
        <v>34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0.22134000000000001</v>
      </c>
      <c r="AA215" s="544"/>
      <c r="AB215" s="544"/>
      <c r="AC215" s="544"/>
    </row>
    <row r="216" spans="1:68" x14ac:dyDescent="0.2">
      <c r="A216" s="546"/>
      <c r="B216" s="546"/>
      <c r="C216" s="546"/>
      <c r="D216" s="546"/>
      <c r="E216" s="546"/>
      <c r="F216" s="546"/>
      <c r="G216" s="546"/>
      <c r="H216" s="546"/>
      <c r="I216" s="546"/>
      <c r="J216" s="546"/>
      <c r="K216" s="546"/>
      <c r="L216" s="546"/>
      <c r="M216" s="546"/>
      <c r="N216" s="546"/>
      <c r="O216" s="559"/>
      <c r="P216" s="550" t="s">
        <v>71</v>
      </c>
      <c r="Q216" s="551"/>
      <c r="R216" s="551"/>
      <c r="S216" s="551"/>
      <c r="T216" s="551"/>
      <c r="U216" s="551"/>
      <c r="V216" s="552"/>
      <c r="W216" s="37" t="s">
        <v>69</v>
      </c>
      <c r="X216" s="543">
        <f>IFERROR(SUM(X206:X214),"0")</f>
        <v>80</v>
      </c>
      <c r="Y216" s="543">
        <f>IFERROR(SUM(Y206:Y214),"0")</f>
        <v>81.599999999999994</v>
      </c>
      <c r="Z216" s="37"/>
      <c r="AA216" s="544"/>
      <c r="AB216" s="544"/>
      <c r="AC216" s="544"/>
    </row>
    <row r="217" spans="1:68" ht="14.25" hidden="1" customHeight="1" x14ac:dyDescent="0.25">
      <c r="A217" s="553" t="s">
        <v>163</v>
      </c>
      <c r="B217" s="546"/>
      <c r="C217" s="546"/>
      <c r="D217" s="546"/>
      <c r="E217" s="546"/>
      <c r="F217" s="546"/>
      <c r="G217" s="546"/>
      <c r="H217" s="546"/>
      <c r="I217" s="546"/>
      <c r="J217" s="546"/>
      <c r="K217" s="546"/>
      <c r="L217" s="546"/>
      <c r="M217" s="546"/>
      <c r="N217" s="546"/>
      <c r="O217" s="546"/>
      <c r="P217" s="546"/>
      <c r="Q217" s="546"/>
      <c r="R217" s="546"/>
      <c r="S217" s="546"/>
      <c r="T217" s="546"/>
      <c r="U217" s="546"/>
      <c r="V217" s="546"/>
      <c r="W217" s="546"/>
      <c r="X217" s="546"/>
      <c r="Y217" s="546"/>
      <c r="Z217" s="546"/>
      <c r="AA217" s="537"/>
      <c r="AB217" s="537"/>
      <c r="AC217" s="537"/>
    </row>
    <row r="218" spans="1:68" ht="27" hidden="1" customHeight="1" x14ac:dyDescent="0.25">
      <c r="A218" s="54" t="s">
        <v>349</v>
      </c>
      <c r="B218" s="54" t="s">
        <v>350</v>
      </c>
      <c r="C218" s="31">
        <v>4301060463</v>
      </c>
      <c r="D218" s="556">
        <v>4680115880818</v>
      </c>
      <c r="E218" s="557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54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352</v>
      </c>
      <c r="B219" s="54" t="s">
        <v>353</v>
      </c>
      <c r="C219" s="31">
        <v>4301060389</v>
      </c>
      <c r="D219" s="556">
        <v>4680115880801</v>
      </c>
      <c r="E219" s="557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73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8"/>
      <c r="B220" s="546"/>
      <c r="C220" s="546"/>
      <c r="D220" s="546"/>
      <c r="E220" s="546"/>
      <c r="F220" s="546"/>
      <c r="G220" s="546"/>
      <c r="H220" s="546"/>
      <c r="I220" s="546"/>
      <c r="J220" s="546"/>
      <c r="K220" s="546"/>
      <c r="L220" s="546"/>
      <c r="M220" s="546"/>
      <c r="N220" s="546"/>
      <c r="O220" s="559"/>
      <c r="P220" s="550" t="s">
        <v>71</v>
      </c>
      <c r="Q220" s="551"/>
      <c r="R220" s="551"/>
      <c r="S220" s="551"/>
      <c r="T220" s="551"/>
      <c r="U220" s="551"/>
      <c r="V220" s="552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46"/>
      <c r="B221" s="546"/>
      <c r="C221" s="546"/>
      <c r="D221" s="546"/>
      <c r="E221" s="546"/>
      <c r="F221" s="546"/>
      <c r="G221" s="546"/>
      <c r="H221" s="546"/>
      <c r="I221" s="546"/>
      <c r="J221" s="546"/>
      <c r="K221" s="546"/>
      <c r="L221" s="546"/>
      <c r="M221" s="546"/>
      <c r="N221" s="546"/>
      <c r="O221" s="559"/>
      <c r="P221" s="550" t="s">
        <v>71</v>
      </c>
      <c r="Q221" s="551"/>
      <c r="R221" s="551"/>
      <c r="S221" s="551"/>
      <c r="T221" s="551"/>
      <c r="U221" s="551"/>
      <c r="V221" s="552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45" t="s">
        <v>355</v>
      </c>
      <c r="B222" s="546"/>
      <c r="C222" s="546"/>
      <c r="D222" s="546"/>
      <c r="E222" s="546"/>
      <c r="F222" s="546"/>
      <c r="G222" s="546"/>
      <c r="H222" s="546"/>
      <c r="I222" s="546"/>
      <c r="J222" s="546"/>
      <c r="K222" s="546"/>
      <c r="L222" s="546"/>
      <c r="M222" s="546"/>
      <c r="N222" s="546"/>
      <c r="O222" s="546"/>
      <c r="P222" s="546"/>
      <c r="Q222" s="546"/>
      <c r="R222" s="546"/>
      <c r="S222" s="546"/>
      <c r="T222" s="546"/>
      <c r="U222" s="546"/>
      <c r="V222" s="546"/>
      <c r="W222" s="546"/>
      <c r="X222" s="546"/>
      <c r="Y222" s="546"/>
      <c r="Z222" s="546"/>
      <c r="AA222" s="536"/>
      <c r="AB222" s="536"/>
      <c r="AC222" s="536"/>
    </row>
    <row r="223" spans="1:68" ht="14.25" hidden="1" customHeight="1" x14ac:dyDescent="0.25">
      <c r="A223" s="553" t="s">
        <v>99</v>
      </c>
      <c r="B223" s="546"/>
      <c r="C223" s="546"/>
      <c r="D223" s="546"/>
      <c r="E223" s="546"/>
      <c r="F223" s="546"/>
      <c r="G223" s="546"/>
      <c r="H223" s="546"/>
      <c r="I223" s="546"/>
      <c r="J223" s="546"/>
      <c r="K223" s="546"/>
      <c r="L223" s="546"/>
      <c r="M223" s="546"/>
      <c r="N223" s="546"/>
      <c r="O223" s="546"/>
      <c r="P223" s="546"/>
      <c r="Q223" s="546"/>
      <c r="R223" s="546"/>
      <c r="S223" s="546"/>
      <c r="T223" s="546"/>
      <c r="U223" s="546"/>
      <c r="V223" s="546"/>
      <c r="W223" s="546"/>
      <c r="X223" s="546"/>
      <c r="Y223" s="546"/>
      <c r="Z223" s="546"/>
      <c r="AA223" s="537"/>
      <c r="AB223" s="537"/>
      <c r="AC223" s="537"/>
    </row>
    <row r="224" spans="1:68" ht="27" hidden="1" customHeight="1" x14ac:dyDescent="0.25">
      <c r="A224" s="54" t="s">
        <v>356</v>
      </c>
      <c r="B224" s="54" t="s">
        <v>357</v>
      </c>
      <c r="C224" s="31">
        <v>4301011826</v>
      </c>
      <c r="D224" s="556">
        <v>4680115884137</v>
      </c>
      <c r="E224" s="557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5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359</v>
      </c>
      <c r="B225" s="54" t="s">
        <v>360</v>
      </c>
      <c r="C225" s="31">
        <v>4301011724</v>
      </c>
      <c r="D225" s="556">
        <v>4680115884236</v>
      </c>
      <c r="E225" s="557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6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4301011721</v>
      </c>
      <c r="D226" s="556">
        <v>4680115884175</v>
      </c>
      <c r="E226" s="557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6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4301011824</v>
      </c>
      <c r="D227" s="556">
        <v>4680115884144</v>
      </c>
      <c r="E227" s="557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6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365</v>
      </c>
      <c r="B228" s="54" t="s">
        <v>367</v>
      </c>
      <c r="C228" s="31">
        <v>4301012196</v>
      </c>
      <c r="D228" s="556">
        <v>4680115884144</v>
      </c>
      <c r="E228" s="557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58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369</v>
      </c>
      <c r="C229" s="31">
        <v>4301012149</v>
      </c>
      <c r="D229" s="556">
        <v>4680115886551</v>
      </c>
      <c r="E229" s="557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4301011726</v>
      </c>
      <c r="D230" s="556">
        <v>4680115884182</v>
      </c>
      <c r="E230" s="557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81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373</v>
      </c>
      <c r="B231" s="54" t="s">
        <v>374</v>
      </c>
      <c r="C231" s="31">
        <v>4301012228</v>
      </c>
      <c r="D231" s="556">
        <v>4680115887282</v>
      </c>
      <c r="E231" s="557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86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375</v>
      </c>
      <c r="B232" s="54" t="s">
        <v>376</v>
      </c>
      <c r="C232" s="31">
        <v>4301011722</v>
      </c>
      <c r="D232" s="556">
        <v>4680115884205</v>
      </c>
      <c r="E232" s="557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0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375</v>
      </c>
      <c r="B233" s="54" t="s">
        <v>377</v>
      </c>
      <c r="C233" s="31">
        <v>4301012195</v>
      </c>
      <c r="D233" s="556">
        <v>4680115884205</v>
      </c>
      <c r="E233" s="557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8"/>
      <c r="B234" s="546"/>
      <c r="C234" s="546"/>
      <c r="D234" s="546"/>
      <c r="E234" s="546"/>
      <c r="F234" s="546"/>
      <c r="G234" s="546"/>
      <c r="H234" s="546"/>
      <c r="I234" s="546"/>
      <c r="J234" s="546"/>
      <c r="K234" s="546"/>
      <c r="L234" s="546"/>
      <c r="M234" s="546"/>
      <c r="N234" s="546"/>
      <c r="O234" s="559"/>
      <c r="P234" s="550" t="s">
        <v>71</v>
      </c>
      <c r="Q234" s="551"/>
      <c r="R234" s="551"/>
      <c r="S234" s="551"/>
      <c r="T234" s="551"/>
      <c r="U234" s="551"/>
      <c r="V234" s="552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46"/>
      <c r="B235" s="546"/>
      <c r="C235" s="546"/>
      <c r="D235" s="546"/>
      <c r="E235" s="546"/>
      <c r="F235" s="546"/>
      <c r="G235" s="546"/>
      <c r="H235" s="546"/>
      <c r="I235" s="546"/>
      <c r="J235" s="546"/>
      <c r="K235" s="546"/>
      <c r="L235" s="546"/>
      <c r="M235" s="546"/>
      <c r="N235" s="546"/>
      <c r="O235" s="559"/>
      <c r="P235" s="550" t="s">
        <v>71</v>
      </c>
      <c r="Q235" s="551"/>
      <c r="R235" s="551"/>
      <c r="S235" s="551"/>
      <c r="T235" s="551"/>
      <c r="U235" s="551"/>
      <c r="V235" s="552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3" t="s">
        <v>135</v>
      </c>
      <c r="B236" s="546"/>
      <c r="C236" s="546"/>
      <c r="D236" s="546"/>
      <c r="E236" s="546"/>
      <c r="F236" s="546"/>
      <c r="G236" s="546"/>
      <c r="H236" s="546"/>
      <c r="I236" s="546"/>
      <c r="J236" s="546"/>
      <c r="K236" s="546"/>
      <c r="L236" s="546"/>
      <c r="M236" s="546"/>
      <c r="N236" s="546"/>
      <c r="O236" s="546"/>
      <c r="P236" s="546"/>
      <c r="Q236" s="546"/>
      <c r="R236" s="546"/>
      <c r="S236" s="546"/>
      <c r="T236" s="546"/>
      <c r="U236" s="546"/>
      <c r="V236" s="546"/>
      <c r="W236" s="546"/>
      <c r="X236" s="546"/>
      <c r="Y236" s="546"/>
      <c r="Z236" s="546"/>
      <c r="AA236" s="537"/>
      <c r="AB236" s="537"/>
      <c r="AC236" s="537"/>
    </row>
    <row r="237" spans="1:68" ht="27" hidden="1" customHeight="1" x14ac:dyDescent="0.25">
      <c r="A237" s="54" t="s">
        <v>378</v>
      </c>
      <c r="B237" s="54" t="s">
        <v>379</v>
      </c>
      <c r="C237" s="31">
        <v>4301020377</v>
      </c>
      <c r="D237" s="556">
        <v>4680115885981</v>
      </c>
      <c r="E237" s="557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82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8"/>
      <c r="B238" s="546"/>
      <c r="C238" s="546"/>
      <c r="D238" s="546"/>
      <c r="E238" s="546"/>
      <c r="F238" s="546"/>
      <c r="G238" s="546"/>
      <c r="H238" s="546"/>
      <c r="I238" s="546"/>
      <c r="J238" s="546"/>
      <c r="K238" s="546"/>
      <c r="L238" s="546"/>
      <c r="M238" s="546"/>
      <c r="N238" s="546"/>
      <c r="O238" s="559"/>
      <c r="P238" s="550" t="s">
        <v>71</v>
      </c>
      <c r="Q238" s="551"/>
      <c r="R238" s="551"/>
      <c r="S238" s="551"/>
      <c r="T238" s="551"/>
      <c r="U238" s="551"/>
      <c r="V238" s="552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46"/>
      <c r="B239" s="546"/>
      <c r="C239" s="546"/>
      <c r="D239" s="546"/>
      <c r="E239" s="546"/>
      <c r="F239" s="546"/>
      <c r="G239" s="546"/>
      <c r="H239" s="546"/>
      <c r="I239" s="546"/>
      <c r="J239" s="546"/>
      <c r="K239" s="546"/>
      <c r="L239" s="546"/>
      <c r="M239" s="546"/>
      <c r="N239" s="546"/>
      <c r="O239" s="559"/>
      <c r="P239" s="550" t="s">
        <v>71</v>
      </c>
      <c r="Q239" s="551"/>
      <c r="R239" s="551"/>
      <c r="S239" s="551"/>
      <c r="T239" s="551"/>
      <c r="U239" s="551"/>
      <c r="V239" s="552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3" t="s">
        <v>381</v>
      </c>
      <c r="B240" s="546"/>
      <c r="C240" s="546"/>
      <c r="D240" s="546"/>
      <c r="E240" s="546"/>
      <c r="F240" s="546"/>
      <c r="G240" s="546"/>
      <c r="H240" s="546"/>
      <c r="I240" s="546"/>
      <c r="J240" s="546"/>
      <c r="K240" s="546"/>
      <c r="L240" s="546"/>
      <c r="M240" s="546"/>
      <c r="N240" s="546"/>
      <c r="O240" s="546"/>
      <c r="P240" s="546"/>
      <c r="Q240" s="546"/>
      <c r="R240" s="546"/>
      <c r="S240" s="546"/>
      <c r="T240" s="546"/>
      <c r="U240" s="546"/>
      <c r="V240" s="546"/>
      <c r="W240" s="546"/>
      <c r="X240" s="546"/>
      <c r="Y240" s="546"/>
      <c r="Z240" s="546"/>
      <c r="AA240" s="537"/>
      <c r="AB240" s="537"/>
      <c r="AC240" s="537"/>
    </row>
    <row r="241" spans="1:68" ht="27" hidden="1" customHeight="1" x14ac:dyDescent="0.25">
      <c r="A241" s="54" t="s">
        <v>382</v>
      </c>
      <c r="B241" s="54" t="s">
        <v>383</v>
      </c>
      <c r="C241" s="31">
        <v>4301040362</v>
      </c>
      <c r="D241" s="556">
        <v>4680115886803</v>
      </c>
      <c r="E241" s="557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64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8"/>
      <c r="B242" s="546"/>
      <c r="C242" s="546"/>
      <c r="D242" s="546"/>
      <c r="E242" s="546"/>
      <c r="F242" s="546"/>
      <c r="G242" s="546"/>
      <c r="H242" s="546"/>
      <c r="I242" s="546"/>
      <c r="J242" s="546"/>
      <c r="K242" s="546"/>
      <c r="L242" s="546"/>
      <c r="M242" s="546"/>
      <c r="N242" s="546"/>
      <c r="O242" s="559"/>
      <c r="P242" s="550" t="s">
        <v>71</v>
      </c>
      <c r="Q242" s="551"/>
      <c r="R242" s="551"/>
      <c r="S242" s="551"/>
      <c r="T242" s="551"/>
      <c r="U242" s="551"/>
      <c r="V242" s="552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46"/>
      <c r="B243" s="546"/>
      <c r="C243" s="546"/>
      <c r="D243" s="546"/>
      <c r="E243" s="546"/>
      <c r="F243" s="546"/>
      <c r="G243" s="546"/>
      <c r="H243" s="546"/>
      <c r="I243" s="546"/>
      <c r="J243" s="546"/>
      <c r="K243" s="546"/>
      <c r="L243" s="546"/>
      <c r="M243" s="546"/>
      <c r="N243" s="546"/>
      <c r="O243" s="559"/>
      <c r="P243" s="550" t="s">
        <v>71</v>
      </c>
      <c r="Q243" s="551"/>
      <c r="R243" s="551"/>
      <c r="S243" s="551"/>
      <c r="T243" s="551"/>
      <c r="U243" s="551"/>
      <c r="V243" s="552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3" t="s">
        <v>385</v>
      </c>
      <c r="B244" s="546"/>
      <c r="C244" s="546"/>
      <c r="D244" s="546"/>
      <c r="E244" s="546"/>
      <c r="F244" s="546"/>
      <c r="G244" s="546"/>
      <c r="H244" s="546"/>
      <c r="I244" s="546"/>
      <c r="J244" s="546"/>
      <c r="K244" s="546"/>
      <c r="L244" s="546"/>
      <c r="M244" s="546"/>
      <c r="N244" s="546"/>
      <c r="O244" s="546"/>
      <c r="P244" s="546"/>
      <c r="Q244" s="546"/>
      <c r="R244" s="546"/>
      <c r="S244" s="546"/>
      <c r="T244" s="546"/>
      <c r="U244" s="546"/>
      <c r="V244" s="546"/>
      <c r="W244" s="546"/>
      <c r="X244" s="546"/>
      <c r="Y244" s="546"/>
      <c r="Z244" s="546"/>
      <c r="AA244" s="537"/>
      <c r="AB244" s="537"/>
      <c r="AC244" s="537"/>
    </row>
    <row r="245" spans="1:68" ht="27" hidden="1" customHeight="1" x14ac:dyDescent="0.25">
      <c r="A245" s="54" t="s">
        <v>386</v>
      </c>
      <c r="B245" s="54" t="s">
        <v>387</v>
      </c>
      <c r="C245" s="31">
        <v>4301041004</v>
      </c>
      <c r="D245" s="556">
        <v>4680115886704</v>
      </c>
      <c r="E245" s="557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5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389</v>
      </c>
      <c r="B246" s="54" t="s">
        <v>390</v>
      </c>
      <c r="C246" s="31">
        <v>4301041008</v>
      </c>
      <c r="D246" s="556">
        <v>4680115886681</v>
      </c>
      <c r="E246" s="557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7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391</v>
      </c>
      <c r="B247" s="54" t="s">
        <v>392</v>
      </c>
      <c r="C247" s="31">
        <v>4301041007</v>
      </c>
      <c r="D247" s="556">
        <v>4680115886735</v>
      </c>
      <c r="E247" s="557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6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393</v>
      </c>
      <c r="B248" s="54" t="s">
        <v>394</v>
      </c>
      <c r="C248" s="31">
        <v>4301041006</v>
      </c>
      <c r="D248" s="556">
        <v>4680115886728</v>
      </c>
      <c r="E248" s="557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0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395</v>
      </c>
      <c r="B249" s="54" t="s">
        <v>396</v>
      </c>
      <c r="C249" s="31">
        <v>4301041005</v>
      </c>
      <c r="D249" s="556">
        <v>4680115886711</v>
      </c>
      <c r="E249" s="557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85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8"/>
      <c r="B250" s="546"/>
      <c r="C250" s="546"/>
      <c r="D250" s="546"/>
      <c r="E250" s="546"/>
      <c r="F250" s="546"/>
      <c r="G250" s="546"/>
      <c r="H250" s="546"/>
      <c r="I250" s="546"/>
      <c r="J250" s="546"/>
      <c r="K250" s="546"/>
      <c r="L250" s="546"/>
      <c r="M250" s="546"/>
      <c r="N250" s="546"/>
      <c r="O250" s="559"/>
      <c r="P250" s="550" t="s">
        <v>71</v>
      </c>
      <c r="Q250" s="551"/>
      <c r="R250" s="551"/>
      <c r="S250" s="551"/>
      <c r="T250" s="551"/>
      <c r="U250" s="551"/>
      <c r="V250" s="552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46"/>
      <c r="B251" s="546"/>
      <c r="C251" s="546"/>
      <c r="D251" s="546"/>
      <c r="E251" s="546"/>
      <c r="F251" s="546"/>
      <c r="G251" s="546"/>
      <c r="H251" s="546"/>
      <c r="I251" s="546"/>
      <c r="J251" s="546"/>
      <c r="K251" s="546"/>
      <c r="L251" s="546"/>
      <c r="M251" s="546"/>
      <c r="N251" s="546"/>
      <c r="O251" s="559"/>
      <c r="P251" s="550" t="s">
        <v>71</v>
      </c>
      <c r="Q251" s="551"/>
      <c r="R251" s="551"/>
      <c r="S251" s="551"/>
      <c r="T251" s="551"/>
      <c r="U251" s="551"/>
      <c r="V251" s="552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45" t="s">
        <v>397</v>
      </c>
      <c r="B252" s="546"/>
      <c r="C252" s="546"/>
      <c r="D252" s="546"/>
      <c r="E252" s="546"/>
      <c r="F252" s="546"/>
      <c r="G252" s="546"/>
      <c r="H252" s="546"/>
      <c r="I252" s="546"/>
      <c r="J252" s="546"/>
      <c r="K252" s="546"/>
      <c r="L252" s="546"/>
      <c r="M252" s="546"/>
      <c r="N252" s="546"/>
      <c r="O252" s="546"/>
      <c r="P252" s="546"/>
      <c r="Q252" s="546"/>
      <c r="R252" s="546"/>
      <c r="S252" s="546"/>
      <c r="T252" s="546"/>
      <c r="U252" s="546"/>
      <c r="V252" s="546"/>
      <c r="W252" s="546"/>
      <c r="X252" s="546"/>
      <c r="Y252" s="546"/>
      <c r="Z252" s="546"/>
      <c r="AA252" s="536"/>
      <c r="AB252" s="536"/>
      <c r="AC252" s="536"/>
    </row>
    <row r="253" spans="1:68" ht="14.25" hidden="1" customHeight="1" x14ac:dyDescent="0.25">
      <c r="A253" s="553" t="s">
        <v>99</v>
      </c>
      <c r="B253" s="546"/>
      <c r="C253" s="546"/>
      <c r="D253" s="546"/>
      <c r="E253" s="546"/>
      <c r="F253" s="546"/>
      <c r="G253" s="546"/>
      <c r="H253" s="546"/>
      <c r="I253" s="546"/>
      <c r="J253" s="546"/>
      <c r="K253" s="546"/>
      <c r="L253" s="546"/>
      <c r="M253" s="546"/>
      <c r="N253" s="546"/>
      <c r="O253" s="546"/>
      <c r="P253" s="546"/>
      <c r="Q253" s="546"/>
      <c r="R253" s="546"/>
      <c r="S253" s="546"/>
      <c r="T253" s="546"/>
      <c r="U253" s="546"/>
      <c r="V253" s="546"/>
      <c r="W253" s="546"/>
      <c r="X253" s="546"/>
      <c r="Y253" s="546"/>
      <c r="Z253" s="546"/>
      <c r="AA253" s="537"/>
      <c r="AB253" s="537"/>
      <c r="AC253" s="537"/>
    </row>
    <row r="254" spans="1:68" ht="27" hidden="1" customHeight="1" x14ac:dyDescent="0.25">
      <c r="A254" s="54" t="s">
        <v>398</v>
      </c>
      <c r="B254" s="54" t="s">
        <v>399</v>
      </c>
      <c r="C254" s="31">
        <v>4301011855</v>
      </c>
      <c r="D254" s="556">
        <v>4680115885837</v>
      </c>
      <c r="E254" s="557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68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401</v>
      </c>
      <c r="B255" s="54" t="s">
        <v>402</v>
      </c>
      <c r="C255" s="31">
        <v>4301011853</v>
      </c>
      <c r="D255" s="556">
        <v>4680115885851</v>
      </c>
      <c r="E255" s="557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80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404</v>
      </c>
      <c r="B256" s="54" t="s">
        <v>405</v>
      </c>
      <c r="C256" s="31">
        <v>4301011850</v>
      </c>
      <c r="D256" s="556">
        <v>4680115885806</v>
      </c>
      <c r="E256" s="557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68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407</v>
      </c>
      <c r="B257" s="54" t="s">
        <v>408</v>
      </c>
      <c r="C257" s="31">
        <v>4301011852</v>
      </c>
      <c r="D257" s="556">
        <v>4680115885844</v>
      </c>
      <c r="E257" s="557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67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410</v>
      </c>
      <c r="B258" s="54" t="s">
        <v>411</v>
      </c>
      <c r="C258" s="31">
        <v>4301011851</v>
      </c>
      <c r="D258" s="556">
        <v>4680115885820</v>
      </c>
      <c r="E258" s="557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80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8"/>
      <c r="B259" s="546"/>
      <c r="C259" s="546"/>
      <c r="D259" s="546"/>
      <c r="E259" s="546"/>
      <c r="F259" s="546"/>
      <c r="G259" s="546"/>
      <c r="H259" s="546"/>
      <c r="I259" s="546"/>
      <c r="J259" s="546"/>
      <c r="K259" s="546"/>
      <c r="L259" s="546"/>
      <c r="M259" s="546"/>
      <c r="N259" s="546"/>
      <c r="O259" s="559"/>
      <c r="P259" s="550" t="s">
        <v>71</v>
      </c>
      <c r="Q259" s="551"/>
      <c r="R259" s="551"/>
      <c r="S259" s="551"/>
      <c r="T259" s="551"/>
      <c r="U259" s="551"/>
      <c r="V259" s="552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hidden="1" x14ac:dyDescent="0.2">
      <c r="A260" s="546"/>
      <c r="B260" s="546"/>
      <c r="C260" s="546"/>
      <c r="D260" s="546"/>
      <c r="E260" s="546"/>
      <c r="F260" s="546"/>
      <c r="G260" s="546"/>
      <c r="H260" s="546"/>
      <c r="I260" s="546"/>
      <c r="J260" s="546"/>
      <c r="K260" s="546"/>
      <c r="L260" s="546"/>
      <c r="M260" s="546"/>
      <c r="N260" s="546"/>
      <c r="O260" s="559"/>
      <c r="P260" s="550" t="s">
        <v>71</v>
      </c>
      <c r="Q260" s="551"/>
      <c r="R260" s="551"/>
      <c r="S260" s="551"/>
      <c r="T260" s="551"/>
      <c r="U260" s="551"/>
      <c r="V260" s="552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hidden="1" customHeight="1" x14ac:dyDescent="0.25">
      <c r="A261" s="545" t="s">
        <v>413</v>
      </c>
      <c r="B261" s="546"/>
      <c r="C261" s="546"/>
      <c r="D261" s="546"/>
      <c r="E261" s="546"/>
      <c r="F261" s="546"/>
      <c r="G261" s="546"/>
      <c r="H261" s="546"/>
      <c r="I261" s="546"/>
      <c r="J261" s="546"/>
      <c r="K261" s="546"/>
      <c r="L261" s="546"/>
      <c r="M261" s="546"/>
      <c r="N261" s="546"/>
      <c r="O261" s="546"/>
      <c r="P261" s="546"/>
      <c r="Q261" s="546"/>
      <c r="R261" s="546"/>
      <c r="S261" s="546"/>
      <c r="T261" s="546"/>
      <c r="U261" s="546"/>
      <c r="V261" s="546"/>
      <c r="W261" s="546"/>
      <c r="X261" s="546"/>
      <c r="Y261" s="546"/>
      <c r="Z261" s="546"/>
      <c r="AA261" s="536"/>
      <c r="AB261" s="536"/>
      <c r="AC261" s="536"/>
    </row>
    <row r="262" spans="1:68" ht="14.25" hidden="1" customHeight="1" x14ac:dyDescent="0.25">
      <c r="A262" s="553" t="s">
        <v>99</v>
      </c>
      <c r="B262" s="546"/>
      <c r="C262" s="546"/>
      <c r="D262" s="546"/>
      <c r="E262" s="546"/>
      <c r="F262" s="546"/>
      <c r="G262" s="546"/>
      <c r="H262" s="546"/>
      <c r="I262" s="546"/>
      <c r="J262" s="546"/>
      <c r="K262" s="546"/>
      <c r="L262" s="546"/>
      <c r="M262" s="546"/>
      <c r="N262" s="546"/>
      <c r="O262" s="546"/>
      <c r="P262" s="546"/>
      <c r="Q262" s="546"/>
      <c r="R262" s="546"/>
      <c r="S262" s="546"/>
      <c r="T262" s="546"/>
      <c r="U262" s="546"/>
      <c r="V262" s="546"/>
      <c r="W262" s="546"/>
      <c r="X262" s="546"/>
      <c r="Y262" s="546"/>
      <c r="Z262" s="546"/>
      <c r="AA262" s="537"/>
      <c r="AB262" s="537"/>
      <c r="AC262" s="537"/>
    </row>
    <row r="263" spans="1:68" ht="27" hidden="1" customHeight="1" x14ac:dyDescent="0.25">
      <c r="A263" s="54" t="s">
        <v>414</v>
      </c>
      <c r="B263" s="54" t="s">
        <v>415</v>
      </c>
      <c r="C263" s="31">
        <v>4301011223</v>
      </c>
      <c r="D263" s="556">
        <v>4607091383423</v>
      </c>
      <c r="E263" s="557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58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416</v>
      </c>
      <c r="B264" s="54" t="s">
        <v>417</v>
      </c>
      <c r="C264" s="31">
        <v>4301012199</v>
      </c>
      <c r="D264" s="556">
        <v>4680115886957</v>
      </c>
      <c r="E264" s="557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796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419</v>
      </c>
      <c r="B265" s="54" t="s">
        <v>420</v>
      </c>
      <c r="C265" s="31">
        <v>4301012098</v>
      </c>
      <c r="D265" s="556">
        <v>4680115885660</v>
      </c>
      <c r="E265" s="557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82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421</v>
      </c>
      <c r="B266" s="54" t="s">
        <v>422</v>
      </c>
      <c r="C266" s="31">
        <v>4301012176</v>
      </c>
      <c r="D266" s="556">
        <v>4680115886773</v>
      </c>
      <c r="E266" s="557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83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8"/>
      <c r="B267" s="546"/>
      <c r="C267" s="546"/>
      <c r="D267" s="546"/>
      <c r="E267" s="546"/>
      <c r="F267" s="546"/>
      <c r="G267" s="546"/>
      <c r="H267" s="546"/>
      <c r="I267" s="546"/>
      <c r="J267" s="546"/>
      <c r="K267" s="546"/>
      <c r="L267" s="546"/>
      <c r="M267" s="546"/>
      <c r="N267" s="546"/>
      <c r="O267" s="559"/>
      <c r="P267" s="550" t="s">
        <v>71</v>
      </c>
      <c r="Q267" s="551"/>
      <c r="R267" s="551"/>
      <c r="S267" s="551"/>
      <c r="T267" s="551"/>
      <c r="U267" s="551"/>
      <c r="V267" s="552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46"/>
      <c r="B268" s="546"/>
      <c r="C268" s="546"/>
      <c r="D268" s="546"/>
      <c r="E268" s="546"/>
      <c r="F268" s="546"/>
      <c r="G268" s="546"/>
      <c r="H268" s="546"/>
      <c r="I268" s="546"/>
      <c r="J268" s="546"/>
      <c r="K268" s="546"/>
      <c r="L268" s="546"/>
      <c r="M268" s="546"/>
      <c r="N268" s="546"/>
      <c r="O268" s="559"/>
      <c r="P268" s="550" t="s">
        <v>71</v>
      </c>
      <c r="Q268" s="551"/>
      <c r="R268" s="551"/>
      <c r="S268" s="551"/>
      <c r="T268" s="551"/>
      <c r="U268" s="551"/>
      <c r="V268" s="552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45" t="s">
        <v>424</v>
      </c>
      <c r="B269" s="546"/>
      <c r="C269" s="546"/>
      <c r="D269" s="546"/>
      <c r="E269" s="546"/>
      <c r="F269" s="546"/>
      <c r="G269" s="546"/>
      <c r="H269" s="546"/>
      <c r="I269" s="546"/>
      <c r="J269" s="546"/>
      <c r="K269" s="546"/>
      <c r="L269" s="546"/>
      <c r="M269" s="546"/>
      <c r="N269" s="546"/>
      <c r="O269" s="546"/>
      <c r="P269" s="546"/>
      <c r="Q269" s="546"/>
      <c r="R269" s="546"/>
      <c r="S269" s="546"/>
      <c r="T269" s="546"/>
      <c r="U269" s="546"/>
      <c r="V269" s="546"/>
      <c r="W269" s="546"/>
      <c r="X269" s="546"/>
      <c r="Y269" s="546"/>
      <c r="Z269" s="546"/>
      <c r="AA269" s="536"/>
      <c r="AB269" s="536"/>
      <c r="AC269" s="536"/>
    </row>
    <row r="270" spans="1:68" ht="14.25" hidden="1" customHeight="1" x14ac:dyDescent="0.25">
      <c r="A270" s="553" t="s">
        <v>73</v>
      </c>
      <c r="B270" s="546"/>
      <c r="C270" s="546"/>
      <c r="D270" s="546"/>
      <c r="E270" s="546"/>
      <c r="F270" s="546"/>
      <c r="G270" s="546"/>
      <c r="H270" s="546"/>
      <c r="I270" s="546"/>
      <c r="J270" s="546"/>
      <c r="K270" s="546"/>
      <c r="L270" s="546"/>
      <c r="M270" s="546"/>
      <c r="N270" s="546"/>
      <c r="O270" s="546"/>
      <c r="P270" s="546"/>
      <c r="Q270" s="546"/>
      <c r="R270" s="546"/>
      <c r="S270" s="546"/>
      <c r="T270" s="546"/>
      <c r="U270" s="546"/>
      <c r="V270" s="546"/>
      <c r="W270" s="546"/>
      <c r="X270" s="546"/>
      <c r="Y270" s="546"/>
      <c r="Z270" s="546"/>
      <c r="AA270" s="537"/>
      <c r="AB270" s="537"/>
      <c r="AC270" s="537"/>
    </row>
    <row r="271" spans="1:68" ht="27" hidden="1" customHeight="1" x14ac:dyDescent="0.25">
      <c r="A271" s="54" t="s">
        <v>425</v>
      </c>
      <c r="B271" s="54" t="s">
        <v>426</v>
      </c>
      <c r="C271" s="31">
        <v>4301051893</v>
      </c>
      <c r="D271" s="556">
        <v>4680115886186</v>
      </c>
      <c r="E271" s="557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8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428</v>
      </c>
      <c r="B272" s="54" t="s">
        <v>429</v>
      </c>
      <c r="C272" s="31">
        <v>4301051795</v>
      </c>
      <c r="D272" s="556">
        <v>4680115881228</v>
      </c>
      <c r="E272" s="557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70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4301051388</v>
      </c>
      <c r="D273" s="556">
        <v>4680115881211</v>
      </c>
      <c r="E273" s="557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86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8"/>
      <c r="B274" s="546"/>
      <c r="C274" s="546"/>
      <c r="D274" s="546"/>
      <c r="E274" s="546"/>
      <c r="F274" s="546"/>
      <c r="G274" s="546"/>
      <c r="H274" s="546"/>
      <c r="I274" s="546"/>
      <c r="J274" s="546"/>
      <c r="K274" s="546"/>
      <c r="L274" s="546"/>
      <c r="M274" s="546"/>
      <c r="N274" s="546"/>
      <c r="O274" s="559"/>
      <c r="P274" s="550" t="s">
        <v>71</v>
      </c>
      <c r="Q274" s="551"/>
      <c r="R274" s="551"/>
      <c r="S274" s="551"/>
      <c r="T274" s="551"/>
      <c r="U274" s="551"/>
      <c r="V274" s="552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46"/>
      <c r="B275" s="546"/>
      <c r="C275" s="546"/>
      <c r="D275" s="546"/>
      <c r="E275" s="546"/>
      <c r="F275" s="546"/>
      <c r="G275" s="546"/>
      <c r="H275" s="546"/>
      <c r="I275" s="546"/>
      <c r="J275" s="546"/>
      <c r="K275" s="546"/>
      <c r="L275" s="546"/>
      <c r="M275" s="546"/>
      <c r="N275" s="546"/>
      <c r="O275" s="559"/>
      <c r="P275" s="550" t="s">
        <v>71</v>
      </c>
      <c r="Q275" s="551"/>
      <c r="R275" s="551"/>
      <c r="S275" s="551"/>
      <c r="T275" s="551"/>
      <c r="U275" s="551"/>
      <c r="V275" s="552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45" t="s">
        <v>433</v>
      </c>
      <c r="B276" s="546"/>
      <c r="C276" s="546"/>
      <c r="D276" s="546"/>
      <c r="E276" s="546"/>
      <c r="F276" s="546"/>
      <c r="G276" s="546"/>
      <c r="H276" s="546"/>
      <c r="I276" s="546"/>
      <c r="J276" s="546"/>
      <c r="K276" s="546"/>
      <c r="L276" s="546"/>
      <c r="M276" s="546"/>
      <c r="N276" s="546"/>
      <c r="O276" s="546"/>
      <c r="P276" s="546"/>
      <c r="Q276" s="546"/>
      <c r="R276" s="546"/>
      <c r="S276" s="546"/>
      <c r="T276" s="546"/>
      <c r="U276" s="546"/>
      <c r="V276" s="546"/>
      <c r="W276" s="546"/>
      <c r="X276" s="546"/>
      <c r="Y276" s="546"/>
      <c r="Z276" s="546"/>
      <c r="AA276" s="536"/>
      <c r="AB276" s="536"/>
      <c r="AC276" s="536"/>
    </row>
    <row r="277" spans="1:68" ht="14.25" hidden="1" customHeight="1" x14ac:dyDescent="0.25">
      <c r="A277" s="553" t="s">
        <v>64</v>
      </c>
      <c r="B277" s="546"/>
      <c r="C277" s="546"/>
      <c r="D277" s="546"/>
      <c r="E277" s="546"/>
      <c r="F277" s="546"/>
      <c r="G277" s="546"/>
      <c r="H277" s="546"/>
      <c r="I277" s="546"/>
      <c r="J277" s="546"/>
      <c r="K277" s="546"/>
      <c r="L277" s="546"/>
      <c r="M277" s="546"/>
      <c r="N277" s="546"/>
      <c r="O277" s="546"/>
      <c r="P277" s="546"/>
      <c r="Q277" s="546"/>
      <c r="R277" s="546"/>
      <c r="S277" s="546"/>
      <c r="T277" s="546"/>
      <c r="U277" s="546"/>
      <c r="V277" s="546"/>
      <c r="W277" s="546"/>
      <c r="X277" s="546"/>
      <c r="Y277" s="546"/>
      <c r="Z277" s="546"/>
      <c r="AA277" s="537"/>
      <c r="AB277" s="537"/>
      <c r="AC277" s="537"/>
    </row>
    <row r="278" spans="1:68" ht="27" hidden="1" customHeight="1" x14ac:dyDescent="0.25">
      <c r="A278" s="54" t="s">
        <v>434</v>
      </c>
      <c r="B278" s="54" t="s">
        <v>435</v>
      </c>
      <c r="C278" s="31">
        <v>4301031307</v>
      </c>
      <c r="D278" s="556">
        <v>4680115880344</v>
      </c>
      <c r="E278" s="557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6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437</v>
      </c>
      <c r="B279" s="54" t="s">
        <v>438</v>
      </c>
      <c r="C279" s="31">
        <v>4301031429</v>
      </c>
      <c r="D279" s="556">
        <v>4680115886919</v>
      </c>
      <c r="E279" s="557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68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8"/>
      <c r="B280" s="546"/>
      <c r="C280" s="546"/>
      <c r="D280" s="546"/>
      <c r="E280" s="546"/>
      <c r="F280" s="546"/>
      <c r="G280" s="546"/>
      <c r="H280" s="546"/>
      <c r="I280" s="546"/>
      <c r="J280" s="546"/>
      <c r="K280" s="546"/>
      <c r="L280" s="546"/>
      <c r="M280" s="546"/>
      <c r="N280" s="546"/>
      <c r="O280" s="559"/>
      <c r="P280" s="550" t="s">
        <v>71</v>
      </c>
      <c r="Q280" s="551"/>
      <c r="R280" s="551"/>
      <c r="S280" s="551"/>
      <c r="T280" s="551"/>
      <c r="U280" s="551"/>
      <c r="V280" s="552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46"/>
      <c r="B281" s="546"/>
      <c r="C281" s="546"/>
      <c r="D281" s="546"/>
      <c r="E281" s="546"/>
      <c r="F281" s="546"/>
      <c r="G281" s="546"/>
      <c r="H281" s="546"/>
      <c r="I281" s="546"/>
      <c r="J281" s="546"/>
      <c r="K281" s="546"/>
      <c r="L281" s="546"/>
      <c r="M281" s="546"/>
      <c r="N281" s="546"/>
      <c r="O281" s="559"/>
      <c r="P281" s="550" t="s">
        <v>71</v>
      </c>
      <c r="Q281" s="551"/>
      <c r="R281" s="551"/>
      <c r="S281" s="551"/>
      <c r="T281" s="551"/>
      <c r="U281" s="551"/>
      <c r="V281" s="552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3" t="s">
        <v>73</v>
      </c>
      <c r="B282" s="546"/>
      <c r="C282" s="546"/>
      <c r="D282" s="546"/>
      <c r="E282" s="546"/>
      <c r="F282" s="546"/>
      <c r="G282" s="546"/>
      <c r="H282" s="546"/>
      <c r="I282" s="546"/>
      <c r="J282" s="546"/>
      <c r="K282" s="546"/>
      <c r="L282" s="546"/>
      <c r="M282" s="546"/>
      <c r="N282" s="546"/>
      <c r="O282" s="546"/>
      <c r="P282" s="546"/>
      <c r="Q282" s="546"/>
      <c r="R282" s="546"/>
      <c r="S282" s="546"/>
      <c r="T282" s="546"/>
      <c r="U282" s="546"/>
      <c r="V282" s="546"/>
      <c r="W282" s="546"/>
      <c r="X282" s="546"/>
      <c r="Y282" s="546"/>
      <c r="Z282" s="546"/>
      <c r="AA282" s="537"/>
      <c r="AB282" s="537"/>
      <c r="AC282" s="537"/>
    </row>
    <row r="283" spans="1:68" ht="37.5" hidden="1" customHeight="1" x14ac:dyDescent="0.25">
      <c r="A283" s="54" t="s">
        <v>440</v>
      </c>
      <c r="B283" s="54" t="s">
        <v>441</v>
      </c>
      <c r="C283" s="31">
        <v>4301051782</v>
      </c>
      <c r="D283" s="556">
        <v>4680115884618</v>
      </c>
      <c r="E283" s="557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hidden="1" customHeight="1" x14ac:dyDescent="0.25">
      <c r="A284" s="54" t="s">
        <v>443</v>
      </c>
      <c r="B284" s="54" t="s">
        <v>444</v>
      </c>
      <c r="C284" s="31">
        <v>4301052057</v>
      </c>
      <c r="D284" s="556">
        <v>4680115887114</v>
      </c>
      <c r="E284" s="557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8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8"/>
      <c r="R284" s="548"/>
      <c r="S284" s="548"/>
      <c r="T284" s="549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idden="1" x14ac:dyDescent="0.2">
      <c r="A285" s="558"/>
      <c r="B285" s="546"/>
      <c r="C285" s="546"/>
      <c r="D285" s="546"/>
      <c r="E285" s="546"/>
      <c r="F285" s="546"/>
      <c r="G285" s="546"/>
      <c r="H285" s="546"/>
      <c r="I285" s="546"/>
      <c r="J285" s="546"/>
      <c r="K285" s="546"/>
      <c r="L285" s="546"/>
      <c r="M285" s="546"/>
      <c r="N285" s="546"/>
      <c r="O285" s="559"/>
      <c r="P285" s="550" t="s">
        <v>71</v>
      </c>
      <c r="Q285" s="551"/>
      <c r="R285" s="551"/>
      <c r="S285" s="551"/>
      <c r="T285" s="551"/>
      <c r="U285" s="551"/>
      <c r="V285" s="552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hidden="1" x14ac:dyDescent="0.2">
      <c r="A286" s="546"/>
      <c r="B286" s="546"/>
      <c r="C286" s="546"/>
      <c r="D286" s="546"/>
      <c r="E286" s="546"/>
      <c r="F286" s="546"/>
      <c r="G286" s="546"/>
      <c r="H286" s="546"/>
      <c r="I286" s="546"/>
      <c r="J286" s="546"/>
      <c r="K286" s="546"/>
      <c r="L286" s="546"/>
      <c r="M286" s="546"/>
      <c r="N286" s="546"/>
      <c r="O286" s="559"/>
      <c r="P286" s="550" t="s">
        <v>71</v>
      </c>
      <c r="Q286" s="551"/>
      <c r="R286" s="551"/>
      <c r="S286" s="551"/>
      <c r="T286" s="551"/>
      <c r="U286" s="551"/>
      <c r="V286" s="552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hidden="1" customHeight="1" x14ac:dyDescent="0.25">
      <c r="A287" s="545" t="s">
        <v>446</v>
      </c>
      <c r="B287" s="546"/>
      <c r="C287" s="546"/>
      <c r="D287" s="546"/>
      <c r="E287" s="546"/>
      <c r="F287" s="546"/>
      <c r="G287" s="546"/>
      <c r="H287" s="546"/>
      <c r="I287" s="546"/>
      <c r="J287" s="546"/>
      <c r="K287" s="546"/>
      <c r="L287" s="546"/>
      <c r="M287" s="546"/>
      <c r="N287" s="546"/>
      <c r="O287" s="546"/>
      <c r="P287" s="546"/>
      <c r="Q287" s="546"/>
      <c r="R287" s="546"/>
      <c r="S287" s="546"/>
      <c r="T287" s="546"/>
      <c r="U287" s="546"/>
      <c r="V287" s="546"/>
      <c r="W287" s="546"/>
      <c r="X287" s="546"/>
      <c r="Y287" s="546"/>
      <c r="Z287" s="546"/>
      <c r="AA287" s="536"/>
      <c r="AB287" s="536"/>
      <c r="AC287" s="536"/>
    </row>
    <row r="288" spans="1:68" ht="14.25" hidden="1" customHeight="1" x14ac:dyDescent="0.25">
      <c r="A288" s="553" t="s">
        <v>99</v>
      </c>
      <c r="B288" s="546"/>
      <c r="C288" s="546"/>
      <c r="D288" s="546"/>
      <c r="E288" s="546"/>
      <c r="F288" s="546"/>
      <c r="G288" s="546"/>
      <c r="H288" s="546"/>
      <c r="I288" s="546"/>
      <c r="J288" s="546"/>
      <c r="K288" s="546"/>
      <c r="L288" s="546"/>
      <c r="M288" s="546"/>
      <c r="N288" s="546"/>
      <c r="O288" s="546"/>
      <c r="P288" s="546"/>
      <c r="Q288" s="546"/>
      <c r="R288" s="546"/>
      <c r="S288" s="546"/>
      <c r="T288" s="546"/>
      <c r="U288" s="546"/>
      <c r="V288" s="546"/>
      <c r="W288" s="546"/>
      <c r="X288" s="546"/>
      <c r="Y288" s="546"/>
      <c r="Z288" s="546"/>
      <c r="AA288" s="537"/>
      <c r="AB288" s="537"/>
      <c r="AC288" s="537"/>
    </row>
    <row r="289" spans="1:68" ht="27" hidden="1" customHeight="1" x14ac:dyDescent="0.25">
      <c r="A289" s="54" t="s">
        <v>447</v>
      </c>
      <c r="B289" s="54" t="s">
        <v>448</v>
      </c>
      <c r="C289" s="31">
        <v>4301012024</v>
      </c>
      <c r="D289" s="556">
        <v>4680115885615</v>
      </c>
      <c r="E289" s="557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79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hidden="1" customHeight="1" x14ac:dyDescent="0.25">
      <c r="A290" s="54" t="s">
        <v>450</v>
      </c>
      <c r="B290" s="54" t="s">
        <v>451</v>
      </c>
      <c r="C290" s="31">
        <v>4301011858</v>
      </c>
      <c r="D290" s="556">
        <v>4680115885646</v>
      </c>
      <c r="E290" s="557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453</v>
      </c>
      <c r="B291" s="54" t="s">
        <v>454</v>
      </c>
      <c r="C291" s="31">
        <v>4301012016</v>
      </c>
      <c r="D291" s="556">
        <v>4680115885554</v>
      </c>
      <c r="E291" s="557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58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456</v>
      </c>
      <c r="B292" s="54" t="s">
        <v>457</v>
      </c>
      <c r="C292" s="31">
        <v>4301011857</v>
      </c>
      <c r="D292" s="556">
        <v>4680115885622</v>
      </c>
      <c r="E292" s="557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59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458</v>
      </c>
      <c r="B293" s="54" t="s">
        <v>459</v>
      </c>
      <c r="C293" s="31">
        <v>4301011859</v>
      </c>
      <c r="D293" s="556">
        <v>4680115885608</v>
      </c>
      <c r="E293" s="557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5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58"/>
      <c r="B294" s="546"/>
      <c r="C294" s="546"/>
      <c r="D294" s="546"/>
      <c r="E294" s="546"/>
      <c r="F294" s="546"/>
      <c r="G294" s="546"/>
      <c r="H294" s="546"/>
      <c r="I294" s="546"/>
      <c r="J294" s="546"/>
      <c r="K294" s="546"/>
      <c r="L294" s="546"/>
      <c r="M294" s="546"/>
      <c r="N294" s="546"/>
      <c r="O294" s="559"/>
      <c r="P294" s="550" t="s">
        <v>71</v>
      </c>
      <c r="Q294" s="551"/>
      <c r="R294" s="551"/>
      <c r="S294" s="551"/>
      <c r="T294" s="551"/>
      <c r="U294" s="551"/>
      <c r="V294" s="552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46"/>
      <c r="B295" s="546"/>
      <c r="C295" s="546"/>
      <c r="D295" s="546"/>
      <c r="E295" s="546"/>
      <c r="F295" s="546"/>
      <c r="G295" s="546"/>
      <c r="H295" s="546"/>
      <c r="I295" s="546"/>
      <c r="J295" s="546"/>
      <c r="K295" s="546"/>
      <c r="L295" s="546"/>
      <c r="M295" s="546"/>
      <c r="N295" s="546"/>
      <c r="O295" s="559"/>
      <c r="P295" s="550" t="s">
        <v>71</v>
      </c>
      <c r="Q295" s="551"/>
      <c r="R295" s="551"/>
      <c r="S295" s="551"/>
      <c r="T295" s="551"/>
      <c r="U295" s="551"/>
      <c r="V295" s="552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53" t="s">
        <v>64</v>
      </c>
      <c r="B296" s="546"/>
      <c r="C296" s="546"/>
      <c r="D296" s="546"/>
      <c r="E296" s="546"/>
      <c r="F296" s="546"/>
      <c r="G296" s="546"/>
      <c r="H296" s="546"/>
      <c r="I296" s="546"/>
      <c r="J296" s="546"/>
      <c r="K296" s="546"/>
      <c r="L296" s="546"/>
      <c r="M296" s="546"/>
      <c r="N296" s="546"/>
      <c r="O296" s="546"/>
      <c r="P296" s="546"/>
      <c r="Q296" s="546"/>
      <c r="R296" s="546"/>
      <c r="S296" s="546"/>
      <c r="T296" s="546"/>
      <c r="U296" s="546"/>
      <c r="V296" s="546"/>
      <c r="W296" s="546"/>
      <c r="X296" s="546"/>
      <c r="Y296" s="546"/>
      <c r="Z296" s="546"/>
      <c r="AA296" s="537"/>
      <c r="AB296" s="537"/>
      <c r="AC296" s="537"/>
    </row>
    <row r="297" spans="1:68" ht="27" hidden="1" customHeight="1" x14ac:dyDescent="0.25">
      <c r="A297" s="54" t="s">
        <v>461</v>
      </c>
      <c r="B297" s="54" t="s">
        <v>462</v>
      </c>
      <c r="C297" s="31">
        <v>4301030878</v>
      </c>
      <c r="D297" s="556">
        <v>4607091387193</v>
      </c>
      <c r="E297" s="557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58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hidden="1" customHeight="1" x14ac:dyDescent="0.25">
      <c r="A298" s="54" t="s">
        <v>464</v>
      </c>
      <c r="B298" s="54" t="s">
        <v>465</v>
      </c>
      <c r="C298" s="31">
        <v>4301031153</v>
      </c>
      <c r="D298" s="556">
        <v>4607091387230</v>
      </c>
      <c r="E298" s="557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 t="s">
        <v>110</v>
      </c>
      <c r="M298" s="33" t="s">
        <v>68</v>
      </c>
      <c r="N298" s="33"/>
      <c r="O298" s="32">
        <v>40</v>
      </c>
      <c r="P298" s="6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 t="s">
        <v>106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467</v>
      </c>
      <c r="B299" s="54" t="s">
        <v>468</v>
      </c>
      <c r="C299" s="31">
        <v>4301031154</v>
      </c>
      <c r="D299" s="556">
        <v>4607091387292</v>
      </c>
      <c r="E299" s="557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0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470</v>
      </c>
      <c r="B300" s="54" t="s">
        <v>471</v>
      </c>
      <c r="C300" s="31">
        <v>4301031152</v>
      </c>
      <c r="D300" s="556">
        <v>4607091387285</v>
      </c>
      <c r="E300" s="557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77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472</v>
      </c>
      <c r="B301" s="54" t="s">
        <v>473</v>
      </c>
      <c r="C301" s="31">
        <v>4301031305</v>
      </c>
      <c r="D301" s="556">
        <v>4607091389845</v>
      </c>
      <c r="E301" s="557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266</v>
      </c>
      <c r="M301" s="33" t="s">
        <v>68</v>
      </c>
      <c r="N301" s="33"/>
      <c r="O301" s="32">
        <v>40</v>
      </c>
      <c r="P301" s="64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 t="s">
        <v>106</v>
      </c>
      <c r="AK301" s="68">
        <v>37.799999999999997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475</v>
      </c>
      <c r="B302" s="54" t="s">
        <v>476</v>
      </c>
      <c r="C302" s="31">
        <v>4301031306</v>
      </c>
      <c r="D302" s="556">
        <v>4680115882881</v>
      </c>
      <c r="E302" s="557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86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hidden="1" customHeight="1" x14ac:dyDescent="0.25">
      <c r="A303" s="54" t="s">
        <v>477</v>
      </c>
      <c r="B303" s="54" t="s">
        <v>478</v>
      </c>
      <c r="C303" s="31">
        <v>4301031066</v>
      </c>
      <c r="D303" s="556">
        <v>4607091383836</v>
      </c>
      <c r="E303" s="557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80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hidden="1" x14ac:dyDescent="0.2">
      <c r="A304" s="558"/>
      <c r="B304" s="546"/>
      <c r="C304" s="546"/>
      <c r="D304" s="546"/>
      <c r="E304" s="546"/>
      <c r="F304" s="546"/>
      <c r="G304" s="546"/>
      <c r="H304" s="546"/>
      <c r="I304" s="546"/>
      <c r="J304" s="546"/>
      <c r="K304" s="546"/>
      <c r="L304" s="546"/>
      <c r="M304" s="546"/>
      <c r="N304" s="546"/>
      <c r="O304" s="559"/>
      <c r="P304" s="550" t="s">
        <v>71</v>
      </c>
      <c r="Q304" s="551"/>
      <c r="R304" s="551"/>
      <c r="S304" s="551"/>
      <c r="T304" s="551"/>
      <c r="U304" s="551"/>
      <c r="V304" s="552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hidden="1" x14ac:dyDescent="0.2">
      <c r="A305" s="546"/>
      <c r="B305" s="546"/>
      <c r="C305" s="546"/>
      <c r="D305" s="546"/>
      <c r="E305" s="546"/>
      <c r="F305" s="546"/>
      <c r="G305" s="546"/>
      <c r="H305" s="546"/>
      <c r="I305" s="546"/>
      <c r="J305" s="546"/>
      <c r="K305" s="546"/>
      <c r="L305" s="546"/>
      <c r="M305" s="546"/>
      <c r="N305" s="546"/>
      <c r="O305" s="559"/>
      <c r="P305" s="550" t="s">
        <v>71</v>
      </c>
      <c r="Q305" s="551"/>
      <c r="R305" s="551"/>
      <c r="S305" s="551"/>
      <c r="T305" s="551"/>
      <c r="U305" s="551"/>
      <c r="V305" s="552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hidden="1" customHeight="1" x14ac:dyDescent="0.25">
      <c r="A306" s="553" t="s">
        <v>73</v>
      </c>
      <c r="B306" s="546"/>
      <c r="C306" s="546"/>
      <c r="D306" s="546"/>
      <c r="E306" s="546"/>
      <c r="F306" s="546"/>
      <c r="G306" s="546"/>
      <c r="H306" s="546"/>
      <c r="I306" s="546"/>
      <c r="J306" s="546"/>
      <c r="K306" s="546"/>
      <c r="L306" s="546"/>
      <c r="M306" s="546"/>
      <c r="N306" s="546"/>
      <c r="O306" s="546"/>
      <c r="P306" s="546"/>
      <c r="Q306" s="546"/>
      <c r="R306" s="546"/>
      <c r="S306" s="546"/>
      <c r="T306" s="546"/>
      <c r="U306" s="546"/>
      <c r="V306" s="546"/>
      <c r="W306" s="546"/>
      <c r="X306" s="546"/>
      <c r="Y306" s="546"/>
      <c r="Z306" s="546"/>
      <c r="AA306" s="537"/>
      <c r="AB306" s="537"/>
      <c r="AC306" s="537"/>
    </row>
    <row r="307" spans="1:68" ht="27" hidden="1" customHeight="1" x14ac:dyDescent="0.25">
      <c r="A307" s="54" t="s">
        <v>480</v>
      </c>
      <c r="B307" s="54" t="s">
        <v>481</v>
      </c>
      <c r="C307" s="31">
        <v>4301051100</v>
      </c>
      <c r="D307" s="556">
        <v>4607091387766</v>
      </c>
      <c r="E307" s="557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 t="s">
        <v>103</v>
      </c>
      <c r="M307" s="33" t="s">
        <v>77</v>
      </c>
      <c r="N307" s="33"/>
      <c r="O307" s="32">
        <v>40</v>
      </c>
      <c r="P307" s="56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 t="s">
        <v>106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483</v>
      </c>
      <c r="B308" s="54" t="s">
        <v>484</v>
      </c>
      <c r="C308" s="31">
        <v>4301051818</v>
      </c>
      <c r="D308" s="556">
        <v>4607091387957</v>
      </c>
      <c r="E308" s="557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7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486</v>
      </c>
      <c r="B309" s="54" t="s">
        <v>487</v>
      </c>
      <c r="C309" s="31">
        <v>4301051819</v>
      </c>
      <c r="D309" s="556">
        <v>4607091387964</v>
      </c>
      <c r="E309" s="557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5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489</v>
      </c>
      <c r="B310" s="54" t="s">
        <v>490</v>
      </c>
      <c r="C310" s="31">
        <v>4301051734</v>
      </c>
      <c r="D310" s="556">
        <v>4680115884588</v>
      </c>
      <c r="E310" s="557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75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8"/>
      <c r="B311" s="546"/>
      <c r="C311" s="546"/>
      <c r="D311" s="546"/>
      <c r="E311" s="546"/>
      <c r="F311" s="546"/>
      <c r="G311" s="546"/>
      <c r="H311" s="546"/>
      <c r="I311" s="546"/>
      <c r="J311" s="546"/>
      <c r="K311" s="546"/>
      <c r="L311" s="546"/>
      <c r="M311" s="546"/>
      <c r="N311" s="546"/>
      <c r="O311" s="559"/>
      <c r="P311" s="550" t="s">
        <v>71</v>
      </c>
      <c r="Q311" s="551"/>
      <c r="R311" s="551"/>
      <c r="S311" s="551"/>
      <c r="T311" s="551"/>
      <c r="U311" s="551"/>
      <c r="V311" s="552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hidden="1" x14ac:dyDescent="0.2">
      <c r="A312" s="546"/>
      <c r="B312" s="546"/>
      <c r="C312" s="546"/>
      <c r="D312" s="546"/>
      <c r="E312" s="546"/>
      <c r="F312" s="546"/>
      <c r="G312" s="546"/>
      <c r="H312" s="546"/>
      <c r="I312" s="546"/>
      <c r="J312" s="546"/>
      <c r="K312" s="546"/>
      <c r="L312" s="546"/>
      <c r="M312" s="546"/>
      <c r="N312" s="546"/>
      <c r="O312" s="559"/>
      <c r="P312" s="550" t="s">
        <v>71</v>
      </c>
      <c r="Q312" s="551"/>
      <c r="R312" s="551"/>
      <c r="S312" s="551"/>
      <c r="T312" s="551"/>
      <c r="U312" s="551"/>
      <c r="V312" s="552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hidden="1" customHeight="1" x14ac:dyDescent="0.25">
      <c r="A313" s="553" t="s">
        <v>163</v>
      </c>
      <c r="B313" s="546"/>
      <c r="C313" s="546"/>
      <c r="D313" s="546"/>
      <c r="E313" s="546"/>
      <c r="F313" s="546"/>
      <c r="G313" s="546"/>
      <c r="H313" s="546"/>
      <c r="I313" s="546"/>
      <c r="J313" s="546"/>
      <c r="K313" s="546"/>
      <c r="L313" s="546"/>
      <c r="M313" s="546"/>
      <c r="N313" s="546"/>
      <c r="O313" s="546"/>
      <c r="P313" s="546"/>
      <c r="Q313" s="546"/>
      <c r="R313" s="546"/>
      <c r="S313" s="546"/>
      <c r="T313" s="546"/>
      <c r="U313" s="546"/>
      <c r="V313" s="546"/>
      <c r="W313" s="546"/>
      <c r="X313" s="546"/>
      <c r="Y313" s="546"/>
      <c r="Z313" s="546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56">
        <v>4607091380880</v>
      </c>
      <c r="E314" s="557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69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8"/>
      <c r="R314" s="548"/>
      <c r="S314" s="548"/>
      <c r="T314" s="549"/>
      <c r="U314" s="34"/>
      <c r="V314" s="34"/>
      <c r="W314" s="35" t="s">
        <v>69</v>
      </c>
      <c r="X314" s="541">
        <v>50</v>
      </c>
      <c r="Y314" s="542">
        <f>IFERROR(IF(X314="",0,CEILING((X314/$H314),1)*$H314),"")</f>
        <v>50.400000000000006</v>
      </c>
      <c r="Z314" s="36">
        <f>IFERROR(IF(Y314=0,"",ROUNDUP(Y314/H314,0)*0.01898),"")</f>
        <v>0.11388000000000001</v>
      </c>
      <c r="AA314" s="56"/>
      <c r="AB314" s="57"/>
      <c r="AC314" s="363" t="s">
        <v>494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52.94047619047619</v>
      </c>
      <c r="BN314" s="64">
        <f>IFERROR(Y314*I314/H314,"0")</f>
        <v>53.364000000000004</v>
      </c>
      <c r="BO314" s="64">
        <f>IFERROR(1/J314*(X314/H314),"0")</f>
        <v>9.3005952380952384E-2</v>
      </c>
      <c r="BP314" s="64">
        <f>IFERROR(1/J314*(Y314/H314),"0")</f>
        <v>9.375E-2</v>
      </c>
    </row>
    <row r="315" spans="1:68" ht="27" hidden="1" customHeight="1" x14ac:dyDescent="0.25">
      <c r="A315" s="54" t="s">
        <v>495</v>
      </c>
      <c r="B315" s="54" t="s">
        <v>496</v>
      </c>
      <c r="C315" s="31">
        <v>4301060406</v>
      </c>
      <c r="D315" s="556">
        <v>4607091384482</v>
      </c>
      <c r="E315" s="557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86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hidden="1" customHeight="1" x14ac:dyDescent="0.25">
      <c r="A316" s="54" t="s">
        <v>498</v>
      </c>
      <c r="B316" s="54" t="s">
        <v>499</v>
      </c>
      <c r="C316" s="31">
        <v>4301060484</v>
      </c>
      <c r="D316" s="556">
        <v>4607091380897</v>
      </c>
      <c r="E316" s="557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8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8"/>
      <c r="B317" s="546"/>
      <c r="C317" s="546"/>
      <c r="D317" s="546"/>
      <c r="E317" s="546"/>
      <c r="F317" s="546"/>
      <c r="G317" s="546"/>
      <c r="H317" s="546"/>
      <c r="I317" s="546"/>
      <c r="J317" s="546"/>
      <c r="K317" s="546"/>
      <c r="L317" s="546"/>
      <c r="M317" s="546"/>
      <c r="N317" s="546"/>
      <c r="O317" s="559"/>
      <c r="P317" s="550" t="s">
        <v>71</v>
      </c>
      <c r="Q317" s="551"/>
      <c r="R317" s="551"/>
      <c r="S317" s="551"/>
      <c r="T317" s="551"/>
      <c r="U317" s="551"/>
      <c r="V317" s="552"/>
      <c r="W317" s="37" t="s">
        <v>72</v>
      </c>
      <c r="X317" s="543">
        <f>IFERROR(X314/H314,"0")+IFERROR(X315/H315,"0")+IFERROR(X316/H316,"0")</f>
        <v>5.9523809523809526</v>
      </c>
      <c r="Y317" s="543">
        <f>IFERROR(Y314/H314,"0")+IFERROR(Y315/H315,"0")+IFERROR(Y316/H316,"0")</f>
        <v>6</v>
      </c>
      <c r="Z317" s="543">
        <f>IFERROR(IF(Z314="",0,Z314),"0")+IFERROR(IF(Z315="",0,Z315),"0")+IFERROR(IF(Z316="",0,Z316),"0")</f>
        <v>0.11388000000000001</v>
      </c>
      <c r="AA317" s="544"/>
      <c r="AB317" s="544"/>
      <c r="AC317" s="544"/>
    </row>
    <row r="318" spans="1:68" x14ac:dyDescent="0.2">
      <c r="A318" s="546"/>
      <c r="B318" s="546"/>
      <c r="C318" s="546"/>
      <c r="D318" s="546"/>
      <c r="E318" s="546"/>
      <c r="F318" s="546"/>
      <c r="G318" s="546"/>
      <c r="H318" s="546"/>
      <c r="I318" s="546"/>
      <c r="J318" s="546"/>
      <c r="K318" s="546"/>
      <c r="L318" s="546"/>
      <c r="M318" s="546"/>
      <c r="N318" s="546"/>
      <c r="O318" s="559"/>
      <c r="P318" s="550" t="s">
        <v>71</v>
      </c>
      <c r="Q318" s="551"/>
      <c r="R318" s="551"/>
      <c r="S318" s="551"/>
      <c r="T318" s="551"/>
      <c r="U318" s="551"/>
      <c r="V318" s="552"/>
      <c r="W318" s="37" t="s">
        <v>69</v>
      </c>
      <c r="X318" s="543">
        <f>IFERROR(SUM(X314:X316),"0")</f>
        <v>50</v>
      </c>
      <c r="Y318" s="543">
        <f>IFERROR(SUM(Y314:Y316),"0")</f>
        <v>50.400000000000006</v>
      </c>
      <c r="Z318" s="37"/>
      <c r="AA318" s="544"/>
      <c r="AB318" s="544"/>
      <c r="AC318" s="544"/>
    </row>
    <row r="319" spans="1:68" ht="14.25" hidden="1" customHeight="1" x14ac:dyDescent="0.25">
      <c r="A319" s="553" t="s">
        <v>91</v>
      </c>
      <c r="B319" s="546"/>
      <c r="C319" s="546"/>
      <c r="D319" s="546"/>
      <c r="E319" s="546"/>
      <c r="F319" s="546"/>
      <c r="G319" s="546"/>
      <c r="H319" s="546"/>
      <c r="I319" s="546"/>
      <c r="J319" s="546"/>
      <c r="K319" s="546"/>
      <c r="L319" s="546"/>
      <c r="M319" s="546"/>
      <c r="N319" s="546"/>
      <c r="O319" s="546"/>
      <c r="P319" s="546"/>
      <c r="Q319" s="546"/>
      <c r="R319" s="546"/>
      <c r="S319" s="546"/>
      <c r="T319" s="546"/>
      <c r="U319" s="546"/>
      <c r="V319" s="546"/>
      <c r="W319" s="546"/>
      <c r="X319" s="546"/>
      <c r="Y319" s="546"/>
      <c r="Z319" s="546"/>
      <c r="AA319" s="537"/>
      <c r="AB319" s="537"/>
      <c r="AC319" s="537"/>
    </row>
    <row r="320" spans="1:68" ht="27" hidden="1" customHeight="1" x14ac:dyDescent="0.25">
      <c r="A320" s="54" t="s">
        <v>501</v>
      </c>
      <c r="B320" s="54" t="s">
        <v>502</v>
      </c>
      <c r="C320" s="31">
        <v>4301030235</v>
      </c>
      <c r="D320" s="556">
        <v>4607091388381</v>
      </c>
      <c r="E320" s="557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68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8"/>
      <c r="R320" s="548"/>
      <c r="S320" s="548"/>
      <c r="T320" s="549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504</v>
      </c>
      <c r="B321" s="54" t="s">
        <v>505</v>
      </c>
      <c r="C321" s="31">
        <v>4301030232</v>
      </c>
      <c r="D321" s="556">
        <v>4607091388374</v>
      </c>
      <c r="E321" s="557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58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506</v>
      </c>
      <c r="B322" s="54" t="s">
        <v>507</v>
      </c>
      <c r="C322" s="31">
        <v>4301032015</v>
      </c>
      <c r="D322" s="556">
        <v>4607091383102</v>
      </c>
      <c r="E322" s="557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75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509</v>
      </c>
      <c r="B323" s="54" t="s">
        <v>510</v>
      </c>
      <c r="C323" s="31">
        <v>4301030233</v>
      </c>
      <c r="D323" s="556">
        <v>4607091388404</v>
      </c>
      <c r="E323" s="557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65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8"/>
      <c r="B324" s="546"/>
      <c r="C324" s="546"/>
      <c r="D324" s="546"/>
      <c r="E324" s="546"/>
      <c r="F324" s="546"/>
      <c r="G324" s="546"/>
      <c r="H324" s="546"/>
      <c r="I324" s="546"/>
      <c r="J324" s="546"/>
      <c r="K324" s="546"/>
      <c r="L324" s="546"/>
      <c r="M324" s="546"/>
      <c r="N324" s="546"/>
      <c r="O324" s="559"/>
      <c r="P324" s="550" t="s">
        <v>71</v>
      </c>
      <c r="Q324" s="551"/>
      <c r="R324" s="551"/>
      <c r="S324" s="551"/>
      <c r="T324" s="551"/>
      <c r="U324" s="551"/>
      <c r="V324" s="552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hidden="1" x14ac:dyDescent="0.2">
      <c r="A325" s="546"/>
      <c r="B325" s="546"/>
      <c r="C325" s="546"/>
      <c r="D325" s="546"/>
      <c r="E325" s="546"/>
      <c r="F325" s="546"/>
      <c r="G325" s="546"/>
      <c r="H325" s="546"/>
      <c r="I325" s="546"/>
      <c r="J325" s="546"/>
      <c r="K325" s="546"/>
      <c r="L325" s="546"/>
      <c r="M325" s="546"/>
      <c r="N325" s="546"/>
      <c r="O325" s="559"/>
      <c r="P325" s="550" t="s">
        <v>71</v>
      </c>
      <c r="Q325" s="551"/>
      <c r="R325" s="551"/>
      <c r="S325" s="551"/>
      <c r="T325" s="551"/>
      <c r="U325" s="551"/>
      <c r="V325" s="552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hidden="1" customHeight="1" x14ac:dyDescent="0.25">
      <c r="A326" s="553" t="s">
        <v>511</v>
      </c>
      <c r="B326" s="546"/>
      <c r="C326" s="546"/>
      <c r="D326" s="546"/>
      <c r="E326" s="546"/>
      <c r="F326" s="546"/>
      <c r="G326" s="546"/>
      <c r="H326" s="546"/>
      <c r="I326" s="546"/>
      <c r="J326" s="546"/>
      <c r="K326" s="546"/>
      <c r="L326" s="546"/>
      <c r="M326" s="546"/>
      <c r="N326" s="546"/>
      <c r="O326" s="546"/>
      <c r="P326" s="546"/>
      <c r="Q326" s="546"/>
      <c r="R326" s="546"/>
      <c r="S326" s="546"/>
      <c r="T326" s="546"/>
      <c r="U326" s="546"/>
      <c r="V326" s="546"/>
      <c r="W326" s="546"/>
      <c r="X326" s="546"/>
      <c r="Y326" s="546"/>
      <c r="Z326" s="546"/>
      <c r="AA326" s="537"/>
      <c r="AB326" s="537"/>
      <c r="AC326" s="537"/>
    </row>
    <row r="327" spans="1:68" ht="16.5" hidden="1" customHeight="1" x14ac:dyDescent="0.25">
      <c r="A327" s="54" t="s">
        <v>512</v>
      </c>
      <c r="B327" s="54" t="s">
        <v>513</v>
      </c>
      <c r="C327" s="31">
        <v>4301180007</v>
      </c>
      <c r="D327" s="556">
        <v>4680115881808</v>
      </c>
      <c r="E327" s="557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 t="s">
        <v>186</v>
      </c>
      <c r="M327" s="33" t="s">
        <v>514</v>
      </c>
      <c r="N327" s="33"/>
      <c r="O327" s="32">
        <v>730</v>
      </c>
      <c r="P327" s="69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8"/>
      <c r="R327" s="548"/>
      <c r="S327" s="548"/>
      <c r="T327" s="549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516</v>
      </c>
      <c r="B328" s="54" t="s">
        <v>517</v>
      </c>
      <c r="C328" s="31">
        <v>4301180006</v>
      </c>
      <c r="D328" s="556">
        <v>4680115881822</v>
      </c>
      <c r="E328" s="557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 t="s">
        <v>186</v>
      </c>
      <c r="M328" s="33" t="s">
        <v>514</v>
      </c>
      <c r="N328" s="33"/>
      <c r="O328" s="32">
        <v>730</v>
      </c>
      <c r="P328" s="85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 t="s">
        <v>106</v>
      </c>
      <c r="AK328" s="68">
        <v>28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518</v>
      </c>
      <c r="B329" s="54" t="s">
        <v>519</v>
      </c>
      <c r="C329" s="31">
        <v>4301180001</v>
      </c>
      <c r="D329" s="556">
        <v>4680115880016</v>
      </c>
      <c r="E329" s="557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 t="s">
        <v>186</v>
      </c>
      <c r="M329" s="33" t="s">
        <v>514</v>
      </c>
      <c r="N329" s="33"/>
      <c r="O329" s="32">
        <v>730</v>
      </c>
      <c r="P329" s="8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58"/>
      <c r="B330" s="546"/>
      <c r="C330" s="546"/>
      <c r="D330" s="546"/>
      <c r="E330" s="546"/>
      <c r="F330" s="546"/>
      <c r="G330" s="546"/>
      <c r="H330" s="546"/>
      <c r="I330" s="546"/>
      <c r="J330" s="546"/>
      <c r="K330" s="546"/>
      <c r="L330" s="546"/>
      <c r="M330" s="546"/>
      <c r="N330" s="546"/>
      <c r="O330" s="559"/>
      <c r="P330" s="550" t="s">
        <v>71</v>
      </c>
      <c r="Q330" s="551"/>
      <c r="R330" s="551"/>
      <c r="S330" s="551"/>
      <c r="T330" s="551"/>
      <c r="U330" s="551"/>
      <c r="V330" s="552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hidden="1" x14ac:dyDescent="0.2">
      <c r="A331" s="546"/>
      <c r="B331" s="546"/>
      <c r="C331" s="546"/>
      <c r="D331" s="546"/>
      <c r="E331" s="546"/>
      <c r="F331" s="546"/>
      <c r="G331" s="546"/>
      <c r="H331" s="546"/>
      <c r="I331" s="546"/>
      <c r="J331" s="546"/>
      <c r="K331" s="546"/>
      <c r="L331" s="546"/>
      <c r="M331" s="546"/>
      <c r="N331" s="546"/>
      <c r="O331" s="559"/>
      <c r="P331" s="550" t="s">
        <v>71</v>
      </c>
      <c r="Q331" s="551"/>
      <c r="R331" s="551"/>
      <c r="S331" s="551"/>
      <c r="T331" s="551"/>
      <c r="U331" s="551"/>
      <c r="V331" s="552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hidden="1" customHeight="1" x14ac:dyDescent="0.25">
      <c r="A332" s="545" t="s">
        <v>520</v>
      </c>
      <c r="B332" s="546"/>
      <c r="C332" s="546"/>
      <c r="D332" s="546"/>
      <c r="E332" s="546"/>
      <c r="F332" s="546"/>
      <c r="G332" s="546"/>
      <c r="H332" s="546"/>
      <c r="I332" s="546"/>
      <c r="J332" s="546"/>
      <c r="K332" s="546"/>
      <c r="L332" s="546"/>
      <c r="M332" s="546"/>
      <c r="N332" s="546"/>
      <c r="O332" s="546"/>
      <c r="P332" s="546"/>
      <c r="Q332" s="546"/>
      <c r="R332" s="546"/>
      <c r="S332" s="546"/>
      <c r="T332" s="546"/>
      <c r="U332" s="546"/>
      <c r="V332" s="546"/>
      <c r="W332" s="546"/>
      <c r="X332" s="546"/>
      <c r="Y332" s="546"/>
      <c r="Z332" s="546"/>
      <c r="AA332" s="536"/>
      <c r="AB332" s="536"/>
      <c r="AC332" s="536"/>
    </row>
    <row r="333" spans="1:68" ht="14.25" hidden="1" customHeight="1" x14ac:dyDescent="0.25">
      <c r="A333" s="553" t="s">
        <v>73</v>
      </c>
      <c r="B333" s="546"/>
      <c r="C333" s="546"/>
      <c r="D333" s="546"/>
      <c r="E333" s="546"/>
      <c r="F333" s="546"/>
      <c r="G333" s="546"/>
      <c r="H333" s="546"/>
      <c r="I333" s="546"/>
      <c r="J333" s="546"/>
      <c r="K333" s="546"/>
      <c r="L333" s="546"/>
      <c r="M333" s="546"/>
      <c r="N333" s="546"/>
      <c r="O333" s="546"/>
      <c r="P333" s="546"/>
      <c r="Q333" s="546"/>
      <c r="R333" s="546"/>
      <c r="S333" s="546"/>
      <c r="T333" s="546"/>
      <c r="U333" s="546"/>
      <c r="V333" s="546"/>
      <c r="W333" s="546"/>
      <c r="X333" s="546"/>
      <c r="Y333" s="546"/>
      <c r="Z333" s="546"/>
      <c r="AA333" s="537"/>
      <c r="AB333" s="537"/>
      <c r="AC333" s="537"/>
    </row>
    <row r="334" spans="1:68" ht="27" hidden="1" customHeight="1" x14ac:dyDescent="0.25">
      <c r="A334" s="54" t="s">
        <v>521</v>
      </c>
      <c r="B334" s="54" t="s">
        <v>522</v>
      </c>
      <c r="C334" s="31">
        <v>4301051489</v>
      </c>
      <c r="D334" s="556">
        <v>4607091387919</v>
      </c>
      <c r="E334" s="557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8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8"/>
      <c r="R334" s="548"/>
      <c r="S334" s="548"/>
      <c r="T334" s="549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524</v>
      </c>
      <c r="B335" s="54" t="s">
        <v>525</v>
      </c>
      <c r="C335" s="31">
        <v>4301051461</v>
      </c>
      <c r="D335" s="556">
        <v>4680115883604</v>
      </c>
      <c r="E335" s="557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67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527</v>
      </c>
      <c r="B336" s="54" t="s">
        <v>528</v>
      </c>
      <c r="C336" s="31">
        <v>4301051864</v>
      </c>
      <c r="D336" s="556">
        <v>4680115883567</v>
      </c>
      <c r="E336" s="557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6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8"/>
      <c r="B337" s="546"/>
      <c r="C337" s="546"/>
      <c r="D337" s="546"/>
      <c r="E337" s="546"/>
      <c r="F337" s="546"/>
      <c r="G337" s="546"/>
      <c r="H337" s="546"/>
      <c r="I337" s="546"/>
      <c r="J337" s="546"/>
      <c r="K337" s="546"/>
      <c r="L337" s="546"/>
      <c r="M337" s="546"/>
      <c r="N337" s="546"/>
      <c r="O337" s="559"/>
      <c r="P337" s="550" t="s">
        <v>71</v>
      </c>
      <c r="Q337" s="551"/>
      <c r="R337" s="551"/>
      <c r="S337" s="551"/>
      <c r="T337" s="551"/>
      <c r="U337" s="551"/>
      <c r="V337" s="552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hidden="1" x14ac:dyDescent="0.2">
      <c r="A338" s="546"/>
      <c r="B338" s="546"/>
      <c r="C338" s="546"/>
      <c r="D338" s="546"/>
      <c r="E338" s="546"/>
      <c r="F338" s="546"/>
      <c r="G338" s="546"/>
      <c r="H338" s="546"/>
      <c r="I338" s="546"/>
      <c r="J338" s="546"/>
      <c r="K338" s="546"/>
      <c r="L338" s="546"/>
      <c r="M338" s="546"/>
      <c r="N338" s="546"/>
      <c r="O338" s="559"/>
      <c r="P338" s="550" t="s">
        <v>71</v>
      </c>
      <c r="Q338" s="551"/>
      <c r="R338" s="551"/>
      <c r="S338" s="551"/>
      <c r="T338" s="551"/>
      <c r="U338" s="551"/>
      <c r="V338" s="552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hidden="1" customHeight="1" x14ac:dyDescent="0.2">
      <c r="A339" s="645" t="s">
        <v>530</v>
      </c>
      <c r="B339" s="646"/>
      <c r="C339" s="646"/>
      <c r="D339" s="646"/>
      <c r="E339" s="646"/>
      <c r="F339" s="646"/>
      <c r="G339" s="646"/>
      <c r="H339" s="646"/>
      <c r="I339" s="646"/>
      <c r="J339" s="646"/>
      <c r="K339" s="646"/>
      <c r="L339" s="646"/>
      <c r="M339" s="646"/>
      <c r="N339" s="646"/>
      <c r="O339" s="646"/>
      <c r="P339" s="646"/>
      <c r="Q339" s="646"/>
      <c r="R339" s="646"/>
      <c r="S339" s="646"/>
      <c r="T339" s="646"/>
      <c r="U339" s="646"/>
      <c r="V339" s="646"/>
      <c r="W339" s="646"/>
      <c r="X339" s="646"/>
      <c r="Y339" s="646"/>
      <c r="Z339" s="646"/>
      <c r="AA339" s="48"/>
      <c r="AB339" s="48"/>
      <c r="AC339" s="48"/>
    </row>
    <row r="340" spans="1:68" ht="16.5" hidden="1" customHeight="1" x14ac:dyDescent="0.25">
      <c r="A340" s="545" t="s">
        <v>531</v>
      </c>
      <c r="B340" s="546"/>
      <c r="C340" s="546"/>
      <c r="D340" s="546"/>
      <c r="E340" s="546"/>
      <c r="F340" s="546"/>
      <c r="G340" s="546"/>
      <c r="H340" s="546"/>
      <c r="I340" s="546"/>
      <c r="J340" s="546"/>
      <c r="K340" s="546"/>
      <c r="L340" s="546"/>
      <c r="M340" s="546"/>
      <c r="N340" s="546"/>
      <c r="O340" s="546"/>
      <c r="P340" s="546"/>
      <c r="Q340" s="546"/>
      <c r="R340" s="546"/>
      <c r="S340" s="546"/>
      <c r="T340" s="546"/>
      <c r="U340" s="546"/>
      <c r="V340" s="546"/>
      <c r="W340" s="546"/>
      <c r="X340" s="546"/>
      <c r="Y340" s="546"/>
      <c r="Z340" s="546"/>
      <c r="AA340" s="536"/>
      <c r="AB340" s="536"/>
      <c r="AC340" s="536"/>
    </row>
    <row r="341" spans="1:68" ht="14.25" hidden="1" customHeight="1" x14ac:dyDescent="0.25">
      <c r="A341" s="553" t="s">
        <v>99</v>
      </c>
      <c r="B341" s="546"/>
      <c r="C341" s="546"/>
      <c r="D341" s="546"/>
      <c r="E341" s="546"/>
      <c r="F341" s="546"/>
      <c r="G341" s="546"/>
      <c r="H341" s="546"/>
      <c r="I341" s="546"/>
      <c r="J341" s="546"/>
      <c r="K341" s="546"/>
      <c r="L341" s="546"/>
      <c r="M341" s="546"/>
      <c r="N341" s="546"/>
      <c r="O341" s="546"/>
      <c r="P341" s="546"/>
      <c r="Q341" s="546"/>
      <c r="R341" s="546"/>
      <c r="S341" s="546"/>
      <c r="T341" s="546"/>
      <c r="U341" s="546"/>
      <c r="V341" s="546"/>
      <c r="W341" s="546"/>
      <c r="X341" s="546"/>
      <c r="Y341" s="546"/>
      <c r="Z341" s="546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56">
        <v>4680115884847</v>
      </c>
      <c r="E342" s="557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6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8"/>
      <c r="R342" s="548"/>
      <c r="S342" s="548"/>
      <c r="T342" s="549"/>
      <c r="U342" s="34"/>
      <c r="V342" s="34"/>
      <c r="W342" s="35" t="s">
        <v>69</v>
      </c>
      <c r="X342" s="541">
        <v>4000</v>
      </c>
      <c r="Y342" s="542">
        <f t="shared" ref="Y342:Y348" si="31">IFERROR(IF(X342="",0,CEILING((X342/$H342),1)*$H342),"")</f>
        <v>4005</v>
      </c>
      <c r="Z342" s="36">
        <f>IFERROR(IF(Y342=0,"",ROUNDUP(Y342/H342,0)*0.02175),"")</f>
        <v>5.8072499999999998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4125.333333333333</v>
      </c>
      <c r="BN342" s="64">
        <f t="shared" ref="BN342:BN348" si="33">IFERROR(Y342*I342/H342,"0")</f>
        <v>4130.4900000000007</v>
      </c>
      <c r="BO342" s="64">
        <f t="shared" ref="BO342:BO348" si="34">IFERROR(1/J342*(X342/H342),"0")</f>
        <v>5.5555555555555554</v>
      </c>
      <c r="BP342" s="64">
        <f t="shared" ref="BP342:BP348" si="35">IFERROR(1/J342*(Y342/H342),"0")</f>
        <v>5.5625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56">
        <v>4680115884854</v>
      </c>
      <c r="E343" s="557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68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2500</v>
      </c>
      <c r="Y343" s="542">
        <f t="shared" si="31"/>
        <v>2505</v>
      </c>
      <c r="Z343" s="36">
        <f>IFERROR(IF(Y343=0,"",ROUNDUP(Y343/H343,0)*0.02175),"")</f>
        <v>3.6322499999999995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2578.3333333333335</v>
      </c>
      <c r="BN343" s="64">
        <f t="shared" si="33"/>
        <v>2583.4899999999998</v>
      </c>
      <c r="BO343" s="64">
        <f t="shared" si="34"/>
        <v>3.4722222222222219</v>
      </c>
      <c r="BP343" s="64">
        <f t="shared" si="35"/>
        <v>3.4791666666666665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56">
        <v>4680115884830</v>
      </c>
      <c r="E344" s="557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6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3000</v>
      </c>
      <c r="Y344" s="542">
        <f t="shared" si="31"/>
        <v>3000</v>
      </c>
      <c r="Z344" s="36">
        <f>IFERROR(IF(Y344=0,"",ROUNDUP(Y344/H344,0)*0.02175),"")</f>
        <v>4.3499999999999996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3094</v>
      </c>
      <c r="BN344" s="64">
        <f t="shared" si="33"/>
        <v>3094</v>
      </c>
      <c r="BO344" s="64">
        <f t="shared" si="34"/>
        <v>4.1666666666666661</v>
      </c>
      <c r="BP344" s="64">
        <f t="shared" si="35"/>
        <v>4.1666666666666661</v>
      </c>
    </row>
    <row r="345" spans="1:68" ht="27" hidden="1" customHeight="1" x14ac:dyDescent="0.25">
      <c r="A345" s="54" t="s">
        <v>541</v>
      </c>
      <c r="B345" s="54" t="s">
        <v>542</v>
      </c>
      <c r="C345" s="31">
        <v>4301012215</v>
      </c>
      <c r="D345" s="556">
        <v>4680115887046</v>
      </c>
      <c r="E345" s="557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68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544</v>
      </c>
      <c r="B346" s="54" t="s">
        <v>545</v>
      </c>
      <c r="C346" s="31">
        <v>4301011433</v>
      </c>
      <c r="D346" s="556">
        <v>4680115882638</v>
      </c>
      <c r="E346" s="557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58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547</v>
      </c>
      <c r="B347" s="54" t="s">
        <v>548</v>
      </c>
      <c r="C347" s="31">
        <v>4301011952</v>
      </c>
      <c r="D347" s="556">
        <v>4680115884922</v>
      </c>
      <c r="E347" s="557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6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549</v>
      </c>
      <c r="B348" s="54" t="s">
        <v>550</v>
      </c>
      <c r="C348" s="31">
        <v>4301011868</v>
      </c>
      <c r="D348" s="556">
        <v>4680115884861</v>
      </c>
      <c r="E348" s="557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65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8"/>
      <c r="B349" s="546"/>
      <c r="C349" s="546"/>
      <c r="D349" s="546"/>
      <c r="E349" s="546"/>
      <c r="F349" s="546"/>
      <c r="G349" s="546"/>
      <c r="H349" s="546"/>
      <c r="I349" s="546"/>
      <c r="J349" s="546"/>
      <c r="K349" s="546"/>
      <c r="L349" s="546"/>
      <c r="M349" s="546"/>
      <c r="N349" s="546"/>
      <c r="O349" s="559"/>
      <c r="P349" s="550" t="s">
        <v>71</v>
      </c>
      <c r="Q349" s="551"/>
      <c r="R349" s="551"/>
      <c r="S349" s="551"/>
      <c r="T349" s="551"/>
      <c r="U349" s="551"/>
      <c r="V349" s="552"/>
      <c r="W349" s="37" t="s">
        <v>72</v>
      </c>
      <c r="X349" s="543">
        <f>IFERROR(X342/H342,"0")+IFERROR(X343/H343,"0")+IFERROR(X344/H344,"0")+IFERROR(X345/H345,"0")+IFERROR(X346/H346,"0")+IFERROR(X347/H347,"0")+IFERROR(X348/H348,"0")</f>
        <v>633.33333333333337</v>
      </c>
      <c r="Y349" s="543">
        <f>IFERROR(Y342/H342,"0")+IFERROR(Y343/H343,"0")+IFERROR(Y344/H344,"0")+IFERROR(Y345/H345,"0")+IFERROR(Y346/H346,"0")+IFERROR(Y347/H347,"0")+IFERROR(Y348/H348,"0")</f>
        <v>634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13.789499999999999</v>
      </c>
      <c r="AA349" s="544"/>
      <c r="AB349" s="544"/>
      <c r="AC349" s="544"/>
    </row>
    <row r="350" spans="1:68" x14ac:dyDescent="0.2">
      <c r="A350" s="546"/>
      <c r="B350" s="546"/>
      <c r="C350" s="546"/>
      <c r="D350" s="546"/>
      <c r="E350" s="546"/>
      <c r="F350" s="546"/>
      <c r="G350" s="546"/>
      <c r="H350" s="546"/>
      <c r="I350" s="546"/>
      <c r="J350" s="546"/>
      <c r="K350" s="546"/>
      <c r="L350" s="546"/>
      <c r="M350" s="546"/>
      <c r="N350" s="546"/>
      <c r="O350" s="559"/>
      <c r="P350" s="550" t="s">
        <v>71</v>
      </c>
      <c r="Q350" s="551"/>
      <c r="R350" s="551"/>
      <c r="S350" s="551"/>
      <c r="T350" s="551"/>
      <c r="U350" s="551"/>
      <c r="V350" s="552"/>
      <c r="W350" s="37" t="s">
        <v>69</v>
      </c>
      <c r="X350" s="543">
        <f>IFERROR(SUM(X342:X348),"0")</f>
        <v>9500</v>
      </c>
      <c r="Y350" s="543">
        <f>IFERROR(SUM(Y342:Y348),"0")</f>
        <v>9510</v>
      </c>
      <c r="Z350" s="37"/>
      <c r="AA350" s="544"/>
      <c r="AB350" s="544"/>
      <c r="AC350" s="544"/>
    </row>
    <row r="351" spans="1:68" ht="14.25" hidden="1" customHeight="1" x14ac:dyDescent="0.25">
      <c r="A351" s="553" t="s">
        <v>135</v>
      </c>
      <c r="B351" s="546"/>
      <c r="C351" s="546"/>
      <c r="D351" s="546"/>
      <c r="E351" s="546"/>
      <c r="F351" s="546"/>
      <c r="G351" s="546"/>
      <c r="H351" s="546"/>
      <c r="I351" s="546"/>
      <c r="J351" s="546"/>
      <c r="K351" s="546"/>
      <c r="L351" s="546"/>
      <c r="M351" s="546"/>
      <c r="N351" s="546"/>
      <c r="O351" s="546"/>
      <c r="P351" s="546"/>
      <c r="Q351" s="546"/>
      <c r="R351" s="546"/>
      <c r="S351" s="546"/>
      <c r="T351" s="546"/>
      <c r="U351" s="546"/>
      <c r="V351" s="546"/>
      <c r="W351" s="546"/>
      <c r="X351" s="546"/>
      <c r="Y351" s="546"/>
      <c r="Z351" s="546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56">
        <v>4607091383980</v>
      </c>
      <c r="E352" s="557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8"/>
      <c r="R352" s="548"/>
      <c r="S352" s="548"/>
      <c r="T352" s="549"/>
      <c r="U352" s="34"/>
      <c r="V352" s="34"/>
      <c r="W352" s="35" t="s">
        <v>69</v>
      </c>
      <c r="X352" s="541">
        <v>3700</v>
      </c>
      <c r="Y352" s="542">
        <f>IFERROR(IF(X352="",0,CEILING((X352/$H352),1)*$H352),"")</f>
        <v>3705</v>
      </c>
      <c r="Z352" s="36">
        <f>IFERROR(IF(Y352=0,"",ROUNDUP(Y352/H352,0)*0.02175),"")</f>
        <v>5.3722499999999993</v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3815.9333333333334</v>
      </c>
      <c r="BN352" s="64">
        <f>IFERROR(Y352*I352/H352,"0")</f>
        <v>3821.0900000000006</v>
      </c>
      <c r="BO352" s="64">
        <f>IFERROR(1/J352*(X352/H352),"0")</f>
        <v>5.1388888888888884</v>
      </c>
      <c r="BP352" s="64">
        <f>IFERROR(1/J352*(Y352/H352),"0")</f>
        <v>5.145833333333333</v>
      </c>
    </row>
    <row r="353" spans="1:68" ht="27" hidden="1" customHeight="1" x14ac:dyDescent="0.25">
      <c r="A353" s="54" t="s">
        <v>554</v>
      </c>
      <c r="B353" s="54" t="s">
        <v>555</v>
      </c>
      <c r="C353" s="31">
        <v>4301020179</v>
      </c>
      <c r="D353" s="556">
        <v>4607091384178</v>
      </c>
      <c r="E353" s="557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79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8"/>
      <c r="B354" s="546"/>
      <c r="C354" s="546"/>
      <c r="D354" s="546"/>
      <c r="E354" s="546"/>
      <c r="F354" s="546"/>
      <c r="G354" s="546"/>
      <c r="H354" s="546"/>
      <c r="I354" s="546"/>
      <c r="J354" s="546"/>
      <c r="K354" s="546"/>
      <c r="L354" s="546"/>
      <c r="M354" s="546"/>
      <c r="N354" s="546"/>
      <c r="O354" s="559"/>
      <c r="P354" s="550" t="s">
        <v>71</v>
      </c>
      <c r="Q354" s="551"/>
      <c r="R354" s="551"/>
      <c r="S354" s="551"/>
      <c r="T354" s="551"/>
      <c r="U354" s="551"/>
      <c r="V354" s="552"/>
      <c r="W354" s="37" t="s">
        <v>72</v>
      </c>
      <c r="X354" s="543">
        <f>IFERROR(X352/H352,"0")+IFERROR(X353/H353,"0")</f>
        <v>246.66666666666666</v>
      </c>
      <c r="Y354" s="543">
        <f>IFERROR(Y352/H352,"0")+IFERROR(Y353/H353,"0")</f>
        <v>247</v>
      </c>
      <c r="Z354" s="543">
        <f>IFERROR(IF(Z352="",0,Z352),"0")+IFERROR(IF(Z353="",0,Z353),"0")</f>
        <v>5.3722499999999993</v>
      </c>
      <c r="AA354" s="544"/>
      <c r="AB354" s="544"/>
      <c r="AC354" s="544"/>
    </row>
    <row r="355" spans="1:68" x14ac:dyDescent="0.2">
      <c r="A355" s="546"/>
      <c r="B355" s="546"/>
      <c r="C355" s="546"/>
      <c r="D355" s="546"/>
      <c r="E355" s="546"/>
      <c r="F355" s="546"/>
      <c r="G355" s="546"/>
      <c r="H355" s="546"/>
      <c r="I355" s="546"/>
      <c r="J355" s="546"/>
      <c r="K355" s="546"/>
      <c r="L355" s="546"/>
      <c r="M355" s="546"/>
      <c r="N355" s="546"/>
      <c r="O355" s="559"/>
      <c r="P355" s="550" t="s">
        <v>71</v>
      </c>
      <c r="Q355" s="551"/>
      <c r="R355" s="551"/>
      <c r="S355" s="551"/>
      <c r="T355" s="551"/>
      <c r="U355" s="551"/>
      <c r="V355" s="552"/>
      <c r="W355" s="37" t="s">
        <v>69</v>
      </c>
      <c r="X355" s="543">
        <f>IFERROR(SUM(X352:X353),"0")</f>
        <v>3700</v>
      </c>
      <c r="Y355" s="543">
        <f>IFERROR(SUM(Y352:Y353),"0")</f>
        <v>3705</v>
      </c>
      <c r="Z355" s="37"/>
      <c r="AA355" s="544"/>
      <c r="AB355" s="544"/>
      <c r="AC355" s="544"/>
    </row>
    <row r="356" spans="1:68" ht="14.25" hidden="1" customHeight="1" x14ac:dyDescent="0.25">
      <c r="A356" s="553" t="s">
        <v>73</v>
      </c>
      <c r="B356" s="546"/>
      <c r="C356" s="546"/>
      <c r="D356" s="546"/>
      <c r="E356" s="546"/>
      <c r="F356" s="546"/>
      <c r="G356" s="546"/>
      <c r="H356" s="546"/>
      <c r="I356" s="546"/>
      <c r="J356" s="546"/>
      <c r="K356" s="546"/>
      <c r="L356" s="546"/>
      <c r="M356" s="546"/>
      <c r="N356" s="546"/>
      <c r="O356" s="546"/>
      <c r="P356" s="546"/>
      <c r="Q356" s="546"/>
      <c r="R356" s="546"/>
      <c r="S356" s="546"/>
      <c r="T356" s="546"/>
      <c r="U356" s="546"/>
      <c r="V356" s="546"/>
      <c r="W356" s="546"/>
      <c r="X356" s="546"/>
      <c r="Y356" s="546"/>
      <c r="Z356" s="546"/>
      <c r="AA356" s="537"/>
      <c r="AB356" s="537"/>
      <c r="AC356" s="537"/>
    </row>
    <row r="357" spans="1:68" ht="27" hidden="1" customHeight="1" x14ac:dyDescent="0.25">
      <c r="A357" s="54" t="s">
        <v>557</v>
      </c>
      <c r="B357" s="54" t="s">
        <v>558</v>
      </c>
      <c r="C357" s="31">
        <v>4301051903</v>
      </c>
      <c r="D357" s="556">
        <v>4607091383928</v>
      </c>
      <c r="E357" s="557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61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8"/>
      <c r="R357" s="548"/>
      <c r="S357" s="548"/>
      <c r="T357" s="549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560</v>
      </c>
      <c r="B358" s="54" t="s">
        <v>561</v>
      </c>
      <c r="C358" s="31">
        <v>4301051897</v>
      </c>
      <c r="D358" s="556">
        <v>4607091384260</v>
      </c>
      <c r="E358" s="557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77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558"/>
      <c r="B359" s="546"/>
      <c r="C359" s="546"/>
      <c r="D359" s="546"/>
      <c r="E359" s="546"/>
      <c r="F359" s="546"/>
      <c r="G359" s="546"/>
      <c r="H359" s="546"/>
      <c r="I359" s="546"/>
      <c r="J359" s="546"/>
      <c r="K359" s="546"/>
      <c r="L359" s="546"/>
      <c r="M359" s="546"/>
      <c r="N359" s="546"/>
      <c r="O359" s="559"/>
      <c r="P359" s="550" t="s">
        <v>71</v>
      </c>
      <c r="Q359" s="551"/>
      <c r="R359" s="551"/>
      <c r="S359" s="551"/>
      <c r="T359" s="551"/>
      <c r="U359" s="551"/>
      <c r="V359" s="552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hidden="1" x14ac:dyDescent="0.2">
      <c r="A360" s="546"/>
      <c r="B360" s="546"/>
      <c r="C360" s="546"/>
      <c r="D360" s="546"/>
      <c r="E360" s="546"/>
      <c r="F360" s="546"/>
      <c r="G360" s="546"/>
      <c r="H360" s="546"/>
      <c r="I360" s="546"/>
      <c r="J360" s="546"/>
      <c r="K360" s="546"/>
      <c r="L360" s="546"/>
      <c r="M360" s="546"/>
      <c r="N360" s="546"/>
      <c r="O360" s="559"/>
      <c r="P360" s="550" t="s">
        <v>71</v>
      </c>
      <c r="Q360" s="551"/>
      <c r="R360" s="551"/>
      <c r="S360" s="551"/>
      <c r="T360" s="551"/>
      <c r="U360" s="551"/>
      <c r="V360" s="552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hidden="1" customHeight="1" x14ac:dyDescent="0.25">
      <c r="A361" s="553" t="s">
        <v>163</v>
      </c>
      <c r="B361" s="546"/>
      <c r="C361" s="546"/>
      <c r="D361" s="546"/>
      <c r="E361" s="546"/>
      <c r="F361" s="546"/>
      <c r="G361" s="546"/>
      <c r="H361" s="546"/>
      <c r="I361" s="546"/>
      <c r="J361" s="546"/>
      <c r="K361" s="546"/>
      <c r="L361" s="546"/>
      <c r="M361" s="546"/>
      <c r="N361" s="546"/>
      <c r="O361" s="546"/>
      <c r="P361" s="546"/>
      <c r="Q361" s="546"/>
      <c r="R361" s="546"/>
      <c r="S361" s="546"/>
      <c r="T361" s="546"/>
      <c r="U361" s="546"/>
      <c r="V361" s="546"/>
      <c r="W361" s="546"/>
      <c r="X361" s="546"/>
      <c r="Y361" s="546"/>
      <c r="Z361" s="546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56">
        <v>4607091384673</v>
      </c>
      <c r="E362" s="557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6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8"/>
      <c r="R362" s="548"/>
      <c r="S362" s="548"/>
      <c r="T362" s="549"/>
      <c r="U362" s="34"/>
      <c r="V362" s="34"/>
      <c r="W362" s="35" t="s">
        <v>69</v>
      </c>
      <c r="X362" s="541">
        <v>150</v>
      </c>
      <c r="Y362" s="542">
        <f>IFERROR(IF(X362="",0,CEILING((X362/$H362),1)*$H362),"")</f>
        <v>153</v>
      </c>
      <c r="Z362" s="36">
        <f>IFERROR(IF(Y362=0,"",ROUNDUP(Y362/H362,0)*0.01898),"")</f>
        <v>0.32266</v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158.23333333333332</v>
      </c>
      <c r="BN362" s="64">
        <f>IFERROR(Y362*I362/H362,"0")</f>
        <v>161.398</v>
      </c>
      <c r="BO362" s="64">
        <f>IFERROR(1/J362*(X362/H362),"0")</f>
        <v>0.26041666666666669</v>
      </c>
      <c r="BP362" s="64">
        <f>IFERROR(1/J362*(Y362/H362),"0")</f>
        <v>0.265625</v>
      </c>
    </row>
    <row r="363" spans="1:68" x14ac:dyDescent="0.2">
      <c r="A363" s="558"/>
      <c r="B363" s="546"/>
      <c r="C363" s="546"/>
      <c r="D363" s="546"/>
      <c r="E363" s="546"/>
      <c r="F363" s="546"/>
      <c r="G363" s="546"/>
      <c r="H363" s="546"/>
      <c r="I363" s="546"/>
      <c r="J363" s="546"/>
      <c r="K363" s="546"/>
      <c r="L363" s="546"/>
      <c r="M363" s="546"/>
      <c r="N363" s="546"/>
      <c r="O363" s="559"/>
      <c r="P363" s="550" t="s">
        <v>71</v>
      </c>
      <c r="Q363" s="551"/>
      <c r="R363" s="551"/>
      <c r="S363" s="551"/>
      <c r="T363" s="551"/>
      <c r="U363" s="551"/>
      <c r="V363" s="552"/>
      <c r="W363" s="37" t="s">
        <v>72</v>
      </c>
      <c r="X363" s="543">
        <f>IFERROR(X362/H362,"0")</f>
        <v>16.666666666666668</v>
      </c>
      <c r="Y363" s="543">
        <f>IFERROR(Y362/H362,"0")</f>
        <v>17</v>
      </c>
      <c r="Z363" s="543">
        <f>IFERROR(IF(Z362="",0,Z362),"0")</f>
        <v>0.32266</v>
      </c>
      <c r="AA363" s="544"/>
      <c r="AB363" s="544"/>
      <c r="AC363" s="544"/>
    </row>
    <row r="364" spans="1:68" x14ac:dyDescent="0.2">
      <c r="A364" s="546"/>
      <c r="B364" s="546"/>
      <c r="C364" s="546"/>
      <c r="D364" s="546"/>
      <c r="E364" s="546"/>
      <c r="F364" s="546"/>
      <c r="G364" s="546"/>
      <c r="H364" s="546"/>
      <c r="I364" s="546"/>
      <c r="J364" s="546"/>
      <c r="K364" s="546"/>
      <c r="L364" s="546"/>
      <c r="M364" s="546"/>
      <c r="N364" s="546"/>
      <c r="O364" s="559"/>
      <c r="P364" s="550" t="s">
        <v>71</v>
      </c>
      <c r="Q364" s="551"/>
      <c r="R364" s="551"/>
      <c r="S364" s="551"/>
      <c r="T364" s="551"/>
      <c r="U364" s="551"/>
      <c r="V364" s="552"/>
      <c r="W364" s="37" t="s">
        <v>69</v>
      </c>
      <c r="X364" s="543">
        <f>IFERROR(SUM(X362:X362),"0")</f>
        <v>150</v>
      </c>
      <c r="Y364" s="543">
        <f>IFERROR(SUM(Y362:Y362),"0")</f>
        <v>153</v>
      </c>
      <c r="Z364" s="37"/>
      <c r="AA364" s="544"/>
      <c r="AB364" s="544"/>
      <c r="AC364" s="544"/>
    </row>
    <row r="365" spans="1:68" ht="16.5" hidden="1" customHeight="1" x14ac:dyDescent="0.25">
      <c r="A365" s="545" t="s">
        <v>566</v>
      </c>
      <c r="B365" s="546"/>
      <c r="C365" s="546"/>
      <c r="D365" s="546"/>
      <c r="E365" s="546"/>
      <c r="F365" s="546"/>
      <c r="G365" s="546"/>
      <c r="H365" s="546"/>
      <c r="I365" s="546"/>
      <c r="J365" s="546"/>
      <c r="K365" s="546"/>
      <c r="L365" s="546"/>
      <c r="M365" s="546"/>
      <c r="N365" s="546"/>
      <c r="O365" s="546"/>
      <c r="P365" s="546"/>
      <c r="Q365" s="546"/>
      <c r="R365" s="546"/>
      <c r="S365" s="546"/>
      <c r="T365" s="546"/>
      <c r="U365" s="546"/>
      <c r="V365" s="546"/>
      <c r="W365" s="546"/>
      <c r="X365" s="546"/>
      <c r="Y365" s="546"/>
      <c r="Z365" s="546"/>
      <c r="AA365" s="536"/>
      <c r="AB365" s="536"/>
      <c r="AC365" s="536"/>
    </row>
    <row r="366" spans="1:68" ht="14.25" hidden="1" customHeight="1" x14ac:dyDescent="0.25">
      <c r="A366" s="553" t="s">
        <v>99</v>
      </c>
      <c r="B366" s="546"/>
      <c r="C366" s="546"/>
      <c r="D366" s="546"/>
      <c r="E366" s="546"/>
      <c r="F366" s="546"/>
      <c r="G366" s="546"/>
      <c r="H366" s="546"/>
      <c r="I366" s="546"/>
      <c r="J366" s="546"/>
      <c r="K366" s="546"/>
      <c r="L366" s="546"/>
      <c r="M366" s="546"/>
      <c r="N366" s="546"/>
      <c r="O366" s="546"/>
      <c r="P366" s="546"/>
      <c r="Q366" s="546"/>
      <c r="R366" s="546"/>
      <c r="S366" s="546"/>
      <c r="T366" s="546"/>
      <c r="U366" s="546"/>
      <c r="V366" s="546"/>
      <c r="W366" s="546"/>
      <c r="X366" s="546"/>
      <c r="Y366" s="546"/>
      <c r="Z366" s="546"/>
      <c r="AA366" s="537"/>
      <c r="AB366" s="537"/>
      <c r="AC366" s="537"/>
    </row>
    <row r="367" spans="1:68" ht="37.5" hidden="1" customHeight="1" x14ac:dyDescent="0.25">
      <c r="A367" s="54" t="s">
        <v>567</v>
      </c>
      <c r="B367" s="54" t="s">
        <v>568</v>
      </c>
      <c r="C367" s="31">
        <v>4301011875</v>
      </c>
      <c r="D367" s="556">
        <v>4680115884885</v>
      </c>
      <c r="E367" s="557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60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8"/>
      <c r="R367" s="548"/>
      <c r="S367" s="548"/>
      <c r="T367" s="549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570</v>
      </c>
      <c r="B368" s="54" t="s">
        <v>571</v>
      </c>
      <c r="C368" s="31">
        <v>4301011871</v>
      </c>
      <c r="D368" s="556">
        <v>4680115884908</v>
      </c>
      <c r="E368" s="557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57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8"/>
      <c r="B369" s="546"/>
      <c r="C369" s="546"/>
      <c r="D369" s="546"/>
      <c r="E369" s="546"/>
      <c r="F369" s="546"/>
      <c r="G369" s="546"/>
      <c r="H369" s="546"/>
      <c r="I369" s="546"/>
      <c r="J369" s="546"/>
      <c r="K369" s="546"/>
      <c r="L369" s="546"/>
      <c r="M369" s="546"/>
      <c r="N369" s="546"/>
      <c r="O369" s="559"/>
      <c r="P369" s="550" t="s">
        <v>71</v>
      </c>
      <c r="Q369" s="551"/>
      <c r="R369" s="551"/>
      <c r="S369" s="551"/>
      <c r="T369" s="551"/>
      <c r="U369" s="551"/>
      <c r="V369" s="552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hidden="1" x14ac:dyDescent="0.2">
      <c r="A370" s="546"/>
      <c r="B370" s="546"/>
      <c r="C370" s="546"/>
      <c r="D370" s="546"/>
      <c r="E370" s="546"/>
      <c r="F370" s="546"/>
      <c r="G370" s="546"/>
      <c r="H370" s="546"/>
      <c r="I370" s="546"/>
      <c r="J370" s="546"/>
      <c r="K370" s="546"/>
      <c r="L370" s="546"/>
      <c r="M370" s="546"/>
      <c r="N370" s="546"/>
      <c r="O370" s="559"/>
      <c r="P370" s="550" t="s">
        <v>71</v>
      </c>
      <c r="Q370" s="551"/>
      <c r="R370" s="551"/>
      <c r="S370" s="551"/>
      <c r="T370" s="551"/>
      <c r="U370" s="551"/>
      <c r="V370" s="552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hidden="1" customHeight="1" x14ac:dyDescent="0.25">
      <c r="A371" s="553" t="s">
        <v>64</v>
      </c>
      <c r="B371" s="546"/>
      <c r="C371" s="546"/>
      <c r="D371" s="546"/>
      <c r="E371" s="546"/>
      <c r="F371" s="546"/>
      <c r="G371" s="546"/>
      <c r="H371" s="546"/>
      <c r="I371" s="546"/>
      <c r="J371" s="546"/>
      <c r="K371" s="546"/>
      <c r="L371" s="546"/>
      <c r="M371" s="546"/>
      <c r="N371" s="546"/>
      <c r="O371" s="546"/>
      <c r="P371" s="546"/>
      <c r="Q371" s="546"/>
      <c r="R371" s="546"/>
      <c r="S371" s="546"/>
      <c r="T371" s="546"/>
      <c r="U371" s="546"/>
      <c r="V371" s="546"/>
      <c r="W371" s="546"/>
      <c r="X371" s="546"/>
      <c r="Y371" s="546"/>
      <c r="Z371" s="546"/>
      <c r="AA371" s="537"/>
      <c r="AB371" s="537"/>
      <c r="AC371" s="537"/>
    </row>
    <row r="372" spans="1:68" ht="27" hidden="1" customHeight="1" x14ac:dyDescent="0.25">
      <c r="A372" s="54" t="s">
        <v>572</v>
      </c>
      <c r="B372" s="54" t="s">
        <v>573</v>
      </c>
      <c r="C372" s="31">
        <v>4301031303</v>
      </c>
      <c r="D372" s="556">
        <v>4607091384802</v>
      </c>
      <c r="E372" s="557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75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8"/>
      <c r="R372" s="548"/>
      <c r="S372" s="548"/>
      <c r="T372" s="549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572</v>
      </c>
      <c r="B373" s="54" t="s">
        <v>575</v>
      </c>
      <c r="C373" s="31">
        <v>4301031457</v>
      </c>
      <c r="D373" s="556">
        <v>4607091384802</v>
      </c>
      <c r="E373" s="557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5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8"/>
      <c r="B374" s="546"/>
      <c r="C374" s="546"/>
      <c r="D374" s="546"/>
      <c r="E374" s="546"/>
      <c r="F374" s="546"/>
      <c r="G374" s="546"/>
      <c r="H374" s="546"/>
      <c r="I374" s="546"/>
      <c r="J374" s="546"/>
      <c r="K374" s="546"/>
      <c r="L374" s="546"/>
      <c r="M374" s="546"/>
      <c r="N374" s="546"/>
      <c r="O374" s="559"/>
      <c r="P374" s="550" t="s">
        <v>71</v>
      </c>
      <c r="Q374" s="551"/>
      <c r="R374" s="551"/>
      <c r="S374" s="551"/>
      <c r="T374" s="551"/>
      <c r="U374" s="551"/>
      <c r="V374" s="552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hidden="1" x14ac:dyDescent="0.2">
      <c r="A375" s="546"/>
      <c r="B375" s="546"/>
      <c r="C375" s="546"/>
      <c r="D375" s="546"/>
      <c r="E375" s="546"/>
      <c r="F375" s="546"/>
      <c r="G375" s="546"/>
      <c r="H375" s="546"/>
      <c r="I375" s="546"/>
      <c r="J375" s="546"/>
      <c r="K375" s="546"/>
      <c r="L375" s="546"/>
      <c r="M375" s="546"/>
      <c r="N375" s="546"/>
      <c r="O375" s="559"/>
      <c r="P375" s="550" t="s">
        <v>71</v>
      </c>
      <c r="Q375" s="551"/>
      <c r="R375" s="551"/>
      <c r="S375" s="551"/>
      <c r="T375" s="551"/>
      <c r="U375" s="551"/>
      <c r="V375" s="552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hidden="1" customHeight="1" x14ac:dyDescent="0.25">
      <c r="A376" s="553" t="s">
        <v>73</v>
      </c>
      <c r="B376" s="546"/>
      <c r="C376" s="546"/>
      <c r="D376" s="546"/>
      <c r="E376" s="546"/>
      <c r="F376" s="546"/>
      <c r="G376" s="546"/>
      <c r="H376" s="546"/>
      <c r="I376" s="546"/>
      <c r="J376" s="546"/>
      <c r="K376" s="546"/>
      <c r="L376" s="546"/>
      <c r="M376" s="546"/>
      <c r="N376" s="546"/>
      <c r="O376" s="546"/>
      <c r="P376" s="546"/>
      <c r="Q376" s="546"/>
      <c r="R376" s="546"/>
      <c r="S376" s="546"/>
      <c r="T376" s="546"/>
      <c r="U376" s="546"/>
      <c r="V376" s="546"/>
      <c r="W376" s="546"/>
      <c r="X376" s="546"/>
      <c r="Y376" s="546"/>
      <c r="Z376" s="546"/>
      <c r="AA376" s="537"/>
      <c r="AB376" s="537"/>
      <c r="AC376" s="537"/>
    </row>
    <row r="377" spans="1:68" ht="27" hidden="1" customHeight="1" x14ac:dyDescent="0.25">
      <c r="A377" s="54" t="s">
        <v>577</v>
      </c>
      <c r="B377" s="54" t="s">
        <v>578</v>
      </c>
      <c r="C377" s="31">
        <v>4301051899</v>
      </c>
      <c r="D377" s="556">
        <v>4607091384246</v>
      </c>
      <c r="E377" s="557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1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8"/>
      <c r="R377" s="548"/>
      <c r="S377" s="548"/>
      <c r="T377" s="549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580</v>
      </c>
      <c r="B378" s="54" t="s">
        <v>581</v>
      </c>
      <c r="C378" s="31">
        <v>4301051660</v>
      </c>
      <c r="D378" s="556">
        <v>4607091384253</v>
      </c>
      <c r="E378" s="557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7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580</v>
      </c>
      <c r="B379" s="54" t="s">
        <v>582</v>
      </c>
      <c r="C379" s="31">
        <v>4301052069</v>
      </c>
      <c r="D379" s="556">
        <v>4607091384253</v>
      </c>
      <c r="E379" s="557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840" t="s">
        <v>583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8"/>
      <c r="B380" s="546"/>
      <c r="C380" s="546"/>
      <c r="D380" s="546"/>
      <c r="E380" s="546"/>
      <c r="F380" s="546"/>
      <c r="G380" s="546"/>
      <c r="H380" s="546"/>
      <c r="I380" s="546"/>
      <c r="J380" s="546"/>
      <c r="K380" s="546"/>
      <c r="L380" s="546"/>
      <c r="M380" s="546"/>
      <c r="N380" s="546"/>
      <c r="O380" s="559"/>
      <c r="P380" s="550" t="s">
        <v>71</v>
      </c>
      <c r="Q380" s="551"/>
      <c r="R380" s="551"/>
      <c r="S380" s="551"/>
      <c r="T380" s="551"/>
      <c r="U380" s="551"/>
      <c r="V380" s="552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46"/>
      <c r="B381" s="546"/>
      <c r="C381" s="546"/>
      <c r="D381" s="546"/>
      <c r="E381" s="546"/>
      <c r="F381" s="546"/>
      <c r="G381" s="546"/>
      <c r="H381" s="546"/>
      <c r="I381" s="546"/>
      <c r="J381" s="546"/>
      <c r="K381" s="546"/>
      <c r="L381" s="546"/>
      <c r="M381" s="546"/>
      <c r="N381" s="546"/>
      <c r="O381" s="559"/>
      <c r="P381" s="550" t="s">
        <v>71</v>
      </c>
      <c r="Q381" s="551"/>
      <c r="R381" s="551"/>
      <c r="S381" s="551"/>
      <c r="T381" s="551"/>
      <c r="U381" s="551"/>
      <c r="V381" s="552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45" t="s">
        <v>585</v>
      </c>
      <c r="B382" s="646"/>
      <c r="C382" s="646"/>
      <c r="D382" s="646"/>
      <c r="E382" s="646"/>
      <c r="F382" s="646"/>
      <c r="G382" s="646"/>
      <c r="H382" s="646"/>
      <c r="I382" s="646"/>
      <c r="J382" s="646"/>
      <c r="K382" s="646"/>
      <c r="L382" s="646"/>
      <c r="M382" s="646"/>
      <c r="N382" s="646"/>
      <c r="O382" s="646"/>
      <c r="P382" s="646"/>
      <c r="Q382" s="646"/>
      <c r="R382" s="646"/>
      <c r="S382" s="646"/>
      <c r="T382" s="646"/>
      <c r="U382" s="646"/>
      <c r="V382" s="646"/>
      <c r="W382" s="646"/>
      <c r="X382" s="646"/>
      <c r="Y382" s="646"/>
      <c r="Z382" s="646"/>
      <c r="AA382" s="48"/>
      <c r="AB382" s="48"/>
      <c r="AC382" s="48"/>
    </row>
    <row r="383" spans="1:68" ht="16.5" hidden="1" customHeight="1" x14ac:dyDescent="0.25">
      <c r="A383" s="545" t="s">
        <v>586</v>
      </c>
      <c r="B383" s="546"/>
      <c r="C383" s="546"/>
      <c r="D383" s="546"/>
      <c r="E383" s="546"/>
      <c r="F383" s="546"/>
      <c r="G383" s="546"/>
      <c r="H383" s="546"/>
      <c r="I383" s="546"/>
      <c r="J383" s="546"/>
      <c r="K383" s="546"/>
      <c r="L383" s="546"/>
      <c r="M383" s="546"/>
      <c r="N383" s="546"/>
      <c r="O383" s="546"/>
      <c r="P383" s="546"/>
      <c r="Q383" s="546"/>
      <c r="R383" s="546"/>
      <c r="S383" s="546"/>
      <c r="T383" s="546"/>
      <c r="U383" s="546"/>
      <c r="V383" s="546"/>
      <c r="W383" s="546"/>
      <c r="X383" s="546"/>
      <c r="Y383" s="546"/>
      <c r="Z383" s="546"/>
      <c r="AA383" s="536"/>
      <c r="AB383" s="536"/>
      <c r="AC383" s="536"/>
    </row>
    <row r="384" spans="1:68" ht="14.25" hidden="1" customHeight="1" x14ac:dyDescent="0.25">
      <c r="A384" s="553" t="s">
        <v>64</v>
      </c>
      <c r="B384" s="546"/>
      <c r="C384" s="546"/>
      <c r="D384" s="546"/>
      <c r="E384" s="546"/>
      <c r="F384" s="546"/>
      <c r="G384" s="546"/>
      <c r="H384" s="546"/>
      <c r="I384" s="546"/>
      <c r="J384" s="546"/>
      <c r="K384" s="546"/>
      <c r="L384" s="546"/>
      <c r="M384" s="546"/>
      <c r="N384" s="546"/>
      <c r="O384" s="546"/>
      <c r="P384" s="546"/>
      <c r="Q384" s="546"/>
      <c r="R384" s="546"/>
      <c r="S384" s="546"/>
      <c r="T384" s="546"/>
      <c r="U384" s="546"/>
      <c r="V384" s="546"/>
      <c r="W384" s="546"/>
      <c r="X384" s="546"/>
      <c r="Y384" s="546"/>
      <c r="Z384" s="546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56">
        <v>4680115886100</v>
      </c>
      <c r="E385" s="557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110</v>
      </c>
      <c r="M385" s="33" t="s">
        <v>68</v>
      </c>
      <c r="N385" s="33"/>
      <c r="O385" s="32">
        <v>50</v>
      </c>
      <c r="P385" s="76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100</v>
      </c>
      <c r="Y385" s="542">
        <f t="shared" ref="Y385:Y393" si="36">IFERROR(IF(X385="",0,CEILING((X385/$H385),1)*$H385),"")</f>
        <v>102.60000000000001</v>
      </c>
      <c r="Z385" s="36">
        <f>IFERROR(IF(Y385=0,"",ROUNDUP(Y385/H385,0)*0.00902),"")</f>
        <v>0.17138</v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103.5185185185185</v>
      </c>
      <c r="BN385" s="64">
        <f t="shared" ref="BN385:BN393" si="38">IFERROR(Y385*I385/H385,"0")</f>
        <v>106.21</v>
      </c>
      <c r="BO385" s="64">
        <f t="shared" ref="BO385:BO393" si="39">IFERROR(1/J385*(X385/H385),"0")</f>
        <v>0.14029180695847362</v>
      </c>
      <c r="BP385" s="64">
        <f t="shared" ref="BP385:BP393" si="40">IFERROR(1/J385*(Y385/H385),"0")</f>
        <v>0.14393939393939395</v>
      </c>
    </row>
    <row r="386" spans="1:68" ht="27" hidden="1" customHeight="1" x14ac:dyDescent="0.25">
      <c r="A386" s="54" t="s">
        <v>590</v>
      </c>
      <c r="B386" s="54" t="s">
        <v>591</v>
      </c>
      <c r="C386" s="31">
        <v>4301031406</v>
      </c>
      <c r="D386" s="556">
        <v>4680115886117</v>
      </c>
      <c r="E386" s="557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56">
        <v>4680115886124</v>
      </c>
      <c r="E387" s="557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 t="s">
        <v>110</v>
      </c>
      <c r="M387" s="33" t="s">
        <v>68</v>
      </c>
      <c r="N387" s="33"/>
      <c r="O387" s="32">
        <v>50</v>
      </c>
      <c r="P387" s="74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250</v>
      </c>
      <c r="Y387" s="542">
        <f t="shared" si="36"/>
        <v>253.8</v>
      </c>
      <c r="Z387" s="36">
        <f>IFERROR(IF(Y387=0,"",ROUNDUP(Y387/H387,0)*0.00902),"")</f>
        <v>0.42393999999999998</v>
      </c>
      <c r="AA387" s="56"/>
      <c r="AB387" s="57"/>
      <c r="AC387" s="431" t="s">
        <v>595</v>
      </c>
      <c r="AG387" s="64"/>
      <c r="AJ387" s="68" t="s">
        <v>106</v>
      </c>
      <c r="AK387" s="68">
        <v>64.8</v>
      </c>
      <c r="BB387" s="432" t="s">
        <v>1</v>
      </c>
      <c r="BM387" s="64">
        <f t="shared" si="37"/>
        <v>258.7962962962963</v>
      </c>
      <c r="BN387" s="64">
        <f t="shared" si="38"/>
        <v>262.72999999999996</v>
      </c>
      <c r="BO387" s="64">
        <f t="shared" si="39"/>
        <v>0.35072951739618402</v>
      </c>
      <c r="BP387" s="64">
        <f t="shared" si="40"/>
        <v>0.35606060606060608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4301031366</v>
      </c>
      <c r="D388" s="556">
        <v>4680115883147</v>
      </c>
      <c r="E388" s="557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hidden="1" customHeight="1" x14ac:dyDescent="0.25">
      <c r="A389" s="54" t="s">
        <v>598</v>
      </c>
      <c r="B389" s="54" t="s">
        <v>599</v>
      </c>
      <c r="C389" s="31">
        <v>4301031362</v>
      </c>
      <c r="D389" s="556">
        <v>4607091384338</v>
      </c>
      <c r="E389" s="557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86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hidden="1" customHeight="1" x14ac:dyDescent="0.25">
      <c r="A390" s="54" t="s">
        <v>600</v>
      </c>
      <c r="B390" s="54" t="s">
        <v>601</v>
      </c>
      <c r="C390" s="31">
        <v>4301031361</v>
      </c>
      <c r="D390" s="556">
        <v>4607091389524</v>
      </c>
      <c r="E390" s="557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69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603</v>
      </c>
      <c r="B391" s="54" t="s">
        <v>604</v>
      </c>
      <c r="C391" s="31">
        <v>4301031364</v>
      </c>
      <c r="D391" s="556">
        <v>4680115883161</v>
      </c>
      <c r="E391" s="557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862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4301031358</v>
      </c>
      <c r="D392" s="556">
        <v>4607091389531</v>
      </c>
      <c r="E392" s="557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 t="s">
        <v>266</v>
      </c>
      <c r="M392" s="33" t="s">
        <v>68</v>
      </c>
      <c r="N392" s="33"/>
      <c r="O392" s="32">
        <v>50</v>
      </c>
      <c r="P392" s="8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 t="s">
        <v>106</v>
      </c>
      <c r="AK392" s="68">
        <v>37.799999999999997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56">
        <v>4607091384345</v>
      </c>
      <c r="E393" s="557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21</v>
      </c>
      <c r="Y393" s="542">
        <f t="shared" si="36"/>
        <v>21</v>
      </c>
      <c r="Z393" s="36">
        <f t="shared" si="41"/>
        <v>5.0200000000000002E-2</v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22.299999999999997</v>
      </c>
      <c r="BN393" s="64">
        <f t="shared" si="38"/>
        <v>22.299999999999997</v>
      </c>
      <c r="BO393" s="64">
        <f t="shared" si="39"/>
        <v>4.2735042735042736E-2</v>
      </c>
      <c r="BP393" s="64">
        <f t="shared" si="40"/>
        <v>4.2735042735042736E-2</v>
      </c>
    </row>
    <row r="394" spans="1:68" x14ac:dyDescent="0.2">
      <c r="A394" s="558"/>
      <c r="B394" s="546"/>
      <c r="C394" s="546"/>
      <c r="D394" s="546"/>
      <c r="E394" s="546"/>
      <c r="F394" s="546"/>
      <c r="G394" s="546"/>
      <c r="H394" s="546"/>
      <c r="I394" s="546"/>
      <c r="J394" s="546"/>
      <c r="K394" s="546"/>
      <c r="L394" s="546"/>
      <c r="M394" s="546"/>
      <c r="N394" s="546"/>
      <c r="O394" s="559"/>
      <c r="P394" s="550" t="s">
        <v>71</v>
      </c>
      <c r="Q394" s="551"/>
      <c r="R394" s="551"/>
      <c r="S394" s="551"/>
      <c r="T394" s="551"/>
      <c r="U394" s="551"/>
      <c r="V394" s="552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74.81481481481481</v>
      </c>
      <c r="Y394" s="543">
        <f>IFERROR(Y385/H385,"0")+IFERROR(Y386/H386,"0")+IFERROR(Y387/H387,"0")+IFERROR(Y388/H388,"0")+IFERROR(Y389/H389,"0")+IFERROR(Y390/H390,"0")+IFERROR(Y391/H391,"0")+IFERROR(Y392/H392,"0")+IFERROR(Y393/H393,"0")</f>
        <v>76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0.64551999999999998</v>
      </c>
      <c r="AA394" s="544"/>
      <c r="AB394" s="544"/>
      <c r="AC394" s="544"/>
    </row>
    <row r="395" spans="1:68" x14ac:dyDescent="0.2">
      <c r="A395" s="546"/>
      <c r="B395" s="546"/>
      <c r="C395" s="546"/>
      <c r="D395" s="546"/>
      <c r="E395" s="546"/>
      <c r="F395" s="546"/>
      <c r="G395" s="546"/>
      <c r="H395" s="546"/>
      <c r="I395" s="546"/>
      <c r="J395" s="546"/>
      <c r="K395" s="546"/>
      <c r="L395" s="546"/>
      <c r="M395" s="546"/>
      <c r="N395" s="546"/>
      <c r="O395" s="559"/>
      <c r="P395" s="550" t="s">
        <v>71</v>
      </c>
      <c r="Q395" s="551"/>
      <c r="R395" s="551"/>
      <c r="S395" s="551"/>
      <c r="T395" s="551"/>
      <c r="U395" s="551"/>
      <c r="V395" s="552"/>
      <c r="W395" s="37" t="s">
        <v>69</v>
      </c>
      <c r="X395" s="543">
        <f>IFERROR(SUM(X385:X393),"0")</f>
        <v>371</v>
      </c>
      <c r="Y395" s="543">
        <f>IFERROR(SUM(Y385:Y393),"0")</f>
        <v>377.40000000000003</v>
      </c>
      <c r="Z395" s="37"/>
      <c r="AA395" s="544"/>
      <c r="AB395" s="544"/>
      <c r="AC395" s="544"/>
    </row>
    <row r="396" spans="1:68" ht="14.25" hidden="1" customHeight="1" x14ac:dyDescent="0.25">
      <c r="A396" s="553" t="s">
        <v>73</v>
      </c>
      <c r="B396" s="546"/>
      <c r="C396" s="546"/>
      <c r="D396" s="546"/>
      <c r="E396" s="546"/>
      <c r="F396" s="546"/>
      <c r="G396" s="546"/>
      <c r="H396" s="546"/>
      <c r="I396" s="546"/>
      <c r="J396" s="546"/>
      <c r="K396" s="546"/>
      <c r="L396" s="546"/>
      <c r="M396" s="546"/>
      <c r="N396" s="546"/>
      <c r="O396" s="546"/>
      <c r="P396" s="546"/>
      <c r="Q396" s="546"/>
      <c r="R396" s="546"/>
      <c r="S396" s="546"/>
      <c r="T396" s="546"/>
      <c r="U396" s="546"/>
      <c r="V396" s="546"/>
      <c r="W396" s="546"/>
      <c r="X396" s="546"/>
      <c r="Y396" s="546"/>
      <c r="Z396" s="546"/>
      <c r="AA396" s="537"/>
      <c r="AB396" s="537"/>
      <c r="AC396" s="537"/>
    </row>
    <row r="397" spans="1:68" ht="27" hidden="1" customHeight="1" x14ac:dyDescent="0.25">
      <c r="A397" s="54" t="s">
        <v>611</v>
      </c>
      <c r="B397" s="54" t="s">
        <v>612</v>
      </c>
      <c r="C397" s="31">
        <v>4301051284</v>
      </c>
      <c r="D397" s="556">
        <v>4607091384352</v>
      </c>
      <c r="E397" s="557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614</v>
      </c>
      <c r="B398" s="54" t="s">
        <v>615</v>
      </c>
      <c r="C398" s="31">
        <v>4301051431</v>
      </c>
      <c r="D398" s="556">
        <v>4607091389654</v>
      </c>
      <c r="E398" s="557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67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8"/>
      <c r="B399" s="546"/>
      <c r="C399" s="546"/>
      <c r="D399" s="546"/>
      <c r="E399" s="546"/>
      <c r="F399" s="546"/>
      <c r="G399" s="546"/>
      <c r="H399" s="546"/>
      <c r="I399" s="546"/>
      <c r="J399" s="546"/>
      <c r="K399" s="546"/>
      <c r="L399" s="546"/>
      <c r="M399" s="546"/>
      <c r="N399" s="546"/>
      <c r="O399" s="559"/>
      <c r="P399" s="550" t="s">
        <v>71</v>
      </c>
      <c r="Q399" s="551"/>
      <c r="R399" s="551"/>
      <c r="S399" s="551"/>
      <c r="T399" s="551"/>
      <c r="U399" s="551"/>
      <c r="V399" s="552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46"/>
      <c r="B400" s="546"/>
      <c r="C400" s="546"/>
      <c r="D400" s="546"/>
      <c r="E400" s="546"/>
      <c r="F400" s="546"/>
      <c r="G400" s="546"/>
      <c r="H400" s="546"/>
      <c r="I400" s="546"/>
      <c r="J400" s="546"/>
      <c r="K400" s="546"/>
      <c r="L400" s="546"/>
      <c r="M400" s="546"/>
      <c r="N400" s="546"/>
      <c r="O400" s="559"/>
      <c r="P400" s="550" t="s">
        <v>71</v>
      </c>
      <c r="Q400" s="551"/>
      <c r="R400" s="551"/>
      <c r="S400" s="551"/>
      <c r="T400" s="551"/>
      <c r="U400" s="551"/>
      <c r="V400" s="552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45" t="s">
        <v>617</v>
      </c>
      <c r="B401" s="546"/>
      <c r="C401" s="546"/>
      <c r="D401" s="546"/>
      <c r="E401" s="546"/>
      <c r="F401" s="546"/>
      <c r="G401" s="546"/>
      <c r="H401" s="546"/>
      <c r="I401" s="546"/>
      <c r="J401" s="546"/>
      <c r="K401" s="546"/>
      <c r="L401" s="546"/>
      <c r="M401" s="546"/>
      <c r="N401" s="546"/>
      <c r="O401" s="546"/>
      <c r="P401" s="546"/>
      <c r="Q401" s="546"/>
      <c r="R401" s="546"/>
      <c r="S401" s="546"/>
      <c r="T401" s="546"/>
      <c r="U401" s="546"/>
      <c r="V401" s="546"/>
      <c r="W401" s="546"/>
      <c r="X401" s="546"/>
      <c r="Y401" s="546"/>
      <c r="Z401" s="546"/>
      <c r="AA401" s="536"/>
      <c r="AB401" s="536"/>
      <c r="AC401" s="536"/>
    </row>
    <row r="402" spans="1:68" ht="14.25" hidden="1" customHeight="1" x14ac:dyDescent="0.25">
      <c r="A402" s="553" t="s">
        <v>135</v>
      </c>
      <c r="B402" s="546"/>
      <c r="C402" s="546"/>
      <c r="D402" s="546"/>
      <c r="E402" s="546"/>
      <c r="F402" s="546"/>
      <c r="G402" s="546"/>
      <c r="H402" s="546"/>
      <c r="I402" s="546"/>
      <c r="J402" s="546"/>
      <c r="K402" s="546"/>
      <c r="L402" s="546"/>
      <c r="M402" s="546"/>
      <c r="N402" s="546"/>
      <c r="O402" s="546"/>
      <c r="P402" s="546"/>
      <c r="Q402" s="546"/>
      <c r="R402" s="546"/>
      <c r="S402" s="546"/>
      <c r="T402" s="546"/>
      <c r="U402" s="546"/>
      <c r="V402" s="546"/>
      <c r="W402" s="546"/>
      <c r="X402" s="546"/>
      <c r="Y402" s="546"/>
      <c r="Z402" s="546"/>
      <c r="AA402" s="537"/>
      <c r="AB402" s="537"/>
      <c r="AC402" s="537"/>
    </row>
    <row r="403" spans="1:68" ht="27" hidden="1" customHeight="1" x14ac:dyDescent="0.25">
      <c r="A403" s="54" t="s">
        <v>618</v>
      </c>
      <c r="B403" s="54" t="s">
        <v>619</v>
      </c>
      <c r="C403" s="31">
        <v>4301020319</v>
      </c>
      <c r="D403" s="556">
        <v>4680115885240</v>
      </c>
      <c r="E403" s="557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7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8"/>
      <c r="B404" s="546"/>
      <c r="C404" s="546"/>
      <c r="D404" s="546"/>
      <c r="E404" s="546"/>
      <c r="F404" s="546"/>
      <c r="G404" s="546"/>
      <c r="H404" s="546"/>
      <c r="I404" s="546"/>
      <c r="J404" s="546"/>
      <c r="K404" s="546"/>
      <c r="L404" s="546"/>
      <c r="M404" s="546"/>
      <c r="N404" s="546"/>
      <c r="O404" s="559"/>
      <c r="P404" s="550" t="s">
        <v>71</v>
      </c>
      <c r="Q404" s="551"/>
      <c r="R404" s="551"/>
      <c r="S404" s="551"/>
      <c r="T404" s="551"/>
      <c r="U404" s="551"/>
      <c r="V404" s="552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46"/>
      <c r="B405" s="546"/>
      <c r="C405" s="546"/>
      <c r="D405" s="546"/>
      <c r="E405" s="546"/>
      <c r="F405" s="546"/>
      <c r="G405" s="546"/>
      <c r="H405" s="546"/>
      <c r="I405" s="546"/>
      <c r="J405" s="546"/>
      <c r="K405" s="546"/>
      <c r="L405" s="546"/>
      <c r="M405" s="546"/>
      <c r="N405" s="546"/>
      <c r="O405" s="559"/>
      <c r="P405" s="550" t="s">
        <v>71</v>
      </c>
      <c r="Q405" s="551"/>
      <c r="R405" s="551"/>
      <c r="S405" s="551"/>
      <c r="T405" s="551"/>
      <c r="U405" s="551"/>
      <c r="V405" s="552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3" t="s">
        <v>64</v>
      </c>
      <c r="B406" s="546"/>
      <c r="C406" s="546"/>
      <c r="D406" s="546"/>
      <c r="E406" s="546"/>
      <c r="F406" s="546"/>
      <c r="G406" s="546"/>
      <c r="H406" s="546"/>
      <c r="I406" s="546"/>
      <c r="J406" s="546"/>
      <c r="K406" s="546"/>
      <c r="L406" s="546"/>
      <c r="M406" s="546"/>
      <c r="N406" s="546"/>
      <c r="O406" s="546"/>
      <c r="P406" s="546"/>
      <c r="Q406" s="546"/>
      <c r="R406" s="546"/>
      <c r="S406" s="546"/>
      <c r="T406" s="546"/>
      <c r="U406" s="546"/>
      <c r="V406" s="546"/>
      <c r="W406" s="546"/>
      <c r="X406" s="546"/>
      <c r="Y406" s="546"/>
      <c r="Z406" s="546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56">
        <v>4680115886094</v>
      </c>
      <c r="E407" s="557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110</v>
      </c>
      <c r="M407" s="33" t="s">
        <v>104</v>
      </c>
      <c r="N407" s="33"/>
      <c r="O407" s="32">
        <v>50</v>
      </c>
      <c r="P407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400</v>
      </c>
      <c r="Y407" s="542">
        <f>IFERROR(IF(X407="",0,CEILING((X407/$H407),1)*$H407),"")</f>
        <v>405</v>
      </c>
      <c r="Z407" s="36">
        <f>IFERROR(IF(Y407=0,"",ROUNDUP(Y407/H407,0)*0.00902),"")</f>
        <v>0.67649999999999999</v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414.07407407407402</v>
      </c>
      <c r="BN407" s="64">
        <f>IFERROR(Y407*I407/H407,"0")</f>
        <v>419.24999999999994</v>
      </c>
      <c r="BO407" s="64">
        <f>IFERROR(1/J407*(X407/H407),"0")</f>
        <v>0.5611672278338945</v>
      </c>
      <c r="BP407" s="64">
        <f>IFERROR(1/J407*(Y407/H407),"0")</f>
        <v>0.56818181818181823</v>
      </c>
    </row>
    <row r="408" spans="1:68" ht="27" hidden="1" customHeight="1" x14ac:dyDescent="0.25">
      <c r="A408" s="54" t="s">
        <v>624</v>
      </c>
      <c r="B408" s="54" t="s">
        <v>625</v>
      </c>
      <c r="C408" s="31">
        <v>4301031363</v>
      </c>
      <c r="D408" s="556">
        <v>4607091389425</v>
      </c>
      <c r="E408" s="557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62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4301031373</v>
      </c>
      <c r="D409" s="556">
        <v>4680115880771</v>
      </c>
      <c r="E409" s="557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5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56">
        <v>4607091389500</v>
      </c>
      <c r="E410" s="557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76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21</v>
      </c>
      <c r="Y410" s="542">
        <f>IFERROR(IF(X410="",0,CEILING((X410/$H410),1)*$H410),"")</f>
        <v>21</v>
      </c>
      <c r="Z410" s="36">
        <f>IFERROR(IF(Y410=0,"",ROUNDUP(Y410/H410,0)*0.00502),"")</f>
        <v>5.0200000000000002E-2</v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22.299999999999997</v>
      </c>
      <c r="BN410" s="64">
        <f>IFERROR(Y410*I410/H410,"0")</f>
        <v>22.299999999999997</v>
      </c>
      <c r="BO410" s="64">
        <f>IFERROR(1/J410*(X410/H410),"0")</f>
        <v>4.2735042735042736E-2</v>
      </c>
      <c r="BP410" s="64">
        <f>IFERROR(1/J410*(Y410/H410),"0")</f>
        <v>4.2735042735042736E-2</v>
      </c>
    </row>
    <row r="411" spans="1:68" x14ac:dyDescent="0.2">
      <c r="A411" s="558"/>
      <c r="B411" s="546"/>
      <c r="C411" s="546"/>
      <c r="D411" s="546"/>
      <c r="E411" s="546"/>
      <c r="F411" s="546"/>
      <c r="G411" s="546"/>
      <c r="H411" s="546"/>
      <c r="I411" s="546"/>
      <c r="J411" s="546"/>
      <c r="K411" s="546"/>
      <c r="L411" s="546"/>
      <c r="M411" s="546"/>
      <c r="N411" s="546"/>
      <c r="O411" s="559"/>
      <c r="P411" s="550" t="s">
        <v>71</v>
      </c>
      <c r="Q411" s="551"/>
      <c r="R411" s="551"/>
      <c r="S411" s="551"/>
      <c r="T411" s="551"/>
      <c r="U411" s="551"/>
      <c r="V411" s="552"/>
      <c r="W411" s="37" t="s">
        <v>72</v>
      </c>
      <c r="X411" s="543">
        <f>IFERROR(X407/H407,"0")+IFERROR(X408/H408,"0")+IFERROR(X409/H409,"0")+IFERROR(X410/H410,"0")</f>
        <v>84.074074074074076</v>
      </c>
      <c r="Y411" s="543">
        <f>IFERROR(Y407/H407,"0")+IFERROR(Y408/H408,"0")+IFERROR(Y409/H409,"0")+IFERROR(Y410/H410,"0")</f>
        <v>85</v>
      </c>
      <c r="Z411" s="543">
        <f>IFERROR(IF(Z407="",0,Z407),"0")+IFERROR(IF(Z408="",0,Z408),"0")+IFERROR(IF(Z409="",0,Z409),"0")+IFERROR(IF(Z410="",0,Z410),"0")</f>
        <v>0.72670000000000001</v>
      </c>
      <c r="AA411" s="544"/>
      <c r="AB411" s="544"/>
      <c r="AC411" s="544"/>
    </row>
    <row r="412" spans="1:68" x14ac:dyDescent="0.2">
      <c r="A412" s="546"/>
      <c r="B412" s="546"/>
      <c r="C412" s="546"/>
      <c r="D412" s="546"/>
      <c r="E412" s="546"/>
      <c r="F412" s="546"/>
      <c r="G412" s="546"/>
      <c r="H412" s="546"/>
      <c r="I412" s="546"/>
      <c r="J412" s="546"/>
      <c r="K412" s="546"/>
      <c r="L412" s="546"/>
      <c r="M412" s="546"/>
      <c r="N412" s="546"/>
      <c r="O412" s="559"/>
      <c r="P412" s="550" t="s">
        <v>71</v>
      </c>
      <c r="Q412" s="551"/>
      <c r="R412" s="551"/>
      <c r="S412" s="551"/>
      <c r="T412" s="551"/>
      <c r="U412" s="551"/>
      <c r="V412" s="552"/>
      <c r="W412" s="37" t="s">
        <v>69</v>
      </c>
      <c r="X412" s="543">
        <f>IFERROR(SUM(X407:X410),"0")</f>
        <v>421</v>
      </c>
      <c r="Y412" s="543">
        <f>IFERROR(SUM(Y407:Y410),"0")</f>
        <v>426</v>
      </c>
      <c r="Z412" s="37"/>
      <c r="AA412" s="544"/>
      <c r="AB412" s="544"/>
      <c r="AC412" s="544"/>
    </row>
    <row r="413" spans="1:68" ht="16.5" hidden="1" customHeight="1" x14ac:dyDescent="0.25">
      <c r="A413" s="545" t="s">
        <v>632</v>
      </c>
      <c r="B413" s="546"/>
      <c r="C413" s="546"/>
      <c r="D413" s="546"/>
      <c r="E413" s="546"/>
      <c r="F413" s="546"/>
      <c r="G413" s="546"/>
      <c r="H413" s="546"/>
      <c r="I413" s="546"/>
      <c r="J413" s="546"/>
      <c r="K413" s="546"/>
      <c r="L413" s="546"/>
      <c r="M413" s="546"/>
      <c r="N413" s="546"/>
      <c r="O413" s="546"/>
      <c r="P413" s="546"/>
      <c r="Q413" s="546"/>
      <c r="R413" s="546"/>
      <c r="S413" s="546"/>
      <c r="T413" s="546"/>
      <c r="U413" s="546"/>
      <c r="V413" s="546"/>
      <c r="W413" s="546"/>
      <c r="X413" s="546"/>
      <c r="Y413" s="546"/>
      <c r="Z413" s="546"/>
      <c r="AA413" s="536"/>
      <c r="AB413" s="536"/>
      <c r="AC413" s="536"/>
    </row>
    <row r="414" spans="1:68" ht="14.25" hidden="1" customHeight="1" x14ac:dyDescent="0.25">
      <c r="A414" s="553" t="s">
        <v>64</v>
      </c>
      <c r="B414" s="546"/>
      <c r="C414" s="546"/>
      <c r="D414" s="546"/>
      <c r="E414" s="546"/>
      <c r="F414" s="546"/>
      <c r="G414" s="546"/>
      <c r="H414" s="546"/>
      <c r="I414" s="546"/>
      <c r="J414" s="546"/>
      <c r="K414" s="546"/>
      <c r="L414" s="546"/>
      <c r="M414" s="546"/>
      <c r="N414" s="546"/>
      <c r="O414" s="546"/>
      <c r="P414" s="546"/>
      <c r="Q414" s="546"/>
      <c r="R414" s="546"/>
      <c r="S414" s="546"/>
      <c r="T414" s="546"/>
      <c r="U414" s="546"/>
      <c r="V414" s="546"/>
      <c r="W414" s="546"/>
      <c r="X414" s="546"/>
      <c r="Y414" s="546"/>
      <c r="Z414" s="546"/>
      <c r="AA414" s="537"/>
      <c r="AB414" s="537"/>
      <c r="AC414" s="537"/>
    </row>
    <row r="415" spans="1:68" ht="27" hidden="1" customHeight="1" x14ac:dyDescent="0.25">
      <c r="A415" s="54" t="s">
        <v>633</v>
      </c>
      <c r="B415" s="54" t="s">
        <v>634</v>
      </c>
      <c r="C415" s="31">
        <v>4301031347</v>
      </c>
      <c r="D415" s="556">
        <v>4680115885110</v>
      </c>
      <c r="E415" s="557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63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8"/>
      <c r="B416" s="546"/>
      <c r="C416" s="546"/>
      <c r="D416" s="546"/>
      <c r="E416" s="546"/>
      <c r="F416" s="546"/>
      <c r="G416" s="546"/>
      <c r="H416" s="546"/>
      <c r="I416" s="546"/>
      <c r="J416" s="546"/>
      <c r="K416" s="546"/>
      <c r="L416" s="546"/>
      <c r="M416" s="546"/>
      <c r="N416" s="546"/>
      <c r="O416" s="559"/>
      <c r="P416" s="550" t="s">
        <v>71</v>
      </c>
      <c r="Q416" s="551"/>
      <c r="R416" s="551"/>
      <c r="S416" s="551"/>
      <c r="T416" s="551"/>
      <c r="U416" s="551"/>
      <c r="V416" s="552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46"/>
      <c r="B417" s="546"/>
      <c r="C417" s="546"/>
      <c r="D417" s="546"/>
      <c r="E417" s="546"/>
      <c r="F417" s="546"/>
      <c r="G417" s="546"/>
      <c r="H417" s="546"/>
      <c r="I417" s="546"/>
      <c r="J417" s="546"/>
      <c r="K417" s="546"/>
      <c r="L417" s="546"/>
      <c r="M417" s="546"/>
      <c r="N417" s="546"/>
      <c r="O417" s="559"/>
      <c r="P417" s="550" t="s">
        <v>71</v>
      </c>
      <c r="Q417" s="551"/>
      <c r="R417" s="551"/>
      <c r="S417" s="551"/>
      <c r="T417" s="551"/>
      <c r="U417" s="551"/>
      <c r="V417" s="552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45" t="s">
        <v>636</v>
      </c>
      <c r="B418" s="646"/>
      <c r="C418" s="646"/>
      <c r="D418" s="646"/>
      <c r="E418" s="646"/>
      <c r="F418" s="646"/>
      <c r="G418" s="646"/>
      <c r="H418" s="646"/>
      <c r="I418" s="646"/>
      <c r="J418" s="646"/>
      <c r="K418" s="646"/>
      <c r="L418" s="646"/>
      <c r="M418" s="646"/>
      <c r="N418" s="646"/>
      <c r="O418" s="646"/>
      <c r="P418" s="646"/>
      <c r="Q418" s="646"/>
      <c r="R418" s="646"/>
      <c r="S418" s="646"/>
      <c r="T418" s="646"/>
      <c r="U418" s="646"/>
      <c r="V418" s="646"/>
      <c r="W418" s="646"/>
      <c r="X418" s="646"/>
      <c r="Y418" s="646"/>
      <c r="Z418" s="646"/>
      <c r="AA418" s="48"/>
      <c r="AB418" s="48"/>
      <c r="AC418" s="48"/>
    </row>
    <row r="419" spans="1:68" ht="16.5" hidden="1" customHeight="1" x14ac:dyDescent="0.25">
      <c r="A419" s="545" t="s">
        <v>636</v>
      </c>
      <c r="B419" s="546"/>
      <c r="C419" s="546"/>
      <c r="D419" s="546"/>
      <c r="E419" s="546"/>
      <c r="F419" s="546"/>
      <c r="G419" s="546"/>
      <c r="H419" s="546"/>
      <c r="I419" s="546"/>
      <c r="J419" s="546"/>
      <c r="K419" s="546"/>
      <c r="L419" s="546"/>
      <c r="M419" s="546"/>
      <c r="N419" s="546"/>
      <c r="O419" s="546"/>
      <c r="P419" s="546"/>
      <c r="Q419" s="546"/>
      <c r="R419" s="546"/>
      <c r="S419" s="546"/>
      <c r="T419" s="546"/>
      <c r="U419" s="546"/>
      <c r="V419" s="546"/>
      <c r="W419" s="546"/>
      <c r="X419" s="546"/>
      <c r="Y419" s="546"/>
      <c r="Z419" s="546"/>
      <c r="AA419" s="536"/>
      <c r="AB419" s="536"/>
      <c r="AC419" s="536"/>
    </row>
    <row r="420" spans="1:68" ht="14.25" hidden="1" customHeight="1" x14ac:dyDescent="0.25">
      <c r="A420" s="553" t="s">
        <v>99</v>
      </c>
      <c r="B420" s="546"/>
      <c r="C420" s="546"/>
      <c r="D420" s="546"/>
      <c r="E420" s="546"/>
      <c r="F420" s="546"/>
      <c r="G420" s="546"/>
      <c r="H420" s="546"/>
      <c r="I420" s="546"/>
      <c r="J420" s="546"/>
      <c r="K420" s="546"/>
      <c r="L420" s="546"/>
      <c r="M420" s="546"/>
      <c r="N420" s="546"/>
      <c r="O420" s="546"/>
      <c r="P420" s="546"/>
      <c r="Q420" s="546"/>
      <c r="R420" s="546"/>
      <c r="S420" s="546"/>
      <c r="T420" s="546"/>
      <c r="U420" s="546"/>
      <c r="V420" s="546"/>
      <c r="W420" s="546"/>
      <c r="X420" s="546"/>
      <c r="Y420" s="546"/>
      <c r="Z420" s="546"/>
      <c r="AA420" s="537"/>
      <c r="AB420" s="537"/>
      <c r="AC420" s="537"/>
    </row>
    <row r="421" spans="1:68" ht="27" hidden="1" customHeight="1" x14ac:dyDescent="0.25">
      <c r="A421" s="54" t="s">
        <v>637</v>
      </c>
      <c r="B421" s="54" t="s">
        <v>638</v>
      </c>
      <c r="C421" s="31">
        <v>4301011795</v>
      </c>
      <c r="D421" s="556">
        <v>4607091389067</v>
      </c>
      <c r="E421" s="557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62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 t="s">
        <v>106</v>
      </c>
      <c r="AK421" s="68">
        <v>42.24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hidden="1" customHeight="1" x14ac:dyDescent="0.25">
      <c r="A422" s="54" t="s">
        <v>639</v>
      </c>
      <c r="B422" s="54" t="s">
        <v>640</v>
      </c>
      <c r="C422" s="31">
        <v>4301012145</v>
      </c>
      <c r="D422" s="556">
        <v>4607091383522</v>
      </c>
      <c r="E422" s="557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79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56">
        <v>4680115885271</v>
      </c>
      <c r="E423" s="557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 t="s">
        <v>103</v>
      </c>
      <c r="M423" s="33" t="s">
        <v>104</v>
      </c>
      <c r="N423" s="33"/>
      <c r="O423" s="32">
        <v>60</v>
      </c>
      <c r="P423" s="80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30</v>
      </c>
      <c r="Y423" s="542">
        <f t="shared" si="42"/>
        <v>31.68</v>
      </c>
      <c r="Z423" s="36">
        <f t="shared" si="43"/>
        <v>7.1760000000000004E-2</v>
      </c>
      <c r="AA423" s="56"/>
      <c r="AB423" s="57"/>
      <c r="AC423" s="465" t="s">
        <v>644</v>
      </c>
      <c r="AG423" s="64"/>
      <c r="AJ423" s="68" t="s">
        <v>106</v>
      </c>
      <c r="AK423" s="68">
        <v>42.24</v>
      </c>
      <c r="BB423" s="466" t="s">
        <v>1</v>
      </c>
      <c r="BM423" s="64">
        <f t="shared" si="44"/>
        <v>31.988636363636363</v>
      </c>
      <c r="BN423" s="64">
        <f t="shared" si="45"/>
        <v>33.779999999999994</v>
      </c>
      <c r="BO423" s="64">
        <f t="shared" si="46"/>
        <v>5.4632867132867136E-2</v>
      </c>
      <c r="BP423" s="64">
        <f t="shared" si="47"/>
        <v>5.7692307692307696E-2</v>
      </c>
    </row>
    <row r="424" spans="1:68" ht="27" hidden="1" customHeight="1" x14ac:dyDescent="0.25">
      <c r="A424" s="54" t="s">
        <v>645</v>
      </c>
      <c r="B424" s="54" t="s">
        <v>646</v>
      </c>
      <c r="C424" s="31">
        <v>4301011376</v>
      </c>
      <c r="D424" s="556">
        <v>4680115885226</v>
      </c>
      <c r="E424" s="557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4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hidden="1" customHeight="1" x14ac:dyDescent="0.25">
      <c r="A425" s="54" t="s">
        <v>648</v>
      </c>
      <c r="B425" s="54" t="s">
        <v>649</v>
      </c>
      <c r="C425" s="31">
        <v>4301011774</v>
      </c>
      <c r="D425" s="556">
        <v>4680115884502</v>
      </c>
      <c r="E425" s="557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56">
        <v>4607091389104</v>
      </c>
      <c r="E426" s="557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8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350</v>
      </c>
      <c r="Y426" s="542">
        <f t="shared" si="42"/>
        <v>353.76</v>
      </c>
      <c r="Z426" s="36">
        <f t="shared" si="43"/>
        <v>0.80132000000000003</v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373.20075757575756</v>
      </c>
      <c r="BN426" s="64">
        <f t="shared" si="45"/>
        <v>377.21</v>
      </c>
      <c r="BO426" s="64">
        <f t="shared" si="46"/>
        <v>0.63738344988344986</v>
      </c>
      <c r="BP426" s="64">
        <f t="shared" si="47"/>
        <v>0.64423076923076927</v>
      </c>
    </row>
    <row r="427" spans="1:68" ht="27" hidden="1" customHeight="1" x14ac:dyDescent="0.25">
      <c r="A427" s="54" t="s">
        <v>654</v>
      </c>
      <c r="B427" s="54" t="s">
        <v>655</v>
      </c>
      <c r="C427" s="31">
        <v>4301012125</v>
      </c>
      <c r="D427" s="556">
        <v>4680115886391</v>
      </c>
      <c r="E427" s="557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7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4301012035</v>
      </c>
      <c r="D428" s="556">
        <v>4680115880603</v>
      </c>
      <c r="E428" s="557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80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659</v>
      </c>
      <c r="C429" s="31">
        <v>4301012036</v>
      </c>
      <c r="D429" s="556">
        <v>4680115882782</v>
      </c>
      <c r="E429" s="557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799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660</v>
      </c>
      <c r="B430" s="54" t="s">
        <v>661</v>
      </c>
      <c r="C430" s="31">
        <v>4301012050</v>
      </c>
      <c r="D430" s="556">
        <v>4680115885479</v>
      </c>
      <c r="E430" s="557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4301012034</v>
      </c>
      <c r="D431" s="556">
        <v>4607091389982</v>
      </c>
      <c r="E431" s="557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 t="s">
        <v>110</v>
      </c>
      <c r="M431" s="33" t="s">
        <v>104</v>
      </c>
      <c r="N431" s="33"/>
      <c r="O431" s="32">
        <v>60</v>
      </c>
      <c r="P431" s="77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 t="s">
        <v>106</v>
      </c>
      <c r="AK431" s="68">
        <v>57.6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8"/>
      <c r="B432" s="546"/>
      <c r="C432" s="546"/>
      <c r="D432" s="546"/>
      <c r="E432" s="546"/>
      <c r="F432" s="546"/>
      <c r="G432" s="546"/>
      <c r="H432" s="546"/>
      <c r="I432" s="546"/>
      <c r="J432" s="546"/>
      <c r="K432" s="546"/>
      <c r="L432" s="546"/>
      <c r="M432" s="546"/>
      <c r="N432" s="546"/>
      <c r="O432" s="559"/>
      <c r="P432" s="550" t="s">
        <v>71</v>
      </c>
      <c r="Q432" s="551"/>
      <c r="R432" s="551"/>
      <c r="S432" s="551"/>
      <c r="T432" s="551"/>
      <c r="U432" s="551"/>
      <c r="V432" s="552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71.969696969696969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73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0.87308000000000008</v>
      </c>
      <c r="AA432" s="544"/>
      <c r="AB432" s="544"/>
      <c r="AC432" s="544"/>
    </row>
    <row r="433" spans="1:68" x14ac:dyDescent="0.2">
      <c r="A433" s="546"/>
      <c r="B433" s="546"/>
      <c r="C433" s="546"/>
      <c r="D433" s="546"/>
      <c r="E433" s="546"/>
      <c r="F433" s="546"/>
      <c r="G433" s="546"/>
      <c r="H433" s="546"/>
      <c r="I433" s="546"/>
      <c r="J433" s="546"/>
      <c r="K433" s="546"/>
      <c r="L433" s="546"/>
      <c r="M433" s="546"/>
      <c r="N433" s="546"/>
      <c r="O433" s="559"/>
      <c r="P433" s="550" t="s">
        <v>71</v>
      </c>
      <c r="Q433" s="551"/>
      <c r="R433" s="551"/>
      <c r="S433" s="551"/>
      <c r="T433" s="551"/>
      <c r="U433" s="551"/>
      <c r="V433" s="552"/>
      <c r="W433" s="37" t="s">
        <v>69</v>
      </c>
      <c r="X433" s="543">
        <f>IFERROR(SUM(X421:X431),"0")</f>
        <v>380</v>
      </c>
      <c r="Y433" s="543">
        <f>IFERROR(SUM(Y421:Y431),"0")</f>
        <v>385.44</v>
      </c>
      <c r="Z433" s="37"/>
      <c r="AA433" s="544"/>
      <c r="AB433" s="544"/>
      <c r="AC433" s="544"/>
    </row>
    <row r="434" spans="1:68" ht="14.25" hidden="1" customHeight="1" x14ac:dyDescent="0.25">
      <c r="A434" s="553" t="s">
        <v>135</v>
      </c>
      <c r="B434" s="546"/>
      <c r="C434" s="546"/>
      <c r="D434" s="546"/>
      <c r="E434" s="546"/>
      <c r="F434" s="546"/>
      <c r="G434" s="546"/>
      <c r="H434" s="546"/>
      <c r="I434" s="546"/>
      <c r="J434" s="546"/>
      <c r="K434" s="546"/>
      <c r="L434" s="546"/>
      <c r="M434" s="546"/>
      <c r="N434" s="546"/>
      <c r="O434" s="546"/>
      <c r="P434" s="546"/>
      <c r="Q434" s="546"/>
      <c r="R434" s="546"/>
      <c r="S434" s="546"/>
      <c r="T434" s="546"/>
      <c r="U434" s="546"/>
      <c r="V434" s="546"/>
      <c r="W434" s="546"/>
      <c r="X434" s="546"/>
      <c r="Y434" s="546"/>
      <c r="Z434" s="546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56">
        <v>4607091388930</v>
      </c>
      <c r="E435" s="557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58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500</v>
      </c>
      <c r="Y435" s="542">
        <f>IFERROR(IF(X435="",0,CEILING((X435/$H435),1)*$H435),"")</f>
        <v>501.6</v>
      </c>
      <c r="Z435" s="36">
        <f>IFERROR(IF(Y435=0,"",ROUNDUP(Y435/H435,0)*0.01196),"")</f>
        <v>1.1362000000000001</v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533.14393939393938</v>
      </c>
      <c r="BN435" s="64">
        <f>IFERROR(Y435*I435/H435,"0")</f>
        <v>534.85</v>
      </c>
      <c r="BO435" s="64">
        <f>IFERROR(1/J435*(X435/H435),"0")</f>
        <v>0.91054778554778548</v>
      </c>
      <c r="BP435" s="64">
        <f>IFERROR(1/J435*(Y435/H435),"0")</f>
        <v>0.91346153846153855</v>
      </c>
    </row>
    <row r="436" spans="1:68" ht="16.5" hidden="1" customHeight="1" x14ac:dyDescent="0.25">
      <c r="A436" s="54" t="s">
        <v>668</v>
      </c>
      <c r="B436" s="54" t="s">
        <v>669</v>
      </c>
      <c r="C436" s="31">
        <v>4301020384</v>
      </c>
      <c r="D436" s="556">
        <v>4680115886407</v>
      </c>
      <c r="E436" s="557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6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670</v>
      </c>
      <c r="B437" s="54" t="s">
        <v>671</v>
      </c>
      <c r="C437" s="31">
        <v>4301020385</v>
      </c>
      <c r="D437" s="556">
        <v>4680115880054</v>
      </c>
      <c r="E437" s="557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 t="s">
        <v>110</v>
      </c>
      <c r="M437" s="33" t="s">
        <v>104</v>
      </c>
      <c r="N437" s="33"/>
      <c r="O437" s="32">
        <v>70</v>
      </c>
      <c r="P437" s="8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 t="s">
        <v>106</v>
      </c>
      <c r="AK437" s="68">
        <v>57.6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8"/>
      <c r="B438" s="546"/>
      <c r="C438" s="546"/>
      <c r="D438" s="546"/>
      <c r="E438" s="546"/>
      <c r="F438" s="546"/>
      <c r="G438" s="546"/>
      <c r="H438" s="546"/>
      <c r="I438" s="546"/>
      <c r="J438" s="546"/>
      <c r="K438" s="546"/>
      <c r="L438" s="546"/>
      <c r="M438" s="546"/>
      <c r="N438" s="546"/>
      <c r="O438" s="559"/>
      <c r="P438" s="550" t="s">
        <v>71</v>
      </c>
      <c r="Q438" s="551"/>
      <c r="R438" s="551"/>
      <c r="S438" s="551"/>
      <c r="T438" s="551"/>
      <c r="U438" s="551"/>
      <c r="V438" s="552"/>
      <c r="W438" s="37" t="s">
        <v>72</v>
      </c>
      <c r="X438" s="543">
        <f>IFERROR(X435/H435,"0")+IFERROR(X436/H436,"0")+IFERROR(X437/H437,"0")</f>
        <v>94.696969696969688</v>
      </c>
      <c r="Y438" s="543">
        <f>IFERROR(Y435/H435,"0")+IFERROR(Y436/H436,"0")+IFERROR(Y437/H437,"0")</f>
        <v>95</v>
      </c>
      <c r="Z438" s="543">
        <f>IFERROR(IF(Z435="",0,Z435),"0")+IFERROR(IF(Z436="",0,Z436),"0")+IFERROR(IF(Z437="",0,Z437),"0")</f>
        <v>1.1362000000000001</v>
      </c>
      <c r="AA438" s="544"/>
      <c r="AB438" s="544"/>
      <c r="AC438" s="544"/>
    </row>
    <row r="439" spans="1:68" x14ac:dyDescent="0.2">
      <c r="A439" s="546"/>
      <c r="B439" s="546"/>
      <c r="C439" s="546"/>
      <c r="D439" s="546"/>
      <c r="E439" s="546"/>
      <c r="F439" s="546"/>
      <c r="G439" s="546"/>
      <c r="H439" s="546"/>
      <c r="I439" s="546"/>
      <c r="J439" s="546"/>
      <c r="K439" s="546"/>
      <c r="L439" s="546"/>
      <c r="M439" s="546"/>
      <c r="N439" s="546"/>
      <c r="O439" s="559"/>
      <c r="P439" s="550" t="s">
        <v>71</v>
      </c>
      <c r="Q439" s="551"/>
      <c r="R439" s="551"/>
      <c r="S439" s="551"/>
      <c r="T439" s="551"/>
      <c r="U439" s="551"/>
      <c r="V439" s="552"/>
      <c r="W439" s="37" t="s">
        <v>69</v>
      </c>
      <c r="X439" s="543">
        <f>IFERROR(SUM(X435:X437),"0")</f>
        <v>500</v>
      </c>
      <c r="Y439" s="543">
        <f>IFERROR(SUM(Y435:Y437),"0")</f>
        <v>501.6</v>
      </c>
      <c r="Z439" s="37"/>
      <c r="AA439" s="544"/>
      <c r="AB439" s="544"/>
      <c r="AC439" s="544"/>
    </row>
    <row r="440" spans="1:68" ht="14.25" hidden="1" customHeight="1" x14ac:dyDescent="0.25">
      <c r="A440" s="553" t="s">
        <v>64</v>
      </c>
      <c r="B440" s="546"/>
      <c r="C440" s="546"/>
      <c r="D440" s="546"/>
      <c r="E440" s="546"/>
      <c r="F440" s="546"/>
      <c r="G440" s="546"/>
      <c r="H440" s="546"/>
      <c r="I440" s="546"/>
      <c r="J440" s="546"/>
      <c r="K440" s="546"/>
      <c r="L440" s="546"/>
      <c r="M440" s="546"/>
      <c r="N440" s="546"/>
      <c r="O440" s="546"/>
      <c r="P440" s="546"/>
      <c r="Q440" s="546"/>
      <c r="R440" s="546"/>
      <c r="S440" s="546"/>
      <c r="T440" s="546"/>
      <c r="U440" s="546"/>
      <c r="V440" s="546"/>
      <c r="W440" s="546"/>
      <c r="X440" s="546"/>
      <c r="Y440" s="546"/>
      <c r="Z440" s="546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56">
        <v>4680115883116</v>
      </c>
      <c r="E441" s="557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200</v>
      </c>
      <c r="Y441" s="542">
        <f t="shared" ref="Y441:Y446" si="48">IFERROR(IF(X441="",0,CEILING((X441/$H441),1)*$H441),"")</f>
        <v>200.64000000000001</v>
      </c>
      <c r="Z441" s="36">
        <f>IFERROR(IF(Y441=0,"",ROUNDUP(Y441/H441,0)*0.01196),"")</f>
        <v>0.45448</v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213.25757575757575</v>
      </c>
      <c r="BN441" s="64">
        <f t="shared" ref="BN441:BN446" si="50">IFERROR(Y441*I441/H441,"0")</f>
        <v>213.94</v>
      </c>
      <c r="BO441" s="64">
        <f t="shared" ref="BO441:BO446" si="51">IFERROR(1/J441*(X441/H441),"0")</f>
        <v>0.36421911421911418</v>
      </c>
      <c r="BP441" s="64">
        <f t="shared" ref="BP441:BP446" si="52">IFERROR(1/J441*(Y441/H441),"0")</f>
        <v>0.36538461538461542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56">
        <v>4680115883093</v>
      </c>
      <c r="E442" s="557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7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120</v>
      </c>
      <c r="Y442" s="542">
        <f t="shared" si="48"/>
        <v>121.44000000000001</v>
      </c>
      <c r="Z442" s="36">
        <f>IFERROR(IF(Y442=0,"",ROUNDUP(Y442/H442,0)*0.01196),"")</f>
        <v>0.27507999999999999</v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127.95454545454545</v>
      </c>
      <c r="BN442" s="64">
        <f t="shared" si="50"/>
        <v>129.49</v>
      </c>
      <c r="BO442" s="64">
        <f t="shared" si="51"/>
        <v>0.21853146853146854</v>
      </c>
      <c r="BP442" s="64">
        <f t="shared" si="52"/>
        <v>0.22115384615384617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56">
        <v>4680115883109</v>
      </c>
      <c r="E443" s="557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85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200</v>
      </c>
      <c r="Y443" s="542">
        <f t="shared" si="48"/>
        <v>200.64000000000001</v>
      </c>
      <c r="Z443" s="36">
        <f>IFERROR(IF(Y443=0,"",ROUNDUP(Y443/H443,0)*0.01196),"")</f>
        <v>0.45448</v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213.25757575757575</v>
      </c>
      <c r="BN443" s="64">
        <f t="shared" si="50"/>
        <v>213.94</v>
      </c>
      <c r="BO443" s="64">
        <f t="shared" si="51"/>
        <v>0.36421911421911418</v>
      </c>
      <c r="BP443" s="64">
        <f t="shared" si="52"/>
        <v>0.36538461538461542</v>
      </c>
    </row>
    <row r="444" spans="1:68" ht="27" hidden="1" customHeight="1" x14ac:dyDescent="0.25">
      <c r="A444" s="54" t="s">
        <v>681</v>
      </c>
      <c r="B444" s="54" t="s">
        <v>682</v>
      </c>
      <c r="C444" s="31">
        <v>4301031419</v>
      </c>
      <c r="D444" s="556">
        <v>4680115882072</v>
      </c>
      <c r="E444" s="557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56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4301031418</v>
      </c>
      <c r="D445" s="556">
        <v>4680115882102</v>
      </c>
      <c r="E445" s="557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8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hidden="1" customHeight="1" x14ac:dyDescent="0.25">
      <c r="A446" s="54" t="s">
        <v>685</v>
      </c>
      <c r="B446" s="54" t="s">
        <v>686</v>
      </c>
      <c r="C446" s="31">
        <v>4301031417</v>
      </c>
      <c r="D446" s="556">
        <v>4680115882096</v>
      </c>
      <c r="E446" s="557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8"/>
      <c r="B447" s="546"/>
      <c r="C447" s="546"/>
      <c r="D447" s="546"/>
      <c r="E447" s="546"/>
      <c r="F447" s="546"/>
      <c r="G447" s="546"/>
      <c r="H447" s="546"/>
      <c r="I447" s="546"/>
      <c r="J447" s="546"/>
      <c r="K447" s="546"/>
      <c r="L447" s="546"/>
      <c r="M447" s="546"/>
      <c r="N447" s="546"/>
      <c r="O447" s="559"/>
      <c r="P447" s="550" t="s">
        <v>71</v>
      </c>
      <c r="Q447" s="551"/>
      <c r="R447" s="551"/>
      <c r="S447" s="551"/>
      <c r="T447" s="551"/>
      <c r="U447" s="551"/>
      <c r="V447" s="552"/>
      <c r="W447" s="37" t="s">
        <v>72</v>
      </c>
      <c r="X447" s="543">
        <f>IFERROR(X441/H441,"0")+IFERROR(X442/H442,"0")+IFERROR(X443/H443,"0")+IFERROR(X444/H444,"0")+IFERROR(X445/H445,"0")+IFERROR(X446/H446,"0")</f>
        <v>98.48484848484847</v>
      </c>
      <c r="Y447" s="543">
        <f>IFERROR(Y441/H441,"0")+IFERROR(Y442/H442,"0")+IFERROR(Y443/H443,"0")+IFERROR(Y444/H444,"0")+IFERROR(Y445/H445,"0")+IFERROR(Y446/H446,"0")</f>
        <v>99</v>
      </c>
      <c r="Z447" s="543">
        <f>IFERROR(IF(Z441="",0,Z441),"0")+IFERROR(IF(Z442="",0,Z442),"0")+IFERROR(IF(Z443="",0,Z443),"0")+IFERROR(IF(Z444="",0,Z444),"0")+IFERROR(IF(Z445="",0,Z445),"0")+IFERROR(IF(Z446="",0,Z446),"0")</f>
        <v>1.18404</v>
      </c>
      <c r="AA447" s="544"/>
      <c r="AB447" s="544"/>
      <c r="AC447" s="544"/>
    </row>
    <row r="448" spans="1:68" x14ac:dyDescent="0.2">
      <c r="A448" s="546"/>
      <c r="B448" s="546"/>
      <c r="C448" s="546"/>
      <c r="D448" s="546"/>
      <c r="E448" s="546"/>
      <c r="F448" s="546"/>
      <c r="G448" s="546"/>
      <c r="H448" s="546"/>
      <c r="I448" s="546"/>
      <c r="J448" s="546"/>
      <c r="K448" s="546"/>
      <c r="L448" s="546"/>
      <c r="M448" s="546"/>
      <c r="N448" s="546"/>
      <c r="O448" s="559"/>
      <c r="P448" s="550" t="s">
        <v>71</v>
      </c>
      <c r="Q448" s="551"/>
      <c r="R448" s="551"/>
      <c r="S448" s="551"/>
      <c r="T448" s="551"/>
      <c r="U448" s="551"/>
      <c r="V448" s="552"/>
      <c r="W448" s="37" t="s">
        <v>69</v>
      </c>
      <c r="X448" s="543">
        <f>IFERROR(SUM(X441:X446),"0")</f>
        <v>520</v>
      </c>
      <c r="Y448" s="543">
        <f>IFERROR(SUM(Y441:Y446),"0")</f>
        <v>522.72</v>
      </c>
      <c r="Z448" s="37"/>
      <c r="AA448" s="544"/>
      <c r="AB448" s="544"/>
      <c r="AC448" s="544"/>
    </row>
    <row r="449" spans="1:68" ht="14.25" hidden="1" customHeight="1" x14ac:dyDescent="0.25">
      <c r="A449" s="553" t="s">
        <v>73</v>
      </c>
      <c r="B449" s="546"/>
      <c r="C449" s="546"/>
      <c r="D449" s="546"/>
      <c r="E449" s="546"/>
      <c r="F449" s="546"/>
      <c r="G449" s="546"/>
      <c r="H449" s="546"/>
      <c r="I449" s="546"/>
      <c r="J449" s="546"/>
      <c r="K449" s="546"/>
      <c r="L449" s="546"/>
      <c r="M449" s="546"/>
      <c r="N449" s="546"/>
      <c r="O449" s="546"/>
      <c r="P449" s="546"/>
      <c r="Q449" s="546"/>
      <c r="R449" s="546"/>
      <c r="S449" s="546"/>
      <c r="T449" s="546"/>
      <c r="U449" s="546"/>
      <c r="V449" s="546"/>
      <c r="W449" s="546"/>
      <c r="X449" s="546"/>
      <c r="Y449" s="546"/>
      <c r="Z449" s="546"/>
      <c r="AA449" s="537"/>
      <c r="AB449" s="537"/>
      <c r="AC449" s="537"/>
    </row>
    <row r="450" spans="1:68" ht="16.5" hidden="1" customHeight="1" x14ac:dyDescent="0.25">
      <c r="A450" s="54" t="s">
        <v>687</v>
      </c>
      <c r="B450" s="54" t="s">
        <v>688</v>
      </c>
      <c r="C450" s="31">
        <v>4301051232</v>
      </c>
      <c r="D450" s="556">
        <v>4607091383409</v>
      </c>
      <c r="E450" s="557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70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690</v>
      </c>
      <c r="B451" s="54" t="s">
        <v>691</v>
      </c>
      <c r="C451" s="31">
        <v>4301051233</v>
      </c>
      <c r="D451" s="556">
        <v>4607091383416</v>
      </c>
      <c r="E451" s="557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49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693</v>
      </c>
      <c r="B452" s="54" t="s">
        <v>694</v>
      </c>
      <c r="C452" s="31">
        <v>4301051064</v>
      </c>
      <c r="D452" s="556">
        <v>4680115883536</v>
      </c>
      <c r="E452" s="557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858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8"/>
      <c r="B453" s="546"/>
      <c r="C453" s="546"/>
      <c r="D453" s="546"/>
      <c r="E453" s="546"/>
      <c r="F453" s="546"/>
      <c r="G453" s="546"/>
      <c r="H453" s="546"/>
      <c r="I453" s="546"/>
      <c r="J453" s="546"/>
      <c r="K453" s="546"/>
      <c r="L453" s="546"/>
      <c r="M453" s="546"/>
      <c r="N453" s="546"/>
      <c r="O453" s="559"/>
      <c r="P453" s="550" t="s">
        <v>71</v>
      </c>
      <c r="Q453" s="551"/>
      <c r="R453" s="551"/>
      <c r="S453" s="551"/>
      <c r="T453" s="551"/>
      <c r="U453" s="551"/>
      <c r="V453" s="552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46"/>
      <c r="B454" s="546"/>
      <c r="C454" s="546"/>
      <c r="D454" s="546"/>
      <c r="E454" s="546"/>
      <c r="F454" s="546"/>
      <c r="G454" s="546"/>
      <c r="H454" s="546"/>
      <c r="I454" s="546"/>
      <c r="J454" s="546"/>
      <c r="K454" s="546"/>
      <c r="L454" s="546"/>
      <c r="M454" s="546"/>
      <c r="N454" s="546"/>
      <c r="O454" s="559"/>
      <c r="P454" s="550" t="s">
        <v>71</v>
      </c>
      <c r="Q454" s="551"/>
      <c r="R454" s="551"/>
      <c r="S454" s="551"/>
      <c r="T454" s="551"/>
      <c r="U454" s="551"/>
      <c r="V454" s="552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45" t="s">
        <v>696</v>
      </c>
      <c r="B455" s="646"/>
      <c r="C455" s="646"/>
      <c r="D455" s="646"/>
      <c r="E455" s="646"/>
      <c r="F455" s="646"/>
      <c r="G455" s="646"/>
      <c r="H455" s="646"/>
      <c r="I455" s="646"/>
      <c r="J455" s="646"/>
      <c r="K455" s="646"/>
      <c r="L455" s="646"/>
      <c r="M455" s="646"/>
      <c r="N455" s="646"/>
      <c r="O455" s="646"/>
      <c r="P455" s="646"/>
      <c r="Q455" s="646"/>
      <c r="R455" s="646"/>
      <c r="S455" s="646"/>
      <c r="T455" s="646"/>
      <c r="U455" s="646"/>
      <c r="V455" s="646"/>
      <c r="W455" s="646"/>
      <c r="X455" s="646"/>
      <c r="Y455" s="646"/>
      <c r="Z455" s="646"/>
      <c r="AA455" s="48"/>
      <c r="AB455" s="48"/>
      <c r="AC455" s="48"/>
    </row>
    <row r="456" spans="1:68" ht="16.5" hidden="1" customHeight="1" x14ac:dyDescent="0.25">
      <c r="A456" s="545" t="s">
        <v>696</v>
      </c>
      <c r="B456" s="546"/>
      <c r="C456" s="546"/>
      <c r="D456" s="546"/>
      <c r="E456" s="546"/>
      <c r="F456" s="546"/>
      <c r="G456" s="546"/>
      <c r="H456" s="546"/>
      <c r="I456" s="546"/>
      <c r="J456" s="546"/>
      <c r="K456" s="546"/>
      <c r="L456" s="546"/>
      <c r="M456" s="546"/>
      <c r="N456" s="546"/>
      <c r="O456" s="546"/>
      <c r="P456" s="546"/>
      <c r="Q456" s="546"/>
      <c r="R456" s="546"/>
      <c r="S456" s="546"/>
      <c r="T456" s="546"/>
      <c r="U456" s="546"/>
      <c r="V456" s="546"/>
      <c r="W456" s="546"/>
      <c r="X456" s="546"/>
      <c r="Y456" s="546"/>
      <c r="Z456" s="546"/>
      <c r="AA456" s="536"/>
      <c r="AB456" s="536"/>
      <c r="AC456" s="536"/>
    </row>
    <row r="457" spans="1:68" ht="14.25" hidden="1" customHeight="1" x14ac:dyDescent="0.25">
      <c r="A457" s="553" t="s">
        <v>99</v>
      </c>
      <c r="B457" s="546"/>
      <c r="C457" s="546"/>
      <c r="D457" s="546"/>
      <c r="E457" s="546"/>
      <c r="F457" s="546"/>
      <c r="G457" s="546"/>
      <c r="H457" s="546"/>
      <c r="I457" s="546"/>
      <c r="J457" s="546"/>
      <c r="K457" s="546"/>
      <c r="L457" s="546"/>
      <c r="M457" s="546"/>
      <c r="N457" s="546"/>
      <c r="O457" s="546"/>
      <c r="P457" s="546"/>
      <c r="Q457" s="546"/>
      <c r="R457" s="546"/>
      <c r="S457" s="546"/>
      <c r="T457" s="546"/>
      <c r="U457" s="546"/>
      <c r="V457" s="546"/>
      <c r="W457" s="546"/>
      <c r="X457" s="546"/>
      <c r="Y457" s="546"/>
      <c r="Z457" s="546"/>
      <c r="AA457" s="537"/>
      <c r="AB457" s="537"/>
      <c r="AC457" s="537"/>
    </row>
    <row r="458" spans="1:68" ht="27" hidden="1" customHeight="1" x14ac:dyDescent="0.25">
      <c r="A458" s="54" t="s">
        <v>697</v>
      </c>
      <c r="B458" s="54" t="s">
        <v>698</v>
      </c>
      <c r="C458" s="31">
        <v>4301011763</v>
      </c>
      <c r="D458" s="556">
        <v>4640242181011</v>
      </c>
      <c r="E458" s="557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83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700</v>
      </c>
      <c r="B459" s="54" t="s">
        <v>701</v>
      </c>
      <c r="C459" s="31">
        <v>4301011585</v>
      </c>
      <c r="D459" s="556">
        <v>4640242180441</v>
      </c>
      <c r="E459" s="557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69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703</v>
      </c>
      <c r="B460" s="54" t="s">
        <v>704</v>
      </c>
      <c r="C460" s="31">
        <v>4301011584</v>
      </c>
      <c r="D460" s="556">
        <v>4640242180564</v>
      </c>
      <c r="E460" s="557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 t="s">
        <v>103</v>
      </c>
      <c r="M460" s="33" t="s">
        <v>104</v>
      </c>
      <c r="N460" s="33"/>
      <c r="O460" s="32">
        <v>50</v>
      </c>
      <c r="P460" s="67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 t="s">
        <v>106</v>
      </c>
      <c r="AK460" s="68">
        <v>96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4301011764</v>
      </c>
      <c r="D461" s="556">
        <v>4640242181189</v>
      </c>
      <c r="E461" s="557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66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8"/>
      <c r="B462" s="546"/>
      <c r="C462" s="546"/>
      <c r="D462" s="546"/>
      <c r="E462" s="546"/>
      <c r="F462" s="546"/>
      <c r="G462" s="546"/>
      <c r="H462" s="546"/>
      <c r="I462" s="546"/>
      <c r="J462" s="546"/>
      <c r="K462" s="546"/>
      <c r="L462" s="546"/>
      <c r="M462" s="546"/>
      <c r="N462" s="546"/>
      <c r="O462" s="559"/>
      <c r="P462" s="550" t="s">
        <v>71</v>
      </c>
      <c r="Q462" s="551"/>
      <c r="R462" s="551"/>
      <c r="S462" s="551"/>
      <c r="T462" s="551"/>
      <c r="U462" s="551"/>
      <c r="V462" s="552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46"/>
      <c r="B463" s="546"/>
      <c r="C463" s="546"/>
      <c r="D463" s="546"/>
      <c r="E463" s="546"/>
      <c r="F463" s="546"/>
      <c r="G463" s="546"/>
      <c r="H463" s="546"/>
      <c r="I463" s="546"/>
      <c r="J463" s="546"/>
      <c r="K463" s="546"/>
      <c r="L463" s="546"/>
      <c r="M463" s="546"/>
      <c r="N463" s="546"/>
      <c r="O463" s="559"/>
      <c r="P463" s="550" t="s">
        <v>71</v>
      </c>
      <c r="Q463" s="551"/>
      <c r="R463" s="551"/>
      <c r="S463" s="551"/>
      <c r="T463" s="551"/>
      <c r="U463" s="551"/>
      <c r="V463" s="552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3" t="s">
        <v>135</v>
      </c>
      <c r="B464" s="546"/>
      <c r="C464" s="546"/>
      <c r="D464" s="546"/>
      <c r="E464" s="546"/>
      <c r="F464" s="546"/>
      <c r="G464" s="546"/>
      <c r="H464" s="546"/>
      <c r="I464" s="546"/>
      <c r="J464" s="546"/>
      <c r="K464" s="546"/>
      <c r="L464" s="546"/>
      <c r="M464" s="546"/>
      <c r="N464" s="546"/>
      <c r="O464" s="546"/>
      <c r="P464" s="546"/>
      <c r="Q464" s="546"/>
      <c r="R464" s="546"/>
      <c r="S464" s="546"/>
      <c r="T464" s="546"/>
      <c r="U464" s="546"/>
      <c r="V464" s="546"/>
      <c r="W464" s="546"/>
      <c r="X464" s="546"/>
      <c r="Y464" s="546"/>
      <c r="Z464" s="546"/>
      <c r="AA464" s="537"/>
      <c r="AB464" s="537"/>
      <c r="AC464" s="537"/>
    </row>
    <row r="465" spans="1:68" ht="27" hidden="1" customHeight="1" x14ac:dyDescent="0.25">
      <c r="A465" s="54" t="s">
        <v>708</v>
      </c>
      <c r="B465" s="54" t="s">
        <v>709</v>
      </c>
      <c r="C465" s="31">
        <v>4301020400</v>
      </c>
      <c r="D465" s="556">
        <v>4640242180519</v>
      </c>
      <c r="E465" s="557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711</v>
      </c>
      <c r="B466" s="54" t="s">
        <v>712</v>
      </c>
      <c r="C466" s="31">
        <v>4301020260</v>
      </c>
      <c r="D466" s="556">
        <v>4640242180526</v>
      </c>
      <c r="E466" s="557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80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714</v>
      </c>
      <c r="B467" s="54" t="s">
        <v>715</v>
      </c>
      <c r="C467" s="31">
        <v>4301020295</v>
      </c>
      <c r="D467" s="556">
        <v>4640242181363</v>
      </c>
      <c r="E467" s="557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78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8"/>
      <c r="B468" s="546"/>
      <c r="C468" s="546"/>
      <c r="D468" s="546"/>
      <c r="E468" s="546"/>
      <c r="F468" s="546"/>
      <c r="G468" s="546"/>
      <c r="H468" s="546"/>
      <c r="I468" s="546"/>
      <c r="J468" s="546"/>
      <c r="K468" s="546"/>
      <c r="L468" s="546"/>
      <c r="M468" s="546"/>
      <c r="N468" s="546"/>
      <c r="O468" s="559"/>
      <c r="P468" s="550" t="s">
        <v>71</v>
      </c>
      <c r="Q468" s="551"/>
      <c r="R468" s="551"/>
      <c r="S468" s="551"/>
      <c r="T468" s="551"/>
      <c r="U468" s="551"/>
      <c r="V468" s="552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46"/>
      <c r="B469" s="546"/>
      <c r="C469" s="546"/>
      <c r="D469" s="546"/>
      <c r="E469" s="546"/>
      <c r="F469" s="546"/>
      <c r="G469" s="546"/>
      <c r="H469" s="546"/>
      <c r="I469" s="546"/>
      <c r="J469" s="546"/>
      <c r="K469" s="546"/>
      <c r="L469" s="546"/>
      <c r="M469" s="546"/>
      <c r="N469" s="546"/>
      <c r="O469" s="559"/>
      <c r="P469" s="550" t="s">
        <v>71</v>
      </c>
      <c r="Q469" s="551"/>
      <c r="R469" s="551"/>
      <c r="S469" s="551"/>
      <c r="T469" s="551"/>
      <c r="U469" s="551"/>
      <c r="V469" s="552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3" t="s">
        <v>64</v>
      </c>
      <c r="B470" s="546"/>
      <c r="C470" s="546"/>
      <c r="D470" s="546"/>
      <c r="E470" s="546"/>
      <c r="F470" s="546"/>
      <c r="G470" s="546"/>
      <c r="H470" s="546"/>
      <c r="I470" s="546"/>
      <c r="J470" s="546"/>
      <c r="K470" s="546"/>
      <c r="L470" s="546"/>
      <c r="M470" s="546"/>
      <c r="N470" s="546"/>
      <c r="O470" s="546"/>
      <c r="P470" s="546"/>
      <c r="Q470" s="546"/>
      <c r="R470" s="546"/>
      <c r="S470" s="546"/>
      <c r="T470" s="546"/>
      <c r="U470" s="546"/>
      <c r="V470" s="546"/>
      <c r="W470" s="546"/>
      <c r="X470" s="546"/>
      <c r="Y470" s="546"/>
      <c r="Z470" s="546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56">
        <v>4640242180816</v>
      </c>
      <c r="E471" s="557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838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50</v>
      </c>
      <c r="Y471" s="542">
        <f>IFERROR(IF(X471="",0,CEILING((X471/$H471),1)*$H471),"")</f>
        <v>50.400000000000006</v>
      </c>
      <c r="Z471" s="36">
        <f>IFERROR(IF(Y471=0,"",ROUNDUP(Y471/H471,0)*0.00902),"")</f>
        <v>0.10824</v>
      </c>
      <c r="AA471" s="56"/>
      <c r="AB471" s="57"/>
      <c r="AC471" s="521" t="s">
        <v>719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52.976190476190474</v>
      </c>
      <c r="BN471" s="64">
        <f>IFERROR(Y471*I471/H471,"0")</f>
        <v>53.400000000000006</v>
      </c>
      <c r="BO471" s="64">
        <f>IFERROR(1/J471*(X471/H471),"0")</f>
        <v>9.0187590187590191E-2</v>
      </c>
      <c r="BP471" s="64">
        <f>IFERROR(1/J471*(Y471/H471),"0")</f>
        <v>9.0909090909090912E-2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56">
        <v>4640242180595</v>
      </c>
      <c r="E472" s="557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 t="s">
        <v>110</v>
      </c>
      <c r="M472" s="33" t="s">
        <v>68</v>
      </c>
      <c r="N472" s="33"/>
      <c r="O472" s="32">
        <v>40</v>
      </c>
      <c r="P472" s="68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100</v>
      </c>
      <c r="Y472" s="542">
        <f>IFERROR(IF(X472="",0,CEILING((X472/$H472),1)*$H472),"")</f>
        <v>100.80000000000001</v>
      </c>
      <c r="Z472" s="36">
        <f>IFERROR(IF(Y472=0,"",ROUNDUP(Y472/H472,0)*0.00902),"")</f>
        <v>0.21648000000000001</v>
      </c>
      <c r="AA472" s="56"/>
      <c r="AB472" s="57"/>
      <c r="AC472" s="523" t="s">
        <v>722</v>
      </c>
      <c r="AG472" s="64"/>
      <c r="AJ472" s="68" t="s">
        <v>106</v>
      </c>
      <c r="AK472" s="68">
        <v>50.4</v>
      </c>
      <c r="BB472" s="524" t="s">
        <v>1</v>
      </c>
      <c r="BM472" s="64">
        <f>IFERROR(X472*I472/H472,"0")</f>
        <v>105.95238095238095</v>
      </c>
      <c r="BN472" s="64">
        <f>IFERROR(Y472*I472/H472,"0")</f>
        <v>106.80000000000001</v>
      </c>
      <c r="BO472" s="64">
        <f>IFERROR(1/J472*(X472/H472),"0")</f>
        <v>0.18037518037518038</v>
      </c>
      <c r="BP472" s="64">
        <f>IFERROR(1/J472*(Y472/H472),"0")</f>
        <v>0.18181818181818182</v>
      </c>
    </row>
    <row r="473" spans="1:68" x14ac:dyDescent="0.2">
      <c r="A473" s="558"/>
      <c r="B473" s="546"/>
      <c r="C473" s="546"/>
      <c r="D473" s="546"/>
      <c r="E473" s="546"/>
      <c r="F473" s="546"/>
      <c r="G473" s="546"/>
      <c r="H473" s="546"/>
      <c r="I473" s="546"/>
      <c r="J473" s="546"/>
      <c r="K473" s="546"/>
      <c r="L473" s="546"/>
      <c r="M473" s="546"/>
      <c r="N473" s="546"/>
      <c r="O473" s="559"/>
      <c r="P473" s="550" t="s">
        <v>71</v>
      </c>
      <c r="Q473" s="551"/>
      <c r="R473" s="551"/>
      <c r="S473" s="551"/>
      <c r="T473" s="551"/>
      <c r="U473" s="551"/>
      <c r="V473" s="552"/>
      <c r="W473" s="37" t="s">
        <v>72</v>
      </c>
      <c r="X473" s="543">
        <f>IFERROR(X471/H471,"0")+IFERROR(X472/H472,"0")</f>
        <v>35.714285714285715</v>
      </c>
      <c r="Y473" s="543">
        <f>IFERROR(Y471/H471,"0")+IFERROR(Y472/H472,"0")</f>
        <v>36</v>
      </c>
      <c r="Z473" s="543">
        <f>IFERROR(IF(Z471="",0,Z471),"0")+IFERROR(IF(Z472="",0,Z472),"0")</f>
        <v>0.32472000000000001</v>
      </c>
      <c r="AA473" s="544"/>
      <c r="AB473" s="544"/>
      <c r="AC473" s="544"/>
    </row>
    <row r="474" spans="1:68" x14ac:dyDescent="0.2">
      <c r="A474" s="546"/>
      <c r="B474" s="546"/>
      <c r="C474" s="546"/>
      <c r="D474" s="546"/>
      <c r="E474" s="546"/>
      <c r="F474" s="546"/>
      <c r="G474" s="546"/>
      <c r="H474" s="546"/>
      <c r="I474" s="546"/>
      <c r="J474" s="546"/>
      <c r="K474" s="546"/>
      <c r="L474" s="546"/>
      <c r="M474" s="546"/>
      <c r="N474" s="546"/>
      <c r="O474" s="559"/>
      <c r="P474" s="550" t="s">
        <v>71</v>
      </c>
      <c r="Q474" s="551"/>
      <c r="R474" s="551"/>
      <c r="S474" s="551"/>
      <c r="T474" s="551"/>
      <c r="U474" s="551"/>
      <c r="V474" s="552"/>
      <c r="W474" s="37" t="s">
        <v>69</v>
      </c>
      <c r="X474" s="543">
        <f>IFERROR(SUM(X471:X472),"0")</f>
        <v>150</v>
      </c>
      <c r="Y474" s="543">
        <f>IFERROR(SUM(Y471:Y472),"0")</f>
        <v>151.20000000000002</v>
      </c>
      <c r="Z474" s="37"/>
      <c r="AA474" s="544"/>
      <c r="AB474" s="544"/>
      <c r="AC474" s="544"/>
    </row>
    <row r="475" spans="1:68" ht="14.25" hidden="1" customHeight="1" x14ac:dyDescent="0.25">
      <c r="A475" s="553" t="s">
        <v>73</v>
      </c>
      <c r="B475" s="546"/>
      <c r="C475" s="546"/>
      <c r="D475" s="546"/>
      <c r="E475" s="546"/>
      <c r="F475" s="546"/>
      <c r="G475" s="546"/>
      <c r="H475" s="546"/>
      <c r="I475" s="546"/>
      <c r="J475" s="546"/>
      <c r="K475" s="546"/>
      <c r="L475" s="546"/>
      <c r="M475" s="546"/>
      <c r="N475" s="546"/>
      <c r="O475" s="546"/>
      <c r="P475" s="546"/>
      <c r="Q475" s="546"/>
      <c r="R475" s="546"/>
      <c r="S475" s="546"/>
      <c r="T475" s="546"/>
      <c r="U475" s="546"/>
      <c r="V475" s="546"/>
      <c r="W475" s="546"/>
      <c r="X475" s="546"/>
      <c r="Y475" s="546"/>
      <c r="Z475" s="546"/>
      <c r="AA475" s="537"/>
      <c r="AB475" s="537"/>
      <c r="AC475" s="537"/>
    </row>
    <row r="476" spans="1:68" ht="27" hidden="1" customHeight="1" x14ac:dyDescent="0.25">
      <c r="A476" s="54" t="s">
        <v>723</v>
      </c>
      <c r="B476" s="54" t="s">
        <v>724</v>
      </c>
      <c r="C476" s="31">
        <v>4301052046</v>
      </c>
      <c r="D476" s="556">
        <v>4640242180533</v>
      </c>
      <c r="E476" s="557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83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58"/>
      <c r="B477" s="546"/>
      <c r="C477" s="546"/>
      <c r="D477" s="546"/>
      <c r="E477" s="546"/>
      <c r="F477" s="546"/>
      <c r="G477" s="546"/>
      <c r="H477" s="546"/>
      <c r="I477" s="546"/>
      <c r="J477" s="546"/>
      <c r="K477" s="546"/>
      <c r="L477" s="546"/>
      <c r="M477" s="546"/>
      <c r="N477" s="546"/>
      <c r="O477" s="559"/>
      <c r="P477" s="550" t="s">
        <v>71</v>
      </c>
      <c r="Q477" s="551"/>
      <c r="R477" s="551"/>
      <c r="S477" s="551"/>
      <c r="T477" s="551"/>
      <c r="U477" s="551"/>
      <c r="V477" s="552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hidden="1" x14ac:dyDescent="0.2">
      <c r="A478" s="546"/>
      <c r="B478" s="546"/>
      <c r="C478" s="546"/>
      <c r="D478" s="546"/>
      <c r="E478" s="546"/>
      <c r="F478" s="546"/>
      <c r="G478" s="546"/>
      <c r="H478" s="546"/>
      <c r="I478" s="546"/>
      <c r="J478" s="546"/>
      <c r="K478" s="546"/>
      <c r="L478" s="546"/>
      <c r="M478" s="546"/>
      <c r="N478" s="546"/>
      <c r="O478" s="559"/>
      <c r="P478" s="550" t="s">
        <v>71</v>
      </c>
      <c r="Q478" s="551"/>
      <c r="R478" s="551"/>
      <c r="S478" s="551"/>
      <c r="T478" s="551"/>
      <c r="U478" s="551"/>
      <c r="V478" s="552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hidden="1" customHeight="1" x14ac:dyDescent="0.25">
      <c r="A479" s="553" t="s">
        <v>163</v>
      </c>
      <c r="B479" s="546"/>
      <c r="C479" s="546"/>
      <c r="D479" s="546"/>
      <c r="E479" s="546"/>
      <c r="F479" s="546"/>
      <c r="G479" s="546"/>
      <c r="H479" s="546"/>
      <c r="I479" s="546"/>
      <c r="J479" s="546"/>
      <c r="K479" s="546"/>
      <c r="L479" s="546"/>
      <c r="M479" s="546"/>
      <c r="N479" s="546"/>
      <c r="O479" s="546"/>
      <c r="P479" s="546"/>
      <c r="Q479" s="546"/>
      <c r="R479" s="546"/>
      <c r="S479" s="546"/>
      <c r="T479" s="546"/>
      <c r="U479" s="546"/>
      <c r="V479" s="546"/>
      <c r="W479" s="546"/>
      <c r="X479" s="546"/>
      <c r="Y479" s="546"/>
      <c r="Z479" s="546"/>
      <c r="AA479" s="537"/>
      <c r="AB479" s="537"/>
      <c r="AC479" s="537"/>
    </row>
    <row r="480" spans="1:68" ht="27" hidden="1" customHeight="1" x14ac:dyDescent="0.25">
      <c r="A480" s="54" t="s">
        <v>726</v>
      </c>
      <c r="B480" s="54" t="s">
        <v>727</v>
      </c>
      <c r="C480" s="31">
        <v>4301060491</v>
      </c>
      <c r="D480" s="556">
        <v>4640242180120</v>
      </c>
      <c r="E480" s="557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78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729</v>
      </c>
      <c r="B481" s="54" t="s">
        <v>730</v>
      </c>
      <c r="C481" s="31">
        <v>4301060493</v>
      </c>
      <c r="D481" s="556">
        <v>4640242180137</v>
      </c>
      <c r="E481" s="557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7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8"/>
      <c r="B482" s="546"/>
      <c r="C482" s="546"/>
      <c r="D482" s="546"/>
      <c r="E482" s="546"/>
      <c r="F482" s="546"/>
      <c r="G482" s="546"/>
      <c r="H482" s="546"/>
      <c r="I482" s="546"/>
      <c r="J482" s="546"/>
      <c r="K482" s="546"/>
      <c r="L482" s="546"/>
      <c r="M482" s="546"/>
      <c r="N482" s="546"/>
      <c r="O482" s="559"/>
      <c r="P482" s="550" t="s">
        <v>71</v>
      </c>
      <c r="Q482" s="551"/>
      <c r="R482" s="551"/>
      <c r="S482" s="551"/>
      <c r="T482" s="551"/>
      <c r="U482" s="551"/>
      <c r="V482" s="552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46"/>
      <c r="B483" s="546"/>
      <c r="C483" s="546"/>
      <c r="D483" s="546"/>
      <c r="E483" s="546"/>
      <c r="F483" s="546"/>
      <c r="G483" s="546"/>
      <c r="H483" s="546"/>
      <c r="I483" s="546"/>
      <c r="J483" s="546"/>
      <c r="K483" s="546"/>
      <c r="L483" s="546"/>
      <c r="M483" s="546"/>
      <c r="N483" s="546"/>
      <c r="O483" s="559"/>
      <c r="P483" s="550" t="s">
        <v>71</v>
      </c>
      <c r="Q483" s="551"/>
      <c r="R483" s="551"/>
      <c r="S483" s="551"/>
      <c r="T483" s="551"/>
      <c r="U483" s="551"/>
      <c r="V483" s="552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45" t="s">
        <v>732</v>
      </c>
      <c r="B484" s="546"/>
      <c r="C484" s="546"/>
      <c r="D484" s="546"/>
      <c r="E484" s="546"/>
      <c r="F484" s="546"/>
      <c r="G484" s="546"/>
      <c r="H484" s="546"/>
      <c r="I484" s="546"/>
      <c r="J484" s="546"/>
      <c r="K484" s="546"/>
      <c r="L484" s="546"/>
      <c r="M484" s="546"/>
      <c r="N484" s="546"/>
      <c r="O484" s="546"/>
      <c r="P484" s="546"/>
      <c r="Q484" s="546"/>
      <c r="R484" s="546"/>
      <c r="S484" s="546"/>
      <c r="T484" s="546"/>
      <c r="U484" s="546"/>
      <c r="V484" s="546"/>
      <c r="W484" s="546"/>
      <c r="X484" s="546"/>
      <c r="Y484" s="546"/>
      <c r="Z484" s="546"/>
      <c r="AA484" s="536"/>
      <c r="AB484" s="536"/>
      <c r="AC484" s="536"/>
    </row>
    <row r="485" spans="1:68" ht="14.25" hidden="1" customHeight="1" x14ac:dyDescent="0.25">
      <c r="A485" s="553" t="s">
        <v>135</v>
      </c>
      <c r="B485" s="546"/>
      <c r="C485" s="546"/>
      <c r="D485" s="546"/>
      <c r="E485" s="546"/>
      <c r="F485" s="546"/>
      <c r="G485" s="546"/>
      <c r="H485" s="546"/>
      <c r="I485" s="546"/>
      <c r="J485" s="546"/>
      <c r="K485" s="546"/>
      <c r="L485" s="546"/>
      <c r="M485" s="546"/>
      <c r="N485" s="546"/>
      <c r="O485" s="546"/>
      <c r="P485" s="546"/>
      <c r="Q485" s="546"/>
      <c r="R485" s="546"/>
      <c r="S485" s="546"/>
      <c r="T485" s="546"/>
      <c r="U485" s="546"/>
      <c r="V485" s="546"/>
      <c r="W485" s="546"/>
      <c r="X485" s="546"/>
      <c r="Y485" s="546"/>
      <c r="Z485" s="546"/>
      <c r="AA485" s="537"/>
      <c r="AB485" s="537"/>
      <c r="AC485" s="537"/>
    </row>
    <row r="486" spans="1:68" ht="27" hidden="1" customHeight="1" x14ac:dyDescent="0.25">
      <c r="A486" s="54" t="s">
        <v>733</v>
      </c>
      <c r="B486" s="54" t="s">
        <v>734</v>
      </c>
      <c r="C486" s="31">
        <v>4301020314</v>
      </c>
      <c r="D486" s="556">
        <v>4640242180090</v>
      </c>
      <c r="E486" s="557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61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8"/>
      <c r="B487" s="546"/>
      <c r="C487" s="546"/>
      <c r="D487" s="546"/>
      <c r="E487" s="546"/>
      <c r="F487" s="546"/>
      <c r="G487" s="546"/>
      <c r="H487" s="546"/>
      <c r="I487" s="546"/>
      <c r="J487" s="546"/>
      <c r="K487" s="546"/>
      <c r="L487" s="546"/>
      <c r="M487" s="546"/>
      <c r="N487" s="546"/>
      <c r="O487" s="559"/>
      <c r="P487" s="550" t="s">
        <v>71</v>
      </c>
      <c r="Q487" s="551"/>
      <c r="R487" s="551"/>
      <c r="S487" s="551"/>
      <c r="T487" s="551"/>
      <c r="U487" s="551"/>
      <c r="V487" s="552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46"/>
      <c r="B488" s="546"/>
      <c r="C488" s="546"/>
      <c r="D488" s="546"/>
      <c r="E488" s="546"/>
      <c r="F488" s="546"/>
      <c r="G488" s="546"/>
      <c r="H488" s="546"/>
      <c r="I488" s="546"/>
      <c r="J488" s="546"/>
      <c r="K488" s="546"/>
      <c r="L488" s="546"/>
      <c r="M488" s="546"/>
      <c r="N488" s="546"/>
      <c r="O488" s="559"/>
      <c r="P488" s="550" t="s">
        <v>71</v>
      </c>
      <c r="Q488" s="551"/>
      <c r="R488" s="551"/>
      <c r="S488" s="551"/>
      <c r="T488" s="551"/>
      <c r="U488" s="551"/>
      <c r="V488" s="552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574"/>
      <c r="B489" s="546"/>
      <c r="C489" s="546"/>
      <c r="D489" s="546"/>
      <c r="E489" s="546"/>
      <c r="F489" s="546"/>
      <c r="G489" s="546"/>
      <c r="H489" s="546"/>
      <c r="I489" s="546"/>
      <c r="J489" s="546"/>
      <c r="K489" s="546"/>
      <c r="L489" s="546"/>
      <c r="M489" s="546"/>
      <c r="N489" s="546"/>
      <c r="O489" s="575"/>
      <c r="P489" s="620" t="s">
        <v>736</v>
      </c>
      <c r="Q489" s="621"/>
      <c r="R489" s="621"/>
      <c r="S489" s="621"/>
      <c r="T489" s="621"/>
      <c r="U489" s="621"/>
      <c r="V489" s="603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16859.5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16920.960000000003</v>
      </c>
      <c r="Z489" s="37"/>
      <c r="AA489" s="544"/>
      <c r="AB489" s="544"/>
      <c r="AC489" s="544"/>
    </row>
    <row r="490" spans="1:68" x14ac:dyDescent="0.2">
      <c r="A490" s="546"/>
      <c r="B490" s="546"/>
      <c r="C490" s="546"/>
      <c r="D490" s="546"/>
      <c r="E490" s="546"/>
      <c r="F490" s="546"/>
      <c r="G490" s="546"/>
      <c r="H490" s="546"/>
      <c r="I490" s="546"/>
      <c r="J490" s="546"/>
      <c r="K490" s="546"/>
      <c r="L490" s="546"/>
      <c r="M490" s="546"/>
      <c r="N490" s="546"/>
      <c r="O490" s="575"/>
      <c r="P490" s="620" t="s">
        <v>737</v>
      </c>
      <c r="Q490" s="621"/>
      <c r="R490" s="621"/>
      <c r="S490" s="621"/>
      <c r="T490" s="621"/>
      <c r="U490" s="621"/>
      <c r="V490" s="603"/>
      <c r="W490" s="37" t="s">
        <v>69</v>
      </c>
      <c r="X490" s="543">
        <f>IFERROR(SUM(BM22:BM486),"0")</f>
        <v>17477.812377745711</v>
      </c>
      <c r="Y490" s="543">
        <f>IFERROR(SUM(BN22:BN486),"0")</f>
        <v>17542.133999999995</v>
      </c>
      <c r="Z490" s="37"/>
      <c r="AA490" s="544"/>
      <c r="AB490" s="544"/>
      <c r="AC490" s="544"/>
    </row>
    <row r="491" spans="1:68" x14ac:dyDescent="0.2">
      <c r="A491" s="546"/>
      <c r="B491" s="546"/>
      <c r="C491" s="546"/>
      <c r="D491" s="546"/>
      <c r="E491" s="546"/>
      <c r="F491" s="546"/>
      <c r="G491" s="546"/>
      <c r="H491" s="546"/>
      <c r="I491" s="546"/>
      <c r="J491" s="546"/>
      <c r="K491" s="546"/>
      <c r="L491" s="546"/>
      <c r="M491" s="546"/>
      <c r="N491" s="546"/>
      <c r="O491" s="575"/>
      <c r="P491" s="620" t="s">
        <v>738</v>
      </c>
      <c r="Q491" s="621"/>
      <c r="R491" s="621"/>
      <c r="S491" s="621"/>
      <c r="T491" s="621"/>
      <c r="U491" s="621"/>
      <c r="V491" s="603"/>
      <c r="W491" s="37" t="s">
        <v>739</v>
      </c>
      <c r="X491" s="38">
        <f>ROUNDUP(SUM(BO22:BO486),0)</f>
        <v>25</v>
      </c>
      <c r="Y491" s="38">
        <f>ROUNDUP(SUM(BP22:BP486),0)</f>
        <v>25</v>
      </c>
      <c r="Z491" s="37"/>
      <c r="AA491" s="544"/>
      <c r="AB491" s="544"/>
      <c r="AC491" s="544"/>
    </row>
    <row r="492" spans="1:68" x14ac:dyDescent="0.2">
      <c r="A492" s="546"/>
      <c r="B492" s="546"/>
      <c r="C492" s="546"/>
      <c r="D492" s="546"/>
      <c r="E492" s="546"/>
      <c r="F492" s="546"/>
      <c r="G492" s="546"/>
      <c r="H492" s="546"/>
      <c r="I492" s="546"/>
      <c r="J492" s="546"/>
      <c r="K492" s="546"/>
      <c r="L492" s="546"/>
      <c r="M492" s="546"/>
      <c r="N492" s="546"/>
      <c r="O492" s="575"/>
      <c r="P492" s="620" t="s">
        <v>740</v>
      </c>
      <c r="Q492" s="621"/>
      <c r="R492" s="621"/>
      <c r="S492" s="621"/>
      <c r="T492" s="621"/>
      <c r="U492" s="621"/>
      <c r="V492" s="603"/>
      <c r="W492" s="37" t="s">
        <v>69</v>
      </c>
      <c r="X492" s="543">
        <f>GrossWeightTotal+PalletQtyTotal*25</f>
        <v>18102.812377745711</v>
      </c>
      <c r="Y492" s="543">
        <f>GrossWeightTotalR+PalletQtyTotalR*25</f>
        <v>18167.133999999995</v>
      </c>
      <c r="Z492" s="37"/>
      <c r="AA492" s="544"/>
      <c r="AB492" s="544"/>
      <c r="AC492" s="544"/>
    </row>
    <row r="493" spans="1:68" x14ac:dyDescent="0.2">
      <c r="A493" s="546"/>
      <c r="B493" s="546"/>
      <c r="C493" s="546"/>
      <c r="D493" s="546"/>
      <c r="E493" s="546"/>
      <c r="F493" s="546"/>
      <c r="G493" s="546"/>
      <c r="H493" s="546"/>
      <c r="I493" s="546"/>
      <c r="J493" s="546"/>
      <c r="K493" s="546"/>
      <c r="L493" s="546"/>
      <c r="M493" s="546"/>
      <c r="N493" s="546"/>
      <c r="O493" s="575"/>
      <c r="P493" s="620" t="s">
        <v>741</v>
      </c>
      <c r="Q493" s="621"/>
      <c r="R493" s="621"/>
      <c r="S493" s="621"/>
      <c r="T493" s="621"/>
      <c r="U493" s="621"/>
      <c r="V493" s="603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1541.359628026295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1550</v>
      </c>
      <c r="Z493" s="37"/>
      <c r="AA493" s="544"/>
      <c r="AB493" s="544"/>
      <c r="AC493" s="544"/>
    </row>
    <row r="494" spans="1:68" ht="14.25" hidden="1" customHeight="1" x14ac:dyDescent="0.2">
      <c r="A494" s="546"/>
      <c r="B494" s="546"/>
      <c r="C494" s="546"/>
      <c r="D494" s="546"/>
      <c r="E494" s="546"/>
      <c r="F494" s="546"/>
      <c r="G494" s="546"/>
      <c r="H494" s="546"/>
      <c r="I494" s="546"/>
      <c r="J494" s="546"/>
      <c r="K494" s="546"/>
      <c r="L494" s="546"/>
      <c r="M494" s="546"/>
      <c r="N494" s="546"/>
      <c r="O494" s="575"/>
      <c r="P494" s="620" t="s">
        <v>742</v>
      </c>
      <c r="Q494" s="621"/>
      <c r="R494" s="621"/>
      <c r="S494" s="621"/>
      <c r="T494" s="621"/>
      <c r="U494" s="621"/>
      <c r="V494" s="603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26.898579999999999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54" t="s">
        <v>97</v>
      </c>
      <c r="D496" s="637"/>
      <c r="E496" s="637"/>
      <c r="F496" s="637"/>
      <c r="G496" s="637"/>
      <c r="H496" s="630"/>
      <c r="I496" s="554" t="s">
        <v>250</v>
      </c>
      <c r="J496" s="637"/>
      <c r="K496" s="637"/>
      <c r="L496" s="637"/>
      <c r="M496" s="637"/>
      <c r="N496" s="637"/>
      <c r="O496" s="637"/>
      <c r="P496" s="637"/>
      <c r="Q496" s="637"/>
      <c r="R496" s="630"/>
      <c r="S496" s="554" t="s">
        <v>530</v>
      </c>
      <c r="T496" s="630"/>
      <c r="U496" s="554" t="s">
        <v>585</v>
      </c>
      <c r="V496" s="637"/>
      <c r="W496" s="630"/>
      <c r="X496" s="538" t="s">
        <v>636</v>
      </c>
      <c r="Y496" s="554" t="s">
        <v>696</v>
      </c>
      <c r="Z496" s="630"/>
      <c r="AB496" s="52"/>
      <c r="AC496" s="52"/>
      <c r="AF496" s="539"/>
    </row>
    <row r="497" spans="1:32" ht="14.25" customHeight="1" thickTop="1" x14ac:dyDescent="0.2">
      <c r="A497" s="638" t="s">
        <v>745</v>
      </c>
      <c r="B497" s="554" t="s">
        <v>63</v>
      </c>
      <c r="C497" s="554" t="s">
        <v>98</v>
      </c>
      <c r="D497" s="554" t="s">
        <v>116</v>
      </c>
      <c r="E497" s="554" t="s">
        <v>170</v>
      </c>
      <c r="F497" s="554" t="s">
        <v>190</v>
      </c>
      <c r="G497" s="554" t="s">
        <v>220</v>
      </c>
      <c r="H497" s="554" t="s">
        <v>97</v>
      </c>
      <c r="I497" s="554" t="s">
        <v>251</v>
      </c>
      <c r="J497" s="554" t="s">
        <v>296</v>
      </c>
      <c r="K497" s="554" t="s">
        <v>355</v>
      </c>
      <c r="L497" s="554" t="s">
        <v>397</v>
      </c>
      <c r="M497" s="554" t="s">
        <v>413</v>
      </c>
      <c r="N497" s="539"/>
      <c r="O497" s="554" t="s">
        <v>424</v>
      </c>
      <c r="P497" s="554" t="s">
        <v>433</v>
      </c>
      <c r="Q497" s="554" t="s">
        <v>446</v>
      </c>
      <c r="R497" s="554" t="s">
        <v>520</v>
      </c>
      <c r="S497" s="554" t="s">
        <v>531</v>
      </c>
      <c r="T497" s="554" t="s">
        <v>566</v>
      </c>
      <c r="U497" s="554" t="s">
        <v>586</v>
      </c>
      <c r="V497" s="554" t="s">
        <v>617</v>
      </c>
      <c r="W497" s="554" t="s">
        <v>632</v>
      </c>
      <c r="X497" s="554" t="s">
        <v>636</v>
      </c>
      <c r="Y497" s="554" t="s">
        <v>696</v>
      </c>
      <c r="Z497" s="554" t="s">
        <v>732</v>
      </c>
      <c r="AB497" s="52"/>
      <c r="AC497" s="52"/>
      <c r="AF497" s="539"/>
    </row>
    <row r="498" spans="1:32" ht="13.5" customHeight="1" thickBot="1" x14ac:dyDescent="0.25">
      <c r="A498" s="639"/>
      <c r="B498" s="555"/>
      <c r="C498" s="555"/>
      <c r="D498" s="555"/>
      <c r="E498" s="555"/>
      <c r="F498" s="555"/>
      <c r="G498" s="555"/>
      <c r="H498" s="555"/>
      <c r="I498" s="555"/>
      <c r="J498" s="555"/>
      <c r="K498" s="555"/>
      <c r="L498" s="555"/>
      <c r="M498" s="555"/>
      <c r="N498" s="539"/>
      <c r="O498" s="555"/>
      <c r="P498" s="555"/>
      <c r="Q498" s="555"/>
      <c r="R498" s="555"/>
      <c r="S498" s="555"/>
      <c r="T498" s="555"/>
      <c r="U498" s="555"/>
      <c r="V498" s="555"/>
      <c r="W498" s="555"/>
      <c r="X498" s="555"/>
      <c r="Y498" s="555"/>
      <c r="Z498" s="555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54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249.3</v>
      </c>
      <c r="E499" s="46">
        <f>IFERROR(Y85*1,"0")+IFERROR(Y86*1,"0")+IFERROR(Y87*1,"0")+IFERROR(Y91*1,"0")+IFERROR(Y92*1,"0")+IFERROR(Y93*1,"0")+IFERROR(Y94*1,"0")</f>
        <v>405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197.10000000000002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151.20000000000002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81.599999999999994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50.400000000000006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13368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377.40000000000003</v>
      </c>
      <c r="V499" s="46">
        <f>IFERROR(Y403*1,"0")+IFERROR(Y407*1,"0")+IFERROR(Y408*1,"0")+IFERROR(Y409*1,"0")+IFERROR(Y410*1,"0")</f>
        <v>426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1409.7600000000002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151.20000000000002</v>
      </c>
      <c r="Z499" s="46">
        <f>IFERROR(Y486*1,"0")</f>
        <v>0</v>
      </c>
      <c r="AB499" s="52"/>
      <c r="AC499" s="52"/>
      <c r="AF499" s="539"/>
    </row>
  </sheetData>
  <sheetProtection algorithmName="SHA-512" hashValue="ja1GUQjaw7DiRMALpNZGp4GTMicZZGKAalw3D1QejLzGTfz7gAp0L/JNNu7xsh19KbKdJgXSjz9VZoGmqL8qKg==" saltValue="d+xitUp46JUZOnHzPZ69dw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41,36"/>
        <filter val="100,00"/>
        <filter val="120,00"/>
        <filter val="13,89"/>
        <filter val="15,74"/>
        <filter val="150,00"/>
        <filter val="16 859,50"/>
        <filter val="16,67"/>
        <filter val="17 477,81"/>
        <filter val="170,00"/>
        <filter val="18 102,81"/>
        <filter val="2 500,00"/>
        <filter val="200,00"/>
        <filter val="21,00"/>
        <filter val="22,50"/>
        <filter val="246,67"/>
        <filter val="25"/>
        <filter val="250,00"/>
        <filter val="3 000,00"/>
        <filter val="3 700,00"/>
        <filter val="30,00"/>
        <filter val="33,33"/>
        <filter val="35,71"/>
        <filter val="350,00"/>
        <filter val="371,00"/>
        <filter val="380,00"/>
        <filter val="4 000,00"/>
        <filter val="4,63"/>
        <filter val="400,00"/>
        <filter val="421,00"/>
        <filter val="45,00"/>
        <filter val="49,38"/>
        <filter val="5,95"/>
        <filter val="50,00"/>
        <filter val="500,00"/>
        <filter val="520,00"/>
        <filter val="633,33"/>
        <filter val="71,97"/>
        <filter val="72,50"/>
        <filter val="74,81"/>
        <filter val="80,00"/>
        <filter val="84,07"/>
        <filter val="9 500,00"/>
        <filter val="9,63"/>
        <filter val="94,70"/>
        <filter val="98,48"/>
      </filters>
    </filterColumn>
    <filterColumn colId="29" showButton="0"/>
    <filterColumn colId="30" showButton="0"/>
  </autoFilter>
  <mergeCells count="874"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  <mergeCell ref="P63:V63"/>
    <mergeCell ref="P79:T79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D373:E373"/>
    <mergeCell ref="D202:E202"/>
    <mergeCell ref="A242:O243"/>
    <mergeCell ref="A179:Z179"/>
    <mergeCell ref="P174:T174"/>
    <mergeCell ref="A339:Z339"/>
    <mergeCell ref="P410:T410"/>
    <mergeCell ref="P385:T385"/>
    <mergeCell ref="D398:E398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D52:E52"/>
    <mergeCell ref="P110:V110"/>
    <mergeCell ref="D27:E27"/>
    <mergeCell ref="P208:T208"/>
    <mergeCell ref="P15:T16"/>
    <mergeCell ref="D352:E352"/>
    <mergeCell ref="P219:T219"/>
    <mergeCell ref="D91:E91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P446:T446"/>
    <mergeCell ref="P450:T450"/>
    <mergeCell ref="D162:E162"/>
    <mergeCell ref="P272:T272"/>
    <mergeCell ref="D327:E327"/>
    <mergeCell ref="P439:V439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D196:E196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T497:T498"/>
    <mergeCell ref="V497:V498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1 X163:X164 X167:X168 X191 X195:X200 X202 X206:X209 X211:X214 X218:X219 X224 X254 X272:X273 X298 X301 X307 X314:X316 X322:X323 X327:X329 X334:X336 X342:X344 X352 X358 X367 X372 X377:X378 X385 X387 X392 X407 X421 X423:X424 X426 X431 X435 X437 X441:X443 X460 X471:X472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FA9G/ET78YwWv/wa2Rs8D9Y3SoZJXaMZqdWX52TLqA9unWXg34ExnQv8y5vbNs9IaN6tCdAGHoXAOcrgyrs2YQ==" saltValue="LuBcGaphU7yAIvkRZ3fkj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2025-11-28T10:27:19Z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