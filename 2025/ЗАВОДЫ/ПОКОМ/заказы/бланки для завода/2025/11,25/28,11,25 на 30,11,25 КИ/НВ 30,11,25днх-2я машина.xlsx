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DB0A7A4-ED25-4885-86DB-DF2649FCA15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Z357" i="1" s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Y317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P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Y148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Z107" i="1" s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P26" i="1" s="1"/>
  <c r="P26" i="1"/>
  <c r="X24" i="1"/>
  <c r="X23" i="1"/>
  <c r="BO22" i="1"/>
  <c r="BM22" i="1"/>
  <c r="Y22" i="1"/>
  <c r="Y23" i="1" s="1"/>
  <c r="P22" i="1"/>
  <c r="H10" i="1"/>
  <c r="F10" i="1"/>
  <c r="F9" i="1"/>
  <c r="A9" i="1"/>
  <c r="A10" i="1" s="1"/>
  <c r="D7" i="1"/>
  <c r="Q6" i="1"/>
  <c r="P2" i="1"/>
  <c r="BP147" i="1" l="1"/>
  <c r="BN147" i="1"/>
  <c r="Z147" i="1"/>
  <c r="Y153" i="1"/>
  <c r="Y152" i="1"/>
  <c r="BP151" i="1"/>
  <c r="BN151" i="1"/>
  <c r="Z151" i="1"/>
  <c r="Z152" i="1" s="1"/>
  <c r="Y158" i="1"/>
  <c r="BP157" i="1"/>
  <c r="BN157" i="1"/>
  <c r="Z157" i="1"/>
  <c r="Z158" i="1" s="1"/>
  <c r="BP161" i="1"/>
  <c r="BN161" i="1"/>
  <c r="Z161" i="1"/>
  <c r="BP191" i="1"/>
  <c r="BN191" i="1"/>
  <c r="Z191" i="1"/>
  <c r="BP214" i="1"/>
  <c r="BN214" i="1"/>
  <c r="Z214" i="1"/>
  <c r="BP247" i="1"/>
  <c r="BN247" i="1"/>
  <c r="Z247" i="1"/>
  <c r="BP279" i="1"/>
  <c r="BN279" i="1"/>
  <c r="Z279" i="1"/>
  <c r="BP283" i="1"/>
  <c r="BN283" i="1"/>
  <c r="Z283" i="1"/>
  <c r="BP290" i="1"/>
  <c r="BN290" i="1"/>
  <c r="Z290" i="1"/>
  <c r="BP316" i="1"/>
  <c r="BN316" i="1"/>
  <c r="Z316" i="1"/>
  <c r="BP320" i="1"/>
  <c r="BN320" i="1"/>
  <c r="Z320" i="1"/>
  <c r="BP424" i="1"/>
  <c r="BN424" i="1"/>
  <c r="Z424" i="1"/>
  <c r="BP450" i="1"/>
  <c r="BN450" i="1"/>
  <c r="Z450" i="1"/>
  <c r="Z22" i="1"/>
  <c r="Z23" i="1" s="1"/>
  <c r="BN22" i="1"/>
  <c r="BP22" i="1"/>
  <c r="Z26" i="1"/>
  <c r="BN26" i="1"/>
  <c r="Z42" i="1"/>
  <c r="BN42" i="1"/>
  <c r="Y57" i="1"/>
  <c r="Z61" i="1"/>
  <c r="BN61" i="1"/>
  <c r="Z79" i="1"/>
  <c r="BN79" i="1"/>
  <c r="BP92" i="1"/>
  <c r="BN92" i="1"/>
  <c r="Z92" i="1"/>
  <c r="Y121" i="1"/>
  <c r="Y120" i="1"/>
  <c r="BP119" i="1"/>
  <c r="BN119" i="1"/>
  <c r="Z119" i="1"/>
  <c r="Z120" i="1" s="1"/>
  <c r="BP124" i="1"/>
  <c r="BN124" i="1"/>
  <c r="Z124" i="1"/>
  <c r="BP168" i="1"/>
  <c r="BN168" i="1"/>
  <c r="Z168" i="1"/>
  <c r="BP201" i="1"/>
  <c r="BN201" i="1"/>
  <c r="Z201" i="1"/>
  <c r="BP229" i="1"/>
  <c r="BN229" i="1"/>
  <c r="Z229" i="1"/>
  <c r="BP258" i="1"/>
  <c r="BN258" i="1"/>
  <c r="Z258" i="1"/>
  <c r="BP302" i="1"/>
  <c r="BN302" i="1"/>
  <c r="Z302" i="1"/>
  <c r="BP343" i="1"/>
  <c r="BN343" i="1"/>
  <c r="Z343" i="1"/>
  <c r="BP392" i="1"/>
  <c r="BN392" i="1"/>
  <c r="Z392" i="1"/>
  <c r="BP436" i="1"/>
  <c r="BN436" i="1"/>
  <c r="Z436" i="1"/>
  <c r="BP472" i="1"/>
  <c r="BN472" i="1"/>
  <c r="Z472" i="1"/>
  <c r="J9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Z75" i="1"/>
  <c r="BN75" i="1"/>
  <c r="Z86" i="1"/>
  <c r="BN86" i="1"/>
  <c r="Z94" i="1"/>
  <c r="BN94" i="1"/>
  <c r="Z101" i="1"/>
  <c r="BN101" i="1"/>
  <c r="BP107" i="1"/>
  <c r="BN107" i="1"/>
  <c r="BP115" i="1"/>
  <c r="BN115" i="1"/>
  <c r="Z115" i="1"/>
  <c r="Y149" i="1"/>
  <c r="BP145" i="1"/>
  <c r="BN145" i="1"/>
  <c r="Z145" i="1"/>
  <c r="BP166" i="1"/>
  <c r="BN166" i="1"/>
  <c r="Z166" i="1"/>
  <c r="BP176" i="1"/>
  <c r="BN176" i="1"/>
  <c r="Z176" i="1"/>
  <c r="Y182" i="1"/>
  <c r="Y181" i="1"/>
  <c r="BP180" i="1"/>
  <c r="BN180" i="1"/>
  <c r="Z180" i="1"/>
  <c r="Z181" i="1" s="1"/>
  <c r="BP185" i="1"/>
  <c r="BN185" i="1"/>
  <c r="Z185" i="1"/>
  <c r="BP199" i="1"/>
  <c r="BN199" i="1"/>
  <c r="Z199" i="1"/>
  <c r="BP211" i="1"/>
  <c r="BN211" i="1"/>
  <c r="Z211" i="1"/>
  <c r="BP227" i="1"/>
  <c r="BN227" i="1"/>
  <c r="Z227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Y251" i="1"/>
  <c r="BP245" i="1"/>
  <c r="BN245" i="1"/>
  <c r="Z245" i="1"/>
  <c r="BP256" i="1"/>
  <c r="BN256" i="1"/>
  <c r="Z256" i="1"/>
  <c r="BP272" i="1"/>
  <c r="BN272" i="1"/>
  <c r="Z272" i="1"/>
  <c r="BP130" i="1"/>
  <c r="BN130" i="1"/>
  <c r="Z130" i="1"/>
  <c r="BP134" i="1"/>
  <c r="BN134" i="1"/>
  <c r="Z134" i="1"/>
  <c r="BP163" i="1"/>
  <c r="BN163" i="1"/>
  <c r="Z163" i="1"/>
  <c r="BP170" i="1"/>
  <c r="BN170" i="1"/>
  <c r="Z170" i="1"/>
  <c r="Y203" i="1"/>
  <c r="BP195" i="1"/>
  <c r="BN195" i="1"/>
  <c r="Z195" i="1"/>
  <c r="BP207" i="1"/>
  <c r="BN207" i="1"/>
  <c r="Z207" i="1"/>
  <c r="BP218" i="1"/>
  <c r="BN218" i="1"/>
  <c r="Z218" i="1"/>
  <c r="BP231" i="1"/>
  <c r="BN231" i="1"/>
  <c r="Z231" i="1"/>
  <c r="BP249" i="1"/>
  <c r="BN249" i="1"/>
  <c r="Z249" i="1"/>
  <c r="BP263" i="1"/>
  <c r="BN263" i="1"/>
  <c r="Z263" i="1"/>
  <c r="BP292" i="1"/>
  <c r="BN292" i="1"/>
  <c r="Z292" i="1"/>
  <c r="BP308" i="1"/>
  <c r="BN308" i="1"/>
  <c r="Z308" i="1"/>
  <c r="BP322" i="1"/>
  <c r="BN322" i="1"/>
  <c r="Z322" i="1"/>
  <c r="BP345" i="1"/>
  <c r="BN345" i="1"/>
  <c r="Z345" i="1"/>
  <c r="BP358" i="1"/>
  <c r="BN358" i="1"/>
  <c r="Z358" i="1"/>
  <c r="Z359" i="1" s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Y178" i="1"/>
  <c r="Y177" i="1"/>
  <c r="Y260" i="1"/>
  <c r="BP300" i="1"/>
  <c r="BN300" i="1"/>
  <c r="Z300" i="1"/>
  <c r="Y318" i="1"/>
  <c r="BP314" i="1"/>
  <c r="BN314" i="1"/>
  <c r="Z314" i="1"/>
  <c r="BP335" i="1"/>
  <c r="BN335" i="1"/>
  <c r="Z335" i="1"/>
  <c r="BP353" i="1"/>
  <c r="BN353" i="1"/>
  <c r="Z353" i="1"/>
  <c r="BP373" i="1"/>
  <c r="BN373" i="1"/>
  <c r="Z373" i="1"/>
  <c r="BP377" i="1"/>
  <c r="BN377" i="1"/>
  <c r="Z377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454" i="1"/>
  <c r="Y453" i="1"/>
  <c r="Y31" i="1"/>
  <c r="Y43" i="1"/>
  <c r="Y58" i="1"/>
  <c r="Y64" i="1"/>
  <c r="Y70" i="1"/>
  <c r="Y77" i="1"/>
  <c r="BP72" i="1"/>
  <c r="BN72" i="1"/>
  <c r="Z72" i="1"/>
  <c r="Y76" i="1"/>
  <c r="BP80" i="1"/>
  <c r="BN80" i="1"/>
  <c r="Z80" i="1"/>
  <c r="Z81" i="1" s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Y137" i="1"/>
  <c r="H499" i="1"/>
  <c r="Y143" i="1"/>
  <c r="BP140" i="1"/>
  <c r="BN140" i="1"/>
  <c r="Z140" i="1"/>
  <c r="Z142" i="1" s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Y136" i="1"/>
  <c r="Y142" i="1"/>
  <c r="BP146" i="1"/>
  <c r="BN146" i="1"/>
  <c r="Z146" i="1"/>
  <c r="Z148" i="1" s="1"/>
  <c r="Y172" i="1"/>
  <c r="BP164" i="1"/>
  <c r="BN164" i="1"/>
  <c r="Z164" i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Z203" i="1" s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Y250" i="1"/>
  <c r="BP255" i="1"/>
  <c r="BN255" i="1"/>
  <c r="Z255" i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Y324" i="1"/>
  <c r="BP323" i="1"/>
  <c r="BN323" i="1"/>
  <c r="Z323" i="1"/>
  <c r="Y330" i="1"/>
  <c r="BP327" i="1"/>
  <c r="BN327" i="1"/>
  <c r="Z327" i="1"/>
  <c r="Z330" i="1" s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374" i="1" l="1"/>
  <c r="Z317" i="1"/>
  <c r="Z311" i="1"/>
  <c r="Z259" i="1"/>
  <c r="Z250" i="1"/>
  <c r="Z285" i="1"/>
  <c r="Z126" i="1"/>
  <c r="Z116" i="1"/>
  <c r="Z103" i="1"/>
  <c r="Z95" i="1"/>
  <c r="Z136" i="1"/>
  <c r="Y491" i="1"/>
  <c r="Z57" i="1"/>
  <c r="Z31" i="1"/>
  <c r="Z171" i="1"/>
  <c r="Y493" i="1"/>
  <c r="Z380" i="1"/>
  <c r="Y490" i="1"/>
  <c r="Z324" i="1"/>
  <c r="Y492" i="1"/>
  <c r="Z447" i="1"/>
  <c r="Z432" i="1"/>
  <c r="Z349" i="1"/>
  <c r="X492" i="1"/>
  <c r="Z215" i="1"/>
  <c r="Z88" i="1"/>
  <c r="Z76" i="1"/>
  <c r="Z394" i="1"/>
  <c r="Z304" i="1"/>
  <c r="Z294" i="1"/>
  <c r="Z274" i="1"/>
  <c r="Z69" i="1"/>
  <c r="Y489" i="1"/>
  <c r="Z337" i="1"/>
  <c r="Z234" i="1"/>
  <c r="Z109" i="1"/>
  <c r="Z494" i="1" l="1"/>
</calcChain>
</file>

<file path=xl/sharedStrings.xml><?xml version="1.0" encoding="utf-8"?>
<sst xmlns="http://schemas.openxmlformats.org/spreadsheetml/2006/main" count="2277" uniqueCount="763">
  <si>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</si>
  <si>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</si>
  <si>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</si>
  <si>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</si>
  <si>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</si>
  <si>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</si>
  <si>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</si>
  <si>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</si>
  <si>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</si>
  <si>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</si>
  <si>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</si>
  <si>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</si>
  <si>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</si>
  <si>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</si>
  <si>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</si>
  <si>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</si>
  <si>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</si>
  <si>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</si>
  <si>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</si>
  <si>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</si>
  <si>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</si>
  <si>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</si>
  <si>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</si>
  <si>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</si>
  <si>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</si>
  <si>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</si>
  <si>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</si>
  <si>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</si>
  <si>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</si>
  <si>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</si>
  <si>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</si>
  <si>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</si>
  <si>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</si>
  <si>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</si>
  <si>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</si>
  <si>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</si>
  <si>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</si>
  <si>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</si>
  <si>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</si>
  <si>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</si>
  <si>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</si>
  <si>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</si>
  <si>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</si>
  <si>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</si>
  <si>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</si>
  <si>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</si>
  <si>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</si>
  <si>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</si>
  <si>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</si>
  <si>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</si>
  <si>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</si>
  <si>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</si>
  <si>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</si>
  <si>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</si>
  <si>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</si>
  <si>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</si>
  <si>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</si>
  <si>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</si>
  <si>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</si>
  <si>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</si>
  <si>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</si>
  <si>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</si>
  <si>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</si>
  <si>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</si>
  <si>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</si>
  <si>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</si>
  <si>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</si>
  <si>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</si>
  <si>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</si>
  <si>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</si>
  <si>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</si>
  <si>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</si>
  <si>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</si>
  <si>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</si>
  <si>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</si>
  <si>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</si>
  <si>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</si>
  <si>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</si>
  <si>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</si>
  <si>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</si>
  <si>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</si>
  <si>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</si>
  <si>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</si>
  <si>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</si>
  <si>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</si>
  <si>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</si>
  <si>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</si>
  <si>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</si>
  <si>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</si>
  <si>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</si>
  <si>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</si>
  <si>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</si>
  <si>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</si>
  <si>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</si>
  <si>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</si>
  <si>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</si>
  <si>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</si>
  <si>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</si>
  <si>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</si>
  <si>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</si>
  <si>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</si>
  <si>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</si>
  <si>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</si>
  <si>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</si>
  <si>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</si>
  <si>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</si>
  <si>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</si>
  <si>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</si>
  <si>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</si>
  <si>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</si>
  <si>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</si>
  <si>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</si>
  <si>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</si>
  <si>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</si>
  <si>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</si>
  <si>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</si>
  <si>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</si>
  <si>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</si>
  <si>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</si>
  <si>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</si>
  <si>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</si>
  <si>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</si>
  <si>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</si>
  <si>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</si>
  <si>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</si>
  <si>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</si>
  <si>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</si>
  <si>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</si>
  <si>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</si>
  <si>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</si>
  <si>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</si>
  <si>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</si>
  <si>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</si>
  <si>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</si>
  <si>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</si>
  <si>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</si>
  <si>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</si>
  <si>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</si>
  <si>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</si>
  <si>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</si>
  <si>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</si>
  <si>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</si>
  <si>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</si>
  <si>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</si>
  <si>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</si>
  <si>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</si>
  <si>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</si>
  <si>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</si>
  <si>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</si>
  <si>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</si>
  <si>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</si>
  <si>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</si>
  <si>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</si>
  <si>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</si>
  <si>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</si>
  <si>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</si>
  <si>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</si>
  <si>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</si>
  <si>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</si>
  <si>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</si>
  <si>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</si>
  <si>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</si>
  <si>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</si>
  <si>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</si>
  <si>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</si>
  <si>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</si>
  <si>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</si>
  <si>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</si>
  <si>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</si>
  <si>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</si>
  <si>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</si>
  <si>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</si>
  <si>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</si>
  <si>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</si>
  <si>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</si>
  <si>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</si>
  <si>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</si>
  <si>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</si>
  <si>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</si>
  <si>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</si>
  <si>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</si>
  <si>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</si>
  <si>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</si>
  <si>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</si>
  <si>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</si>
  <si>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</si>
  <si>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</si>
  <si>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</si>
  <si>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</si>
  <si>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</si>
  <si>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</si>
  <si>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</si>
  <si>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</si>
  <si>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</si>
  <si>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</si>
  <si>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</si>
  <si>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</si>
  <si>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</si>
  <si>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</si>
  <si>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</si>
  <si>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</si>
  <si>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</si>
  <si>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</si>
  <si>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</si>
  <si>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</si>
  <si>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</si>
  <si>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</si>
  <si>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</si>
  <si>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</si>
  <si>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</si>
  <si>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</si>
  <si>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</si>
  <si>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</si>
  <si>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</si>
  <si>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</si>
  <si>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</si>
  <si>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</si>
  <si>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</si>
  <si>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</si>
  <si>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</si>
  <si>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</si>
  <si>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</si>
  <si>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</si>
  <si>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</si>
  <si>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</si>
  <si>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</si>
  <si>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</si>
  <si>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</si>
  <si>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</si>
  <si>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</si>
  <si>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</si>
  <si>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</si>
  <si>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</si>
  <si>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</si>
  <si>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</si>
  <si>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</si>
  <si>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</si>
  <si>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</si>
  <si>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</si>
  <si>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</si>
  <si>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</si>
  <si>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</si>
  <si>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</si>
  <si>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</si>
  <si>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</si>
  <si>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</si>
  <si>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</si>
  <si>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</si>
  <si>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</si>
  <si>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</si>
  <si>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</si>
  <si>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</si>
  <si>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</si>
  <si>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</si>
  <si>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</si>
  <si>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</si>
  <si>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</si>
  <si>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</si>
  <si>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</si>
  <si>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</si>
  <si>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</si>
  <si>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</si>
  <si>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</si>
  <si>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</si>
  <si>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</si>
  <si>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</si>
  <si>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</si>
  <si>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</si>
  <si>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</si>
  <si>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</si>
  <si>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</si>
  <si>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</si>
  <si>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</si>
  <si>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</si>
  <si>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</si>
  <si>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</si>
  <si>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</si>
  <si>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</si>
  <si>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</si>
  <si>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</si>
  <si>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</si>
  <si>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</si>
  <si>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</si>
  <si>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</si>
  <si>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</si>
  <si>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</si>
  <si>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</si>
  <si>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</si>
  <si>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</si>
  <si>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</si>
  <si>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</si>
  <si>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</si>
  <si>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</si>
  <si>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</si>
  <si>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</si>
  <si>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</si>
  <si>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</si>
  <si>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</si>
  <si>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</si>
  <si>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</si>
  <si>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</si>
  <si>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</si>
  <si>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</si>
  <si>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</si>
  <si>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</si>
  <si>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</si>
  <si>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</si>
  <si>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</si>
  <si>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</si>
  <si>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</si>
  <si>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</si>
  <si>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</si>
  <si>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</si>
  <si>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</si>
  <si>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</si>
  <si>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</si>
  <si>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</si>
  <si>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</si>
  <si>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</si>
  <si>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</si>
  <si>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</si>
  <si>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</si>
  <si>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</si>
  <si>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</si>
  <si>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</si>
  <si>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</si>
  <si>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</si>
  <si>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</si>
  <si>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</si>
  <si>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</si>
  <si>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</si>
  <si>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</si>
  <si>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</si>
  <si>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</si>
  <si>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</si>
  <si>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</si>
  <si>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</si>
  <si>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</si>
  <si>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</si>
  <si>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</si>
  <si>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</si>
  <si>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</si>
  <si>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</si>
  <si>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</si>
  <si>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</si>
  <si>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</si>
  <si>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</si>
  <si>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</si>
  <si>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</si>
  <si>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</si>
  <si>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</si>
  <si>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</si>
  <si>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</si>
  <si>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</si>
  <si>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</si>
  <si>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</si>
  <si>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</si>
  <si>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</si>
  <si>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</si>
  <si>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</si>
  <si>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</si>
  <si>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</si>
  <si>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</si>
  <si>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</si>
  <si>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</si>
  <si>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</si>
  <si>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</si>
  <si>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</si>
  <si>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</si>
  <si>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</si>
  <si>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</si>
  <si>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</si>
  <si>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</si>
  <si>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</si>
  <si>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</si>
  <si>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</si>
  <si>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</si>
  <si>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</si>
  <si>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</si>
  <si>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</si>
  <si>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</si>
  <si>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</si>
  <si>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</si>
  <si>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</si>
  <si>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</si>
  <si>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</si>
  <si>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</si>
  <si>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</si>
  <si>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</si>
  <si>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</si>
  <si>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</si>
  <si>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</si>
  <si>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</si>
  <si>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</si>
  <si>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</si>
  <si>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</si>
  <si>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</si>
  <si>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</si>
  <si>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</si>
  <si>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</si>
  <si>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</si>
  <si>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</si>
  <si>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</si>
  <si>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</si>
  <si>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</si>
  <si>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</si>
  <si>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</si>
  <si>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</si>
  <si>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</si>
  <si>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</si>
  <si>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</si>
  <si>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</si>
  <si>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</si>
  <si>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</si>
  <si>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</si>
  <si>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</si>
  <si>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</si>
  <si>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</si>
  <si>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</si>
  <si>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</si>
  <si>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</si>
  <si>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</si>
  <si>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</si>
  <si>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</si>
  <si>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</si>
  <si>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</si>
  <si>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</si>
  <si>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</si>
  <si>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</si>
  <si>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</si>
  <si>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</si>
  <si>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</si>
  <si>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</si>
  <si>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</si>
  <si>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</si>
  <si>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</si>
  <si>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</si>
  <si>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</si>
  <si>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</si>
  <si>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</si>
  <si>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</si>
  <si>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</si>
  <si>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</si>
  <si>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</si>
  <si>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</si>
  <si>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</si>
  <si>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</si>
  <si>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</si>
  <si>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</si>
  <si>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</si>
  <si>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</si>
  <si>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</si>
  <si>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</si>
  <si>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</si>
  <si>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</si>
  <si>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</si>
  <si>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</si>
  <si>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</si>
  <si>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</si>
  <si>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</si>
  <si>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</si>
  <si>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</si>
  <si>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</si>
  <si>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</si>
  <si>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</si>
  <si>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</si>
  <si>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</si>
  <si>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</si>
  <si>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</si>
  <si>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</si>
  <si>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</si>
  <si>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</si>
  <si>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</si>
  <si>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</si>
  <si>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</si>
  <si>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</si>
  <si>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</si>
  <si>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</si>
  <si>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</si>
  <si>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</si>
  <si>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</si>
  <si>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</si>
  <si>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</si>
  <si>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</si>
  <si>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</si>
  <si>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</si>
  <si>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</si>
  <si>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</si>
  <si>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</si>
  <si>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</si>
  <si>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</si>
  <si>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</si>
  <si>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</si>
  <si>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</si>
  <si>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</si>
  <si>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</si>
  <si>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</si>
  <si>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</si>
  <si>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</si>
  <si>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</si>
  <si>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</si>
  <si>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</si>
  <si>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</si>
  <si>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</si>
  <si>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</si>
  <si>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</si>
  <si>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</si>
  <si>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</si>
  <si>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</si>
  <si>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</si>
  <si>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</si>
  <si>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</si>
  <si>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</si>
  <si>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</si>
  <si>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</si>
  <si>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</si>
  <si>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</si>
  <si>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</si>
  <si>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</si>
  <si>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</si>
  <si>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</si>
  <si>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</si>
  <si>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</si>
  <si>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</si>
  <si>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</si>
  <si>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</si>
  <si>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</si>
  <si>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</si>
  <si>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</si>
  <si>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</si>
  <si>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</si>
  <si>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</si>
  <si>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</si>
  <si>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</si>
  <si>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</si>
  <si>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</si>
  <si>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</si>
  <si>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</si>
  <si>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</si>
  <si>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</si>
  <si>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</si>
  <si>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</si>
  <si>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</si>
  <si>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</si>
  <si>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</si>
  <si>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</si>
  <si>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</si>
  <si>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</si>
  <si>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</si>
  <si>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</si>
  <si>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</si>
  <si>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</si>
  <si>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</si>
  <si>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</si>
  <si>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</si>
  <si>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</si>
  <si>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</si>
  <si>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</si>
  <si>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</si>
  <si>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</si>
  <si>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</si>
  <si>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</si>
  <si>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</si>
  <si>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</si>
  <si>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</si>
  <si>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</si>
  <si>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</si>
  <si>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</si>
  <si>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</si>
  <si>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</si>
  <si>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</si>
  <si>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</si>
  <si>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</si>
  <si>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</si>
  <si>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</si>
  <si>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</si>
  <si>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</si>
  <si>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</si>
  <si>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</si>
  <si>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</si>
  <si>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</si>
  <si>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</si>
  <si>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</si>
  <si>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</si>
  <si>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</si>
  <si>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</si>
  <si>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</si>
  <si>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</si>
  <si>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</si>
  <si>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</si>
  <si>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</si>
  <si>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</si>
  <si>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</si>
  <si>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</si>
  <si>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</si>
  <si>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</si>
  <si>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</si>
  <si>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</si>
  <si>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</si>
  <si>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</si>
  <si>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</si>
  <si>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</si>
  <si>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</si>
  <si>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</si>
  <si>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</si>
  <si>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</si>
  <si>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</si>
  <si>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</si>
  <si>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</si>
  <si>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</si>
  <si>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</si>
  <si>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</si>
  <si>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</si>
  <si>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</si>
  <si>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</si>
  <si>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</si>
  <si>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</si>
  <si>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</si>
  <si>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</si>
  <si>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</si>
  <si>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</si>
  <si>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</si>
  <si>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</si>
  <si>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</si>
  <si>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</si>
  <si>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</si>
  <si>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</si>
  <si>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</si>
  <si>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</si>
  <si>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</si>
  <si>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</si>
  <si>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</si>
  <si>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</si>
  <si>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</si>
  <si>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</si>
  <si>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</si>
  <si>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</si>
  <si>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</si>
  <si>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</si>
  <si>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</si>
  <si>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</si>
  <si>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</si>
  <si>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</si>
  <si>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</si>
  <si>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</si>
  <si>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</si>
  <si>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</si>
  <si>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</si>
  <si>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</si>
  <si>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</si>
  <si>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</si>
  <si>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</si>
  <si>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</si>
  <si>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</si>
  <si>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</si>
  <si>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</si>
  <si>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</si>
  <si>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</si>
  <si>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</si>
  <si>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</si>
  <si>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</si>
  <si>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</si>
  <si>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</si>
  <si>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</si>
  <si>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</si>
  <si>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</si>
  <si>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</si>
  <si>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</si>
  <si>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</si>
  <si>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</si>
  <si>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</si>
  <si>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</si>
  <si>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</si>
  <si>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</si>
  <si>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</si>
  <si>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</si>
  <si>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</si>
  <si>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</si>
  <si>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</si>
  <si>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</si>
  <si>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</si>
  <si>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</si>
  <si>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</si>
  <si>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</si>
  <si>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</si>
  <si>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</si>
  <si>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</si>
  <si>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</si>
  <si>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</si>
  <si>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</si>
  <si>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</si>
  <si>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</si>
  <si>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</si>
  <si>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</si>
  <si>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</si>
  <si>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</si>
  <si>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</si>
  <si>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</si>
  <si>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</si>
  <si>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</si>
  <si>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</si>
  <si>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</si>
  <si>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</si>
  <si>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</si>
  <si>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</si>
  <si>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</si>
  <si>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</si>
  <si>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</si>
  <si>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</si>
  <si>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</si>
  <si>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</si>
  <si>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</si>
  <si>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</si>
  <si>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</si>
  <si>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</si>
  <si>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</si>
  <si>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</si>
  <si>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</si>
  <si>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</si>
  <si>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</si>
  <si>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</si>
  <si>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</si>
  <si>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</si>
  <si>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</si>
  <si>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</si>
  <si>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</si>
  <si>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</si>
  <si>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</si>
  <si>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</si>
  <si>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</si>
  <si>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</si>
  <si>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</si>
  <si>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</si>
  <si>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</si>
  <si>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</si>
  <si>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</si>
  <si>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</si>
  <si>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</si>
  <si>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</si>
  <si>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</si>
  <si>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</si>
  <si>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</si>
  <si>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</si>
  <si>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</si>
  <si>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</si>
  <si>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</si>
  <si>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</si>
  <si>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</si>
  <si>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</si>
  <si>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</si>
  <si>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</si>
  <si>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</si>
  <si>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</si>
  <si>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</si>
  <si>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</si>
  <si>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</si>
  <si>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</si>
  <si>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</si>
  <si>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</si>
  <si>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</si>
  <si>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</si>
  <si>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</si>
  <si>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22 европалета,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</si>
</sst>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45991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Воскресенье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0.41666666666666669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50</v>
      </c>
      <c r="Y51" s="542">
        <f t="shared" ref="Y51:Y56" si="0">IFERROR(IF(X51="",0,CEILING((X51/$H51),1)*$H51),"")</f>
        <v>56</v>
      </c>
      <c r="Z51" s="36">
        <f>IFERROR(IF(Y51=0,"",ROUNDUP(Y51/H51,0)*0.01898),"")</f>
        <v>9.4899999999999998E-2</v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51.830357142857146</v>
      </c>
      <c r="BN51" s="64">
        <f t="shared" ref="BN51:BN56" si="2">IFERROR(Y51*I51/H51,"0")</f>
        <v>58.050000000000004</v>
      </c>
      <c r="BO51" s="64">
        <f t="shared" ref="BO51:BO56" si="3">IFERROR(1/J51*(X51/H51),"0")</f>
        <v>6.9754464285714288E-2</v>
      </c>
      <c r="BP51" s="64">
        <f t="shared" ref="BP51:BP56" si="4">IFERROR(1/J51*(Y51/H51),"0")</f>
        <v>7.8125E-2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225</v>
      </c>
      <c r="Y52" s="542">
        <f t="shared" si="0"/>
        <v>226.8</v>
      </c>
      <c r="Z52" s="36">
        <f>IFERROR(IF(Y52=0,"",ROUNDUP(Y52/H52,0)*0.01898),"")</f>
        <v>0.39857999999999999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233.54166666666666</v>
      </c>
      <c r="BN52" s="64">
        <f t="shared" si="2"/>
        <v>235.41000000000003</v>
      </c>
      <c r="BO52" s="64">
        <f t="shared" si="3"/>
        <v>0.32552083333333331</v>
      </c>
      <c r="BP52" s="64">
        <f t="shared" si="4"/>
        <v>0.328125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64</v>
      </c>
      <c r="Y54" s="542">
        <f t="shared" si="0"/>
        <v>64</v>
      </c>
      <c r="Z54" s="36">
        <f>IFERROR(IF(Y54=0,"",ROUNDUP(Y54/H54,0)*0.00902),"")</f>
        <v>0.14432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67.040000000000006</v>
      </c>
      <c r="BN54" s="64">
        <f t="shared" si="2"/>
        <v>67.040000000000006</v>
      </c>
      <c r="BO54" s="64">
        <f t="shared" si="3"/>
        <v>0.12121212121212122</v>
      </c>
      <c r="BP54" s="64">
        <f t="shared" si="4"/>
        <v>0.12121212121212122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41.297619047619051</v>
      </c>
      <c r="Y57" s="543">
        <f>IFERROR(Y51/H51,"0")+IFERROR(Y52/H52,"0")+IFERROR(Y53/H53,"0")+IFERROR(Y54/H54,"0")+IFERROR(Y55/H55,"0")+IFERROR(Y56/H56,"0")</f>
        <v>42</v>
      </c>
      <c r="Z57" s="543">
        <f>IFERROR(IF(Z51="",0,Z51),"0")+IFERROR(IF(Z52="",0,Z52),"0")+IFERROR(IF(Z53="",0,Z53),"0")+IFERROR(IF(Z54="",0,Z54),"0")+IFERROR(IF(Z55="",0,Z55),"0")+IFERROR(IF(Z56="",0,Z56),"0")</f>
        <v>0.63779999999999992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339</v>
      </c>
      <c r="Y58" s="543">
        <f>IFERROR(SUM(Y51:Y56),"0")</f>
        <v>346.8</v>
      </c>
      <c r="Z58" s="37"/>
      <c r="AA58" s="544"/>
      <c r="AB58" s="544"/>
      <c r="AC58" s="544"/>
    </row>
    <row r="59" spans="1:68" ht="14.25" hidden="1" customHeight="1" x14ac:dyDescent="0.25">
      <c r="A59" s="561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84</v>
      </c>
      <c r="Y60" s="542">
        <f>IFERROR(IF(X60="",0,CEILING((X60/$H60),1)*$H60),"")</f>
        <v>86.4</v>
      </c>
      <c r="Z60" s="36">
        <f>IFERROR(IF(Y60=0,"",ROUNDUP(Y60/H60,0)*0.01898),"")</f>
        <v>0.15184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87.188888888888897</v>
      </c>
      <c r="BN60" s="64">
        <f>IFERROR(Y60*I60/H60,"0")</f>
        <v>89.68</v>
      </c>
      <c r="BO60" s="64">
        <f>IFERROR(1/J60*(X60/H60),"0")</f>
        <v>0.12152777777777778</v>
      </c>
      <c r="BP60" s="64">
        <f>IFERROR(1/J60*(Y60/H60),"0")</f>
        <v>0.125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7.7777777777777777</v>
      </c>
      <c r="Y63" s="543">
        <f>IFERROR(Y60/H60,"0")+IFERROR(Y61/H61,"0")+IFERROR(Y62/H62,"0")</f>
        <v>8</v>
      </c>
      <c r="Z63" s="543">
        <f>IFERROR(IF(Z60="",0,Z60),"0")+IFERROR(IF(Z61="",0,Z61),"0")+IFERROR(IF(Z62="",0,Z62),"0")</f>
        <v>0.15184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84</v>
      </c>
      <c r="Y64" s="543">
        <f>IFERROR(SUM(Y60:Y62),"0")</f>
        <v>86.4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35</v>
      </c>
      <c r="Y79" s="542">
        <f>IFERROR(IF(X79="",0,CEILING((X79/$H79),1)*$H79),"")</f>
        <v>39</v>
      </c>
      <c r="Z79" s="36">
        <f>IFERROR(IF(Y79=0,"",ROUNDUP(Y79/H79,0)*0.01898),"")</f>
        <v>9.4899999999999998E-2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36.839743589743591</v>
      </c>
      <c r="BN79" s="64">
        <f>IFERROR(Y79*I79/H79,"0")</f>
        <v>41.050000000000011</v>
      </c>
      <c r="BO79" s="64">
        <f>IFERROR(1/J79*(X79/H79),"0")</f>
        <v>7.0112179487179488E-2</v>
      </c>
      <c r="BP79" s="64">
        <f>IFERROR(1/J79*(Y79/H79),"0")</f>
        <v>7.8125E-2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4.4871794871794872</v>
      </c>
      <c r="Y81" s="543">
        <f>IFERROR(Y79/H79,"0")+IFERROR(Y80/H80,"0")</f>
        <v>5</v>
      </c>
      <c r="Z81" s="543">
        <f>IFERROR(IF(Z79="",0,Z79),"0")+IFERROR(IF(Z80="",0,Z80),"0")</f>
        <v>9.4899999999999998E-2</v>
      </c>
      <c r="AA81" s="544"/>
      <c r="AB81" s="544"/>
      <c r="AC81" s="544"/>
    </row>
    <row r="82" spans="1:68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35</v>
      </c>
      <c r="Y82" s="543">
        <f>IFERROR(SUM(Y79:Y80),"0")</f>
        <v>39</v>
      </c>
      <c r="Z82" s="37"/>
      <c r="AA82" s="544"/>
      <c r="AB82" s="544"/>
      <c r="AC82" s="544"/>
    </row>
    <row r="83" spans="1:68" ht="16.5" hidden="1" customHeight="1" x14ac:dyDescent="0.25">
      <c r="A83" s="560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356</v>
      </c>
      <c r="Y85" s="542">
        <f>IFERROR(IF(X85="",0,CEILING((X85/$H85),1)*$H85),"")</f>
        <v>356.40000000000003</v>
      </c>
      <c r="Z85" s="36">
        <f>IFERROR(IF(Y85=0,"",ROUNDUP(Y85/H85,0)*0.01898),"")</f>
        <v>0.62634000000000001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369.51481481481483</v>
      </c>
      <c r="BN85" s="64">
        <f>IFERROR(Y85*I85/H85,"0")</f>
        <v>369.93</v>
      </c>
      <c r="BO85" s="64">
        <f>IFERROR(1/J85*(X85/H85),"0")</f>
        <v>0.51504629629629628</v>
      </c>
      <c r="BP85" s="64">
        <f>IFERROR(1/J85*(Y85/H85),"0")</f>
        <v>0.515625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65</v>
      </c>
      <c r="Y87" s="542">
        <f>IFERROR(IF(X87="",0,CEILING((X87/$H87),1)*$H87),"")</f>
        <v>67.5</v>
      </c>
      <c r="Z87" s="36">
        <f>IFERROR(IF(Y87=0,"",ROUNDUP(Y87/H87,0)*0.00902),"")</f>
        <v>0.1353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67.744444444444454</v>
      </c>
      <c r="BN87" s="64">
        <f>IFERROR(Y87*I87/H87,"0")</f>
        <v>70.350000000000009</v>
      </c>
      <c r="BO87" s="64">
        <f>IFERROR(1/J87*(X87/H87),"0")</f>
        <v>0.10942760942760943</v>
      </c>
      <c r="BP87" s="64">
        <f>IFERROR(1/J87*(Y87/H87),"0")</f>
        <v>0.11363636363636365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47.407407407407405</v>
      </c>
      <c r="Y88" s="543">
        <f>IFERROR(Y85/H85,"0")+IFERROR(Y86/H86,"0")+IFERROR(Y87/H87,"0")</f>
        <v>48</v>
      </c>
      <c r="Z88" s="543">
        <f>IFERROR(IF(Z85="",0,Z85),"0")+IFERROR(IF(Z86="",0,Z86),"0")+IFERROR(IF(Z87="",0,Z87),"0")</f>
        <v>0.76163999999999998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421</v>
      </c>
      <c r="Y89" s="543">
        <f>IFERROR(SUM(Y85:Y87),"0")</f>
        <v>423.90000000000003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81</v>
      </c>
      <c r="Y91" s="542">
        <f>IFERROR(IF(X91="",0,CEILING((X91/$H91),1)*$H91),"")</f>
        <v>81</v>
      </c>
      <c r="Z91" s="36">
        <f>IFERROR(IF(Y91=0,"",ROUNDUP(Y91/H91,0)*0.01898),"")</f>
        <v>0.1898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85.94</v>
      </c>
      <c r="BN91" s="64">
        <f>IFERROR(Y91*I91/H91,"0")</f>
        <v>85.94</v>
      </c>
      <c r="BO91" s="64">
        <f>IFERROR(1/J91*(X91/H91),"0")</f>
        <v>0.15625</v>
      </c>
      <c r="BP91" s="64">
        <f>IFERROR(1/J91*(Y91/H91),"0")</f>
        <v>0.15625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225</v>
      </c>
      <c r="Y93" s="542">
        <f>IFERROR(IF(X93="",0,CEILING((X93/$H93),1)*$H93),"")</f>
        <v>226.8</v>
      </c>
      <c r="Z93" s="36">
        <f>IFERROR(IF(Y93=0,"",ROUNDUP(Y93/H93,0)*0.00651),"")</f>
        <v>0.54683999999999999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246</v>
      </c>
      <c r="BN93" s="64">
        <f>IFERROR(Y93*I93/H93,"0")</f>
        <v>247.96799999999999</v>
      </c>
      <c r="BO93" s="64">
        <f>IFERROR(1/J93*(X93/H93),"0")</f>
        <v>0.45787545787545786</v>
      </c>
      <c r="BP93" s="64">
        <f>IFERROR(1/J93*(Y93/H93),"0")</f>
        <v>0.46153846153846156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93.333333333333329</v>
      </c>
      <c r="Y95" s="543">
        <f>IFERROR(Y91/H91,"0")+IFERROR(Y92/H92,"0")+IFERROR(Y93/H93,"0")+IFERROR(Y94/H94,"0")</f>
        <v>94</v>
      </c>
      <c r="Z95" s="543">
        <f>IFERROR(IF(Z91="",0,Z91),"0")+IFERROR(IF(Z92="",0,Z92),"0")+IFERROR(IF(Z93="",0,Z93),"0")+IFERROR(IF(Z94="",0,Z94),"0")</f>
        <v>0.73663999999999996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306</v>
      </c>
      <c r="Y96" s="543">
        <f>IFERROR(SUM(Y91:Y94),"0")</f>
        <v>307.8</v>
      </c>
      <c r="Z96" s="37"/>
      <c r="AA96" s="544"/>
      <c r="AB96" s="544"/>
      <c r="AC96" s="544"/>
    </row>
    <row r="97" spans="1:68" ht="16.5" hidden="1" customHeight="1" x14ac:dyDescent="0.25">
      <c r="A97" s="560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196</v>
      </c>
      <c r="Y99" s="542">
        <f>IFERROR(IF(X99="",0,CEILING((X99/$H99),1)*$H99),"")</f>
        <v>205.20000000000002</v>
      </c>
      <c r="Z99" s="36">
        <f>IFERROR(IF(Y99=0,"",ROUNDUP(Y99/H99,0)*0.01898),"")</f>
        <v>0.36062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203.44074074074075</v>
      </c>
      <c r="BN99" s="64">
        <f>IFERROR(Y99*I99/H99,"0")</f>
        <v>212.99</v>
      </c>
      <c r="BO99" s="64">
        <f>IFERROR(1/J99*(X99/H99),"0")</f>
        <v>0.28356481481481477</v>
      </c>
      <c r="BP99" s="64">
        <f>IFERROR(1/J99*(Y99/H99),"0")</f>
        <v>0.296875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18.148148148148145</v>
      </c>
      <c r="Y103" s="543">
        <f>IFERROR(Y99/H99,"0")+IFERROR(Y100/H100,"0")+IFERROR(Y101/H101,"0")+IFERROR(Y102/H102,"0")</f>
        <v>19</v>
      </c>
      <c r="Z103" s="543">
        <f>IFERROR(IF(Z99="",0,Z99),"0")+IFERROR(IF(Z100="",0,Z100),"0")+IFERROR(IF(Z101="",0,Z101),"0")+IFERROR(IF(Z102="",0,Z102),"0")</f>
        <v>0.36062</v>
      </c>
      <c r="AA103" s="544"/>
      <c r="AB103" s="544"/>
      <c r="AC103" s="544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196</v>
      </c>
      <c r="Y104" s="543">
        <f>IFERROR(SUM(Y99:Y102),"0")</f>
        <v>205.20000000000002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24</v>
      </c>
      <c r="Y106" s="542">
        <f>IFERROR(IF(X106="",0,CEILING((X106/$H106),1)*$H106),"")</f>
        <v>32.400000000000006</v>
      </c>
      <c r="Z106" s="36">
        <f>IFERROR(IF(Y106=0,"",ROUNDUP(Y106/H106,0)*0.01898),"")</f>
        <v>5.6940000000000004E-2</v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24.911111111111111</v>
      </c>
      <c r="BN106" s="64">
        <f>IFERROR(Y106*I106/H106,"0")</f>
        <v>33.630000000000003</v>
      </c>
      <c r="BO106" s="64">
        <f>IFERROR(1/J106*(X106/H106),"0")</f>
        <v>3.4722222222222217E-2</v>
      </c>
      <c r="BP106" s="64">
        <f>IFERROR(1/J106*(Y106/H106),"0")</f>
        <v>4.6875000000000007E-2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18</v>
      </c>
      <c r="Y108" s="542">
        <f>IFERROR(IF(X108="",0,CEILING((X108/$H108),1)*$H108),"")</f>
        <v>19.2</v>
      </c>
      <c r="Z108" s="36">
        <f>IFERROR(IF(Y108=0,"",ROUNDUP(Y108/H108,0)*0.00651),"")</f>
        <v>5.2080000000000001E-2</v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19.350000000000001</v>
      </c>
      <c r="BN108" s="64">
        <f>IFERROR(Y108*I108/H108,"0")</f>
        <v>20.64</v>
      </c>
      <c r="BO108" s="64">
        <f>IFERROR(1/J108*(X108/H108),"0")</f>
        <v>4.1208791208791215E-2</v>
      </c>
      <c r="BP108" s="64">
        <f>IFERROR(1/J108*(Y108/H108),"0")</f>
        <v>4.3956043956043959E-2</v>
      </c>
    </row>
    <row r="109" spans="1:68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9.7222222222222214</v>
      </c>
      <c r="Y109" s="543">
        <f>IFERROR(Y106/H106,"0")+IFERROR(Y107/H107,"0")+IFERROR(Y108/H108,"0")</f>
        <v>11</v>
      </c>
      <c r="Z109" s="543">
        <f>IFERROR(IF(Z106="",0,Z106),"0")+IFERROR(IF(Z107="",0,Z107),"0")+IFERROR(IF(Z108="",0,Z108),"0")</f>
        <v>0.10902000000000001</v>
      </c>
      <c r="AA109" s="544"/>
      <c r="AB109" s="544"/>
      <c r="AC109" s="544"/>
    </row>
    <row r="110" spans="1:68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42</v>
      </c>
      <c r="Y110" s="543">
        <f>IFERROR(SUM(Y106:Y108),"0")</f>
        <v>51.600000000000009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534</v>
      </c>
      <c r="Y112" s="542">
        <f>IFERROR(IF(X112="",0,CEILING((X112/$H112),1)*$H112),"")</f>
        <v>534.6</v>
      </c>
      <c r="Z112" s="36">
        <f>IFERROR(IF(Y112=0,"",ROUNDUP(Y112/H112,0)*0.01898),"")</f>
        <v>1.25268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566.17185185185178</v>
      </c>
      <c r="BN112" s="64">
        <f>IFERROR(Y112*I112/H112,"0")</f>
        <v>566.80799999999999</v>
      </c>
      <c r="BO112" s="64">
        <f>IFERROR(1/J112*(X112/H112),"0")</f>
        <v>1.0300925925925926</v>
      </c>
      <c r="BP112" s="64">
        <f>IFERROR(1/J112*(Y112/H112),"0")</f>
        <v>1.03125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265</v>
      </c>
      <c r="Y114" s="542">
        <f>IFERROR(IF(X114="",0,CEILING((X114/$H114),1)*$H114),"")</f>
        <v>267.3</v>
      </c>
      <c r="Z114" s="36">
        <f>IFERROR(IF(Y114=0,"",ROUNDUP(Y114/H114,0)*0.00651),"")</f>
        <v>0.64449000000000001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289.73333333333329</v>
      </c>
      <c r="BN114" s="64">
        <f>IFERROR(Y114*I114/H114,"0")</f>
        <v>292.24799999999999</v>
      </c>
      <c r="BO114" s="64">
        <f>IFERROR(1/J114*(X114/H114),"0")</f>
        <v>0.53927553927553928</v>
      </c>
      <c r="BP114" s="64">
        <f>IFERROR(1/J114*(Y114/H114),"0")</f>
        <v>0.54395604395604402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164.07407407407408</v>
      </c>
      <c r="Y116" s="543">
        <f>IFERROR(Y112/H112,"0")+IFERROR(Y113/H113,"0")+IFERROR(Y114/H114,"0")+IFERROR(Y115/H115,"0")</f>
        <v>165</v>
      </c>
      <c r="Z116" s="543">
        <f>IFERROR(IF(Z112="",0,Z112),"0")+IFERROR(IF(Z113="",0,Z113),"0")+IFERROR(IF(Z114="",0,Z114),"0")+IFERROR(IF(Z115="",0,Z115),"0")</f>
        <v>1.89717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799</v>
      </c>
      <c r="Y117" s="543">
        <f>IFERROR(SUM(Y112:Y115),"0")</f>
        <v>801.90000000000009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/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28</v>
      </c>
      <c r="Y161" s="542">
        <f t="shared" ref="Y161:Y170" si="5">IFERROR(IF(X161="",0,CEILING((X161/$H161),1)*$H161),"")</f>
        <v>29.400000000000002</v>
      </c>
      <c r="Z161" s="36">
        <f>IFERROR(IF(Y161=0,"",ROUNDUP(Y161/H161,0)*0.00902),"")</f>
        <v>6.3140000000000002E-2</v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29.666666666666668</v>
      </c>
      <c r="BN161" s="64">
        <f t="shared" ref="BN161:BN170" si="7">IFERROR(Y161*I161/H161,"0")</f>
        <v>31.150000000000002</v>
      </c>
      <c r="BO161" s="64">
        <f t="shared" ref="BO161:BO170" si="8">IFERROR(1/J161*(X161/H161),"0")</f>
        <v>5.0505050505050504E-2</v>
      </c>
      <c r="BP161" s="64">
        <f t="shared" ref="BP161:BP170" si="9">IFERROR(1/J161*(Y161/H161),"0")</f>
        <v>5.3030303030303032E-2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91</v>
      </c>
      <c r="Y164" s="542">
        <f t="shared" si="5"/>
        <v>92.4</v>
      </c>
      <c r="Z164" s="36">
        <f>IFERROR(IF(Y164=0,"",ROUNDUP(Y164/H164,0)*0.00502),"")</f>
        <v>0.22088000000000002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96.633333333333326</v>
      </c>
      <c r="BN164" s="64">
        <f t="shared" si="7"/>
        <v>98.12</v>
      </c>
      <c r="BO164" s="64">
        <f t="shared" si="8"/>
        <v>0.18518518518518517</v>
      </c>
      <c r="BP164" s="64">
        <f t="shared" si="9"/>
        <v>0.18803418803418806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3</v>
      </c>
      <c r="Y167" s="542">
        <f t="shared" si="5"/>
        <v>3.6</v>
      </c>
      <c r="Z167" s="36">
        <f>IFERROR(IF(Y167=0,"",ROUNDUP(Y167/H167,0)*0.00502),"")</f>
        <v>1.004E-2</v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3.2166666666666668</v>
      </c>
      <c r="BN167" s="64">
        <f t="shared" si="7"/>
        <v>3.8599999999999994</v>
      </c>
      <c r="BO167" s="64">
        <f t="shared" si="8"/>
        <v>7.1225071225071226E-3</v>
      </c>
      <c r="BP167" s="64">
        <f t="shared" si="9"/>
        <v>8.5470085470085479E-3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181</v>
      </c>
      <c r="Y168" s="542">
        <f t="shared" si="5"/>
        <v>182.70000000000002</v>
      </c>
      <c r="Z168" s="36">
        <f>IFERROR(IF(Y168=0,"",ROUNDUP(Y168/H168,0)*0.00502),"")</f>
        <v>0.43674000000000002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189.61904761904762</v>
      </c>
      <c r="BN168" s="64">
        <f t="shared" si="7"/>
        <v>191.4</v>
      </c>
      <c r="BO168" s="64">
        <f t="shared" si="8"/>
        <v>0.3683353683353684</v>
      </c>
      <c r="BP168" s="64">
        <f t="shared" si="9"/>
        <v>0.37179487179487181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137.85714285714283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140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0.73080000000000012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303</v>
      </c>
      <c r="Y172" s="543">
        <f>IFERROR(SUM(Y161:Y170),"0")</f>
        <v>308.10000000000002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4</v>
      </c>
      <c r="Y175" s="542">
        <f>IFERROR(IF(X175="",0,CEILING((X175/$H175),1)*$H175),"")</f>
        <v>5.04</v>
      </c>
      <c r="Z175" s="36">
        <f>IFERROR(IF(Y175=0,"",ROUNDUP(Y175/H175,0)*0.0059),"")</f>
        <v>2.3599999999999999E-2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4.6031746031746028</v>
      </c>
      <c r="BN175" s="64">
        <f>IFERROR(Y175*I175/H175,"0")</f>
        <v>5.8</v>
      </c>
      <c r="BO175" s="64">
        <f>IFERROR(1/J175*(X175/H175),"0")</f>
        <v>1.469723691945914E-2</v>
      </c>
      <c r="BP175" s="64">
        <f>IFERROR(1/J175*(Y175/H175),"0")</f>
        <v>1.8518518518518517E-2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3.1746031746031744</v>
      </c>
      <c r="Y177" s="543">
        <f>IFERROR(Y174/H174,"0")+IFERROR(Y175/H175,"0")+IFERROR(Y176/H176,"0")</f>
        <v>4</v>
      </c>
      <c r="Z177" s="543">
        <f>IFERROR(IF(Z174="",0,Z174),"0")+IFERROR(IF(Z175="",0,Z175),"0")+IFERROR(IF(Z176="",0,Z176),"0")</f>
        <v>2.3599999999999999E-2</v>
      </c>
      <c r="AA177" s="544"/>
      <c r="AB177" s="544"/>
      <c r="AC177" s="544"/>
    </row>
    <row r="178" spans="1:68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4</v>
      </c>
      <c r="Y178" s="543">
        <f>IFERROR(SUM(Y174:Y176),"0")</f>
        <v>5.04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186</v>
      </c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106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346</v>
      </c>
      <c r="Y195" s="542">
        <f t="shared" ref="Y195:Y202" si="10">IFERROR(IF(X195="",0,CEILING((X195/$H195),1)*$H195),"")</f>
        <v>351</v>
      </c>
      <c r="Z195" s="36">
        <f>IFERROR(IF(Y195=0,"",ROUNDUP(Y195/H195,0)*0.00902),"")</f>
        <v>0.58630000000000004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358.17407407407404</v>
      </c>
      <c r="BN195" s="64">
        <f t="shared" ref="BN195:BN202" si="12">IFERROR(Y195*I195/H195,"0")</f>
        <v>363.34999999999997</v>
      </c>
      <c r="BO195" s="64">
        <f t="shared" ref="BO195:BO202" si="13">IFERROR(1/J195*(X195/H195),"0")</f>
        <v>0.48540965207631875</v>
      </c>
      <c r="BP195" s="64">
        <f t="shared" ref="BP195:BP202" si="14">IFERROR(1/J195*(Y195/H195),"0")</f>
        <v>0.49242424242424243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47</v>
      </c>
      <c r="Y196" s="542">
        <f t="shared" si="10"/>
        <v>48.6</v>
      </c>
      <c r="Z196" s="36">
        <f>IFERROR(IF(Y196=0,"",ROUNDUP(Y196/H196,0)*0.00902),"")</f>
        <v>8.1180000000000002E-2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48.653703703703705</v>
      </c>
      <c r="BN196" s="64">
        <f t="shared" si="12"/>
        <v>50.309999999999995</v>
      </c>
      <c r="BO196" s="64">
        <f t="shared" si="13"/>
        <v>6.5937149270482595E-2</v>
      </c>
      <c r="BP196" s="64">
        <f t="shared" si="14"/>
        <v>6.8181818181818177E-2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254</v>
      </c>
      <c r="Y198" s="542">
        <f t="shared" si="10"/>
        <v>259.20000000000005</v>
      </c>
      <c r="Z198" s="36">
        <f>IFERROR(IF(Y198=0,"",ROUNDUP(Y198/H198,0)*0.00902),"")</f>
        <v>0.43296000000000001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262.93703703703699</v>
      </c>
      <c r="BN198" s="64">
        <f t="shared" si="12"/>
        <v>268.32</v>
      </c>
      <c r="BO198" s="64">
        <f t="shared" si="13"/>
        <v>0.356341189674523</v>
      </c>
      <c r="BP198" s="64">
        <f t="shared" si="14"/>
        <v>0.3636363636363637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38</v>
      </c>
      <c r="Y199" s="542">
        <f t="shared" si="10"/>
        <v>39.6</v>
      </c>
      <c r="Z199" s="36">
        <f>IFERROR(IF(Y199=0,"",ROUNDUP(Y199/H199,0)*0.00502),"")</f>
        <v>0.11044000000000001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40.744444444444447</v>
      </c>
      <c r="BN199" s="64">
        <f t="shared" si="12"/>
        <v>42.46</v>
      </c>
      <c r="BO199" s="64">
        <f t="shared" si="13"/>
        <v>9.0218423551756896E-2</v>
      </c>
      <c r="BP199" s="64">
        <f t="shared" si="14"/>
        <v>9.401709401709403E-2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23</v>
      </c>
      <c r="Y200" s="542">
        <f t="shared" si="10"/>
        <v>23.400000000000002</v>
      </c>
      <c r="Z200" s="36">
        <f>IFERROR(IF(Y200=0,"",ROUNDUP(Y200/H200,0)*0.00502),"")</f>
        <v>6.5259999999999999E-2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24.277777777777775</v>
      </c>
      <c r="BN200" s="64">
        <f t="shared" si="12"/>
        <v>24.7</v>
      </c>
      <c r="BO200" s="64">
        <f t="shared" si="13"/>
        <v>5.4605887939221276E-2</v>
      </c>
      <c r="BP200" s="64">
        <f t="shared" si="14"/>
        <v>5.5555555555555559E-2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14</v>
      </c>
      <c r="Y202" s="542">
        <f t="shared" si="10"/>
        <v>14.4</v>
      </c>
      <c r="Z202" s="36">
        <f>IFERROR(IF(Y202=0,"",ROUNDUP(Y202/H202,0)*0.00502),"")</f>
        <v>4.0160000000000001E-2</v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14.777777777777777</v>
      </c>
      <c r="BN202" s="64">
        <f t="shared" si="12"/>
        <v>15.2</v>
      </c>
      <c r="BO202" s="64">
        <f t="shared" si="13"/>
        <v>3.3238366571699908E-2</v>
      </c>
      <c r="BP202" s="64">
        <f t="shared" si="14"/>
        <v>3.4188034188034191E-2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161.48148148148147</v>
      </c>
      <c r="Y203" s="543">
        <f>IFERROR(Y195/H195,"0")+IFERROR(Y196/H196,"0")+IFERROR(Y197/H197,"0")+IFERROR(Y198/H198,"0")+IFERROR(Y199/H199,"0")+IFERROR(Y200/H200,"0")+IFERROR(Y201/H201,"0")+IFERROR(Y202/H202,"0")</f>
        <v>165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1.3163000000000002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722</v>
      </c>
      <c r="Y204" s="543">
        <f>IFERROR(SUM(Y195:Y202),"0")</f>
        <v>736.2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340</v>
      </c>
      <c r="Y208" s="542">
        <f t="shared" si="15"/>
        <v>348</v>
      </c>
      <c r="Z208" s="36">
        <f>IFERROR(IF(Y208=0,"",ROUNDUP(Y208/H208,0)*0.01898),"")</f>
        <v>0.75919999999999999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359.30574712643687</v>
      </c>
      <c r="BN208" s="64">
        <f t="shared" si="17"/>
        <v>367.76000000000005</v>
      </c>
      <c r="BO208" s="64">
        <f t="shared" si="18"/>
        <v>0.61063218390804608</v>
      </c>
      <c r="BP208" s="64">
        <f t="shared" si="19"/>
        <v>0.625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47</v>
      </c>
      <c r="Y209" s="542">
        <f t="shared" si="15"/>
        <v>48</v>
      </c>
      <c r="Z209" s="36">
        <f t="shared" ref="Z209:Z214" si="20">IFERROR(IF(Y209=0,"",ROUNDUP(Y209/H209,0)*0.00651),"")</f>
        <v>0.13020000000000001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52.287500000000001</v>
      </c>
      <c r="BN209" s="64">
        <f t="shared" si="17"/>
        <v>53.4</v>
      </c>
      <c r="BO209" s="64">
        <f t="shared" si="18"/>
        <v>0.10760073260073262</v>
      </c>
      <c r="BP209" s="64">
        <f t="shared" si="19"/>
        <v>0.1098901098901099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264</v>
      </c>
      <c r="Y211" s="542">
        <f t="shared" si="15"/>
        <v>264</v>
      </c>
      <c r="Z211" s="36">
        <f t="shared" si="20"/>
        <v>0.71610000000000007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291.72000000000003</v>
      </c>
      <c r="BN211" s="64">
        <f t="shared" si="17"/>
        <v>291.72000000000003</v>
      </c>
      <c r="BO211" s="64">
        <f t="shared" si="18"/>
        <v>0.60439560439560447</v>
      </c>
      <c r="BP211" s="64">
        <f t="shared" si="19"/>
        <v>0.60439560439560447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124</v>
      </c>
      <c r="Y212" s="542">
        <f t="shared" si="15"/>
        <v>124.8</v>
      </c>
      <c r="Z212" s="36">
        <f t="shared" si="20"/>
        <v>0.33851999999999999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137.02000000000001</v>
      </c>
      <c r="BN212" s="64">
        <f t="shared" si="17"/>
        <v>137.90400000000002</v>
      </c>
      <c r="BO212" s="64">
        <f t="shared" si="18"/>
        <v>0.28388278388278393</v>
      </c>
      <c r="BP212" s="64">
        <f t="shared" si="19"/>
        <v>0.28571428571428575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90</v>
      </c>
      <c r="Y213" s="542">
        <f t="shared" si="15"/>
        <v>91.2</v>
      </c>
      <c r="Z213" s="36">
        <f t="shared" si="20"/>
        <v>0.24738000000000002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99.45</v>
      </c>
      <c r="BN213" s="64">
        <f t="shared" si="17"/>
        <v>100.77600000000001</v>
      </c>
      <c r="BO213" s="64">
        <f t="shared" si="18"/>
        <v>0.20604395604395606</v>
      </c>
      <c r="BP213" s="64">
        <f t="shared" si="19"/>
        <v>0.2087912087912088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75</v>
      </c>
      <c r="Y214" s="542">
        <f t="shared" si="15"/>
        <v>76.8</v>
      </c>
      <c r="Z214" s="36">
        <f t="shared" si="20"/>
        <v>0.20832000000000001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83.0625</v>
      </c>
      <c r="BN214" s="64">
        <f t="shared" si="17"/>
        <v>85.055999999999997</v>
      </c>
      <c r="BO214" s="64">
        <f t="shared" si="18"/>
        <v>0.1717032967032967</v>
      </c>
      <c r="BP214" s="64">
        <f t="shared" si="19"/>
        <v>0.17582417582417584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289.08045977011494</v>
      </c>
      <c r="Y215" s="543">
        <f>IFERROR(Y206/H206,"0")+IFERROR(Y207/H207,"0")+IFERROR(Y208/H208,"0")+IFERROR(Y209/H209,"0")+IFERROR(Y210/H210,"0")+IFERROR(Y211/H211,"0")+IFERROR(Y212/H212,"0")+IFERROR(Y213/H213,"0")+IFERROR(Y214/H214,"0")</f>
        <v>292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2.3997200000000003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940</v>
      </c>
      <c r="Y216" s="543">
        <f>IFERROR(SUM(Y206:Y214),"0")</f>
        <v>952.8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17</v>
      </c>
      <c r="Y218" s="542">
        <f>IFERROR(IF(X218="",0,CEILING((X218/$H218),1)*$H218),"")</f>
        <v>19.2</v>
      </c>
      <c r="Z218" s="36">
        <f>IFERROR(IF(Y218=0,"",ROUNDUP(Y218/H218,0)*0.00651),"")</f>
        <v>5.2080000000000001E-2</v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18.785000000000004</v>
      </c>
      <c r="BN218" s="64">
        <f>IFERROR(Y218*I218/H218,"0")</f>
        <v>21.216000000000001</v>
      </c>
      <c r="BO218" s="64">
        <f>IFERROR(1/J218*(X218/H218),"0")</f>
        <v>3.8919413919413927E-2</v>
      </c>
      <c r="BP218" s="64">
        <f>IFERROR(1/J218*(Y218/H218),"0")</f>
        <v>4.3956043956043959E-2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16</v>
      </c>
      <c r="Y219" s="542">
        <f>IFERROR(IF(X219="",0,CEILING((X219/$H219),1)*$H219),"")</f>
        <v>16.8</v>
      </c>
      <c r="Z219" s="36">
        <f>IFERROR(IF(Y219=0,"",ROUNDUP(Y219/H219,0)*0.00651),"")</f>
        <v>4.5569999999999999E-2</v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17.680000000000003</v>
      </c>
      <c r="BN219" s="64">
        <f>IFERROR(Y219*I219/H219,"0")</f>
        <v>18.564000000000004</v>
      </c>
      <c r="BO219" s="64">
        <f>IFERROR(1/J219*(X219/H219),"0")</f>
        <v>3.6630036630036632E-2</v>
      </c>
      <c r="BP219" s="64">
        <f>IFERROR(1/J219*(Y219/H219),"0")</f>
        <v>3.8461538461538471E-2</v>
      </c>
    </row>
    <row r="220" spans="1:68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13.75</v>
      </c>
      <c r="Y220" s="543">
        <f>IFERROR(Y218/H218,"0")+IFERROR(Y219/H219,"0")</f>
        <v>15</v>
      </c>
      <c r="Z220" s="543">
        <f>IFERROR(IF(Z218="",0,Z218),"0")+IFERROR(IF(Z219="",0,Z219),"0")</f>
        <v>9.7650000000000001E-2</v>
      </c>
      <c r="AA220" s="544"/>
      <c r="AB220" s="544"/>
      <c r="AC220" s="544"/>
    </row>
    <row r="221" spans="1:68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33</v>
      </c>
      <c r="Y221" s="543">
        <f>IFERROR(SUM(Y218:Y219),"0")</f>
        <v>36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1</v>
      </c>
      <c r="Y248" s="542">
        <f>IFERROR(IF(X248="",0,CEILING((X248/$H248),1)*$H248),"")</f>
        <v>1.98</v>
      </c>
      <c r="Z248" s="36">
        <f>IFERROR(IF(Y248=0,"",ROUNDUP(Y248/H248,0)*0.0059),"")</f>
        <v>1.18E-2</v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1.1919191919191918</v>
      </c>
      <c r="BN248" s="64">
        <f>IFERROR(Y248*I248/H248,"0")</f>
        <v>2.36</v>
      </c>
      <c r="BO248" s="64">
        <f>IFERROR(1/J248*(X248/H248),"0")</f>
        <v>4.6763935652824546E-3</v>
      </c>
      <c r="BP248" s="64">
        <f>IFERROR(1/J248*(Y248/H248),"0")</f>
        <v>9.2592592592592587E-3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1</v>
      </c>
      <c r="Y249" s="542">
        <f>IFERROR(IF(X249="",0,CEILING((X249/$H249),1)*$H249),"")</f>
        <v>1.98</v>
      </c>
      <c r="Z249" s="36">
        <f>IFERROR(IF(Y249=0,"",ROUNDUP(Y249/H249,0)*0.0059),"")</f>
        <v>1.18E-2</v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1.1919191919191918</v>
      </c>
      <c r="BN249" s="64">
        <f>IFERROR(Y249*I249/H249,"0")</f>
        <v>2.36</v>
      </c>
      <c r="BO249" s="64">
        <f>IFERROR(1/J249*(X249/H249),"0")</f>
        <v>4.6763935652824546E-3</v>
      </c>
      <c r="BP249" s="64">
        <f>IFERROR(1/J249*(Y249/H249),"0")</f>
        <v>9.2592592592592587E-3</v>
      </c>
    </row>
    <row r="250" spans="1:68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2.0202020202020203</v>
      </c>
      <c r="Y250" s="543">
        <f>IFERROR(Y245/H245,"0")+IFERROR(Y246/H246,"0")+IFERROR(Y247/H247,"0")+IFERROR(Y248/H248,"0")+IFERROR(Y249/H249,"0")</f>
        <v>4</v>
      </c>
      <c r="Z250" s="543">
        <f>IFERROR(IF(Z245="",0,Z245),"0")+IFERROR(IF(Z246="",0,Z246),"0")+IFERROR(IF(Z247="",0,Z247),"0")+IFERROR(IF(Z248="",0,Z248),"0")+IFERROR(IF(Z249="",0,Z249),"0")</f>
        <v>2.3599999999999999E-2</v>
      </c>
      <c r="AA250" s="544"/>
      <c r="AB250" s="544"/>
      <c r="AC250" s="544"/>
    </row>
    <row r="251" spans="1:68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2</v>
      </c>
      <c r="Y251" s="543">
        <f>IFERROR(SUM(Y245:Y249),"0")</f>
        <v>3.96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 t="s">
        <v>103</v>
      </c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106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49</v>
      </c>
      <c r="Y272" s="542">
        <f>IFERROR(IF(X272="",0,CEILING((X272/$H272),1)*$H272),"")</f>
        <v>50.4</v>
      </c>
      <c r="Z272" s="36">
        <f>IFERROR(IF(Y272=0,"",ROUNDUP(Y272/H272,0)*0.00651),"")</f>
        <v>0.13671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54.145000000000003</v>
      </c>
      <c r="BN272" s="64">
        <f>IFERROR(Y272*I272/H272,"0")</f>
        <v>55.692</v>
      </c>
      <c r="BO272" s="64">
        <f>IFERROR(1/J272*(X272/H272),"0")</f>
        <v>0.1121794871794872</v>
      </c>
      <c r="BP272" s="64">
        <f>IFERROR(1/J272*(Y272/H272),"0")</f>
        <v>0.11538461538461539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20.416666666666668</v>
      </c>
      <c r="Y274" s="543">
        <f>IFERROR(Y271/H271,"0")+IFERROR(Y272/H272,"0")+IFERROR(Y273/H273,"0")</f>
        <v>21</v>
      </c>
      <c r="Z274" s="543">
        <f>IFERROR(IF(Z271="",0,Z271),"0")+IFERROR(IF(Z272="",0,Z272),"0")+IFERROR(IF(Z273="",0,Z273),"0")</f>
        <v>0.13671</v>
      </c>
      <c r="AA274" s="544"/>
      <c r="AB274" s="544"/>
      <c r="AC274" s="544"/>
    </row>
    <row r="275" spans="1:68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49</v>
      </c>
      <c r="Y275" s="543">
        <f>IFERROR(SUM(Y271:Y273),"0")</f>
        <v>50.4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hidden="1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243</v>
      </c>
      <c r="Y315" s="542">
        <f>IFERROR(IF(X315="",0,CEILING((X315/$H315),1)*$H315),"")</f>
        <v>249.6</v>
      </c>
      <c r="Z315" s="36">
        <f>IFERROR(IF(Y315=0,"",ROUNDUP(Y315/H315,0)*0.01898),"")</f>
        <v>0.60736000000000001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258.39</v>
      </c>
      <c r="BN315" s="64">
        <f>IFERROR(Y315*I315/H315,"0")</f>
        <v>265.40800000000002</v>
      </c>
      <c r="BO315" s="64">
        <f>IFERROR(1/J315*(X315/H315),"0")</f>
        <v>0.48677884615384615</v>
      </c>
      <c r="BP315" s="64">
        <f>IFERROR(1/J315*(Y315/H315),"0")</f>
        <v>0.5</v>
      </c>
    </row>
    <row r="316" spans="1:68" ht="16.5" hidden="1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31.153846153846153</v>
      </c>
      <c r="Y317" s="543">
        <f>IFERROR(Y314/H314,"0")+IFERROR(Y315/H315,"0")+IFERROR(Y316/H316,"0")</f>
        <v>32</v>
      </c>
      <c r="Z317" s="543">
        <f>IFERROR(IF(Z314="",0,Z314),"0")+IFERROR(IF(Z315="",0,Z315),"0")+IFERROR(IF(Z316="",0,Z316),"0")</f>
        <v>0.60736000000000001</v>
      </c>
      <c r="AA317" s="544"/>
      <c r="AB317" s="544"/>
      <c r="AC317" s="544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243</v>
      </c>
      <c r="Y318" s="543">
        <f>IFERROR(SUM(Y314:Y316),"0")</f>
        <v>249.6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4</v>
      </c>
      <c r="Y322" s="542">
        <f>IFERROR(IF(X322="",0,CEILING((X322/$H322),1)*$H322),"")</f>
        <v>5.0999999999999996</v>
      </c>
      <c r="Z322" s="36">
        <f>IFERROR(IF(Y322=0,"",ROUNDUP(Y322/H322,0)*0.00651),"")</f>
        <v>1.302E-2</v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4.6352941176470592</v>
      </c>
      <c r="BN322" s="64">
        <f>IFERROR(Y322*I322/H322,"0")</f>
        <v>5.91</v>
      </c>
      <c r="BO322" s="64">
        <f>IFERROR(1/J322*(X322/H322),"0")</f>
        <v>8.6188321482439153E-3</v>
      </c>
      <c r="BP322" s="64">
        <f>IFERROR(1/J322*(Y322/H322),"0")</f>
        <v>1.098901098901099E-2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36</v>
      </c>
      <c r="Y323" s="542">
        <f>IFERROR(IF(X323="",0,CEILING((X323/$H323),1)*$H323),"")</f>
        <v>38.25</v>
      </c>
      <c r="Z323" s="36">
        <f>IFERROR(IF(Y323=0,"",ROUNDUP(Y323/H323,0)*0.00651),"")</f>
        <v>9.7650000000000001E-2</v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40.658823529411762</v>
      </c>
      <c r="BN323" s="64">
        <f>IFERROR(Y323*I323/H323,"0")</f>
        <v>43.2</v>
      </c>
      <c r="BO323" s="64">
        <f>IFERROR(1/J323*(X323/H323),"0")</f>
        <v>7.7569489334195232E-2</v>
      </c>
      <c r="BP323" s="64">
        <f>IFERROR(1/J323*(Y323/H323),"0")</f>
        <v>8.241758241758243E-2</v>
      </c>
    </row>
    <row r="324" spans="1:68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15.686274509803923</v>
      </c>
      <c r="Y324" s="543">
        <f>IFERROR(Y320/H320,"0")+IFERROR(Y321/H321,"0")+IFERROR(Y322/H322,"0")+IFERROR(Y323/H323,"0")</f>
        <v>17</v>
      </c>
      <c r="Z324" s="543">
        <f>IFERROR(IF(Z320="",0,Z320),"0")+IFERROR(IF(Z321="",0,Z321),"0")+IFERROR(IF(Z322="",0,Z322),"0")+IFERROR(IF(Z323="",0,Z323),"0")</f>
        <v>0.11067</v>
      </c>
      <c r="AA324" s="544"/>
      <c r="AB324" s="544"/>
      <c r="AC324" s="544"/>
    </row>
    <row r="325" spans="1:68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40</v>
      </c>
      <c r="Y325" s="543">
        <f>IFERROR(SUM(Y320:Y323),"0")</f>
        <v>43.35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9</v>
      </c>
      <c r="Y328" s="542">
        <f>IFERROR(IF(X328="",0,CEILING((X328/$H328),1)*$H328),"")</f>
        <v>10</v>
      </c>
      <c r="Z328" s="36">
        <f>IFERROR(IF(Y328=0,"",ROUNDUP(Y328/H328,0)*0.00474),"")</f>
        <v>2.3700000000000002E-2</v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10.080000000000002</v>
      </c>
      <c r="BN328" s="64">
        <f>IFERROR(Y328*I328/H328,"0")</f>
        <v>11.200000000000001</v>
      </c>
      <c r="BO328" s="64">
        <f>IFERROR(1/J328*(X328/H328),"0")</f>
        <v>1.8907563025210083E-2</v>
      </c>
      <c r="BP328" s="64">
        <f>IFERROR(1/J328*(Y328/H328),"0")</f>
        <v>2.1008403361344536E-2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7</v>
      </c>
      <c r="Y329" s="542">
        <f>IFERROR(IF(X329="",0,CEILING((X329/$H329),1)*$H329),"")</f>
        <v>8</v>
      </c>
      <c r="Z329" s="36">
        <f>IFERROR(IF(Y329=0,"",ROUNDUP(Y329/H329,0)*0.00474),"")</f>
        <v>1.8960000000000001E-2</v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7.8400000000000007</v>
      </c>
      <c r="BN329" s="64">
        <f>IFERROR(Y329*I329/H329,"0")</f>
        <v>8.9600000000000009</v>
      </c>
      <c r="BO329" s="64">
        <f>IFERROR(1/J329*(X329/H329),"0")</f>
        <v>1.4705882352941176E-2</v>
      </c>
      <c r="BP329" s="64">
        <f>IFERROR(1/J329*(Y329/H329),"0")</f>
        <v>1.680672268907563E-2</v>
      </c>
    </row>
    <row r="330" spans="1:68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8</v>
      </c>
      <c r="Y330" s="543">
        <f>IFERROR(Y327/H327,"0")+IFERROR(Y328/H328,"0")+IFERROR(Y329/H329,"0")</f>
        <v>9</v>
      </c>
      <c r="Z330" s="543">
        <f>IFERROR(IF(Z327="",0,Z327),"0")+IFERROR(IF(Z328="",0,Z328),"0")+IFERROR(IF(Z329="",0,Z329),"0")</f>
        <v>4.2660000000000003E-2</v>
      </c>
      <c r="AA330" s="544"/>
      <c r="AB330" s="544"/>
      <c r="AC330" s="544"/>
    </row>
    <row r="331" spans="1:68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16</v>
      </c>
      <c r="Y331" s="543">
        <f>IFERROR(SUM(Y327:Y329),"0")</f>
        <v>18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615</v>
      </c>
      <c r="Y342" s="542">
        <f t="shared" ref="Y342:Y348" si="31">IFERROR(IF(X342="",0,CEILING((X342/$H342),1)*$H342),"")</f>
        <v>615</v>
      </c>
      <c r="Z342" s="36">
        <f>IFERROR(IF(Y342=0,"",ROUNDUP(Y342/H342,0)*0.02175),"")</f>
        <v>0.89174999999999993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634.2700000000001</v>
      </c>
      <c r="BN342" s="64">
        <f t="shared" ref="BN342:BN348" si="33">IFERROR(Y342*I342/H342,"0")</f>
        <v>634.2700000000001</v>
      </c>
      <c r="BO342" s="64">
        <f t="shared" ref="BO342:BO348" si="34">IFERROR(1/J342*(X342/H342),"0")</f>
        <v>0.85416666666666663</v>
      </c>
      <c r="BP342" s="64">
        <f t="shared" ref="BP342:BP348" si="35">IFERROR(1/J342*(Y342/H342),"0")</f>
        <v>0.85416666666666663</v>
      </c>
    </row>
    <row r="343" spans="1:68" ht="27" hidden="1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0</v>
      </c>
      <c r="Y343" s="542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177</v>
      </c>
      <c r="Y344" s="542">
        <f t="shared" si="31"/>
        <v>180</v>
      </c>
      <c r="Z344" s="36">
        <f>IFERROR(IF(Y344=0,"",ROUNDUP(Y344/H344,0)*0.02175),"")</f>
        <v>0.26100000000000001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182.54599999999999</v>
      </c>
      <c r="BN344" s="64">
        <f t="shared" si="33"/>
        <v>185.64</v>
      </c>
      <c r="BO344" s="64">
        <f t="shared" si="34"/>
        <v>0.24583333333333335</v>
      </c>
      <c r="BP344" s="64">
        <f t="shared" si="35"/>
        <v>0.25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275</v>
      </c>
      <c r="Y345" s="542">
        <f t="shared" si="31"/>
        <v>285</v>
      </c>
      <c r="Z345" s="36">
        <f>IFERROR(IF(Y345=0,"",ROUNDUP(Y345/H345,0)*0.02175),"")</f>
        <v>0.41324999999999995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283.61666666666667</v>
      </c>
      <c r="BN345" s="64">
        <f t="shared" si="33"/>
        <v>293.93</v>
      </c>
      <c r="BO345" s="64">
        <f t="shared" si="34"/>
        <v>0.38194444444444442</v>
      </c>
      <c r="BP345" s="64">
        <f t="shared" si="35"/>
        <v>0.39583333333333331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71.133333333333326</v>
      </c>
      <c r="Y349" s="543">
        <f>IFERROR(Y342/H342,"0")+IFERROR(Y343/H343,"0")+IFERROR(Y344/H344,"0")+IFERROR(Y345/H345,"0")+IFERROR(Y346/H346,"0")+IFERROR(Y347/H347,"0")+IFERROR(Y348/H348,"0")</f>
        <v>72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1.5659999999999998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1067</v>
      </c>
      <c r="Y350" s="543">
        <f>IFERROR(SUM(Y342:Y348),"0")</f>
        <v>1080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550</v>
      </c>
      <c r="Y352" s="542">
        <f>IFERROR(IF(X352="",0,CEILING((X352/$H352),1)*$H352),"")</f>
        <v>555</v>
      </c>
      <c r="Z352" s="36">
        <f>IFERROR(IF(Y352=0,"",ROUNDUP(Y352/H352,0)*0.02175),"")</f>
        <v>0.80474999999999997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567.23333333333335</v>
      </c>
      <c r="BN352" s="64">
        <f>IFERROR(Y352*I352/H352,"0")</f>
        <v>572.39</v>
      </c>
      <c r="BO352" s="64">
        <f>IFERROR(1/J352*(X352/H352),"0")</f>
        <v>0.76388888888888884</v>
      </c>
      <c r="BP352" s="64">
        <f>IFERROR(1/J352*(Y352/H352),"0")</f>
        <v>0.77083333333333326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36.666666666666664</v>
      </c>
      <c r="Y354" s="543">
        <f>IFERROR(Y352/H352,"0")+IFERROR(Y353/H353,"0")</f>
        <v>37</v>
      </c>
      <c r="Z354" s="543">
        <f>IFERROR(IF(Z352="",0,Z352),"0")+IFERROR(IF(Z353="",0,Z353),"0")</f>
        <v>0.80474999999999997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550</v>
      </c>
      <c r="Y355" s="543">
        <f>IFERROR(SUM(Y352:Y353),"0")</f>
        <v>555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hidden="1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hidden="1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1468</v>
      </c>
      <c r="Y377" s="542">
        <f>IFERROR(IF(X377="",0,CEILING((X377/$H377),1)*$H377),"")</f>
        <v>1476</v>
      </c>
      <c r="Z377" s="36">
        <f>IFERROR(IF(Y377=0,"",ROUNDUP(Y377/H377,0)*0.01898),"")</f>
        <v>3.1127199999999999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1548.5768888888888</v>
      </c>
      <c r="BN377" s="64">
        <f>IFERROR(Y377*I377/H377,"0")</f>
        <v>1557.0160000000001</v>
      </c>
      <c r="BO377" s="64">
        <f>IFERROR(1/J377*(X377/H377),"0")</f>
        <v>2.5486111111111112</v>
      </c>
      <c r="BP377" s="64">
        <f>IFERROR(1/J377*(Y377/H377),"0")</f>
        <v>2.5625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58</v>
      </c>
      <c r="Y378" s="542">
        <f>IFERROR(IF(X378="",0,CEILING((X378/$H378),1)*$H378),"")</f>
        <v>60</v>
      </c>
      <c r="Z378" s="36">
        <f>IFERROR(IF(Y378=0,"",ROUNDUP(Y378/H378,0)*0.00651),"")</f>
        <v>0.16275000000000001</v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64.38000000000001</v>
      </c>
      <c r="BN378" s="64">
        <f>IFERROR(Y378*I378/H378,"0")</f>
        <v>66.600000000000009</v>
      </c>
      <c r="BO378" s="64">
        <f>IFERROR(1/J378*(X378/H378),"0")</f>
        <v>0.13278388278388281</v>
      </c>
      <c r="BP378" s="64">
        <f>IFERROR(1/J378*(Y378/H378),"0")</f>
        <v>0.13736263736263737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187.27777777777777</v>
      </c>
      <c r="Y380" s="543">
        <f>IFERROR(Y377/H377,"0")+IFERROR(Y378/H378,"0")+IFERROR(Y379/H379,"0")</f>
        <v>189</v>
      </c>
      <c r="Z380" s="543">
        <f>IFERROR(IF(Z377="",0,Z377),"0")+IFERROR(IF(Z378="",0,Z378),"0")+IFERROR(IF(Z379="",0,Z379),"0")</f>
        <v>3.2754699999999999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1526</v>
      </c>
      <c r="Y381" s="543">
        <f>IFERROR(SUM(Y377:Y379),"0")</f>
        <v>1536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137</v>
      </c>
      <c r="Y421" s="542">
        <f t="shared" ref="Y421:Y431" si="42">IFERROR(IF(X421="",0,CEILING((X421/$H421),1)*$H421),"")</f>
        <v>137.28</v>
      </c>
      <c r="Z421" s="36">
        <f t="shared" ref="Z421:Z426" si="43">IFERROR(IF(Y421=0,"",ROUNDUP(Y421/H421,0)*0.01196),"")</f>
        <v>0.31096000000000001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146.08143939393938</v>
      </c>
      <c r="BN421" s="64">
        <f t="shared" ref="BN421:BN431" si="45">IFERROR(Y421*I421/H421,"0")</f>
        <v>146.38</v>
      </c>
      <c r="BO421" s="64">
        <f t="shared" ref="BO421:BO431" si="46">IFERROR(1/J421*(X421/H421),"0")</f>
        <v>0.24949009324009325</v>
      </c>
      <c r="BP421" s="64">
        <f t="shared" ref="BP421:BP431" si="47">IFERROR(1/J421*(Y421/H421),"0")</f>
        <v>0.25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741</v>
      </c>
      <c r="Y424" s="542">
        <f t="shared" si="42"/>
        <v>744.48</v>
      </c>
      <c r="Z424" s="36">
        <f t="shared" si="43"/>
        <v>1.6863600000000001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790.11931818181813</v>
      </c>
      <c r="BN424" s="64">
        <f t="shared" si="45"/>
        <v>793.83</v>
      </c>
      <c r="BO424" s="64">
        <f t="shared" si="46"/>
        <v>1.3494318181818183</v>
      </c>
      <c r="BP424" s="64">
        <f t="shared" si="47"/>
        <v>1.3557692307692308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1012</v>
      </c>
      <c r="Y426" s="542">
        <f t="shared" si="42"/>
        <v>1013.76</v>
      </c>
      <c r="Z426" s="36">
        <f t="shared" si="43"/>
        <v>2.2963200000000001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1079.0833333333333</v>
      </c>
      <c r="BN426" s="64">
        <f t="shared" si="45"/>
        <v>1080.9599999999998</v>
      </c>
      <c r="BO426" s="64">
        <f t="shared" si="46"/>
        <v>1.8429487179487181</v>
      </c>
      <c r="BP426" s="64">
        <f t="shared" si="47"/>
        <v>1.8461538461538463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26</v>
      </c>
      <c r="Y428" s="542">
        <f t="shared" si="42"/>
        <v>28.799999999999997</v>
      </c>
      <c r="Z428" s="36">
        <f>IFERROR(IF(Y428=0,"",ROUNDUP(Y428/H428,0)*0.00902),"")</f>
        <v>5.4120000000000001E-2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37.429166666666667</v>
      </c>
      <c r="BN428" s="64">
        <f t="shared" si="45"/>
        <v>41.46</v>
      </c>
      <c r="BO428" s="64">
        <f t="shared" si="46"/>
        <v>4.1035353535353536E-2</v>
      </c>
      <c r="BP428" s="64">
        <f t="shared" si="47"/>
        <v>4.5454545454545456E-2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363.37121212121212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365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4.3477600000000001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1916</v>
      </c>
      <c r="Y433" s="543">
        <f>IFERROR(SUM(Y421:Y431),"0")</f>
        <v>1924.32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779</v>
      </c>
      <c r="Y435" s="542">
        <f>IFERROR(IF(X435="",0,CEILING((X435/$H435),1)*$H435),"")</f>
        <v>781.44</v>
      </c>
      <c r="Z435" s="36">
        <f>IFERROR(IF(Y435=0,"",ROUNDUP(Y435/H435,0)*0.01196),"")</f>
        <v>1.7700800000000001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830.63825757575739</v>
      </c>
      <c r="BN435" s="64">
        <f>IFERROR(Y435*I435/H435,"0")</f>
        <v>833.24</v>
      </c>
      <c r="BO435" s="64">
        <f>IFERROR(1/J435*(X435/H435),"0")</f>
        <v>1.4186334498834499</v>
      </c>
      <c r="BP435" s="64">
        <f>IFERROR(1/J435*(Y435/H435),"0")</f>
        <v>1.4230769230769231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147.53787878787878</v>
      </c>
      <c r="Y438" s="543">
        <f>IFERROR(Y435/H435,"0")+IFERROR(Y436/H436,"0")+IFERROR(Y437/H437,"0")</f>
        <v>148</v>
      </c>
      <c r="Z438" s="543">
        <f>IFERROR(IF(Z435="",0,Z435),"0")+IFERROR(IF(Z436="",0,Z436),"0")+IFERROR(IF(Z437="",0,Z437),"0")</f>
        <v>1.7700800000000001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779</v>
      </c>
      <c r="Y439" s="543">
        <f>IFERROR(SUM(Y435:Y437),"0")</f>
        <v>781.44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308</v>
      </c>
      <c r="Y441" s="542">
        <f t="shared" ref="Y441:Y446" si="48">IFERROR(IF(X441="",0,CEILING((X441/$H441),1)*$H441),"")</f>
        <v>311.52000000000004</v>
      </c>
      <c r="Z441" s="36">
        <f>IFERROR(IF(Y441=0,"",ROUNDUP(Y441/H441,0)*0.01196),"")</f>
        <v>0.70564000000000004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328.41666666666663</v>
      </c>
      <c r="BN441" s="64">
        <f t="shared" ref="BN441:BN446" si="50">IFERROR(Y441*I441/H441,"0")</f>
        <v>332.17</v>
      </c>
      <c r="BO441" s="64">
        <f t="shared" ref="BO441:BO446" si="51">IFERROR(1/J441*(X441/H441),"0")</f>
        <v>0.5608974358974359</v>
      </c>
      <c r="BP441" s="64">
        <f t="shared" ref="BP441:BP446" si="52">IFERROR(1/J441*(Y441/H441),"0")</f>
        <v>0.5673076923076924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388</v>
      </c>
      <c r="Y442" s="542">
        <f t="shared" si="48"/>
        <v>390.72</v>
      </c>
      <c r="Z442" s="36">
        <f>IFERROR(IF(Y442=0,"",ROUNDUP(Y442/H442,0)*0.01196),"")</f>
        <v>0.88504000000000005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413.71969696969694</v>
      </c>
      <c r="BN442" s="64">
        <f t="shared" si="50"/>
        <v>416.62</v>
      </c>
      <c r="BO442" s="64">
        <f t="shared" si="51"/>
        <v>0.7065850815850816</v>
      </c>
      <c r="BP442" s="64">
        <f t="shared" si="52"/>
        <v>0.71153846153846156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389</v>
      </c>
      <c r="Y443" s="542">
        <f t="shared" si="48"/>
        <v>390.72</v>
      </c>
      <c r="Z443" s="36">
        <f>IFERROR(IF(Y443=0,"",ROUNDUP(Y443/H443,0)*0.01196),"")</f>
        <v>0.88504000000000005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414.78598484848487</v>
      </c>
      <c r="BN443" s="64">
        <f t="shared" si="50"/>
        <v>416.62</v>
      </c>
      <c r="BO443" s="64">
        <f t="shared" si="51"/>
        <v>0.70840617715617715</v>
      </c>
      <c r="BP443" s="64">
        <f t="shared" si="52"/>
        <v>0.71153846153846156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205.49242424242425</v>
      </c>
      <c r="Y447" s="543">
        <f>IFERROR(Y441/H441,"0")+IFERROR(Y442/H442,"0")+IFERROR(Y443/H443,"0")+IFERROR(Y444/H444,"0")+IFERROR(Y445/H445,"0")+IFERROR(Y446/H446,"0")</f>
        <v>207</v>
      </c>
      <c r="Z447" s="543">
        <f>IFERROR(IF(Z441="",0,Z441),"0")+IFERROR(IF(Z442="",0,Z442),"0")+IFERROR(IF(Z443="",0,Z443),"0")+IFERROR(IF(Z444="",0,Z444),"0")+IFERROR(IF(Z445="",0,Z445),"0")+IFERROR(IF(Z446="",0,Z446),"0")</f>
        <v>2.4757199999999999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1085</v>
      </c>
      <c r="Y448" s="543">
        <f>IFERROR(SUM(Y441:Y446),"0")</f>
        <v>1092.96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hidden="1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163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11497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11635.77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12180.891111970745</v>
      </c>
      <c r="Y490" s="543">
        <f>IFERROR(SUM(BN22:BN486),"0")</f>
        <v>12329.016000000001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21</v>
      </c>
      <c r="Y491" s="38">
        <f>ROUNDUP(SUM(BP22:BP486),0)</f>
        <v>21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12705.891111970745</v>
      </c>
      <c r="Y492" s="543">
        <f>GrossWeightTotalR+PalletQtyTotalR*25</f>
        <v>12854.016000000001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2080.347731060916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2109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24.478480000000001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472.20000000000005</v>
      </c>
      <c r="E499" s="46">
        <f>IFERROR(Y85*1,"0")+IFERROR(Y86*1,"0")+IFERROR(Y87*1,"0")+IFERROR(Y91*1,"0")+IFERROR(Y92*1,"0")+IFERROR(Y93*1,"0")+IFERROR(Y94*1,"0")</f>
        <v>731.7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1058.7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313.14000000000004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1725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3.96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50.4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310.95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1635</v>
      </c>
      <c r="T499" s="46">
        <f>IFERROR(Y367*1,"0")+IFERROR(Y368*1,"0")+IFERROR(Y372*1,"0")+IFERROR(Y373*1,"0")+IFERROR(Y377*1,"0")+IFERROR(Y378*1,"0")+IFERROR(Y379*1,"0")</f>
        <v>1536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3798.7200000000003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KsyrZkJsBYn0v0p57SqHd6TtPtMCBscTCBjX3zRZfC0O5DsnhAHZpxfhkhRYQmfjLqUM7baNZPnqVuFh6TgdEA==" saltValue="8KWS2d12fJEDSrDhzUBqK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2,00"/>
        <filter val="1 067,00"/>
        <filter val="1 085,00"/>
        <filter val="1 468,00"/>
        <filter val="1 526,00"/>
        <filter val="1 916,00"/>
        <filter val="1,00"/>
        <filter val="11 497,00"/>
        <filter val="12 180,89"/>
        <filter val="12 705,89"/>
        <filter val="124,00"/>
        <filter val="13,75"/>
        <filter val="137,00"/>
        <filter val="137,86"/>
        <filter val="14,00"/>
        <filter val="147,54"/>
        <filter val="15,69"/>
        <filter val="16,00"/>
        <filter val="161,48"/>
        <filter val="164,07"/>
        <filter val="17,00"/>
        <filter val="177,00"/>
        <filter val="18,00"/>
        <filter val="18,15"/>
        <filter val="181,00"/>
        <filter val="187,28"/>
        <filter val="196,00"/>
        <filter val="2 080,35"/>
        <filter val="2,00"/>
        <filter val="2,02"/>
        <filter val="20,42"/>
        <filter val="205,49"/>
        <filter val="21"/>
        <filter val="225,00"/>
        <filter val="23,00"/>
        <filter val="24,00"/>
        <filter val="243,00"/>
        <filter val="254,00"/>
        <filter val="26,00"/>
        <filter val="264,00"/>
        <filter val="265,00"/>
        <filter val="275,00"/>
        <filter val="28,00"/>
        <filter val="289,08"/>
        <filter val="3,00"/>
        <filter val="3,17"/>
        <filter val="303,00"/>
        <filter val="306,00"/>
        <filter val="308,00"/>
        <filter val="31,15"/>
        <filter val="33,00"/>
        <filter val="339,00"/>
        <filter val="340,00"/>
        <filter val="346,00"/>
        <filter val="35,00"/>
        <filter val="356,00"/>
        <filter val="36,00"/>
        <filter val="36,67"/>
        <filter val="363,37"/>
        <filter val="38,00"/>
        <filter val="388,00"/>
        <filter val="389,00"/>
        <filter val="4,00"/>
        <filter val="4,49"/>
        <filter val="40,00"/>
        <filter val="41,30"/>
        <filter val="42,00"/>
        <filter val="421,00"/>
        <filter val="47,00"/>
        <filter val="47,41"/>
        <filter val="49,00"/>
        <filter val="50,00"/>
        <filter val="534,00"/>
        <filter val="550,00"/>
        <filter val="58,00"/>
        <filter val="615,00"/>
        <filter val="64,00"/>
        <filter val="65,00"/>
        <filter val="7,00"/>
        <filter val="7,78"/>
        <filter val="71,13"/>
        <filter val="722,00"/>
        <filter val="741,00"/>
        <filter val="75,00"/>
        <filter val="779,00"/>
        <filter val="799,00"/>
        <filter val="8,00"/>
        <filter val="81,00"/>
        <filter val="84,00"/>
        <filter val="9,00"/>
        <filter val="9,72"/>
        <filter val="90,00"/>
        <filter val="91,00"/>
        <filter val="93,33"/>
        <filter val="940,00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7 X421 X423:X424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ai57I0qyl3NU9xU6W9fvpzPqiYM3RzYA9l/zekjC704yffVkUfJ431EvWCl8S1TE2Fn8CpRYIjNZoV3KJ6O/1w==" saltValue="uz1nQfykUEKLwYQ5X/8OY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2025-11-28T10:18:50Z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