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655741-DCD8-4146-84F4-DCFC17D185E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BO183" i="1"/>
  <c r="BM183" i="1"/>
  <c r="Z183" i="1"/>
  <c r="Y183" i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0" i="1" s="1"/>
  <c r="P149" i="1"/>
  <c r="X146" i="1"/>
  <c r="X145" i="1"/>
  <c r="BO144" i="1"/>
  <c r="BM144" i="1"/>
  <c r="Z144" i="1"/>
  <c r="Z145" i="1" s="1"/>
  <c r="Y144" i="1"/>
  <c r="Y145" i="1" s="1"/>
  <c r="P144" i="1"/>
  <c r="X141" i="1"/>
  <c r="X140" i="1"/>
  <c r="BO139" i="1"/>
  <c r="BM139" i="1"/>
  <c r="Z139" i="1"/>
  <c r="Z140" i="1" s="1"/>
  <c r="Y139" i="1"/>
  <c r="Y140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Y128" i="1"/>
  <c r="P128" i="1"/>
  <c r="BO127" i="1"/>
  <c r="BM127" i="1"/>
  <c r="Z127" i="1"/>
  <c r="Y127" i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BP121" i="1" s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P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P62" i="1"/>
  <c r="X60" i="1"/>
  <c r="X59" i="1"/>
  <c r="BO58" i="1"/>
  <c r="BM58" i="1"/>
  <c r="Z58" i="1"/>
  <c r="Y58" i="1"/>
  <c r="P58" i="1"/>
  <c r="BO57" i="1"/>
  <c r="BM57" i="1"/>
  <c r="Z57" i="1"/>
  <c r="Z59" i="1" s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P41" i="1"/>
  <c r="X38" i="1"/>
  <c r="X37" i="1"/>
  <c r="BO36" i="1"/>
  <c r="BM36" i="1"/>
  <c r="Z36" i="1"/>
  <c r="Y36" i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Y31" i="1" s="1"/>
  <c r="P28" i="1"/>
  <c r="X24" i="1"/>
  <c r="X274" i="1" s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Y83" i="1" l="1"/>
  <c r="BN81" i="1"/>
  <c r="Y99" i="1"/>
  <c r="BN97" i="1"/>
  <c r="BN112" i="1"/>
  <c r="BP112" i="1"/>
  <c r="Y113" i="1"/>
  <c r="BN116" i="1"/>
  <c r="BP116" i="1"/>
  <c r="Y117" i="1"/>
  <c r="Z123" i="1"/>
  <c r="BN121" i="1"/>
  <c r="Z129" i="1"/>
  <c r="Z135" i="1"/>
  <c r="BN133" i="1"/>
  <c r="Z170" i="1"/>
  <c r="BN167" i="1"/>
  <c r="BN169" i="1"/>
  <c r="Z187" i="1"/>
  <c r="BN185" i="1"/>
  <c r="Z196" i="1"/>
  <c r="Y38" i="1"/>
  <c r="BP34" i="1"/>
  <c r="BN34" i="1"/>
  <c r="BP36" i="1"/>
  <c r="BN36" i="1"/>
  <c r="BP58" i="1"/>
  <c r="BN58" i="1"/>
  <c r="Y71" i="1"/>
  <c r="BP69" i="1"/>
  <c r="BN69" i="1"/>
  <c r="X275" i="1"/>
  <c r="X278" i="1"/>
  <c r="Y92" i="1"/>
  <c r="BP86" i="1"/>
  <c r="BN86" i="1"/>
  <c r="BP88" i="1"/>
  <c r="BN88" i="1"/>
  <c r="BP90" i="1"/>
  <c r="BN90" i="1"/>
  <c r="Y110" i="1"/>
  <c r="BP102" i="1"/>
  <c r="BN102" i="1"/>
  <c r="BP104" i="1"/>
  <c r="BN104" i="1"/>
  <c r="BP106" i="1"/>
  <c r="BN106" i="1"/>
  <c r="BP108" i="1"/>
  <c r="BN108" i="1"/>
  <c r="BP128" i="1"/>
  <c r="BN128" i="1"/>
  <c r="Y197" i="1"/>
  <c r="X276" i="1"/>
  <c r="X277" i="1" s="1"/>
  <c r="Z30" i="1"/>
  <c r="Z37" i="1"/>
  <c r="Y45" i="1"/>
  <c r="Y60" i="1"/>
  <c r="Y66" i="1"/>
  <c r="Z71" i="1"/>
  <c r="Z82" i="1"/>
  <c r="Z92" i="1"/>
  <c r="Z98" i="1"/>
  <c r="Z109" i="1"/>
  <c r="Y123" i="1"/>
  <c r="Y130" i="1"/>
  <c r="Y135" i="1"/>
  <c r="BN161" i="1"/>
  <c r="BN192" i="1"/>
  <c r="BN194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BN149" i="1"/>
  <c r="BP149" i="1"/>
  <c r="Y151" i="1"/>
  <c r="Y155" i="1"/>
  <c r="BP154" i="1"/>
  <c r="BN154" i="1"/>
  <c r="Z162" i="1"/>
  <c r="Y171" i="1"/>
  <c r="Y175" i="1"/>
  <c r="Y180" i="1"/>
  <c r="BP179" i="1"/>
  <c r="BN179" i="1"/>
  <c r="Y188" i="1"/>
  <c r="Y196" i="1"/>
  <c r="BP191" i="1"/>
  <c r="BN191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8" i="1" l="1"/>
  <c r="Z279" i="1"/>
  <c r="Y276" i="1"/>
  <c r="Y274" i="1"/>
  <c r="B287" i="1" s="1"/>
  <c r="Y275" i="1"/>
  <c r="Y277" i="1" s="1"/>
  <c r="C287" i="1" l="1"/>
  <c r="A287" i="1"/>
</calcChain>
</file>

<file path=xl/sharedStrings.xml><?xml version="1.0" encoding="utf-8"?>
<sst xmlns="http://schemas.openxmlformats.org/spreadsheetml/2006/main" count="1230" uniqueCount="396">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</sst>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5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3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139" sqref="AA1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25" t="s">
        <v>0</v>
      </c>
      <c r="E1" s="305"/>
      <c r="F1" s="305"/>
      <c r="G1" s="12" t="s">
        <v>1</v>
      </c>
      <c r="H1" s="425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46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10" t="s">
        <v>7</v>
      </c>
      <c r="B5" s="357"/>
      <c r="C5" s="316"/>
      <c r="D5" s="336"/>
      <c r="E5" s="338"/>
      <c r="F5" s="315" t="s">
        <v>8</v>
      </c>
      <c r="G5" s="316"/>
      <c r="H5" s="336" t="s">
        <v>395</v>
      </c>
      <c r="I5" s="337"/>
      <c r="J5" s="337"/>
      <c r="K5" s="337"/>
      <c r="L5" s="337"/>
      <c r="M5" s="338"/>
      <c r="N5" s="61"/>
      <c r="P5" s="24" t="s">
        <v>9</v>
      </c>
      <c r="Q5" s="334">
        <v>45978</v>
      </c>
      <c r="R5" s="335"/>
      <c r="T5" s="394" t="s">
        <v>10</v>
      </c>
      <c r="U5" s="333"/>
      <c r="V5" s="395" t="s">
        <v>11</v>
      </c>
      <c r="W5" s="335"/>
      <c r="AB5" s="51"/>
      <c r="AC5" s="51"/>
      <c r="AD5" s="51"/>
      <c r="AE5" s="51"/>
    </row>
    <row r="6" spans="1:32" s="262" customFormat="1" ht="24" customHeight="1" x14ac:dyDescent="0.2">
      <c r="A6" s="410" t="s">
        <v>12</v>
      </c>
      <c r="B6" s="357"/>
      <c r="C6" s="316"/>
      <c r="D6" s="339" t="s">
        <v>13</v>
      </c>
      <c r="E6" s="340"/>
      <c r="F6" s="340"/>
      <c r="G6" s="340"/>
      <c r="H6" s="340"/>
      <c r="I6" s="340"/>
      <c r="J6" s="340"/>
      <c r="K6" s="340"/>
      <c r="L6" s="340"/>
      <c r="M6" s="335"/>
      <c r="N6" s="62"/>
      <c r="P6" s="24" t="s">
        <v>14</v>
      </c>
      <c r="Q6" s="30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99" t="s">
        <v>15</v>
      </c>
      <c r="U6" s="333"/>
      <c r="V6" s="370" t="s">
        <v>16</v>
      </c>
      <c r="W6" s="37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35" t="str">
        <f>IFERROR(VLOOKUP(DeliveryAddress,Table,3,0),1)</f>
        <v>1</v>
      </c>
      <c r="E7" s="436"/>
      <c r="F7" s="436"/>
      <c r="G7" s="436"/>
      <c r="H7" s="436"/>
      <c r="I7" s="436"/>
      <c r="J7" s="436"/>
      <c r="K7" s="436"/>
      <c r="L7" s="436"/>
      <c r="M7" s="397"/>
      <c r="N7" s="63"/>
      <c r="P7" s="24"/>
      <c r="Q7" s="42"/>
      <c r="R7" s="42"/>
      <c r="T7" s="281"/>
      <c r="U7" s="333"/>
      <c r="V7" s="372"/>
      <c r="W7" s="373"/>
      <c r="AB7" s="51"/>
      <c r="AC7" s="51"/>
      <c r="AD7" s="51"/>
      <c r="AE7" s="51"/>
    </row>
    <row r="8" spans="1:32" s="262" customFormat="1" ht="25.5" customHeight="1" x14ac:dyDescent="0.2">
      <c r="A8" s="294" t="s">
        <v>17</v>
      </c>
      <c r="B8" s="289"/>
      <c r="C8" s="290"/>
      <c r="D8" s="441" t="s">
        <v>18</v>
      </c>
      <c r="E8" s="442"/>
      <c r="F8" s="442"/>
      <c r="G8" s="442"/>
      <c r="H8" s="442"/>
      <c r="I8" s="442"/>
      <c r="J8" s="442"/>
      <c r="K8" s="442"/>
      <c r="L8" s="442"/>
      <c r="M8" s="443"/>
      <c r="N8" s="64"/>
      <c r="P8" s="24" t="s">
        <v>19</v>
      </c>
      <c r="Q8" s="396">
        <v>0.41666666666666669</v>
      </c>
      <c r="R8" s="397"/>
      <c r="T8" s="281"/>
      <c r="U8" s="333"/>
      <c r="V8" s="372"/>
      <c r="W8" s="373"/>
      <c r="AB8" s="51"/>
      <c r="AC8" s="51"/>
      <c r="AD8" s="51"/>
      <c r="AE8" s="51"/>
    </row>
    <row r="9" spans="1:32" s="262" customFormat="1" ht="39.950000000000003" customHeight="1" x14ac:dyDescent="0.2">
      <c r="A9" s="2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27"/>
      <c r="E9" s="328"/>
      <c r="F9" s="2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28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8"/>
      <c r="L9" s="328"/>
      <c r="M9" s="328"/>
      <c r="N9" s="260"/>
      <c r="P9" s="26" t="s">
        <v>20</v>
      </c>
      <c r="Q9" s="427"/>
      <c r="R9" s="319"/>
      <c r="T9" s="281"/>
      <c r="U9" s="333"/>
      <c r="V9" s="374"/>
      <c r="W9" s="375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27"/>
      <c r="E10" s="328"/>
      <c r="F10" s="2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345" t="str">
        <f>IFERROR(VLOOKUP($D$10,Proxy,2,FALSE),"")</f>
        <v/>
      </c>
      <c r="I10" s="281"/>
      <c r="J10" s="281"/>
      <c r="K10" s="281"/>
      <c r="L10" s="281"/>
      <c r="M10" s="281"/>
      <c r="N10" s="261"/>
      <c r="P10" s="26" t="s">
        <v>21</v>
      </c>
      <c r="Q10" s="400"/>
      <c r="R10" s="401"/>
      <c r="U10" s="24" t="s">
        <v>22</v>
      </c>
      <c r="V10" s="450" t="s">
        <v>23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08"/>
      <c r="R11" s="335"/>
      <c r="U11" s="24" t="s">
        <v>26</v>
      </c>
      <c r="V11" s="318" t="s">
        <v>27</v>
      </c>
      <c r="W11" s="319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8" t="s">
        <v>28</v>
      </c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7"/>
      <c r="M12" s="316"/>
      <c r="N12" s="65"/>
      <c r="P12" s="24" t="s">
        <v>29</v>
      </c>
      <c r="Q12" s="396"/>
      <c r="R12" s="397"/>
      <c r="S12" s="23"/>
      <c r="U12" s="24"/>
      <c r="V12" s="305"/>
      <c r="W12" s="281"/>
      <c r="AB12" s="51"/>
      <c r="AC12" s="51"/>
      <c r="AD12" s="51"/>
      <c r="AE12" s="51"/>
    </row>
    <row r="13" spans="1:32" s="262" customFormat="1" ht="23.25" customHeight="1" x14ac:dyDescent="0.2">
      <c r="A13" s="378" t="s">
        <v>30</v>
      </c>
      <c r="B13" s="357"/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16"/>
      <c r="N13" s="65"/>
      <c r="O13" s="26"/>
      <c r="P13" s="26" t="s">
        <v>31</v>
      </c>
      <c r="Q13" s="318"/>
      <c r="R13" s="31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8" t="s">
        <v>32</v>
      </c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1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79" t="s">
        <v>33</v>
      </c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16"/>
      <c r="N15" s="66"/>
      <c r="P15" s="406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7"/>
      <c r="Q16" s="407"/>
      <c r="R16" s="407"/>
      <c r="S16" s="407"/>
      <c r="T16" s="4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6" t="s">
        <v>35</v>
      </c>
      <c r="B17" s="276" t="s">
        <v>36</v>
      </c>
      <c r="C17" s="402" t="s">
        <v>37</v>
      </c>
      <c r="D17" s="276" t="s">
        <v>38</v>
      </c>
      <c r="E17" s="277"/>
      <c r="F17" s="276" t="s">
        <v>39</v>
      </c>
      <c r="G17" s="276" t="s">
        <v>40</v>
      </c>
      <c r="H17" s="276" t="s">
        <v>41</v>
      </c>
      <c r="I17" s="276" t="s">
        <v>42</v>
      </c>
      <c r="J17" s="276" t="s">
        <v>43</v>
      </c>
      <c r="K17" s="276" t="s">
        <v>44</v>
      </c>
      <c r="L17" s="276" t="s">
        <v>45</v>
      </c>
      <c r="M17" s="276" t="s">
        <v>46</v>
      </c>
      <c r="N17" s="276" t="s">
        <v>47</v>
      </c>
      <c r="O17" s="276" t="s">
        <v>48</v>
      </c>
      <c r="P17" s="276" t="s">
        <v>49</v>
      </c>
      <c r="Q17" s="416"/>
      <c r="R17" s="416"/>
      <c r="S17" s="416"/>
      <c r="T17" s="277"/>
      <c r="U17" s="383" t="s">
        <v>50</v>
      </c>
      <c r="V17" s="316"/>
      <c r="W17" s="276" t="s">
        <v>51</v>
      </c>
      <c r="X17" s="276" t="s">
        <v>52</v>
      </c>
      <c r="Y17" s="384" t="s">
        <v>53</v>
      </c>
      <c r="Z17" s="350" t="s">
        <v>54</v>
      </c>
      <c r="AA17" s="307" t="s">
        <v>55</v>
      </c>
      <c r="AB17" s="307" t="s">
        <v>56</v>
      </c>
      <c r="AC17" s="307" t="s">
        <v>57</v>
      </c>
      <c r="AD17" s="307" t="s">
        <v>58</v>
      </c>
      <c r="AE17" s="308"/>
      <c r="AF17" s="309"/>
      <c r="AG17" s="69"/>
      <c r="BD17" s="68" t="s">
        <v>59</v>
      </c>
    </row>
    <row r="18" spans="1:68" ht="14.25" customHeight="1" x14ac:dyDescent="0.2">
      <c r="A18" s="282"/>
      <c r="B18" s="282"/>
      <c r="C18" s="282"/>
      <c r="D18" s="278"/>
      <c r="E18" s="279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78"/>
      <c r="Q18" s="417"/>
      <c r="R18" s="417"/>
      <c r="S18" s="417"/>
      <c r="T18" s="279"/>
      <c r="U18" s="70" t="s">
        <v>60</v>
      </c>
      <c r="V18" s="70" t="s">
        <v>61</v>
      </c>
      <c r="W18" s="282"/>
      <c r="X18" s="282"/>
      <c r="Y18" s="385"/>
      <c r="Z18" s="351"/>
      <c r="AA18" s="344"/>
      <c r="AB18" s="344"/>
      <c r="AC18" s="344"/>
      <c r="AD18" s="310"/>
      <c r="AE18" s="311"/>
      <c r="AF18" s="312"/>
      <c r="AG18" s="69"/>
      <c r="BD18" s="68"/>
    </row>
    <row r="19" spans="1:68" ht="27.75" hidden="1" customHeight="1" x14ac:dyDescent="0.2">
      <c r="A19" s="291" t="s">
        <v>62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0" t="s">
        <v>62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63"/>
      <c r="AB20" s="263"/>
      <c r="AC20" s="263"/>
    </row>
    <row r="21" spans="1:68" ht="14.25" hidden="1" customHeight="1" x14ac:dyDescent="0.25">
      <c r="A21" s="286" t="s">
        <v>63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74">
        <v>4607111035752</v>
      </c>
      <c r="E22" s="27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4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00"/>
      <c r="B23" s="281"/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301"/>
      <c r="P23" s="288" t="s">
        <v>72</v>
      </c>
      <c r="Q23" s="289"/>
      <c r="R23" s="289"/>
      <c r="S23" s="289"/>
      <c r="T23" s="289"/>
      <c r="U23" s="289"/>
      <c r="V23" s="290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1"/>
      <c r="B24" s="281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301"/>
      <c r="P24" s="288" t="s">
        <v>72</v>
      </c>
      <c r="Q24" s="289"/>
      <c r="R24" s="289"/>
      <c r="S24" s="289"/>
      <c r="T24" s="289"/>
      <c r="U24" s="289"/>
      <c r="V24" s="290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291" t="s">
        <v>74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48"/>
      <c r="AB25" s="48"/>
      <c r="AC25" s="48"/>
    </row>
    <row r="26" spans="1:68" ht="16.5" hidden="1" customHeight="1" x14ac:dyDescent="0.25">
      <c r="A26" s="280" t="s">
        <v>75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63"/>
      <c r="AB26" s="263"/>
      <c r="AC26" s="263"/>
    </row>
    <row r="27" spans="1:68" ht="14.25" hidden="1" customHeight="1" x14ac:dyDescent="0.25">
      <c r="A27" s="286" t="s">
        <v>76</v>
      </c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64"/>
      <c r="AB27" s="264"/>
      <c r="AC27" s="264"/>
    </row>
    <row r="28" spans="1:68" ht="27" hidden="1" customHeight="1" x14ac:dyDescent="0.25">
      <c r="A28" s="54" t="s">
        <v>77</v>
      </c>
      <c r="B28" s="54" t="s">
        <v>78</v>
      </c>
      <c r="C28" s="31">
        <v>4301132190</v>
      </c>
      <c r="D28" s="274">
        <v>4607111036537</v>
      </c>
      <c r="E28" s="27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44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4301132188</v>
      </c>
      <c r="D29" s="274">
        <v>4607111036605</v>
      </c>
      <c r="E29" s="27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43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idden="1" x14ac:dyDescent="0.2">
      <c r="A30" s="300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301"/>
      <c r="P30" s="288" t="s">
        <v>72</v>
      </c>
      <c r="Q30" s="289"/>
      <c r="R30" s="289"/>
      <c r="S30" s="289"/>
      <c r="T30" s="289"/>
      <c r="U30" s="289"/>
      <c r="V30" s="290"/>
      <c r="W30" s="37" t="s">
        <v>69</v>
      </c>
      <c r="X30" s="270">
        <f>IFERROR(SUM(X28:X29),"0")</f>
        <v>0</v>
      </c>
      <c r="Y30" s="270">
        <f>IFERROR(SUM(Y28:Y29),"0")</f>
        <v>0</v>
      </c>
      <c r="Z30" s="270">
        <f>IFERROR(IF(Z28="",0,Z28),"0")+IFERROR(IF(Z29="",0,Z29),"0")</f>
        <v>0</v>
      </c>
      <c r="AA30" s="271"/>
      <c r="AB30" s="271"/>
      <c r="AC30" s="271"/>
    </row>
    <row r="31" spans="1:68" hidden="1" x14ac:dyDescent="0.2">
      <c r="A31" s="281"/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301"/>
      <c r="P31" s="288" t="s">
        <v>72</v>
      </c>
      <c r="Q31" s="289"/>
      <c r="R31" s="289"/>
      <c r="S31" s="289"/>
      <c r="T31" s="289"/>
      <c r="U31" s="289"/>
      <c r="V31" s="290"/>
      <c r="W31" s="37" t="s">
        <v>73</v>
      </c>
      <c r="X31" s="270">
        <f>IFERROR(SUMPRODUCT(X28:X29*H28:H29),"0")</f>
        <v>0</v>
      </c>
      <c r="Y31" s="270">
        <f>IFERROR(SUMPRODUCT(Y28:Y29*H28:H29),"0")</f>
        <v>0</v>
      </c>
      <c r="Z31" s="37"/>
      <c r="AA31" s="271"/>
      <c r="AB31" s="271"/>
      <c r="AC31" s="271"/>
    </row>
    <row r="32" spans="1:68" ht="16.5" hidden="1" customHeight="1" x14ac:dyDescent="0.25">
      <c r="A32" s="280" t="s">
        <v>86</v>
      </c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63"/>
      <c r="AB32" s="263"/>
      <c r="AC32" s="263"/>
    </row>
    <row r="33" spans="1:68" ht="14.25" hidden="1" customHeight="1" x14ac:dyDescent="0.25">
      <c r="A33" s="286" t="s">
        <v>63</v>
      </c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64"/>
      <c r="AB33" s="264"/>
      <c r="AC33" s="264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74">
        <v>4620207490075</v>
      </c>
      <c r="E34" s="27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35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90</v>
      </c>
      <c r="B35" s="54" t="s">
        <v>91</v>
      </c>
      <c r="C35" s="31">
        <v>4301071092</v>
      </c>
      <c r="D35" s="274">
        <v>4620207490174</v>
      </c>
      <c r="E35" s="27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34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4301071091</v>
      </c>
      <c r="D36" s="274">
        <v>4620207490044</v>
      </c>
      <c r="E36" s="27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7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30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301"/>
      <c r="P37" s="288" t="s">
        <v>72</v>
      </c>
      <c r="Q37" s="289"/>
      <c r="R37" s="289"/>
      <c r="S37" s="289"/>
      <c r="T37" s="289"/>
      <c r="U37" s="289"/>
      <c r="V37" s="290"/>
      <c r="W37" s="37" t="s">
        <v>69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hidden="1" x14ac:dyDescent="0.2">
      <c r="A38" s="281"/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301"/>
      <c r="P38" s="288" t="s">
        <v>72</v>
      </c>
      <c r="Q38" s="289"/>
      <c r="R38" s="289"/>
      <c r="S38" s="289"/>
      <c r="T38" s="289"/>
      <c r="U38" s="289"/>
      <c r="V38" s="290"/>
      <c r="W38" s="37" t="s">
        <v>73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hidden="1" customHeight="1" x14ac:dyDescent="0.25">
      <c r="A39" s="280" t="s">
        <v>96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63"/>
      <c r="AB39" s="263"/>
      <c r="AC39" s="263"/>
    </row>
    <row r="40" spans="1:68" ht="14.25" hidden="1" customHeight="1" x14ac:dyDescent="0.25">
      <c r="A40" s="286" t="s">
        <v>63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64"/>
      <c r="AB40" s="264"/>
      <c r="AC40" s="264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74">
        <v>4607111039385</v>
      </c>
      <c r="E41" s="27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35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100</v>
      </c>
      <c r="B42" s="54" t="s">
        <v>101</v>
      </c>
      <c r="C42" s="31">
        <v>4301071031</v>
      </c>
      <c r="D42" s="274">
        <v>4607111038982</v>
      </c>
      <c r="E42" s="27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74">
        <v>4607111039354</v>
      </c>
      <c r="E43" s="27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41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74">
        <v>4607111039330</v>
      </c>
      <c r="E44" s="27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44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idden="1" x14ac:dyDescent="0.2">
      <c r="A45" s="300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301"/>
      <c r="P45" s="288" t="s">
        <v>72</v>
      </c>
      <c r="Q45" s="289"/>
      <c r="R45" s="289"/>
      <c r="S45" s="289"/>
      <c r="T45" s="289"/>
      <c r="U45" s="289"/>
      <c r="V45" s="290"/>
      <c r="W45" s="37" t="s">
        <v>69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hidden="1" x14ac:dyDescent="0.2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301"/>
      <c r="P46" s="288" t="s">
        <v>72</v>
      </c>
      <c r="Q46" s="289"/>
      <c r="R46" s="289"/>
      <c r="S46" s="289"/>
      <c r="T46" s="289"/>
      <c r="U46" s="289"/>
      <c r="V46" s="290"/>
      <c r="W46" s="37" t="s">
        <v>73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hidden="1" customHeight="1" x14ac:dyDescent="0.25">
      <c r="A47" s="280" t="s">
        <v>107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63"/>
      <c r="AB47" s="263"/>
      <c r="AC47" s="263"/>
    </row>
    <row r="48" spans="1:68" ht="14.25" hidden="1" customHeight="1" x14ac:dyDescent="0.25">
      <c r="A48" s="286" t="s">
        <v>63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64"/>
      <c r="AB48" s="264"/>
      <c r="AC48" s="264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74">
        <v>4620207490822</v>
      </c>
      <c r="E49" s="27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300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301"/>
      <c r="P50" s="288" t="s">
        <v>72</v>
      </c>
      <c r="Q50" s="289"/>
      <c r="R50" s="289"/>
      <c r="S50" s="289"/>
      <c r="T50" s="289"/>
      <c r="U50" s="289"/>
      <c r="V50" s="290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301"/>
      <c r="P51" s="288" t="s">
        <v>72</v>
      </c>
      <c r="Q51" s="289"/>
      <c r="R51" s="289"/>
      <c r="S51" s="289"/>
      <c r="T51" s="289"/>
      <c r="U51" s="289"/>
      <c r="V51" s="290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86" t="s">
        <v>76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64"/>
      <c r="AB52" s="264"/>
      <c r="AC52" s="264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74">
        <v>4607111039712</v>
      </c>
      <c r="E53" s="27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40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300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301"/>
      <c r="P54" s="288" t="s">
        <v>72</v>
      </c>
      <c r="Q54" s="289"/>
      <c r="R54" s="289"/>
      <c r="S54" s="289"/>
      <c r="T54" s="289"/>
      <c r="U54" s="289"/>
      <c r="V54" s="290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301"/>
      <c r="P55" s="288" t="s">
        <v>72</v>
      </c>
      <c r="Q55" s="289"/>
      <c r="R55" s="289"/>
      <c r="S55" s="289"/>
      <c r="T55" s="289"/>
      <c r="U55" s="289"/>
      <c r="V55" s="290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86" t="s">
        <v>114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64"/>
      <c r="AB56" s="264"/>
      <c r="AC56" s="264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74">
        <v>4607111037008</v>
      </c>
      <c r="E57" s="27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32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74">
        <v>4607111037398</v>
      </c>
      <c r="E58" s="27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2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00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301"/>
      <c r="P59" s="288" t="s">
        <v>72</v>
      </c>
      <c r="Q59" s="289"/>
      <c r="R59" s="289"/>
      <c r="S59" s="289"/>
      <c r="T59" s="289"/>
      <c r="U59" s="289"/>
      <c r="V59" s="290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301"/>
      <c r="P60" s="288" t="s">
        <v>72</v>
      </c>
      <c r="Q60" s="289"/>
      <c r="R60" s="289"/>
      <c r="S60" s="289"/>
      <c r="T60" s="289"/>
      <c r="U60" s="289"/>
      <c r="V60" s="290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86" t="s">
        <v>120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64"/>
      <c r="AB61" s="264"/>
      <c r="AC61" s="264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74">
        <v>4607111039705</v>
      </c>
      <c r="E62" s="27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74">
        <v>4607111039729</v>
      </c>
      <c r="E63" s="27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41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74">
        <v>4620207490228</v>
      </c>
      <c r="E64" s="27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32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300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301"/>
      <c r="P65" s="288" t="s">
        <v>72</v>
      </c>
      <c r="Q65" s="289"/>
      <c r="R65" s="289"/>
      <c r="S65" s="289"/>
      <c r="T65" s="289"/>
      <c r="U65" s="289"/>
      <c r="V65" s="290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301"/>
      <c r="P66" s="288" t="s">
        <v>72</v>
      </c>
      <c r="Q66" s="289"/>
      <c r="R66" s="289"/>
      <c r="S66" s="289"/>
      <c r="T66" s="289"/>
      <c r="U66" s="289"/>
      <c r="V66" s="290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80" t="s">
        <v>128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63"/>
      <c r="AB67" s="263"/>
      <c r="AC67" s="263"/>
    </row>
    <row r="68" spans="1:68" ht="14.25" hidden="1" customHeight="1" x14ac:dyDescent="0.25">
      <c r="A68" s="286" t="s">
        <v>63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64"/>
      <c r="AB68" s="264"/>
      <c r="AC68" s="264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74">
        <v>4607111037411</v>
      </c>
      <c r="E69" s="27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9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133</v>
      </c>
      <c r="B70" s="54" t="s">
        <v>134</v>
      </c>
      <c r="C70" s="31">
        <v>4301070981</v>
      </c>
      <c r="D70" s="274">
        <v>4607111036728</v>
      </c>
      <c r="E70" s="27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36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69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300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301"/>
      <c r="P71" s="288" t="s">
        <v>72</v>
      </c>
      <c r="Q71" s="289"/>
      <c r="R71" s="289"/>
      <c r="S71" s="289"/>
      <c r="T71" s="289"/>
      <c r="U71" s="289"/>
      <c r="V71" s="290"/>
      <c r="W71" s="37" t="s">
        <v>69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hidden="1" x14ac:dyDescent="0.2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301"/>
      <c r="P72" s="288" t="s">
        <v>72</v>
      </c>
      <c r="Q72" s="289"/>
      <c r="R72" s="289"/>
      <c r="S72" s="289"/>
      <c r="T72" s="289"/>
      <c r="U72" s="289"/>
      <c r="V72" s="290"/>
      <c r="W72" s="37" t="s">
        <v>73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hidden="1" customHeight="1" x14ac:dyDescent="0.25">
      <c r="A73" s="280" t="s">
        <v>135</v>
      </c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63"/>
      <c r="AB73" s="263"/>
      <c r="AC73" s="263"/>
    </row>
    <row r="74" spans="1:68" ht="14.25" hidden="1" customHeight="1" x14ac:dyDescent="0.25">
      <c r="A74" s="286" t="s">
        <v>120</v>
      </c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64"/>
      <c r="AB74" s="264"/>
      <c r="AC74" s="264"/>
    </row>
    <row r="75" spans="1:68" ht="27" hidden="1" customHeight="1" x14ac:dyDescent="0.25">
      <c r="A75" s="54" t="s">
        <v>136</v>
      </c>
      <c r="B75" s="54" t="s">
        <v>137</v>
      </c>
      <c r="C75" s="31">
        <v>4301135574</v>
      </c>
      <c r="D75" s="274">
        <v>4607111033659</v>
      </c>
      <c r="E75" s="27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32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300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301"/>
      <c r="P76" s="288" t="s">
        <v>72</v>
      </c>
      <c r="Q76" s="289"/>
      <c r="R76" s="289"/>
      <c r="S76" s="289"/>
      <c r="T76" s="289"/>
      <c r="U76" s="289"/>
      <c r="V76" s="290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301"/>
      <c r="P77" s="288" t="s">
        <v>72</v>
      </c>
      <c r="Q77" s="289"/>
      <c r="R77" s="289"/>
      <c r="S77" s="289"/>
      <c r="T77" s="289"/>
      <c r="U77" s="289"/>
      <c r="V77" s="290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80" t="s">
        <v>139</v>
      </c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63"/>
      <c r="AB78" s="263"/>
      <c r="AC78" s="263"/>
    </row>
    <row r="79" spans="1:68" ht="14.25" hidden="1" customHeight="1" x14ac:dyDescent="0.25">
      <c r="A79" s="286" t="s">
        <v>140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64"/>
      <c r="AB79" s="264"/>
      <c r="AC79" s="264"/>
    </row>
    <row r="80" spans="1:68" ht="27" hidden="1" customHeight="1" x14ac:dyDescent="0.25">
      <c r="A80" s="54" t="s">
        <v>141</v>
      </c>
      <c r="B80" s="54" t="s">
        <v>142</v>
      </c>
      <c r="C80" s="31">
        <v>4301131047</v>
      </c>
      <c r="D80" s="274">
        <v>4607111034120</v>
      </c>
      <c r="E80" s="27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29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144</v>
      </c>
      <c r="B81" s="54" t="s">
        <v>145</v>
      </c>
      <c r="C81" s="31">
        <v>4301131046</v>
      </c>
      <c r="D81" s="274">
        <v>4607111034137</v>
      </c>
      <c r="E81" s="27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300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301"/>
      <c r="P82" s="288" t="s">
        <v>72</v>
      </c>
      <c r="Q82" s="289"/>
      <c r="R82" s="289"/>
      <c r="S82" s="289"/>
      <c r="T82" s="289"/>
      <c r="U82" s="289"/>
      <c r="V82" s="290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301"/>
      <c r="P83" s="288" t="s">
        <v>72</v>
      </c>
      <c r="Q83" s="289"/>
      <c r="R83" s="289"/>
      <c r="S83" s="289"/>
      <c r="T83" s="289"/>
      <c r="U83" s="289"/>
      <c r="V83" s="290"/>
      <c r="W83" s="37" t="s">
        <v>73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0" t="s">
        <v>147</v>
      </c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63"/>
      <c r="AB84" s="263"/>
      <c r="AC84" s="263"/>
    </row>
    <row r="85" spans="1:68" ht="14.25" hidden="1" customHeight="1" x14ac:dyDescent="0.25">
      <c r="A85" s="286" t="s">
        <v>120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64"/>
      <c r="AB85" s="264"/>
      <c r="AC85" s="264"/>
    </row>
    <row r="86" spans="1:68" ht="27" hidden="1" customHeight="1" x14ac:dyDescent="0.25">
      <c r="A86" s="54" t="s">
        <v>148</v>
      </c>
      <c r="B86" s="54" t="s">
        <v>149</v>
      </c>
      <c r="C86" s="31">
        <v>4301135763</v>
      </c>
      <c r="D86" s="274">
        <v>4620207491027</v>
      </c>
      <c r="E86" s="27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45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hidden="1" customHeight="1" x14ac:dyDescent="0.25">
      <c r="A87" s="54" t="s">
        <v>150</v>
      </c>
      <c r="B87" s="54" t="s">
        <v>151</v>
      </c>
      <c r="C87" s="31">
        <v>4301135793</v>
      </c>
      <c r="D87" s="274">
        <v>4620207491003</v>
      </c>
      <c r="E87" s="27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69</v>
      </c>
      <c r="X87" s="268">
        <v>0</v>
      </c>
      <c r="Y87" s="269">
        <f t="shared" si="0"/>
        <v>0</v>
      </c>
      <c r="Z87" s="36">
        <f t="shared" si="1"/>
        <v>0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0</v>
      </c>
      <c r="BN87" s="67">
        <f t="shared" si="3"/>
        <v>0</v>
      </c>
      <c r="BO87" s="67">
        <f t="shared" si="4"/>
        <v>0</v>
      </c>
      <c r="BP87" s="67">
        <f t="shared" si="5"/>
        <v>0</v>
      </c>
    </row>
    <row r="88" spans="1:68" ht="27" hidden="1" customHeight="1" x14ac:dyDescent="0.25">
      <c r="A88" s="54" t="s">
        <v>152</v>
      </c>
      <c r="B88" s="54" t="s">
        <v>153</v>
      </c>
      <c r="C88" s="31">
        <v>4301135768</v>
      </c>
      <c r="D88" s="274">
        <v>4620207491034</v>
      </c>
      <c r="E88" s="27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hidden="1" customHeight="1" x14ac:dyDescent="0.25">
      <c r="A89" s="54" t="s">
        <v>155</v>
      </c>
      <c r="B89" s="54" t="s">
        <v>156</v>
      </c>
      <c r="C89" s="31">
        <v>4301135760</v>
      </c>
      <c r="D89" s="274">
        <v>4620207491010</v>
      </c>
      <c r="E89" s="27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69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157</v>
      </c>
      <c r="B90" s="54" t="s">
        <v>158</v>
      </c>
      <c r="C90" s="31">
        <v>4301135571</v>
      </c>
      <c r="D90" s="274">
        <v>4607111035028</v>
      </c>
      <c r="E90" s="27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6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74">
        <v>4607111036407</v>
      </c>
      <c r="E91" s="27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hidden="1" x14ac:dyDescent="0.2">
      <c r="A92" s="300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301"/>
      <c r="P92" s="288" t="s">
        <v>72</v>
      </c>
      <c r="Q92" s="289"/>
      <c r="R92" s="289"/>
      <c r="S92" s="289"/>
      <c r="T92" s="289"/>
      <c r="U92" s="289"/>
      <c r="V92" s="290"/>
      <c r="W92" s="37" t="s">
        <v>69</v>
      </c>
      <c r="X92" s="270">
        <f>IFERROR(SUM(X86:X91),"0")</f>
        <v>0</v>
      </c>
      <c r="Y92" s="270">
        <f>IFERROR(SUM(Y86:Y91),"0")</f>
        <v>0</v>
      </c>
      <c r="Z92" s="270">
        <f>IFERROR(IF(Z86="",0,Z86),"0")+IFERROR(IF(Z87="",0,Z87),"0")+IFERROR(IF(Z88="",0,Z88),"0")+IFERROR(IF(Z89="",0,Z89),"0")+IFERROR(IF(Z90="",0,Z90),"0")+IFERROR(IF(Z91="",0,Z91),"0")</f>
        <v>0</v>
      </c>
      <c r="AA92" s="271"/>
      <c r="AB92" s="271"/>
      <c r="AC92" s="271"/>
    </row>
    <row r="93" spans="1:68" hidden="1" x14ac:dyDescent="0.2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301"/>
      <c r="P93" s="288" t="s">
        <v>72</v>
      </c>
      <c r="Q93" s="289"/>
      <c r="R93" s="289"/>
      <c r="S93" s="289"/>
      <c r="T93" s="289"/>
      <c r="U93" s="289"/>
      <c r="V93" s="290"/>
      <c r="W93" s="37" t="s">
        <v>73</v>
      </c>
      <c r="X93" s="270">
        <f>IFERROR(SUMPRODUCT(X86:X91*H86:H91),"0")</f>
        <v>0</v>
      </c>
      <c r="Y93" s="270">
        <f>IFERROR(SUMPRODUCT(Y86:Y91*H86:H91),"0")</f>
        <v>0</v>
      </c>
      <c r="Z93" s="37"/>
      <c r="AA93" s="271"/>
      <c r="AB93" s="271"/>
      <c r="AC93" s="271"/>
    </row>
    <row r="94" spans="1:68" ht="16.5" hidden="1" customHeight="1" x14ac:dyDescent="0.25">
      <c r="A94" s="280" t="s">
        <v>162</v>
      </c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63"/>
      <c r="AB94" s="263"/>
      <c r="AC94" s="263"/>
    </row>
    <row r="95" spans="1:68" ht="14.25" hidden="1" customHeight="1" x14ac:dyDescent="0.25">
      <c r="A95" s="286" t="s">
        <v>114</v>
      </c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64"/>
      <c r="AB95" s="264"/>
      <c r="AC95" s="264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74">
        <v>4607025784012</v>
      </c>
      <c r="E96" s="27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166</v>
      </c>
      <c r="B97" s="54" t="s">
        <v>167</v>
      </c>
      <c r="C97" s="31">
        <v>4301136079</v>
      </c>
      <c r="D97" s="274">
        <v>4607025784319</v>
      </c>
      <c r="E97" s="27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42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300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301"/>
      <c r="P98" s="288" t="s">
        <v>72</v>
      </c>
      <c r="Q98" s="289"/>
      <c r="R98" s="289"/>
      <c r="S98" s="289"/>
      <c r="T98" s="289"/>
      <c r="U98" s="289"/>
      <c r="V98" s="290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301"/>
      <c r="P99" s="288" t="s">
        <v>72</v>
      </c>
      <c r="Q99" s="289"/>
      <c r="R99" s="289"/>
      <c r="S99" s="289"/>
      <c r="T99" s="289"/>
      <c r="U99" s="289"/>
      <c r="V99" s="290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80" t="s">
        <v>168</v>
      </c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63"/>
      <c r="AB100" s="263"/>
      <c r="AC100" s="263"/>
    </row>
    <row r="101" spans="1:68" ht="14.25" hidden="1" customHeight="1" x14ac:dyDescent="0.25">
      <c r="A101" s="286" t="s">
        <v>63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64"/>
      <c r="AB101" s="264"/>
      <c r="AC101" s="264"/>
    </row>
    <row r="102" spans="1:68" ht="27" hidden="1" customHeight="1" x14ac:dyDescent="0.25">
      <c r="A102" s="54" t="s">
        <v>169</v>
      </c>
      <c r="B102" s="54" t="s">
        <v>170</v>
      </c>
      <c r="C102" s="31">
        <v>4301071074</v>
      </c>
      <c r="D102" s="274">
        <v>4620207491157</v>
      </c>
      <c r="E102" s="27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hidden="1" customHeight="1" x14ac:dyDescent="0.25">
      <c r="A103" s="54" t="s">
        <v>172</v>
      </c>
      <c r="B103" s="54" t="s">
        <v>173</v>
      </c>
      <c r="C103" s="31">
        <v>4301071051</v>
      </c>
      <c r="D103" s="274">
        <v>4607111039262</v>
      </c>
      <c r="E103" s="27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174</v>
      </c>
      <c r="B104" s="54" t="s">
        <v>175</v>
      </c>
      <c r="C104" s="31">
        <v>4301071038</v>
      </c>
      <c r="D104" s="274">
        <v>4607111039248</v>
      </c>
      <c r="E104" s="27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44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69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74">
        <v>4607111037145</v>
      </c>
      <c r="E105" s="27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35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179</v>
      </c>
      <c r="B106" s="54" t="s">
        <v>180</v>
      </c>
      <c r="C106" s="31">
        <v>4301071049</v>
      </c>
      <c r="D106" s="274">
        <v>4607111039293</v>
      </c>
      <c r="E106" s="27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34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hidden="1" customHeight="1" x14ac:dyDescent="0.25">
      <c r="A107" s="54" t="s">
        <v>181</v>
      </c>
      <c r="B107" s="54" t="s">
        <v>182</v>
      </c>
      <c r="C107" s="31">
        <v>4301071039</v>
      </c>
      <c r="D107" s="274">
        <v>4607111039279</v>
      </c>
      <c r="E107" s="27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74">
        <v>4607111037435</v>
      </c>
      <c r="E108" s="27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idden="1" x14ac:dyDescent="0.2">
      <c r="A109" s="300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81"/>
      <c r="M109" s="281"/>
      <c r="N109" s="281"/>
      <c r="O109" s="301"/>
      <c r="P109" s="288" t="s">
        <v>72</v>
      </c>
      <c r="Q109" s="289"/>
      <c r="R109" s="289"/>
      <c r="S109" s="289"/>
      <c r="T109" s="289"/>
      <c r="U109" s="289"/>
      <c r="V109" s="290"/>
      <c r="W109" s="37" t="s">
        <v>69</v>
      </c>
      <c r="X109" s="270">
        <f>IFERROR(SUM(X102:X108),"0")</f>
        <v>0</v>
      </c>
      <c r="Y109" s="270">
        <f>IFERROR(SUM(Y102:Y108),"0")</f>
        <v>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281"/>
      <c r="N110" s="281"/>
      <c r="O110" s="301"/>
      <c r="P110" s="288" t="s">
        <v>72</v>
      </c>
      <c r="Q110" s="289"/>
      <c r="R110" s="289"/>
      <c r="S110" s="289"/>
      <c r="T110" s="289"/>
      <c r="U110" s="289"/>
      <c r="V110" s="290"/>
      <c r="W110" s="37" t="s">
        <v>73</v>
      </c>
      <c r="X110" s="270">
        <f>IFERROR(SUMPRODUCT(X102:X108*H102:H108),"0")</f>
        <v>0</v>
      </c>
      <c r="Y110" s="270">
        <f>IFERROR(SUMPRODUCT(Y102:Y108*H102:H108),"0")</f>
        <v>0</v>
      </c>
      <c r="Z110" s="37"/>
      <c r="AA110" s="271"/>
      <c r="AB110" s="271"/>
      <c r="AC110" s="271"/>
    </row>
    <row r="111" spans="1:68" ht="14.25" hidden="1" customHeight="1" x14ac:dyDescent="0.25">
      <c r="A111" s="286" t="s">
        <v>120</v>
      </c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64"/>
      <c r="AB111" s="264"/>
      <c r="AC111" s="264"/>
    </row>
    <row r="112" spans="1:68" ht="27" hidden="1" customHeight="1" x14ac:dyDescent="0.25">
      <c r="A112" s="54" t="s">
        <v>186</v>
      </c>
      <c r="B112" s="54" t="s">
        <v>187</v>
      </c>
      <c r="C112" s="31">
        <v>4301135826</v>
      </c>
      <c r="D112" s="274">
        <v>4620207490983</v>
      </c>
      <c r="E112" s="27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29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300"/>
      <c r="B113" s="281"/>
      <c r="C113" s="281"/>
      <c r="D113" s="281"/>
      <c r="E113" s="281"/>
      <c r="F113" s="281"/>
      <c r="G113" s="281"/>
      <c r="H113" s="281"/>
      <c r="I113" s="281"/>
      <c r="J113" s="281"/>
      <c r="K113" s="281"/>
      <c r="L113" s="281"/>
      <c r="M113" s="281"/>
      <c r="N113" s="281"/>
      <c r="O113" s="301"/>
      <c r="P113" s="288" t="s">
        <v>72</v>
      </c>
      <c r="Q113" s="289"/>
      <c r="R113" s="289"/>
      <c r="S113" s="289"/>
      <c r="T113" s="289"/>
      <c r="U113" s="289"/>
      <c r="V113" s="290"/>
      <c r="W113" s="37" t="s">
        <v>69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hidden="1" x14ac:dyDescent="0.2">
      <c r="A114" s="281"/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81"/>
      <c r="O114" s="301"/>
      <c r="P114" s="288" t="s">
        <v>72</v>
      </c>
      <c r="Q114" s="289"/>
      <c r="R114" s="289"/>
      <c r="S114" s="289"/>
      <c r="T114" s="289"/>
      <c r="U114" s="289"/>
      <c r="V114" s="290"/>
      <c r="W114" s="37" t="s">
        <v>73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hidden="1" customHeight="1" x14ac:dyDescent="0.25">
      <c r="A115" s="286" t="s">
        <v>189</v>
      </c>
      <c r="B115" s="281"/>
      <c r="C115" s="281"/>
      <c r="D115" s="281"/>
      <c r="E115" s="281"/>
      <c r="F115" s="281"/>
      <c r="G115" s="281"/>
      <c r="H115" s="281"/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64"/>
      <c r="AB115" s="264"/>
      <c r="AC115" s="264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74">
        <v>4620207491140</v>
      </c>
      <c r="E116" s="27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8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300"/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301"/>
      <c r="P117" s="288" t="s">
        <v>72</v>
      </c>
      <c r="Q117" s="289"/>
      <c r="R117" s="289"/>
      <c r="S117" s="289"/>
      <c r="T117" s="289"/>
      <c r="U117" s="289"/>
      <c r="V117" s="290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1"/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81"/>
      <c r="O118" s="301"/>
      <c r="P118" s="288" t="s">
        <v>72</v>
      </c>
      <c r="Q118" s="289"/>
      <c r="R118" s="289"/>
      <c r="S118" s="289"/>
      <c r="T118" s="289"/>
      <c r="U118" s="289"/>
      <c r="V118" s="290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80" t="s">
        <v>193</v>
      </c>
      <c r="B119" s="281"/>
      <c r="C119" s="281"/>
      <c r="D119" s="281"/>
      <c r="E119" s="281"/>
      <c r="F119" s="281"/>
      <c r="G119" s="281"/>
      <c r="H119" s="281"/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63"/>
      <c r="AB119" s="263"/>
      <c r="AC119" s="263"/>
    </row>
    <row r="120" spans="1:68" ht="14.25" hidden="1" customHeight="1" x14ac:dyDescent="0.25">
      <c r="A120" s="286" t="s">
        <v>120</v>
      </c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64"/>
      <c r="AB120" s="264"/>
      <c r="AC120" s="264"/>
    </row>
    <row r="121" spans="1:68" ht="27" hidden="1" customHeight="1" x14ac:dyDescent="0.25">
      <c r="A121" s="54" t="s">
        <v>194</v>
      </c>
      <c r="B121" s="54" t="s">
        <v>195</v>
      </c>
      <c r="C121" s="31">
        <v>4301135555</v>
      </c>
      <c r="D121" s="274">
        <v>4607111034014</v>
      </c>
      <c r="E121" s="27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32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4"/>
      <c r="R121" s="284"/>
      <c r="S121" s="284"/>
      <c r="T121" s="285"/>
      <c r="U121" s="34"/>
      <c r="V121" s="34"/>
      <c r="W121" s="35" t="s">
        <v>69</v>
      </c>
      <c r="X121" s="268">
        <v>0</v>
      </c>
      <c r="Y121" s="269">
        <f>IFERROR(IF(X121="","",X121),"")</f>
        <v>0</v>
      </c>
      <c r="Z121" s="36">
        <f>IFERROR(IF(X121="","",X121*0.01788),"")</f>
        <v>0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hidden="1" customHeight="1" x14ac:dyDescent="0.25">
      <c r="A122" s="54" t="s">
        <v>197</v>
      </c>
      <c r="B122" s="54" t="s">
        <v>198</v>
      </c>
      <c r="C122" s="31">
        <v>4301135532</v>
      </c>
      <c r="D122" s="274">
        <v>4607111033994</v>
      </c>
      <c r="E122" s="27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69</v>
      </c>
      <c r="X122" s="268">
        <v>0</v>
      </c>
      <c r="Y122" s="269">
        <f>IFERROR(IF(X122="","",X122),"")</f>
        <v>0</v>
      </c>
      <c r="Z122" s="36">
        <f>IFERROR(IF(X122="","",X122*0.01788),"")</f>
        <v>0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hidden="1" x14ac:dyDescent="0.2">
      <c r="A123" s="300"/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301"/>
      <c r="P123" s="288" t="s">
        <v>72</v>
      </c>
      <c r="Q123" s="289"/>
      <c r="R123" s="289"/>
      <c r="S123" s="289"/>
      <c r="T123" s="289"/>
      <c r="U123" s="289"/>
      <c r="V123" s="290"/>
      <c r="W123" s="37" t="s">
        <v>69</v>
      </c>
      <c r="X123" s="270">
        <f>IFERROR(SUM(X121:X122),"0")</f>
        <v>0</v>
      </c>
      <c r="Y123" s="270">
        <f>IFERROR(SUM(Y121:Y122),"0")</f>
        <v>0</v>
      </c>
      <c r="Z123" s="270">
        <f>IFERROR(IF(Z121="",0,Z121),"0")+IFERROR(IF(Z122="",0,Z122),"0")</f>
        <v>0</v>
      </c>
      <c r="AA123" s="271"/>
      <c r="AB123" s="271"/>
      <c r="AC123" s="271"/>
    </row>
    <row r="124" spans="1:68" hidden="1" x14ac:dyDescent="0.2">
      <c r="A124" s="281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301"/>
      <c r="P124" s="288" t="s">
        <v>72</v>
      </c>
      <c r="Q124" s="289"/>
      <c r="R124" s="289"/>
      <c r="S124" s="289"/>
      <c r="T124" s="289"/>
      <c r="U124" s="289"/>
      <c r="V124" s="290"/>
      <c r="W124" s="37" t="s">
        <v>73</v>
      </c>
      <c r="X124" s="270">
        <f>IFERROR(SUMPRODUCT(X121:X122*H121:H122),"0")</f>
        <v>0</v>
      </c>
      <c r="Y124" s="270">
        <f>IFERROR(SUMPRODUCT(Y121:Y122*H121:H122),"0")</f>
        <v>0</v>
      </c>
      <c r="Z124" s="37"/>
      <c r="AA124" s="271"/>
      <c r="AB124" s="271"/>
      <c r="AC124" s="271"/>
    </row>
    <row r="125" spans="1:68" ht="16.5" hidden="1" customHeight="1" x14ac:dyDescent="0.25">
      <c r="A125" s="280" t="s">
        <v>201</v>
      </c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63"/>
      <c r="AB125" s="263"/>
      <c r="AC125" s="263"/>
    </row>
    <row r="126" spans="1:68" ht="14.25" hidden="1" customHeight="1" x14ac:dyDescent="0.25">
      <c r="A126" s="286" t="s">
        <v>120</v>
      </c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64"/>
      <c r="AB126" s="264"/>
      <c r="AC126" s="264"/>
    </row>
    <row r="127" spans="1:68" ht="27" hidden="1" customHeight="1" x14ac:dyDescent="0.25">
      <c r="A127" s="54" t="s">
        <v>202</v>
      </c>
      <c r="B127" s="54" t="s">
        <v>203</v>
      </c>
      <c r="C127" s="31">
        <v>4301135824</v>
      </c>
      <c r="D127" s="274">
        <v>4607111039095</v>
      </c>
      <c r="E127" s="27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3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4"/>
      <c r="R127" s="284"/>
      <c r="S127" s="284"/>
      <c r="T127" s="285"/>
      <c r="U127" s="34"/>
      <c r="V127" s="34"/>
      <c r="W127" s="35" t="s">
        <v>69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hidden="1" customHeight="1" x14ac:dyDescent="0.25">
      <c r="A128" s="54" t="s">
        <v>205</v>
      </c>
      <c r="B128" s="54" t="s">
        <v>206</v>
      </c>
      <c r="C128" s="31">
        <v>4301135550</v>
      </c>
      <c r="D128" s="274">
        <v>4607111034199</v>
      </c>
      <c r="E128" s="27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33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0"/>
      <c r="B129" s="281"/>
      <c r="C129" s="281"/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281"/>
      <c r="O129" s="301"/>
      <c r="P129" s="288" t="s">
        <v>72</v>
      </c>
      <c r="Q129" s="289"/>
      <c r="R129" s="289"/>
      <c r="S129" s="289"/>
      <c r="T129" s="289"/>
      <c r="U129" s="289"/>
      <c r="V129" s="290"/>
      <c r="W129" s="37" t="s">
        <v>69</v>
      </c>
      <c r="X129" s="270">
        <f>IFERROR(SUM(X127:X128),"0")</f>
        <v>0</v>
      </c>
      <c r="Y129" s="270">
        <f>IFERROR(SUM(Y127:Y128),"0")</f>
        <v>0</v>
      </c>
      <c r="Z129" s="270">
        <f>IFERROR(IF(Z127="",0,Z127),"0")+IFERROR(IF(Z128="",0,Z128),"0")</f>
        <v>0</v>
      </c>
      <c r="AA129" s="271"/>
      <c r="AB129" s="271"/>
      <c r="AC129" s="271"/>
    </row>
    <row r="130" spans="1:68" hidden="1" x14ac:dyDescent="0.2">
      <c r="A130" s="281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81"/>
      <c r="O130" s="301"/>
      <c r="P130" s="288" t="s">
        <v>72</v>
      </c>
      <c r="Q130" s="289"/>
      <c r="R130" s="289"/>
      <c r="S130" s="289"/>
      <c r="T130" s="289"/>
      <c r="U130" s="289"/>
      <c r="V130" s="290"/>
      <c r="W130" s="37" t="s">
        <v>73</v>
      </c>
      <c r="X130" s="270">
        <f>IFERROR(SUMPRODUCT(X127:X128*H127:H128),"0")</f>
        <v>0</v>
      </c>
      <c r="Y130" s="270">
        <f>IFERROR(SUMPRODUCT(Y127:Y128*H127:H128),"0")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0" t="s">
        <v>208</v>
      </c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63"/>
      <c r="AB131" s="263"/>
      <c r="AC131" s="263"/>
    </row>
    <row r="132" spans="1:68" ht="14.25" hidden="1" customHeight="1" x14ac:dyDescent="0.25">
      <c r="A132" s="286" t="s">
        <v>120</v>
      </c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64"/>
      <c r="AB132" s="264"/>
      <c r="AC132" s="264"/>
    </row>
    <row r="133" spans="1:68" ht="27" hidden="1" customHeight="1" x14ac:dyDescent="0.25">
      <c r="A133" s="54" t="s">
        <v>209</v>
      </c>
      <c r="B133" s="54" t="s">
        <v>210</v>
      </c>
      <c r="C133" s="31">
        <v>4301135753</v>
      </c>
      <c r="D133" s="274">
        <v>4620207490914</v>
      </c>
      <c r="E133" s="27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211</v>
      </c>
      <c r="B134" s="54" t="s">
        <v>212</v>
      </c>
      <c r="C134" s="31">
        <v>4301135778</v>
      </c>
      <c r="D134" s="274">
        <v>4620207490853</v>
      </c>
      <c r="E134" s="27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30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300"/>
      <c r="B135" s="281"/>
      <c r="C135" s="281"/>
      <c r="D135" s="281"/>
      <c r="E135" s="281"/>
      <c r="F135" s="281"/>
      <c r="G135" s="281"/>
      <c r="H135" s="281"/>
      <c r="I135" s="281"/>
      <c r="J135" s="281"/>
      <c r="K135" s="281"/>
      <c r="L135" s="281"/>
      <c r="M135" s="281"/>
      <c r="N135" s="281"/>
      <c r="O135" s="301"/>
      <c r="P135" s="288" t="s">
        <v>72</v>
      </c>
      <c r="Q135" s="289"/>
      <c r="R135" s="289"/>
      <c r="S135" s="289"/>
      <c r="T135" s="289"/>
      <c r="U135" s="289"/>
      <c r="V135" s="290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81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301"/>
      <c r="P136" s="288" t="s">
        <v>72</v>
      </c>
      <c r="Q136" s="289"/>
      <c r="R136" s="289"/>
      <c r="S136" s="289"/>
      <c r="T136" s="289"/>
      <c r="U136" s="289"/>
      <c r="V136" s="290"/>
      <c r="W136" s="37" t="s">
        <v>73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80" t="s">
        <v>213</v>
      </c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63"/>
      <c r="AB137" s="263"/>
      <c r="AC137" s="263"/>
    </row>
    <row r="138" spans="1:68" ht="14.25" hidden="1" customHeight="1" x14ac:dyDescent="0.25">
      <c r="A138" s="286" t="s">
        <v>120</v>
      </c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74">
        <v>4607111035806</v>
      </c>
      <c r="E139" s="27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29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56</v>
      </c>
      <c r="Y139" s="269">
        <f>IFERROR(IF(X139="","",X139),"")</f>
        <v>56</v>
      </c>
      <c r="Z139" s="36">
        <f>IFERROR(IF(X139="","",X139*0.01788),"")</f>
        <v>1.0012799999999999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207.40159999999997</v>
      </c>
      <c r="BN139" s="67">
        <f>IFERROR(Y139*I139,"0")</f>
        <v>207.40159999999997</v>
      </c>
      <c r="BO139" s="67">
        <f>IFERROR(X139/J139,"0")</f>
        <v>0.8</v>
      </c>
      <c r="BP139" s="67">
        <f>IFERROR(Y139/J139,"0")</f>
        <v>0.8</v>
      </c>
    </row>
    <row r="140" spans="1:68" x14ac:dyDescent="0.2">
      <c r="A140" s="300"/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301"/>
      <c r="P140" s="288" t="s">
        <v>72</v>
      </c>
      <c r="Q140" s="289"/>
      <c r="R140" s="289"/>
      <c r="S140" s="289"/>
      <c r="T140" s="289"/>
      <c r="U140" s="289"/>
      <c r="V140" s="290"/>
      <c r="W140" s="37" t="s">
        <v>69</v>
      </c>
      <c r="X140" s="270">
        <f>IFERROR(SUM(X139:X139),"0")</f>
        <v>56</v>
      </c>
      <c r="Y140" s="270">
        <f>IFERROR(SUM(Y139:Y139),"0")</f>
        <v>56</v>
      </c>
      <c r="Z140" s="270">
        <f>IFERROR(IF(Z139="",0,Z139),"0")</f>
        <v>1.0012799999999999</v>
      </c>
      <c r="AA140" s="271"/>
      <c r="AB140" s="271"/>
      <c r="AC140" s="271"/>
    </row>
    <row r="141" spans="1:68" x14ac:dyDescent="0.2">
      <c r="A141" s="281"/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301"/>
      <c r="P141" s="288" t="s">
        <v>72</v>
      </c>
      <c r="Q141" s="289"/>
      <c r="R141" s="289"/>
      <c r="S141" s="289"/>
      <c r="T141" s="289"/>
      <c r="U141" s="289"/>
      <c r="V141" s="290"/>
      <c r="W141" s="37" t="s">
        <v>73</v>
      </c>
      <c r="X141" s="270">
        <f>IFERROR(SUMPRODUCT(X139:X139*H139:H139),"0")</f>
        <v>168</v>
      </c>
      <c r="Y141" s="270">
        <f>IFERROR(SUMPRODUCT(Y139:Y139*H139:H139),"0")</f>
        <v>168</v>
      </c>
      <c r="Z141" s="37"/>
      <c r="AA141" s="271"/>
      <c r="AB141" s="271"/>
      <c r="AC141" s="271"/>
    </row>
    <row r="142" spans="1:68" ht="16.5" hidden="1" customHeight="1" x14ac:dyDescent="0.25">
      <c r="A142" s="280" t="s">
        <v>217</v>
      </c>
      <c r="B142" s="281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63"/>
      <c r="AB142" s="263"/>
      <c r="AC142" s="263"/>
    </row>
    <row r="143" spans="1:68" ht="14.25" hidden="1" customHeight="1" x14ac:dyDescent="0.25">
      <c r="A143" s="286" t="s">
        <v>120</v>
      </c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64"/>
      <c r="AB143" s="264"/>
      <c r="AC143" s="264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74">
        <v>4607111039613</v>
      </c>
      <c r="E144" s="27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4"/>
      <c r="R144" s="284"/>
      <c r="S144" s="284"/>
      <c r="T144" s="285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300"/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301"/>
      <c r="P145" s="288" t="s">
        <v>72</v>
      </c>
      <c r="Q145" s="289"/>
      <c r="R145" s="289"/>
      <c r="S145" s="289"/>
      <c r="T145" s="289"/>
      <c r="U145" s="289"/>
      <c r="V145" s="290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301"/>
      <c r="P146" s="288" t="s">
        <v>72</v>
      </c>
      <c r="Q146" s="289"/>
      <c r="R146" s="289"/>
      <c r="S146" s="289"/>
      <c r="T146" s="289"/>
      <c r="U146" s="289"/>
      <c r="V146" s="290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80" t="s">
        <v>220</v>
      </c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63"/>
      <c r="AB147" s="263"/>
      <c r="AC147" s="263"/>
    </row>
    <row r="148" spans="1:68" ht="14.25" hidden="1" customHeight="1" x14ac:dyDescent="0.25">
      <c r="A148" s="286" t="s">
        <v>189</v>
      </c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64"/>
      <c r="AB148" s="264"/>
      <c r="AC148" s="264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74">
        <v>4607111035646</v>
      </c>
      <c r="E149" s="27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3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4"/>
      <c r="R149" s="284"/>
      <c r="S149" s="284"/>
      <c r="T149" s="285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300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301"/>
      <c r="P150" s="288" t="s">
        <v>72</v>
      </c>
      <c r="Q150" s="289"/>
      <c r="R150" s="289"/>
      <c r="S150" s="289"/>
      <c r="T150" s="289"/>
      <c r="U150" s="289"/>
      <c r="V150" s="290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301"/>
      <c r="P151" s="288" t="s">
        <v>72</v>
      </c>
      <c r="Q151" s="289"/>
      <c r="R151" s="289"/>
      <c r="S151" s="289"/>
      <c r="T151" s="289"/>
      <c r="U151" s="289"/>
      <c r="V151" s="290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80" t="s">
        <v>225</v>
      </c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63"/>
      <c r="AB152" s="263"/>
      <c r="AC152" s="263"/>
    </row>
    <row r="153" spans="1:68" ht="14.25" hidden="1" customHeight="1" x14ac:dyDescent="0.25">
      <c r="A153" s="286" t="s">
        <v>120</v>
      </c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74">
        <v>4607111036568</v>
      </c>
      <c r="E154" s="27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5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4"/>
      <c r="R154" s="284"/>
      <c r="S154" s="284"/>
      <c r="T154" s="285"/>
      <c r="U154" s="34"/>
      <c r="V154" s="34"/>
      <c r="W154" s="35" t="s">
        <v>69</v>
      </c>
      <c r="X154" s="268">
        <v>70</v>
      </c>
      <c r="Y154" s="269">
        <f>IFERROR(IF(X154="","",X154),"")</f>
        <v>70</v>
      </c>
      <c r="Z154" s="36">
        <f>IFERROR(IF(X154="","",X154*0.00941),"")</f>
        <v>0.65869999999999995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147.126</v>
      </c>
      <c r="BN154" s="67">
        <f>IFERROR(Y154*I154,"0")</f>
        <v>147.126</v>
      </c>
      <c r="BO154" s="67">
        <f>IFERROR(X154/J154,"0")</f>
        <v>0.5</v>
      </c>
      <c r="BP154" s="67">
        <f>IFERROR(Y154/J154,"0")</f>
        <v>0.5</v>
      </c>
    </row>
    <row r="155" spans="1:68" x14ac:dyDescent="0.2">
      <c r="A155" s="300"/>
      <c r="B155" s="281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301"/>
      <c r="P155" s="288" t="s">
        <v>72</v>
      </c>
      <c r="Q155" s="289"/>
      <c r="R155" s="289"/>
      <c r="S155" s="289"/>
      <c r="T155" s="289"/>
      <c r="U155" s="289"/>
      <c r="V155" s="290"/>
      <c r="W155" s="37" t="s">
        <v>69</v>
      </c>
      <c r="X155" s="270">
        <f>IFERROR(SUM(X154:X154),"0")</f>
        <v>70</v>
      </c>
      <c r="Y155" s="270">
        <f>IFERROR(SUM(Y154:Y154),"0")</f>
        <v>70</v>
      </c>
      <c r="Z155" s="270">
        <f>IFERROR(IF(Z154="",0,Z154),"0")</f>
        <v>0.65869999999999995</v>
      </c>
      <c r="AA155" s="271"/>
      <c r="AB155" s="271"/>
      <c r="AC155" s="271"/>
    </row>
    <row r="156" spans="1:68" x14ac:dyDescent="0.2">
      <c r="A156" s="281"/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301"/>
      <c r="P156" s="288" t="s">
        <v>72</v>
      </c>
      <c r="Q156" s="289"/>
      <c r="R156" s="289"/>
      <c r="S156" s="289"/>
      <c r="T156" s="289"/>
      <c r="U156" s="289"/>
      <c r="V156" s="290"/>
      <c r="W156" s="37" t="s">
        <v>73</v>
      </c>
      <c r="X156" s="270">
        <f>IFERROR(SUMPRODUCT(X154:X154*H154:H154),"0")</f>
        <v>117.6</v>
      </c>
      <c r="Y156" s="270">
        <f>IFERROR(SUMPRODUCT(Y154:Y154*H154:H154),"0")</f>
        <v>117.6</v>
      </c>
      <c r="Z156" s="37"/>
      <c r="AA156" s="271"/>
      <c r="AB156" s="271"/>
      <c r="AC156" s="271"/>
    </row>
    <row r="157" spans="1:68" ht="27.75" hidden="1" customHeight="1" x14ac:dyDescent="0.2">
      <c r="A157" s="291" t="s">
        <v>229</v>
      </c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  <c r="AA157" s="48"/>
      <c r="AB157" s="48"/>
      <c r="AC157" s="48"/>
    </row>
    <row r="158" spans="1:68" ht="16.5" hidden="1" customHeight="1" x14ac:dyDescent="0.25">
      <c r="A158" s="280" t="s">
        <v>230</v>
      </c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63"/>
      <c r="AB158" s="263"/>
      <c r="AC158" s="263"/>
    </row>
    <row r="159" spans="1:68" ht="14.25" hidden="1" customHeight="1" x14ac:dyDescent="0.25">
      <c r="A159" s="286" t="s">
        <v>63</v>
      </c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64"/>
      <c r="AB159" s="264"/>
      <c r="AC159" s="264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74">
        <v>4607111036384</v>
      </c>
      <c r="E160" s="27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45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4"/>
      <c r="R160" s="284"/>
      <c r="S160" s="284"/>
      <c r="T160" s="285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234</v>
      </c>
      <c r="B161" s="54" t="s">
        <v>235</v>
      </c>
      <c r="C161" s="31">
        <v>4301071050</v>
      </c>
      <c r="D161" s="274">
        <v>4607111036216</v>
      </c>
      <c r="E161" s="27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6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00"/>
      <c r="B162" s="281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81"/>
      <c r="O162" s="301"/>
      <c r="P162" s="288" t="s">
        <v>72</v>
      </c>
      <c r="Q162" s="289"/>
      <c r="R162" s="289"/>
      <c r="S162" s="289"/>
      <c r="T162" s="289"/>
      <c r="U162" s="289"/>
      <c r="V162" s="290"/>
      <c r="W162" s="37" t="s">
        <v>69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hidden="1" x14ac:dyDescent="0.2">
      <c r="A163" s="281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301"/>
      <c r="P163" s="288" t="s">
        <v>72</v>
      </c>
      <c r="Q163" s="289"/>
      <c r="R163" s="289"/>
      <c r="S163" s="289"/>
      <c r="T163" s="289"/>
      <c r="U163" s="289"/>
      <c r="V163" s="290"/>
      <c r="W163" s="37" t="s">
        <v>73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hidden="1" customHeight="1" x14ac:dyDescent="0.2">
      <c r="A164" s="291" t="s">
        <v>237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48"/>
      <c r="AB164" s="48"/>
      <c r="AC164" s="48"/>
    </row>
    <row r="165" spans="1:68" ht="16.5" hidden="1" customHeight="1" x14ac:dyDescent="0.25">
      <c r="A165" s="280" t="s">
        <v>238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63"/>
      <c r="AB165" s="263"/>
      <c r="AC165" s="263"/>
    </row>
    <row r="166" spans="1:68" ht="14.25" hidden="1" customHeight="1" x14ac:dyDescent="0.25">
      <c r="A166" s="286" t="s">
        <v>76</v>
      </c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74">
        <v>4607111035691</v>
      </c>
      <c r="E167" s="27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4"/>
      <c r="R167" s="284"/>
      <c r="S167" s="284"/>
      <c r="T167" s="285"/>
      <c r="U167" s="34"/>
      <c r="V167" s="34"/>
      <c r="W167" s="35" t="s">
        <v>69</v>
      </c>
      <c r="X167" s="268">
        <v>196</v>
      </c>
      <c r="Y167" s="269">
        <f>IFERROR(IF(X167="","",X167),"")</f>
        <v>196</v>
      </c>
      <c r="Z167" s="36">
        <f>IFERROR(IF(X167="","",X167*0.01788),"")</f>
        <v>3.50448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664.048</v>
      </c>
      <c r="BN167" s="67">
        <f>IFERROR(Y167*I167,"0")</f>
        <v>664.048</v>
      </c>
      <c r="BO167" s="67">
        <f>IFERROR(X167/J167,"0")</f>
        <v>2.8</v>
      </c>
      <c r="BP167" s="67">
        <f>IFERROR(Y167/J167,"0")</f>
        <v>2.8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74">
        <v>4607111035721</v>
      </c>
      <c r="E168" s="27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4"/>
      <c r="R168" s="284"/>
      <c r="S168" s="284"/>
      <c r="T168" s="285"/>
      <c r="U168" s="34"/>
      <c r="V168" s="34"/>
      <c r="W168" s="35" t="s">
        <v>69</v>
      </c>
      <c r="X168" s="268">
        <v>70</v>
      </c>
      <c r="Y168" s="269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4301132170</v>
      </c>
      <c r="D169" s="274">
        <v>4607111038487</v>
      </c>
      <c r="E169" s="27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41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4"/>
      <c r="R169" s="284"/>
      <c r="S169" s="284"/>
      <c r="T169" s="285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300"/>
      <c r="B170" s="281"/>
      <c r="C170" s="281"/>
      <c r="D170" s="281"/>
      <c r="E170" s="281"/>
      <c r="F170" s="281"/>
      <c r="G170" s="281"/>
      <c r="H170" s="281"/>
      <c r="I170" s="281"/>
      <c r="J170" s="281"/>
      <c r="K170" s="281"/>
      <c r="L170" s="281"/>
      <c r="M170" s="281"/>
      <c r="N170" s="281"/>
      <c r="O170" s="301"/>
      <c r="P170" s="288" t="s">
        <v>72</v>
      </c>
      <c r="Q170" s="289"/>
      <c r="R170" s="289"/>
      <c r="S170" s="289"/>
      <c r="T170" s="289"/>
      <c r="U170" s="289"/>
      <c r="V170" s="290"/>
      <c r="W170" s="37" t="s">
        <v>69</v>
      </c>
      <c r="X170" s="270">
        <f>IFERROR(SUM(X167:X169),"0")</f>
        <v>266</v>
      </c>
      <c r="Y170" s="270">
        <f>IFERROR(SUM(Y167:Y169),"0")</f>
        <v>266</v>
      </c>
      <c r="Z170" s="270">
        <f>IFERROR(IF(Z167="",0,Z167),"0")+IFERROR(IF(Z168="",0,Z168),"0")+IFERROR(IF(Z169="",0,Z169),"0")</f>
        <v>4.7560799999999999</v>
      </c>
      <c r="AA170" s="271"/>
      <c r="AB170" s="271"/>
      <c r="AC170" s="271"/>
    </row>
    <row r="171" spans="1:68" x14ac:dyDescent="0.2">
      <c r="A171" s="281"/>
      <c r="B171" s="281"/>
      <c r="C171" s="281"/>
      <c r="D171" s="281"/>
      <c r="E171" s="281"/>
      <c r="F171" s="281"/>
      <c r="G171" s="281"/>
      <c r="H171" s="281"/>
      <c r="I171" s="281"/>
      <c r="J171" s="281"/>
      <c r="K171" s="281"/>
      <c r="L171" s="281"/>
      <c r="M171" s="281"/>
      <c r="N171" s="281"/>
      <c r="O171" s="301"/>
      <c r="P171" s="288" t="s">
        <v>72</v>
      </c>
      <c r="Q171" s="289"/>
      <c r="R171" s="289"/>
      <c r="S171" s="289"/>
      <c r="T171" s="289"/>
      <c r="U171" s="289"/>
      <c r="V171" s="290"/>
      <c r="W171" s="37" t="s">
        <v>73</v>
      </c>
      <c r="X171" s="270">
        <f>IFERROR(SUMPRODUCT(X167:X169*H167:H169),"0")</f>
        <v>798</v>
      </c>
      <c r="Y171" s="270">
        <f>IFERROR(SUMPRODUCT(Y167:Y169*H167:H169),"0")</f>
        <v>798</v>
      </c>
      <c r="Z171" s="37"/>
      <c r="AA171" s="271"/>
      <c r="AB171" s="271"/>
      <c r="AC171" s="271"/>
    </row>
    <row r="172" spans="1:68" ht="14.25" hidden="1" customHeight="1" x14ac:dyDescent="0.25">
      <c r="A172" s="286" t="s">
        <v>248</v>
      </c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64"/>
      <c r="AB172" s="264"/>
      <c r="AC172" s="264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74">
        <v>4680115885875</v>
      </c>
      <c r="E173" s="27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437" t="s">
        <v>253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300"/>
      <c r="B174" s="281"/>
      <c r="C174" s="281"/>
      <c r="D174" s="281"/>
      <c r="E174" s="281"/>
      <c r="F174" s="281"/>
      <c r="G174" s="281"/>
      <c r="H174" s="281"/>
      <c r="I174" s="281"/>
      <c r="J174" s="281"/>
      <c r="K174" s="281"/>
      <c r="L174" s="281"/>
      <c r="M174" s="281"/>
      <c r="N174" s="281"/>
      <c r="O174" s="301"/>
      <c r="P174" s="288" t="s">
        <v>72</v>
      </c>
      <c r="Q174" s="289"/>
      <c r="R174" s="289"/>
      <c r="S174" s="289"/>
      <c r="T174" s="289"/>
      <c r="U174" s="289"/>
      <c r="V174" s="290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1"/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301"/>
      <c r="P175" s="288" t="s">
        <v>72</v>
      </c>
      <c r="Q175" s="289"/>
      <c r="R175" s="289"/>
      <c r="S175" s="289"/>
      <c r="T175" s="289"/>
      <c r="U175" s="289"/>
      <c r="V175" s="290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91" t="s">
        <v>256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48"/>
      <c r="AB176" s="48"/>
      <c r="AC176" s="48"/>
    </row>
    <row r="177" spans="1:68" ht="16.5" hidden="1" customHeight="1" x14ac:dyDescent="0.25">
      <c r="A177" s="280" t="s">
        <v>257</v>
      </c>
      <c r="B177" s="281"/>
      <c r="C177" s="281"/>
      <c r="D177" s="281"/>
      <c r="E177" s="281"/>
      <c r="F177" s="281"/>
      <c r="G177" s="281"/>
      <c r="H177" s="281"/>
      <c r="I177" s="281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63"/>
      <c r="AB177" s="263"/>
      <c r="AC177" s="263"/>
    </row>
    <row r="178" spans="1:68" ht="14.25" hidden="1" customHeight="1" x14ac:dyDescent="0.25">
      <c r="A178" s="286" t="s">
        <v>76</v>
      </c>
      <c r="B178" s="281"/>
      <c r="C178" s="281"/>
      <c r="D178" s="281"/>
      <c r="E178" s="281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64"/>
      <c r="AB178" s="264"/>
      <c r="AC178" s="264"/>
    </row>
    <row r="179" spans="1:68" ht="27" hidden="1" customHeight="1" x14ac:dyDescent="0.25">
      <c r="A179" s="54" t="s">
        <v>258</v>
      </c>
      <c r="B179" s="54" t="s">
        <v>259</v>
      </c>
      <c r="C179" s="31">
        <v>4301132227</v>
      </c>
      <c r="D179" s="274">
        <v>4620207491133</v>
      </c>
      <c r="E179" s="27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300"/>
      <c r="B180" s="281"/>
      <c r="C180" s="281"/>
      <c r="D180" s="281"/>
      <c r="E180" s="281"/>
      <c r="F180" s="281"/>
      <c r="G180" s="281"/>
      <c r="H180" s="281"/>
      <c r="I180" s="281"/>
      <c r="J180" s="281"/>
      <c r="K180" s="281"/>
      <c r="L180" s="281"/>
      <c r="M180" s="281"/>
      <c r="N180" s="281"/>
      <c r="O180" s="301"/>
      <c r="P180" s="288" t="s">
        <v>72</v>
      </c>
      <c r="Q180" s="289"/>
      <c r="R180" s="289"/>
      <c r="S180" s="289"/>
      <c r="T180" s="289"/>
      <c r="U180" s="289"/>
      <c r="V180" s="290"/>
      <c r="W180" s="37" t="s">
        <v>69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hidden="1" x14ac:dyDescent="0.2">
      <c r="A181" s="281"/>
      <c r="B181" s="281"/>
      <c r="C181" s="281"/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301"/>
      <c r="P181" s="288" t="s">
        <v>72</v>
      </c>
      <c r="Q181" s="289"/>
      <c r="R181" s="289"/>
      <c r="S181" s="289"/>
      <c r="T181" s="289"/>
      <c r="U181" s="289"/>
      <c r="V181" s="290"/>
      <c r="W181" s="37" t="s">
        <v>73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hidden="1" customHeight="1" x14ac:dyDescent="0.25">
      <c r="A182" s="286" t="s">
        <v>120</v>
      </c>
      <c r="B182" s="281"/>
      <c r="C182" s="281"/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64"/>
      <c r="AB182" s="264"/>
      <c r="AC182" s="264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74">
        <v>4620207490198</v>
      </c>
      <c r="E183" s="27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36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4"/>
      <c r="R183" s="284"/>
      <c r="S183" s="284"/>
      <c r="T183" s="285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74">
        <v>4620207490235</v>
      </c>
      <c r="E184" s="27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433" t="s">
        <v>266</v>
      </c>
      <c r="Q184" s="284"/>
      <c r="R184" s="284"/>
      <c r="S184" s="284"/>
      <c r="T184" s="285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74">
        <v>4620207490259</v>
      </c>
      <c r="E185" s="27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74">
        <v>4620207490143</v>
      </c>
      <c r="E186" s="27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31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4"/>
      <c r="R186" s="284"/>
      <c r="S186" s="284"/>
      <c r="T186" s="285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300"/>
      <c r="B187" s="281"/>
      <c r="C187" s="281"/>
      <c r="D187" s="281"/>
      <c r="E187" s="281"/>
      <c r="F187" s="281"/>
      <c r="G187" s="281"/>
      <c r="H187" s="281"/>
      <c r="I187" s="281"/>
      <c r="J187" s="281"/>
      <c r="K187" s="281"/>
      <c r="L187" s="281"/>
      <c r="M187" s="281"/>
      <c r="N187" s="281"/>
      <c r="O187" s="301"/>
      <c r="P187" s="288" t="s">
        <v>72</v>
      </c>
      <c r="Q187" s="289"/>
      <c r="R187" s="289"/>
      <c r="S187" s="289"/>
      <c r="T187" s="289"/>
      <c r="U187" s="289"/>
      <c r="V187" s="290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1"/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301"/>
      <c r="P188" s="288" t="s">
        <v>72</v>
      </c>
      <c r="Q188" s="289"/>
      <c r="R188" s="289"/>
      <c r="S188" s="289"/>
      <c r="T188" s="289"/>
      <c r="U188" s="289"/>
      <c r="V188" s="290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80" t="s">
        <v>273</v>
      </c>
      <c r="B189" s="281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63"/>
      <c r="AB189" s="263"/>
      <c r="AC189" s="263"/>
    </row>
    <row r="190" spans="1:68" ht="14.25" hidden="1" customHeight="1" x14ac:dyDescent="0.25">
      <c r="A190" s="286" t="s">
        <v>63</v>
      </c>
      <c r="B190" s="281"/>
      <c r="C190" s="281"/>
      <c r="D190" s="281"/>
      <c r="E190" s="281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74">
        <v>4607111035912</v>
      </c>
      <c r="E191" s="27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329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74">
        <v>4607111035103</v>
      </c>
      <c r="E192" s="27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426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4301071109</v>
      </c>
      <c r="D193" s="274">
        <v>4607111035929</v>
      </c>
      <c r="E193" s="27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4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74">
        <v>4607111035882</v>
      </c>
      <c r="E194" s="27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74">
        <v>4607111035905</v>
      </c>
      <c r="E195" s="27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414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300"/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301"/>
      <c r="P196" s="288" t="s">
        <v>72</v>
      </c>
      <c r="Q196" s="289"/>
      <c r="R196" s="289"/>
      <c r="S196" s="289"/>
      <c r="T196" s="289"/>
      <c r="U196" s="289"/>
      <c r="V196" s="290"/>
      <c r="W196" s="37" t="s">
        <v>69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1"/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301"/>
      <c r="P197" s="288" t="s">
        <v>72</v>
      </c>
      <c r="Q197" s="289"/>
      <c r="R197" s="289"/>
      <c r="S197" s="289"/>
      <c r="T197" s="289"/>
      <c r="U197" s="289"/>
      <c r="V197" s="290"/>
      <c r="W197" s="37" t="s">
        <v>73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80" t="s">
        <v>285</v>
      </c>
      <c r="B198" s="281"/>
      <c r="C198" s="281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63"/>
      <c r="AB198" s="263"/>
      <c r="AC198" s="263"/>
    </row>
    <row r="199" spans="1:68" ht="14.25" hidden="1" customHeight="1" x14ac:dyDescent="0.25">
      <c r="A199" s="286" t="s">
        <v>63</v>
      </c>
      <c r="B199" s="281"/>
      <c r="C199" s="281"/>
      <c r="D199" s="281"/>
      <c r="E199" s="281"/>
      <c r="F199" s="281"/>
      <c r="G199" s="281"/>
      <c r="H199" s="281"/>
      <c r="I199" s="281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64"/>
      <c r="AB199" s="264"/>
      <c r="AC199" s="264"/>
    </row>
    <row r="200" spans="1:68" ht="27" hidden="1" customHeight="1" x14ac:dyDescent="0.25">
      <c r="A200" s="54" t="s">
        <v>286</v>
      </c>
      <c r="B200" s="54" t="s">
        <v>287</v>
      </c>
      <c r="C200" s="31">
        <v>4301071097</v>
      </c>
      <c r="D200" s="274">
        <v>4620207491096</v>
      </c>
      <c r="E200" s="27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30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300"/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301"/>
      <c r="P201" s="288" t="s">
        <v>72</v>
      </c>
      <c r="Q201" s="289"/>
      <c r="R201" s="289"/>
      <c r="S201" s="289"/>
      <c r="T201" s="289"/>
      <c r="U201" s="289"/>
      <c r="V201" s="290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1"/>
      <c r="B202" s="281"/>
      <c r="C202" s="281"/>
      <c r="D202" s="281"/>
      <c r="E202" s="281"/>
      <c r="F202" s="281"/>
      <c r="G202" s="281"/>
      <c r="H202" s="281"/>
      <c r="I202" s="281"/>
      <c r="J202" s="281"/>
      <c r="K202" s="281"/>
      <c r="L202" s="281"/>
      <c r="M202" s="281"/>
      <c r="N202" s="281"/>
      <c r="O202" s="301"/>
      <c r="P202" s="288" t="s">
        <v>72</v>
      </c>
      <c r="Q202" s="289"/>
      <c r="R202" s="289"/>
      <c r="S202" s="289"/>
      <c r="T202" s="289"/>
      <c r="U202" s="289"/>
      <c r="V202" s="290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80" t="s">
        <v>289</v>
      </c>
      <c r="B203" s="281"/>
      <c r="C203" s="281"/>
      <c r="D203" s="281"/>
      <c r="E203" s="281"/>
      <c r="F203" s="281"/>
      <c r="G203" s="281"/>
      <c r="H203" s="281"/>
      <c r="I203" s="281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63"/>
      <c r="AB203" s="263"/>
      <c r="AC203" s="263"/>
    </row>
    <row r="204" spans="1:68" ht="14.25" hidden="1" customHeight="1" x14ac:dyDescent="0.25">
      <c r="A204" s="286" t="s">
        <v>63</v>
      </c>
      <c r="B204" s="281"/>
      <c r="C204" s="281"/>
      <c r="D204" s="281"/>
      <c r="E204" s="281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64"/>
      <c r="AB204" s="264"/>
      <c r="AC204" s="264"/>
    </row>
    <row r="205" spans="1:68" ht="27" hidden="1" customHeight="1" x14ac:dyDescent="0.25">
      <c r="A205" s="54" t="s">
        <v>290</v>
      </c>
      <c r="B205" s="54" t="s">
        <v>291</v>
      </c>
      <c r="C205" s="31">
        <v>4301071093</v>
      </c>
      <c r="D205" s="274">
        <v>4620207490709</v>
      </c>
      <c r="E205" s="27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0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300"/>
      <c r="B206" s="281"/>
      <c r="C206" s="281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301"/>
      <c r="P206" s="288" t="s">
        <v>72</v>
      </c>
      <c r="Q206" s="289"/>
      <c r="R206" s="289"/>
      <c r="S206" s="289"/>
      <c r="T206" s="289"/>
      <c r="U206" s="289"/>
      <c r="V206" s="290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1"/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301"/>
      <c r="P207" s="288" t="s">
        <v>72</v>
      </c>
      <c r="Q207" s="289"/>
      <c r="R207" s="289"/>
      <c r="S207" s="289"/>
      <c r="T207" s="289"/>
      <c r="U207" s="289"/>
      <c r="V207" s="290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86" t="s">
        <v>120</v>
      </c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64"/>
      <c r="AB208" s="264"/>
      <c r="AC208" s="264"/>
    </row>
    <row r="209" spans="1:68" ht="27" hidden="1" customHeight="1" x14ac:dyDescent="0.25">
      <c r="A209" s="54" t="s">
        <v>293</v>
      </c>
      <c r="B209" s="54" t="s">
        <v>294</v>
      </c>
      <c r="C209" s="31">
        <v>4301135692</v>
      </c>
      <c r="D209" s="274">
        <v>4620207490570</v>
      </c>
      <c r="E209" s="27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45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4301135691</v>
      </c>
      <c r="D210" s="274">
        <v>4620207490549</v>
      </c>
      <c r="E210" s="27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42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298</v>
      </c>
      <c r="B211" s="54" t="s">
        <v>299</v>
      </c>
      <c r="C211" s="31">
        <v>4301135694</v>
      </c>
      <c r="D211" s="274">
        <v>4620207490501</v>
      </c>
      <c r="E211" s="27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00"/>
      <c r="B212" s="281"/>
      <c r="C212" s="281"/>
      <c r="D212" s="281"/>
      <c r="E212" s="281"/>
      <c r="F212" s="281"/>
      <c r="G212" s="281"/>
      <c r="H212" s="281"/>
      <c r="I212" s="281"/>
      <c r="J212" s="281"/>
      <c r="K212" s="281"/>
      <c r="L212" s="281"/>
      <c r="M212" s="281"/>
      <c r="N212" s="281"/>
      <c r="O212" s="301"/>
      <c r="P212" s="288" t="s">
        <v>72</v>
      </c>
      <c r="Q212" s="289"/>
      <c r="R212" s="289"/>
      <c r="S212" s="289"/>
      <c r="T212" s="289"/>
      <c r="U212" s="289"/>
      <c r="V212" s="290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1"/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301"/>
      <c r="P213" s="288" t="s">
        <v>72</v>
      </c>
      <c r="Q213" s="289"/>
      <c r="R213" s="289"/>
      <c r="S213" s="289"/>
      <c r="T213" s="289"/>
      <c r="U213" s="289"/>
      <c r="V213" s="290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80" t="s">
        <v>300</v>
      </c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63"/>
      <c r="AB214" s="263"/>
      <c r="AC214" s="263"/>
    </row>
    <row r="215" spans="1:68" ht="14.25" hidden="1" customHeight="1" x14ac:dyDescent="0.25">
      <c r="A215" s="286" t="s">
        <v>63</v>
      </c>
      <c r="B215" s="281"/>
      <c r="C215" s="281"/>
      <c r="D215" s="281"/>
      <c r="E215" s="281"/>
      <c r="F215" s="281"/>
      <c r="G215" s="281"/>
      <c r="H215" s="281"/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64"/>
      <c r="AB215" s="264"/>
      <c r="AC215" s="264"/>
    </row>
    <row r="216" spans="1:68" ht="16.5" hidden="1" customHeight="1" x14ac:dyDescent="0.25">
      <c r="A216" s="54" t="s">
        <v>301</v>
      </c>
      <c r="B216" s="54" t="s">
        <v>302</v>
      </c>
      <c r="C216" s="31">
        <v>4301071099</v>
      </c>
      <c r="D216" s="274">
        <v>4607111039019</v>
      </c>
      <c r="E216" s="27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304</v>
      </c>
      <c r="B217" s="54" t="s">
        <v>305</v>
      </c>
      <c r="C217" s="31">
        <v>4301071100</v>
      </c>
      <c r="D217" s="274">
        <v>4607111038708</v>
      </c>
      <c r="E217" s="27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300"/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301"/>
      <c r="P218" s="288" t="s">
        <v>72</v>
      </c>
      <c r="Q218" s="289"/>
      <c r="R218" s="289"/>
      <c r="S218" s="289"/>
      <c r="T218" s="289"/>
      <c r="U218" s="289"/>
      <c r="V218" s="290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1"/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301"/>
      <c r="P219" s="288" t="s">
        <v>72</v>
      </c>
      <c r="Q219" s="289"/>
      <c r="R219" s="289"/>
      <c r="S219" s="289"/>
      <c r="T219" s="289"/>
      <c r="U219" s="289"/>
      <c r="V219" s="290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291" t="s">
        <v>306</v>
      </c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48"/>
      <c r="AB220" s="48"/>
      <c r="AC220" s="48"/>
    </row>
    <row r="221" spans="1:68" ht="16.5" hidden="1" customHeight="1" x14ac:dyDescent="0.25">
      <c r="A221" s="280" t="s">
        <v>307</v>
      </c>
      <c r="B221" s="281"/>
      <c r="C221" s="281"/>
      <c r="D221" s="281"/>
      <c r="E221" s="281"/>
      <c r="F221" s="281"/>
      <c r="G221" s="281"/>
      <c r="H221" s="281"/>
      <c r="I221" s="281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63"/>
      <c r="AB221" s="263"/>
      <c r="AC221" s="263"/>
    </row>
    <row r="222" spans="1:68" ht="14.25" hidden="1" customHeight="1" x14ac:dyDescent="0.25">
      <c r="A222" s="286" t="s">
        <v>63</v>
      </c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64"/>
      <c r="AB222" s="264"/>
      <c r="AC222" s="264"/>
    </row>
    <row r="223" spans="1:68" ht="27" hidden="1" customHeight="1" x14ac:dyDescent="0.25">
      <c r="A223" s="54" t="s">
        <v>308</v>
      </c>
      <c r="B223" s="54" t="s">
        <v>309</v>
      </c>
      <c r="C223" s="31">
        <v>4301071036</v>
      </c>
      <c r="D223" s="274">
        <v>4607111036162</v>
      </c>
      <c r="E223" s="27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4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300"/>
      <c r="B224" s="281"/>
      <c r="C224" s="281"/>
      <c r="D224" s="281"/>
      <c r="E224" s="281"/>
      <c r="F224" s="281"/>
      <c r="G224" s="281"/>
      <c r="H224" s="281"/>
      <c r="I224" s="281"/>
      <c r="J224" s="281"/>
      <c r="K224" s="281"/>
      <c r="L224" s="281"/>
      <c r="M224" s="281"/>
      <c r="N224" s="281"/>
      <c r="O224" s="301"/>
      <c r="P224" s="288" t="s">
        <v>72</v>
      </c>
      <c r="Q224" s="289"/>
      <c r="R224" s="289"/>
      <c r="S224" s="289"/>
      <c r="T224" s="289"/>
      <c r="U224" s="289"/>
      <c r="V224" s="290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1"/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301"/>
      <c r="P225" s="288" t="s">
        <v>72</v>
      </c>
      <c r="Q225" s="289"/>
      <c r="R225" s="289"/>
      <c r="S225" s="289"/>
      <c r="T225" s="289"/>
      <c r="U225" s="289"/>
      <c r="V225" s="290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291" t="s">
        <v>311</v>
      </c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48"/>
      <c r="AB226" s="48"/>
      <c r="AC226" s="48"/>
    </row>
    <row r="227" spans="1:68" ht="16.5" hidden="1" customHeight="1" x14ac:dyDescent="0.25">
      <c r="A227" s="280" t="s">
        <v>312</v>
      </c>
      <c r="B227" s="281"/>
      <c r="C227" s="281"/>
      <c r="D227" s="281"/>
      <c r="E227" s="281"/>
      <c r="F227" s="281"/>
      <c r="G227" s="281"/>
      <c r="H227" s="281"/>
      <c r="I227" s="281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63"/>
      <c r="AB227" s="263"/>
      <c r="AC227" s="263"/>
    </row>
    <row r="228" spans="1:68" ht="14.25" hidden="1" customHeight="1" x14ac:dyDescent="0.25">
      <c r="A228" s="286" t="s">
        <v>63</v>
      </c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64"/>
      <c r="AB228" s="264"/>
      <c r="AC228" s="264"/>
    </row>
    <row r="229" spans="1:68" ht="27" hidden="1" customHeight="1" x14ac:dyDescent="0.25">
      <c r="A229" s="54" t="s">
        <v>313</v>
      </c>
      <c r="B229" s="54" t="s">
        <v>314</v>
      </c>
      <c r="C229" s="31">
        <v>4301071029</v>
      </c>
      <c r="D229" s="274">
        <v>4607111035899</v>
      </c>
      <c r="E229" s="27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00"/>
      <c r="B230" s="281"/>
      <c r="C230" s="281"/>
      <c r="D230" s="281"/>
      <c r="E230" s="281"/>
      <c r="F230" s="281"/>
      <c r="G230" s="281"/>
      <c r="H230" s="281"/>
      <c r="I230" s="281"/>
      <c r="J230" s="281"/>
      <c r="K230" s="281"/>
      <c r="L230" s="281"/>
      <c r="M230" s="281"/>
      <c r="N230" s="281"/>
      <c r="O230" s="301"/>
      <c r="P230" s="288" t="s">
        <v>72</v>
      </c>
      <c r="Q230" s="289"/>
      <c r="R230" s="289"/>
      <c r="S230" s="289"/>
      <c r="T230" s="289"/>
      <c r="U230" s="289"/>
      <c r="V230" s="290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1"/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301"/>
      <c r="P231" s="288" t="s">
        <v>72</v>
      </c>
      <c r="Q231" s="289"/>
      <c r="R231" s="289"/>
      <c r="S231" s="289"/>
      <c r="T231" s="289"/>
      <c r="U231" s="289"/>
      <c r="V231" s="290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291" t="s">
        <v>315</v>
      </c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48"/>
      <c r="AB232" s="48"/>
      <c r="AC232" s="48"/>
    </row>
    <row r="233" spans="1:68" ht="16.5" hidden="1" customHeight="1" x14ac:dyDescent="0.25">
      <c r="A233" s="280" t="s">
        <v>316</v>
      </c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63"/>
      <c r="AB233" s="263"/>
      <c r="AC233" s="263"/>
    </row>
    <row r="234" spans="1:68" ht="14.25" hidden="1" customHeight="1" x14ac:dyDescent="0.25">
      <c r="A234" s="286" t="s">
        <v>317</v>
      </c>
      <c r="B234" s="281"/>
      <c r="C234" s="281"/>
      <c r="D234" s="281"/>
      <c r="E234" s="281"/>
      <c r="F234" s="281"/>
      <c r="G234" s="281"/>
      <c r="H234" s="281"/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64"/>
      <c r="AB234" s="264"/>
      <c r="AC234" s="264"/>
    </row>
    <row r="235" spans="1:68" ht="27" hidden="1" customHeight="1" x14ac:dyDescent="0.25">
      <c r="A235" s="54" t="s">
        <v>318</v>
      </c>
      <c r="B235" s="54" t="s">
        <v>319</v>
      </c>
      <c r="C235" s="31">
        <v>4301133004</v>
      </c>
      <c r="D235" s="274">
        <v>4607111039774</v>
      </c>
      <c r="E235" s="27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42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00"/>
      <c r="B236" s="281"/>
      <c r="C236" s="281"/>
      <c r="D236" s="281"/>
      <c r="E236" s="281"/>
      <c r="F236" s="281"/>
      <c r="G236" s="281"/>
      <c r="H236" s="281"/>
      <c r="I236" s="281"/>
      <c r="J236" s="281"/>
      <c r="K236" s="281"/>
      <c r="L236" s="281"/>
      <c r="M236" s="281"/>
      <c r="N236" s="281"/>
      <c r="O236" s="301"/>
      <c r="P236" s="288" t="s">
        <v>72</v>
      </c>
      <c r="Q236" s="289"/>
      <c r="R236" s="289"/>
      <c r="S236" s="289"/>
      <c r="T236" s="289"/>
      <c r="U236" s="289"/>
      <c r="V236" s="290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1"/>
      <c r="B237" s="281"/>
      <c r="C237" s="281"/>
      <c r="D237" s="281"/>
      <c r="E237" s="281"/>
      <c r="F237" s="281"/>
      <c r="G237" s="281"/>
      <c r="H237" s="281"/>
      <c r="I237" s="281"/>
      <c r="J237" s="281"/>
      <c r="K237" s="281"/>
      <c r="L237" s="281"/>
      <c r="M237" s="281"/>
      <c r="N237" s="281"/>
      <c r="O237" s="301"/>
      <c r="P237" s="288" t="s">
        <v>72</v>
      </c>
      <c r="Q237" s="289"/>
      <c r="R237" s="289"/>
      <c r="S237" s="289"/>
      <c r="T237" s="289"/>
      <c r="U237" s="289"/>
      <c r="V237" s="290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86" t="s">
        <v>120</v>
      </c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64"/>
      <c r="AB238" s="264"/>
      <c r="AC238" s="264"/>
    </row>
    <row r="239" spans="1:68" ht="37.5" hidden="1" customHeight="1" x14ac:dyDescent="0.25">
      <c r="A239" s="54" t="s">
        <v>321</v>
      </c>
      <c r="B239" s="54" t="s">
        <v>322</v>
      </c>
      <c r="C239" s="31">
        <v>4301135400</v>
      </c>
      <c r="D239" s="274">
        <v>4607111039361</v>
      </c>
      <c r="E239" s="27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40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0"/>
      <c r="B240" s="281"/>
      <c r="C240" s="281"/>
      <c r="D240" s="281"/>
      <c r="E240" s="281"/>
      <c r="F240" s="281"/>
      <c r="G240" s="281"/>
      <c r="H240" s="281"/>
      <c r="I240" s="281"/>
      <c r="J240" s="281"/>
      <c r="K240" s="281"/>
      <c r="L240" s="281"/>
      <c r="M240" s="281"/>
      <c r="N240" s="281"/>
      <c r="O240" s="301"/>
      <c r="P240" s="288" t="s">
        <v>72</v>
      </c>
      <c r="Q240" s="289"/>
      <c r="R240" s="289"/>
      <c r="S240" s="289"/>
      <c r="T240" s="289"/>
      <c r="U240" s="289"/>
      <c r="V240" s="290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1"/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301"/>
      <c r="P241" s="288" t="s">
        <v>72</v>
      </c>
      <c r="Q241" s="289"/>
      <c r="R241" s="289"/>
      <c r="S241" s="289"/>
      <c r="T241" s="289"/>
      <c r="U241" s="289"/>
      <c r="V241" s="290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291" t="s">
        <v>323</v>
      </c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48"/>
      <c r="AB242" s="48"/>
      <c r="AC242" s="48"/>
    </row>
    <row r="243" spans="1:68" ht="16.5" hidden="1" customHeight="1" x14ac:dyDescent="0.25">
      <c r="A243" s="280" t="s">
        <v>323</v>
      </c>
      <c r="B243" s="281"/>
      <c r="C243" s="281"/>
      <c r="D243" s="281"/>
      <c r="E243" s="281"/>
      <c r="F243" s="281"/>
      <c r="G243" s="281"/>
      <c r="H243" s="281"/>
      <c r="I243" s="281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63"/>
      <c r="AB243" s="263"/>
      <c r="AC243" s="263"/>
    </row>
    <row r="244" spans="1:68" ht="14.25" hidden="1" customHeight="1" x14ac:dyDescent="0.25">
      <c r="A244" s="286" t="s">
        <v>63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64"/>
      <c r="AB244" s="264"/>
      <c r="AC244" s="264"/>
    </row>
    <row r="245" spans="1:68" ht="27" hidden="1" customHeight="1" x14ac:dyDescent="0.25">
      <c r="A245" s="54" t="s">
        <v>324</v>
      </c>
      <c r="B245" s="54" t="s">
        <v>325</v>
      </c>
      <c r="C245" s="31">
        <v>4301071014</v>
      </c>
      <c r="D245" s="274">
        <v>4640242181264</v>
      </c>
      <c r="E245" s="27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9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4301071021</v>
      </c>
      <c r="D246" s="274">
        <v>4640242181325</v>
      </c>
      <c r="E246" s="27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41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329</v>
      </c>
      <c r="B247" s="54" t="s">
        <v>330</v>
      </c>
      <c r="C247" s="31">
        <v>4301070993</v>
      </c>
      <c r="D247" s="274">
        <v>4640242180670</v>
      </c>
      <c r="E247" s="27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352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301"/>
      <c r="P248" s="288" t="s">
        <v>72</v>
      </c>
      <c r="Q248" s="289"/>
      <c r="R248" s="289"/>
      <c r="S248" s="289"/>
      <c r="T248" s="289"/>
      <c r="U248" s="289"/>
      <c r="V248" s="290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1"/>
      <c r="B249" s="281"/>
      <c r="C249" s="281"/>
      <c r="D249" s="281"/>
      <c r="E249" s="281"/>
      <c r="F249" s="281"/>
      <c r="G249" s="281"/>
      <c r="H249" s="281"/>
      <c r="I249" s="281"/>
      <c r="J249" s="281"/>
      <c r="K249" s="281"/>
      <c r="L249" s="281"/>
      <c r="M249" s="281"/>
      <c r="N249" s="281"/>
      <c r="O249" s="301"/>
      <c r="P249" s="288" t="s">
        <v>72</v>
      </c>
      <c r="Q249" s="289"/>
      <c r="R249" s="289"/>
      <c r="S249" s="289"/>
      <c r="T249" s="289"/>
      <c r="U249" s="289"/>
      <c r="V249" s="290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86" t="s">
        <v>76</v>
      </c>
      <c r="B250" s="281"/>
      <c r="C250" s="281"/>
      <c r="D250" s="281"/>
      <c r="E250" s="281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74">
        <v>4640242180397</v>
      </c>
      <c r="E251" s="27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69</v>
      </c>
      <c r="X251" s="268">
        <v>108</v>
      </c>
      <c r="Y251" s="269">
        <f>IFERROR(IF(X251="","",X251),"")</f>
        <v>108</v>
      </c>
      <c r="Z251" s="36">
        <f>IFERROR(IF(X251="","",X251*0.0155),"")</f>
        <v>1.6739999999999999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676.07999999999993</v>
      </c>
      <c r="BN251" s="67">
        <f>IFERROR(Y251*I251,"0")</f>
        <v>676.07999999999993</v>
      </c>
      <c r="BO251" s="67">
        <f>IFERROR(X251/J251,"0")</f>
        <v>1.2857142857142858</v>
      </c>
      <c r="BP251" s="67">
        <f>IFERROR(Y251/J251,"0")</f>
        <v>1.2857142857142858</v>
      </c>
    </row>
    <row r="252" spans="1:68" ht="27" hidden="1" customHeight="1" x14ac:dyDescent="0.25">
      <c r="A252" s="54" t="s">
        <v>335</v>
      </c>
      <c r="B252" s="54" t="s">
        <v>336</v>
      </c>
      <c r="C252" s="31">
        <v>4301132104</v>
      </c>
      <c r="D252" s="274">
        <v>4640242181219</v>
      </c>
      <c r="E252" s="27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45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00"/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301"/>
      <c r="P253" s="288" t="s">
        <v>72</v>
      </c>
      <c r="Q253" s="289"/>
      <c r="R253" s="289"/>
      <c r="S253" s="289"/>
      <c r="T253" s="289"/>
      <c r="U253" s="289"/>
      <c r="V253" s="290"/>
      <c r="W253" s="37" t="s">
        <v>69</v>
      </c>
      <c r="X253" s="270">
        <f>IFERROR(SUM(X251:X252),"0")</f>
        <v>108</v>
      </c>
      <c r="Y253" s="270">
        <f>IFERROR(SUM(Y251:Y252),"0")</f>
        <v>108</v>
      </c>
      <c r="Z253" s="270">
        <f>IFERROR(IF(Z251="",0,Z251),"0")+IFERROR(IF(Z252="",0,Z252),"0")</f>
        <v>1.6739999999999999</v>
      </c>
      <c r="AA253" s="271"/>
      <c r="AB253" s="271"/>
      <c r="AC253" s="271"/>
    </row>
    <row r="254" spans="1:68" x14ac:dyDescent="0.2">
      <c r="A254" s="281"/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301"/>
      <c r="P254" s="288" t="s">
        <v>72</v>
      </c>
      <c r="Q254" s="289"/>
      <c r="R254" s="289"/>
      <c r="S254" s="289"/>
      <c r="T254" s="289"/>
      <c r="U254" s="289"/>
      <c r="V254" s="290"/>
      <c r="W254" s="37" t="s">
        <v>73</v>
      </c>
      <c r="X254" s="270">
        <f>IFERROR(SUMPRODUCT(X251:X252*H251:H252),"0")</f>
        <v>648</v>
      </c>
      <c r="Y254" s="270">
        <f>IFERROR(SUMPRODUCT(Y251:Y252*H251:H252),"0")</f>
        <v>648</v>
      </c>
      <c r="Z254" s="37"/>
      <c r="AA254" s="271"/>
      <c r="AB254" s="271"/>
      <c r="AC254" s="271"/>
    </row>
    <row r="255" spans="1:68" ht="14.25" hidden="1" customHeight="1" x14ac:dyDescent="0.25">
      <c r="A255" s="286" t="s">
        <v>114</v>
      </c>
      <c r="B255" s="281"/>
      <c r="C255" s="281"/>
      <c r="D255" s="281"/>
      <c r="E255" s="281"/>
      <c r="F255" s="281"/>
      <c r="G255" s="281"/>
      <c r="H255" s="281"/>
      <c r="I255" s="281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64"/>
      <c r="AB255" s="264"/>
      <c r="AC255" s="264"/>
    </row>
    <row r="256" spans="1:68" ht="27" hidden="1" customHeight="1" x14ac:dyDescent="0.25">
      <c r="A256" s="54" t="s">
        <v>337</v>
      </c>
      <c r="B256" s="54" t="s">
        <v>338</v>
      </c>
      <c r="C256" s="31">
        <v>4301136051</v>
      </c>
      <c r="D256" s="274">
        <v>4640242180304</v>
      </c>
      <c r="E256" s="27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4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340</v>
      </c>
      <c r="B257" s="54" t="s">
        <v>341</v>
      </c>
      <c r="C257" s="31">
        <v>4301136053</v>
      </c>
      <c r="D257" s="274">
        <v>4640242180236</v>
      </c>
      <c r="E257" s="27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29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342</v>
      </c>
      <c r="B258" s="54" t="s">
        <v>343</v>
      </c>
      <c r="C258" s="31">
        <v>4301136052</v>
      </c>
      <c r="D258" s="274">
        <v>4640242180410</v>
      </c>
      <c r="E258" s="27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4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00"/>
      <c r="B259" s="281"/>
      <c r="C259" s="281"/>
      <c r="D259" s="281"/>
      <c r="E259" s="281"/>
      <c r="F259" s="281"/>
      <c r="G259" s="281"/>
      <c r="H259" s="281"/>
      <c r="I259" s="281"/>
      <c r="J259" s="281"/>
      <c r="K259" s="281"/>
      <c r="L259" s="281"/>
      <c r="M259" s="281"/>
      <c r="N259" s="281"/>
      <c r="O259" s="301"/>
      <c r="P259" s="288" t="s">
        <v>72</v>
      </c>
      <c r="Q259" s="289"/>
      <c r="R259" s="289"/>
      <c r="S259" s="289"/>
      <c r="T259" s="289"/>
      <c r="U259" s="289"/>
      <c r="V259" s="290"/>
      <c r="W259" s="37" t="s">
        <v>69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hidden="1" x14ac:dyDescent="0.2">
      <c r="A260" s="281"/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301"/>
      <c r="P260" s="288" t="s">
        <v>72</v>
      </c>
      <c r="Q260" s="289"/>
      <c r="R260" s="289"/>
      <c r="S260" s="289"/>
      <c r="T260" s="289"/>
      <c r="U260" s="289"/>
      <c r="V260" s="290"/>
      <c r="W260" s="37" t="s">
        <v>73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hidden="1" customHeight="1" x14ac:dyDescent="0.25">
      <c r="A261" s="286" t="s">
        <v>120</v>
      </c>
      <c r="B261" s="281"/>
      <c r="C261" s="281"/>
      <c r="D261" s="281"/>
      <c r="E261" s="281"/>
      <c r="F261" s="281"/>
      <c r="G261" s="281"/>
      <c r="H261" s="281"/>
      <c r="I261" s="281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64"/>
      <c r="AB261" s="264"/>
      <c r="AC261" s="264"/>
    </row>
    <row r="262" spans="1:68" ht="37.5" hidden="1" customHeight="1" x14ac:dyDescent="0.25">
      <c r="A262" s="54" t="s">
        <v>344</v>
      </c>
      <c r="B262" s="54" t="s">
        <v>345</v>
      </c>
      <c r="C262" s="31">
        <v>4301135504</v>
      </c>
      <c r="D262" s="274">
        <v>4640242181554</v>
      </c>
      <c r="E262" s="27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33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74">
        <v>4640242181561</v>
      </c>
      <c r="E263" s="27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36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252</v>
      </c>
      <c r="Y263" s="269">
        <f t="shared" si="12"/>
        <v>252</v>
      </c>
      <c r="Z263" s="36">
        <f>IFERROR(IF(X263="","",X263*0.00936),"")</f>
        <v>2.3587199999999999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980.78399999999999</v>
      </c>
      <c r="BN263" s="67">
        <f t="shared" si="14"/>
        <v>980.78399999999999</v>
      </c>
      <c r="BO263" s="67">
        <f t="shared" si="15"/>
        <v>2</v>
      </c>
      <c r="BP263" s="67">
        <f t="shared" si="16"/>
        <v>2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74">
        <v>4640242181424</v>
      </c>
      <c r="E264" s="27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40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240</v>
      </c>
      <c r="Y264" s="269">
        <f t="shared" si="12"/>
        <v>240</v>
      </c>
      <c r="Z264" s="36">
        <f>IFERROR(IF(X264="","",X264*0.0155),"")</f>
        <v>3.7199999999999998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1376.4</v>
      </c>
      <c r="BN264" s="67">
        <f t="shared" si="14"/>
        <v>1376.4</v>
      </c>
      <c r="BO264" s="67">
        <f t="shared" si="15"/>
        <v>2.8571428571428572</v>
      </c>
      <c r="BP264" s="67">
        <f t="shared" si="16"/>
        <v>2.8571428571428572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74">
        <v>4640242181523</v>
      </c>
      <c r="E265" s="27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28</v>
      </c>
      <c r="Y265" s="269">
        <f t="shared" si="12"/>
        <v>28</v>
      </c>
      <c r="Z265" s="36">
        <f t="shared" ref="Z265:Z270" si="17">IFERROR(IF(X265="","",X265*0.00936),"")</f>
        <v>0.26207999999999998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89.376000000000005</v>
      </c>
      <c r="BN265" s="67">
        <f t="shared" si="14"/>
        <v>89.376000000000005</v>
      </c>
      <c r="BO265" s="67">
        <f t="shared" si="15"/>
        <v>0.22222222222222221</v>
      </c>
      <c r="BP265" s="67">
        <f t="shared" si="16"/>
        <v>0.22222222222222221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74">
        <v>4640242181486</v>
      </c>
      <c r="E266" s="27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44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756</v>
      </c>
      <c r="Y266" s="269">
        <f t="shared" si="12"/>
        <v>756</v>
      </c>
      <c r="Z266" s="36">
        <f t="shared" si="17"/>
        <v>7.0761599999999998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2942.3519999999999</v>
      </c>
      <c r="BN266" s="67">
        <f t="shared" si="14"/>
        <v>2942.3519999999999</v>
      </c>
      <c r="BO266" s="67">
        <f t="shared" si="15"/>
        <v>6</v>
      </c>
      <c r="BP266" s="67">
        <f t="shared" si="16"/>
        <v>6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4301135402</v>
      </c>
      <c r="D267" s="274">
        <v>4640242181493</v>
      </c>
      <c r="E267" s="27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42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358</v>
      </c>
      <c r="B268" s="54" t="s">
        <v>359</v>
      </c>
      <c r="C268" s="31">
        <v>4301135403</v>
      </c>
      <c r="D268" s="274">
        <v>4640242181509</v>
      </c>
      <c r="E268" s="27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5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4301135304</v>
      </c>
      <c r="D269" s="274">
        <v>4640242181240</v>
      </c>
      <c r="E269" s="27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28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4301135610</v>
      </c>
      <c r="D270" s="274">
        <v>4640242181318</v>
      </c>
      <c r="E270" s="27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3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4301135306</v>
      </c>
      <c r="D271" s="274">
        <v>4640242181387</v>
      </c>
      <c r="E271" s="27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43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300"/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  <c r="L272" s="281"/>
      <c r="M272" s="281"/>
      <c r="N272" s="281"/>
      <c r="O272" s="301"/>
      <c r="P272" s="288" t="s">
        <v>72</v>
      </c>
      <c r="Q272" s="289"/>
      <c r="R272" s="289"/>
      <c r="S272" s="289"/>
      <c r="T272" s="289"/>
      <c r="U272" s="289"/>
      <c r="V272" s="290"/>
      <c r="W272" s="37" t="s">
        <v>69</v>
      </c>
      <c r="X272" s="270">
        <f>IFERROR(SUM(X262:X271),"0")</f>
        <v>1276</v>
      </c>
      <c r="Y272" s="270">
        <f>IFERROR(SUM(Y262:Y271),"0")</f>
        <v>1276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13.41696</v>
      </c>
      <c r="AA272" s="271"/>
      <c r="AB272" s="271"/>
      <c r="AC272" s="271"/>
    </row>
    <row r="273" spans="1:32" x14ac:dyDescent="0.2">
      <c r="A273" s="281"/>
      <c r="B273" s="281"/>
      <c r="C273" s="281"/>
      <c r="D273" s="281"/>
      <c r="E273" s="281"/>
      <c r="F273" s="281"/>
      <c r="G273" s="281"/>
      <c r="H273" s="281"/>
      <c r="I273" s="281"/>
      <c r="J273" s="281"/>
      <c r="K273" s="281"/>
      <c r="L273" s="281"/>
      <c r="M273" s="281"/>
      <c r="N273" s="281"/>
      <c r="O273" s="301"/>
      <c r="P273" s="288" t="s">
        <v>72</v>
      </c>
      <c r="Q273" s="289"/>
      <c r="R273" s="289"/>
      <c r="S273" s="289"/>
      <c r="T273" s="289"/>
      <c r="U273" s="289"/>
      <c r="V273" s="290"/>
      <c r="W273" s="37" t="s">
        <v>73</v>
      </c>
      <c r="X273" s="270">
        <f>IFERROR(SUMPRODUCT(X262:X271*H262:H271),"0")</f>
        <v>5133.6000000000004</v>
      </c>
      <c r="Y273" s="270">
        <f>IFERROR(SUMPRODUCT(Y262:Y271*H262:H271),"0")</f>
        <v>5133.6000000000004</v>
      </c>
      <c r="Z273" s="37"/>
      <c r="AA273" s="271"/>
      <c r="AB273" s="271"/>
      <c r="AC273" s="271"/>
    </row>
    <row r="274" spans="1:32" ht="15" customHeight="1" x14ac:dyDescent="0.2">
      <c r="A274" s="332"/>
      <c r="B274" s="281"/>
      <c r="C274" s="281"/>
      <c r="D274" s="281"/>
      <c r="E274" s="281"/>
      <c r="F274" s="281"/>
      <c r="G274" s="281"/>
      <c r="H274" s="281"/>
      <c r="I274" s="281"/>
      <c r="J274" s="281"/>
      <c r="K274" s="281"/>
      <c r="L274" s="281"/>
      <c r="M274" s="281"/>
      <c r="N274" s="281"/>
      <c r="O274" s="333"/>
      <c r="P274" s="356" t="s">
        <v>366</v>
      </c>
      <c r="Q274" s="357"/>
      <c r="R274" s="357"/>
      <c r="S274" s="357"/>
      <c r="T274" s="357"/>
      <c r="U274" s="357"/>
      <c r="V274" s="316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6865.2000000000007</v>
      </c>
      <c r="Y274" s="270">
        <f>IFERROR(Y24+Y31+Y38+Y46+Y51+Y55+Y60+Y66+Y72+Y77+Y83+Y93+Y99+Y110+Y114+Y118+Y124+Y130+Y136+Y141+Y146+Y151+Y156+Y163+Y171+Y175+Y181+Y188+Y197+Y202+Y207+Y213+Y219+Y225+Y231+Y237+Y241+Y249+Y254+Y260+Y273,"0")</f>
        <v>6865.2000000000007</v>
      </c>
      <c r="Z274" s="37"/>
      <c r="AA274" s="271"/>
      <c r="AB274" s="271"/>
      <c r="AC274" s="271"/>
    </row>
    <row r="275" spans="1:32" x14ac:dyDescent="0.2">
      <c r="A275" s="281"/>
      <c r="B275" s="281"/>
      <c r="C275" s="281"/>
      <c r="D275" s="281"/>
      <c r="E275" s="281"/>
      <c r="F275" s="281"/>
      <c r="G275" s="281"/>
      <c r="H275" s="281"/>
      <c r="I275" s="281"/>
      <c r="J275" s="281"/>
      <c r="K275" s="281"/>
      <c r="L275" s="281"/>
      <c r="M275" s="281"/>
      <c r="N275" s="281"/>
      <c r="O275" s="333"/>
      <c r="P275" s="356" t="s">
        <v>367</v>
      </c>
      <c r="Q275" s="357"/>
      <c r="R275" s="357"/>
      <c r="S275" s="357"/>
      <c r="T275" s="357"/>
      <c r="U275" s="357"/>
      <c r="V275" s="316"/>
      <c r="W275" s="37" t="s">
        <v>73</v>
      </c>
      <c r="X275" s="270">
        <f>IFERROR(SUM(BM22:BM271),"0")</f>
        <v>7320.7276000000002</v>
      </c>
      <c r="Y275" s="270">
        <f>IFERROR(SUM(BN22:BN271),"0")</f>
        <v>7320.7276000000002</v>
      </c>
      <c r="Z275" s="37"/>
      <c r="AA275" s="271"/>
      <c r="AB275" s="271"/>
      <c r="AC275" s="271"/>
    </row>
    <row r="276" spans="1:32" x14ac:dyDescent="0.2">
      <c r="A276" s="281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81"/>
      <c r="O276" s="333"/>
      <c r="P276" s="356" t="s">
        <v>368</v>
      </c>
      <c r="Q276" s="357"/>
      <c r="R276" s="357"/>
      <c r="S276" s="357"/>
      <c r="T276" s="357"/>
      <c r="U276" s="357"/>
      <c r="V276" s="316"/>
      <c r="W276" s="37" t="s">
        <v>369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81"/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333"/>
      <c r="P277" s="356" t="s">
        <v>370</v>
      </c>
      <c r="Q277" s="357"/>
      <c r="R277" s="357"/>
      <c r="S277" s="357"/>
      <c r="T277" s="357"/>
      <c r="U277" s="357"/>
      <c r="V277" s="316"/>
      <c r="W277" s="37" t="s">
        <v>73</v>
      </c>
      <c r="X277" s="270">
        <f>GrossWeightTotal+PalletQtyTotal*25</f>
        <v>7770.7276000000002</v>
      </c>
      <c r="Y277" s="270">
        <f>GrossWeightTotalR+PalletQtyTotalR*25</f>
        <v>7770.7276000000002</v>
      </c>
      <c r="Z277" s="37"/>
      <c r="AA277" s="271"/>
      <c r="AB277" s="271"/>
      <c r="AC277" s="271"/>
    </row>
    <row r="278" spans="1:32" x14ac:dyDescent="0.2">
      <c r="A278" s="281"/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281"/>
      <c r="M278" s="281"/>
      <c r="N278" s="281"/>
      <c r="O278" s="333"/>
      <c r="P278" s="356" t="s">
        <v>371</v>
      </c>
      <c r="Q278" s="357"/>
      <c r="R278" s="357"/>
      <c r="S278" s="357"/>
      <c r="T278" s="357"/>
      <c r="U278" s="357"/>
      <c r="V278" s="316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1776</v>
      </c>
      <c r="Y278" s="270">
        <f>IFERROR(Y23+Y30+Y37+Y45+Y50+Y54+Y59+Y65+Y71+Y76+Y82+Y92+Y98+Y109+Y113+Y117+Y123+Y129+Y135+Y140+Y145+Y150+Y155+Y162+Y170+Y174+Y180+Y187+Y196+Y201+Y206+Y212+Y218+Y224+Y230+Y236+Y240+Y248+Y253+Y259+Y272,"0")</f>
        <v>1776</v>
      </c>
      <c r="Z278" s="37"/>
      <c r="AA278" s="271"/>
      <c r="AB278" s="271"/>
      <c r="AC278" s="271"/>
    </row>
    <row r="279" spans="1:32" ht="14.25" hidden="1" customHeight="1" x14ac:dyDescent="0.2">
      <c r="A279" s="281"/>
      <c r="B279" s="281"/>
      <c r="C279" s="281"/>
      <c r="D279" s="281"/>
      <c r="E279" s="281"/>
      <c r="F279" s="281"/>
      <c r="G279" s="281"/>
      <c r="H279" s="281"/>
      <c r="I279" s="281"/>
      <c r="J279" s="281"/>
      <c r="K279" s="281"/>
      <c r="L279" s="281"/>
      <c r="M279" s="281"/>
      <c r="N279" s="281"/>
      <c r="O279" s="333"/>
      <c r="P279" s="356" t="s">
        <v>372</v>
      </c>
      <c r="Q279" s="357"/>
      <c r="R279" s="357"/>
      <c r="S279" s="357"/>
      <c r="T279" s="357"/>
      <c r="U279" s="357"/>
      <c r="V279" s="316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21.507019999999997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2" t="s">
        <v>74</v>
      </c>
      <c r="D281" s="313"/>
      <c r="E281" s="313"/>
      <c r="F281" s="313"/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  <c r="T281" s="314"/>
      <c r="U281" s="265" t="s">
        <v>229</v>
      </c>
      <c r="V281" s="265" t="s">
        <v>237</v>
      </c>
      <c r="W281" s="272" t="s">
        <v>256</v>
      </c>
      <c r="X281" s="313"/>
      <c r="Y281" s="313"/>
      <c r="Z281" s="313"/>
      <c r="AA281" s="314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455" t="s">
        <v>375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193</v>
      </c>
      <c r="N282" s="266"/>
      <c r="O282" s="272" t="s">
        <v>201</v>
      </c>
      <c r="P282" s="272" t="s">
        <v>208</v>
      </c>
      <c r="Q282" s="272" t="s">
        <v>213</v>
      </c>
      <c r="R282" s="272" t="s">
        <v>217</v>
      </c>
      <c r="S282" s="272" t="s">
        <v>220</v>
      </c>
      <c r="T282" s="272" t="s">
        <v>225</v>
      </c>
      <c r="U282" s="272" t="s">
        <v>230</v>
      </c>
      <c r="V282" s="272" t="s">
        <v>238</v>
      </c>
      <c r="W282" s="272" t="s">
        <v>257</v>
      </c>
      <c r="X282" s="272" t="s">
        <v>273</v>
      </c>
      <c r="Y282" s="272" t="s">
        <v>285</v>
      </c>
      <c r="Z282" s="272" t="s">
        <v>289</v>
      </c>
      <c r="AA282" s="272" t="s">
        <v>300</v>
      </c>
      <c r="AB282" s="272" t="s">
        <v>307</v>
      </c>
      <c r="AC282" s="272" t="s">
        <v>312</v>
      </c>
      <c r="AD282" s="272" t="s">
        <v>316</v>
      </c>
      <c r="AE282" s="272" t="s">
        <v>323</v>
      </c>
      <c r="AF282" s="266"/>
    </row>
    <row r="283" spans="1:32" ht="13.5" customHeight="1" thickBot="1" x14ac:dyDescent="0.25">
      <c r="A283" s="456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0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0</v>
      </c>
      <c r="H284" s="46">
        <f>IFERROR(X75*H75,"0")</f>
        <v>0</v>
      </c>
      <c r="I284" s="46">
        <f>IFERROR(X80*H80,"0")+IFERROR(X81*H81,"0")</f>
        <v>0</v>
      </c>
      <c r="J284" s="46">
        <f>IFERROR(X86*H86,"0")+IFERROR(X87*H87,"0")+IFERROR(X88*H88,"0")+IFERROR(X89*H89,"0")+IFERROR(X90*H90,"0")+IFERROR(X91*H91,"0")</f>
        <v>0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0</v>
      </c>
      <c r="M284" s="46">
        <f>IFERROR(X121*H121,"0")+IFERROR(X122*H122,"0")</f>
        <v>0</v>
      </c>
      <c r="N284" s="266"/>
      <c r="O284" s="46">
        <f>IFERROR(X127*H127,"0")+IFERROR(X128*H128,"0")</f>
        <v>0</v>
      </c>
      <c r="P284" s="46">
        <f>IFERROR(X133*H133,"0")+IFERROR(X134*H134,"0")</f>
        <v>0</v>
      </c>
      <c r="Q284" s="46">
        <f>IFERROR(X139*H139,"0")</f>
        <v>168</v>
      </c>
      <c r="R284" s="46">
        <f>IFERROR(X144*H144,"0")</f>
        <v>0</v>
      </c>
      <c r="S284" s="46">
        <f>IFERROR(X149*H149,"0")</f>
        <v>0</v>
      </c>
      <c r="T284" s="46">
        <f>IFERROR(X154*H154,"0")</f>
        <v>117.6</v>
      </c>
      <c r="U284" s="46">
        <f>IFERROR(X160*H160,"0")+IFERROR(X161*H161,"0")</f>
        <v>0</v>
      </c>
      <c r="V284" s="46">
        <f>IFERROR(X167*H167,"0")+IFERROR(X168*H168,"0")+IFERROR(X169*H169,"0")+IFERROR(X173*H173,"0")</f>
        <v>798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5781.6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0</v>
      </c>
      <c r="B287" s="60">
        <f>SUMPRODUCT(--(BB:BB="ПГП"),--(W:W="кор"),H:H,Y:Y)+SUMPRODUCT(--(BB:BB="ПГП"),--(W:W="кг"),Y:Y)</f>
        <v>6865.2000000000007</v>
      </c>
      <c r="C287" s="60">
        <f>SUMPRODUCT(--(BB:BB="КИЗ"),--(W:W="кор"),H:H,Y:Y)+SUMPRODUCT(--(BB:BB="КИЗ"),--(W:W="кг"),Y:Y)</f>
        <v>0</v>
      </c>
    </row>
  </sheetData>
  <sheetProtection algorithmName="SHA-512" hashValue="ULcHSH3RECcsJSd92nldiN2XbnTUaVcte0SylYjfOVFWvMMzAl8UegGjBfH3ZD+q7wdHJjm0VmIYfU4TDwXKJQ==" saltValue="6TAkTfh4RdS2GYV9fqMRN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6,00"/>
        <filter val="1 776,00"/>
        <filter val="108,00"/>
        <filter val="117,60"/>
        <filter val="168,00"/>
        <filter val="18"/>
        <filter val="196,00"/>
        <filter val="240,00"/>
        <filter val="252,00"/>
        <filter val="266,00"/>
        <filter val="28,00"/>
        <filter val="5 133,60"/>
        <filter val="56,00"/>
        <filter val="6 865,20"/>
        <filter val="648,00"/>
        <filter val="7 320,73"/>
        <filter val="7 770,73"/>
        <filter val="70,00"/>
        <filter val="756,00"/>
        <filter val="798,00"/>
      </filters>
    </filterColumn>
    <filterColumn colId="29" showButton="0"/>
    <filterColumn colId="30" showButton="0"/>
  </autoFilter>
  <mergeCells count="495"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C17:C18"/>
    <mergeCell ref="K17:K18"/>
    <mergeCell ref="P168:T168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W42xoOHy6aBaB/ot0nYxilK22giMnK+fRpzei4n3wmwGhCwCuevjP0uNAg/WXQJgwzuBiU0DRvd1A9IE6gzh4w==" saltValue="79ANExhw/CRUnqvq2ijm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