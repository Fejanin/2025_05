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2AA3329-3F2F-4338-9703-3E5A027742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BO183" i="1"/>
  <c r="BM183" i="1"/>
  <c r="Z183" i="1"/>
  <c r="Z187" i="1" s="1"/>
  <c r="Y183" i="1"/>
  <c r="P183" i="1"/>
  <c r="X181" i="1"/>
  <c r="X180" i="1"/>
  <c r="BO179" i="1"/>
  <c r="BM179" i="1"/>
  <c r="Z179" i="1"/>
  <c r="Z180" i="1" s="1"/>
  <c r="Y179" i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P154" i="1"/>
  <c r="X151" i="1"/>
  <c r="X150" i="1"/>
  <c r="BO149" i="1"/>
  <c r="BM149" i="1"/>
  <c r="Z149" i="1"/>
  <c r="Z150" i="1" s="1"/>
  <c r="Y149" i="1"/>
  <c r="Y150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7" i="1" s="1"/>
  <c r="P116" i="1"/>
  <c r="X114" i="1"/>
  <c r="X113" i="1"/>
  <c r="BO112" i="1"/>
  <c r="BM112" i="1"/>
  <c r="Z112" i="1"/>
  <c r="Z113" i="1" s="1"/>
  <c r="Y112" i="1"/>
  <c r="Y113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3" i="1"/>
  <c r="BN87" i="1"/>
  <c r="BN89" i="1"/>
  <c r="BN91" i="1"/>
  <c r="Y98" i="1"/>
  <c r="Y109" i="1"/>
  <c r="Z109" i="1"/>
  <c r="BN103" i="1"/>
  <c r="BN105" i="1"/>
  <c r="BN107" i="1"/>
  <c r="Z123" i="1"/>
  <c r="Z129" i="1"/>
  <c r="BN127" i="1"/>
  <c r="Z135" i="1"/>
  <c r="BN139" i="1"/>
  <c r="BP139" i="1"/>
  <c r="Y140" i="1"/>
  <c r="BN144" i="1"/>
  <c r="BP144" i="1"/>
  <c r="Y145" i="1"/>
  <c r="BN149" i="1"/>
  <c r="BP149" i="1"/>
  <c r="Z162" i="1"/>
  <c r="Z170" i="1"/>
  <c r="BN167" i="1"/>
  <c r="BN169" i="1"/>
  <c r="Y188" i="1"/>
  <c r="BN185" i="1"/>
  <c r="J9" i="1"/>
  <c r="X277" i="1"/>
  <c r="X276" i="1"/>
  <c r="Y213" i="1"/>
  <c r="Y260" i="1"/>
  <c r="F9" i="1"/>
  <c r="F10" i="1"/>
  <c r="BN22" i="1"/>
  <c r="BP22" i="1"/>
  <c r="Y23" i="1"/>
  <c r="Z30" i="1"/>
  <c r="BN28" i="1"/>
  <c r="BP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24" i="1"/>
  <c r="BN122" i="1"/>
  <c r="Y129" i="1"/>
  <c r="Y136" i="1"/>
  <c r="BN134" i="1"/>
  <c r="Y151" i="1"/>
  <c r="BN161" i="1"/>
  <c r="Y171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Y31" i="1"/>
  <c r="Y38" i="1"/>
  <c r="Y45" i="1"/>
  <c r="Y60" i="1"/>
  <c r="Y66" i="1"/>
  <c r="Y71" i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196" i="1"/>
  <c r="BP191" i="1"/>
  <c r="BN191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7" i="1"/>
  <c r="BP183" i="1"/>
  <c r="BN183" i="1"/>
  <c r="BP184" i="1"/>
  <c r="BN184" i="1"/>
  <c r="BP186" i="1"/>
  <c r="BN18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6" i="1" l="1"/>
  <c r="Y275" i="1"/>
  <c r="Y278" i="1"/>
  <c r="Y274" i="1"/>
  <c r="Y277" i="1" l="1"/>
  <c r="C287" i="1"/>
  <c r="A287" i="1"/>
  <c r="B287" i="1"/>
</calcChain>
</file>

<file path=xl/sharedStrings.xml><?xml version="1.0" encoding="utf-8"?>
<sst xmlns="http://schemas.openxmlformats.org/spreadsheetml/2006/main" count="1230" uniqueCount="396">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</sst>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topLeftCell="A17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7</v>
      </c>
      <c r="B5" s="317"/>
      <c r="C5" s="318"/>
      <c r="D5" s="324"/>
      <c r="E5" s="325"/>
      <c r="F5" s="441" t="s">
        <v>8</v>
      </c>
      <c r="G5" s="318"/>
      <c r="H5" s="324" t="s">
        <v>395</v>
      </c>
      <c r="I5" s="435"/>
      <c r="J5" s="435"/>
      <c r="K5" s="435"/>
      <c r="L5" s="435"/>
      <c r="M5" s="325"/>
      <c r="N5" s="61"/>
      <c r="P5" s="24" t="s">
        <v>9</v>
      </c>
      <c r="Q5" s="434">
        <v>45978</v>
      </c>
      <c r="R5" s="351"/>
      <c r="T5" s="367" t="s">
        <v>10</v>
      </c>
      <c r="U5" s="368"/>
      <c r="V5" s="369" t="s">
        <v>11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12</v>
      </c>
      <c r="B6" s="317"/>
      <c r="C6" s="318"/>
      <c r="D6" s="421" t="s">
        <v>13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1" t="s">
        <v>15</v>
      </c>
      <c r="U6" s="368"/>
      <c r="V6" s="392" t="s">
        <v>16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54">
        <v>0.45833333333333331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20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21</v>
      </c>
      <c r="Q10" s="372"/>
      <c r="R10" s="373"/>
      <c r="U10" s="24" t="s">
        <v>22</v>
      </c>
      <c r="V10" s="299" t="s">
        <v>23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0"/>
      <c r="R11" s="351"/>
      <c r="U11" s="24" t="s">
        <v>26</v>
      </c>
      <c r="V11" s="416" t="s">
        <v>27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29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31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33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8" t="s">
        <v>37</v>
      </c>
      <c r="D17" s="296" t="s">
        <v>38</v>
      </c>
      <c r="E17" s="342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41"/>
      <c r="R17" s="341"/>
      <c r="S17" s="341"/>
      <c r="T17" s="342"/>
      <c r="U17" s="384" t="s">
        <v>50</v>
      </c>
      <c r="V17" s="318"/>
      <c r="W17" s="296" t="s">
        <v>51</v>
      </c>
      <c r="X17" s="296" t="s">
        <v>52</v>
      </c>
      <c r="Y17" s="385" t="s">
        <v>53</v>
      </c>
      <c r="Z17" s="414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6"/>
      <c r="AF17" s="437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60</v>
      </c>
      <c r="V18" s="70" t="s">
        <v>61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62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74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hidden="1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69</v>
      </c>
      <c r="X29" s="268">
        <v>14</v>
      </c>
      <c r="Y29" s="269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14</v>
      </c>
      <c r="Y30" s="270">
        <f>IFERROR(SUM(Y28:Y29),"0")</f>
        <v>14</v>
      </c>
      <c r="Z30" s="270">
        <f>IFERROR(IF(Z28="",0,Z28),"0")+IFERROR(IF(Z29="",0,Z29),"0")</f>
        <v>0.13174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21</v>
      </c>
      <c r="Y31" s="270">
        <f>IFERROR(SUMPRODUCT(Y28:Y29*H28:H29),"0")</f>
        <v>21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69</v>
      </c>
      <c r="X36" s="268">
        <v>24</v>
      </c>
      <c r="Y36" s="269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36</v>
      </c>
      <c r="Y37" s="270">
        <f>IFERROR(SUM(Y34:Y36),"0")</f>
        <v>36</v>
      </c>
      <c r="Z37" s="270">
        <f>IFERROR(IF(Z34="",0,Z34),"0")+IFERROR(IF(Z35="",0,Z35),"0")+IFERROR(IF(Z36="",0,Z36),"0")</f>
        <v>0.55800000000000005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201.59999999999997</v>
      </c>
      <c r="Y38" s="270">
        <f>IFERROR(SUMPRODUCT(Y34:Y36*H34:H36),"0")</f>
        <v>201.59999999999997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idden="1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hidden="1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69</v>
      </c>
      <c r="X70" s="268">
        <v>72</v>
      </c>
      <c r="Y70" s="269">
        <f>IFERROR(IF(X70="","",X70),"")</f>
        <v>72</v>
      </c>
      <c r="Z70" s="36">
        <f>IFERROR(IF(X70="","",X70*0.00866),"")</f>
        <v>0.62351999999999996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375.35039999999998</v>
      </c>
      <c r="BN70" s="67">
        <f>IFERROR(Y70*I70,"0")</f>
        <v>375.35039999999998</v>
      </c>
      <c r="BO70" s="67">
        <f>IFERROR(X70/J70,"0")</f>
        <v>0.5</v>
      </c>
      <c r="BP70" s="67">
        <f>IFERROR(Y70/J70,"0")</f>
        <v>0.5</v>
      </c>
    </row>
    <row r="71" spans="1:68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72</v>
      </c>
      <c r="Y71" s="270">
        <f>IFERROR(SUM(Y69:Y70),"0")</f>
        <v>72</v>
      </c>
      <c r="Z71" s="270">
        <f>IFERROR(IF(Z69="",0,Z69),"0")+IFERROR(IF(Z70="",0,Z70),"0")</f>
        <v>0.62351999999999996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360</v>
      </c>
      <c r="Y72" s="270">
        <f>IFERROR(SUMPRODUCT(Y69:Y70*H69:H70),"0")</f>
        <v>360</v>
      </c>
      <c r="Z72" s="37"/>
      <c r="AA72" s="271"/>
      <c r="AB72" s="271"/>
      <c r="AC72" s="271"/>
    </row>
    <row r="73" spans="1:68" ht="16.5" hidden="1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69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69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56</v>
      </c>
      <c r="Y82" s="270">
        <f>IFERROR(SUM(Y80:Y81),"0")</f>
        <v>56</v>
      </c>
      <c r="Z82" s="270">
        <f>IFERROR(IF(Z80="",0,Z80),"0")+IFERROR(IF(Z81="",0,Z81),"0")</f>
        <v>1.0012799999999999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201.6</v>
      </c>
      <c r="Y83" s="270">
        <f>IFERROR(SUMPRODUCT(Y80:Y81*H80:H81),"0")</f>
        <v>201.6</v>
      </c>
      <c r="Z83" s="37"/>
      <c r="AA83" s="271"/>
      <c r="AB83" s="271"/>
      <c r="AC83" s="271"/>
    </row>
    <row r="84" spans="1:68" ht="16.5" hidden="1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69</v>
      </c>
      <c r="X88" s="268">
        <v>70</v>
      </c>
      <c r="Y88" s="269">
        <f t="shared" si="0"/>
        <v>70</v>
      </c>
      <c r="Z88" s="36">
        <f t="shared" si="1"/>
        <v>1.2516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250.852</v>
      </c>
      <c r="BN88" s="67">
        <f t="shared" si="3"/>
        <v>250.852</v>
      </c>
      <c r="BO88" s="67">
        <f t="shared" si="4"/>
        <v>1</v>
      </c>
      <c r="BP88" s="67">
        <f t="shared" si="5"/>
        <v>1</v>
      </c>
    </row>
    <row r="89" spans="1:68" ht="27" hidden="1" customHeight="1" x14ac:dyDescent="0.25">
      <c r="A89" s="54" t="s">
        <v>155</v>
      </c>
      <c r="B89" s="54" t="s">
        <v>156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157</v>
      </c>
      <c r="B90" s="54" t="s">
        <v>158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126</v>
      </c>
      <c r="Y92" s="270">
        <f>IFERROR(SUM(Y86:Y91),"0")</f>
        <v>126</v>
      </c>
      <c r="Z92" s="270">
        <f>IFERROR(IF(Z86="",0,Z86),"0")+IFERROR(IF(Z87="",0,Z87),"0")+IFERROR(IF(Z88="",0,Z88),"0")+IFERROR(IF(Z89="",0,Z89),"0")+IFERROR(IF(Z90="",0,Z90),"0")+IFERROR(IF(Z91="",0,Z91),"0")</f>
        <v>2.2528800000000002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362.88</v>
      </c>
      <c r="Y93" s="270">
        <f>IFERROR(SUMPRODUCT(Y86:Y91*H86:H91),"0")</f>
        <v>362.88</v>
      </c>
      <c r="Z93" s="37"/>
      <c r="AA93" s="271"/>
      <c r="AB93" s="271"/>
      <c r="AC93" s="271"/>
    </row>
    <row r="94" spans="1:68" ht="16.5" hidden="1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69</v>
      </c>
      <c r="X96" s="268">
        <v>42</v>
      </c>
      <c r="Y96" s="269">
        <f>IFERROR(IF(X96="","",X96),"")</f>
        <v>42</v>
      </c>
      <c r="Z96" s="36">
        <f>IFERROR(IF(X96="","",X96*0.00936),"")</f>
        <v>0.39312000000000002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104.63040000000001</v>
      </c>
      <c r="BN96" s="67">
        <f>IFERROR(Y96*I96,"0")</f>
        <v>104.63040000000001</v>
      </c>
      <c r="BO96" s="67">
        <f>IFERROR(X96/J96,"0")</f>
        <v>0.33333333333333331</v>
      </c>
      <c r="BP96" s="67">
        <f>IFERROR(Y96/J96,"0")</f>
        <v>0.33333333333333331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68">
        <v>14</v>
      </c>
      <c r="Y97" s="269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56</v>
      </c>
      <c r="Y98" s="270">
        <f>IFERROR(SUM(Y96:Y97),"0")</f>
        <v>56</v>
      </c>
      <c r="Z98" s="270">
        <f>IFERROR(IF(Z96="",0,Z96),"0")+IFERROR(IF(Z97="",0,Z97),"0")</f>
        <v>0.64344000000000001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141.12</v>
      </c>
      <c r="Y99" s="270">
        <f>IFERROR(SUMPRODUCT(Y96:Y97*H96:H97),"0")</f>
        <v>141.12</v>
      </c>
      <c r="Z99" s="37"/>
      <c r="AA99" s="271"/>
      <c r="AB99" s="271"/>
      <c r="AC99" s="271"/>
    </row>
    <row r="100" spans="1:68" ht="16.5" hidden="1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69</v>
      </c>
      <c r="X103" s="268">
        <v>72</v>
      </c>
      <c r="Y103" s="269">
        <f t="shared" si="6"/>
        <v>72</v>
      </c>
      <c r="Z103" s="36">
        <f t="shared" si="7"/>
        <v>1.1160000000000001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69</v>
      </c>
      <c r="X104" s="268">
        <v>12</v>
      </c>
      <c r="Y104" s="269">
        <f t="shared" si="6"/>
        <v>12</v>
      </c>
      <c r="Z104" s="36">
        <f t="shared" si="7"/>
        <v>0.186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87.6</v>
      </c>
      <c r="BN104" s="67">
        <f t="shared" si="9"/>
        <v>87.6</v>
      </c>
      <c r="BO104" s="67">
        <f t="shared" si="10"/>
        <v>0.14285714285714285</v>
      </c>
      <c r="BP104" s="67">
        <f t="shared" si="11"/>
        <v>0.14285714285714285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hidden="1" customHeight="1" x14ac:dyDescent="0.25">
      <c r="A107" s="54" t="s">
        <v>181</v>
      </c>
      <c r="B107" s="54" t="s">
        <v>182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108</v>
      </c>
      <c r="Y109" s="270">
        <f>IFERROR(SUM(Y102:Y108),"0")</f>
        <v>108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1.6739999999999999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705.59999999999991</v>
      </c>
      <c r="Y110" s="270">
        <f>IFERROR(SUMPRODUCT(Y102:Y108*H102:H108),"0")</f>
        <v>705.59999999999991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91" t="s">
        <v>189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193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68">
        <v>84</v>
      </c>
      <c r="Y121" s="269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69</v>
      </c>
      <c r="X122" s="268">
        <v>84</v>
      </c>
      <c r="Y122" s="269">
        <f>IFERROR(IF(X122="","",X122),"")</f>
        <v>84</v>
      </c>
      <c r="Z122" s="36">
        <f>IFERROR(IF(X122="","",X122*0.01788),"")</f>
        <v>1.5019199999999999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311.10239999999999</v>
      </c>
      <c r="BN122" s="67">
        <f>IFERROR(Y122*I122,"0")</f>
        <v>311.10239999999999</v>
      </c>
      <c r="BO122" s="67">
        <f>IFERROR(X122/J122,"0")</f>
        <v>1.2</v>
      </c>
      <c r="BP122" s="67">
        <f>IFERROR(Y122/J122,"0")</f>
        <v>1.2</v>
      </c>
    </row>
    <row r="123" spans="1:68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70">
        <f>IFERROR(SUM(X121:X122),"0")</f>
        <v>168</v>
      </c>
      <c r="Y123" s="270">
        <f>IFERROR(SUM(Y121:Y122),"0")</f>
        <v>168</v>
      </c>
      <c r="Z123" s="270">
        <f>IFERROR(IF(Z121="",0,Z121),"0")+IFERROR(IF(Z122="",0,Z122),"0")</f>
        <v>3.0038399999999998</v>
      </c>
      <c r="AA123" s="271"/>
      <c r="AB123" s="271"/>
      <c r="AC123" s="271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70">
        <f>IFERROR(SUMPRODUCT(X121:X122*H121:H122),"0")</f>
        <v>504</v>
      </c>
      <c r="Y124" s="270">
        <f>IFERROR(SUMPRODUCT(Y121:Y122*H121:H122),"0")</f>
        <v>504</v>
      </c>
      <c r="Z124" s="37"/>
      <c r="AA124" s="271"/>
      <c r="AB124" s="271"/>
      <c r="AC124" s="271"/>
    </row>
    <row r="125" spans="1:68" ht="16.5" hidden="1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69</v>
      </c>
      <c r="X127" s="268">
        <v>14</v>
      </c>
      <c r="Y127" s="269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69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51.850399999999993</v>
      </c>
      <c r="BN128" s="67">
        <f>IFERROR(Y128*I128,"0")</f>
        <v>51.850399999999993</v>
      </c>
      <c r="BO128" s="67">
        <f>IFERROR(X128/J128,"0")</f>
        <v>0.2</v>
      </c>
      <c r="BP128" s="67">
        <f>IFERROR(Y128/J128,"0")</f>
        <v>0.2</v>
      </c>
    </row>
    <row r="129" spans="1:68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70">
        <f>IFERROR(SUM(X127:X128),"0")</f>
        <v>28</v>
      </c>
      <c r="Y129" s="270">
        <f>IFERROR(SUM(Y127:Y128),"0")</f>
        <v>28</v>
      </c>
      <c r="Z129" s="270">
        <f>IFERROR(IF(Z127="",0,Z127),"0")+IFERROR(IF(Z128="",0,Z128),"0")</f>
        <v>0.50063999999999997</v>
      </c>
      <c r="AA129" s="271"/>
      <c r="AB129" s="271"/>
      <c r="AC129" s="271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70">
        <f>IFERROR(SUMPRODUCT(X127:X128*H127:H128),"0")</f>
        <v>84</v>
      </c>
      <c r="Y130" s="270">
        <f>IFERROR(SUMPRODUCT(Y127:Y128*H127:H128),"0")</f>
        <v>84</v>
      </c>
      <c r="Z130" s="37"/>
      <c r="AA130" s="271"/>
      <c r="AB130" s="271"/>
      <c r="AC130" s="271"/>
    </row>
    <row r="131" spans="1:68" ht="16.5" hidden="1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70">
        <f>IFERROR(SUM(X133:X134),"0")</f>
        <v>28</v>
      </c>
      <c r="Y135" s="270">
        <f>IFERROR(SUM(Y133:Y134),"0")</f>
        <v>28</v>
      </c>
      <c r="Z135" s="270">
        <f>IFERROR(IF(Z133="",0,Z133),"0")+IFERROR(IF(Z134="",0,Z134),"0")</f>
        <v>0.50063999999999997</v>
      </c>
      <c r="AA135" s="271"/>
      <c r="AB135" s="271"/>
      <c r="AC135" s="271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70">
        <f>IFERROR(SUMPRODUCT(X133:X134*H133:H134),"0")</f>
        <v>67.2</v>
      </c>
      <c r="Y136" s="270">
        <f>IFERROR(SUMPRODUCT(Y133:Y134*H133:H134),"0")</f>
        <v>67.2</v>
      </c>
      <c r="Z136" s="37"/>
      <c r="AA136" s="271"/>
      <c r="AB136" s="271"/>
      <c r="AC136" s="271"/>
    </row>
    <row r="137" spans="1:68" ht="16.5" hidden="1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hidden="1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hidden="1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hidden="1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189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69</v>
      </c>
      <c r="X154" s="268">
        <v>14</v>
      </c>
      <c r="Y154" s="269">
        <f>IFERROR(IF(X154="","",X154),"")</f>
        <v>14</v>
      </c>
      <c r="Z154" s="36">
        <f>IFERROR(IF(X154="","",X154*0.00941),"")</f>
        <v>0.13174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29.425199999999997</v>
      </c>
      <c r="BN154" s="67">
        <f>IFERROR(Y154*I154,"0")</f>
        <v>29.425199999999997</v>
      </c>
      <c r="BO154" s="67">
        <f>IFERROR(X154/J154,"0")</f>
        <v>0.1</v>
      </c>
      <c r="BP154" s="67">
        <f>IFERROR(Y154/J154,"0")</f>
        <v>0.1</v>
      </c>
    </row>
    <row r="155" spans="1:68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70">
        <f>IFERROR(SUM(X154:X154),"0")</f>
        <v>14</v>
      </c>
      <c r="Y155" s="270">
        <f>IFERROR(SUM(Y154:Y154),"0")</f>
        <v>14</v>
      </c>
      <c r="Z155" s="270">
        <f>IFERROR(IF(Z154="",0,Z154),"0")</f>
        <v>0.13174</v>
      </c>
      <c r="AA155" s="271"/>
      <c r="AB155" s="271"/>
      <c r="AC155" s="271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70">
        <f>IFERROR(SUMPRODUCT(X154:X154*H154:H154),"0")</f>
        <v>23.52</v>
      </c>
      <c r="Y156" s="270">
        <f>IFERROR(SUMPRODUCT(Y154:Y154*H154:H154),"0")</f>
        <v>23.52</v>
      </c>
      <c r="Z156" s="37"/>
      <c r="AA156" s="271"/>
      <c r="AB156" s="271"/>
      <c r="AC156" s="271"/>
    </row>
    <row r="157" spans="1:68" ht="27.75" hidden="1" customHeight="1" x14ac:dyDescent="0.2">
      <c r="A157" s="319" t="s">
        <v>229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69</v>
      </c>
      <c r="X161" s="268">
        <v>96</v>
      </c>
      <c r="Y161" s="269">
        <f>IFERROR(IF(X161="","",X161),"")</f>
        <v>96</v>
      </c>
      <c r="Z161" s="36">
        <f>IFERROR(IF(X161="","",X161*0.00866),"")</f>
        <v>0.83135999999999988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500.46719999999993</v>
      </c>
      <c r="BN161" s="67">
        <f>IFERROR(Y161*I161,"0")</f>
        <v>500.46719999999993</v>
      </c>
      <c r="BO161" s="67">
        <f>IFERROR(X161/J161,"0")</f>
        <v>0.66666666666666663</v>
      </c>
      <c r="BP161" s="67">
        <f>IFERROR(Y161/J161,"0")</f>
        <v>0.66666666666666663</v>
      </c>
    </row>
    <row r="162" spans="1:68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70">
        <f>IFERROR(SUM(X160:X161),"0")</f>
        <v>96</v>
      </c>
      <c r="Y162" s="270">
        <f>IFERROR(SUM(Y160:Y161),"0")</f>
        <v>96</v>
      </c>
      <c r="Z162" s="270">
        <f>IFERROR(IF(Z160="",0,Z160),"0")+IFERROR(IF(Z161="",0,Z161),"0")</f>
        <v>0.83135999999999988</v>
      </c>
      <c r="AA162" s="271"/>
      <c r="AB162" s="271"/>
      <c r="AC162" s="271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70">
        <f>IFERROR(SUMPRODUCT(X160:X161*H160:H161),"0")</f>
        <v>480</v>
      </c>
      <c r="Y163" s="270">
        <f>IFERROR(SUMPRODUCT(Y160:Y161*H160:H161),"0")</f>
        <v>480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237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69</v>
      </c>
      <c r="X167" s="268">
        <v>42</v>
      </c>
      <c r="Y167" s="269">
        <f>IFERROR(IF(X167="","",X167),"")</f>
        <v>42</v>
      </c>
      <c r="Z167" s="36">
        <f>IFERROR(IF(X167="","",X167*0.01788),"")</f>
        <v>0.75095999999999996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142.29599999999999</v>
      </c>
      <c r="BN167" s="67">
        <f>IFERROR(Y167*I167,"0")</f>
        <v>142.29599999999999</v>
      </c>
      <c r="BO167" s="67">
        <f>IFERROR(X167/J167,"0")</f>
        <v>0.6</v>
      </c>
      <c r="BP167" s="67">
        <f>IFERROR(Y167/J167,"0")</f>
        <v>0.6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69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70">
        <f>IFERROR(SUM(X167:X169),"0")</f>
        <v>98</v>
      </c>
      <c r="Y170" s="270">
        <f>IFERROR(SUM(Y167:Y169),"0")</f>
        <v>98</v>
      </c>
      <c r="Z170" s="270">
        <f>IFERROR(IF(Z167="",0,Z167),"0")+IFERROR(IF(Z168="",0,Z168),"0")+IFERROR(IF(Z169="",0,Z169),"0")</f>
        <v>1.75224</v>
      </c>
      <c r="AA170" s="271"/>
      <c r="AB170" s="271"/>
      <c r="AC170" s="271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70">
        <f>IFERROR(SUMPRODUCT(X167:X169*H167:H169),"0")</f>
        <v>294</v>
      </c>
      <c r="Y171" s="270">
        <f>IFERROR(SUMPRODUCT(Y167:Y169*H167:H169),"0")</f>
        <v>294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8" t="s">
        <v>253</v>
      </c>
      <c r="Q173" s="286"/>
      <c r="R173" s="286"/>
      <c r="S173" s="286"/>
      <c r="T173" s="287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256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86"/>
      <c r="R184" s="286"/>
      <c r="S184" s="286"/>
      <c r="T184" s="287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81">
        <v>4607111035912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1">
        <v>4607111035103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IFERROR(SUM(X191:X195),"0")</f>
        <v>12</v>
      </c>
      <c r="Y196" s="270">
        <f>IFERROR(SUM(Y191:Y195),"0")</f>
        <v>12</v>
      </c>
      <c r="Z196" s="270">
        <f>IFERROR(IF(Z191="",0,Z191),"0")+IFERROR(IF(Z192="",0,Z192),"0")+IFERROR(IF(Z193="",0,Z193),"0")+IFERROR(IF(Z194="",0,Z194),"0")+IFERROR(IF(Z195="",0,Z195),"0")</f>
        <v>0.186</v>
      </c>
      <c r="AA196" s="271"/>
      <c r="AB196" s="271"/>
      <c r="AC196" s="271"/>
    </row>
    <row r="197" spans="1:68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IFERROR(SUMPRODUCT(X191:X195*H191:H195),"0")</f>
        <v>86.4</v>
      </c>
      <c r="Y197" s="270">
        <f>IFERROR(SUMPRODUCT(Y191:Y195*H191:H195),"0")</f>
        <v>86.4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68">
        <v>72</v>
      </c>
      <c r="Y200" s="269">
        <f>IFERROR(IF(X200="","",X200),"")</f>
        <v>72</v>
      </c>
      <c r="Z200" s="36">
        <f>IFERROR(IF(X200="","",X200*0.0155),"")</f>
        <v>1.1160000000000001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376.56000000000006</v>
      </c>
      <c r="BN200" s="67">
        <f>IFERROR(Y200*I200,"0")</f>
        <v>376.56000000000006</v>
      </c>
      <c r="BO200" s="67">
        <f>IFERROR(X200/J200,"0")</f>
        <v>0.8571428571428571</v>
      </c>
      <c r="BP200" s="67">
        <f>IFERROR(Y200/J200,"0")</f>
        <v>0.8571428571428571</v>
      </c>
    </row>
    <row r="201" spans="1:68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72</v>
      </c>
      <c r="Y201" s="270">
        <f>IFERROR(SUM(Y200:Y200),"0")</f>
        <v>72</v>
      </c>
      <c r="Z201" s="270">
        <f>IFERROR(IF(Z200="",0,Z200),"0")</f>
        <v>1.1160000000000001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360</v>
      </c>
      <c r="Y202" s="270">
        <f>IFERROR(SUMPRODUCT(Y200:Y200*H200:H200),"0")</f>
        <v>360</v>
      </c>
      <c r="Z202" s="37"/>
      <c r="AA202" s="271"/>
      <c r="AB202" s="271"/>
      <c r="AC202" s="271"/>
    </row>
    <row r="203" spans="1:68" ht="16.5" hidden="1" customHeight="1" x14ac:dyDescent="0.25">
      <c r="A203" s="279" t="s">
        <v>289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290</v>
      </c>
      <c r="B205" s="54" t="s">
        <v>291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hidden="1" customHeight="1" x14ac:dyDescent="0.25">
      <c r="A209" s="54" t="s">
        <v>293</v>
      </c>
      <c r="B209" s="54" t="s">
        <v>294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298</v>
      </c>
      <c r="B211" s="54" t="s">
        <v>299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300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301</v>
      </c>
      <c r="B216" s="54" t="s">
        <v>302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304</v>
      </c>
      <c r="B217" s="54" t="s">
        <v>305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306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307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308</v>
      </c>
      <c r="B223" s="54" t="s">
        <v>309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311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312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hidden="1" customHeight="1" x14ac:dyDescent="0.25">
      <c r="A229" s="54" t="s">
        <v>313</v>
      </c>
      <c r="B229" s="54" t="s">
        <v>314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315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316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317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318</v>
      </c>
      <c r="B235" s="54" t="s">
        <v>319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321</v>
      </c>
      <c r="B239" s="54" t="s">
        <v>322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323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324</v>
      </c>
      <c r="B245" s="54" t="s">
        <v>325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329</v>
      </c>
      <c r="B247" s="54" t="s">
        <v>330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91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hidden="1" customHeight="1" x14ac:dyDescent="0.25">
      <c r="A251" s="54" t="s">
        <v>332</v>
      </c>
      <c r="B251" s="54" t="s">
        <v>333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hidden="1" customHeight="1" x14ac:dyDescent="0.25">
      <c r="A252" s="54" t="s">
        <v>335</v>
      </c>
      <c r="B252" s="54" t="s">
        <v>336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hidden="1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69</v>
      </c>
      <c r="X257" s="268">
        <v>24</v>
      </c>
      <c r="Y257" s="269">
        <f>IFERROR(IF(X257="","",X257),"")</f>
        <v>24</v>
      </c>
      <c r="Z257" s="36">
        <f>IFERROR(IF(X257="","",X257*0.0155),"")</f>
        <v>0.372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125.64000000000001</v>
      </c>
      <c r="BN257" s="67">
        <f>IFERROR(Y257*I257,"0")</f>
        <v>125.64000000000001</v>
      </c>
      <c r="BO257" s="67">
        <f>IFERROR(X257/J257,"0")</f>
        <v>0.2857142857142857</v>
      </c>
      <c r="BP257" s="67">
        <f>IFERROR(Y257/J257,"0")</f>
        <v>0.2857142857142857</v>
      </c>
    </row>
    <row r="258" spans="1:68" ht="27" hidden="1" customHeight="1" x14ac:dyDescent="0.25">
      <c r="A258" s="54" t="s">
        <v>342</v>
      </c>
      <c r="B258" s="54" t="s">
        <v>343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38</v>
      </c>
      <c r="Y259" s="270">
        <f>IFERROR(SUM(Y256:Y258),"0")</f>
        <v>38</v>
      </c>
      <c r="Z259" s="270">
        <f>IFERROR(IF(Z256="",0,Z256),"0")+IFERROR(IF(Z257="",0,Z257),"0")+IFERROR(IF(Z258="",0,Z258),"0")</f>
        <v>0.50303999999999993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157.80000000000001</v>
      </c>
      <c r="Y260" s="270">
        <f>IFERROR(SUMPRODUCT(Y256:Y258*H256:H258),"0")</f>
        <v>157.80000000000001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344</v>
      </c>
      <c r="B262" s="54" t="s">
        <v>345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68">
        <v>14</v>
      </c>
      <c r="Y263" s="269">
        <f t="shared" si="12"/>
        <v>14</v>
      </c>
      <c r="Z263" s="36">
        <f>IFERROR(IF(X263="","",X263*0.00936),"")</f>
        <v>0.13103999999999999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54.488</v>
      </c>
      <c r="BN263" s="67">
        <f t="shared" si="14"/>
        <v>54.488</v>
      </c>
      <c r="BO263" s="67">
        <f t="shared" si="15"/>
        <v>0.1111111111111111</v>
      </c>
      <c r="BP263" s="67">
        <f t="shared" si="16"/>
        <v>0.1111111111111111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hidden="1" customHeight="1" x14ac:dyDescent="0.25">
      <c r="A265" s="54" t="s">
        <v>352</v>
      </c>
      <c r="B265" s="54" t="s">
        <v>353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69</v>
      </c>
      <c r="X266" s="268">
        <v>42</v>
      </c>
      <c r="Y266" s="269">
        <f t="shared" si="12"/>
        <v>42</v>
      </c>
      <c r="Z266" s="36">
        <f t="shared" si="17"/>
        <v>0.39312000000000002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163.464</v>
      </c>
      <c r="BN266" s="67">
        <f t="shared" si="14"/>
        <v>163.464</v>
      </c>
      <c r="BO266" s="67">
        <f t="shared" si="15"/>
        <v>0.33333333333333331</v>
      </c>
      <c r="BP266" s="67">
        <f t="shared" si="16"/>
        <v>0.33333333333333331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358</v>
      </c>
      <c r="B268" s="54" t="s">
        <v>359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68</v>
      </c>
      <c r="Y272" s="270">
        <f>IFERROR(SUM(Y262:Y271),"0")</f>
        <v>68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0.71016000000000001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273.20000000000005</v>
      </c>
      <c r="Y273" s="270">
        <f>IFERROR(SUMPRODUCT(Y262:Y271*H262:H271),"0")</f>
        <v>273.20000000000005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366</v>
      </c>
      <c r="Q274" s="317"/>
      <c r="R274" s="317"/>
      <c r="S274" s="317"/>
      <c r="T274" s="317"/>
      <c r="U274" s="317"/>
      <c r="V274" s="318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4412.9599999999991</v>
      </c>
      <c r="Y274" s="270">
        <f>IFERROR(Y24+Y31+Y38+Y46+Y51+Y55+Y60+Y66+Y72+Y77+Y83+Y93+Y99+Y110+Y114+Y118+Y124+Y130+Y136+Y141+Y146+Y151+Y156+Y163+Y171+Y175+Y181+Y188+Y197+Y202+Y207+Y213+Y219+Y225+Y231+Y237+Y241+Y249+Y254+Y260+Y273,"0")</f>
        <v>4412.9599999999991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367</v>
      </c>
      <c r="Q275" s="317"/>
      <c r="R275" s="317"/>
      <c r="S275" s="317"/>
      <c r="T275" s="317"/>
      <c r="U275" s="317"/>
      <c r="V275" s="318"/>
      <c r="W275" s="37" t="s">
        <v>73</v>
      </c>
      <c r="X275" s="270">
        <f>IFERROR(SUM(BM22:BM271),"0")</f>
        <v>4898.9699999999993</v>
      </c>
      <c r="Y275" s="270">
        <f>IFERROR(SUM(BN22:BN271),"0")</f>
        <v>4898.9699999999993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368</v>
      </c>
      <c r="Q276" s="317"/>
      <c r="R276" s="317"/>
      <c r="S276" s="317"/>
      <c r="T276" s="317"/>
      <c r="U276" s="317"/>
      <c r="V276" s="318"/>
      <c r="W276" s="37" t="s">
        <v>369</v>
      </c>
      <c r="X276" s="38">
        <f>ROUNDUP(SUM(BO22:BO271),0)</f>
        <v>14</v>
      </c>
      <c r="Y276" s="38">
        <f>ROUNDUP(SUM(BP22:BP271),0)</f>
        <v>14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370</v>
      </c>
      <c r="Q277" s="317"/>
      <c r="R277" s="317"/>
      <c r="S277" s="317"/>
      <c r="T277" s="317"/>
      <c r="U277" s="317"/>
      <c r="V277" s="318"/>
      <c r="W277" s="37" t="s">
        <v>73</v>
      </c>
      <c r="X277" s="270">
        <f>GrossWeightTotal+PalletQtyTotal*25</f>
        <v>5248.9699999999993</v>
      </c>
      <c r="Y277" s="270">
        <f>GrossWeightTotalR+PalletQtyTotalR*25</f>
        <v>5248.9699999999993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371</v>
      </c>
      <c r="Q278" s="317"/>
      <c r="R278" s="317"/>
      <c r="S278" s="317"/>
      <c r="T278" s="317"/>
      <c r="U278" s="317"/>
      <c r="V278" s="318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1118</v>
      </c>
      <c r="Y278" s="270">
        <f>IFERROR(Y23+Y30+Y37+Y45+Y50+Y54+Y59+Y65+Y71+Y76+Y82+Y92+Y98+Y109+Y113+Y117+Y123+Y129+Y135+Y140+Y145+Y150+Y155+Y162+Y170+Y174+Y180+Y187+Y196+Y201+Y206+Y212+Y218+Y224+Y230+Y236+Y240+Y248+Y253+Y259+Y272,"0")</f>
        <v>1118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372</v>
      </c>
      <c r="Q279" s="317"/>
      <c r="R279" s="317"/>
      <c r="S279" s="317"/>
      <c r="T279" s="317"/>
      <c r="U279" s="317"/>
      <c r="V279" s="318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16.621160000000003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2" t="s">
        <v>74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229</v>
      </c>
      <c r="V281" s="265" t="s">
        <v>237</v>
      </c>
      <c r="W281" s="272" t="s">
        <v>256</v>
      </c>
      <c r="X281" s="306"/>
      <c r="Y281" s="306"/>
      <c r="Z281" s="306"/>
      <c r="AA281" s="307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89" t="s">
        <v>375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193</v>
      </c>
      <c r="N282" s="266"/>
      <c r="O282" s="272" t="s">
        <v>201</v>
      </c>
      <c r="P282" s="272" t="s">
        <v>208</v>
      </c>
      <c r="Q282" s="272" t="s">
        <v>213</v>
      </c>
      <c r="R282" s="272" t="s">
        <v>217</v>
      </c>
      <c r="S282" s="272" t="s">
        <v>220</v>
      </c>
      <c r="T282" s="272" t="s">
        <v>225</v>
      </c>
      <c r="U282" s="272" t="s">
        <v>230</v>
      </c>
      <c r="V282" s="272" t="s">
        <v>238</v>
      </c>
      <c r="W282" s="272" t="s">
        <v>257</v>
      </c>
      <c r="X282" s="272" t="s">
        <v>273</v>
      </c>
      <c r="Y282" s="272" t="s">
        <v>285</v>
      </c>
      <c r="Z282" s="272" t="s">
        <v>289</v>
      </c>
      <c r="AA282" s="272" t="s">
        <v>300</v>
      </c>
      <c r="AB282" s="272" t="s">
        <v>307</v>
      </c>
      <c r="AC282" s="272" t="s">
        <v>312</v>
      </c>
      <c r="AD282" s="272" t="s">
        <v>316</v>
      </c>
      <c r="AE282" s="272" t="s">
        <v>323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21</v>
      </c>
      <c r="D284" s="46">
        <f>IFERROR(X34*H34,"0")+IFERROR(X35*H35,"0")+IFERROR(X36*H36,"0")</f>
        <v>201.59999999999997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360</v>
      </c>
      <c r="H284" s="46">
        <f>IFERROR(X75*H75,"0")</f>
        <v>50.4</v>
      </c>
      <c r="I284" s="46">
        <f>IFERROR(X80*H80,"0")+IFERROR(X81*H81,"0")</f>
        <v>201.6</v>
      </c>
      <c r="J284" s="46">
        <f>IFERROR(X86*H86,"0")+IFERROR(X87*H87,"0")+IFERROR(X88*H88,"0")+IFERROR(X89*H89,"0")+IFERROR(X90*H90,"0")+IFERROR(X91*H91,"0")</f>
        <v>362.88</v>
      </c>
      <c r="K284" s="46">
        <f>IFERROR(X96*H96,"0")+IFERROR(X97*H97,"0")</f>
        <v>141.12</v>
      </c>
      <c r="L284" s="46">
        <f>IFERROR(X102*H102,"0")+IFERROR(X103*H103,"0")+IFERROR(X104*H104,"0")+IFERROR(X105*H105,"0")+IFERROR(X106*H106,"0")+IFERROR(X107*H107,"0")+IFERROR(X108*H108,"0")+IFERROR(X112*H112,"0")+IFERROR(X116*H116,"0")</f>
        <v>705.59999999999991</v>
      </c>
      <c r="M284" s="46">
        <f>IFERROR(X121*H121,"0")+IFERROR(X122*H122,"0")</f>
        <v>504</v>
      </c>
      <c r="N284" s="266"/>
      <c r="O284" s="46">
        <f>IFERROR(X127*H127,"0")+IFERROR(X128*H128,"0")</f>
        <v>84</v>
      </c>
      <c r="P284" s="46">
        <f>IFERROR(X133*H133,"0")+IFERROR(X134*H134,"0")</f>
        <v>67.2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23.52</v>
      </c>
      <c r="U284" s="46">
        <f>IFERROR(X160*H160,"0")+IFERROR(X161*H161,"0")</f>
        <v>480</v>
      </c>
      <c r="V284" s="46">
        <f>IFERROR(X167*H167,"0")+IFERROR(X168*H168,"0")+IFERROR(X169*H169,"0")+IFERROR(X173*H173,"0")</f>
        <v>294</v>
      </c>
      <c r="W284" s="46">
        <f>IFERROR(X179*H179,"0")+IFERROR(X183*H183,"0")+IFERROR(X184*H184,"0")+IFERROR(X185*H185,"0")+IFERROR(X186*H186,"0")</f>
        <v>38.64</v>
      </c>
      <c r="X284" s="46">
        <f>IFERROR(X191*H191,"0")+IFERROR(X192*H192,"0")+IFERROR(X193*H193,"0")+IFERROR(X194*H194,"0")+IFERROR(X195*H195,"0")</f>
        <v>86.4</v>
      </c>
      <c r="Y284" s="46">
        <f>IFERROR(X200*H200,"0")</f>
        <v>360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431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2193.6</v>
      </c>
      <c r="B287" s="60">
        <f>SUMPRODUCT(--(BB:BB="ПГП"),--(W:W="кор"),H:H,Y:Y)+SUMPRODUCT(--(BB:BB="ПГП"),--(W:W="кг"),Y:Y)</f>
        <v>2219.36</v>
      </c>
      <c r="C287" s="60">
        <f>SUMPRODUCT(--(BB:BB="КИЗ"),--(W:W="кор"),H:H,Y:Y)+SUMPRODUCT(--(BB:BB="КИЗ"),--(W:W="кг"),Y:Y)</f>
        <v>0</v>
      </c>
    </row>
  </sheetData>
  <sheetProtection algorithmName="SHA-512" hashValue="ULcHSH3RECcsJSd92nldiN2XbnTUaVcte0SylYjfOVFWvMMzAl8UegGjBfH3ZD+q7wdHJjm0VmIYfU4TDwXKJQ==" saltValue="6TAkTfh4RdS2GYV9fqMRNw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8,00"/>
        <filter val="108,00"/>
        <filter val="12,00"/>
        <filter val="126,00"/>
        <filter val="14"/>
        <filter val="14,00"/>
        <filter val="141,12"/>
        <filter val="157,80"/>
        <filter val="168,00"/>
        <filter val="201,60"/>
        <filter val="21,00"/>
        <filter val="23,52"/>
        <filter val="24,00"/>
        <filter val="273,20"/>
        <filter val="28,00"/>
        <filter val="294,00"/>
        <filter val="36,00"/>
        <filter val="360,00"/>
        <filter val="362,88"/>
        <filter val="38,00"/>
        <filter val="38,64"/>
        <filter val="4 412,96"/>
        <filter val="4 898,97"/>
        <filter val="42,00"/>
        <filter val="480,00"/>
        <filter val="5 248,97"/>
        <filter val="50,40"/>
        <filter val="504,00"/>
        <filter val="56,00"/>
        <filter val="67,20"/>
        <filter val="68,00"/>
        <filter val="70,00"/>
        <filter val="705,60"/>
        <filter val="72,00"/>
        <filter val="84,00"/>
        <filter val="86,40"/>
        <filter val="96,00"/>
        <filter val="98,00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W42xoOHy6aBaB/ot0nYxilK22giMnK+fRpzei4n3wmwGhCwCuevjP0uNAg/WXQJgwzuBiU0DRvd1A9IE6gzh4w==" saltValue="79ANExhw/CRUnqvq2ijm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