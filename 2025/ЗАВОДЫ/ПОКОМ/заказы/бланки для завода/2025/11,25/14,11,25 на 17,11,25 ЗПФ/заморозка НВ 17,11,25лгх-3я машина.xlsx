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E2053D-36E4-4CEA-9F96-EF4289E941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0" i="1" s="1"/>
  <c r="P149" i="1"/>
  <c r="X146" i="1"/>
  <c r="X145" i="1"/>
  <c r="BO144" i="1"/>
  <c r="BM144" i="1"/>
  <c r="Z144" i="1"/>
  <c r="Z145" i="1" s="1"/>
  <c r="Y144" i="1"/>
  <c r="Y145" i="1" s="1"/>
  <c r="P144" i="1"/>
  <c r="X141" i="1"/>
  <c r="X140" i="1"/>
  <c r="BO139" i="1"/>
  <c r="BM139" i="1"/>
  <c r="Z139" i="1"/>
  <c r="Z140" i="1" s="1"/>
  <c r="Y139" i="1"/>
  <c r="Y140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BP121" i="1" s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P62" i="1"/>
  <c r="X60" i="1"/>
  <c r="X59" i="1"/>
  <c r="BO58" i="1"/>
  <c r="BM58" i="1"/>
  <c r="Z58" i="1"/>
  <c r="Y58" i="1"/>
  <c r="P58" i="1"/>
  <c r="BO57" i="1"/>
  <c r="BM57" i="1"/>
  <c r="Z57" i="1"/>
  <c r="Z59" i="1" s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Y31" i="1" s="1"/>
  <c r="P28" i="1"/>
  <c r="X24" i="1"/>
  <c r="X274" i="1" s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Y83" i="1" l="1"/>
  <c r="BN81" i="1"/>
  <c r="Y99" i="1"/>
  <c r="BN97" i="1"/>
  <c r="BN112" i="1"/>
  <c r="BP112" i="1"/>
  <c r="Y113" i="1"/>
  <c r="BN116" i="1"/>
  <c r="BP116" i="1"/>
  <c r="Y117" i="1"/>
  <c r="Z123" i="1"/>
  <c r="BN121" i="1"/>
  <c r="Z129" i="1"/>
  <c r="Z135" i="1"/>
  <c r="BN133" i="1"/>
  <c r="Z170" i="1"/>
  <c r="BN167" i="1"/>
  <c r="BN169" i="1"/>
  <c r="Z187" i="1"/>
  <c r="BN185" i="1"/>
  <c r="Z196" i="1"/>
  <c r="Y38" i="1"/>
  <c r="BP34" i="1"/>
  <c r="BN34" i="1"/>
  <c r="BP36" i="1"/>
  <c r="BN36" i="1"/>
  <c r="BP58" i="1"/>
  <c r="BN58" i="1"/>
  <c r="Y71" i="1"/>
  <c r="BP69" i="1"/>
  <c r="BN69" i="1"/>
  <c r="X275" i="1"/>
  <c r="X278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8" i="1"/>
  <c r="BN128" i="1"/>
  <c r="Y197" i="1"/>
  <c r="X276" i="1"/>
  <c r="Z30" i="1"/>
  <c r="Z37" i="1"/>
  <c r="Y45" i="1"/>
  <c r="Y60" i="1"/>
  <c r="Y66" i="1"/>
  <c r="Z71" i="1"/>
  <c r="Z82" i="1"/>
  <c r="Z92" i="1"/>
  <c r="Z98" i="1"/>
  <c r="Z109" i="1"/>
  <c r="Y123" i="1"/>
  <c r="Y130" i="1"/>
  <c r="Y135" i="1"/>
  <c r="BN161" i="1"/>
  <c r="BN192" i="1"/>
  <c r="BN194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Z279" i="1" s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X277" i="1" l="1"/>
  <c r="Y278" i="1"/>
  <c r="Y276" i="1"/>
  <c r="Y274" i="1"/>
  <c r="B287" i="1" s="1"/>
  <c r="Y275" i="1"/>
  <c r="Y277" i="1" s="1"/>
  <c r="C287" i="1" l="1"/>
  <c r="A287" i="1"/>
</calcChain>
</file>

<file path=xl/sharedStrings.xml><?xml version="1.0" encoding="utf-8"?>
<sst xmlns="http://schemas.openxmlformats.org/spreadsheetml/2006/main" count="1230" uniqueCount="396">
  <si>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</si>
  <si>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</si>
  <si>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</si>
  <si>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</si>
  <si>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</si>
  <si>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</si>
  <si>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</si>
  <si>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</si>
  <si>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</si>
  <si>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</si>
  <si>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</si>
  <si>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</si>
  <si>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</si>
  <si>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</si>
  <si>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</si>
  <si>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</si>
  <si>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</si>
  <si>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</si>
  <si>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</si>
  <si>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</si>
  <si>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</si>
  <si>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</si>
  <si>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</si>
  <si>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</si>
  <si>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</si>
  <si>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</si>
  <si>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</si>
  <si>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</si>
  <si>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</si>
  <si>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</si>
  <si>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</si>
  <si>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</si>
  <si>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</si>
  <si>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</si>
  <si>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</si>
  <si>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</si>
  <si>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</si>
  <si>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</si>
  <si>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</si>
  <si>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</si>
  <si>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</si>
  <si>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</si>
  <si>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</si>
  <si>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</si>
  <si>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</si>
  <si>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</si>
  <si>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</si>
  <si>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</si>
  <si>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</si>
  <si>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</si>
  <si>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</si>
  <si>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</si>
  <si>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</si>
  <si>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</si>
  <si>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</si>
  <si>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</si>
  <si>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</si>
  <si>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</si>
  <si>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</si>
  <si>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</si>
  <si>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</si>
  <si>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</si>
  <si>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</si>
  <si>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</si>
  <si>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</si>
  <si>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</si>
  <si>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</si>
  <si>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</si>
  <si>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</si>
  <si>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</si>
  <si>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</si>
  <si>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</si>
  <si>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</si>
  <si>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</si>
  <si>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</si>
  <si>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</si>
  <si>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</si>
  <si>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</si>
  <si>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</si>
  <si>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</si>
  <si>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</si>
  <si>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</si>
  <si>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</si>
  <si>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</si>
  <si>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</si>
  <si>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</si>
  <si>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</si>
  <si>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</si>
  <si>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</si>
  <si>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</si>
  <si>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</si>
  <si>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</si>
  <si>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</si>
  <si>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</si>
  <si>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</si>
  <si>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</si>
  <si>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</si>
  <si>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</si>
  <si>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</si>
  <si>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</si>
  <si>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</si>
  <si>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</si>
  <si>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</si>
  <si>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</si>
  <si>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</si>
  <si>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</si>
  <si>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</si>
  <si>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</si>
  <si>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</si>
  <si>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</si>
  <si>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</si>
  <si>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</si>
  <si>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</si>
  <si>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</si>
  <si>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</si>
  <si>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</si>
  <si>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</si>
  <si>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</si>
  <si>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</si>
  <si>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</si>
  <si>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</si>
  <si>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</si>
  <si>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</si>
  <si>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</si>
  <si>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</si>
  <si>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</si>
  <si>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</si>
  <si>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</si>
  <si>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</si>
  <si>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</si>
  <si>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</si>
  <si>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</si>
  <si>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</si>
  <si>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</si>
  <si>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</si>
  <si>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</si>
  <si>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</si>
  <si>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</si>
  <si>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</si>
  <si>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</si>
  <si>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</si>
  <si>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</si>
  <si>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</si>
  <si>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</si>
  <si>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</si>
  <si>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</si>
  <si>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</si>
  <si>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</si>
  <si>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</si>
  <si>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</si>
  <si>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</si>
  <si>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</si>
  <si>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</si>
  <si>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</si>
  <si>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</si>
  <si>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</si>
  <si>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</si>
  <si>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</si>
  <si>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</si>
  <si>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</si>
  <si>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</si>
  <si>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</si>
  <si>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</si>
  <si>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</si>
  <si>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</si>
  <si>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</si>
  <si>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</si>
  <si>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</si>
  <si>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</si>
  <si>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</si>
  <si>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</si>
  <si>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</si>
  <si>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</si>
  <si>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</si>
  <si>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</si>
  <si>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</si>
  <si>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</si>
  <si>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</si>
  <si>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</si>
  <si>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</si>
  <si>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</si>
  <si>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</si>
  <si>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</si>
  <si>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</si>
  <si>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</si>
  <si>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</si>
  <si>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</si>
  <si>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</si>
  <si>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</si>
  <si>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</si>
  <si>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</si>
  <si>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</si>
  <si>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</si>
  <si>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</si>
  <si>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</si>
  <si>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</si>
  <si>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</si>
  <si>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</si>
  <si>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</si>
  <si>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</si>
  <si>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</si>
  <si>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</si>
  <si>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</si>
  <si>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</si>
  <si>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</si>
  <si>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</si>
  <si>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</si>
  <si>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</si>
  <si>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</si>
  <si>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</si>
  <si>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</si>
  <si>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</si>
  <si>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</si>
  <si>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</si>
  <si>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</si>
  <si>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</si>
  <si>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</si>
  <si>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</si>
  <si>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</si>
  <si>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</si>
  <si>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</si>
  <si>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</si>
  <si>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</si>
  <si>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</si>
  <si>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</si>
  <si>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</si>
  <si>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</si>
  <si>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</si>
  <si>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</si>
  <si>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</si>
  <si>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</si>
  <si>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</si>
  <si>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</si>
  <si>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</si>
  <si>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</si>
  <si>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</si>
  <si>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</si>
  <si>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</si>
  <si>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</si>
  <si>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</si>
  <si>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</si>
  <si>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</si>
  <si>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</si>
  <si>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</si>
  <si>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</si>
  <si>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</si>
  <si>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</si>
  <si>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</si>
  <si>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</si>
  <si>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</si>
  <si>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</si>
  <si>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</si>
  <si>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</si>
  <si>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</si>
  <si>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</si>
  <si>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</si>
  <si>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</si>
  <si>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</si>
  <si>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</si>
  <si>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</si>
  <si>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</si>
  <si>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</si>
  <si>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</si>
  <si>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</si>
  <si>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</si>
  <si>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</si>
  <si>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</si>
  <si>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</si>
  <si>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</si>
  <si>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</si>
  <si>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</si>
  <si>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</si>
  <si>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</si>
  <si>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</si>
  <si>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</si>
  <si>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</si>
  <si>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</si>
  <si>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SU003974</t>
  </si>
  <si>
    <t>P005106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</si>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</sst>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7</v>
      </c>
      <c r="B5" s="317"/>
      <c r="C5" s="318"/>
      <c r="D5" s="324"/>
      <c r="E5" s="325"/>
      <c r="F5" s="441" t="s">
        <v>8</v>
      </c>
      <c r="G5" s="318"/>
      <c r="H5" s="324" t="s">
        <v>395</v>
      </c>
      <c r="I5" s="435"/>
      <c r="J5" s="435"/>
      <c r="K5" s="435"/>
      <c r="L5" s="435"/>
      <c r="M5" s="325"/>
      <c r="N5" s="61"/>
      <c r="P5" s="24" t="s">
        <v>9</v>
      </c>
      <c r="Q5" s="434">
        <v>45978</v>
      </c>
      <c r="R5" s="351"/>
      <c r="T5" s="367" t="s">
        <v>10</v>
      </c>
      <c r="U5" s="368"/>
      <c r="V5" s="369" t="s">
        <v>11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12</v>
      </c>
      <c r="B6" s="317"/>
      <c r="C6" s="318"/>
      <c r="D6" s="421" t="s">
        <v>13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1" t="s">
        <v>15</v>
      </c>
      <c r="U6" s="368"/>
      <c r="V6" s="392" t="s">
        <v>16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54">
        <v>0.5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20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21</v>
      </c>
      <c r="Q10" s="372"/>
      <c r="R10" s="373"/>
      <c r="U10" s="24" t="s">
        <v>22</v>
      </c>
      <c r="V10" s="299" t="s">
        <v>23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0"/>
      <c r="R11" s="351"/>
      <c r="U11" s="24" t="s">
        <v>26</v>
      </c>
      <c r="V11" s="416" t="s">
        <v>27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29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31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33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8" t="s">
        <v>37</v>
      </c>
      <c r="D17" s="296" t="s">
        <v>38</v>
      </c>
      <c r="E17" s="342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41"/>
      <c r="R17" s="341"/>
      <c r="S17" s="341"/>
      <c r="T17" s="342"/>
      <c r="U17" s="384" t="s">
        <v>50</v>
      </c>
      <c r="V17" s="318"/>
      <c r="W17" s="296" t="s">
        <v>51</v>
      </c>
      <c r="X17" s="296" t="s">
        <v>52</v>
      </c>
      <c r="Y17" s="385" t="s">
        <v>53</v>
      </c>
      <c r="Z17" s="414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6"/>
      <c r="AF17" s="437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60</v>
      </c>
      <c r="V18" s="70" t="s">
        <v>61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62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74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69</v>
      </c>
      <c r="X28" s="268">
        <v>56</v>
      </c>
      <c r="Y28" s="269">
        <f>IFERROR(IF(X28="","",X28),"")</f>
        <v>56</v>
      </c>
      <c r="Z28" s="36">
        <f>IFERROR(IF(X28="","",X28*0.00941),"")</f>
        <v>0.52695999999999998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107.6208</v>
      </c>
      <c r="BN28" s="67">
        <f>IFERROR(Y28*I28,"0")</f>
        <v>107.6208</v>
      </c>
      <c r="BO28" s="67">
        <f>IFERROR(X28/J28,"0")</f>
        <v>0.4</v>
      </c>
      <c r="BP28" s="67">
        <f>IFERROR(Y28/J28,"0")</f>
        <v>0.4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69</v>
      </c>
      <c r="X29" s="268">
        <v>126</v>
      </c>
      <c r="Y29" s="269">
        <f>IFERROR(IF(X29="","",X29),"")</f>
        <v>126</v>
      </c>
      <c r="Z29" s="36">
        <f>IFERROR(IF(X29="","",X29*0.00941),"")</f>
        <v>1.1856599999999999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242.14679999999998</v>
      </c>
      <c r="BN29" s="67">
        <f>IFERROR(Y29*I29,"0")</f>
        <v>242.14679999999998</v>
      </c>
      <c r="BO29" s="67">
        <f>IFERROR(X29/J29,"0")</f>
        <v>0.9</v>
      </c>
      <c r="BP29" s="67">
        <f>IFERROR(Y29/J29,"0")</f>
        <v>0.9</v>
      </c>
    </row>
    <row r="30" spans="1:68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182</v>
      </c>
      <c r="Y30" s="270">
        <f>IFERROR(SUM(Y28:Y29),"0")</f>
        <v>182</v>
      </c>
      <c r="Z30" s="270">
        <f>IFERROR(IF(Z28="",0,Z28),"0")+IFERROR(IF(Z29="",0,Z29),"0")</f>
        <v>1.7126199999999998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273</v>
      </c>
      <c r="Y31" s="270">
        <f>IFERROR(SUMPRODUCT(Y28:Y29*H28:H29),"0")</f>
        <v>273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idden="1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hidden="1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69</v>
      </c>
      <c r="X70" s="268">
        <v>132</v>
      </c>
      <c r="Y70" s="269">
        <f>IFERROR(IF(X70="","",X70),"")</f>
        <v>132</v>
      </c>
      <c r="Z70" s="36">
        <f>IFERROR(IF(X70="","",X70*0.00866),"")</f>
        <v>1.1431199999999999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688.14239999999995</v>
      </c>
      <c r="BN70" s="67">
        <f>IFERROR(Y70*I70,"0")</f>
        <v>688.14239999999995</v>
      </c>
      <c r="BO70" s="67">
        <f>IFERROR(X70/J70,"0")</f>
        <v>0.91666666666666663</v>
      </c>
      <c r="BP70" s="67">
        <f>IFERROR(Y70/J70,"0")</f>
        <v>0.91666666666666663</v>
      </c>
    </row>
    <row r="71" spans="1:68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132</v>
      </c>
      <c r="Y71" s="270">
        <f>IFERROR(SUM(Y69:Y70),"0")</f>
        <v>132</v>
      </c>
      <c r="Z71" s="270">
        <f>IFERROR(IF(Z69="",0,Z69),"0")+IFERROR(IF(Z70="",0,Z70),"0")</f>
        <v>1.1431199999999999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660</v>
      </c>
      <c r="Y72" s="270">
        <f>IFERROR(SUMPRODUCT(Y69:Y70*H69:H70),"0")</f>
        <v>660</v>
      </c>
      <c r="Z72" s="37"/>
      <c r="AA72" s="271"/>
      <c r="AB72" s="271"/>
      <c r="AC72" s="271"/>
    </row>
    <row r="73" spans="1:68" ht="16.5" hidden="1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69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69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hidden="1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69</v>
      </c>
      <c r="X87" s="268">
        <v>84</v>
      </c>
      <c r="Y87" s="269">
        <f t="shared" si="0"/>
        <v>84</v>
      </c>
      <c r="Z87" s="36">
        <f t="shared" si="1"/>
        <v>1.5019199999999999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301.0224</v>
      </c>
      <c r="BN87" s="67">
        <f t="shared" si="3"/>
        <v>301.0224</v>
      </c>
      <c r="BO87" s="67">
        <f t="shared" si="4"/>
        <v>1.2</v>
      </c>
      <c r="BP87" s="67">
        <f t="shared" si="5"/>
        <v>1.2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69</v>
      </c>
      <c r="X88" s="268">
        <v>70</v>
      </c>
      <c r="Y88" s="269">
        <f t="shared" si="0"/>
        <v>70</v>
      </c>
      <c r="Z88" s="36">
        <f t="shared" si="1"/>
        <v>1.2516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250.852</v>
      </c>
      <c r="BN88" s="67">
        <f t="shared" si="3"/>
        <v>250.852</v>
      </c>
      <c r="BO88" s="67">
        <f t="shared" si="4"/>
        <v>1</v>
      </c>
      <c r="BP88" s="67">
        <f t="shared" si="5"/>
        <v>1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69</v>
      </c>
      <c r="X89" s="268">
        <v>56</v>
      </c>
      <c r="Y89" s="269">
        <f t="shared" si="0"/>
        <v>56</v>
      </c>
      <c r="Z89" s="36">
        <f t="shared" si="1"/>
        <v>1.0012799999999999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200.6816</v>
      </c>
      <c r="BN89" s="67">
        <f t="shared" si="3"/>
        <v>200.6816</v>
      </c>
      <c r="BO89" s="67">
        <f t="shared" si="4"/>
        <v>0.8</v>
      </c>
      <c r="BP89" s="67">
        <f t="shared" si="5"/>
        <v>0.8</v>
      </c>
    </row>
    <row r="90" spans="1:68" ht="27" hidden="1" customHeight="1" x14ac:dyDescent="0.25">
      <c r="A90" s="54" t="s">
        <v>157</v>
      </c>
      <c r="B90" s="54" t="s">
        <v>158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238</v>
      </c>
      <c r="Y92" s="270">
        <f>IFERROR(SUM(Y86:Y91),"0")</f>
        <v>238</v>
      </c>
      <c r="Z92" s="270">
        <f>IFERROR(IF(Z86="",0,Z86),"0")+IFERROR(IF(Z87="",0,Z87),"0")+IFERROR(IF(Z88="",0,Z88),"0")+IFERROR(IF(Z89="",0,Z89),"0")+IFERROR(IF(Z90="",0,Z90),"0")+IFERROR(IF(Z91="",0,Z91),"0")</f>
        <v>4.2554400000000001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685.43999999999994</v>
      </c>
      <c r="Y93" s="270">
        <f>IFERROR(SUMPRODUCT(Y86:Y91*H86:H91),"0")</f>
        <v>685.43999999999994</v>
      </c>
      <c r="Z93" s="37"/>
      <c r="AA93" s="271"/>
      <c r="AB93" s="271"/>
      <c r="AC93" s="271"/>
    </row>
    <row r="94" spans="1:68" ht="16.5" hidden="1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69</v>
      </c>
      <c r="X96" s="268">
        <v>42</v>
      </c>
      <c r="Y96" s="269">
        <f>IFERROR(IF(X96="","",X96),"")</f>
        <v>42</v>
      </c>
      <c r="Z96" s="36">
        <f>IFERROR(IF(X96="","",X96*0.00936),"")</f>
        <v>0.39312000000000002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104.63040000000001</v>
      </c>
      <c r="BN96" s="67">
        <f>IFERROR(Y96*I96,"0")</f>
        <v>104.63040000000001</v>
      </c>
      <c r="BO96" s="67">
        <f>IFERROR(X96/J96,"0")</f>
        <v>0.33333333333333331</v>
      </c>
      <c r="BP96" s="67">
        <f>IFERROR(Y96/J96,"0")</f>
        <v>0.33333333333333331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68">
        <v>84</v>
      </c>
      <c r="Y97" s="269">
        <f>IFERROR(IF(X97="","",X97),"")</f>
        <v>84</v>
      </c>
      <c r="Z97" s="36">
        <f>IFERROR(IF(X97="","",X97*0.01788),"")</f>
        <v>1.5019199999999999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356.49599999999998</v>
      </c>
      <c r="BN97" s="67">
        <f>IFERROR(Y97*I97,"0")</f>
        <v>356.49599999999998</v>
      </c>
      <c r="BO97" s="67">
        <f>IFERROR(X97/J97,"0")</f>
        <v>1.2</v>
      </c>
      <c r="BP97" s="67">
        <f>IFERROR(Y97/J97,"0")</f>
        <v>1.2</v>
      </c>
    </row>
    <row r="98" spans="1:68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126</v>
      </c>
      <c r="Y98" s="270">
        <f>IFERROR(SUM(Y96:Y97),"0")</f>
        <v>126</v>
      </c>
      <c r="Z98" s="270">
        <f>IFERROR(IF(Z96="",0,Z96),"0")+IFERROR(IF(Z97="",0,Z97),"0")</f>
        <v>1.8950399999999998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393.12</v>
      </c>
      <c r="Y99" s="270">
        <f>IFERROR(SUMPRODUCT(Y96:Y97*H96:H97),"0")</f>
        <v>393.12</v>
      </c>
      <c r="Z99" s="37"/>
      <c r="AA99" s="271"/>
      <c r="AB99" s="271"/>
      <c r="AC99" s="271"/>
    </row>
    <row r="100" spans="1:68" ht="16.5" hidden="1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172</v>
      </c>
      <c r="B103" s="54" t="s">
        <v>173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69</v>
      </c>
      <c r="X107" s="268">
        <v>72</v>
      </c>
      <c r="Y107" s="269">
        <f t="shared" si="6"/>
        <v>72</v>
      </c>
      <c r="Z107" s="36">
        <f t="shared" si="7"/>
        <v>1.1160000000000001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525.6</v>
      </c>
      <c r="BN107" s="67">
        <f t="shared" si="9"/>
        <v>525.6</v>
      </c>
      <c r="BO107" s="67">
        <f t="shared" si="10"/>
        <v>0.8571428571428571</v>
      </c>
      <c r="BP107" s="67">
        <f t="shared" si="11"/>
        <v>0.8571428571428571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120</v>
      </c>
      <c r="Y109" s="270">
        <f>IFERROR(SUM(Y102:Y108),"0")</f>
        <v>120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1.86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840</v>
      </c>
      <c r="Y110" s="270">
        <f>IFERROR(SUMPRODUCT(Y102:Y108*H102:H108),"0")</f>
        <v>840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69</v>
      </c>
      <c r="X112" s="268">
        <v>14</v>
      </c>
      <c r="Y112" s="269">
        <f>IFERROR(IF(X112="","",X112),"")</f>
        <v>14</v>
      </c>
      <c r="Z112" s="36">
        <f>IFERROR(IF(X112="","",X112*0.01788),"")</f>
        <v>0.25031999999999999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46.810400000000001</v>
      </c>
      <c r="BN112" s="67">
        <f>IFERROR(Y112*I112,"0")</f>
        <v>46.810400000000001</v>
      </c>
      <c r="BO112" s="67">
        <f>IFERROR(X112/J112,"0")</f>
        <v>0.2</v>
      </c>
      <c r="BP112" s="67">
        <f>IFERROR(Y112/J112,"0")</f>
        <v>0.2</v>
      </c>
    </row>
    <row r="113" spans="1:68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70">
        <f>IFERROR(SUM(X112:X112),"0")</f>
        <v>14</v>
      </c>
      <c r="Y113" s="270">
        <f>IFERROR(SUM(Y112:Y112),"0")</f>
        <v>14</v>
      </c>
      <c r="Z113" s="270">
        <f>IFERROR(IF(Z112="",0,Z112),"0")</f>
        <v>0.25031999999999999</v>
      </c>
      <c r="AA113" s="271"/>
      <c r="AB113" s="271"/>
      <c r="AC113" s="271"/>
    </row>
    <row r="114" spans="1:68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70">
        <f>IFERROR(SUMPRODUCT(X112:X112*H112:H112),"0")</f>
        <v>36.96</v>
      </c>
      <c r="Y114" s="270">
        <f>IFERROR(SUMPRODUCT(Y112:Y112*H112:H112),"0")</f>
        <v>36.96</v>
      </c>
      <c r="Z114" s="37"/>
      <c r="AA114" s="271"/>
      <c r="AB114" s="271"/>
      <c r="AC114" s="271"/>
    </row>
    <row r="115" spans="1:68" ht="14.25" hidden="1" customHeight="1" x14ac:dyDescent="0.25">
      <c r="A115" s="291" t="s">
        <v>189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193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68">
        <v>126</v>
      </c>
      <c r="Y121" s="269">
        <f>IFERROR(IF(X121="","",X121),"")</f>
        <v>126</v>
      </c>
      <c r="Z121" s="36">
        <f>IFERROR(IF(X121="","",X121*0.01788),"")</f>
        <v>2.2528800000000002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466.65359999999998</v>
      </c>
      <c r="BN121" s="67">
        <f>IFERROR(Y121*I121,"0")</f>
        <v>466.65359999999998</v>
      </c>
      <c r="BO121" s="67">
        <f>IFERROR(X121/J121,"0")</f>
        <v>1.8</v>
      </c>
      <c r="BP121" s="67">
        <f>IFERROR(Y121/J121,"0")</f>
        <v>1.8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69</v>
      </c>
      <c r="X122" s="268">
        <v>196</v>
      </c>
      <c r="Y122" s="269">
        <f>IFERROR(IF(X122="","",X122),"")</f>
        <v>196</v>
      </c>
      <c r="Z122" s="36">
        <f>IFERROR(IF(X122="","",X122*0.01788),"")</f>
        <v>3.50448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725.90559999999994</v>
      </c>
      <c r="BN122" s="67">
        <f>IFERROR(Y122*I122,"0")</f>
        <v>725.90559999999994</v>
      </c>
      <c r="BO122" s="67">
        <f>IFERROR(X122/J122,"0")</f>
        <v>2.8</v>
      </c>
      <c r="BP122" s="67">
        <f>IFERROR(Y122/J122,"0")</f>
        <v>2.8</v>
      </c>
    </row>
    <row r="123" spans="1:68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70">
        <f>IFERROR(SUM(X121:X122),"0")</f>
        <v>322</v>
      </c>
      <c r="Y123" s="270">
        <f>IFERROR(SUM(Y121:Y122),"0")</f>
        <v>322</v>
      </c>
      <c r="Z123" s="270">
        <f>IFERROR(IF(Z121="",0,Z121),"0")+IFERROR(IF(Z122="",0,Z122),"0")</f>
        <v>5.7573600000000003</v>
      </c>
      <c r="AA123" s="271"/>
      <c r="AB123" s="271"/>
      <c r="AC123" s="271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70">
        <f>IFERROR(SUMPRODUCT(X121:X122*H121:H122),"0")</f>
        <v>966</v>
      </c>
      <c r="Y124" s="270">
        <f>IFERROR(SUMPRODUCT(Y121:Y122*H121:H122),"0")</f>
        <v>966</v>
      </c>
      <c r="Z124" s="37"/>
      <c r="AA124" s="271"/>
      <c r="AB124" s="271"/>
      <c r="AC124" s="271"/>
    </row>
    <row r="125" spans="1:68" ht="16.5" hidden="1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69</v>
      </c>
      <c r="X127" s="268">
        <v>42</v>
      </c>
      <c r="Y127" s="269">
        <f>IFERROR(IF(X127="","",X127),"")</f>
        <v>42</v>
      </c>
      <c r="Z127" s="36">
        <f>IFERROR(IF(X127="","",X127*0.01788),"")</f>
        <v>0.75095999999999996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157.416</v>
      </c>
      <c r="BN127" s="67">
        <f>IFERROR(Y127*I127,"0")</f>
        <v>157.416</v>
      </c>
      <c r="BO127" s="67">
        <f>IFERROR(X127/J127,"0")</f>
        <v>0.6</v>
      </c>
      <c r="BP127" s="67">
        <f>IFERROR(Y127/J127,"0")</f>
        <v>0.6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69</v>
      </c>
      <c r="X128" s="268">
        <v>98</v>
      </c>
      <c r="Y128" s="269">
        <f>IFERROR(IF(X128="","",X128),"")</f>
        <v>98</v>
      </c>
      <c r="Z128" s="36">
        <f>IFERROR(IF(X128="","",X128*0.01788),"")</f>
        <v>1.75224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362.95279999999997</v>
      </c>
      <c r="BN128" s="67">
        <f>IFERROR(Y128*I128,"0")</f>
        <v>362.95279999999997</v>
      </c>
      <c r="BO128" s="67">
        <f>IFERROR(X128/J128,"0")</f>
        <v>1.4</v>
      </c>
      <c r="BP128" s="67">
        <f>IFERROR(Y128/J128,"0")</f>
        <v>1.4</v>
      </c>
    </row>
    <row r="129" spans="1:68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70">
        <f>IFERROR(SUM(X127:X128),"0")</f>
        <v>140</v>
      </c>
      <c r="Y129" s="270">
        <f>IFERROR(SUM(Y127:Y128),"0")</f>
        <v>140</v>
      </c>
      <c r="Z129" s="270">
        <f>IFERROR(IF(Z127="",0,Z127),"0")+IFERROR(IF(Z128="",0,Z128),"0")</f>
        <v>2.5032000000000001</v>
      </c>
      <c r="AA129" s="271"/>
      <c r="AB129" s="271"/>
      <c r="AC129" s="271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70">
        <f>IFERROR(SUMPRODUCT(X127:X128*H127:H128),"0")</f>
        <v>420</v>
      </c>
      <c r="Y130" s="270">
        <f>IFERROR(SUMPRODUCT(Y127:Y128*H127:H128),"0")</f>
        <v>420</v>
      </c>
      <c r="Z130" s="37"/>
      <c r="AA130" s="271"/>
      <c r="AB130" s="271"/>
      <c r="AC130" s="271"/>
    </row>
    <row r="131" spans="1:68" ht="16.5" hidden="1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187.60000000000002</v>
      </c>
      <c r="BN134" s="67">
        <f>IFERROR(Y134*I134,"0")</f>
        <v>187.60000000000002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1.5019200000000001</v>
      </c>
      <c r="AA135" s="271"/>
      <c r="AB135" s="271"/>
      <c r="AC135" s="271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70">
        <f>IFERROR(SUMPRODUCT(X133:X134*H133:H134),"0")</f>
        <v>201.6</v>
      </c>
      <c r="Y136" s="270">
        <f>IFERROR(SUMPRODUCT(Y133:Y134*H133:H134),"0")</f>
        <v>201.6</v>
      </c>
      <c r="Z136" s="37"/>
      <c r="AA136" s="271"/>
      <c r="AB136" s="271"/>
      <c r="AC136" s="271"/>
    </row>
    <row r="137" spans="1:68" ht="16.5" hidden="1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hidden="1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hidden="1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hidden="1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189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80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69</v>
      </c>
      <c r="X149" s="268">
        <v>24</v>
      </c>
      <c r="Y149" s="269">
        <f>IFERROR(IF(X149="","",X149),"")</f>
        <v>24</v>
      </c>
      <c r="Z149" s="36">
        <f>IFERROR(IF(X149="","",X149*0.01157),"")</f>
        <v>0.27768000000000004</v>
      </c>
      <c r="AA149" s="56"/>
      <c r="AB149" s="57"/>
      <c r="AC149" s="166" t="s">
        <v>224</v>
      </c>
      <c r="AG149" s="67"/>
      <c r="AJ149" s="71" t="s">
        <v>82</v>
      </c>
      <c r="AK149" s="71">
        <v>6</v>
      </c>
      <c r="BB149" s="167" t="s">
        <v>83</v>
      </c>
      <c r="BM149" s="67">
        <f>IFERROR(X149*I149,"0")</f>
        <v>50.88</v>
      </c>
      <c r="BN149" s="67">
        <f>IFERROR(Y149*I149,"0")</f>
        <v>50.88</v>
      </c>
      <c r="BO149" s="67">
        <f>IFERROR(X149/J149,"0")</f>
        <v>0.33333333333333331</v>
      </c>
      <c r="BP149" s="67">
        <f>IFERROR(Y149/J149,"0")</f>
        <v>0.33333333333333331</v>
      </c>
    </row>
    <row r="150" spans="1:68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70">
        <f>IFERROR(SUM(X149:X149),"0")</f>
        <v>24</v>
      </c>
      <c r="Y150" s="270">
        <f>IFERROR(SUM(Y149:Y149),"0")</f>
        <v>24</v>
      </c>
      <c r="Z150" s="270">
        <f>IFERROR(IF(Z149="",0,Z149),"0")</f>
        <v>0.27768000000000004</v>
      </c>
      <c r="AA150" s="271"/>
      <c r="AB150" s="271"/>
      <c r="AC150" s="271"/>
    </row>
    <row r="151" spans="1:68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70">
        <f>IFERROR(SUMPRODUCT(X149:X149*H149:H149),"0")</f>
        <v>38.400000000000006</v>
      </c>
      <c r="Y151" s="270">
        <f>IFERROR(SUMPRODUCT(Y149:Y149*H149:H149),"0")</f>
        <v>38.400000000000006</v>
      </c>
      <c r="Z151" s="37"/>
      <c r="AA151" s="271"/>
      <c r="AB151" s="271"/>
      <c r="AC151" s="271"/>
    </row>
    <row r="152" spans="1:68" ht="16.5" hidden="1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69</v>
      </c>
      <c r="X154" s="268">
        <v>42</v>
      </c>
      <c r="Y154" s="269">
        <f>IFERROR(IF(X154="","",X154),"")</f>
        <v>42</v>
      </c>
      <c r="Z154" s="36">
        <f>IFERROR(IF(X154="","",X154*0.00941),"")</f>
        <v>0.39522000000000002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88.275599999999997</v>
      </c>
      <c r="BN154" s="67">
        <f>IFERROR(Y154*I154,"0")</f>
        <v>88.275599999999997</v>
      </c>
      <c r="BO154" s="67">
        <f>IFERROR(X154/J154,"0")</f>
        <v>0.3</v>
      </c>
      <c r="BP154" s="67">
        <f>IFERROR(Y154/J154,"0")</f>
        <v>0.3</v>
      </c>
    </row>
    <row r="155" spans="1:68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70">
        <f>IFERROR(SUM(X154:X154),"0")</f>
        <v>42</v>
      </c>
      <c r="Y155" s="270">
        <f>IFERROR(SUM(Y154:Y154),"0")</f>
        <v>42</v>
      </c>
      <c r="Z155" s="270">
        <f>IFERROR(IF(Z154="",0,Z154),"0")</f>
        <v>0.39522000000000002</v>
      </c>
      <c r="AA155" s="271"/>
      <c r="AB155" s="271"/>
      <c r="AC155" s="271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70">
        <f>IFERROR(SUMPRODUCT(X154:X154*H154:H154),"0")</f>
        <v>70.56</v>
      </c>
      <c r="Y156" s="270">
        <f>IFERROR(SUMPRODUCT(Y154:Y154*H154:H154),"0")</f>
        <v>70.56</v>
      </c>
      <c r="Z156" s="37"/>
      <c r="AA156" s="271"/>
      <c r="AB156" s="271"/>
      <c r="AC156" s="271"/>
    </row>
    <row r="157" spans="1:68" ht="27.75" hidden="1" customHeight="1" x14ac:dyDescent="0.2">
      <c r="A157" s="319" t="s">
        <v>229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69</v>
      </c>
      <c r="X161" s="268">
        <v>72</v>
      </c>
      <c r="Y161" s="269">
        <f>IFERROR(IF(X161="","",X161),"")</f>
        <v>72</v>
      </c>
      <c r="Z161" s="36">
        <f>IFERROR(IF(X161="","",X161*0.00866),"")</f>
        <v>0.62351999999999996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375.35039999999998</v>
      </c>
      <c r="BN161" s="67">
        <f>IFERROR(Y161*I161,"0")</f>
        <v>375.35039999999998</v>
      </c>
      <c r="BO161" s="67">
        <f>IFERROR(X161/J161,"0")</f>
        <v>0.5</v>
      </c>
      <c r="BP161" s="67">
        <f>IFERROR(Y161/J161,"0")</f>
        <v>0.5</v>
      </c>
    </row>
    <row r="162" spans="1:68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70">
        <f>IFERROR(SUM(X160:X161),"0")</f>
        <v>72</v>
      </c>
      <c r="Y162" s="270">
        <f>IFERROR(SUM(Y160:Y161),"0")</f>
        <v>72</v>
      </c>
      <c r="Z162" s="270">
        <f>IFERROR(IF(Z160="",0,Z160),"0")+IFERROR(IF(Z161="",0,Z161),"0")</f>
        <v>0.62351999999999996</v>
      </c>
      <c r="AA162" s="271"/>
      <c r="AB162" s="271"/>
      <c r="AC162" s="271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70">
        <f>IFERROR(SUMPRODUCT(X160:X161*H160:H161),"0")</f>
        <v>360</v>
      </c>
      <c r="Y163" s="270">
        <f>IFERROR(SUMPRODUCT(Y160:Y161*H160:H161),"0")</f>
        <v>360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237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69</v>
      </c>
      <c r="X167" s="268">
        <v>84</v>
      </c>
      <c r="Y167" s="269">
        <f>IFERROR(IF(X167="","",X167),"")</f>
        <v>84</v>
      </c>
      <c r="Z167" s="36">
        <f>IFERROR(IF(X167="","",X167*0.01788),"")</f>
        <v>1.5019199999999999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284.59199999999998</v>
      </c>
      <c r="BN167" s="67">
        <f>IFERROR(Y167*I167,"0")</f>
        <v>284.59199999999998</v>
      </c>
      <c r="BO167" s="67">
        <f>IFERROR(X167/J167,"0")</f>
        <v>1.2</v>
      </c>
      <c r="BP167" s="67">
        <f>IFERROR(Y167/J167,"0")</f>
        <v>1.2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69</v>
      </c>
      <c r="X168" s="268">
        <v>126</v>
      </c>
      <c r="Y168" s="269">
        <f>IFERROR(IF(X168="","",X168),"")</f>
        <v>126</v>
      </c>
      <c r="Z168" s="36">
        <f>IFERROR(IF(X168="","",X168*0.01788),"")</f>
        <v>2.2528800000000002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426.88799999999998</v>
      </c>
      <c r="BN168" s="67">
        <f>IFERROR(Y168*I168,"0")</f>
        <v>426.88799999999998</v>
      </c>
      <c r="BO168" s="67">
        <f>IFERROR(X168/J168,"0")</f>
        <v>1.8</v>
      </c>
      <c r="BP168" s="67">
        <f>IFERROR(Y168/J168,"0")</f>
        <v>1.8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69</v>
      </c>
      <c r="X169" s="268">
        <v>28</v>
      </c>
      <c r="Y169" s="269">
        <f>IFERROR(IF(X169="","",X169),"")</f>
        <v>28</v>
      </c>
      <c r="Z169" s="36">
        <f>IFERROR(IF(X169="","",X169*0.01788),"")</f>
        <v>0.50063999999999997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104.608</v>
      </c>
      <c r="BN169" s="67">
        <f>IFERROR(Y169*I169,"0")</f>
        <v>104.608</v>
      </c>
      <c r="BO169" s="67">
        <f>IFERROR(X169/J169,"0")</f>
        <v>0.4</v>
      </c>
      <c r="BP169" s="67">
        <f>IFERROR(Y169/J169,"0")</f>
        <v>0.4</v>
      </c>
    </row>
    <row r="170" spans="1:68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70">
        <f>IFERROR(SUM(X167:X169),"0")</f>
        <v>238</v>
      </c>
      <c r="Y170" s="270">
        <f>IFERROR(SUM(Y167:Y169),"0")</f>
        <v>238</v>
      </c>
      <c r="Z170" s="270">
        <f>IFERROR(IF(Z167="",0,Z167),"0")+IFERROR(IF(Z168="",0,Z168),"0")+IFERROR(IF(Z169="",0,Z169),"0")</f>
        <v>4.2554400000000001</v>
      </c>
      <c r="AA170" s="271"/>
      <c r="AB170" s="271"/>
      <c r="AC170" s="271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70">
        <f>IFERROR(SUMPRODUCT(X167:X169*H167:H169),"0")</f>
        <v>714</v>
      </c>
      <c r="Y171" s="270">
        <f>IFERROR(SUMPRODUCT(Y167:Y169*H167:H169),"0")</f>
        <v>714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8" t="s">
        <v>253</v>
      </c>
      <c r="Q173" s="286"/>
      <c r="R173" s="286"/>
      <c r="S173" s="286"/>
      <c r="T173" s="287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256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86"/>
      <c r="R184" s="286"/>
      <c r="S184" s="286"/>
      <c r="T184" s="287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69</v>
      </c>
      <c r="X185" s="268">
        <v>14</v>
      </c>
      <c r="Y185" s="269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70">
        <f>IFERROR(SUM(X183:X186),"0")</f>
        <v>14</v>
      </c>
      <c r="Y187" s="270">
        <f>IFERROR(SUM(Y183:Y186),"0")</f>
        <v>14</v>
      </c>
      <c r="Z187" s="270">
        <f>IFERROR(IF(Z183="",0,Z183),"0")+IFERROR(IF(Z184="",0,Z184),"0")+IFERROR(IF(Z185="",0,Z185),"0")+IFERROR(IF(Z186="",0,Z186),"0")</f>
        <v>0.25031999999999999</v>
      </c>
      <c r="AA187" s="271"/>
      <c r="AB187" s="271"/>
      <c r="AC187" s="271"/>
    </row>
    <row r="188" spans="1:68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70">
        <f>IFERROR(SUMPRODUCT(X183:X186*H183:H186),"0")</f>
        <v>33.6</v>
      </c>
      <c r="Y188" s="270">
        <f>IFERROR(SUMPRODUCT(Y183:Y186*H183:H186),"0")</f>
        <v>33.6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4301071110</v>
      </c>
      <c r="D191" s="281">
        <v>4607111035103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4301071108</v>
      </c>
      <c r="D192" s="281">
        <v>4607111035912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69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IFERROR(SUM(X191:X195),"0")</f>
        <v>24</v>
      </c>
      <c r="Y196" s="270">
        <f>IFERROR(SUM(Y191:Y195),"0")</f>
        <v>24</v>
      </c>
      <c r="Z196" s="270">
        <f>IFERROR(IF(Z191="",0,Z191),"0")+IFERROR(IF(Z192="",0,Z192),"0")+IFERROR(IF(Z193="",0,Z193),"0")+IFERROR(IF(Z194="",0,Z194),"0")+IFERROR(IF(Z195="",0,Z195),"0")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IFERROR(SUMPRODUCT(X191:X195*H191:H195),"0")</f>
        <v>172.8</v>
      </c>
      <c r="Y197" s="270">
        <f>IFERROR(SUMPRODUCT(Y191:Y195*H191:H195),"0")</f>
        <v>172.8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68">
        <v>108</v>
      </c>
      <c r="Y200" s="269">
        <f>IFERROR(IF(X200="","",X200),"")</f>
        <v>108</v>
      </c>
      <c r="Z200" s="36">
        <f>IFERROR(IF(X200="","",X200*0.0155),"")</f>
        <v>1.6739999999999999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564.84</v>
      </c>
      <c r="BN200" s="67">
        <f>IFERROR(Y200*I200,"0")</f>
        <v>564.84</v>
      </c>
      <c r="BO200" s="67">
        <f>IFERROR(X200/J200,"0")</f>
        <v>1.2857142857142858</v>
      </c>
      <c r="BP200" s="67">
        <f>IFERROR(Y200/J200,"0")</f>
        <v>1.2857142857142858</v>
      </c>
    </row>
    <row r="201" spans="1:68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108</v>
      </c>
      <c r="Y201" s="270">
        <f>IFERROR(SUM(Y200:Y200),"0")</f>
        <v>108</v>
      </c>
      <c r="Z201" s="270">
        <f>IFERROR(IF(Z200="",0,Z200),"0")</f>
        <v>1.6739999999999999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540</v>
      </c>
      <c r="Y202" s="270">
        <f>IFERROR(SUMPRODUCT(Y200:Y200*H200:H200),"0")</f>
        <v>540</v>
      </c>
      <c r="Z202" s="37"/>
      <c r="AA202" s="271"/>
      <c r="AB202" s="271"/>
      <c r="AC202" s="271"/>
    </row>
    <row r="203" spans="1:68" ht="16.5" hidden="1" customHeight="1" x14ac:dyDescent="0.25">
      <c r="A203" s="279" t="s">
        <v>289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290</v>
      </c>
      <c r="B205" s="54" t="s">
        <v>291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69</v>
      </c>
      <c r="X209" s="268">
        <v>28</v>
      </c>
      <c r="Y209" s="269">
        <f>IFERROR(IF(X209="","",X209),"")</f>
        <v>28</v>
      </c>
      <c r="Z209" s="36">
        <f>IFERROR(IF(X209="","",X209*0.01788),"")</f>
        <v>0.50063999999999997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86.900800000000004</v>
      </c>
      <c r="BN209" s="67">
        <f>IFERROR(Y209*I209,"0")</f>
        <v>86.900800000000004</v>
      </c>
      <c r="BO209" s="67">
        <f>IFERROR(X209/J209,"0")</f>
        <v>0.4</v>
      </c>
      <c r="BP209" s="67">
        <f>IFERROR(Y209/J209,"0")</f>
        <v>0.4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298</v>
      </c>
      <c r="B211" s="54" t="s">
        <v>299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28</v>
      </c>
      <c r="Y212" s="270">
        <f>IFERROR(SUM(Y209:Y211),"0")</f>
        <v>28</v>
      </c>
      <c r="Z212" s="270">
        <f>IFERROR(IF(Z209="",0,Z209),"0")+IFERROR(IF(Z210="",0,Z210),"0")+IFERROR(IF(Z211="",0,Z211),"0")</f>
        <v>0.50063999999999997</v>
      </c>
      <c r="AA212" s="271"/>
      <c r="AB212" s="271"/>
      <c r="AC212" s="271"/>
    </row>
    <row r="213" spans="1:68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67.2</v>
      </c>
      <c r="Y213" s="270">
        <f>IFERROR(SUMPRODUCT(Y209:Y211*H209:H211),"0")</f>
        <v>67.2</v>
      </c>
      <c r="Z213" s="37"/>
      <c r="AA213" s="271"/>
      <c r="AB213" s="271"/>
      <c r="AC213" s="271"/>
    </row>
    <row r="214" spans="1:68" ht="16.5" hidden="1" customHeight="1" x14ac:dyDescent="0.25">
      <c r="A214" s="279" t="s">
        <v>300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301</v>
      </c>
      <c r="B216" s="54" t="s">
        <v>302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304</v>
      </c>
      <c r="B217" s="54" t="s">
        <v>305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306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307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308</v>
      </c>
      <c r="B223" s="54" t="s">
        <v>309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311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312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hidden="1" customHeight="1" x14ac:dyDescent="0.25">
      <c r="A229" s="54" t="s">
        <v>313</v>
      </c>
      <c r="B229" s="54" t="s">
        <v>314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315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316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317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318</v>
      </c>
      <c r="B235" s="54" t="s">
        <v>319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321</v>
      </c>
      <c r="B239" s="54" t="s">
        <v>322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323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324</v>
      </c>
      <c r="B245" s="54" t="s">
        <v>325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329</v>
      </c>
      <c r="B247" s="54" t="s">
        <v>330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91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69</v>
      </c>
      <c r="X251" s="268">
        <v>72</v>
      </c>
      <c r="Y251" s="269">
        <f>IFERROR(IF(X251="","",X251),"")</f>
        <v>72</v>
      </c>
      <c r="Z251" s="36">
        <f>IFERROR(IF(X251="","",X251*0.0155),"")</f>
        <v>1.1160000000000001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450.71999999999997</v>
      </c>
      <c r="BN251" s="67">
        <f>IFERROR(Y251*I251,"0")</f>
        <v>450.71999999999997</v>
      </c>
      <c r="BO251" s="67">
        <f>IFERROR(X251/J251,"0")</f>
        <v>0.8571428571428571</v>
      </c>
      <c r="BP251" s="67">
        <f>IFERROR(Y251/J251,"0")</f>
        <v>0.8571428571428571</v>
      </c>
    </row>
    <row r="252" spans="1:68" ht="27" hidden="1" customHeight="1" x14ac:dyDescent="0.25">
      <c r="A252" s="54" t="s">
        <v>335</v>
      </c>
      <c r="B252" s="54" t="s">
        <v>336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72</v>
      </c>
      <c r="Y253" s="270">
        <f>IFERROR(SUM(Y251:Y252),"0")</f>
        <v>72</v>
      </c>
      <c r="Z253" s="270">
        <f>IFERROR(IF(Z251="",0,Z251),"0")+IFERROR(IF(Z252="",0,Z252),"0")</f>
        <v>1.1160000000000001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432</v>
      </c>
      <c r="Y254" s="270">
        <f>IFERROR(SUMPRODUCT(Y251:Y252*H251:H252),"0")</f>
        <v>432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69</v>
      </c>
      <c r="X256" s="268">
        <v>98</v>
      </c>
      <c r="Y256" s="269">
        <f>IFERROR(IF(X256="","",X256),"")</f>
        <v>98</v>
      </c>
      <c r="Z256" s="36">
        <f>IFERROR(IF(X256="","",X256*0.00936),"")</f>
        <v>0.91727999999999998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283.27879999999999</v>
      </c>
      <c r="BN256" s="67">
        <f>IFERROR(Y256*I256,"0")</f>
        <v>283.27879999999999</v>
      </c>
      <c r="BO256" s="67">
        <f>IFERROR(X256/J256,"0")</f>
        <v>0.77777777777777779</v>
      </c>
      <c r="BP256" s="67">
        <f>IFERROR(Y256/J256,"0")</f>
        <v>0.77777777777777779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69</v>
      </c>
      <c r="X257" s="268">
        <v>132</v>
      </c>
      <c r="Y257" s="269">
        <f>IFERROR(IF(X257="","",X257),"")</f>
        <v>132</v>
      </c>
      <c r="Z257" s="36">
        <f>IFERROR(IF(X257="","",X257*0.0155),"")</f>
        <v>2.0459999999999998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691.0200000000001</v>
      </c>
      <c r="BN257" s="67">
        <f>IFERROR(Y257*I257,"0")</f>
        <v>691.0200000000001</v>
      </c>
      <c r="BO257" s="67">
        <f>IFERROR(X257/J257,"0")</f>
        <v>1.5714285714285714</v>
      </c>
      <c r="BP257" s="67">
        <f>IFERROR(Y257/J257,"0")</f>
        <v>1.5714285714285714</v>
      </c>
    </row>
    <row r="258" spans="1:68" ht="27" hidden="1" customHeight="1" x14ac:dyDescent="0.25">
      <c r="A258" s="54" t="s">
        <v>342</v>
      </c>
      <c r="B258" s="54" t="s">
        <v>343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230</v>
      </c>
      <c r="Y259" s="270">
        <f>IFERROR(SUM(Y256:Y258),"0")</f>
        <v>230</v>
      </c>
      <c r="Z259" s="270">
        <f>IFERROR(IF(Z256="",0,Z256),"0")+IFERROR(IF(Z257="",0,Z257),"0")+IFERROR(IF(Z258="",0,Z258),"0")</f>
        <v>2.9632799999999997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924.6</v>
      </c>
      <c r="Y260" s="270">
        <f>IFERROR(SUMPRODUCT(Y256:Y258*H256:H258),"0")</f>
        <v>924.6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344</v>
      </c>
      <c r="B262" s="54" t="s">
        <v>345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68">
        <v>126</v>
      </c>
      <c r="Y263" s="269">
        <f t="shared" si="12"/>
        <v>126</v>
      </c>
      <c r="Z263" s="36">
        <f>IFERROR(IF(X263="","",X263*0.00936),"")</f>
        <v>1.17936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490.392</v>
      </c>
      <c r="BN263" s="67">
        <f t="shared" si="14"/>
        <v>490.392</v>
      </c>
      <c r="BO263" s="67">
        <f t="shared" si="15"/>
        <v>1</v>
      </c>
      <c r="BP263" s="67">
        <f t="shared" si="16"/>
        <v>1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69</v>
      </c>
      <c r="X265" s="268">
        <v>42</v>
      </c>
      <c r="Y265" s="269">
        <f t="shared" si="12"/>
        <v>42</v>
      </c>
      <c r="Z265" s="36">
        <f t="shared" ref="Z265:Z270" si="17">IFERROR(IF(X265="","",X265*0.00936),"")</f>
        <v>0.39312000000000002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134.06400000000002</v>
      </c>
      <c r="BN265" s="67">
        <f t="shared" si="14"/>
        <v>134.06400000000002</v>
      </c>
      <c r="BO265" s="67">
        <f t="shared" si="15"/>
        <v>0.33333333333333331</v>
      </c>
      <c r="BP265" s="67">
        <f t="shared" si="16"/>
        <v>0.33333333333333331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69</v>
      </c>
      <c r="X266" s="268">
        <v>210</v>
      </c>
      <c r="Y266" s="269">
        <f t="shared" si="12"/>
        <v>210</v>
      </c>
      <c r="Z266" s="36">
        <f t="shared" si="17"/>
        <v>1.9656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817.31999999999994</v>
      </c>
      <c r="BN266" s="67">
        <f t="shared" si="14"/>
        <v>817.31999999999994</v>
      </c>
      <c r="BO266" s="67">
        <f t="shared" si="15"/>
        <v>1.6666666666666667</v>
      </c>
      <c r="BP266" s="67">
        <f t="shared" si="16"/>
        <v>1.6666666666666667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358</v>
      </c>
      <c r="B268" s="54" t="s">
        <v>359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390</v>
      </c>
      <c r="Y272" s="270">
        <f>IFERROR(SUM(Y262:Y271),"0")</f>
        <v>390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3.7240799999999998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1435.2</v>
      </c>
      <c r="Y273" s="270">
        <f>IFERROR(SUMPRODUCT(Y262:Y271*H262:H271),"0")</f>
        <v>1435.2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366</v>
      </c>
      <c r="Q274" s="317"/>
      <c r="R274" s="317"/>
      <c r="S274" s="317"/>
      <c r="T274" s="317"/>
      <c r="U274" s="317"/>
      <c r="V274" s="318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9739.9200000000019</v>
      </c>
      <c r="Y274" s="270">
        <f>IFERROR(Y24+Y31+Y38+Y46+Y51+Y55+Y60+Y66+Y72+Y77+Y83+Y93+Y99+Y110+Y114+Y118+Y124+Y130+Y136+Y141+Y146+Y151+Y156+Y163+Y171+Y175+Y181+Y188+Y197+Y202+Y207+Y213+Y219+Y225+Y231+Y237+Y241+Y249+Y254+Y260+Y273,"0")</f>
        <v>9739.9200000000019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367</v>
      </c>
      <c r="Q275" s="317"/>
      <c r="R275" s="317"/>
      <c r="S275" s="317"/>
      <c r="T275" s="317"/>
      <c r="U275" s="317"/>
      <c r="V275" s="318"/>
      <c r="W275" s="37" t="s">
        <v>73</v>
      </c>
      <c r="X275" s="270">
        <f>IFERROR(SUM(BM22:BM271),"0")</f>
        <v>10897.574000000001</v>
      </c>
      <c r="Y275" s="270">
        <f>IFERROR(SUM(BN22:BN271),"0")</f>
        <v>10897.574000000001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368</v>
      </c>
      <c r="Q276" s="317"/>
      <c r="R276" s="317"/>
      <c r="S276" s="317"/>
      <c r="T276" s="317"/>
      <c r="U276" s="317"/>
      <c r="V276" s="318"/>
      <c r="W276" s="37" t="s">
        <v>369</v>
      </c>
      <c r="X276" s="38">
        <f>ROUNDUP(SUM(BO22:BO271),0)</f>
        <v>32</v>
      </c>
      <c r="Y276" s="38">
        <f>ROUNDUP(SUM(BP22:BP271),0)</f>
        <v>32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370</v>
      </c>
      <c r="Q277" s="317"/>
      <c r="R277" s="317"/>
      <c r="S277" s="317"/>
      <c r="T277" s="317"/>
      <c r="U277" s="317"/>
      <c r="V277" s="318"/>
      <c r="W277" s="37" t="s">
        <v>73</v>
      </c>
      <c r="X277" s="270">
        <f>GrossWeightTotal+PalletQtyTotal*25</f>
        <v>11697.574000000001</v>
      </c>
      <c r="Y277" s="270">
        <f>GrossWeightTotalR+PalletQtyTotalR*25</f>
        <v>11697.574000000001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371</v>
      </c>
      <c r="Q278" s="317"/>
      <c r="R278" s="317"/>
      <c r="S278" s="317"/>
      <c r="T278" s="317"/>
      <c r="U278" s="317"/>
      <c r="V278" s="318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2722</v>
      </c>
      <c r="Y278" s="270">
        <f>IFERROR(Y23+Y30+Y37+Y45+Y50+Y54+Y59+Y65+Y71+Y76+Y82+Y92+Y98+Y109+Y113+Y117+Y123+Y129+Y135+Y140+Y145+Y150+Y155+Y162+Y170+Y174+Y180+Y187+Y196+Y201+Y206+Y212+Y218+Y224+Y230+Y236+Y240+Y248+Y253+Y259+Y272,"0")</f>
        <v>2722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372</v>
      </c>
      <c r="Q279" s="317"/>
      <c r="R279" s="317"/>
      <c r="S279" s="317"/>
      <c r="T279" s="317"/>
      <c r="U279" s="317"/>
      <c r="V279" s="318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39.155439999999992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2" t="s">
        <v>74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229</v>
      </c>
      <c r="V281" s="265" t="s">
        <v>237</v>
      </c>
      <c r="W281" s="272" t="s">
        <v>256</v>
      </c>
      <c r="X281" s="306"/>
      <c r="Y281" s="306"/>
      <c r="Z281" s="306"/>
      <c r="AA281" s="307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89" t="s">
        <v>375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193</v>
      </c>
      <c r="N282" s="266"/>
      <c r="O282" s="272" t="s">
        <v>201</v>
      </c>
      <c r="P282" s="272" t="s">
        <v>208</v>
      </c>
      <c r="Q282" s="272" t="s">
        <v>213</v>
      </c>
      <c r="R282" s="272" t="s">
        <v>217</v>
      </c>
      <c r="S282" s="272" t="s">
        <v>220</v>
      </c>
      <c r="T282" s="272" t="s">
        <v>225</v>
      </c>
      <c r="U282" s="272" t="s">
        <v>230</v>
      </c>
      <c r="V282" s="272" t="s">
        <v>238</v>
      </c>
      <c r="W282" s="272" t="s">
        <v>257</v>
      </c>
      <c r="X282" s="272" t="s">
        <v>273</v>
      </c>
      <c r="Y282" s="272" t="s">
        <v>285</v>
      </c>
      <c r="Z282" s="272" t="s">
        <v>289</v>
      </c>
      <c r="AA282" s="272" t="s">
        <v>300</v>
      </c>
      <c r="AB282" s="272" t="s">
        <v>307</v>
      </c>
      <c r="AC282" s="272" t="s">
        <v>312</v>
      </c>
      <c r="AD282" s="272" t="s">
        <v>316</v>
      </c>
      <c r="AE282" s="272" t="s">
        <v>323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273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660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685.43999999999994</v>
      </c>
      <c r="K284" s="46">
        <f>IFERROR(X96*H96,"0")+IFERROR(X97*H97,"0")</f>
        <v>393.12</v>
      </c>
      <c r="L284" s="46">
        <f>IFERROR(X102*H102,"0")+IFERROR(X103*H103,"0")+IFERROR(X104*H104,"0")+IFERROR(X105*H105,"0")+IFERROR(X106*H106,"0")+IFERROR(X107*H107,"0")+IFERROR(X108*H108,"0")+IFERROR(X112*H112,"0")+IFERROR(X116*H116,"0")</f>
        <v>876.96</v>
      </c>
      <c r="M284" s="46">
        <f>IFERROR(X121*H121,"0")+IFERROR(X122*H122,"0")</f>
        <v>966</v>
      </c>
      <c r="N284" s="266"/>
      <c r="O284" s="46">
        <f>IFERROR(X127*H127,"0")+IFERROR(X128*H128,"0")</f>
        <v>420</v>
      </c>
      <c r="P284" s="46">
        <f>IFERROR(X133*H133,"0")+IFERROR(X134*H134,"0")</f>
        <v>201.6</v>
      </c>
      <c r="Q284" s="46">
        <f>IFERROR(X139*H139,"0")</f>
        <v>0</v>
      </c>
      <c r="R284" s="46">
        <f>IFERROR(X144*H144,"0")</f>
        <v>0</v>
      </c>
      <c r="S284" s="46">
        <f>IFERROR(X149*H149,"0")</f>
        <v>38.400000000000006</v>
      </c>
      <c r="T284" s="46">
        <f>IFERROR(X154*H154,"0")</f>
        <v>70.56</v>
      </c>
      <c r="U284" s="46">
        <f>IFERROR(X160*H160,"0")+IFERROR(X161*H161,"0")</f>
        <v>360</v>
      </c>
      <c r="V284" s="46">
        <f>IFERROR(X167*H167,"0")+IFERROR(X168*H168,"0")+IFERROR(X169*H169,"0")+IFERROR(X173*H173,"0")</f>
        <v>714</v>
      </c>
      <c r="W284" s="46">
        <f>IFERROR(X179*H179,"0")+IFERROR(X183*H183,"0")+IFERROR(X184*H184,"0")+IFERROR(X185*H185,"0")+IFERROR(X186*H186,"0")</f>
        <v>72.240000000000009</v>
      </c>
      <c r="X284" s="46">
        <f>IFERROR(X191*H191,"0")+IFERROR(X192*H192,"0")+IFERROR(X193*H193,"0")+IFERROR(X194*H194,"0")+IFERROR(X195*H195,"0")</f>
        <v>172.8</v>
      </c>
      <c r="Y284" s="46">
        <f>IFERROR(X200*H200,"0")</f>
        <v>540</v>
      </c>
      <c r="Z284" s="46">
        <f>IFERROR(X205*H205,"0")+IFERROR(X209*H209,"0")+IFERROR(X210*H210,"0")+IFERROR(X211*H211,"0")</f>
        <v>67.2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2791.8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2707.2000000000003</v>
      </c>
      <c r="B287" s="60">
        <f>SUMPRODUCT(--(BB:BB="ПГП"),--(W:W="кор"),H:H,Y:Y)+SUMPRODUCT(--(BB:BB="ПГП"),--(W:W="кг"),Y:Y)</f>
        <v>7032.72</v>
      </c>
      <c r="C287" s="60">
        <f>SUMPRODUCT(--(BB:BB="КИЗ"),--(W:W="кор"),H:H,Y:Y)+SUMPRODUCT(--(BB:BB="КИЗ"),--(W:W="кг"),Y:Y)</f>
        <v>0</v>
      </c>
    </row>
  </sheetData>
  <sheetProtection algorithmName="SHA-512" hashValue="gitIeHlrN076vuJTjxoJyPctkJ1e6z/8RGuxaNIQCbWeYwl0ZQ2p2a9zYo4SHEfvNA24W6huMf7nZqp1OvuT6w==" saltValue="i8Dlm78AM3bfeeJipC79L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35,20"/>
        <filter val="10 897,57"/>
        <filter val="108,00"/>
        <filter val="11 697,57"/>
        <filter val="12,00"/>
        <filter val="120,00"/>
        <filter val="126,00"/>
        <filter val="132,00"/>
        <filter val="134,40"/>
        <filter val="14,00"/>
        <filter val="140,00"/>
        <filter val="172,80"/>
        <filter val="182,00"/>
        <filter val="196,00"/>
        <filter val="2 722,00"/>
        <filter val="201,60"/>
        <filter val="210,00"/>
        <filter val="230,00"/>
        <filter val="238,00"/>
        <filter val="24,00"/>
        <filter val="252,00"/>
        <filter val="273,00"/>
        <filter val="28,00"/>
        <filter val="32"/>
        <filter val="322,00"/>
        <filter val="33,60"/>
        <filter val="36,96"/>
        <filter val="360,00"/>
        <filter val="38,40"/>
        <filter val="38,64"/>
        <filter val="390,00"/>
        <filter val="393,12"/>
        <filter val="42,00"/>
        <filter val="420,00"/>
        <filter val="432,00"/>
        <filter val="48,00"/>
        <filter val="50,40"/>
        <filter val="540,00"/>
        <filter val="56,00"/>
        <filter val="660,00"/>
        <filter val="67,20"/>
        <filter val="685,44"/>
        <filter val="70,00"/>
        <filter val="70,56"/>
        <filter val="714,00"/>
        <filter val="72,00"/>
        <filter val="84,00"/>
        <filter val="840,00"/>
        <filter val="9 739,92"/>
        <filter val="924,60"/>
        <filter val="966,00"/>
        <filter val="98,00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2 X116 X127 X133 X160 X173 X184 X186 X191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21 X128 X134 X139 X144 X149 X154 X161 X167:X169 X179 X183 X185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l09+Iayen5swmQe7PNjXFB2PwGbCcpm0cDtXuMThh6tigSdkp4dwR9V1pmbDeq+lC1hwdNo5CPOZaNdeesrGFw==" saltValue="3o2b6gYUsAQ6iTz81d7m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