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13D9FB-59D9-464E-A8DB-4566CACED9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Y453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Y324" i="1" s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Y312" i="1" s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X149" i="1"/>
  <c r="X148" i="1"/>
  <c r="BO147" i="1"/>
  <c r="BM147" i="1"/>
  <c r="Z147" i="1"/>
  <c r="Y147" i="1"/>
  <c r="P147" i="1"/>
  <c r="BO146" i="1"/>
  <c r="BM146" i="1"/>
  <c r="Y146" i="1"/>
  <c r="P146" i="1"/>
  <c r="BO145" i="1"/>
  <c r="BM145" i="1"/>
  <c r="Y145" i="1"/>
  <c r="Y149" i="1" s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F10" i="1" s="1"/>
  <c r="D7" i="1"/>
  <c r="Q6" i="1"/>
  <c r="P2" i="1"/>
  <c r="BP79" i="1" l="1"/>
  <c r="BN79" i="1"/>
  <c r="Z79" i="1"/>
  <c r="BP115" i="1"/>
  <c r="BN115" i="1"/>
  <c r="Z115" i="1"/>
  <c r="BP169" i="1"/>
  <c r="BN169" i="1"/>
  <c r="Z169" i="1"/>
  <c r="BP206" i="1"/>
  <c r="BN206" i="1"/>
  <c r="Z206" i="1"/>
  <c r="BP229" i="1"/>
  <c r="BN229" i="1"/>
  <c r="Z229" i="1"/>
  <c r="BP258" i="1"/>
  <c r="BN258" i="1"/>
  <c r="Z258" i="1"/>
  <c r="BP291" i="1"/>
  <c r="BN291" i="1"/>
  <c r="Z291" i="1"/>
  <c r="BP315" i="1"/>
  <c r="BN315" i="1"/>
  <c r="Z315" i="1"/>
  <c r="BP344" i="1"/>
  <c r="BN344" i="1"/>
  <c r="Z344" i="1"/>
  <c r="BP385" i="1"/>
  <c r="BN385" i="1"/>
  <c r="Z385" i="1"/>
  <c r="BP426" i="1"/>
  <c r="BN426" i="1"/>
  <c r="Z426" i="1"/>
  <c r="BP444" i="1"/>
  <c r="BN444" i="1"/>
  <c r="Z444" i="1"/>
  <c r="Z22" i="1"/>
  <c r="Z23" i="1" s="1"/>
  <c r="BN22" i="1"/>
  <c r="BP22" i="1"/>
  <c r="Z26" i="1"/>
  <c r="BN26" i="1"/>
  <c r="Y31" i="1"/>
  <c r="Z42" i="1"/>
  <c r="BN42" i="1"/>
  <c r="BP61" i="1"/>
  <c r="BN61" i="1"/>
  <c r="Z61" i="1"/>
  <c r="BP99" i="1"/>
  <c r="BN99" i="1"/>
  <c r="Z99" i="1"/>
  <c r="BP141" i="1"/>
  <c r="BN141" i="1"/>
  <c r="Z141" i="1"/>
  <c r="BP196" i="1"/>
  <c r="BN196" i="1"/>
  <c r="Z196" i="1"/>
  <c r="BP214" i="1"/>
  <c r="BN214" i="1"/>
  <c r="Z214" i="1"/>
  <c r="BP247" i="1"/>
  <c r="BN247" i="1"/>
  <c r="Z247" i="1"/>
  <c r="BP279" i="1"/>
  <c r="BN279" i="1"/>
  <c r="Z279" i="1"/>
  <c r="BP301" i="1"/>
  <c r="BN301" i="1"/>
  <c r="Z301" i="1"/>
  <c r="BP329" i="1"/>
  <c r="BN329" i="1"/>
  <c r="Z329" i="1"/>
  <c r="BP358" i="1"/>
  <c r="BN358" i="1"/>
  <c r="Z358" i="1"/>
  <c r="BP397" i="1"/>
  <c r="BN397" i="1"/>
  <c r="Z397" i="1"/>
  <c r="Y403" i="1"/>
  <c r="BP402" i="1"/>
  <c r="BN402" i="1"/>
  <c r="Z402" i="1"/>
  <c r="Z403" i="1" s="1"/>
  <c r="BP406" i="1"/>
  <c r="BN406" i="1"/>
  <c r="Z406" i="1"/>
  <c r="BP436" i="1"/>
  <c r="BN436" i="1"/>
  <c r="Z436" i="1"/>
  <c r="BP464" i="1"/>
  <c r="BN464" i="1"/>
  <c r="Z464" i="1"/>
  <c r="Z467" i="1" s="1"/>
  <c r="Y82" i="1"/>
  <c r="E498" i="1"/>
  <c r="Y104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84" i="1"/>
  <c r="BN284" i="1"/>
  <c r="Z284" i="1"/>
  <c r="BP289" i="1"/>
  <c r="BN289" i="1"/>
  <c r="Z289" i="1"/>
  <c r="BP299" i="1"/>
  <c r="BN299" i="1"/>
  <c r="Z299" i="1"/>
  <c r="BP309" i="1"/>
  <c r="BN309" i="1"/>
  <c r="Z309" i="1"/>
  <c r="Y331" i="1"/>
  <c r="BP327" i="1"/>
  <c r="BN327" i="1"/>
  <c r="Z327" i="1"/>
  <c r="BP342" i="1"/>
  <c r="BN342" i="1"/>
  <c r="Z342" i="1"/>
  <c r="Y354" i="1"/>
  <c r="BP352" i="1"/>
  <c r="BN352" i="1"/>
  <c r="Z352" i="1"/>
  <c r="Y379" i="1"/>
  <c r="BP377" i="1"/>
  <c r="BN377" i="1"/>
  <c r="Z377" i="1"/>
  <c r="BP391" i="1"/>
  <c r="BN391" i="1"/>
  <c r="Z391" i="1"/>
  <c r="BP424" i="1"/>
  <c r="BN424" i="1"/>
  <c r="Z424" i="1"/>
  <c r="Y438" i="1"/>
  <c r="BP434" i="1"/>
  <c r="BN434" i="1"/>
  <c r="Z434" i="1"/>
  <c r="Y437" i="1"/>
  <c r="X488" i="1"/>
  <c r="Y3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Y76" i="1"/>
  <c r="Z75" i="1"/>
  <c r="BN75" i="1"/>
  <c r="Y81" i="1"/>
  <c r="Z86" i="1"/>
  <c r="BN86" i="1"/>
  <c r="Y95" i="1"/>
  <c r="Z94" i="1"/>
  <c r="BN94" i="1"/>
  <c r="Z101" i="1"/>
  <c r="BN101" i="1"/>
  <c r="Y110" i="1"/>
  <c r="Z113" i="1"/>
  <c r="BN113" i="1"/>
  <c r="Z119" i="1"/>
  <c r="Z120" i="1" s="1"/>
  <c r="BN119" i="1"/>
  <c r="BP119" i="1"/>
  <c r="Y120" i="1"/>
  <c r="Z124" i="1"/>
  <c r="BN124" i="1"/>
  <c r="Y127" i="1"/>
  <c r="Z134" i="1"/>
  <c r="BN134" i="1"/>
  <c r="BP134" i="1"/>
  <c r="Y137" i="1"/>
  <c r="H498" i="1"/>
  <c r="Z145" i="1"/>
  <c r="BN145" i="1"/>
  <c r="BP145" i="1"/>
  <c r="Y148" i="1"/>
  <c r="BP147" i="1"/>
  <c r="BN147" i="1"/>
  <c r="I498" i="1"/>
  <c r="Y172" i="1"/>
  <c r="BP162" i="1"/>
  <c r="BN162" i="1"/>
  <c r="Z162" i="1"/>
  <c r="BP175" i="1"/>
  <c r="BN175" i="1"/>
  <c r="Z175" i="1"/>
  <c r="BP198" i="1"/>
  <c r="BN198" i="1"/>
  <c r="Z198" i="1"/>
  <c r="Y215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6" i="1"/>
  <c r="Y285" i="1"/>
  <c r="BP283" i="1"/>
  <c r="BN283" i="1"/>
  <c r="Z283" i="1"/>
  <c r="BP293" i="1"/>
  <c r="BN293" i="1"/>
  <c r="Z293" i="1"/>
  <c r="BP450" i="1"/>
  <c r="BN450" i="1"/>
  <c r="Z450" i="1"/>
  <c r="BP466" i="1"/>
  <c r="BN466" i="1"/>
  <c r="Z466" i="1"/>
  <c r="Y472" i="1"/>
  <c r="BP470" i="1"/>
  <c r="BN470" i="1"/>
  <c r="Z470" i="1"/>
  <c r="J498" i="1"/>
  <c r="Y193" i="1"/>
  <c r="Y203" i="1"/>
  <c r="Y216" i="1"/>
  <c r="Y221" i="1"/>
  <c r="K498" i="1"/>
  <c r="Y268" i="1"/>
  <c r="P498" i="1"/>
  <c r="Y294" i="1"/>
  <c r="BP303" i="1"/>
  <c r="BN303" i="1"/>
  <c r="Z303" i="1"/>
  <c r="BP321" i="1"/>
  <c r="BN321" i="1"/>
  <c r="Z321" i="1"/>
  <c r="BP334" i="1"/>
  <c r="BN334" i="1"/>
  <c r="Z334" i="1"/>
  <c r="BP346" i="1"/>
  <c r="BN346" i="1"/>
  <c r="Z346" i="1"/>
  <c r="Y364" i="1"/>
  <c r="Y363" i="1"/>
  <c r="BP362" i="1"/>
  <c r="BN362" i="1"/>
  <c r="Z362" i="1"/>
  <c r="Z363" i="1" s="1"/>
  <c r="BP367" i="1"/>
  <c r="BN367" i="1"/>
  <c r="Z367" i="1"/>
  <c r="BP387" i="1"/>
  <c r="BN387" i="1"/>
  <c r="Z387" i="1"/>
  <c r="X498" i="1"/>
  <c r="BP420" i="1"/>
  <c r="BN420" i="1"/>
  <c r="Z420" i="1"/>
  <c r="BP428" i="1"/>
  <c r="BN428" i="1"/>
  <c r="Z428" i="1"/>
  <c r="BP442" i="1"/>
  <c r="BN442" i="1"/>
  <c r="Z442" i="1"/>
  <c r="BP460" i="1"/>
  <c r="BN460" i="1"/>
  <c r="Z460" i="1"/>
  <c r="Y305" i="1"/>
  <c r="Y311" i="1"/>
  <c r="Y318" i="1"/>
  <c r="Y330" i="1"/>
  <c r="Y337" i="1"/>
  <c r="Y355" i="1"/>
  <c r="Y370" i="1"/>
  <c r="Y380" i="1"/>
  <c r="U498" i="1"/>
  <c r="V498" i="1"/>
  <c r="Y411" i="1"/>
  <c r="Y431" i="1"/>
  <c r="Y468" i="1"/>
  <c r="Y467" i="1"/>
  <c r="Y473" i="1"/>
  <c r="H9" i="1"/>
  <c r="A10" i="1"/>
  <c r="B498" i="1"/>
  <c r="X489" i="1"/>
  <c r="X490" i="1"/>
  <c r="X492" i="1"/>
  <c r="Y24" i="1"/>
  <c r="Z27" i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BN207" i="1"/>
  <c r="BP207" i="1"/>
  <c r="Z209" i="1"/>
  <c r="BN209" i="1"/>
  <c r="Z211" i="1"/>
  <c r="BN211" i="1"/>
  <c r="Z213" i="1"/>
  <c r="BN213" i="1"/>
  <c r="Z219" i="1"/>
  <c r="BN219" i="1"/>
  <c r="BP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BN246" i="1"/>
  <c r="BP248" i="1"/>
  <c r="BN248" i="1"/>
  <c r="Z248" i="1"/>
  <c r="BP257" i="1"/>
  <c r="BN257" i="1"/>
  <c r="Z257" i="1"/>
  <c r="F9" i="1"/>
  <c r="J9" i="1"/>
  <c r="Y89" i="1"/>
  <c r="Y142" i="1"/>
  <c r="Y159" i="1"/>
  <c r="Y187" i="1"/>
  <c r="Y234" i="1"/>
  <c r="Y250" i="1"/>
  <c r="BP255" i="1"/>
  <c r="BN255" i="1"/>
  <c r="Z255" i="1"/>
  <c r="Y259" i="1"/>
  <c r="L498" i="1"/>
  <c r="Y260" i="1"/>
  <c r="M498" i="1"/>
  <c r="Z264" i="1"/>
  <c r="BN264" i="1"/>
  <c r="BP264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Q498" i="1"/>
  <c r="Z290" i="1"/>
  <c r="BN290" i="1"/>
  <c r="BP290" i="1"/>
  <c r="Z292" i="1"/>
  <c r="BN292" i="1"/>
  <c r="Y295" i="1"/>
  <c r="Z298" i="1"/>
  <c r="BN298" i="1"/>
  <c r="BP298" i="1"/>
  <c r="Z300" i="1"/>
  <c r="BN300" i="1"/>
  <c r="Z302" i="1"/>
  <c r="BN302" i="1"/>
  <c r="Z308" i="1"/>
  <c r="BN308" i="1"/>
  <c r="BP308" i="1"/>
  <c r="Z310" i="1"/>
  <c r="BN310" i="1"/>
  <c r="Z314" i="1"/>
  <c r="BN314" i="1"/>
  <c r="BP314" i="1"/>
  <c r="Z316" i="1"/>
  <c r="BN316" i="1"/>
  <c r="Y317" i="1"/>
  <c r="Z320" i="1"/>
  <c r="BN320" i="1"/>
  <c r="BP320" i="1"/>
  <c r="Z322" i="1"/>
  <c r="BN322" i="1"/>
  <c r="Y325" i="1"/>
  <c r="Z328" i="1"/>
  <c r="BN328" i="1"/>
  <c r="BP328" i="1"/>
  <c r="R498" i="1"/>
  <c r="Z335" i="1"/>
  <c r="Z337" i="1" s="1"/>
  <c r="BN335" i="1"/>
  <c r="BP335" i="1"/>
  <c r="Y338" i="1"/>
  <c r="S498" i="1"/>
  <c r="Z343" i="1"/>
  <c r="BN343" i="1"/>
  <c r="Z345" i="1"/>
  <c r="BN345" i="1"/>
  <c r="Z347" i="1"/>
  <c r="BN347" i="1"/>
  <c r="Y350" i="1"/>
  <c r="Z353" i="1"/>
  <c r="BN353" i="1"/>
  <c r="BP353" i="1"/>
  <c r="Z357" i="1"/>
  <c r="Z359" i="1" s="1"/>
  <c r="BN357" i="1"/>
  <c r="BP357" i="1"/>
  <c r="Y360" i="1"/>
  <c r="T498" i="1"/>
  <c r="Z368" i="1"/>
  <c r="BN368" i="1"/>
  <c r="BP368" i="1"/>
  <c r="Y369" i="1"/>
  <c r="Z372" i="1"/>
  <c r="Z374" i="1" s="1"/>
  <c r="BN372" i="1"/>
  <c r="BP372" i="1"/>
  <c r="Y375" i="1"/>
  <c r="Z378" i="1"/>
  <c r="Z379" i="1" s="1"/>
  <c r="BN378" i="1"/>
  <c r="BP378" i="1"/>
  <c r="Z384" i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BN407" i="1"/>
  <c r="Z409" i="1"/>
  <c r="BN409" i="1"/>
  <c r="Y410" i="1"/>
  <c r="Z414" i="1"/>
  <c r="Z415" i="1" s="1"/>
  <c r="BN414" i="1"/>
  <c r="BP414" i="1"/>
  <c r="BP423" i="1"/>
  <c r="BN423" i="1"/>
  <c r="Z423" i="1"/>
  <c r="BP427" i="1"/>
  <c r="BN427" i="1"/>
  <c r="Z427" i="1"/>
  <c r="BP435" i="1"/>
  <c r="BN435" i="1"/>
  <c r="Z435" i="1"/>
  <c r="Z437" i="1" s="1"/>
  <c r="Y446" i="1"/>
  <c r="BP443" i="1"/>
  <c r="BN443" i="1"/>
  <c r="Z443" i="1"/>
  <c r="BP451" i="1"/>
  <c r="BN451" i="1"/>
  <c r="Z451" i="1"/>
  <c r="Y498" i="1"/>
  <c r="Y462" i="1"/>
  <c r="BP457" i="1"/>
  <c r="BN457" i="1"/>
  <c r="Z457" i="1"/>
  <c r="Y461" i="1"/>
  <c r="BP465" i="1"/>
  <c r="BN465" i="1"/>
  <c r="Z465" i="1"/>
  <c r="Y275" i="1"/>
  <c r="Y280" i="1"/>
  <c r="Y349" i="1"/>
  <c r="Y394" i="1"/>
  <c r="Z408" i="1"/>
  <c r="BN408" i="1"/>
  <c r="W498" i="1"/>
  <c r="Y416" i="1"/>
  <c r="BP421" i="1"/>
  <c r="BN421" i="1"/>
  <c r="Z421" i="1"/>
  <c r="BP425" i="1"/>
  <c r="BN425" i="1"/>
  <c r="Z425" i="1"/>
  <c r="BP429" i="1"/>
  <c r="BN429" i="1"/>
  <c r="Z429" i="1"/>
  <c r="BP441" i="1"/>
  <c r="BN441" i="1"/>
  <c r="Z441" i="1"/>
  <c r="BP445" i="1"/>
  <c r="BN445" i="1"/>
  <c r="Z445" i="1"/>
  <c r="Y447" i="1"/>
  <c r="Y452" i="1"/>
  <c r="BP449" i="1"/>
  <c r="BN449" i="1"/>
  <c r="Z449" i="1"/>
  <c r="Z452" i="1" s="1"/>
  <c r="BP459" i="1"/>
  <c r="BN459" i="1"/>
  <c r="Z459" i="1"/>
  <c r="Y432" i="1"/>
  <c r="Z471" i="1"/>
  <c r="Z472" i="1" s="1"/>
  <c r="BN471" i="1"/>
  <c r="BP471" i="1"/>
  <c r="Z475" i="1"/>
  <c r="Z476" i="1" s="1"/>
  <c r="BN475" i="1"/>
  <c r="BP475" i="1"/>
  <c r="Y476" i="1"/>
  <c r="Z479" i="1"/>
  <c r="BN479" i="1"/>
  <c r="BP479" i="1"/>
  <c r="Y482" i="1"/>
  <c r="Y487" i="1"/>
  <c r="Z480" i="1"/>
  <c r="BN480" i="1"/>
  <c r="Z485" i="1"/>
  <c r="Z486" i="1" s="1"/>
  <c r="BN485" i="1"/>
  <c r="BP485" i="1"/>
  <c r="Y486" i="1"/>
  <c r="Z369" i="1" l="1"/>
  <c r="Z330" i="1"/>
  <c r="Z304" i="1"/>
  <c r="Z259" i="1"/>
  <c r="Z250" i="1"/>
  <c r="Z220" i="1"/>
  <c r="Z192" i="1"/>
  <c r="Z177" i="1"/>
  <c r="Z171" i="1"/>
  <c r="Z126" i="1"/>
  <c r="Z95" i="1"/>
  <c r="Z88" i="1"/>
  <c r="Z31" i="1"/>
  <c r="Z354" i="1"/>
  <c r="Z461" i="1"/>
  <c r="Z410" i="1"/>
  <c r="Y490" i="1"/>
  <c r="Z446" i="1"/>
  <c r="Z431" i="1"/>
  <c r="Z393" i="1"/>
  <c r="Z349" i="1"/>
  <c r="Z311" i="1"/>
  <c r="Z294" i="1"/>
  <c r="Z274" i="1"/>
  <c r="Z267" i="1"/>
  <c r="Y489" i="1"/>
  <c r="Y491" i="1" s="1"/>
  <c r="Y492" i="1"/>
  <c r="Z215" i="1"/>
  <c r="Z103" i="1"/>
  <c r="Z57" i="1"/>
  <c r="Z285" i="1"/>
  <c r="X491" i="1"/>
  <c r="Z481" i="1"/>
  <c r="Z324" i="1"/>
  <c r="Z317" i="1"/>
  <c r="Z234" i="1"/>
  <c r="Z203" i="1"/>
  <c r="Z116" i="1"/>
  <c r="Z109" i="1"/>
  <c r="Z76" i="1"/>
  <c r="Z69" i="1"/>
  <c r="Z63" i="1"/>
  <c r="Z493" i="1" s="1"/>
  <c r="Y488" i="1"/>
</calcChain>
</file>

<file path=xl/sharedStrings.xml><?xml version="1.0" encoding="utf-8"?>
<sst xmlns="http://schemas.openxmlformats.org/spreadsheetml/2006/main" count="2269" uniqueCount="761">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</sst>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760</v>
      </c>
      <c r="I5" s="764"/>
      <c r="J5" s="764"/>
      <c r="K5" s="764"/>
      <c r="L5" s="764"/>
      <c r="M5" s="597"/>
      <c r="N5" s="58"/>
      <c r="P5" s="24" t="s">
        <v>10</v>
      </c>
      <c r="Q5" s="831">
        <v>45984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Воскресенье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0.375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208</v>
      </c>
      <c r="Y41" s="540">
        <f>IFERROR(IF(X41="",0,CEILING((X41/$H41),1)*$H41),"")</f>
        <v>208</v>
      </c>
      <c r="Z41" s="36">
        <f>IFERROR(IF(Y41=0,"",ROUNDUP(Y41/H41,0)*0.00902),"")</f>
        <v>0.46904000000000001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217.88000000000002</v>
      </c>
      <c r="BN41" s="64">
        <f>IFERROR(Y41*I41/H41,"0")</f>
        <v>217.88000000000002</v>
      </c>
      <c r="BO41" s="64">
        <f>IFERROR(1/J41*(X41/H41),"0")</f>
        <v>0.39393939393939392</v>
      </c>
      <c r="BP41" s="64">
        <f>IFERROR(1/J41*(Y41/H41),"0")</f>
        <v>0.39393939393939392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52</v>
      </c>
      <c r="Y43" s="541">
        <f>IFERROR(Y40/H40,"0")+IFERROR(Y41/H41,"0")+IFERROR(Y42/H42,"0")</f>
        <v>52</v>
      </c>
      <c r="Z43" s="541">
        <f>IFERROR(IF(Z40="",0,Z40),"0")+IFERROR(IF(Z41="",0,Z41),"0")+IFERROR(IF(Z42="",0,Z42),"0")</f>
        <v>0.46904000000000001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208</v>
      </c>
      <c r="Y44" s="541">
        <f>IFERROR(SUM(Y40:Y42),"0")</f>
        <v>208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240</v>
      </c>
      <c r="Y52" s="540">
        <f t="shared" si="0"/>
        <v>248.4</v>
      </c>
      <c r="Z52" s="36">
        <f>IFERROR(IF(Y52=0,"",ROUNDUP(Y52/H52,0)*0.01898),"")</f>
        <v>0.43653999999999998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249.11111111111111</v>
      </c>
      <c r="BN52" s="64">
        <f t="shared" si="2"/>
        <v>257.83</v>
      </c>
      <c r="BO52" s="64">
        <f t="shared" si="3"/>
        <v>0.34722222222222221</v>
      </c>
      <c r="BP52" s="64">
        <f t="shared" si="4"/>
        <v>0.359375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315</v>
      </c>
      <c r="Y56" s="540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92.222222222222229</v>
      </c>
      <c r="Y57" s="541">
        <f>IFERROR(Y51/H51,"0")+IFERROR(Y52/H52,"0")+IFERROR(Y53/H53,"0")+IFERROR(Y54/H54,"0")+IFERROR(Y55/H55,"0")+IFERROR(Y56/H56,"0")</f>
        <v>93</v>
      </c>
      <c r="Z57" s="541">
        <f>IFERROR(IF(Z51="",0,Z51),"0")+IFERROR(IF(Z52="",0,Z52),"0")+IFERROR(IF(Z53="",0,Z53),"0")+IFERROR(IF(Z54="",0,Z54),"0")+IFERROR(IF(Z55="",0,Z55),"0")+IFERROR(IF(Z56="",0,Z56),"0")</f>
        <v>1.0679399999999999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555</v>
      </c>
      <c r="Y58" s="541">
        <f>IFERROR(SUM(Y51:Y56),"0")</f>
        <v>563.4</v>
      </c>
      <c r="Z58" s="37"/>
      <c r="AA58" s="542"/>
      <c r="AB58" s="542"/>
      <c r="AC58" s="542"/>
    </row>
    <row r="59" spans="1:68" ht="14.25" hidden="1" customHeight="1" x14ac:dyDescent="0.25">
      <c r="A59" s="556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300</v>
      </c>
      <c r="Y60" s="540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135</v>
      </c>
      <c r="Y62" s="54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77.777777777777771</v>
      </c>
      <c r="Y63" s="541">
        <f>IFERROR(Y60/H60,"0")+IFERROR(Y61/H61,"0")+IFERROR(Y62/H62,"0")</f>
        <v>78</v>
      </c>
      <c r="Z63" s="541">
        <f>IFERROR(IF(Z60="",0,Z60),"0")+IFERROR(IF(Z61="",0,Z61),"0")+IFERROR(IF(Z62="",0,Z62),"0")</f>
        <v>0.85694000000000004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435</v>
      </c>
      <c r="Y64" s="541">
        <f>IFERROR(SUM(Y60:Y62),"0")</f>
        <v>437.40000000000003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10</v>
      </c>
      <c r="Y79" s="540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10.525641025641027</v>
      </c>
      <c r="BN79" s="64">
        <f>IFERROR(Y79*I79/H79,"0")</f>
        <v>16.420000000000002</v>
      </c>
      <c r="BO79" s="64">
        <f>IFERROR(1/J79*(X79/H79),"0")</f>
        <v>2.0032051282051284E-2</v>
      </c>
      <c r="BP79" s="64">
        <f>IFERROR(1/J79*(Y79/H79),"0")</f>
        <v>3.125E-2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1.2820512820512822</v>
      </c>
      <c r="Y81" s="541">
        <f>IFERROR(Y79/H79,"0")+IFERROR(Y80/H80,"0")</f>
        <v>2</v>
      </c>
      <c r="Z81" s="541">
        <f>IFERROR(IF(Z79="",0,Z79),"0")+IFERROR(IF(Z80="",0,Z80),"0")</f>
        <v>3.7960000000000001E-2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10</v>
      </c>
      <c r="Y82" s="541">
        <f>IFERROR(SUM(Y79:Y80),"0")</f>
        <v>15.6</v>
      </c>
      <c r="Z82" s="37"/>
      <c r="AA82" s="542"/>
      <c r="AB82" s="542"/>
      <c r="AC82" s="542"/>
    </row>
    <row r="83" spans="1:68" ht="16.5" hidden="1" customHeight="1" x14ac:dyDescent="0.25">
      <c r="A83" s="553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120</v>
      </c>
      <c r="Y85" s="540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405</v>
      </c>
      <c r="Y87" s="540">
        <f>IFERROR(IF(X87="",0,CEILING((X87/$H87),1)*$H87),"")</f>
        <v>405</v>
      </c>
      <c r="Z87" s="36">
        <f>IFERROR(IF(Y87=0,"",ROUNDUP(Y87/H87,0)*0.00902),"")</f>
        <v>0.81180000000000008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422.1</v>
      </c>
      <c r="BN87" s="64">
        <f>IFERROR(Y87*I87/H87,"0")</f>
        <v>422.1</v>
      </c>
      <c r="BO87" s="64">
        <f>IFERROR(1/J87*(X87/H87),"0")</f>
        <v>0.68181818181818188</v>
      </c>
      <c r="BP87" s="64">
        <f>IFERROR(1/J87*(Y87/H87),"0")</f>
        <v>0.68181818181818188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101.11111111111111</v>
      </c>
      <c r="Y88" s="541">
        <f>IFERROR(Y85/H85,"0")+IFERROR(Y86/H86,"0")+IFERROR(Y87/H87,"0")</f>
        <v>102</v>
      </c>
      <c r="Z88" s="541">
        <f>IFERROR(IF(Z85="",0,Z85),"0")+IFERROR(IF(Z86="",0,Z86),"0")+IFERROR(IF(Z87="",0,Z87),"0")</f>
        <v>1.03956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525</v>
      </c>
      <c r="Y89" s="541">
        <f>IFERROR(SUM(Y85:Y87),"0")</f>
        <v>534.6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260</v>
      </c>
      <c r="Y91" s="540">
        <f>IFERROR(IF(X91="",0,CEILING((X91/$H91),1)*$H91),"")</f>
        <v>267.3</v>
      </c>
      <c r="Z91" s="36">
        <f>IFERROR(IF(Y91=0,"",ROUNDUP(Y91/H91,0)*0.01898),"")</f>
        <v>0.62634000000000001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275.85679012345679</v>
      </c>
      <c r="BN91" s="64">
        <f>IFERROR(Y91*I91/H91,"0")</f>
        <v>283.60199999999998</v>
      </c>
      <c r="BO91" s="64">
        <f>IFERROR(1/J91*(X91/H91),"0")</f>
        <v>0.50154320987654322</v>
      </c>
      <c r="BP91" s="64">
        <f>IFERROR(1/J91*(Y91/H91),"0")</f>
        <v>0.515625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180</v>
      </c>
      <c r="Y93" s="540">
        <f>IFERROR(IF(X93="",0,CEILING((X93/$H93),1)*$H93),"")</f>
        <v>180.9</v>
      </c>
      <c r="Z93" s="36">
        <f>IFERROR(IF(Y93=0,"",ROUNDUP(Y93/H93,0)*0.00651),"")</f>
        <v>0.43617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196.79999999999998</v>
      </c>
      <c r="BN93" s="64">
        <f>IFERROR(Y93*I93/H93,"0")</f>
        <v>197.78399999999999</v>
      </c>
      <c r="BO93" s="64">
        <f>IFERROR(1/J93*(X93/H93),"0")</f>
        <v>0.36630036630036628</v>
      </c>
      <c r="BP93" s="64">
        <f>IFERROR(1/J93*(Y93/H93),"0")</f>
        <v>0.36813186813186816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98.765432098765416</v>
      </c>
      <c r="Y95" s="541">
        <f>IFERROR(Y91/H91,"0")+IFERROR(Y92/H92,"0")+IFERROR(Y93/H93,"0")+IFERROR(Y94/H94,"0")</f>
        <v>100</v>
      </c>
      <c r="Z95" s="541">
        <f>IFERROR(IF(Z91="",0,Z91),"0")+IFERROR(IF(Z92="",0,Z92),"0")+IFERROR(IF(Z93="",0,Z93),"0")+IFERROR(IF(Z94="",0,Z94),"0")</f>
        <v>1.0625100000000001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440</v>
      </c>
      <c r="Y96" s="541">
        <f>IFERROR(SUM(Y91:Y94),"0")</f>
        <v>448.20000000000005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405</v>
      </c>
      <c r="Y101" s="540">
        <f>IFERROR(IF(X101="",0,CEILING((X101/$H101),1)*$H101),"")</f>
        <v>405</v>
      </c>
      <c r="Z101" s="36">
        <f>IFERROR(IF(Y101=0,"",ROUNDUP(Y101/H101,0)*0.00902),"")</f>
        <v>0.81180000000000008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422.1</v>
      </c>
      <c r="BN101" s="64">
        <f>IFERROR(Y101*I101/H101,"0")</f>
        <v>422.1</v>
      </c>
      <c r="BO101" s="64">
        <f>IFERROR(1/J101*(X101/H101),"0")</f>
        <v>0.68181818181818188</v>
      </c>
      <c r="BP101" s="64">
        <f>IFERROR(1/J101*(Y101/H101),"0")</f>
        <v>0.68181818181818188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94.629629629629633</v>
      </c>
      <c r="Y103" s="541">
        <f>IFERROR(Y99/H99,"0")+IFERROR(Y100/H100,"0")+IFERROR(Y101/H101,"0")+IFERROR(Y102/H102,"0")</f>
        <v>95</v>
      </c>
      <c r="Z103" s="541">
        <f>IFERROR(IF(Z99="",0,Z99),"0")+IFERROR(IF(Z100="",0,Z100),"0")+IFERROR(IF(Z101="",0,Z101),"0")+IFERROR(IF(Z102="",0,Z102),"0")</f>
        <v>0.90670000000000006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455</v>
      </c>
      <c r="Y104" s="541">
        <f>IFERROR(SUM(Y99:Y102),"0")</f>
        <v>459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340</v>
      </c>
      <c r="Y112" s="540">
        <f>IFERROR(IF(X112="",0,CEILING((X112/$H112),1)*$H112),"")</f>
        <v>340.2</v>
      </c>
      <c r="Z112" s="36">
        <f>IFERROR(IF(Y112=0,"",ROUNDUP(Y112/H112,0)*0.01898),"")</f>
        <v>0.79715999999999998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360.48395061728394</v>
      </c>
      <c r="BN112" s="64">
        <f>IFERROR(Y112*I112/H112,"0")</f>
        <v>360.69599999999997</v>
      </c>
      <c r="BO112" s="64">
        <f>IFERROR(1/J112*(X112/H112),"0")</f>
        <v>0.65586419753086422</v>
      </c>
      <c r="BP112" s="64">
        <f>IFERROR(1/J112*(Y112/H112),"0")</f>
        <v>0.65625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15</v>
      </c>
      <c r="Y115" s="540">
        <f>IFERROR(IF(X115="",0,CEILING((X115/$H115),1)*$H115),"")</f>
        <v>16.2</v>
      </c>
      <c r="Z115" s="36">
        <f>IFERROR(IF(Y115=0,"",ROUNDUP(Y115/H115,0)*0.00651),"")</f>
        <v>5.8590000000000003E-2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16.5</v>
      </c>
      <c r="BN115" s="64">
        <f>IFERROR(Y115*I115/H115,"0")</f>
        <v>17.82</v>
      </c>
      <c r="BO115" s="64">
        <f>IFERROR(1/J115*(X115/H115),"0")</f>
        <v>4.5787545787545791E-2</v>
      </c>
      <c r="BP115" s="64">
        <f>IFERROR(1/J115*(Y115/H115),"0")</f>
        <v>4.9450549450549455E-2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183.64197530864197</v>
      </c>
      <c r="Y116" s="541">
        <f>IFERROR(Y112/H112,"0")+IFERROR(Y113/H113,"0")+IFERROR(Y114/H114,"0")+IFERROR(Y115/H115,"0")</f>
        <v>185</v>
      </c>
      <c r="Z116" s="541">
        <f>IFERROR(IF(Z112="",0,Z112),"0")+IFERROR(IF(Z113="",0,Z113),"0")+IFERROR(IF(Z114="",0,Z114),"0")+IFERROR(IF(Z115="",0,Z115),"0")</f>
        <v>1.7280899999999999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715</v>
      </c>
      <c r="Y117" s="541">
        <f>IFERROR(SUM(Y112:Y115),"0")</f>
        <v>718.2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26.4</v>
      </c>
      <c r="Y119" s="540">
        <f>IFERROR(IF(X119="",0,CEILING((X119/$H119),1)*$H119),"")</f>
        <v>27.72</v>
      </c>
      <c r="Z119" s="36">
        <f>IFERROR(IF(Y119=0,"",ROUNDUP(Y119/H119,0)*0.00651),"")</f>
        <v>9.1139999999999999E-2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29.84</v>
      </c>
      <c r="BN119" s="64">
        <f>IFERROR(Y119*I119/H119,"0")</f>
        <v>31.332000000000001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13.333333333333332</v>
      </c>
      <c r="Y120" s="541">
        <f>IFERROR(Y119/H119,"0")</f>
        <v>14</v>
      </c>
      <c r="Z120" s="541">
        <f>IFERROR(IF(Z119="",0,Z119),"0")</f>
        <v>9.1139999999999999E-2</v>
      </c>
      <c r="AA120" s="542"/>
      <c r="AB120" s="542"/>
      <c r="AC120" s="542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26.4</v>
      </c>
      <c r="Y121" s="541">
        <f>IFERROR(SUM(Y119:Y119),"0")</f>
        <v>27.72</v>
      </c>
      <c r="Z121" s="37"/>
      <c r="AA121" s="542"/>
      <c r="AB121" s="542"/>
      <c r="AC121" s="542"/>
    </row>
    <row r="122" spans="1:68" ht="16.5" hidden="1" customHeight="1" x14ac:dyDescent="0.25">
      <c r="A122" s="553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76</v>
      </c>
      <c r="Y124" s="540">
        <f>IFERROR(IF(X124="",0,CEILING((X124/$H124),1)*$H124),"")</f>
        <v>76.800000000000011</v>
      </c>
      <c r="Z124" s="36">
        <f>IFERROR(IF(Y124=0,"",ROUNDUP(Y124/H124,0)*0.00651),"")</f>
        <v>0.15623999999999999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80.274999999999991</v>
      </c>
      <c r="BN124" s="64">
        <f>IFERROR(Y124*I124/H124,"0")</f>
        <v>81.11999999999999</v>
      </c>
      <c r="BO124" s="64">
        <f>IFERROR(1/J124*(X124/H124),"0")</f>
        <v>0.1304945054945055</v>
      </c>
      <c r="BP124" s="64">
        <f>IFERROR(1/J124*(Y124/H124),"0")</f>
        <v>0.1318681318681319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23.75</v>
      </c>
      <c r="Y126" s="541">
        <f>IFERROR(Y124/H124,"0")+IFERROR(Y125/H125,"0")</f>
        <v>24.000000000000004</v>
      </c>
      <c r="Z126" s="541">
        <f>IFERROR(IF(Z124="",0,Z124),"0")+IFERROR(IF(Z125="",0,Z125),"0")</f>
        <v>0.15623999999999999</v>
      </c>
      <c r="AA126" s="542"/>
      <c r="AB126" s="542"/>
      <c r="AC126" s="542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76</v>
      </c>
      <c r="Y127" s="541">
        <f>IFERROR(SUM(Y124:Y125),"0")</f>
        <v>76.800000000000011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77</v>
      </c>
      <c r="Y130" s="540">
        <f>IFERROR(IF(X130="",0,CEILING((X130/$H130),1)*$H130),"")</f>
        <v>78.399999999999991</v>
      </c>
      <c r="Z130" s="36">
        <f>IFERROR(IF(Y130=0,"",ROUNDUP(Y130/H130,0)*0.00651),"")</f>
        <v>0.18228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84.370000000000019</v>
      </c>
      <c r="BN130" s="64">
        <f>IFERROR(Y130*I130/H130,"0")</f>
        <v>85.903999999999996</v>
      </c>
      <c r="BO130" s="64">
        <f>IFERROR(1/J130*(X130/H130),"0")</f>
        <v>0.15109890109890112</v>
      </c>
      <c r="BP130" s="64">
        <f>IFERROR(1/J130*(Y130/H130),"0")</f>
        <v>0.15384615384615385</v>
      </c>
    </row>
    <row r="131" spans="1:68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27.5</v>
      </c>
      <c r="Y131" s="541">
        <f>IFERROR(Y129/H129,"0")+IFERROR(Y130/H130,"0")</f>
        <v>28</v>
      </c>
      <c r="Z131" s="541">
        <f>IFERROR(IF(Z129="",0,Z129),"0")+IFERROR(IF(Z130="",0,Z130),"0")</f>
        <v>0.18228</v>
      </c>
      <c r="AA131" s="542"/>
      <c r="AB131" s="542"/>
      <c r="AC131" s="542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77</v>
      </c>
      <c r="Y132" s="541">
        <f>IFERROR(SUM(Y129:Y130),"0")</f>
        <v>78.399999999999991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79.2</v>
      </c>
      <c r="Y135" s="540">
        <f>IFERROR(IF(X135="",0,CEILING((X135/$H135),1)*$H135),"")</f>
        <v>79.2</v>
      </c>
      <c r="Z135" s="36">
        <f>IFERROR(IF(Y135=0,"",ROUNDUP(Y135/H135,0)*0.00651),"")</f>
        <v>0.1953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87.24</v>
      </c>
      <c r="BN135" s="64">
        <f>IFERROR(Y135*I135/H135,"0")</f>
        <v>87.24</v>
      </c>
      <c r="BO135" s="64">
        <f>IFERROR(1/J135*(X135/H135),"0")</f>
        <v>0.16483516483516486</v>
      </c>
      <c r="BP135" s="64">
        <f>IFERROR(1/J135*(Y135/H135),"0")</f>
        <v>0.16483516483516486</v>
      </c>
    </row>
    <row r="136" spans="1:68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30</v>
      </c>
      <c r="Y136" s="541">
        <f>IFERROR(Y134/H134,"0")+IFERROR(Y135/H135,"0")</f>
        <v>30</v>
      </c>
      <c r="Z136" s="541">
        <f>IFERROR(IF(Z134="",0,Z134),"0")+IFERROR(IF(Z135="",0,Z135),"0")</f>
        <v>0.1953</v>
      </c>
      <c r="AA136" s="542"/>
      <c r="AB136" s="542"/>
      <c r="AC136" s="542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79.2</v>
      </c>
      <c r="Y137" s="541">
        <f>IFERROR(SUM(Y134:Y135),"0")</f>
        <v>79.2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251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30</v>
      </c>
      <c r="Y161" s="540">
        <f t="shared" ref="Y161:Y170" si="5">IFERROR(IF(X161="",0,CEILING((X161/$H161),1)*$H161),"")</f>
        <v>33.6</v>
      </c>
      <c r="Z161" s="36">
        <f>IFERROR(IF(Y161=0,"",ROUNDUP(Y161/H161,0)*0.00902),"")</f>
        <v>7.2160000000000002E-2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31.785714285714285</v>
      </c>
      <c r="BN161" s="64">
        <f t="shared" ref="BN161:BN170" si="7">IFERROR(Y161*I161/H161,"0")</f>
        <v>35.6</v>
      </c>
      <c r="BO161" s="64">
        <f t="shared" ref="BO161:BO170" si="8">IFERROR(1/J161*(X161/H161),"0")</f>
        <v>5.4112554112554112E-2</v>
      </c>
      <c r="BP161" s="64">
        <f t="shared" ref="BP161:BP170" si="9">IFERROR(1/J161*(Y161/H161),"0")</f>
        <v>6.0606060606060608E-2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50</v>
      </c>
      <c r="Y162" s="540">
        <f t="shared" si="5"/>
        <v>50.400000000000006</v>
      </c>
      <c r="Z162" s="36">
        <f>IFERROR(IF(Y162=0,"",ROUNDUP(Y162/H162,0)*0.00902),"")</f>
        <v>0.10824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52.976190476190474</v>
      </c>
      <c r="BN162" s="64">
        <f t="shared" si="7"/>
        <v>53.400000000000006</v>
      </c>
      <c r="BO162" s="64">
        <f t="shared" si="8"/>
        <v>9.0187590187590191E-2</v>
      </c>
      <c r="BP162" s="64">
        <f t="shared" si="9"/>
        <v>9.0909090909090912E-2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150</v>
      </c>
      <c r="Y163" s="540">
        <f t="shared" si="5"/>
        <v>151.20000000000002</v>
      </c>
      <c r="Z163" s="36">
        <f>IFERROR(IF(Y163=0,"",ROUNDUP(Y163/H163,0)*0.00902),"")</f>
        <v>0.32472000000000001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156.78571428571428</v>
      </c>
      <c r="BN163" s="64">
        <f t="shared" si="7"/>
        <v>158.04</v>
      </c>
      <c r="BO163" s="64">
        <f t="shared" si="8"/>
        <v>0.27056277056277056</v>
      </c>
      <c r="BP163" s="64">
        <f t="shared" si="9"/>
        <v>0.27272727272727271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133</v>
      </c>
      <c r="Y164" s="540">
        <f t="shared" si="5"/>
        <v>134.4</v>
      </c>
      <c r="Z164" s="36">
        <f>IFERROR(IF(Y164=0,"",ROUNDUP(Y164/H164,0)*0.00502),"")</f>
        <v>0.32128000000000001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141.23333333333332</v>
      </c>
      <c r="BN164" s="64">
        <f t="shared" si="7"/>
        <v>142.72</v>
      </c>
      <c r="BO164" s="64">
        <f t="shared" si="8"/>
        <v>0.27065527065527067</v>
      </c>
      <c r="BP164" s="64">
        <f t="shared" si="9"/>
        <v>0.27350427350427353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140</v>
      </c>
      <c r="Y166" s="540">
        <f t="shared" si="5"/>
        <v>140.70000000000002</v>
      </c>
      <c r="Z166" s="36">
        <f>IFERROR(IF(Y166=0,"",ROUNDUP(Y166/H166,0)*0.00502),"")</f>
        <v>0.33634000000000003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148.66666666666666</v>
      </c>
      <c r="BN166" s="64">
        <f t="shared" si="7"/>
        <v>149.41</v>
      </c>
      <c r="BO166" s="64">
        <f t="shared" si="8"/>
        <v>0.28490028490028491</v>
      </c>
      <c r="BP166" s="64">
        <f t="shared" si="9"/>
        <v>0.28632478632478636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245</v>
      </c>
      <c r="Y168" s="540">
        <f t="shared" si="5"/>
        <v>245.70000000000002</v>
      </c>
      <c r="Z168" s="36">
        <f>IFERROR(IF(Y168=0,"",ROUNDUP(Y168/H168,0)*0.00502),"")</f>
        <v>0.58733999999999997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256.66666666666663</v>
      </c>
      <c r="BN168" s="64">
        <f t="shared" si="7"/>
        <v>257.40000000000003</v>
      </c>
      <c r="BO168" s="64">
        <f t="shared" si="8"/>
        <v>0.4985754985754986</v>
      </c>
      <c r="BP168" s="64">
        <f t="shared" si="9"/>
        <v>0.5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301.42857142857144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304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1.7500800000000001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748</v>
      </c>
      <c r="Y172" s="541">
        <f>IFERROR(SUM(Y161:Y170),"0")</f>
        <v>756.00000000000011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10.5</v>
      </c>
      <c r="Y176" s="540">
        <f>IFERROR(IF(X176="",0,CEILING((X176/$H176),1)*$H176),"")</f>
        <v>11.34</v>
      </c>
      <c r="Z176" s="36">
        <f>IFERROR(IF(Y176=0,"",ROUNDUP(Y176/H176,0)*0.0059),"")</f>
        <v>5.3100000000000001E-2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12.083333333333332</v>
      </c>
      <c r="BN176" s="64">
        <f>IFERROR(Y176*I176/H176,"0")</f>
        <v>13.049999999999999</v>
      </c>
      <c r="BO176" s="64">
        <f>IFERROR(1/J176*(X176/H176),"0")</f>
        <v>3.8580246913580245E-2</v>
      </c>
      <c r="BP176" s="64">
        <f>IFERROR(1/J176*(Y176/H176),"0")</f>
        <v>4.1666666666666664E-2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19.444444444444446</v>
      </c>
      <c r="Y177" s="541">
        <f>IFERROR(Y174/H174,"0")+IFERROR(Y175/H175,"0")+IFERROR(Y176/H176,"0")</f>
        <v>21</v>
      </c>
      <c r="Z177" s="541">
        <f>IFERROR(IF(Z174="",0,Z174),"0")+IFERROR(IF(Z175="",0,Z175),"0")+IFERROR(IF(Z176="",0,Z176),"0")</f>
        <v>0.12390000000000001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24.5</v>
      </c>
      <c r="Y178" s="541">
        <f>IFERROR(SUM(Y174:Y176),"0")</f>
        <v>26.46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7.0000000000000009</v>
      </c>
      <c r="Y180" s="540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5.5555555555555562</v>
      </c>
      <c r="Y181" s="541">
        <f>IFERROR(Y180/H180,"0")</f>
        <v>6</v>
      </c>
      <c r="Z181" s="541">
        <f>IFERROR(IF(Z180="",0,Z180),"0")</f>
        <v>3.5400000000000001E-2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7.0000000000000009</v>
      </c>
      <c r="Y182" s="541">
        <f>IFERROR(SUM(Y180:Y180),"0")</f>
        <v>7.5600000000000005</v>
      </c>
      <c r="Z182" s="37"/>
      <c r="AA182" s="542"/>
      <c r="AB182" s="542"/>
      <c r="AC182" s="542"/>
    </row>
    <row r="183" spans="1:68" ht="16.5" hidden="1" customHeight="1" x14ac:dyDescent="0.25">
      <c r="A183" s="553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140</v>
      </c>
      <c r="Y195" s="540">
        <f t="shared" ref="Y195:Y202" si="10">IFERROR(IF(X195="",0,CEILING((X195/$H195),1)*$H195),"")</f>
        <v>140.4</v>
      </c>
      <c r="Z195" s="36">
        <f>IFERROR(IF(Y195=0,"",ROUNDUP(Y195/H195,0)*0.00902),"")</f>
        <v>0.23452000000000001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144.92592592592592</v>
      </c>
      <c r="BN195" s="64">
        <f t="shared" ref="BN195:BN202" si="12">IFERROR(Y195*I195/H195,"0")</f>
        <v>145.34</v>
      </c>
      <c r="BO195" s="64">
        <f t="shared" ref="BO195:BO202" si="13">IFERROR(1/J195*(X195/H195),"0")</f>
        <v>0.19640852974186307</v>
      </c>
      <c r="BP195" s="64">
        <f t="shared" ref="BP195:BP202" si="14">IFERROR(1/J195*(Y195/H195),"0")</f>
        <v>0.19696969696969696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80</v>
      </c>
      <c r="Y196" s="540">
        <f t="shared" si="10"/>
        <v>81</v>
      </c>
      <c r="Z196" s="36">
        <f>IFERROR(IF(Y196=0,"",ROUNDUP(Y196/H196,0)*0.00902),"")</f>
        <v>0.1353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82.81481481481481</v>
      </c>
      <c r="BN196" s="64">
        <f t="shared" si="12"/>
        <v>83.85</v>
      </c>
      <c r="BO196" s="64">
        <f t="shared" si="13"/>
        <v>0.11223344556677889</v>
      </c>
      <c r="BP196" s="64">
        <f t="shared" si="14"/>
        <v>0.11363636363636363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480</v>
      </c>
      <c r="Y197" s="540">
        <f t="shared" si="10"/>
        <v>480.6</v>
      </c>
      <c r="Z197" s="36">
        <f>IFERROR(IF(Y197=0,"",ROUNDUP(Y197/H197,0)*0.00902),"")</f>
        <v>0.80278000000000005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496.8888888888888</v>
      </c>
      <c r="BN197" s="64">
        <f t="shared" si="12"/>
        <v>497.51</v>
      </c>
      <c r="BO197" s="64">
        <f t="shared" si="13"/>
        <v>0.67340067340067344</v>
      </c>
      <c r="BP197" s="64">
        <f t="shared" si="14"/>
        <v>0.67424242424242431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80</v>
      </c>
      <c r="Y198" s="540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150</v>
      </c>
      <c r="Y199" s="540">
        <f t="shared" si="10"/>
        <v>151.20000000000002</v>
      </c>
      <c r="Z199" s="36">
        <f>IFERROR(IF(Y199=0,"",ROUNDUP(Y199/H199,0)*0.00502),"")</f>
        <v>0.42168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160.83333333333334</v>
      </c>
      <c r="BN199" s="64">
        <f t="shared" si="12"/>
        <v>162.12</v>
      </c>
      <c r="BO199" s="64">
        <f t="shared" si="13"/>
        <v>0.35612535612535612</v>
      </c>
      <c r="BP199" s="64">
        <f t="shared" si="14"/>
        <v>0.35897435897435909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105</v>
      </c>
      <c r="Y200" s="540">
        <f t="shared" si="10"/>
        <v>106.2</v>
      </c>
      <c r="Z200" s="36">
        <f>IFERROR(IF(Y200=0,"",ROUNDUP(Y200/H200,0)*0.00502),"")</f>
        <v>0.29618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110.83333333333333</v>
      </c>
      <c r="BN200" s="64">
        <f t="shared" si="12"/>
        <v>112.1</v>
      </c>
      <c r="BO200" s="64">
        <f t="shared" si="13"/>
        <v>0.2492877492877493</v>
      </c>
      <c r="BP200" s="64">
        <f t="shared" si="14"/>
        <v>0.25213675213675218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135</v>
      </c>
      <c r="Y201" s="540">
        <f t="shared" si="10"/>
        <v>135</v>
      </c>
      <c r="Z201" s="36">
        <f>IFERROR(IF(Y201=0,"",ROUNDUP(Y201/H201,0)*0.00502),"")</f>
        <v>0.3765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142.5</v>
      </c>
      <c r="BN201" s="64">
        <f t="shared" si="12"/>
        <v>142.5</v>
      </c>
      <c r="BO201" s="64">
        <f t="shared" si="13"/>
        <v>0.32051282051282054</v>
      </c>
      <c r="BP201" s="64">
        <f t="shared" si="14"/>
        <v>0.32051282051282054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90</v>
      </c>
      <c r="Y202" s="540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411.11111111111109</v>
      </c>
      <c r="Y203" s="541">
        <f>IFERROR(Y195/H195,"0")+IFERROR(Y196/H196,"0")+IFERROR(Y197/H197,"0")+IFERROR(Y198/H198,"0")+IFERROR(Y199/H199,"0")+IFERROR(Y200/H200,"0")+IFERROR(Y201/H201,"0")+IFERROR(Y202/H202,"0")</f>
        <v>413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2.65326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1260</v>
      </c>
      <c r="Y204" s="541">
        <f>IFERROR(SUM(Y195:Y202),"0")</f>
        <v>1265.4000000000001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150</v>
      </c>
      <c r="Y208" s="540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240</v>
      </c>
      <c r="Y209" s="540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267</v>
      </c>
      <c r="BN209" s="64">
        <f t="shared" si="17"/>
        <v>267</v>
      </c>
      <c r="BO209" s="64">
        <f t="shared" si="18"/>
        <v>0.5494505494505495</v>
      </c>
      <c r="BP209" s="64">
        <f t="shared" si="19"/>
        <v>0.5494505494505495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360</v>
      </c>
      <c r="Y211" s="540">
        <f t="shared" si="15"/>
        <v>360</v>
      </c>
      <c r="Z211" s="36">
        <f t="shared" si="20"/>
        <v>0.97650000000000003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397.8</v>
      </c>
      <c r="BN211" s="64">
        <f t="shared" si="17"/>
        <v>397.8</v>
      </c>
      <c r="BO211" s="64">
        <f t="shared" si="18"/>
        <v>0.82417582417582425</v>
      </c>
      <c r="BP211" s="64">
        <f t="shared" si="19"/>
        <v>0.82417582417582425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148</v>
      </c>
      <c r="Y213" s="540">
        <f t="shared" si="15"/>
        <v>148.79999999999998</v>
      </c>
      <c r="Z213" s="36">
        <f t="shared" si="20"/>
        <v>0.40362000000000003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163.54000000000002</v>
      </c>
      <c r="BN213" s="64">
        <f t="shared" si="17"/>
        <v>164.42400000000001</v>
      </c>
      <c r="BO213" s="64">
        <f t="shared" si="18"/>
        <v>0.3388278388278389</v>
      </c>
      <c r="BP213" s="64">
        <f t="shared" si="19"/>
        <v>0.34065934065934067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180</v>
      </c>
      <c r="Y214" s="540">
        <f t="shared" si="15"/>
        <v>180</v>
      </c>
      <c r="Z214" s="36">
        <f t="shared" si="20"/>
        <v>0.48825000000000002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199.35</v>
      </c>
      <c r="BN214" s="64">
        <f t="shared" si="17"/>
        <v>199.35</v>
      </c>
      <c r="BO214" s="64">
        <f t="shared" si="18"/>
        <v>0.41208791208791212</v>
      </c>
      <c r="BP214" s="64">
        <f t="shared" si="19"/>
        <v>0.41208791208791212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403.90804597701151</v>
      </c>
      <c r="Y215" s="541">
        <f>IFERROR(Y206/H206,"0")+IFERROR(Y207/H207,"0")+IFERROR(Y208/H208,"0")+IFERROR(Y209/H209,"0")+IFERROR(Y210/H210,"0")+IFERROR(Y211/H211,"0")+IFERROR(Y212/H212,"0")+IFERROR(Y213/H213,"0")+IFERROR(Y214/H214,"0")</f>
        <v>405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2.8610099999999998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1078</v>
      </c>
      <c r="Y216" s="541">
        <f>IFERROR(SUM(Y206:Y214),"0")</f>
        <v>1085.4000000000001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40</v>
      </c>
      <c r="Y218" s="540">
        <f>IFERROR(IF(X218="",0,CEILING((X218/$H218),1)*$H218),"")</f>
        <v>40.799999999999997</v>
      </c>
      <c r="Z218" s="36">
        <f>IFERROR(IF(Y218=0,"",ROUNDUP(Y218/H218,0)*0.00651),"")</f>
        <v>0.11067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44.20000000000001</v>
      </c>
      <c r="BN218" s="64">
        <f>IFERROR(Y218*I218/H218,"0")</f>
        <v>45.084000000000003</v>
      </c>
      <c r="BO218" s="64">
        <f>IFERROR(1/J218*(X218/H218),"0")</f>
        <v>9.1575091575091583E-2</v>
      </c>
      <c r="BP218" s="64">
        <f>IFERROR(1/J218*(Y218/H218),"0")</f>
        <v>9.3406593406593408E-2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48</v>
      </c>
      <c r="Y219" s="540">
        <f>IFERROR(IF(X219="",0,CEILING((X219/$H219),1)*$H219),"")</f>
        <v>48</v>
      </c>
      <c r="Z219" s="36">
        <f>IFERROR(IF(Y219=0,"",ROUNDUP(Y219/H219,0)*0.00651),"")</f>
        <v>0.13020000000000001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53.040000000000006</v>
      </c>
      <c r="BN219" s="64">
        <f>IFERROR(Y219*I219/H219,"0")</f>
        <v>53.040000000000006</v>
      </c>
      <c r="BO219" s="64">
        <f>IFERROR(1/J219*(X219/H219),"0")</f>
        <v>0.1098901098901099</v>
      </c>
      <c r="BP219" s="64">
        <f>IFERROR(1/J219*(Y219/H219),"0")</f>
        <v>0.1098901098901099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36.666666666666671</v>
      </c>
      <c r="Y220" s="541">
        <f>IFERROR(Y218/H218,"0")+IFERROR(Y219/H219,"0")</f>
        <v>37</v>
      </c>
      <c r="Z220" s="541">
        <f>IFERROR(IF(Z218="",0,Z218),"0")+IFERROR(IF(Z219="",0,Z219),"0")</f>
        <v>0.24087000000000003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88</v>
      </c>
      <c r="Y221" s="541">
        <f>IFERROR(SUM(Y218:Y219),"0")</f>
        <v>88.8</v>
      </c>
      <c r="Z221" s="37"/>
      <c r="AA221" s="542"/>
      <c r="AB221" s="542"/>
      <c r="AC221" s="542"/>
    </row>
    <row r="222" spans="1:68" ht="16.5" hidden="1" customHeight="1" x14ac:dyDescent="0.25">
      <c r="A222" s="553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20</v>
      </c>
      <c r="Y224" s="540">
        <f t="shared" ref="Y224:Y233" si="21">IFERROR(IF(X224="",0,CEILING((X224/$H224),1)*$H224),"")</f>
        <v>23.2</v>
      </c>
      <c r="Z224" s="36">
        <f>IFERROR(IF(Y224=0,"",ROUNDUP(Y224/H224,0)*0.01898),"")</f>
        <v>3.7960000000000001E-2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20.706896551724139</v>
      </c>
      <c r="BN224" s="64">
        <f t="shared" ref="BN224:BN233" si="23">IFERROR(Y224*I224/H224,"0")</f>
        <v>24.02</v>
      </c>
      <c r="BO224" s="64">
        <f t="shared" ref="BO224:BO233" si="24">IFERROR(1/J224*(X224/H224),"0")</f>
        <v>2.6939655172413795E-2</v>
      </c>
      <c r="BP224" s="64">
        <f t="shared" ref="BP224:BP233" si="25">IFERROR(1/J224*(Y224/H224),"0")</f>
        <v>3.125E-2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20</v>
      </c>
      <c r="Y227" s="540">
        <f t="shared" si="21"/>
        <v>20</v>
      </c>
      <c r="Z227" s="36">
        <f>IFERROR(IF(Y227=0,"",ROUNDUP(Y227/H227,0)*0.00902),"")</f>
        <v>4.5100000000000001E-2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20.950000000000003</v>
      </c>
      <c r="BN227" s="64">
        <f t="shared" si="23"/>
        <v>20.950000000000003</v>
      </c>
      <c r="BO227" s="64">
        <f t="shared" si="24"/>
        <v>3.787878787878788E-2</v>
      </c>
      <c r="BP227" s="64">
        <f t="shared" si="25"/>
        <v>3.787878787878788E-2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64</v>
      </c>
      <c r="Y232" s="540">
        <f t="shared" si="21"/>
        <v>64</v>
      </c>
      <c r="Z232" s="36">
        <f>IFERROR(IF(Y232=0,"",ROUNDUP(Y232/H232,0)*0.00902),"")</f>
        <v>0.14432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67.040000000000006</v>
      </c>
      <c r="BN232" s="64">
        <f t="shared" si="23"/>
        <v>67.040000000000006</v>
      </c>
      <c r="BO232" s="64">
        <f t="shared" si="24"/>
        <v>0.12121212121212122</v>
      </c>
      <c r="BP232" s="64">
        <f t="shared" si="25"/>
        <v>0.12121212121212122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22.724137931034484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23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0.22738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104</v>
      </c>
      <c r="Y235" s="541">
        <f>IFERROR(SUM(Y224:Y233),"0")</f>
        <v>107.2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12</v>
      </c>
      <c r="Y241" s="540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6.6666666666666661</v>
      </c>
      <c r="Y242" s="541">
        <f>IFERROR(Y241/H241,"0")</f>
        <v>7</v>
      </c>
      <c r="Z242" s="541">
        <f>IFERROR(IF(Z241="",0,Z241),"0")</f>
        <v>4.1299999999999996E-2</v>
      </c>
      <c r="AA242" s="542"/>
      <c r="AB242" s="542"/>
      <c r="AC242" s="542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12</v>
      </c>
      <c r="Y243" s="541">
        <f>IFERROR(SUM(Y241:Y241),"0")</f>
        <v>12.6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hidden="1" customHeight="1" x14ac:dyDescent="0.25">
      <c r="A252" s="553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100</v>
      </c>
      <c r="Y272" s="540">
        <f>IFERROR(IF(X272="",0,CEILING((X272/$H272),1)*$H272),"")</f>
        <v>100.8</v>
      </c>
      <c r="Z272" s="36">
        <f>IFERROR(IF(Y272=0,"",ROUNDUP(Y272/H272,0)*0.00651),"")</f>
        <v>0.27342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110.5</v>
      </c>
      <c r="BN272" s="64">
        <f>IFERROR(Y272*I272/H272,"0")</f>
        <v>111.384</v>
      </c>
      <c r="BO272" s="64">
        <f>IFERROR(1/J272*(X272/H272),"0")</f>
        <v>0.22893772893772898</v>
      </c>
      <c r="BP272" s="64">
        <f>IFERROR(1/J272*(Y272/H272),"0")</f>
        <v>0.23076923076923078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120</v>
      </c>
      <c r="Y273" s="540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129.00000000000003</v>
      </c>
      <c r="BN273" s="64">
        <f>IFERROR(Y273*I273/H273,"0")</f>
        <v>129.00000000000003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91.666666666666671</v>
      </c>
      <c r="Y274" s="541">
        <f>IFERROR(Y271/H271,"0")+IFERROR(Y272/H272,"0")+IFERROR(Y273/H273,"0")</f>
        <v>92</v>
      </c>
      <c r="Z274" s="541">
        <f>IFERROR(IF(Z271="",0,Z271),"0")+IFERROR(IF(Z272="",0,Z272),"0")+IFERROR(IF(Z273="",0,Z273),"0")</f>
        <v>0.59892000000000001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220</v>
      </c>
      <c r="Y275" s="541">
        <f>IFERROR(SUM(Y271:Y273),"0")</f>
        <v>220.8</v>
      </c>
      <c r="Z275" s="37"/>
      <c r="AA275" s="542"/>
      <c r="AB275" s="542"/>
      <c r="AC275" s="542"/>
    </row>
    <row r="276" spans="1:68" ht="16.5" hidden="1" customHeight="1" x14ac:dyDescent="0.25">
      <c r="A276" s="553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6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105</v>
      </c>
      <c r="Y301" s="540">
        <f t="shared" si="26"/>
        <v>105</v>
      </c>
      <c r="Z301" s="36">
        <f>IFERROR(IF(Y301=0,"",ROUNDUP(Y301/H301,0)*0.00502),"")</f>
        <v>0.251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110.00000000000001</v>
      </c>
      <c r="BN301" s="64">
        <f t="shared" si="28"/>
        <v>110.00000000000001</v>
      </c>
      <c r="BO301" s="64">
        <f t="shared" si="29"/>
        <v>0.21367521367521369</v>
      </c>
      <c r="BP301" s="64">
        <f t="shared" si="30"/>
        <v>0.21367521367521369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51</v>
      </c>
      <c r="Y303" s="540">
        <f t="shared" si="26"/>
        <v>52.2</v>
      </c>
      <c r="Z303" s="36">
        <f>IFERROR(IF(Y303=0,"",ROUNDUP(Y303/H303,0)*0.00651),"")</f>
        <v>0.18879000000000001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57.459999999999994</v>
      </c>
      <c r="BN303" s="64">
        <f t="shared" si="28"/>
        <v>58.812000000000005</v>
      </c>
      <c r="BO303" s="64">
        <f t="shared" si="29"/>
        <v>0.15567765567765568</v>
      </c>
      <c r="BP303" s="64">
        <f t="shared" si="30"/>
        <v>0.15934065934065936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78.333333333333329</v>
      </c>
      <c r="Y304" s="541">
        <f>IFERROR(Y297/H297,"0")+IFERROR(Y298/H298,"0")+IFERROR(Y299/H299,"0")+IFERROR(Y300/H300,"0")+IFERROR(Y301/H301,"0")+IFERROR(Y302/H302,"0")+IFERROR(Y303/H303,"0")</f>
        <v>79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0.43979000000000001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156</v>
      </c>
      <c r="Y305" s="541">
        <f>IFERROR(SUM(Y297:Y303),"0")</f>
        <v>157.19999999999999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10</v>
      </c>
      <c r="Y314" s="540">
        <f>IFERROR(IF(X314="",0,CEILING((X314/$H314),1)*$H314),"")</f>
        <v>16.8</v>
      </c>
      <c r="Z314" s="36">
        <f>IFERROR(IF(Y314=0,"",ROUNDUP(Y314/H314,0)*0.01898),"")</f>
        <v>3.7960000000000001E-2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10.588095238095237</v>
      </c>
      <c r="BN314" s="64">
        <f>IFERROR(Y314*I314/H314,"0")</f>
        <v>17.788</v>
      </c>
      <c r="BO314" s="64">
        <f>IFERROR(1/J314*(X314/H314),"0")</f>
        <v>1.8601190476190476E-2</v>
      </c>
      <c r="BP314" s="64">
        <f>IFERROR(1/J314*(Y314/H314),"0")</f>
        <v>3.125E-2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380</v>
      </c>
      <c r="Y316" s="540">
        <f>IFERROR(IF(X316="",0,CEILING((X316/$H316),1)*$H316),"")</f>
        <v>386.40000000000003</v>
      </c>
      <c r="Z316" s="36">
        <f>IFERROR(IF(Y316=0,"",ROUNDUP(Y316/H316,0)*0.01898),"")</f>
        <v>0.87307999999999997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402.34761904761905</v>
      </c>
      <c r="BN316" s="64">
        <f>IFERROR(Y316*I316/H316,"0")</f>
        <v>409.12400000000002</v>
      </c>
      <c r="BO316" s="64">
        <f>IFERROR(1/J316*(X316/H316),"0")</f>
        <v>0.70684523809523803</v>
      </c>
      <c r="BP316" s="64">
        <f>IFERROR(1/J316*(Y316/H316),"0")</f>
        <v>0.71875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84.890109890109883</v>
      </c>
      <c r="Y317" s="541">
        <f>IFERROR(Y314/H314,"0")+IFERROR(Y315/H315,"0")+IFERROR(Y316/H316,"0")</f>
        <v>87</v>
      </c>
      <c r="Z317" s="541">
        <f>IFERROR(IF(Z314="",0,Z314),"0")+IFERROR(IF(Z315="",0,Z315),"0")+IFERROR(IF(Z316="",0,Z316),"0")</f>
        <v>1.65126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690</v>
      </c>
      <c r="Y318" s="541">
        <f>IFERROR(SUM(Y314:Y316),"0")</f>
        <v>707.40000000000009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100</v>
      </c>
      <c r="Y327" s="540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50</v>
      </c>
      <c r="Y330" s="541">
        <f>IFERROR(Y327/H327,"0")+IFERROR(Y328/H328,"0")+IFERROR(Y329/H329,"0")</f>
        <v>50</v>
      </c>
      <c r="Z330" s="541">
        <f>IFERROR(IF(Z327="",0,Z327),"0")+IFERROR(IF(Z328="",0,Z328),"0")+IFERROR(IF(Z329="",0,Z329),"0")</f>
        <v>0.23700000000000002</v>
      </c>
      <c r="AA330" s="542"/>
      <c r="AB330" s="542"/>
      <c r="AC330" s="542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100</v>
      </c>
      <c r="Y331" s="541">
        <f>IFERROR(SUM(Y327:Y329),"0")</f>
        <v>100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522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1085</v>
      </c>
      <c r="Y335" s="540">
        <f>IFERROR(IF(X335="",0,CEILING((X335/$H335),1)*$H335),"")</f>
        <v>1085.7</v>
      </c>
      <c r="Z335" s="36">
        <f>IFERROR(IF(Y335=0,"",ROUNDUP(Y335/H335,0)*0.00651),"")</f>
        <v>3.3656700000000002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1215.2</v>
      </c>
      <c r="BN335" s="64">
        <f>IFERROR(Y335*I335/H335,"0")</f>
        <v>1215.9839999999999</v>
      </c>
      <c r="BO335" s="64">
        <f>IFERROR(1/J335*(X335/H335),"0")</f>
        <v>2.838827838827839</v>
      </c>
      <c r="BP335" s="64">
        <f>IFERROR(1/J335*(Y335/H335),"0")</f>
        <v>2.8406593406593408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385</v>
      </c>
      <c r="Y336" s="540">
        <f>IFERROR(IF(X336="",0,CEILING((X336/$H336),1)*$H336),"")</f>
        <v>386.40000000000003</v>
      </c>
      <c r="Z336" s="36">
        <f>IFERROR(IF(Y336=0,"",ROUNDUP(Y336/H336,0)*0.00651),"")</f>
        <v>1.19784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428.99999999999994</v>
      </c>
      <c r="BN336" s="64">
        <f>IFERROR(Y336*I336/H336,"0")</f>
        <v>430.56</v>
      </c>
      <c r="BO336" s="64">
        <f>IFERROR(1/J336*(X336/H336),"0")</f>
        <v>1.0073260073260073</v>
      </c>
      <c r="BP336" s="64">
        <f>IFERROR(1/J336*(Y336/H336),"0")</f>
        <v>1.0109890109890112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700</v>
      </c>
      <c r="Y337" s="541">
        <f>IFERROR(Y334/H334,"0")+IFERROR(Y335/H335,"0")+IFERROR(Y336/H336,"0")</f>
        <v>701</v>
      </c>
      <c r="Z337" s="541">
        <f>IFERROR(IF(Z334="",0,Z334),"0")+IFERROR(IF(Z335="",0,Z335),"0")+IFERROR(IF(Z336="",0,Z336),"0")</f>
        <v>4.56351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1470</v>
      </c>
      <c r="Y338" s="541">
        <f>IFERROR(SUM(Y334:Y336),"0")</f>
        <v>1472.1000000000001</v>
      </c>
      <c r="Z338" s="37"/>
      <c r="AA338" s="542"/>
      <c r="AB338" s="542"/>
      <c r="AC338" s="542"/>
    </row>
    <row r="339" spans="1:68" ht="27.75" hidden="1" customHeight="1" x14ac:dyDescent="0.2">
      <c r="A339" s="694" t="s">
        <v>532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533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1500</v>
      </c>
      <c r="Y342" s="540">
        <f t="shared" ref="Y342:Y348" si="31">IFERROR(IF(X342="",0,CEILING((X342/$H342),1)*$H342),"")</f>
        <v>1500</v>
      </c>
      <c r="Z342" s="36">
        <f>IFERROR(IF(Y342=0,"",ROUNDUP(Y342/H342,0)*0.02175),"")</f>
        <v>2.1749999999999998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1547</v>
      </c>
      <c r="BN342" s="64">
        <f t="shared" ref="BN342:BN348" si="33">IFERROR(Y342*I342/H342,"0")</f>
        <v>1547</v>
      </c>
      <c r="BO342" s="64">
        <f t="shared" ref="BO342:BO348" si="34">IFERROR(1/J342*(X342/H342),"0")</f>
        <v>2.083333333333333</v>
      </c>
      <c r="BP342" s="64">
        <f t="shared" ref="BP342:BP348" si="35">IFERROR(1/J342*(Y342/H342),"0")</f>
        <v>2.083333333333333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1300</v>
      </c>
      <c r="Y344" s="540">
        <f t="shared" si="31"/>
        <v>1305</v>
      </c>
      <c r="Z344" s="36">
        <f>IFERROR(IF(Y344=0,"",ROUNDUP(Y344/H344,0)*0.02175),"")</f>
        <v>1.8922499999999998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1340.7333333333333</v>
      </c>
      <c r="BN344" s="64">
        <f t="shared" si="33"/>
        <v>1345.89</v>
      </c>
      <c r="BO344" s="64">
        <f t="shared" si="34"/>
        <v>1.8055555555555556</v>
      </c>
      <c r="BP344" s="64">
        <f t="shared" si="35"/>
        <v>1.8125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250</v>
      </c>
      <c r="Y345" s="540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30</v>
      </c>
      <c r="Y348" s="540">
        <f t="shared" si="31"/>
        <v>30</v>
      </c>
      <c r="Z348" s="36">
        <f>IFERROR(IF(Y348=0,"",ROUNDUP(Y348/H348,0)*0.00902),"")</f>
        <v>5.4120000000000001E-2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31.140000000000004</v>
      </c>
      <c r="BN348" s="64">
        <f t="shared" si="33"/>
        <v>31.140000000000004</v>
      </c>
      <c r="BO348" s="64">
        <f t="shared" si="34"/>
        <v>4.5454545454545456E-2</v>
      </c>
      <c r="BP348" s="64">
        <f t="shared" si="35"/>
        <v>4.5454545454545456E-2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276.00000000000006</v>
      </c>
      <c r="Y349" s="541">
        <f>IFERROR(Y342/H342,"0")+IFERROR(Y343/H343,"0")+IFERROR(Y344/H344,"0")+IFERROR(Y345/H345,"0")+IFERROR(Y346/H346,"0")+IFERROR(Y347/H347,"0")+IFERROR(Y348/H348,"0")</f>
        <v>277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5.9483699999999997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4080</v>
      </c>
      <c r="Y350" s="541">
        <f>IFERROR(SUM(Y342:Y348),"0")</f>
        <v>4095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800</v>
      </c>
      <c r="Y352" s="540">
        <f>IFERROR(IF(X352="",0,CEILING((X352/$H352),1)*$H352),"")</f>
        <v>810</v>
      </c>
      <c r="Z352" s="36">
        <f>IFERROR(IF(Y352=0,"",ROUNDUP(Y352/H352,0)*0.02175),"")</f>
        <v>1.1744999999999999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825.06666666666672</v>
      </c>
      <c r="BN352" s="64">
        <f>IFERROR(Y352*I352/H352,"0")</f>
        <v>835.38</v>
      </c>
      <c r="BO352" s="64">
        <f>IFERROR(1/J352*(X352/H352),"0")</f>
        <v>1.1111111111111112</v>
      </c>
      <c r="BP352" s="64">
        <f>IFERROR(1/J352*(Y352/H352),"0")</f>
        <v>1.125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8</v>
      </c>
      <c r="Y353" s="540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55.333333333333336</v>
      </c>
      <c r="Y354" s="541">
        <f>IFERROR(Y352/H352,"0")+IFERROR(Y353/H353,"0")</f>
        <v>56</v>
      </c>
      <c r="Z354" s="541">
        <f>IFERROR(IF(Z352="",0,Z352),"0")+IFERROR(IF(Z353="",0,Z353),"0")</f>
        <v>1.1925399999999999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808</v>
      </c>
      <c r="Y355" s="541">
        <f>IFERROR(SUM(Y352:Y353),"0")</f>
        <v>818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561</v>
      </c>
      <c r="B358" s="54" t="s">
        <v>562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hidden="1" customHeight="1" x14ac:dyDescent="0.25">
      <c r="A365" s="553" t="s">
        <v>567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90</v>
      </c>
      <c r="Y367" s="540">
        <f>IFERROR(IF(X367="",0,CEILING((X367/$H367),1)*$H367),"")</f>
        <v>96</v>
      </c>
      <c r="Z367" s="36">
        <f>IFERROR(IF(Y367=0,"",ROUNDUP(Y367/H367,0)*0.01898),"")</f>
        <v>0.15184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93.075000000000003</v>
      </c>
      <c r="BN367" s="64">
        <f>IFERROR(Y367*I367/H367,"0")</f>
        <v>99.280000000000015</v>
      </c>
      <c r="BO367" s="64">
        <f>IFERROR(1/J367*(X367/H367),"0")</f>
        <v>0.1171875</v>
      </c>
      <c r="BP367" s="64">
        <f>IFERROR(1/J367*(Y367/H367),"0")</f>
        <v>0.125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7.5</v>
      </c>
      <c r="Y369" s="541">
        <f>IFERROR(Y367/H367,"0")+IFERROR(Y368/H368,"0")</f>
        <v>8</v>
      </c>
      <c r="Z369" s="541">
        <f>IFERROR(IF(Z367="",0,Z367),"0")+IFERROR(IF(Z368="",0,Z368),"0")</f>
        <v>0.15184</v>
      </c>
      <c r="AA369" s="542"/>
      <c r="AB369" s="542"/>
      <c r="AC369" s="542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90</v>
      </c>
      <c r="Y370" s="541">
        <f>IFERROR(SUM(Y367:Y368),"0")</f>
        <v>96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90</v>
      </c>
      <c r="Y377" s="540">
        <f>IFERROR(IF(X377="",0,CEILING((X377/$H377),1)*$H377),"")</f>
        <v>90</v>
      </c>
      <c r="Z377" s="36">
        <f>IFERROR(IF(Y377=0,"",ROUNDUP(Y377/H377,0)*0.01898),"")</f>
        <v>0.1898</v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94.94</v>
      </c>
      <c r="BN377" s="64">
        <f>IFERROR(Y377*I377/H377,"0")</f>
        <v>94.94</v>
      </c>
      <c r="BO377" s="64">
        <f>IFERROR(1/J377*(X377/H377),"0")</f>
        <v>0.15625</v>
      </c>
      <c r="BP377" s="64">
        <f>IFERROR(1/J377*(Y377/H377),"0")</f>
        <v>0.15625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10</v>
      </c>
      <c r="Y379" s="541">
        <f>IFERROR(Y377/H377,"0")+IFERROR(Y378/H378,"0")</f>
        <v>10</v>
      </c>
      <c r="Z379" s="541">
        <f>IFERROR(IF(Z377="",0,Z377),"0")+IFERROR(IF(Z378="",0,Z378),"0")</f>
        <v>0.1898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90</v>
      </c>
      <c r="Y380" s="541">
        <f>IFERROR(SUM(Y377:Y378),"0")</f>
        <v>90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583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584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585</v>
      </c>
      <c r="B384" s="54" t="s">
        <v>586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588</v>
      </c>
      <c r="B385" s="54" t="s">
        <v>589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35</v>
      </c>
      <c r="Y389" s="540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607</v>
      </c>
      <c r="B392" s="54" t="s">
        <v>608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33.333333333333329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34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0.17068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70</v>
      </c>
      <c r="Y394" s="541">
        <f>IFERROR(SUM(Y384:Y392),"0")</f>
        <v>71.400000000000006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609</v>
      </c>
      <c r="B396" s="54" t="s">
        <v>610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612</v>
      </c>
      <c r="B397" s="54" t="s">
        <v>613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615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616</v>
      </c>
      <c r="B402" s="54" t="s">
        <v>617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619</v>
      </c>
      <c r="B406" s="54" t="s">
        <v>620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622</v>
      </c>
      <c r="B407" s="54" t="s">
        <v>623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14</v>
      </c>
      <c r="Y409" s="540">
        <f>IFERROR(IF(X409="",0,CEILING((X409/$H409),1)*$H409),"")</f>
        <v>14.700000000000001</v>
      </c>
      <c r="Z409" s="36">
        <f>IFERROR(IF(Y409=0,"",ROUNDUP(Y409/H409,0)*0.00502),"")</f>
        <v>3.5140000000000005E-2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14.866666666666665</v>
      </c>
      <c r="BN409" s="64">
        <f>IFERROR(Y409*I409/H409,"0")</f>
        <v>15.61</v>
      </c>
      <c r="BO409" s="64">
        <f>IFERROR(1/J409*(X409/H409),"0")</f>
        <v>2.8490028490028491E-2</v>
      </c>
      <c r="BP409" s="64">
        <f>IFERROR(1/J409*(Y409/H409),"0")</f>
        <v>2.9914529914529919E-2</v>
      </c>
    </row>
    <row r="410" spans="1:68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6.6666666666666661</v>
      </c>
      <c r="Y410" s="541">
        <f>IFERROR(Y406/H406,"0")+IFERROR(Y407/H407,"0")+IFERROR(Y408/H408,"0")+IFERROR(Y409/H409,"0")</f>
        <v>7</v>
      </c>
      <c r="Z410" s="541">
        <f>IFERROR(IF(Z406="",0,Z406),"0")+IFERROR(IF(Z407="",0,Z407),"0")+IFERROR(IF(Z408="",0,Z408),"0")+IFERROR(IF(Z409="",0,Z409),"0")</f>
        <v>3.5140000000000005E-2</v>
      </c>
      <c r="AA410" s="542"/>
      <c r="AB410" s="542"/>
      <c r="AC410" s="542"/>
    </row>
    <row r="411" spans="1:68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14</v>
      </c>
      <c r="Y411" s="541">
        <f>IFERROR(SUM(Y406:Y409),"0")</f>
        <v>14.700000000000001</v>
      </c>
      <c r="Z411" s="37"/>
      <c r="AA411" s="542"/>
      <c r="AB411" s="542"/>
      <c r="AC411" s="542"/>
    </row>
    <row r="412" spans="1:68" ht="16.5" hidden="1" customHeight="1" x14ac:dyDescent="0.25">
      <c r="A412" s="553" t="s">
        <v>630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hidden="1" customHeight="1" x14ac:dyDescent="0.2">
      <c r="A417" s="694" t="s">
        <v>634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634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70</v>
      </c>
      <c r="Y420" s="540">
        <f t="shared" ref="Y420:Y430" si="42">IFERROR(IF(X420="",0,CEILING((X420/$H420),1)*$H420),"")</f>
        <v>73.92</v>
      </c>
      <c r="Z420" s="36">
        <f t="shared" ref="Z420:Z425" si="43">IFERROR(IF(Y420=0,"",ROUNDUP(Y420/H420,0)*0.01196),"")</f>
        <v>0.16744000000000001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74.640151515151501</v>
      </c>
      <c r="BN420" s="64">
        <f t="shared" ref="BN420:BN430" si="45">IFERROR(Y420*I420/H420,"0")</f>
        <v>78.819999999999993</v>
      </c>
      <c r="BO420" s="64">
        <f t="shared" ref="BO420:BO430" si="46">IFERROR(1/J420*(X420/H420),"0")</f>
        <v>0.12747668997668998</v>
      </c>
      <c r="BP420" s="64">
        <f t="shared" ref="BP420:BP430" si="47">IFERROR(1/J420*(Y420/H420),"0")</f>
        <v>0.13461538461538464</v>
      </c>
    </row>
    <row r="421" spans="1:68" ht="27" hidden="1" customHeight="1" x14ac:dyDescent="0.25">
      <c r="A421" s="54" t="s">
        <v>637</v>
      </c>
      <c r="B421" s="54" t="s">
        <v>638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70</v>
      </c>
      <c r="Y423" s="540">
        <f t="shared" si="42"/>
        <v>73.92</v>
      </c>
      <c r="Z423" s="36">
        <f t="shared" si="43"/>
        <v>0.16744000000000001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74.640151515151501</v>
      </c>
      <c r="BN423" s="64">
        <f t="shared" si="45"/>
        <v>78.819999999999993</v>
      </c>
      <c r="BO423" s="64">
        <f t="shared" si="46"/>
        <v>0.12747668997668998</v>
      </c>
      <c r="BP423" s="64">
        <f t="shared" si="47"/>
        <v>0.13461538461538464</v>
      </c>
    </row>
    <row r="424" spans="1:68" ht="16.5" hidden="1" customHeight="1" x14ac:dyDescent="0.25">
      <c r="A424" s="54" t="s">
        <v>646</v>
      </c>
      <c r="B424" s="54" t="s">
        <v>647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140</v>
      </c>
      <c r="Y425" s="540">
        <f t="shared" si="42"/>
        <v>142.56</v>
      </c>
      <c r="Z425" s="36">
        <f t="shared" si="43"/>
        <v>0.32291999999999998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149.280303030303</v>
      </c>
      <c r="BN425" s="64">
        <f t="shared" si="45"/>
        <v>152.01</v>
      </c>
      <c r="BO425" s="64">
        <f t="shared" si="46"/>
        <v>0.25495337995337997</v>
      </c>
      <c r="BP425" s="64">
        <f t="shared" si="47"/>
        <v>0.25961538461538464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60</v>
      </c>
      <c r="Y427" s="540">
        <f t="shared" si="42"/>
        <v>62.4</v>
      </c>
      <c r="Z427" s="36">
        <f>IFERROR(IF(Y427=0,"",ROUNDUP(Y427/H427,0)*0.00902),"")</f>
        <v>0.11726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86.375000000000014</v>
      </c>
      <c r="BN427" s="64">
        <f t="shared" si="45"/>
        <v>89.830000000000013</v>
      </c>
      <c r="BO427" s="64">
        <f t="shared" si="46"/>
        <v>9.4696969696969696E-2</v>
      </c>
      <c r="BP427" s="64">
        <f t="shared" si="47"/>
        <v>9.8484848484848481E-2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102</v>
      </c>
      <c r="Y430" s="540">
        <f t="shared" si="42"/>
        <v>105.6</v>
      </c>
      <c r="Z430" s="36">
        <f>IFERROR(IF(Y430=0,"",ROUNDUP(Y430/H430,0)*0.00902),"")</f>
        <v>0.19844000000000001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146.83750000000001</v>
      </c>
      <c r="BN430" s="64">
        <f t="shared" si="45"/>
        <v>152.02000000000001</v>
      </c>
      <c r="BO430" s="64">
        <f t="shared" si="46"/>
        <v>0.16098484848484848</v>
      </c>
      <c r="BP430" s="64">
        <f t="shared" si="47"/>
        <v>0.16666666666666669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86.780303030303031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90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0.97350000000000003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442</v>
      </c>
      <c r="Y432" s="541">
        <f>IFERROR(SUM(Y420:Y430),"0")</f>
        <v>458.4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135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100</v>
      </c>
      <c r="Y434" s="540">
        <f>IFERROR(IF(X434="",0,CEILING((X434/$H434),1)*$H434),"")</f>
        <v>100.32000000000001</v>
      </c>
      <c r="Z434" s="36">
        <f>IFERROR(IF(Y434=0,"",ROUNDUP(Y434/H434,0)*0.01196),"")</f>
        <v>0.22724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106.62878787878788</v>
      </c>
      <c r="BN434" s="64">
        <f>IFERROR(Y434*I434/H434,"0")</f>
        <v>106.97</v>
      </c>
      <c r="BO434" s="64">
        <f>IFERROR(1/J434*(X434/H434),"0")</f>
        <v>0.18210955710955709</v>
      </c>
      <c r="BP434" s="64">
        <f>IFERROR(1/J434*(Y434/H434),"0")</f>
        <v>0.18269230769230771</v>
      </c>
    </row>
    <row r="435" spans="1:68" ht="16.5" hidden="1" customHeight="1" x14ac:dyDescent="0.25">
      <c r="A435" s="54" t="s">
        <v>666</v>
      </c>
      <c r="B435" s="54" t="s">
        <v>667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18.939393939393938</v>
      </c>
      <c r="Y437" s="541">
        <f>IFERROR(Y434/H434,"0")+IFERROR(Y435/H435,"0")+IFERROR(Y436/H436,"0")</f>
        <v>19</v>
      </c>
      <c r="Z437" s="541">
        <f>IFERROR(IF(Z434="",0,Z434),"0")+IFERROR(IF(Z435="",0,Z435),"0")+IFERROR(IF(Z436="",0,Z436),"0")</f>
        <v>0.22724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100</v>
      </c>
      <c r="Y438" s="541">
        <f>IFERROR(SUM(Y434:Y436),"0")</f>
        <v>100.32000000000001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670</v>
      </c>
      <c r="B440" s="54" t="s">
        <v>671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90</v>
      </c>
      <c r="Y441" s="540">
        <f t="shared" si="48"/>
        <v>95.04</v>
      </c>
      <c r="Z441" s="36">
        <f>IFERROR(IF(Y441=0,"",ROUNDUP(Y441/H441,0)*0.01196),"")</f>
        <v>0.21528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95.965909090909079</v>
      </c>
      <c r="BN441" s="64">
        <f t="shared" si="50"/>
        <v>101.33999999999999</v>
      </c>
      <c r="BO441" s="64">
        <f t="shared" si="51"/>
        <v>0.16389860139860138</v>
      </c>
      <c r="BP441" s="64">
        <f t="shared" si="52"/>
        <v>0.17307692307692307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120</v>
      </c>
      <c r="Y442" s="540">
        <f t="shared" si="48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127.95454545454545</v>
      </c>
      <c r="BN442" s="64">
        <f t="shared" si="50"/>
        <v>129.49</v>
      </c>
      <c r="BO442" s="64">
        <f t="shared" si="51"/>
        <v>0.21853146853146854</v>
      </c>
      <c r="BP442" s="64">
        <f t="shared" si="52"/>
        <v>0.22115384615384617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48</v>
      </c>
      <c r="Y443" s="540">
        <f t="shared" si="48"/>
        <v>48</v>
      </c>
      <c r="Z443" s="36">
        <f>IFERROR(IF(Y443=0,"",ROUNDUP(Y443/H443,0)*0.00902),"")</f>
        <v>9.0200000000000002E-2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69.100000000000009</v>
      </c>
      <c r="BN443" s="64">
        <f t="shared" si="50"/>
        <v>69.100000000000009</v>
      </c>
      <c r="BO443" s="64">
        <f t="shared" si="51"/>
        <v>7.575757575757576E-2</v>
      </c>
      <c r="BP443" s="64">
        <f t="shared" si="52"/>
        <v>7.575757575757576E-2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60</v>
      </c>
      <c r="Y445" s="540">
        <f t="shared" si="48"/>
        <v>62.4</v>
      </c>
      <c r="Z445" s="36">
        <f>IFERROR(IF(Y445=0,"",ROUNDUP(Y445/H445,0)*0.00902),"")</f>
        <v>0.11726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83.375</v>
      </c>
      <c r="BN445" s="64">
        <f t="shared" si="50"/>
        <v>86.71</v>
      </c>
      <c r="BO445" s="64">
        <f t="shared" si="51"/>
        <v>9.4696969696969696E-2</v>
      </c>
      <c r="BP445" s="64">
        <f t="shared" si="52"/>
        <v>9.8484848484848481E-2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66.022727272727266</v>
      </c>
      <c r="Y446" s="541">
        <f>IFERROR(Y440/H440,"0")+IFERROR(Y441/H441,"0")+IFERROR(Y442/H442,"0")+IFERROR(Y443/H443,"0")+IFERROR(Y444/H444,"0")+IFERROR(Y445/H445,"0")</f>
        <v>68</v>
      </c>
      <c r="Z446" s="541">
        <f>IFERROR(IF(Z440="",0,Z440),"0")+IFERROR(IF(Z441="",0,Z441),"0")+IFERROR(IF(Z442="",0,Z442),"0")+IFERROR(IF(Z443="",0,Z443),"0")+IFERROR(IF(Z444="",0,Z444),"0")+IFERROR(IF(Z445="",0,Z445),"0")</f>
        <v>0.7339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336</v>
      </c>
      <c r="Y447" s="541">
        <f>IFERROR(SUM(Y440:Y445),"0")</f>
        <v>346.08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685</v>
      </c>
      <c r="B449" s="54" t="s">
        <v>686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688</v>
      </c>
      <c r="B450" s="54" t="s">
        <v>689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691</v>
      </c>
      <c r="B451" s="54" t="s">
        <v>692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694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694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695</v>
      </c>
      <c r="B457" s="54" t="s">
        <v>696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698</v>
      </c>
      <c r="B458" s="54" t="s">
        <v>699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135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706</v>
      </c>
      <c r="B464" s="54" t="s">
        <v>707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709</v>
      </c>
      <c r="B465" s="54" t="s">
        <v>710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715</v>
      </c>
      <c r="B470" s="54" t="s">
        <v>716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718</v>
      </c>
      <c r="B471" s="54" t="s">
        <v>719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450</v>
      </c>
      <c r="Y475" s="540">
        <f>IFERROR(IF(X475="",0,CEILING((X475/$H475),1)*$H475),"")</f>
        <v>450</v>
      </c>
      <c r="Z475" s="36">
        <f>IFERROR(IF(Y475=0,"",ROUNDUP(Y475/H475,0)*0.01898),"")</f>
        <v>0.94900000000000007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474.70000000000005</v>
      </c>
      <c r="BN475" s="64">
        <f>IFERROR(Y475*I475/H475,"0")</f>
        <v>474.70000000000005</v>
      </c>
      <c r="BO475" s="64">
        <f>IFERROR(1/J475*(X475/H475),"0")</f>
        <v>0.78125</v>
      </c>
      <c r="BP475" s="64">
        <f>IFERROR(1/J475*(Y475/H475),"0")</f>
        <v>0.78125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50</v>
      </c>
      <c r="Y476" s="541">
        <f>IFERROR(Y475/H475,"0")</f>
        <v>50</v>
      </c>
      <c r="Z476" s="541">
        <f>IFERROR(IF(Z475="",0,Z475),"0")</f>
        <v>0.94900000000000007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450</v>
      </c>
      <c r="Y477" s="541">
        <f>IFERROR(SUM(Y475:Y475),"0")</f>
        <v>450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10</v>
      </c>
      <c r="Y479" s="540">
        <f>IFERROR(IF(X479="",0,CEILING((X479/$H479),1)*$H479),"")</f>
        <v>18</v>
      </c>
      <c r="Z479" s="36">
        <f>IFERROR(IF(Y479=0,"",ROUNDUP(Y479/H479,0)*0.01898),"")</f>
        <v>3.7960000000000001E-2</v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10.455555555555556</v>
      </c>
      <c r="BN479" s="64">
        <f>IFERROR(Y479*I479/H479,"0")</f>
        <v>18.82</v>
      </c>
      <c r="BO479" s="64">
        <f>IFERROR(1/J479*(X479/H479),"0")</f>
        <v>1.7361111111111112E-2</v>
      </c>
      <c r="BP479" s="64">
        <f>IFERROR(1/J479*(Y479/H479),"0")</f>
        <v>3.125E-2</v>
      </c>
    </row>
    <row r="480" spans="1:68" ht="27" hidden="1" customHeight="1" x14ac:dyDescent="0.25">
      <c r="A480" s="54" t="s">
        <v>727</v>
      </c>
      <c r="B480" s="54" t="s">
        <v>728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1.1111111111111112</v>
      </c>
      <c r="Y481" s="541">
        <f>IFERROR(Y479/H479,"0")+IFERROR(Y480/H480,"0")</f>
        <v>2</v>
      </c>
      <c r="Z481" s="541">
        <f>IFERROR(IF(Z479="",0,Z479),"0")+IFERROR(IF(Z480="",0,Z480),"0")</f>
        <v>3.7960000000000001E-2</v>
      </c>
      <c r="AA481" s="542"/>
      <c r="AB481" s="542"/>
      <c r="AC481" s="542"/>
    </row>
    <row r="482" spans="1:68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10</v>
      </c>
      <c r="Y482" s="541">
        <f>IFERROR(SUM(Y479:Y480),"0")</f>
        <v>18</v>
      </c>
      <c r="Z482" s="37"/>
      <c r="AA482" s="542"/>
      <c r="AB482" s="542"/>
      <c r="AC482" s="542"/>
    </row>
    <row r="483" spans="1:68" ht="16.5" hidden="1" customHeight="1" x14ac:dyDescent="0.25">
      <c r="A483" s="553" t="s">
        <v>730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731</v>
      </c>
      <c r="B485" s="54" t="s">
        <v>732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734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16098.85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16269.54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735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17158.982960774858</v>
      </c>
      <c r="Y489" s="541">
        <f>IFERROR(SUM(BN22:BN485),"0")</f>
        <v>17342.950999999997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736</v>
      </c>
      <c r="Q490" s="625"/>
      <c r="R490" s="625"/>
      <c r="S490" s="625"/>
      <c r="T490" s="625"/>
      <c r="U490" s="625"/>
      <c r="V490" s="626"/>
      <c r="W490" s="37" t="s">
        <v>737</v>
      </c>
      <c r="X490" s="38">
        <f>ROUNDUP(SUM(BO22:BO485),0)</f>
        <v>30</v>
      </c>
      <c r="Y490" s="38">
        <f>ROUNDUP(SUM(BP22:BP485),0)</f>
        <v>30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738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17908.982960774858</v>
      </c>
      <c r="Y491" s="541">
        <f>GrossWeightTotalR+PalletQtyTotalR*25</f>
        <v>18092.950999999997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739</v>
      </c>
      <c r="Q492" s="625"/>
      <c r="R492" s="625"/>
      <c r="S492" s="625"/>
      <c r="T492" s="625"/>
      <c r="U492" s="625"/>
      <c r="V492" s="626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3645.9290444549065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3677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740</v>
      </c>
      <c r="Q493" s="625"/>
      <c r="R493" s="625"/>
      <c r="S493" s="625"/>
      <c r="T493" s="625"/>
      <c r="U493" s="625"/>
      <c r="V493" s="626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34.042159999999996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251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583</v>
      </c>
      <c r="V495" s="591"/>
      <c r="W495" s="592"/>
      <c r="X495" s="536" t="s">
        <v>634</v>
      </c>
      <c r="Y495" s="571" t="s">
        <v>694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743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252</v>
      </c>
      <c r="J496" s="571" t="s">
        <v>297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448</v>
      </c>
      <c r="R496" s="571" t="s">
        <v>522</v>
      </c>
      <c r="S496" s="571" t="s">
        <v>533</v>
      </c>
      <c r="T496" s="571" t="s">
        <v>567</v>
      </c>
      <c r="U496" s="571" t="s">
        <v>584</v>
      </c>
      <c r="V496" s="571" t="s">
        <v>615</v>
      </c>
      <c r="W496" s="571" t="s">
        <v>630</v>
      </c>
      <c r="X496" s="571" t="s">
        <v>634</v>
      </c>
      <c r="Y496" s="571" t="s">
        <v>694</v>
      </c>
      <c r="Z496" s="571" t="s">
        <v>730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1016.4</v>
      </c>
      <c r="E498" s="46">
        <f>IFERROR(Y85*1,"0")+IFERROR(Y86*1,"0")+IFERROR(Y87*1,"0")+IFERROR(Y91*1,"0")+IFERROR(Y92*1,"0")+IFERROR(Y93*1,"0")+IFERROR(Y94*1,"0")</f>
        <v>982.80000000000007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1204.92</v>
      </c>
      <c r="G498" s="46">
        <f>IFERROR(Y124*1,"0")+IFERROR(Y125*1,"0")+IFERROR(Y129*1,"0")+IFERROR(Y130*1,"0")+IFERROR(Y134*1,"0")+IFERROR(Y135*1,"0")</f>
        <v>234.39999999999998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790.02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2439.6000000000004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130.6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220.8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964.6</v>
      </c>
      <c r="R498" s="46">
        <f>IFERROR(Y334*1,"0")+IFERROR(Y335*1,"0")+IFERROR(Y336*1,"0")</f>
        <v>1472.1000000000001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4940</v>
      </c>
      <c r="T498" s="46">
        <f>IFERROR(Y367*1,"0")+IFERROR(Y368*1,"0")+IFERROR(Y372*1,"0")+IFERROR(Y373*1,"0")+IFERROR(Y377*1,"0")+IFERROR(Y378*1,"0")</f>
        <v>186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71.400000000000006</v>
      </c>
      <c r="V498" s="46">
        <f>IFERROR(Y402*1,"0")+IFERROR(Y406*1,"0")+IFERROR(Y407*1,"0")+IFERROR(Y408*1,"0")+IFERROR(Y409*1,"0")</f>
        <v>14.700000000000001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904.80000000000007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468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78,00"/>
        <filter val="1 085,00"/>
        <filter val="1 260,00"/>
        <filter val="1 300,00"/>
        <filter val="1 470,00"/>
        <filter val="1 500,00"/>
        <filter val="1,11"/>
        <filter val="1,28"/>
        <filter val="10,00"/>
        <filter val="10,50"/>
        <filter val="100,00"/>
        <filter val="101,11"/>
        <filter val="102,00"/>
        <filter val="104,00"/>
        <filter val="105,00"/>
        <filter val="12,00"/>
        <filter val="120,00"/>
        <filter val="13,33"/>
        <filter val="133,00"/>
        <filter val="135,00"/>
        <filter val="14,00"/>
        <filter val="140,00"/>
        <filter val="148,00"/>
        <filter val="15,00"/>
        <filter val="150,00"/>
        <filter val="156,00"/>
        <filter val="16 098,85"/>
        <filter val="16,67"/>
        <filter val="17 158,98"/>
        <filter val="17 908,98"/>
        <filter val="18,00"/>
        <filter val="18,94"/>
        <filter val="180,00"/>
        <filter val="183,64"/>
        <filter val="19,44"/>
        <filter val="2,22"/>
        <filter val="2,75"/>
        <filter val="20,00"/>
        <filter val="208,00"/>
        <filter val="22,72"/>
        <filter val="220,00"/>
        <filter val="23,75"/>
        <filter val="24,50"/>
        <filter val="240,00"/>
        <filter val="245,00"/>
        <filter val="250,00"/>
        <filter val="26,40"/>
        <filter val="260,00"/>
        <filter val="27,50"/>
        <filter val="276,00"/>
        <filter val="3 645,93"/>
        <filter val="30"/>
        <filter val="30,00"/>
        <filter val="300,00"/>
        <filter val="301,43"/>
        <filter val="315,00"/>
        <filter val="33,33"/>
        <filter val="336,00"/>
        <filter val="340,00"/>
        <filter val="35,00"/>
        <filter val="36,67"/>
        <filter val="360,00"/>
        <filter val="380,00"/>
        <filter val="385,00"/>
        <filter val="4 080,00"/>
        <filter val="40,00"/>
        <filter val="403,91"/>
        <filter val="405,00"/>
        <filter val="411,11"/>
        <filter val="435,00"/>
        <filter val="440,00"/>
        <filter val="442,00"/>
        <filter val="450,00"/>
        <filter val="455,00"/>
        <filter val="48,00"/>
        <filter val="480,00"/>
        <filter val="5,56"/>
        <filter val="50,00"/>
        <filter val="51,00"/>
        <filter val="52,00"/>
        <filter val="525,00"/>
        <filter val="55,33"/>
        <filter val="555,00"/>
        <filter val="6,67"/>
        <filter val="6,94"/>
        <filter val="60,00"/>
        <filter val="64,00"/>
        <filter val="66,02"/>
        <filter val="690,00"/>
        <filter val="7,00"/>
        <filter val="7,50"/>
        <filter val="70,00"/>
        <filter val="700,00"/>
        <filter val="715,00"/>
        <filter val="748,00"/>
        <filter val="76,00"/>
        <filter val="77,00"/>
        <filter val="77,78"/>
        <filter val="78,33"/>
        <filter val="79,20"/>
        <filter val="8,00"/>
        <filter val="80,00"/>
        <filter val="800,00"/>
        <filter val="808,00"/>
        <filter val="84,89"/>
        <filter val="86,78"/>
        <filter val="88,00"/>
        <filter val="9,75"/>
        <filter val="90,00"/>
        <filter val="91,67"/>
        <filter val="92,22"/>
        <filter val="94,63"/>
        <filter val="98,77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