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C817060-0435-42B0-8E40-02A6AB70DC1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BP225" i="1" s="1"/>
  <c r="P225" i="1"/>
  <c r="X222" i="1"/>
  <c r="X221" i="1"/>
  <c r="BO220" i="1"/>
  <c r="BM220" i="1"/>
  <c r="Y220" i="1"/>
  <c r="BP220" i="1" s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Y188" i="1" s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O140" i="1"/>
  <c r="BM140" i="1"/>
  <c r="Y140" i="1"/>
  <c r="BP140" i="1" s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BP106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489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BP55" i="1" l="1"/>
  <c r="BN55" i="1"/>
  <c r="Z55" i="1"/>
  <c r="BP93" i="1"/>
  <c r="BN93" i="1"/>
  <c r="Z93" i="1"/>
  <c r="BP129" i="1"/>
  <c r="BN129" i="1"/>
  <c r="Z129" i="1"/>
  <c r="BP166" i="1"/>
  <c r="BN166" i="1"/>
  <c r="Z166" i="1"/>
  <c r="BP203" i="1"/>
  <c r="BN203" i="1"/>
  <c r="Z203" i="1"/>
  <c r="BP231" i="1"/>
  <c r="BN231" i="1"/>
  <c r="Z231" i="1"/>
  <c r="BP272" i="1"/>
  <c r="BN272" i="1"/>
  <c r="Z272" i="1"/>
  <c r="BP311" i="1"/>
  <c r="BN311" i="1"/>
  <c r="Z311" i="1"/>
  <c r="BP345" i="1"/>
  <c r="BN345" i="1"/>
  <c r="Z345" i="1"/>
  <c r="BP378" i="1"/>
  <c r="BN378" i="1"/>
  <c r="Z378" i="1"/>
  <c r="BP424" i="1"/>
  <c r="BN424" i="1"/>
  <c r="Z424" i="1"/>
  <c r="BP450" i="1"/>
  <c r="BN450" i="1"/>
  <c r="Z450" i="1"/>
  <c r="Y36" i="1"/>
  <c r="Y35" i="1"/>
  <c r="BP34" i="1"/>
  <c r="BN34" i="1"/>
  <c r="Z34" i="1"/>
  <c r="Z35" i="1" s="1"/>
  <c r="BP40" i="1"/>
  <c r="BN40" i="1"/>
  <c r="Z40" i="1"/>
  <c r="BP74" i="1"/>
  <c r="BN74" i="1"/>
  <c r="Z74" i="1"/>
  <c r="BP108" i="1"/>
  <c r="BN108" i="1"/>
  <c r="Z108" i="1"/>
  <c r="BP148" i="1"/>
  <c r="BN148" i="1"/>
  <c r="Z148" i="1"/>
  <c r="BP187" i="1"/>
  <c r="BN187" i="1"/>
  <c r="Z187" i="1"/>
  <c r="BP191" i="1"/>
  <c r="BN191" i="1"/>
  <c r="Z191" i="1"/>
  <c r="BP214" i="1"/>
  <c r="BN214" i="1"/>
  <c r="Z214" i="1"/>
  <c r="BP256" i="1"/>
  <c r="BN256" i="1"/>
  <c r="Z256" i="1"/>
  <c r="BP299" i="1"/>
  <c r="BN299" i="1"/>
  <c r="Z299" i="1"/>
  <c r="BP328" i="1"/>
  <c r="BN328" i="1"/>
  <c r="Z328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Y32" i="1"/>
  <c r="Y116" i="1"/>
  <c r="J9" i="1"/>
  <c r="Y149" i="1"/>
  <c r="BP301" i="1"/>
  <c r="BN301" i="1"/>
  <c r="Z301" i="1"/>
  <c r="BP315" i="1"/>
  <c r="BN315" i="1"/>
  <c r="Z315" i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F9" i="1"/>
  <c r="F10" i="1"/>
  <c r="Z22" i="1"/>
  <c r="Z23" i="1" s="1"/>
  <c r="BN22" i="1"/>
  <c r="BP22" i="1"/>
  <c r="Z26" i="1"/>
  <c r="Z31" i="1" s="1"/>
  <c r="BN26" i="1"/>
  <c r="BP26" i="1"/>
  <c r="Z30" i="1"/>
  <c r="BN30" i="1"/>
  <c r="Z42" i="1"/>
  <c r="BN42" i="1"/>
  <c r="Y57" i="1"/>
  <c r="Z53" i="1"/>
  <c r="BN53" i="1"/>
  <c r="Z61" i="1"/>
  <c r="BN61" i="1"/>
  <c r="Z72" i="1"/>
  <c r="BN72" i="1"/>
  <c r="Z80" i="1"/>
  <c r="BN80" i="1"/>
  <c r="Z85" i="1"/>
  <c r="Z88" i="1" s="1"/>
  <c r="BN85" i="1"/>
  <c r="Z91" i="1"/>
  <c r="BN91" i="1"/>
  <c r="BP91" i="1"/>
  <c r="Z100" i="1"/>
  <c r="BN100" i="1"/>
  <c r="Z106" i="1"/>
  <c r="BN106" i="1"/>
  <c r="Z112" i="1"/>
  <c r="BN112" i="1"/>
  <c r="BP112" i="1"/>
  <c r="Z125" i="1"/>
  <c r="BN125" i="1"/>
  <c r="Y131" i="1"/>
  <c r="Z135" i="1"/>
  <c r="BN135" i="1"/>
  <c r="Z140" i="1"/>
  <c r="BN140" i="1"/>
  <c r="Z146" i="1"/>
  <c r="BN146" i="1"/>
  <c r="BP146" i="1"/>
  <c r="Z164" i="1"/>
  <c r="BN164" i="1"/>
  <c r="Z168" i="1"/>
  <c r="BN168" i="1"/>
  <c r="Z176" i="1"/>
  <c r="BN176" i="1"/>
  <c r="Z197" i="1"/>
  <c r="BN197" i="1"/>
  <c r="Z201" i="1"/>
  <c r="BN201" i="1"/>
  <c r="Z207" i="1"/>
  <c r="BN207" i="1"/>
  <c r="Z211" i="1"/>
  <c r="BN211" i="1"/>
  <c r="Z212" i="1"/>
  <c r="BN212" i="1"/>
  <c r="Z220" i="1"/>
  <c r="BN220" i="1"/>
  <c r="Z225" i="1"/>
  <c r="BN225" i="1"/>
  <c r="Z229" i="1"/>
  <c r="BN229" i="1"/>
  <c r="Z233" i="1"/>
  <c r="BN233" i="1"/>
  <c r="Z249" i="1"/>
  <c r="BN249" i="1"/>
  <c r="Z258" i="1"/>
  <c r="BN258" i="1"/>
  <c r="Z267" i="1"/>
  <c r="BN267" i="1"/>
  <c r="Z274" i="1"/>
  <c r="BN274" i="1"/>
  <c r="Y286" i="1"/>
  <c r="Z291" i="1"/>
  <c r="BN291" i="1"/>
  <c r="BP293" i="1"/>
  <c r="BN293" i="1"/>
  <c r="Z293" i="1"/>
  <c r="BP309" i="1"/>
  <c r="BN309" i="1"/>
  <c r="Z309" i="1"/>
  <c r="Y326" i="1"/>
  <c r="BP321" i="1"/>
  <c r="BN321" i="1"/>
  <c r="Z321" i="1"/>
  <c r="Y325" i="1"/>
  <c r="BP330" i="1"/>
  <c r="BN330" i="1"/>
  <c r="Z330" i="1"/>
  <c r="Y338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80" i="1"/>
  <c r="Y454" i="1"/>
  <c r="Y453" i="1"/>
  <c r="Z57" i="1"/>
  <c r="Y31" i="1"/>
  <c r="Y43" i="1"/>
  <c r="Y58" i="1"/>
  <c r="Y64" i="1"/>
  <c r="Y69" i="1"/>
  <c r="BP73" i="1"/>
  <c r="BN73" i="1"/>
  <c r="Z73" i="1"/>
  <c r="BP86" i="1"/>
  <c r="BN86" i="1"/>
  <c r="Z86" i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BP141" i="1"/>
  <c r="BN141" i="1"/>
  <c r="Z141" i="1"/>
  <c r="Z143" i="1" s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Y275" i="1"/>
  <c r="BP329" i="1"/>
  <c r="BN329" i="1"/>
  <c r="Z329" i="1"/>
  <c r="Z331" i="1" s="1"/>
  <c r="Y331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Z69" i="1" s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Z462" i="1" s="1"/>
  <c r="Y468" i="1"/>
  <c r="BP465" i="1"/>
  <c r="BN465" i="1"/>
  <c r="Z465" i="1"/>
  <c r="BP481" i="1"/>
  <c r="BN481" i="1"/>
  <c r="Z481" i="1"/>
  <c r="Y483" i="1"/>
  <c r="Z499" i="1"/>
  <c r="Y487" i="1"/>
  <c r="BP486" i="1"/>
  <c r="BN486" i="1"/>
  <c r="Z486" i="1"/>
  <c r="Z487" i="1" s="1"/>
  <c r="Y488" i="1"/>
  <c r="Z468" i="1" l="1"/>
  <c r="Z453" i="1"/>
  <c r="Z411" i="1"/>
  <c r="Z399" i="1"/>
  <c r="Z380" i="1"/>
  <c r="Z275" i="1"/>
  <c r="Z103" i="1"/>
  <c r="Y491" i="1"/>
  <c r="Y492" i="1" s="1"/>
  <c r="Y490" i="1"/>
  <c r="Y493" i="1"/>
  <c r="Z482" i="1"/>
  <c r="Z325" i="1"/>
  <c r="Z221" i="1"/>
  <c r="Z172" i="1"/>
  <c r="Z235" i="1"/>
  <c r="Z216" i="1"/>
  <c r="Z126" i="1"/>
  <c r="Z76" i="1"/>
  <c r="Z394" i="1"/>
  <c r="Y489" i="1"/>
  <c r="Z204" i="1"/>
  <c r="Z178" i="1"/>
  <c r="Z438" i="1"/>
  <c r="Z447" i="1"/>
  <c r="Z432" i="1"/>
  <c r="Z305" i="1"/>
  <c r="Z295" i="1"/>
  <c r="Z312" i="1"/>
  <c r="Z63" i="1"/>
  <c r="X492" i="1"/>
  <c r="Z268" i="1"/>
  <c r="Z260" i="1"/>
  <c r="Z251" i="1"/>
  <c r="Z494" i="1" l="1"/>
</calcChain>
</file>

<file path=xl/sharedStrings.xml><?xml version="1.0" encoding="utf-8"?>
<sst xmlns="http://schemas.openxmlformats.org/spreadsheetml/2006/main" count="2283" uniqueCount="768">
  <si>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</si>
  <si>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</si>
  <si>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</si>
  <si>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</si>
  <si>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</si>
  <si>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</si>
  <si>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</si>
  <si>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</si>
  <si>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</si>
  <si>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</si>
  <si>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</si>
  <si>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</si>
  <si>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</si>
  <si>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</si>
  <si>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</si>
  <si>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</si>
  <si>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</si>
  <si>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</si>
  <si>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</si>
  <si>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</si>
  <si>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</si>
  <si>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</si>
  <si>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</si>
  <si>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</si>
  <si>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</si>
  <si>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</si>
  <si>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</si>
  <si>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</si>
  <si>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</si>
  <si>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</si>
  <si>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</si>
  <si>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</si>
  <si>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</si>
  <si>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</si>
  <si>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</si>
  <si>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</si>
  <si>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</si>
  <si>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</si>
  <si>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</si>
  <si>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</si>
  <si>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</si>
  <si>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</si>
  <si>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</si>
  <si>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</si>
  <si>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</si>
  <si>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</si>
  <si>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</si>
  <si>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</si>
  <si>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</si>
  <si>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</si>
  <si>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</si>
  <si>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</si>
  <si>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</si>
  <si>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</si>
  <si>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</si>
  <si>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</si>
  <si>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</si>
  <si>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</si>
  <si>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</si>
  <si>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</si>
  <si>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</si>
  <si>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</si>
  <si>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</si>
  <si>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</si>
  <si>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</si>
  <si>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</si>
  <si>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</si>
  <si>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</si>
  <si>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</si>
  <si>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</si>
  <si>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</si>
  <si>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</si>
  <si>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</si>
  <si>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</si>
  <si>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</si>
  <si>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</si>
  <si>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</si>
  <si>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</si>
  <si>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</si>
  <si>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</si>
  <si>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</si>
  <si>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</si>
  <si>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</si>
  <si>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</si>
  <si>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</si>
  <si>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</si>
  <si>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</si>
  <si>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</si>
  <si>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</si>
  <si>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</si>
  <si>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</si>
  <si>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</si>
  <si>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</si>
  <si>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</si>
  <si>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</si>
  <si>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</si>
  <si>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</si>
  <si>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</si>
  <si>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</si>
  <si>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</si>
  <si>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</si>
  <si>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</si>
  <si>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</si>
  <si>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</si>
  <si>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</si>
  <si>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</si>
  <si>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</si>
  <si>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</si>
  <si>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</si>
  <si>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</si>
  <si>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</si>
  <si>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</si>
  <si>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</si>
  <si>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</si>
  <si>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</si>
  <si>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</si>
  <si>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</si>
  <si>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</si>
  <si>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</si>
  <si>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</si>
  <si>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</si>
  <si>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</si>
  <si>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</si>
  <si>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</si>
  <si>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</si>
  <si>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</si>
  <si>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</si>
  <si>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</si>
  <si>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</si>
  <si>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</si>
  <si>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</si>
  <si>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</si>
  <si>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</si>
  <si>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</si>
  <si>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</si>
  <si>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</si>
  <si>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</si>
  <si>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</si>
  <si>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</si>
  <si>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</si>
  <si>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</si>
  <si>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</si>
  <si>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</si>
  <si>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</si>
  <si>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</si>
  <si>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</si>
  <si>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</si>
  <si>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</si>
  <si>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</si>
  <si>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</si>
  <si>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</si>
  <si>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</si>
  <si>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</si>
  <si>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</si>
  <si>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</si>
  <si>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</si>
  <si>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</si>
  <si>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</si>
  <si>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</si>
  <si>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</si>
  <si>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</si>
  <si>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</si>
  <si>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</si>
  <si>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</si>
  <si>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</si>
  <si>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</si>
  <si>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</si>
  <si>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</si>
  <si>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</si>
  <si>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</si>
  <si>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</si>
  <si>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</si>
  <si>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</si>
  <si>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</si>
  <si>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</si>
  <si>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</si>
  <si>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</si>
  <si>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</si>
  <si>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</si>
  <si>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</si>
  <si>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</si>
  <si>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</si>
  <si>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</si>
  <si>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</si>
  <si>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</si>
  <si>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</si>
  <si>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</si>
  <si>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</si>
  <si>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</si>
  <si>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</si>
  <si>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</si>
  <si>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</si>
  <si>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</si>
  <si>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</si>
  <si>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</si>
  <si>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</si>
  <si>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</si>
  <si>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</si>
  <si>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</si>
  <si>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</si>
  <si>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</si>
  <si>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</si>
  <si>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</si>
  <si>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</si>
  <si>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</si>
  <si>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</si>
  <si>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</si>
  <si>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</si>
  <si>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</si>
  <si>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</si>
  <si>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</si>
  <si>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</si>
  <si>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</si>
  <si>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</si>
  <si>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</si>
  <si>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</si>
  <si>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</si>
  <si>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</si>
  <si>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</si>
  <si>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</si>
  <si>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</si>
  <si>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</si>
  <si>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</si>
  <si>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</si>
  <si>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</si>
  <si>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</si>
  <si>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</si>
  <si>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</si>
  <si>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</si>
  <si>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</si>
  <si>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</si>
  <si>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</si>
  <si>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</si>
  <si>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</si>
  <si>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</si>
  <si>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</si>
  <si>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</si>
  <si>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</si>
  <si>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</si>
  <si>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</si>
  <si>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</si>
  <si>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</si>
  <si>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</si>
  <si>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</si>
  <si>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</si>
  <si>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</si>
  <si>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</si>
  <si>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</si>
  <si>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</si>
  <si>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</si>
  <si>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</si>
  <si>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</si>
  <si>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</si>
  <si>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</si>
  <si>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</si>
  <si>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</si>
  <si>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</si>
  <si>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</si>
  <si>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</si>
  <si>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</si>
  <si>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</si>
  <si>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</si>
  <si>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</si>
  <si>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</si>
  <si>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</si>
  <si>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</si>
  <si>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</si>
  <si>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</si>
  <si>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</si>
  <si>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</si>
  <si>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</si>
  <si>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</si>
  <si>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</si>
  <si>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</si>
  <si>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</si>
  <si>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</si>
  <si>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</si>
  <si>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</si>
  <si>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</si>
  <si>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</si>
  <si>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</si>
  <si>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</si>
  <si>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</si>
  <si>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</si>
  <si>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</si>
  <si>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</si>
  <si>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</si>
  <si>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</si>
  <si>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</si>
  <si>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</si>
  <si>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</si>
  <si>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</si>
  <si>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</si>
  <si>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</si>
  <si>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</si>
  <si>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</si>
  <si>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</si>
  <si>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</si>
  <si>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</si>
  <si>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</si>
  <si>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</si>
  <si>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</si>
  <si>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</si>
  <si>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</si>
  <si>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</si>
  <si>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</si>
  <si>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</si>
  <si>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</si>
  <si>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</si>
  <si>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</si>
  <si>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</si>
  <si>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</si>
  <si>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</si>
  <si>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</si>
  <si>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</si>
  <si>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</si>
  <si>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</si>
  <si>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</si>
  <si>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</si>
  <si>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</si>
  <si>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</si>
  <si>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</si>
  <si>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</si>
  <si>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</si>
  <si>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</si>
  <si>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</si>
  <si>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</si>
  <si>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</si>
  <si>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</si>
  <si>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</si>
  <si>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</si>
  <si>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</si>
  <si>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</si>
  <si>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</si>
  <si>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</si>
  <si>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</si>
  <si>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</si>
  <si>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</si>
  <si>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</si>
  <si>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</si>
  <si>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</si>
  <si>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</si>
  <si>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</si>
  <si>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</si>
  <si>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</si>
  <si>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</si>
  <si>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</si>
  <si>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</si>
  <si>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</si>
  <si>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</si>
  <si>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</si>
  <si>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</si>
  <si>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</si>
  <si>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</si>
  <si>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</si>
  <si>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</si>
  <si>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</si>
  <si>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</si>
  <si>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</si>
  <si>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</si>
  <si>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</si>
  <si>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</si>
  <si>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</si>
  <si>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</si>
  <si>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</si>
  <si>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</si>
  <si>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</si>
  <si>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</si>
  <si>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</si>
  <si>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</si>
  <si>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</si>
  <si>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</si>
  <si>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</si>
  <si>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</si>
  <si>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</si>
  <si>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</si>
  <si>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</si>
  <si>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</si>
  <si>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</si>
  <si>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</si>
  <si>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</si>
  <si>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</si>
  <si>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</si>
  <si>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</si>
  <si>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</si>
  <si>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</si>
  <si>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</si>
  <si>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</si>
  <si>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</si>
  <si>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</si>
  <si>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</si>
  <si>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</si>
  <si>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</si>
  <si>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</si>
  <si>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</si>
  <si>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</si>
  <si>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</si>
  <si>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</si>
  <si>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</si>
  <si>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</si>
  <si>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</si>
  <si>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</si>
  <si>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</si>
  <si>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</si>
  <si>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</si>
  <si>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</si>
  <si>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</si>
  <si>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</si>
  <si>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</si>
  <si>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</si>
  <si>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</si>
  <si>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</si>
  <si>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</si>
  <si>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</si>
  <si>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</si>
  <si>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</si>
  <si>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</si>
  <si>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</si>
  <si>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</si>
  <si>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</si>
  <si>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</si>
  <si>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</si>
  <si>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</si>
  <si>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</si>
  <si>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</si>
  <si>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</si>
  <si>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</si>
  <si>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</si>
  <si>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</si>
  <si>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</si>
  <si>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</si>
  <si>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</si>
  <si>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</si>
  <si>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</si>
  <si>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</si>
  <si>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</si>
  <si>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</si>
  <si>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</si>
  <si>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</si>
  <si>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</si>
  <si>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</si>
  <si>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</si>
  <si>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</si>
  <si>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</si>
  <si>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</si>
  <si>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</si>
  <si>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</si>
  <si>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</si>
  <si>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</si>
  <si>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</si>
  <si>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</si>
  <si>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</si>
  <si>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</si>
  <si>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</si>
  <si>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</si>
  <si>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</si>
  <si>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</si>
  <si>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</si>
  <si>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</si>
  <si>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</si>
  <si>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</si>
  <si>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</si>
  <si>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</si>
  <si>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</si>
  <si>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</si>
  <si>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</si>
  <si>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</si>
  <si>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</si>
  <si>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</si>
  <si>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</si>
  <si>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</si>
  <si>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</si>
  <si>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</si>
  <si>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</si>
  <si>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</si>
  <si>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</si>
  <si>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</si>
  <si>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</si>
  <si>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</si>
  <si>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</si>
  <si>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</si>
  <si>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</si>
  <si>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</si>
  <si>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</si>
  <si>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</si>
  <si>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</si>
  <si>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</si>
  <si>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</si>
  <si>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</si>
  <si>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</si>
  <si>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</si>
  <si>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</si>
  <si>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</si>
  <si>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</si>
  <si>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</si>
  <si>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</si>
  <si>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</si>
  <si>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</si>
  <si>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</si>
  <si>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</si>
  <si>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</si>
  <si>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</si>
  <si>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</si>
  <si>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</si>
  <si>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</si>
  <si>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</si>
  <si>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</si>
  <si>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</si>
  <si>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</si>
  <si>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</si>
  <si>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</si>
  <si>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</si>
  <si>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</si>
  <si>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</si>
  <si>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</si>
  <si>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</si>
  <si>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</si>
  <si>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</si>
  <si>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</si>
  <si>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</si>
  <si>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</si>
  <si>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</si>
  <si>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</si>
  <si>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</si>
  <si>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</si>
  <si>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</si>
  <si>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</si>
  <si>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</si>
  <si>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</si>
  <si>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</si>
  <si>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</si>
  <si>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</si>
  <si>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</si>
  <si>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</si>
  <si>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</si>
  <si>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</si>
  <si>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</si>
  <si>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</si>
  <si>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</si>
  <si>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</si>
  <si>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</si>
  <si>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</si>
  <si>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</si>
  <si>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</si>
  <si>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</si>
  <si>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</si>
  <si>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</si>
  <si>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</si>
  <si>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</si>
  <si>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</si>
  <si>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</si>
  <si>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</si>
  <si>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</si>
  <si>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</si>
  <si>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</si>
  <si>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</si>
  <si>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</si>
  <si>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</si>
  <si>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</si>
  <si>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</si>
  <si>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</si>
  <si>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</si>
  <si>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</si>
  <si>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</si>
  <si>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</si>
  <si>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</si>
  <si>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</si>
  <si>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</si>
  <si>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</si>
  <si>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</si>
  <si>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</si>
  <si>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</si>
  <si>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</si>
  <si>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</si>
  <si>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</si>
  <si>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</si>
  <si>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</si>
  <si>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</si>
  <si>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</si>
  <si>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</si>
  <si>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</si>
  <si>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</si>
  <si>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</si>
  <si>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</si>
  <si>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</si>
  <si>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</si>
  <si>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</si>
  <si>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</si>
  <si>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</si>
  <si>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</si>
  <si>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</si>
  <si>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</si>
  <si>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</si>
  <si>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</si>
  <si>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</si>
  <si>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</si>
  <si>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</si>
  <si>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</si>
  <si>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</si>
  <si>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</si>
  <si>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</si>
  <si>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</si>
  <si>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</si>
  <si>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</si>
  <si>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</si>
  <si>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</si>
  <si>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</si>
  <si>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</si>
  <si>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</si>
  <si>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</si>
  <si>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</si>
  <si>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</si>
  <si>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</si>
  <si>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</si>
  <si>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</si>
  <si>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</si>
  <si>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</si>
  <si>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</si>
  <si>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</si>
  <si>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</si>
  <si>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</si>
  <si>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</si>
  <si>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</si>
  <si>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</si>
  <si>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</si>
  <si>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</si>
  <si>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</si>
  <si>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</si>
  <si>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</si>
  <si>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</si>
  <si>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</si>
  <si>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</si>
  <si>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</si>
  <si>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</si>
  <si>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</si>
  <si>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</si>
  <si>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</si>
  <si>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</si>
  <si>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</si>
  <si>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</si>
  <si>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</si>
  <si>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</si>
  <si>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</si>
  <si>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</si>
  <si>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</si>
  <si>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</si>
  <si>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</si>
  <si>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</si>
  <si>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</si>
  <si>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</si>
  <si>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</si>
  <si>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</si>
  <si>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</si>
  <si>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</si>
  <si>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</si>
  <si>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</si>
  <si>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</si>
  <si>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</si>
  <si>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</si>
  <si>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</si>
  <si>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</si>
  <si>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</si>
  <si>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</si>
  <si>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</si>
  <si>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</si>
  <si>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</si>
  <si>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</si>
  <si>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</si>
  <si>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</si>
  <si>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</si>
  <si>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</si>
  <si>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</si>
  <si>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</si>
  <si>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</si>
  <si>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</si>
  <si>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</si>
  <si>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</si>
  <si>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</si>
  <si>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</si>
  <si>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</si>
  <si>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</si>
  <si>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</si>
  <si>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</si>
  <si>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</si>
  <si>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</si>
  <si>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</si>
  <si>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</si>
  <si>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</si>
  <si>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</si>
  <si>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</si>
  <si>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</si>
  <si>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</si>
  <si>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</si>
  <si>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</si>
  <si>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</si>
  <si>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</si>
  <si>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</si>
  <si>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</si>
  <si>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</si>
  <si>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</si>
  <si>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</si>
  <si>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</si>
  <si>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</si>
  <si>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</si>
  <si>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</si>
  <si>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</si>
  <si>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</si>
  <si>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</si>
  <si>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</si>
  <si>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</si>
  <si>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</si>
  <si>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</si>
  <si>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</si>
  <si>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</si>
  <si>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</si>
  <si>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</si>
  <si>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</si>
  <si>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</si>
  <si>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</si>
  <si>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</si>
  <si>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</si>
  <si>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</si>
  <si>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</si>
  <si>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</si>
  <si>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</si>
  <si>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</si>
  <si>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</si>
  <si>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</si>
  <si>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</si>
  <si>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</si>
  <si>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</si>
  <si>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</si>
  <si>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</si>
  <si>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</si>
  <si>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</si>
  <si>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</si>
  <si>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</si>
  <si>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</si>
  <si>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</si>
  <si>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</si>
  <si>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</si>
  <si>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</si>
  <si>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</si>
  <si>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</si>
  <si>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</si>
  <si>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</si>
  <si>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</si>
  <si>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</si>
  <si>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</si>
  <si>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</si>
  <si>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</si>
  <si>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</si>
  <si>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</si>
  <si>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</si>
  <si>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</si>
  <si>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</si>
  <si>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</si>
  <si>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</si>
  <si>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</si>
  <si>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</si>
  <si>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</si>
  <si>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</si>
  <si>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</si>
  <si>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</si>
  <si>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</si>
  <si>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</si>
  <si>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</si>
  <si>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26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</si>
</sst>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45977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Воскресенье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0.45833333333333331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211</v>
      </c>
      <c r="Y52" s="542">
        <f t="shared" si="0"/>
        <v>216</v>
      </c>
      <c r="Z52" s="36">
        <f>IFERROR(IF(Y52=0,"",ROUNDUP(Y52/H52,0)*0.01898),"")</f>
        <v>0.37959999999999999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219.01018518518521</v>
      </c>
      <c r="BN52" s="64">
        <f t="shared" si="2"/>
        <v>224.2</v>
      </c>
      <c r="BO52" s="64">
        <f t="shared" si="3"/>
        <v>0.30526620370370366</v>
      </c>
      <c r="BP52" s="64">
        <f t="shared" si="4"/>
        <v>0.3125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19.537037037037035</v>
      </c>
      <c r="Y57" s="543">
        <f>IFERROR(Y51/H51,"0")+IFERROR(Y52/H52,"0")+IFERROR(Y53/H53,"0")+IFERROR(Y54/H54,"0")+IFERROR(Y55/H55,"0")+IFERROR(Y56/H56,"0")</f>
        <v>20</v>
      </c>
      <c r="Z57" s="543">
        <f>IFERROR(IF(Z51="",0,Z51),"0")+IFERROR(IF(Z52="",0,Z52),"0")+IFERROR(IF(Z53="",0,Z53),"0")+IFERROR(IF(Z54="",0,Z54),"0")+IFERROR(IF(Z55="",0,Z55),"0")+IFERROR(IF(Z56="",0,Z56),"0")</f>
        <v>0.37959999999999999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211</v>
      </c>
      <c r="Y58" s="543">
        <f>IFERROR(SUM(Y51:Y56),"0")</f>
        <v>216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86</v>
      </c>
      <c r="Y60" s="542">
        <f>IFERROR(IF(X60="",0,CEILING((X60/$H60),1)*$H60),"")</f>
        <v>86.4</v>
      </c>
      <c r="Z60" s="36">
        <f>IFERROR(IF(Y60=0,"",ROUNDUP(Y60/H60,0)*0.01898),"")</f>
        <v>0.15184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89.264814814814812</v>
      </c>
      <c r="BN60" s="64">
        <f>IFERROR(Y60*I60/H60,"0")</f>
        <v>89.68</v>
      </c>
      <c r="BO60" s="64">
        <f>IFERROR(1/J60*(X60/H60),"0")</f>
        <v>0.12442129629629629</v>
      </c>
      <c r="BP60" s="64">
        <f>IFERROR(1/J60*(Y60/H60),"0")</f>
        <v>0.125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7.9629629629629628</v>
      </c>
      <c r="Y63" s="543">
        <f>IFERROR(Y60/H60,"0")+IFERROR(Y61/H61,"0")+IFERROR(Y62/H62,"0")</f>
        <v>8</v>
      </c>
      <c r="Z63" s="543">
        <f>IFERROR(IF(Z60="",0,Z60),"0")+IFERROR(IF(Z61="",0,Z61),"0")+IFERROR(IF(Z62="",0,Z62),"0")</f>
        <v>0.15184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86</v>
      </c>
      <c r="Y64" s="543">
        <f>IFERROR(SUM(Y60:Y62),"0")</f>
        <v>86.4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56</v>
      </c>
      <c r="Y79" s="542">
        <f>IFERROR(IF(X79="",0,CEILING((X79/$H79),1)*$H79),"")</f>
        <v>62.4</v>
      </c>
      <c r="Z79" s="36">
        <f>IFERROR(IF(Y79=0,"",ROUNDUP(Y79/H79,0)*0.01898),"")</f>
        <v>0.15184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58.943589743589754</v>
      </c>
      <c r="BN79" s="64">
        <f>IFERROR(Y79*I79/H79,"0")</f>
        <v>65.680000000000007</v>
      </c>
      <c r="BO79" s="64">
        <f>IFERROR(1/J79*(X79/H79),"0")</f>
        <v>0.11217948717948718</v>
      </c>
      <c r="BP79" s="64">
        <f>IFERROR(1/J79*(Y79/H79),"0")</f>
        <v>0.125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7.1794871794871797</v>
      </c>
      <c r="Y81" s="543">
        <f>IFERROR(Y79/H79,"0")+IFERROR(Y80/H80,"0")</f>
        <v>8</v>
      </c>
      <c r="Z81" s="543">
        <f>IFERROR(IF(Z79="",0,Z79),"0")+IFERROR(IF(Z80="",0,Z80),"0")</f>
        <v>0.15184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56</v>
      </c>
      <c r="Y82" s="543">
        <f>IFERROR(SUM(Y79:Y80),"0")</f>
        <v>62.4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737</v>
      </c>
      <c r="Y85" s="542">
        <f>IFERROR(IF(X85="",0,CEILING((X85/$H85),1)*$H85),"")</f>
        <v>745.2</v>
      </c>
      <c r="Z85" s="36">
        <f>IFERROR(IF(Y85=0,"",ROUNDUP(Y85/H85,0)*0.01898),"")</f>
        <v>1.30962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764.97870370370367</v>
      </c>
      <c r="BN85" s="64">
        <f>IFERROR(Y85*I85/H85,"0")</f>
        <v>773.49</v>
      </c>
      <c r="BO85" s="64">
        <f>IFERROR(1/J85*(X85/H85),"0")</f>
        <v>1.066261574074074</v>
      </c>
      <c r="BP85" s="64">
        <f>IFERROR(1/J85*(Y85/H85),"0")</f>
        <v>1.078125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112</v>
      </c>
      <c r="Y87" s="542">
        <f>IFERROR(IF(X87="",0,CEILING((X87/$H87),1)*$H87),"")</f>
        <v>112.5</v>
      </c>
      <c r="Z87" s="36">
        <f>IFERROR(IF(Y87=0,"",ROUNDUP(Y87/H87,0)*0.00902),"")</f>
        <v>0.22550000000000001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116.7288888888889</v>
      </c>
      <c r="BN87" s="64">
        <f>IFERROR(Y87*I87/H87,"0")</f>
        <v>117.25</v>
      </c>
      <c r="BO87" s="64">
        <f>IFERROR(1/J87*(X87/H87),"0")</f>
        <v>0.18855218855218855</v>
      </c>
      <c r="BP87" s="64">
        <f>IFERROR(1/J87*(Y87/H87),"0")</f>
        <v>0.18939393939393939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93.129629629629619</v>
      </c>
      <c r="Y88" s="543">
        <f>IFERROR(Y85/H85,"0")+IFERROR(Y86/H86,"0")+IFERROR(Y87/H87,"0")</f>
        <v>94</v>
      </c>
      <c r="Z88" s="543">
        <f>IFERROR(IF(Z85="",0,Z85),"0")+IFERROR(IF(Z86="",0,Z86),"0")+IFERROR(IF(Z87="",0,Z87),"0")</f>
        <v>1.53512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849</v>
      </c>
      <c r="Y89" s="543">
        <f>IFERROR(SUM(Y85:Y87),"0")</f>
        <v>857.7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249</v>
      </c>
      <c r="Y91" s="542">
        <f>IFERROR(IF(X91="",0,CEILING((X91/$H91),1)*$H91),"")</f>
        <v>251.1</v>
      </c>
      <c r="Z91" s="36">
        <f>IFERROR(IF(Y91=0,"",ROUNDUP(Y91/H91,0)*0.01898),"")</f>
        <v>0.58838000000000001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264.18592592592591</v>
      </c>
      <c r="BN91" s="64">
        <f>IFERROR(Y91*I91/H91,"0")</f>
        <v>266.41399999999999</v>
      </c>
      <c r="BO91" s="64">
        <f>IFERROR(1/J91*(X91/H91),"0")</f>
        <v>0.48032407407407407</v>
      </c>
      <c r="BP91" s="64">
        <f>IFERROR(1/J91*(Y91/H91),"0")</f>
        <v>0.484375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305</v>
      </c>
      <c r="Y93" s="542">
        <f>IFERROR(IF(X93="",0,CEILING((X93/$H93),1)*$H93),"")</f>
        <v>305.10000000000002</v>
      </c>
      <c r="Z93" s="36">
        <f>IFERROR(IF(Y93=0,"",ROUNDUP(Y93/H93,0)*0.00651),"")</f>
        <v>0.73563000000000001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333.46666666666664</v>
      </c>
      <c r="BN93" s="64">
        <f>IFERROR(Y93*I93/H93,"0")</f>
        <v>333.57599999999996</v>
      </c>
      <c r="BO93" s="64">
        <f>IFERROR(1/J93*(X93/H93),"0")</f>
        <v>0.62067562067562076</v>
      </c>
      <c r="BP93" s="64">
        <f>IFERROR(1/J93*(Y93/H93),"0")</f>
        <v>0.62087912087912089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143.7037037037037</v>
      </c>
      <c r="Y95" s="543">
        <f>IFERROR(Y91/H91,"0")+IFERROR(Y92/H92,"0")+IFERROR(Y93/H93,"0")+IFERROR(Y94/H94,"0")</f>
        <v>144</v>
      </c>
      <c r="Z95" s="543">
        <f>IFERROR(IF(Z91="",0,Z91),"0")+IFERROR(IF(Z92="",0,Z92),"0")+IFERROR(IF(Z93="",0,Z93),"0")+IFERROR(IF(Z94="",0,Z94),"0")</f>
        <v>1.3240099999999999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554</v>
      </c>
      <c r="Y96" s="543">
        <f>IFERROR(SUM(Y91:Y94),"0")</f>
        <v>556.20000000000005</v>
      </c>
      <c r="Z96" s="37"/>
      <c r="AA96" s="544"/>
      <c r="AB96" s="544"/>
      <c r="AC96" s="544"/>
    </row>
    <row r="97" spans="1:68" ht="16.5" hidden="1" customHeight="1" x14ac:dyDescent="0.25">
      <c r="A97" s="566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197</v>
      </c>
      <c r="Y99" s="542">
        <f>IFERROR(IF(X99="",0,CEILING((X99/$H99),1)*$H99),"")</f>
        <v>205.20000000000002</v>
      </c>
      <c r="Z99" s="36">
        <f>IFERROR(IF(Y99=0,"",ROUNDUP(Y99/H99,0)*0.01898),"")</f>
        <v>0.36062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204.47870370370373</v>
      </c>
      <c r="BN99" s="64">
        <f>IFERROR(Y99*I99/H99,"0")</f>
        <v>212.99</v>
      </c>
      <c r="BO99" s="64">
        <f>IFERROR(1/J99*(X99/H99),"0")</f>
        <v>0.28501157407407407</v>
      </c>
      <c r="BP99" s="64">
        <f>IFERROR(1/J99*(Y99/H99),"0")</f>
        <v>0.296875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167</v>
      </c>
      <c r="Y101" s="542">
        <f>IFERROR(IF(X101="",0,CEILING((X101/$H101),1)*$H101),"")</f>
        <v>171</v>
      </c>
      <c r="Z101" s="36">
        <f>IFERROR(IF(Y101=0,"",ROUNDUP(Y101/H101,0)*0.00902),"")</f>
        <v>0.34276000000000001</v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174.05111111111111</v>
      </c>
      <c r="BN101" s="64">
        <f>IFERROR(Y101*I101/H101,"0")</f>
        <v>178.22000000000003</v>
      </c>
      <c r="BO101" s="64">
        <f>IFERROR(1/J101*(X101/H101),"0")</f>
        <v>0.2811447811447812</v>
      </c>
      <c r="BP101" s="64">
        <f>IFERROR(1/J101*(Y101/H101),"0")</f>
        <v>0.2878787878787879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55.351851851851855</v>
      </c>
      <c r="Y103" s="543">
        <f>IFERROR(Y99/H99,"0")+IFERROR(Y100/H100,"0")+IFERROR(Y101/H101,"0")+IFERROR(Y102/H102,"0")</f>
        <v>57</v>
      </c>
      <c r="Z103" s="543">
        <f>IFERROR(IF(Z99="",0,Z99),"0")+IFERROR(IF(Z100="",0,Z100),"0")+IFERROR(IF(Z101="",0,Z101),"0")+IFERROR(IF(Z102="",0,Z102),"0")</f>
        <v>0.70338000000000001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364</v>
      </c>
      <c r="Y104" s="543">
        <f>IFERROR(SUM(Y99:Y102),"0")</f>
        <v>376.20000000000005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272</v>
      </c>
      <c r="Y112" s="542">
        <f>IFERROR(IF(X112="",0,CEILING((X112/$H112),1)*$H112),"")</f>
        <v>275.39999999999998</v>
      </c>
      <c r="Z112" s="36">
        <f>IFERROR(IF(Y112=0,"",ROUNDUP(Y112/H112,0)*0.01898),"")</f>
        <v>0.64532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288.38716049382714</v>
      </c>
      <c r="BN112" s="64">
        <f>IFERROR(Y112*I112/H112,"0")</f>
        <v>291.99199999999996</v>
      </c>
      <c r="BO112" s="64">
        <f>IFERROR(1/J112*(X112/H112),"0")</f>
        <v>0.52469135802469136</v>
      </c>
      <c r="BP112" s="64">
        <f>IFERROR(1/J112*(Y112/H112),"0")</f>
        <v>0.53125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553</v>
      </c>
      <c r="Y114" s="542">
        <f>IFERROR(IF(X114="",0,CEILING((X114/$H114),1)*$H114),"")</f>
        <v>553.5</v>
      </c>
      <c r="Z114" s="36">
        <f>IFERROR(IF(Y114=0,"",ROUNDUP(Y114/H114,0)*0.00651),"")</f>
        <v>1.3345500000000001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604.61333333333323</v>
      </c>
      <c r="BN114" s="64">
        <f>IFERROR(Y114*I114/H114,"0")</f>
        <v>605.16</v>
      </c>
      <c r="BO114" s="64">
        <f>IFERROR(1/J114*(X114/H114),"0")</f>
        <v>1.1253561253561255</v>
      </c>
      <c r="BP114" s="64">
        <f>IFERROR(1/J114*(Y114/H114),"0")</f>
        <v>1.1263736263736264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238.39506172839506</v>
      </c>
      <c r="Y116" s="543">
        <f>IFERROR(Y112/H112,"0")+IFERROR(Y113/H113,"0")+IFERROR(Y114/H114,"0")+IFERROR(Y115/H115,"0")</f>
        <v>239</v>
      </c>
      <c r="Z116" s="543">
        <f>IFERROR(IF(Z112="",0,Z112),"0")+IFERROR(IF(Z113="",0,Z113),"0")+IFERROR(IF(Z114="",0,Z114),"0")+IFERROR(IF(Z115="",0,Z115),"0")</f>
        <v>1.97987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825</v>
      </c>
      <c r="Y117" s="543">
        <f>IFERROR(SUM(Y112:Y115),"0")</f>
        <v>828.9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59</v>
      </c>
      <c r="Y163" s="542">
        <f t="shared" si="5"/>
        <v>63</v>
      </c>
      <c r="Z163" s="36">
        <f>IFERROR(IF(Y163=0,"",ROUNDUP(Y163/H163,0)*0.00902),"")</f>
        <v>0.1353</v>
      </c>
      <c r="AA163" s="56"/>
      <c r="AB163" s="57"/>
      <c r="AC163" s="195" t="s">
        <v>266</v>
      </c>
      <c r="AG163" s="64"/>
      <c r="AJ163" s="68"/>
      <c r="AK163" s="68">
        <v>0</v>
      </c>
      <c r="BB163" s="196" t="s">
        <v>1</v>
      </c>
      <c r="BM163" s="64">
        <f t="shared" si="6"/>
        <v>62.511904761904759</v>
      </c>
      <c r="BN163" s="64">
        <f t="shared" si="7"/>
        <v>66.75</v>
      </c>
      <c r="BO163" s="64">
        <f t="shared" si="8"/>
        <v>0.10642135642135642</v>
      </c>
      <c r="BP163" s="64">
        <f t="shared" si="9"/>
        <v>0.11363636363636365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96</v>
      </c>
      <c r="Y165" s="542">
        <f t="shared" si="5"/>
        <v>96.600000000000009</v>
      </c>
      <c r="Z165" s="36">
        <f>IFERROR(IF(Y165=0,"",ROUNDUP(Y165/H165,0)*0.00902),"")</f>
        <v>0.20746000000000001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100.34285714285713</v>
      </c>
      <c r="BN165" s="64">
        <f t="shared" si="7"/>
        <v>100.97</v>
      </c>
      <c r="BO165" s="64">
        <f t="shared" si="8"/>
        <v>0.17316017316017318</v>
      </c>
      <c r="BP165" s="64">
        <f t="shared" si="9"/>
        <v>0.17424242424242425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35</v>
      </c>
      <c r="Y166" s="542">
        <f t="shared" si="5"/>
        <v>35.700000000000003</v>
      </c>
      <c r="Z166" s="36">
        <f>IFERROR(IF(Y166=0,"",ROUNDUP(Y166/H166,0)*0.00502),"")</f>
        <v>8.5339999999999999E-2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37.166666666666664</v>
      </c>
      <c r="BN166" s="64">
        <f t="shared" si="7"/>
        <v>37.910000000000004</v>
      </c>
      <c r="BO166" s="64">
        <f t="shared" si="8"/>
        <v>7.1225071225071226E-2</v>
      </c>
      <c r="BP166" s="64">
        <f t="shared" si="9"/>
        <v>7.2649572649572655E-2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10</v>
      </c>
      <c r="Y168" s="542">
        <f t="shared" si="5"/>
        <v>10.8</v>
      </c>
      <c r="Z168" s="36">
        <f>IFERROR(IF(Y168=0,"",ROUNDUP(Y168/H168,0)*0.00502),"")</f>
        <v>3.0120000000000001E-2</v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10.722222222222223</v>
      </c>
      <c r="BN168" s="64">
        <f t="shared" si="7"/>
        <v>11.58</v>
      </c>
      <c r="BO168" s="64">
        <f t="shared" si="8"/>
        <v>2.3741690408357077E-2</v>
      </c>
      <c r="BP168" s="64">
        <f t="shared" si="9"/>
        <v>2.5641025641025644E-2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98</v>
      </c>
      <c r="Y169" s="542">
        <f t="shared" si="5"/>
        <v>98.7</v>
      </c>
      <c r="Z169" s="36">
        <f>IFERROR(IF(Y169=0,"",ROUNDUP(Y169/H169,0)*0.00502),"")</f>
        <v>0.23594000000000001</v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102.66666666666667</v>
      </c>
      <c r="BN169" s="64">
        <f t="shared" si="7"/>
        <v>103.4</v>
      </c>
      <c r="BO169" s="64">
        <f t="shared" si="8"/>
        <v>0.19943019943019943</v>
      </c>
      <c r="BP169" s="64">
        <f t="shared" si="9"/>
        <v>0.20085470085470086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105.79365079365078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108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0.69416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298</v>
      </c>
      <c r="Y173" s="543">
        <f>IFERROR(SUM(Y162:Y171),"0")</f>
        <v>304.8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2</v>
      </c>
      <c r="Y181" s="542">
        <f>IFERROR(IF(X181="",0,CEILING((X181/$H181),1)*$H181),"")</f>
        <v>2.52</v>
      </c>
      <c r="Z181" s="36">
        <f>IFERROR(IF(Y181=0,"",ROUNDUP(Y181/H181,0)*0.0059),"")</f>
        <v>1.18E-2</v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2.3015873015873014</v>
      </c>
      <c r="BN181" s="64">
        <f>IFERROR(Y181*I181/H181,"0")</f>
        <v>2.9</v>
      </c>
      <c r="BO181" s="64">
        <f>IFERROR(1/J181*(X181/H181),"0")</f>
        <v>7.3486184597295699E-3</v>
      </c>
      <c r="BP181" s="64">
        <f>IFERROR(1/J181*(Y181/H181),"0")</f>
        <v>9.2592592592592587E-3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1.5873015873015872</v>
      </c>
      <c r="Y182" s="543">
        <f>IFERROR(Y181/H181,"0")</f>
        <v>2</v>
      </c>
      <c r="Z182" s="543">
        <f>IFERROR(IF(Z181="",0,Z181),"0")</f>
        <v>1.18E-2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2</v>
      </c>
      <c r="Y183" s="543">
        <f>IFERROR(SUM(Y181:Y181),"0")</f>
        <v>2.52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 t="s">
        <v>186</v>
      </c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106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696</v>
      </c>
      <c r="Y196" s="542">
        <f t="shared" ref="Y196:Y203" si="10">IFERROR(IF(X196="",0,CEILING((X196/$H196),1)*$H196),"")</f>
        <v>696.6</v>
      </c>
      <c r="Z196" s="36">
        <f>IFERROR(IF(Y196=0,"",ROUNDUP(Y196/H196,0)*0.00902),"")</f>
        <v>1.1635800000000001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720.48888888888882</v>
      </c>
      <c r="BN196" s="64">
        <f t="shared" ref="BN196:BN203" si="12">IFERROR(Y196*I196/H196,"0")</f>
        <v>721.11</v>
      </c>
      <c r="BO196" s="64">
        <f t="shared" ref="BO196:BO203" si="13">IFERROR(1/J196*(X196/H196),"0")</f>
        <v>0.97643097643097643</v>
      </c>
      <c r="BP196" s="64">
        <f t="shared" ref="BP196:BP203" si="14">IFERROR(1/J196*(Y196/H196),"0")</f>
        <v>0.97727272727272729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155</v>
      </c>
      <c r="Y199" s="542">
        <f t="shared" si="10"/>
        <v>156.60000000000002</v>
      </c>
      <c r="Z199" s="36">
        <f>IFERROR(IF(Y199=0,"",ROUNDUP(Y199/H199,0)*0.00902),"")</f>
        <v>0.26158000000000003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160.45370370370367</v>
      </c>
      <c r="BN199" s="64">
        <f t="shared" si="12"/>
        <v>162.11000000000001</v>
      </c>
      <c r="BO199" s="64">
        <f t="shared" si="13"/>
        <v>0.21745230078563413</v>
      </c>
      <c r="BP199" s="64">
        <f t="shared" si="14"/>
        <v>0.21969696969696972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27</v>
      </c>
      <c r="Y200" s="542">
        <f t="shared" si="10"/>
        <v>27</v>
      </c>
      <c r="Z200" s="36">
        <f>IFERROR(IF(Y200=0,"",ROUNDUP(Y200/H200,0)*0.00502),"")</f>
        <v>7.5300000000000006E-2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28.95</v>
      </c>
      <c r="BN200" s="64">
        <f t="shared" si="12"/>
        <v>28.95</v>
      </c>
      <c r="BO200" s="64">
        <f t="shared" si="13"/>
        <v>6.4102564102564111E-2</v>
      </c>
      <c r="BP200" s="64">
        <f t="shared" si="14"/>
        <v>6.4102564102564111E-2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20</v>
      </c>
      <c r="Y201" s="542">
        <f t="shared" si="10"/>
        <v>21.6</v>
      </c>
      <c r="Z201" s="36">
        <f>IFERROR(IF(Y201=0,"",ROUNDUP(Y201/H201,0)*0.00502),"")</f>
        <v>6.0240000000000002E-2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21.111111111111111</v>
      </c>
      <c r="BN201" s="64">
        <f t="shared" si="12"/>
        <v>22.8</v>
      </c>
      <c r="BO201" s="64">
        <f t="shared" si="13"/>
        <v>4.7483380816714153E-2</v>
      </c>
      <c r="BP201" s="64">
        <f t="shared" si="14"/>
        <v>5.1282051282051287E-2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17</v>
      </c>
      <c r="Y203" s="542">
        <f t="shared" si="10"/>
        <v>18</v>
      </c>
      <c r="Z203" s="36">
        <f>IFERROR(IF(Y203=0,"",ROUNDUP(Y203/H203,0)*0.00502),"")</f>
        <v>5.0200000000000002E-2</v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17.944444444444443</v>
      </c>
      <c r="BN203" s="64">
        <f t="shared" si="12"/>
        <v>18.999999999999996</v>
      </c>
      <c r="BO203" s="64">
        <f t="shared" si="13"/>
        <v>4.0360873694207031E-2</v>
      </c>
      <c r="BP203" s="64">
        <f t="shared" si="14"/>
        <v>4.2735042735042736E-2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193.14814814814815</v>
      </c>
      <c r="Y204" s="543">
        <f>IFERROR(Y196/H196,"0")+IFERROR(Y197/H197,"0")+IFERROR(Y198/H198,"0")+IFERROR(Y199/H199,"0")+IFERROR(Y200/H200,"0")+IFERROR(Y201/H201,"0")+IFERROR(Y202/H202,"0")+IFERROR(Y203/H203,"0")</f>
        <v>195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1.6109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915</v>
      </c>
      <c r="Y205" s="543">
        <f>IFERROR(SUM(Y196:Y203),"0")</f>
        <v>919.80000000000007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44</v>
      </c>
      <c r="Y207" s="542">
        <f t="shared" ref="Y207:Y215" si="15">IFERROR(IF(X207="",0,CEILING((X207/$H207),1)*$H207),"")</f>
        <v>48.599999999999994</v>
      </c>
      <c r="Z207" s="36">
        <f>IFERROR(IF(Y207=0,"",ROUNDUP(Y207/H207,0)*0.01898),"")</f>
        <v>0.11388000000000001</v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46.683456790123458</v>
      </c>
      <c r="BN207" s="64">
        <f t="shared" ref="BN207:BN215" si="17">IFERROR(Y207*I207/H207,"0")</f>
        <v>51.563999999999993</v>
      </c>
      <c r="BO207" s="64">
        <f t="shared" ref="BO207:BO215" si="18">IFERROR(1/J207*(X207/H207),"0")</f>
        <v>8.4876543209876545E-2</v>
      </c>
      <c r="BP207" s="64">
        <f t="shared" ref="BP207:BP215" si="19">IFERROR(1/J207*(Y207/H207),"0")</f>
        <v>9.375E-2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27</v>
      </c>
      <c r="Y208" s="542">
        <f t="shared" si="15"/>
        <v>32.4</v>
      </c>
      <c r="Z208" s="36">
        <f>IFERROR(IF(Y208=0,"",ROUNDUP(Y208/H208,0)*0.01898),"")</f>
        <v>7.5920000000000001E-2</v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28.58666666666667</v>
      </c>
      <c r="BN208" s="64">
        <f t="shared" si="17"/>
        <v>34.304000000000002</v>
      </c>
      <c r="BO208" s="64">
        <f t="shared" si="18"/>
        <v>5.2083333333333336E-2</v>
      </c>
      <c r="BP208" s="64">
        <f t="shared" si="19"/>
        <v>6.25E-2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40</v>
      </c>
      <c r="Y209" s="542">
        <f t="shared" si="15"/>
        <v>43.5</v>
      </c>
      <c r="Z209" s="36">
        <f>IFERROR(IF(Y209=0,"",ROUNDUP(Y209/H209,0)*0.01898),"")</f>
        <v>9.4899999999999998E-2</v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42.271264367816102</v>
      </c>
      <c r="BN209" s="64">
        <f t="shared" si="17"/>
        <v>45.970000000000006</v>
      </c>
      <c r="BO209" s="64">
        <f t="shared" si="18"/>
        <v>7.1839080459770124E-2</v>
      </c>
      <c r="BP209" s="64">
        <f t="shared" si="19"/>
        <v>7.8125E-2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287</v>
      </c>
      <c r="Y210" s="542">
        <f t="shared" si="15"/>
        <v>288</v>
      </c>
      <c r="Z210" s="36">
        <f t="shared" ref="Z210:Z215" si="20">IFERROR(IF(Y210=0,"",ROUNDUP(Y210/H210,0)*0.00651),"")</f>
        <v>0.78120000000000001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319.28750000000002</v>
      </c>
      <c r="BN210" s="64">
        <f t="shared" si="17"/>
        <v>320.40000000000003</v>
      </c>
      <c r="BO210" s="64">
        <f t="shared" si="18"/>
        <v>0.65705128205128216</v>
      </c>
      <c r="BP210" s="64">
        <f t="shared" si="19"/>
        <v>0.65934065934065944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551</v>
      </c>
      <c r="Y212" s="542">
        <f t="shared" si="15"/>
        <v>552</v>
      </c>
      <c r="Z212" s="36">
        <f t="shared" si="20"/>
        <v>1.4973000000000001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608.85500000000013</v>
      </c>
      <c r="BN212" s="64">
        <f t="shared" si="17"/>
        <v>609.96</v>
      </c>
      <c r="BO212" s="64">
        <f t="shared" si="18"/>
        <v>1.2614468864468866</v>
      </c>
      <c r="BP212" s="64">
        <f t="shared" si="19"/>
        <v>1.2637362637362639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157</v>
      </c>
      <c r="Y213" s="542">
        <f t="shared" si="15"/>
        <v>158.4</v>
      </c>
      <c r="Z213" s="36">
        <f t="shared" si="20"/>
        <v>0.42965999999999999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173.48500000000001</v>
      </c>
      <c r="BN213" s="64">
        <f t="shared" si="17"/>
        <v>175.03200000000004</v>
      </c>
      <c r="BO213" s="64">
        <f t="shared" si="18"/>
        <v>0.35943223443223449</v>
      </c>
      <c r="BP213" s="64">
        <f t="shared" si="19"/>
        <v>0.36263736263736268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137</v>
      </c>
      <c r="Y214" s="542">
        <f t="shared" si="15"/>
        <v>139.19999999999999</v>
      </c>
      <c r="Z214" s="36">
        <f t="shared" si="20"/>
        <v>0.37758000000000003</v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151.38500000000002</v>
      </c>
      <c r="BN214" s="64">
        <f t="shared" si="17"/>
        <v>153.816</v>
      </c>
      <c r="BO214" s="64">
        <f t="shared" si="18"/>
        <v>0.3136446886446887</v>
      </c>
      <c r="BP214" s="64">
        <f t="shared" si="19"/>
        <v>0.31868131868131871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259</v>
      </c>
      <c r="Y215" s="542">
        <f t="shared" si="15"/>
        <v>259.2</v>
      </c>
      <c r="Z215" s="36">
        <f t="shared" si="20"/>
        <v>0.70308000000000004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286.84250000000003</v>
      </c>
      <c r="BN215" s="64">
        <f t="shared" si="17"/>
        <v>287.06399999999996</v>
      </c>
      <c r="BO215" s="64">
        <f t="shared" si="18"/>
        <v>0.59294871794871806</v>
      </c>
      <c r="BP215" s="64">
        <f t="shared" si="19"/>
        <v>0.59340659340659341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592.94646658152408</v>
      </c>
      <c r="Y216" s="543">
        <f>IFERROR(Y207/H207,"0")+IFERROR(Y208/H208,"0")+IFERROR(Y209/H209,"0")+IFERROR(Y210/H210,"0")+IFERROR(Y211/H211,"0")+IFERROR(Y212/H212,"0")+IFERROR(Y213/H213,"0")+IFERROR(Y214/H214,"0")+IFERROR(Y215/H215,"0")</f>
        <v>597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4.0735200000000003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1502</v>
      </c>
      <c r="Y217" s="543">
        <f>IFERROR(SUM(Y207:Y215),"0")</f>
        <v>1521.3000000000002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4</v>
      </c>
      <c r="Y225" s="542">
        <f t="shared" ref="Y225:Y234" si="21">IFERROR(IF(X225="",0,CEILING((X225/$H225),1)*$H225),"")</f>
        <v>11.6</v>
      </c>
      <c r="Z225" s="36">
        <f>IFERROR(IF(Y225=0,"",ROUNDUP(Y225/H225,0)*0.01898),"")</f>
        <v>1.898E-2</v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4.1413793103448278</v>
      </c>
      <c r="BN225" s="64">
        <f t="shared" ref="BN225:BN234" si="23">IFERROR(Y225*I225/H225,"0")</f>
        <v>12.01</v>
      </c>
      <c r="BO225" s="64">
        <f t="shared" ref="BO225:BO234" si="24">IFERROR(1/J225*(X225/H225),"0")</f>
        <v>5.387931034482759E-3</v>
      </c>
      <c r="BP225" s="64">
        <f t="shared" ref="BP225:BP234" si="25">IFERROR(1/J225*(Y225/H225),"0")</f>
        <v>1.5625E-2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110</v>
      </c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0.34482758620689657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1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1.898E-2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4</v>
      </c>
      <c r="Y236" s="543">
        <f>IFERROR(SUM(Y225:Y234),"0")</f>
        <v>11.6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7</v>
      </c>
      <c r="Y242" s="542">
        <f>IFERROR(IF(X242="",0,CEILING((X242/$H242),1)*$H242),"")</f>
        <v>7.2</v>
      </c>
      <c r="Z242" s="36">
        <f>IFERROR(IF(Y242=0,"",ROUNDUP(Y242/H242,0)*0.0059),"")</f>
        <v>2.3599999999999999E-2</v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7.6805555555555562</v>
      </c>
      <c r="BN242" s="64">
        <f>IFERROR(Y242*I242/H242,"0")</f>
        <v>7.9</v>
      </c>
      <c r="BO242" s="64">
        <f>IFERROR(1/J242*(X242/H242),"0")</f>
        <v>1.8004115226337446E-2</v>
      </c>
      <c r="BP242" s="64">
        <f>IFERROR(1/J242*(Y242/H242),"0")</f>
        <v>1.8518518518518517E-2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3.8888888888888888</v>
      </c>
      <c r="Y243" s="543">
        <f>IFERROR(Y242/H242,"0")</f>
        <v>4</v>
      </c>
      <c r="Z243" s="543">
        <f>IFERROR(IF(Z242="",0,Z242),"0")</f>
        <v>2.3599999999999999E-2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7</v>
      </c>
      <c r="Y244" s="543">
        <f>IFERROR(SUM(Y242:Y242),"0")</f>
        <v>7.2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1</v>
      </c>
      <c r="Y248" s="542">
        <f>IFERROR(IF(X248="",0,CEILING((X248/$H248),1)*$H248),"")</f>
        <v>1.8</v>
      </c>
      <c r="Z248" s="36">
        <f>IFERROR(IF(Y248=0,"",ROUNDUP(Y248/H248,0)*0.0059),"")</f>
        <v>1.18E-2</v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1.2111111111111112</v>
      </c>
      <c r="BN248" s="64">
        <f>IFERROR(Y248*I248/H248,"0")</f>
        <v>2.1800000000000002</v>
      </c>
      <c r="BO248" s="64">
        <f>IFERROR(1/J248*(X248/H248),"0")</f>
        <v>5.1440329218106996E-3</v>
      </c>
      <c r="BP248" s="64">
        <f>IFERROR(1/J248*(Y248/H248),"0")</f>
        <v>9.2592592592592587E-3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2</v>
      </c>
      <c r="Y249" s="542">
        <f>IFERROR(IF(X249="",0,CEILING((X249/$H249),1)*$H249),"")</f>
        <v>2.9699999999999998</v>
      </c>
      <c r="Z249" s="36">
        <f>IFERROR(IF(Y249=0,"",ROUNDUP(Y249/H249,0)*0.0059),"")</f>
        <v>1.77E-2</v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2.3838383838383836</v>
      </c>
      <c r="BN249" s="64">
        <f>IFERROR(Y249*I249/H249,"0")</f>
        <v>3.5399999999999996</v>
      </c>
      <c r="BO249" s="64">
        <f>IFERROR(1/J249*(X249/H249),"0")</f>
        <v>9.3527871305649091E-3</v>
      </c>
      <c r="BP249" s="64">
        <f>IFERROR(1/J249*(Y249/H249),"0")</f>
        <v>1.3888888888888886E-2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3.1313131313131315</v>
      </c>
      <c r="Y251" s="543">
        <f>IFERROR(Y246/H246,"0")+IFERROR(Y247/H247,"0")+IFERROR(Y248/H248,"0")+IFERROR(Y249/H249,"0")+IFERROR(Y250/H250,"0")</f>
        <v>5</v>
      </c>
      <c r="Z251" s="543">
        <f>IFERROR(IF(Z246="",0,Z246),"0")+IFERROR(IF(Z247="",0,Z247),"0")+IFERROR(IF(Z248="",0,Z248),"0")+IFERROR(IF(Z249="",0,Z249),"0")+IFERROR(IF(Z250="",0,Z250),"0")</f>
        <v>2.9499999999999998E-2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3</v>
      </c>
      <c r="Y252" s="543">
        <f>IFERROR(SUM(Y246:Y250),"0")</f>
        <v>4.7699999999999996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 t="s">
        <v>103</v>
      </c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106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96</v>
      </c>
      <c r="Y273" s="542">
        <f>IFERROR(IF(X273="",0,CEILING((X273/$H273),1)*$H273),"")</f>
        <v>96</v>
      </c>
      <c r="Z273" s="36">
        <f>IFERROR(IF(Y273=0,"",ROUNDUP(Y273/H273,0)*0.00651),"")</f>
        <v>0.26040000000000002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106.08000000000001</v>
      </c>
      <c r="BN273" s="64">
        <f>IFERROR(Y273*I273/H273,"0")</f>
        <v>106.08000000000001</v>
      </c>
      <c r="BO273" s="64">
        <f>IFERROR(1/J273*(X273/H273),"0")</f>
        <v>0.2197802197802198</v>
      </c>
      <c r="BP273" s="64">
        <f>IFERROR(1/J273*(Y273/H273),"0")</f>
        <v>0.2197802197802198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127</v>
      </c>
      <c r="Y274" s="542">
        <f>IFERROR(IF(X274="",0,CEILING((X274/$H274),1)*$H274),"")</f>
        <v>127.19999999999999</v>
      </c>
      <c r="Z274" s="36">
        <f>IFERROR(IF(Y274=0,"",ROUNDUP(Y274/H274,0)*0.00651),"")</f>
        <v>0.34503</v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136.52500000000001</v>
      </c>
      <c r="BN274" s="64">
        <f>IFERROR(Y274*I274/H274,"0")</f>
        <v>136.74</v>
      </c>
      <c r="BO274" s="64">
        <f>IFERROR(1/J274*(X274/H274),"0")</f>
        <v>0.29075091575091577</v>
      </c>
      <c r="BP274" s="64">
        <f>IFERROR(1/J274*(Y274/H274),"0")</f>
        <v>0.29120879120879123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92.916666666666671</v>
      </c>
      <c r="Y275" s="543">
        <f>IFERROR(Y272/H272,"0")+IFERROR(Y273/H273,"0")+IFERROR(Y274/H274,"0")</f>
        <v>93</v>
      </c>
      <c r="Z275" s="543">
        <f>IFERROR(IF(Z272="",0,Z272),"0")+IFERROR(IF(Z273="",0,Z273),"0")+IFERROR(IF(Z274="",0,Z274),"0")</f>
        <v>0.60543000000000002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223</v>
      </c>
      <c r="Y276" s="543">
        <f>IFERROR(SUM(Y272:Y274),"0")</f>
        <v>223.2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idden="1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hidden="1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hidden="1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836</v>
      </c>
      <c r="Y316" s="542">
        <f>IFERROR(IF(X316="",0,CEILING((X316/$H316),1)*$H316),"")</f>
        <v>842.4</v>
      </c>
      <c r="Z316" s="36">
        <f>IFERROR(IF(Y316=0,"",ROUNDUP(Y316/H316,0)*0.01898),"")</f>
        <v>2.0498400000000001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888.94666666666672</v>
      </c>
      <c r="BN316" s="64">
        <f>IFERROR(Y316*I316/H316,"0")</f>
        <v>895.75200000000007</v>
      </c>
      <c r="BO316" s="64">
        <f>IFERROR(1/J316*(X316/H316),"0")</f>
        <v>1.6746794871794872</v>
      </c>
      <c r="BP316" s="64">
        <f>IFERROR(1/J316*(Y316/H316),"0")</f>
        <v>1.6875</v>
      </c>
    </row>
    <row r="317" spans="1:68" ht="16.5" hidden="1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107.17948717948718</v>
      </c>
      <c r="Y318" s="543">
        <f>IFERROR(Y315/H315,"0")+IFERROR(Y316/H316,"0")+IFERROR(Y317/H317,"0")</f>
        <v>108</v>
      </c>
      <c r="Z318" s="543">
        <f>IFERROR(IF(Z315="",0,Z315),"0")+IFERROR(IF(Z316="",0,Z316),"0")+IFERROR(IF(Z317="",0,Z317),"0")</f>
        <v>2.0498400000000001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836</v>
      </c>
      <c r="Y319" s="543">
        <f>IFERROR(SUM(Y315:Y317),"0")</f>
        <v>842.4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8</v>
      </c>
      <c r="Y323" s="542">
        <f>IFERROR(IF(X323="",0,CEILING((X323/$H323),1)*$H323),"")</f>
        <v>10.199999999999999</v>
      </c>
      <c r="Z323" s="36">
        <f>IFERROR(IF(Y323=0,"",ROUNDUP(Y323/H323,0)*0.00651),"")</f>
        <v>2.6040000000000001E-2</v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9.2705882352941185</v>
      </c>
      <c r="BN323" s="64">
        <f>IFERROR(Y323*I323/H323,"0")</f>
        <v>11.82</v>
      </c>
      <c r="BO323" s="64">
        <f>IFERROR(1/J323*(X323/H323),"0")</f>
        <v>1.7237664296487831E-2</v>
      </c>
      <c r="BP323" s="64">
        <f>IFERROR(1/J323*(Y323/H323),"0")</f>
        <v>2.197802197802198E-2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16</v>
      </c>
      <c r="Y324" s="542">
        <f>IFERROR(IF(X324="",0,CEILING((X324/$H324),1)*$H324),"")</f>
        <v>17.849999999999998</v>
      </c>
      <c r="Z324" s="36">
        <f>IFERROR(IF(Y324=0,"",ROUNDUP(Y324/H324,0)*0.00651),"")</f>
        <v>4.5569999999999999E-2</v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18.070588235294117</v>
      </c>
      <c r="BN324" s="64">
        <f>IFERROR(Y324*I324/H324,"0")</f>
        <v>20.16</v>
      </c>
      <c r="BO324" s="64">
        <f>IFERROR(1/J324*(X324/H324),"0")</f>
        <v>3.4475328592975661E-2</v>
      </c>
      <c r="BP324" s="64">
        <f>IFERROR(1/J324*(Y324/H324),"0")</f>
        <v>3.8461538461538464E-2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9.411764705882355</v>
      </c>
      <c r="Y325" s="543">
        <f>IFERROR(Y321/H321,"0")+IFERROR(Y322/H322,"0")+IFERROR(Y323/H323,"0")+IFERROR(Y324/H324,"0")</f>
        <v>11</v>
      </c>
      <c r="Z325" s="543">
        <f>IFERROR(IF(Z321="",0,Z321),"0")+IFERROR(IF(Z322="",0,Z322),"0")+IFERROR(IF(Z323="",0,Z323),"0")+IFERROR(IF(Z324="",0,Z324),"0")</f>
        <v>7.1610000000000007E-2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24</v>
      </c>
      <c r="Y326" s="543">
        <f>IFERROR(SUM(Y321:Y324),"0")</f>
        <v>28.049999999999997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2</v>
      </c>
      <c r="Y328" s="542">
        <f>IFERROR(IF(X328="",0,CEILING((X328/$H328),1)*$H328),"")</f>
        <v>2</v>
      </c>
      <c r="Z328" s="36">
        <f>IFERROR(IF(Y328=0,"",ROUNDUP(Y328/H328,0)*0.00474),"")</f>
        <v>4.7400000000000003E-3</v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2.2400000000000002</v>
      </c>
      <c r="BN328" s="64">
        <f>IFERROR(Y328*I328/H328,"0")</f>
        <v>2.2400000000000002</v>
      </c>
      <c r="BO328" s="64">
        <f>IFERROR(1/J328*(X328/H328),"0")</f>
        <v>4.2016806722689074E-3</v>
      </c>
      <c r="BP328" s="64">
        <f>IFERROR(1/J328*(Y328/H328),"0")</f>
        <v>4.2016806722689074E-3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2</v>
      </c>
      <c r="Y329" s="542">
        <f>IFERROR(IF(X329="",0,CEILING((X329/$H329),1)*$H329),"")</f>
        <v>2</v>
      </c>
      <c r="Z329" s="36">
        <f>IFERROR(IF(Y329=0,"",ROUNDUP(Y329/H329,0)*0.00474),"")</f>
        <v>4.7400000000000003E-3</v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2.2400000000000002</v>
      </c>
      <c r="BN329" s="64">
        <f>IFERROR(Y329*I329/H329,"0")</f>
        <v>2.2400000000000002</v>
      </c>
      <c r="BO329" s="64">
        <f>IFERROR(1/J329*(X329/H329),"0")</f>
        <v>4.2016806722689074E-3</v>
      </c>
      <c r="BP329" s="64">
        <f>IFERROR(1/J329*(Y329/H329),"0")</f>
        <v>4.2016806722689074E-3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4</v>
      </c>
      <c r="Y330" s="542">
        <f>IFERROR(IF(X330="",0,CEILING((X330/$H330),1)*$H330),"")</f>
        <v>4</v>
      </c>
      <c r="Z330" s="36">
        <f>IFERROR(IF(Y330=0,"",ROUNDUP(Y330/H330,0)*0.00474),"")</f>
        <v>9.4800000000000006E-3</v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4.4800000000000004</v>
      </c>
      <c r="BN330" s="64">
        <f>IFERROR(Y330*I330/H330,"0")</f>
        <v>4.4800000000000004</v>
      </c>
      <c r="BO330" s="64">
        <f>IFERROR(1/J330*(X330/H330),"0")</f>
        <v>8.4033613445378148E-3</v>
      </c>
      <c r="BP330" s="64">
        <f>IFERROR(1/J330*(Y330/H330),"0")</f>
        <v>8.4033613445378148E-3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4</v>
      </c>
      <c r="Y331" s="543">
        <f>IFERROR(Y328/H328,"0")+IFERROR(Y329/H329,"0")+IFERROR(Y330/H330,"0")</f>
        <v>4</v>
      </c>
      <c r="Z331" s="543">
        <f>IFERROR(IF(Z328="",0,Z328),"0")+IFERROR(IF(Z329="",0,Z329),"0")+IFERROR(IF(Z330="",0,Z330),"0")</f>
        <v>1.8960000000000001E-2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8</v>
      </c>
      <c r="Y332" s="543">
        <f>IFERROR(SUM(Y328:Y330),"0")</f>
        <v>8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810</v>
      </c>
      <c r="Y343" s="542">
        <f t="shared" ref="Y343:Y349" si="31">IFERROR(IF(X343="",0,CEILING((X343/$H343),1)*$H343),"")</f>
        <v>810</v>
      </c>
      <c r="Z343" s="36">
        <f>IFERROR(IF(Y343=0,"",ROUNDUP(Y343/H343,0)*0.02175),"")</f>
        <v>1.1744999999999999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835.38</v>
      </c>
      <c r="BN343" s="64">
        <f t="shared" ref="BN343:BN349" si="33">IFERROR(Y343*I343/H343,"0")</f>
        <v>835.38</v>
      </c>
      <c r="BO343" s="64">
        <f t="shared" ref="BO343:BO349" si="34">IFERROR(1/J343*(X343/H343),"0")</f>
        <v>1.125</v>
      </c>
      <c r="BP343" s="64">
        <f t="shared" ref="BP343:BP349" si="35">IFERROR(1/J343*(Y343/H343),"0")</f>
        <v>1.125</v>
      </c>
    </row>
    <row r="344" spans="1:68" ht="27" hidden="1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693</v>
      </c>
      <c r="Y345" s="542">
        <f t="shared" si="31"/>
        <v>705</v>
      </c>
      <c r="Z345" s="36">
        <f>IFERROR(IF(Y345=0,"",ROUNDUP(Y345/H345,0)*0.02175),"")</f>
        <v>1.0222499999999999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714.71400000000006</v>
      </c>
      <c r="BN345" s="64">
        <f t="shared" si="33"/>
        <v>727.09</v>
      </c>
      <c r="BO345" s="64">
        <f t="shared" si="34"/>
        <v>0.96250000000000002</v>
      </c>
      <c r="BP345" s="64">
        <f t="shared" si="35"/>
        <v>0.97916666666666663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343</v>
      </c>
      <c r="Y346" s="542">
        <f t="shared" si="31"/>
        <v>345</v>
      </c>
      <c r="Z346" s="36">
        <f>IFERROR(IF(Y346=0,"",ROUNDUP(Y346/H346,0)*0.02175),"")</f>
        <v>0.50024999999999997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353.74733333333336</v>
      </c>
      <c r="BN346" s="64">
        <f t="shared" si="33"/>
        <v>355.81000000000006</v>
      </c>
      <c r="BO346" s="64">
        <f t="shared" si="34"/>
        <v>0.47638888888888886</v>
      </c>
      <c r="BP346" s="64">
        <f t="shared" si="35"/>
        <v>0.47916666666666663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123.06666666666666</v>
      </c>
      <c r="Y350" s="543">
        <f>IFERROR(Y343/H343,"0")+IFERROR(Y344/H344,"0")+IFERROR(Y345/H345,"0")+IFERROR(Y346/H346,"0")+IFERROR(Y347/H347,"0")+IFERROR(Y348/H348,"0")+IFERROR(Y349/H349,"0")</f>
        <v>124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2.6969999999999996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1846</v>
      </c>
      <c r="Y351" s="543">
        <f>IFERROR(SUM(Y343:Y349),"0")</f>
        <v>1860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642</v>
      </c>
      <c r="Y353" s="542">
        <f>IFERROR(IF(X353="",0,CEILING((X353/$H353),1)*$H353),"")</f>
        <v>645</v>
      </c>
      <c r="Z353" s="36">
        <f>IFERROR(IF(Y353=0,"",ROUNDUP(Y353/H353,0)*0.02175),"")</f>
        <v>0.93524999999999991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662.11599999999999</v>
      </c>
      <c r="BN353" s="64">
        <f>IFERROR(Y353*I353/H353,"0")</f>
        <v>665.20999999999992</v>
      </c>
      <c r="BO353" s="64">
        <f>IFERROR(1/J353*(X353/H353),"0")</f>
        <v>0.89166666666666661</v>
      </c>
      <c r="BP353" s="64">
        <f>IFERROR(1/J353*(Y353/H353),"0")</f>
        <v>0.89583333333333326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42.8</v>
      </c>
      <c r="Y355" s="543">
        <f>IFERROR(Y353/H353,"0")+IFERROR(Y354/H354,"0")</f>
        <v>43</v>
      </c>
      <c r="Z355" s="543">
        <f>IFERROR(IF(Z353="",0,Z353),"0")+IFERROR(IF(Z354="",0,Z354),"0")</f>
        <v>0.93524999999999991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642</v>
      </c>
      <c r="Y356" s="543">
        <f>IFERROR(SUM(Y353:Y354),"0")</f>
        <v>645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hidden="1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1173</v>
      </c>
      <c r="Y378" s="542">
        <f>IFERROR(IF(X378="",0,CEILING((X378/$H378),1)*$H378),"")</f>
        <v>1179</v>
      </c>
      <c r="Z378" s="36">
        <f>IFERROR(IF(Y378=0,"",ROUNDUP(Y378/H378,0)*0.01898),"")</f>
        <v>2.48638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1237.3846666666666</v>
      </c>
      <c r="BN378" s="64">
        <f>IFERROR(Y378*I378/H378,"0")</f>
        <v>1243.7139999999999</v>
      </c>
      <c r="BO378" s="64">
        <f>IFERROR(1/J378*(X378/H378),"0")</f>
        <v>2.0364583333333335</v>
      </c>
      <c r="BP378" s="64">
        <f>IFERROR(1/J378*(Y378/H378),"0")</f>
        <v>2.046875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130.33333333333334</v>
      </c>
      <c r="Y380" s="543">
        <f>IFERROR(Y378/H378,"0")+IFERROR(Y379/H379,"0")</f>
        <v>131</v>
      </c>
      <c r="Z380" s="543">
        <f>IFERROR(IF(Z378="",0,Z378),"0")+IFERROR(IF(Z379="",0,Z379),"0")</f>
        <v>2.48638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1173</v>
      </c>
      <c r="Y381" s="543">
        <f>IFERROR(SUM(Y378:Y379),"0")</f>
        <v>1179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4</v>
      </c>
      <c r="Y385" s="542">
        <f t="shared" ref="Y385:Y393" si="36">IFERROR(IF(X385="",0,CEILING((X385/$H385),1)*$H385),"")</f>
        <v>5.4</v>
      </c>
      <c r="Z385" s="36">
        <f>IFERROR(IF(Y385=0,"",ROUNDUP(Y385/H385,0)*0.00902),"")</f>
        <v>9.0200000000000002E-3</v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4.1407407407407399</v>
      </c>
      <c r="BN385" s="64">
        <f t="shared" ref="BN385:BN393" si="38">IFERROR(Y385*I385/H385,"0")</f>
        <v>5.59</v>
      </c>
      <c r="BO385" s="64">
        <f t="shared" ref="BO385:BO393" si="39">IFERROR(1/J385*(X385/H385),"0")</f>
        <v>5.6116722783389446E-3</v>
      </c>
      <c r="BP385" s="64">
        <f t="shared" ref="BP385:BP393" si="40">IFERROR(1/J385*(Y385/H385),"0")</f>
        <v>7.575757575757576E-3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0.7407407407407407</v>
      </c>
      <c r="Y394" s="543">
        <f>IFERROR(Y385/H385,"0")+IFERROR(Y386/H386,"0")+IFERROR(Y387/H387,"0")+IFERROR(Y388/H388,"0")+IFERROR(Y389/H389,"0")+IFERROR(Y390/H390,"0")+IFERROR(Y391/H391,"0")+IFERROR(Y392/H392,"0")+IFERROR(Y393/H393,"0")</f>
        <v>1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9.0200000000000002E-3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4</v>
      </c>
      <c r="Y395" s="543">
        <f>IFERROR(SUM(Y385:Y393),"0")</f>
        <v>5.4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hidden="1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199</v>
      </c>
      <c r="Y421" s="542">
        <f t="shared" ref="Y421:Y431" si="42">IFERROR(IF(X421="",0,CEILING((X421/$H421),1)*$H421),"")</f>
        <v>200.64000000000001</v>
      </c>
      <c r="Z421" s="36">
        <f t="shared" ref="Z421:Z426" si="43">IFERROR(IF(Y421=0,"",ROUNDUP(Y421/H421,0)*0.01196),"")</f>
        <v>0.45448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212.19128787878785</v>
      </c>
      <c r="BN421" s="64">
        <f t="shared" ref="BN421:BN431" si="45">IFERROR(Y421*I421/H421,"0")</f>
        <v>213.94</v>
      </c>
      <c r="BO421" s="64">
        <f t="shared" ref="BO421:BO431" si="46">IFERROR(1/J421*(X421/H421),"0")</f>
        <v>0.36239801864801863</v>
      </c>
      <c r="BP421" s="64">
        <f t="shared" ref="BP421:BP431" si="47">IFERROR(1/J421*(Y421/H421),"0")</f>
        <v>0.36538461538461542</v>
      </c>
    </row>
    <row r="422" spans="1:68" ht="27" hidden="1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859</v>
      </c>
      <c r="Y426" s="542">
        <f t="shared" si="42"/>
        <v>860.64</v>
      </c>
      <c r="Z426" s="36">
        <f t="shared" si="43"/>
        <v>1.9494800000000001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915.94128787878788</v>
      </c>
      <c r="BN426" s="64">
        <f t="shared" si="45"/>
        <v>917.68999999999994</v>
      </c>
      <c r="BO426" s="64">
        <f t="shared" si="46"/>
        <v>1.5643210955710956</v>
      </c>
      <c r="BP426" s="64">
        <f t="shared" si="47"/>
        <v>1.5673076923076923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18</v>
      </c>
      <c r="Y428" s="542">
        <f t="shared" si="42"/>
        <v>19.2</v>
      </c>
      <c r="Z428" s="36">
        <f>IFERROR(IF(Y428=0,"",ROUNDUP(Y428/H428,0)*0.00902),"")</f>
        <v>3.6080000000000001E-2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25.912500000000001</v>
      </c>
      <c r="BN428" s="64">
        <f t="shared" si="45"/>
        <v>27.64</v>
      </c>
      <c r="BO428" s="64">
        <f t="shared" si="46"/>
        <v>2.8409090909090912E-2</v>
      </c>
      <c r="BP428" s="64">
        <f t="shared" si="47"/>
        <v>3.0303030303030304E-2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204.12878787878788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205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2.4400400000000002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1076</v>
      </c>
      <c r="Y433" s="543">
        <f>IFERROR(SUM(Y421:Y431),"0")</f>
        <v>1080.48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893</v>
      </c>
      <c r="Y435" s="542">
        <f>IFERROR(IF(X435="",0,CEILING((X435/$H435),1)*$H435),"")</f>
        <v>897.6</v>
      </c>
      <c r="Z435" s="36">
        <f>IFERROR(IF(Y435=0,"",ROUNDUP(Y435/H435,0)*0.01196),"")</f>
        <v>2.0331999999999999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952.19507575757575</v>
      </c>
      <c r="BN435" s="64">
        <f>IFERROR(Y435*I435/H435,"0")</f>
        <v>957.1</v>
      </c>
      <c r="BO435" s="64">
        <f>IFERROR(1/J435*(X435/H435),"0")</f>
        <v>1.6262383449883451</v>
      </c>
      <c r="BP435" s="64">
        <f>IFERROR(1/J435*(Y435/H435),"0")</f>
        <v>1.6346153846153848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169.12878787878788</v>
      </c>
      <c r="Y438" s="543">
        <f>IFERROR(Y435/H435,"0")+IFERROR(Y436/H436,"0")+IFERROR(Y437/H437,"0")</f>
        <v>170</v>
      </c>
      <c r="Z438" s="543">
        <f>IFERROR(IF(Z435="",0,Z435),"0")+IFERROR(IF(Z436="",0,Z436),"0")+IFERROR(IF(Z437="",0,Z437),"0")</f>
        <v>2.0331999999999999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893</v>
      </c>
      <c r="Y439" s="543">
        <f>IFERROR(SUM(Y435:Y437),"0")</f>
        <v>897.6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332</v>
      </c>
      <c r="Y441" s="542">
        <f t="shared" ref="Y441:Y446" si="48">IFERROR(IF(X441="",0,CEILING((X441/$H441),1)*$H441),"")</f>
        <v>332.64000000000004</v>
      </c>
      <c r="Z441" s="36">
        <f>IFERROR(IF(Y441=0,"",ROUNDUP(Y441/H441,0)*0.01196),"")</f>
        <v>0.75348000000000004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354.00757575757569</v>
      </c>
      <c r="BN441" s="64">
        <f t="shared" ref="BN441:BN446" si="50">IFERROR(Y441*I441/H441,"0")</f>
        <v>354.69</v>
      </c>
      <c r="BO441" s="64">
        <f t="shared" ref="BO441:BO446" si="51">IFERROR(1/J441*(X441/H441),"0")</f>
        <v>0.60460372960372966</v>
      </c>
      <c r="BP441" s="64">
        <f t="shared" ref="BP441:BP446" si="52">IFERROR(1/J441*(Y441/H441),"0")</f>
        <v>0.60576923076923084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289</v>
      </c>
      <c r="Y442" s="542">
        <f t="shared" si="48"/>
        <v>290.40000000000003</v>
      </c>
      <c r="Z442" s="36">
        <f>IFERROR(IF(Y442=0,"",ROUNDUP(Y442/H442,0)*0.01196),"")</f>
        <v>0.65780000000000005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308.15719696969694</v>
      </c>
      <c r="BN442" s="64">
        <f t="shared" si="50"/>
        <v>309.65000000000003</v>
      </c>
      <c r="BO442" s="64">
        <f t="shared" si="51"/>
        <v>0.52629662004662003</v>
      </c>
      <c r="BP442" s="64">
        <f t="shared" si="52"/>
        <v>0.52884615384615397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682</v>
      </c>
      <c r="Y443" s="542">
        <f t="shared" si="48"/>
        <v>686.4</v>
      </c>
      <c r="Z443" s="36">
        <f>IFERROR(IF(Y443=0,"",ROUNDUP(Y443/H443,0)*0.01196),"")</f>
        <v>1.5548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727.20833333333326</v>
      </c>
      <c r="BN443" s="64">
        <f t="shared" si="50"/>
        <v>731.9</v>
      </c>
      <c r="BO443" s="64">
        <f t="shared" si="51"/>
        <v>1.2419871794871795</v>
      </c>
      <c r="BP443" s="64">
        <f t="shared" si="52"/>
        <v>1.25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246.780303030303</v>
      </c>
      <c r="Y447" s="543">
        <f>IFERROR(Y441/H441,"0")+IFERROR(Y442/H442,"0")+IFERROR(Y443/H443,"0")+IFERROR(Y444/H444,"0")+IFERROR(Y445/H445,"0")+IFERROR(Y446/H446,"0")</f>
        <v>248</v>
      </c>
      <c r="Z447" s="543">
        <f>IFERROR(IF(Z441="",0,Z441),"0")+IFERROR(IF(Z442="",0,Z442),"0")+IFERROR(IF(Z443="",0,Z443),"0")+IFERROR(IF(Z444="",0,Z444),"0")+IFERROR(IF(Z445="",0,Z445),"0")+IFERROR(IF(Z446="",0,Z446),"0")</f>
        <v>2.9660799999999998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1303</v>
      </c>
      <c r="Y448" s="543">
        <f>IFERROR(SUM(Y441:Y446),"0")</f>
        <v>1309.44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hidden="1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13704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13834.36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14526.531250120011</v>
      </c>
      <c r="Y490" s="543">
        <f>IFERROR(SUM(BN22:BN486),"0")</f>
        <v>14664.787999999999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25</v>
      </c>
      <c r="Y491" s="38">
        <f>ROUNDUP(SUM(BP22:BP486),0)</f>
        <v>25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15151.531250120011</v>
      </c>
      <c r="Y492" s="543">
        <f>GrossWeightTotalR+PalletQtyTotalR*25</f>
        <v>15289.787999999999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2596.5868688907567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2620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29.000930000000004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190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364.79999999999995</v>
      </c>
      <c r="E499" s="46">
        <f>IFERROR(Y85*1,"0")+IFERROR(Y86*1,"0")+IFERROR(Y87*1,"0")+IFERROR(Y91*1,"0")+IFERROR(Y92*1,"0")+IFERROR(Y93*1,"0")+IFERROR(Y94*1,"0")</f>
        <v>1413.9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1205.0999999999999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307.32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2441.1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23.57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223.2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878.45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2505</v>
      </c>
      <c r="T499" s="46">
        <f>IFERROR(Y368*1,"0")+IFERROR(Y369*1,"0")+IFERROR(Y373*1,"0")+IFERROR(Y374*1,"0")+IFERROR(Y378*1,"0")+IFERROR(Y379*1,"0")</f>
        <v>1179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5.4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3287.52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XgZqHEJ2MABgr0j5xXV1HE3GTJrbNbVAVAZ/MHFc7Jyd3qZn4AFf1oq9GWcdalQKUkhWgRyyNfkykayQA1c/qQ==" saltValue="PDVKBN9I2JRCwWHWzm/Vd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4"/>
        <filter val="0,74"/>
        <filter val="1 076,00"/>
        <filter val="1 173,00"/>
        <filter val="1 303,00"/>
        <filter val="1 502,00"/>
        <filter val="1 846,00"/>
        <filter val="1,00"/>
        <filter val="1,59"/>
        <filter val="10,00"/>
        <filter val="105,79"/>
        <filter val="107,18"/>
        <filter val="112,00"/>
        <filter val="123,07"/>
        <filter val="127,00"/>
        <filter val="13 704,00"/>
        <filter val="130,33"/>
        <filter val="137,00"/>
        <filter val="14 526,53"/>
        <filter val="143,70"/>
        <filter val="15 151,53"/>
        <filter val="155,00"/>
        <filter val="157,00"/>
        <filter val="16,00"/>
        <filter val="167,00"/>
        <filter val="169,13"/>
        <filter val="17,00"/>
        <filter val="18,00"/>
        <filter val="19,54"/>
        <filter val="193,15"/>
        <filter val="197,00"/>
        <filter val="199,00"/>
        <filter val="2 596,59"/>
        <filter val="2,00"/>
        <filter val="20,00"/>
        <filter val="204,13"/>
        <filter val="211,00"/>
        <filter val="223,00"/>
        <filter val="238,40"/>
        <filter val="24,00"/>
        <filter val="246,78"/>
        <filter val="249,00"/>
        <filter val="25"/>
        <filter val="259,00"/>
        <filter val="27,00"/>
        <filter val="272,00"/>
        <filter val="287,00"/>
        <filter val="289,00"/>
        <filter val="298,00"/>
        <filter val="3,00"/>
        <filter val="3,13"/>
        <filter val="3,89"/>
        <filter val="305,00"/>
        <filter val="332,00"/>
        <filter val="343,00"/>
        <filter val="35,00"/>
        <filter val="364,00"/>
        <filter val="4,00"/>
        <filter val="40,00"/>
        <filter val="42,80"/>
        <filter val="44,00"/>
        <filter val="55,35"/>
        <filter val="551,00"/>
        <filter val="553,00"/>
        <filter val="554,00"/>
        <filter val="56,00"/>
        <filter val="59,00"/>
        <filter val="592,95"/>
        <filter val="642,00"/>
        <filter val="682,00"/>
        <filter val="693,00"/>
        <filter val="696,00"/>
        <filter val="7,00"/>
        <filter val="7,18"/>
        <filter val="7,96"/>
        <filter val="737,00"/>
        <filter val="8,00"/>
        <filter val="810,00"/>
        <filter val="825,00"/>
        <filter val="836,00"/>
        <filter val="849,00"/>
        <filter val="859,00"/>
        <filter val="86,00"/>
        <filter val="893,00"/>
        <filter val="9,41"/>
        <filter val="915,00"/>
        <filter val="92,92"/>
        <filter val="93,13"/>
        <filter val="96,00"/>
        <filter val="98,00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5:X166 X169 X187 X196:X201 X203 X207:X210 X212:X215 X233 X255 X257 X273:X274 X299 X308 X316 X323:X324 X336:X337 X343:X345 X353 X368 X373 X378:X379 X387 X421:X423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zvPMnSCa7+7cs6I5fpJmSo2+voyy1kRApVMm/FJwLrygu0bw1eoZQmTSPns4MS+tTArxtJqVjaLLvhNyf3a5ig==" saltValue="h1k8yPaE1NqAt89V0d1YS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2025-11-14T10:20:17Z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