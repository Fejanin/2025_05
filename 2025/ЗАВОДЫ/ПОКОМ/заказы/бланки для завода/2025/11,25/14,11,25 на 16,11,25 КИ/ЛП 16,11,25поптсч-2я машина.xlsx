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481D65-9A7B-41EA-B829-9E8E9086406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N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Y154" i="1" l="1"/>
  <c r="Y153" i="1"/>
  <c r="BP152" i="1"/>
  <c r="BN152" i="1"/>
  <c r="Z152" i="1"/>
  <c r="Z153" i="1" s="1"/>
  <c r="Y159" i="1"/>
  <c r="BP158" i="1"/>
  <c r="BN158" i="1"/>
  <c r="Z158" i="1"/>
  <c r="Z159" i="1" s="1"/>
  <c r="BP169" i="1"/>
  <c r="BN169" i="1"/>
  <c r="Z169" i="1"/>
  <c r="BP202" i="1"/>
  <c r="BN202" i="1"/>
  <c r="Z202" i="1"/>
  <c r="BP228" i="1"/>
  <c r="BN228" i="1"/>
  <c r="Z228" i="1"/>
  <c r="BP257" i="1"/>
  <c r="BN257" i="1"/>
  <c r="Z257" i="1"/>
  <c r="BP285" i="1"/>
  <c r="BN285" i="1"/>
  <c r="Z285" i="1"/>
  <c r="BP312" i="1"/>
  <c r="BN312" i="1"/>
  <c r="Z312" i="1"/>
  <c r="BP346" i="1"/>
  <c r="BN346" i="1"/>
  <c r="Z346" i="1"/>
  <c r="BP379" i="1"/>
  <c r="BN379" i="1"/>
  <c r="Z379" i="1"/>
  <c r="BP425" i="1"/>
  <c r="BN425" i="1"/>
  <c r="Z425" i="1"/>
  <c r="BP451" i="1"/>
  <c r="BN451" i="1"/>
  <c r="Z451" i="1"/>
  <c r="B500" i="1"/>
  <c r="X492" i="1"/>
  <c r="Y31" i="1"/>
  <c r="Z52" i="1"/>
  <c r="BN52" i="1"/>
  <c r="Z62" i="1"/>
  <c r="BN62" i="1"/>
  <c r="Z79" i="1"/>
  <c r="Z86" i="1"/>
  <c r="BN86" i="1"/>
  <c r="Y89" i="1"/>
  <c r="Z101" i="1"/>
  <c r="BN101" i="1"/>
  <c r="Z119" i="1"/>
  <c r="Z120" i="1" s="1"/>
  <c r="BN119" i="1"/>
  <c r="BP119" i="1"/>
  <c r="Y120" i="1"/>
  <c r="Z124" i="1"/>
  <c r="BN124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3" i="1"/>
  <c r="BN273" i="1"/>
  <c r="Z273" i="1"/>
  <c r="BP300" i="1"/>
  <c r="BN300" i="1"/>
  <c r="Z300" i="1"/>
  <c r="BP329" i="1"/>
  <c r="BN329" i="1"/>
  <c r="Z329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339" i="1"/>
  <c r="BP92" i="1"/>
  <c r="BN92" i="1"/>
  <c r="Z92" i="1"/>
  <c r="BP107" i="1"/>
  <c r="BN107" i="1"/>
  <c r="Z107" i="1"/>
  <c r="BP130" i="1"/>
  <c r="BN130" i="1"/>
  <c r="Z130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80" i="1"/>
  <c r="BN280" i="1"/>
  <c r="Z280" i="1"/>
  <c r="BP290" i="1"/>
  <c r="BN290" i="1"/>
  <c r="Z290" i="1"/>
  <c r="X491" i="1"/>
  <c r="X493" i="1" s="1"/>
  <c r="X494" i="1"/>
  <c r="Z27" i="1"/>
  <c r="BN27" i="1"/>
  <c r="Z41" i="1"/>
  <c r="BN41" i="1"/>
  <c r="Y58" i="1"/>
  <c r="Z54" i="1"/>
  <c r="BN54" i="1"/>
  <c r="Z60" i="1"/>
  <c r="BN60" i="1"/>
  <c r="Z67" i="1"/>
  <c r="BN67" i="1"/>
  <c r="Z75" i="1"/>
  <c r="BN75" i="1"/>
  <c r="Y81" i="1"/>
  <c r="BP79" i="1"/>
  <c r="BP99" i="1"/>
  <c r="BN99" i="1"/>
  <c r="Z99" i="1"/>
  <c r="BP115" i="1"/>
  <c r="BN115" i="1"/>
  <c r="Z115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1" i="1"/>
  <c r="BN211" i="1"/>
  <c r="Z211" i="1"/>
  <c r="BP226" i="1"/>
  <c r="BN226" i="1"/>
  <c r="Z226" i="1"/>
  <c r="BP234" i="1"/>
  <c r="BN234" i="1"/>
  <c r="Z234" i="1"/>
  <c r="Y261" i="1"/>
  <c r="BP255" i="1"/>
  <c r="BN255" i="1"/>
  <c r="Z255" i="1"/>
  <c r="BP266" i="1"/>
  <c r="BN266" i="1"/>
  <c r="Z266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16" i="1"/>
  <c r="Y136" i="1"/>
  <c r="Y252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81" i="1"/>
  <c r="Y455" i="1"/>
  <c r="Y454" i="1"/>
  <c r="Y32" i="1"/>
  <c r="Y44" i="1"/>
  <c r="Y48" i="1"/>
  <c r="Y69" i="1"/>
  <c r="BP66" i="1"/>
  <c r="BN66" i="1"/>
  <c r="Z66" i="1"/>
  <c r="BP74" i="1"/>
  <c r="BN74" i="1"/>
  <c r="Z74" i="1"/>
  <c r="BP108" i="1"/>
  <c r="BN108" i="1"/>
  <c r="Z108" i="1"/>
  <c r="Y110" i="1"/>
  <c r="BP125" i="1"/>
  <c r="BN125" i="1"/>
  <c r="Z125" i="1"/>
  <c r="Z126" i="1" s="1"/>
  <c r="Y132" i="1"/>
  <c r="BP129" i="1"/>
  <c r="BN129" i="1"/>
  <c r="Z129" i="1"/>
  <c r="BP142" i="1"/>
  <c r="BN142" i="1"/>
  <c r="Z142" i="1"/>
  <c r="Y144" i="1"/>
  <c r="H9" i="1"/>
  <c r="A10" i="1"/>
  <c r="Y24" i="1"/>
  <c r="Y36" i="1"/>
  <c r="Y57" i="1"/>
  <c r="Y64" i="1"/>
  <c r="BP87" i="1"/>
  <c r="BN87" i="1"/>
  <c r="Z87" i="1"/>
  <c r="Y96" i="1"/>
  <c r="BP91" i="1"/>
  <c r="BN91" i="1"/>
  <c r="Z91" i="1"/>
  <c r="BP100" i="1"/>
  <c r="BN100" i="1"/>
  <c r="Z100" i="1"/>
  <c r="Y117" i="1"/>
  <c r="BP112" i="1"/>
  <c r="BN112" i="1"/>
  <c r="Z112" i="1"/>
  <c r="Y127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Y286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Z319" i="1" s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Y333" i="1"/>
  <c r="BP337" i="1"/>
  <c r="BN337" i="1"/>
  <c r="Z337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39" i="1" l="1"/>
  <c r="Z326" i="1"/>
  <c r="Z474" i="1"/>
  <c r="Z143" i="1"/>
  <c r="Z88" i="1"/>
  <c r="Z76" i="1"/>
  <c r="Z332" i="1"/>
  <c r="Z286" i="1"/>
  <c r="Z131" i="1"/>
  <c r="Z296" i="1"/>
  <c r="Z463" i="1"/>
  <c r="Z313" i="1"/>
  <c r="Z216" i="1"/>
  <c r="Z57" i="1"/>
  <c r="Z204" i="1"/>
  <c r="Z103" i="1"/>
  <c r="Z412" i="1"/>
  <c r="Z351" i="1"/>
  <c r="Z43" i="1"/>
  <c r="Z31" i="1"/>
  <c r="Y494" i="1"/>
  <c r="Y491" i="1"/>
  <c r="Z275" i="1"/>
  <c r="Z116" i="1"/>
  <c r="Z69" i="1"/>
  <c r="Z395" i="1"/>
  <c r="Z172" i="1"/>
  <c r="Z439" i="1"/>
  <c r="Z448" i="1"/>
  <c r="Z433" i="1"/>
  <c r="Z306" i="1"/>
  <c r="Z235" i="1"/>
  <c r="Y492" i="1"/>
  <c r="Z149" i="1"/>
  <c r="Z95" i="1"/>
  <c r="Y490" i="1"/>
  <c r="Z495" i="1" l="1"/>
  <c r="Y493" i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<sst xmlns="http://schemas.openxmlformats.org/spreadsheetml/2006/main" count="2350" uniqueCount="771">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</sst>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45977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Воскресенье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0.41666666666666669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600</v>
      </c>
      <c r="Y52" s="544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591</v>
      </c>
      <c r="Y56" s="544">
        <f t="shared" si="0"/>
        <v>594</v>
      </c>
      <c r="Z56" s="36">
        <f>IFERROR(IF(Y56=0,"",ROUNDUP(Y56/H56,0)*0.00902),"")</f>
        <v>1.1906400000000001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615.95333333333338</v>
      </c>
      <c r="BN56" s="64">
        <f t="shared" si="2"/>
        <v>619.08000000000004</v>
      </c>
      <c r="BO56" s="64">
        <f t="shared" si="3"/>
        <v>0.99494949494949503</v>
      </c>
      <c r="BP56" s="64">
        <f t="shared" si="4"/>
        <v>1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186.88888888888889</v>
      </c>
      <c r="Y57" s="545">
        <f>IFERROR(Y51/H51,"0")+IFERROR(Y52/H52,"0")+IFERROR(Y53/H53,"0")+IFERROR(Y54/H54,"0")+IFERROR(Y55/H55,"0")+IFERROR(Y56/H56,"0")</f>
        <v>188</v>
      </c>
      <c r="Z57" s="545">
        <f>IFERROR(IF(Z51="",0,Z51),"0")+IFERROR(IF(Z52="",0,Z52),"0")+IFERROR(IF(Z53="",0,Z53),"0")+IFERROR(IF(Z54="",0,Z54),"0")+IFERROR(IF(Z55="",0,Z55),"0")+IFERROR(IF(Z56="",0,Z56),"0")</f>
        <v>2.25352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1191</v>
      </c>
      <c r="Y58" s="545">
        <f>IFERROR(SUM(Y51:Y56),"0")</f>
        <v>1198.8000000000002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600</v>
      </c>
      <c r="Y60" s="544">
        <f>IFERROR(IF(X60="",0,CEILING((X60/$H60),1)*$H60),"")</f>
        <v>604.80000000000007</v>
      </c>
      <c r="Z60" s="36">
        <f>IFERROR(IF(Y60=0,"",ROUNDUP(Y60/H60,0)*0.01898),"")</f>
        <v>1.06288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622.77777777777783</v>
      </c>
      <c r="BN60" s="64">
        <f>IFERROR(Y60*I60/H60,"0")</f>
        <v>627.76</v>
      </c>
      <c r="BO60" s="64">
        <f>IFERROR(1/J60*(X60/H60),"0")</f>
        <v>0.86805555555555547</v>
      </c>
      <c r="BP60" s="64">
        <f>IFERROR(1/J60*(Y60/H60),"0")</f>
        <v>0.875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55.55555555555555</v>
      </c>
      <c r="Y63" s="545">
        <f>IFERROR(Y60/H60,"0")+IFERROR(Y61/H61,"0")+IFERROR(Y62/H62,"0")</f>
        <v>56</v>
      </c>
      <c r="Z63" s="545">
        <f>IFERROR(IF(Z60="",0,Z60),"0")+IFERROR(IF(Z61="",0,Z61),"0")+IFERROR(IF(Z62="",0,Z62),"0")</f>
        <v>1.06288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600</v>
      </c>
      <c r="Y64" s="545">
        <f>IFERROR(SUM(Y60:Y62),"0")</f>
        <v>604.80000000000007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200</v>
      </c>
      <c r="Y112" s="544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24.691358024691358</v>
      </c>
      <c r="Y116" s="545">
        <f>IFERROR(Y112/H112,"0")+IFERROR(Y113/H113,"0")+IFERROR(Y114/H114,"0")+IFERROR(Y115/H115,"0")</f>
        <v>25</v>
      </c>
      <c r="Z116" s="545">
        <f>IFERROR(IF(Z112="",0,Z112),"0")+IFERROR(IF(Z113="",0,Z113),"0")+IFERROR(IF(Z114="",0,Z114),"0")+IFERROR(IF(Z115="",0,Z115),"0")</f>
        <v>0.47450000000000003</v>
      </c>
      <c r="AA116" s="546"/>
      <c r="AB116" s="546"/>
      <c r="AC116" s="546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200</v>
      </c>
      <c r="Y117" s="545">
        <f>IFERROR(SUM(Y112:Y115),"0")</f>
        <v>202.5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42</v>
      </c>
      <c r="Y147" s="544">
        <f>IFERROR(IF(X147="",0,CEILING((X147/$H147),1)*$H147),"")</f>
        <v>42</v>
      </c>
      <c r="Z147" s="36">
        <f>IFERROR(IF(Y147=0,"",ROUNDUP(Y147/H147,0)*0.00651),"")</f>
        <v>6.5100000000000005E-2</v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44.699999999999996</v>
      </c>
      <c r="BN147" s="64">
        <f>IFERROR(Y147*I147/H147,"0")</f>
        <v>44.699999999999996</v>
      </c>
      <c r="BO147" s="64">
        <f>IFERROR(1/J147*(X147/H147),"0")</f>
        <v>5.4945054945054951E-2</v>
      </c>
      <c r="BP147" s="64">
        <f>IFERROR(1/J147*(Y147/H147),"0")</f>
        <v>5.4945054945054951E-2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10</v>
      </c>
      <c r="Y149" s="545">
        <f>IFERROR(Y146/H146,"0")+IFERROR(Y147/H147,"0")+IFERROR(Y148/H148,"0")</f>
        <v>10</v>
      </c>
      <c r="Z149" s="545">
        <f>IFERROR(IF(Z146="",0,Z146),"0")+IFERROR(IF(Z147="",0,Z147),"0")+IFERROR(IF(Z148="",0,Z148),"0")</f>
        <v>6.5100000000000005E-2</v>
      </c>
      <c r="AA149" s="546"/>
      <c r="AB149" s="546"/>
      <c r="AC149" s="546"/>
    </row>
    <row r="150" spans="1:68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42</v>
      </c>
      <c r="Y150" s="545">
        <f>IFERROR(SUM(Y146:Y148),"0")</f>
        <v>42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hidden="1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hidden="1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idden="1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0</v>
      </c>
      <c r="Y306" s="545">
        <f>IFERROR(Y299/H299,"0")+IFERROR(Y300/H300,"0")+IFERROR(Y301/H301,"0")+IFERROR(Y302/H302,"0")+IFERROR(Y303/H303,"0")+IFERROR(Y304/H304,"0")+IFERROR(Y305/H305,"0")</f>
        <v>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546"/>
      <c r="AB306" s="546"/>
      <c r="AC306" s="546"/>
    </row>
    <row r="307" spans="1:68" hidden="1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0</v>
      </c>
      <c r="Y307" s="545">
        <f>IFERROR(SUM(Y299:Y305),"0")</f>
        <v>0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11500</v>
      </c>
      <c r="Y309" s="544">
        <f>IFERROR(IF(X309="",0,CEILING((X309/$H309),1)*$H309),"")</f>
        <v>11505</v>
      </c>
      <c r="Z309" s="36">
        <f>IFERROR(IF(Y309=0,"",ROUNDUP(Y309/H309,0)*0.01898),"")</f>
        <v>27.9955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12219.48717948718</v>
      </c>
      <c r="BN309" s="64">
        <f>IFERROR(Y309*I309/H309,"0")</f>
        <v>12224.800000000001</v>
      </c>
      <c r="BO309" s="64">
        <f>IFERROR(1/J309*(X309/H309),"0")</f>
        <v>23.036858974358974</v>
      </c>
      <c r="BP309" s="64">
        <f>IFERROR(1/J309*(Y309/H309),"0")</f>
        <v>23.046875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150</v>
      </c>
      <c r="Y312" s="544">
        <f>IFERROR(IF(X312="",0,CEILING((X312/$H312),1)*$H312),"")</f>
        <v>150</v>
      </c>
      <c r="Z312" s="36">
        <f>IFERROR(IF(Y312=0,"",ROUNDUP(Y312/H312,0)*0.00651),"")</f>
        <v>0.32550000000000001</v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162.29999999999998</v>
      </c>
      <c r="BN312" s="64">
        <f>IFERROR(Y312*I312/H312,"0")</f>
        <v>162.29999999999998</v>
      </c>
      <c r="BO312" s="64">
        <f>IFERROR(1/J312*(X312/H312),"0")</f>
        <v>0.27472527472527475</v>
      </c>
      <c r="BP312" s="64">
        <f>IFERROR(1/J312*(Y312/H312),"0")</f>
        <v>0.27472527472527475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1524.3589743589744</v>
      </c>
      <c r="Y313" s="545">
        <f>IFERROR(Y309/H309,"0")+IFERROR(Y310/H310,"0")+IFERROR(Y311/H311,"0")+IFERROR(Y312/H312,"0")</f>
        <v>1525</v>
      </c>
      <c r="Z313" s="545">
        <f>IFERROR(IF(Z309="",0,Z309),"0")+IFERROR(IF(Z310="",0,Z310),"0")+IFERROR(IF(Z311="",0,Z311),"0")+IFERROR(IF(Z312="",0,Z312),"0")</f>
        <v>28.321000000000002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11650</v>
      </c>
      <c r="Y314" s="545">
        <f>IFERROR(SUM(Y309:Y312),"0")</f>
        <v>11655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hidden="1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750</v>
      </c>
      <c r="Y344" s="544">
        <f t="shared" ref="Y344:Y350" si="36">IFERROR(IF(X344="",0,CEILING((X344/$H344),1)*$H344),"")</f>
        <v>750</v>
      </c>
      <c r="Z344" s="36">
        <f>IFERROR(IF(Y344=0,"",ROUNDUP(Y344/H344,0)*0.02175),"")</f>
        <v>1.0874999999999999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773.5</v>
      </c>
      <c r="BN344" s="64">
        <f t="shared" ref="BN344:BN350" si="38">IFERROR(Y344*I344/H344,"0")</f>
        <v>773.5</v>
      </c>
      <c r="BO344" s="64">
        <f t="shared" ref="BO344:BO350" si="39">IFERROR(1/J344*(X344/H344),"0")</f>
        <v>1.0416666666666665</v>
      </c>
      <c r="BP344" s="64">
        <f t="shared" ref="BP344:BP350" si="40">IFERROR(1/J344*(Y344/H344),"0")</f>
        <v>1.0416666666666665</v>
      </c>
    </row>
    <row r="345" spans="1:68" ht="27" hidden="1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3600</v>
      </c>
      <c r="Y347" s="544">
        <f t="shared" si="36"/>
        <v>3600</v>
      </c>
      <c r="Z347" s="36">
        <f>IFERROR(IF(Y347=0,"",ROUNDUP(Y347/H347,0)*0.02175),"")</f>
        <v>5.22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3712.8</v>
      </c>
      <c r="BN347" s="64">
        <f t="shared" si="38"/>
        <v>3712.8</v>
      </c>
      <c r="BO347" s="64">
        <f t="shared" si="39"/>
        <v>5</v>
      </c>
      <c r="BP347" s="64">
        <f t="shared" si="40"/>
        <v>5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290</v>
      </c>
      <c r="Y351" s="545">
        <f>IFERROR(Y344/H344,"0")+IFERROR(Y345/H345,"0")+IFERROR(Y346/H346,"0")+IFERROR(Y347/H347,"0")+IFERROR(Y348/H348,"0")+IFERROR(Y349/H349,"0")+IFERROR(Y350/H350,"0")</f>
        <v>290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6.3074999999999992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4350</v>
      </c>
      <c r="Y352" s="545">
        <f>IFERROR(SUM(Y344:Y350),"0")</f>
        <v>4350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hidden="1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0</v>
      </c>
      <c r="Y356" s="545">
        <f>IFERROR(Y354/H354,"0")+IFERROR(Y355/H355,"0")</f>
        <v>0</v>
      </c>
      <c r="Z356" s="545">
        <f>IFERROR(IF(Z354="",0,Z354),"0")+IFERROR(IF(Z355="",0,Z355),"0")</f>
        <v>0</v>
      </c>
      <c r="AA356" s="546"/>
      <c r="AB356" s="546"/>
      <c r="AC356" s="546"/>
    </row>
    <row r="357" spans="1:68" hidden="1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0</v>
      </c>
      <c r="Y357" s="545">
        <f>IFERROR(SUM(Y354:Y355),"0")</f>
        <v>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hidden="1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idden="1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hidden="1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hidden="1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18033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18053.099999999999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18986.345451092118</v>
      </c>
      <c r="Y491" s="545">
        <f>IFERROR(SUM(BN22:BN487),"0")</f>
        <v>19007.400000000001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33</v>
      </c>
      <c r="Y492" s="38">
        <f>ROUNDUP(SUM(BP22:BP487),0)</f>
        <v>33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19811.345451092118</v>
      </c>
      <c r="Y493" s="545">
        <f>GrossWeightTotalR+PalletQtyTotalR*25</f>
        <v>19832.400000000001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2091.4947768281099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2094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38.484499999999997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1803.6000000000004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202.5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42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11655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4350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1,00"/>
        <filter val="1 524,36"/>
        <filter val="10,00"/>
        <filter val="11 500,00"/>
        <filter val="11 650,00"/>
        <filter val="150,00"/>
        <filter val="18 033,00"/>
        <filter val="18 986,35"/>
        <filter val="186,89"/>
        <filter val="19 811,35"/>
        <filter val="2 091,49"/>
        <filter val="200,00"/>
        <filter val="24,69"/>
        <filter val="290,00"/>
        <filter val="3 600,00"/>
        <filter val="33"/>
        <filter val="4 350,00"/>
        <filter val="42,00"/>
        <filter val="55,56"/>
        <filter val="591,00"/>
        <filter val="600,00"/>
        <filter val="750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2025-11-14T10:17:54Z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