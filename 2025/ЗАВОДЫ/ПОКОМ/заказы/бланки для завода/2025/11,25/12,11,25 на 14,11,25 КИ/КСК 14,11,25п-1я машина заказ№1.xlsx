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3C61C6C-3575-4178-8894-34E59828BAF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4" i="1"/>
  <c r="X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Y177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P75" i="1" l="1"/>
  <c r="BN75" i="1"/>
  <c r="Z75" i="1"/>
  <c r="BP113" i="1"/>
  <c r="BN113" i="1"/>
  <c r="Z113" i="1"/>
  <c r="BP166" i="1"/>
  <c r="BN166" i="1"/>
  <c r="Z166" i="1"/>
  <c r="BP200" i="1"/>
  <c r="BN200" i="1"/>
  <c r="Z200" i="1"/>
  <c r="BP225" i="1"/>
  <c r="BN225" i="1"/>
  <c r="Z225" i="1"/>
  <c r="BP254" i="1"/>
  <c r="BN254" i="1"/>
  <c r="Z254" i="1"/>
  <c r="BP290" i="1"/>
  <c r="BN290" i="1"/>
  <c r="Z290" i="1"/>
  <c r="BP310" i="1"/>
  <c r="BN310" i="1"/>
  <c r="Z310" i="1"/>
  <c r="BP344" i="1"/>
  <c r="BN344" i="1"/>
  <c r="Z344" i="1"/>
  <c r="BP377" i="1"/>
  <c r="BN377" i="1"/>
  <c r="Z377" i="1"/>
  <c r="BP423" i="1"/>
  <c r="BN423" i="1"/>
  <c r="Z423" i="1"/>
  <c r="BP449" i="1"/>
  <c r="BN449" i="1"/>
  <c r="Z449" i="1"/>
  <c r="X489" i="1"/>
  <c r="X492" i="1"/>
  <c r="Z27" i="1"/>
  <c r="BN27" i="1"/>
  <c r="BP54" i="1"/>
  <c r="BN54" i="1"/>
  <c r="Z54" i="1"/>
  <c r="BP94" i="1"/>
  <c r="BN94" i="1"/>
  <c r="Z94" i="1"/>
  <c r="BP134" i="1"/>
  <c r="BN134" i="1"/>
  <c r="Z134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210" i="1"/>
  <c r="BN210" i="1"/>
  <c r="Z210" i="1"/>
  <c r="BP233" i="1"/>
  <c r="BN233" i="1"/>
  <c r="Z233" i="1"/>
  <c r="BP265" i="1"/>
  <c r="BN265" i="1"/>
  <c r="Z265" i="1"/>
  <c r="BP300" i="1"/>
  <c r="BN300" i="1"/>
  <c r="Z300" i="1"/>
  <c r="BP327" i="1"/>
  <c r="BN327" i="1"/>
  <c r="Z327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Y337" i="1"/>
  <c r="BP107" i="1"/>
  <c r="BN107" i="1"/>
  <c r="BP115" i="1"/>
  <c r="BN115" i="1"/>
  <c r="Z115" i="1"/>
  <c r="BP141" i="1"/>
  <c r="BN141" i="1"/>
  <c r="Z141" i="1"/>
  <c r="BP168" i="1"/>
  <c r="BN168" i="1"/>
  <c r="Z168" i="1"/>
  <c r="BP191" i="1"/>
  <c r="BN191" i="1"/>
  <c r="Z191" i="1"/>
  <c r="BP202" i="1"/>
  <c r="BN202" i="1"/>
  <c r="Z202" i="1"/>
  <c r="BP212" i="1"/>
  <c r="BN212" i="1"/>
  <c r="Z212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56" i="1"/>
  <c r="BN256" i="1"/>
  <c r="Z256" i="1"/>
  <c r="BP272" i="1"/>
  <c r="BN272" i="1"/>
  <c r="Z272" i="1"/>
  <c r="BP292" i="1"/>
  <c r="BN292" i="1"/>
  <c r="Z292" i="1"/>
  <c r="B498" i="1"/>
  <c r="X490" i="1"/>
  <c r="X491" i="1" s="1"/>
  <c r="Y31" i="1"/>
  <c r="Z29" i="1"/>
  <c r="BN29" i="1"/>
  <c r="C498" i="1"/>
  <c r="Z52" i="1"/>
  <c r="BN52" i="1"/>
  <c r="Z56" i="1"/>
  <c r="BN56" i="1"/>
  <c r="Z61" i="1"/>
  <c r="BN61" i="1"/>
  <c r="Z73" i="1"/>
  <c r="BN73" i="1"/>
  <c r="Z79" i="1"/>
  <c r="BN79" i="1"/>
  <c r="BP79" i="1"/>
  <c r="Z92" i="1"/>
  <c r="BN92" i="1"/>
  <c r="Z99" i="1"/>
  <c r="BN99" i="1"/>
  <c r="Z107" i="1"/>
  <c r="BP130" i="1"/>
  <c r="BN130" i="1"/>
  <c r="Z130" i="1"/>
  <c r="BP164" i="1"/>
  <c r="BN164" i="1"/>
  <c r="Z164" i="1"/>
  <c r="Y178" i="1"/>
  <c r="BP174" i="1"/>
  <c r="BN174" i="1"/>
  <c r="Z174" i="1"/>
  <c r="Z177" i="1" s="1"/>
  <c r="BP197" i="1"/>
  <c r="BN197" i="1"/>
  <c r="Z197" i="1"/>
  <c r="BP208" i="1"/>
  <c r="BN208" i="1"/>
  <c r="Z208" i="1"/>
  <c r="Y220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Y285" i="1"/>
  <c r="Y284" i="1"/>
  <c r="BP283" i="1"/>
  <c r="BN283" i="1"/>
  <c r="Z283" i="1"/>
  <c r="Z284" i="1" s="1"/>
  <c r="Q498" i="1"/>
  <c r="BP288" i="1"/>
  <c r="BN288" i="1"/>
  <c r="Z288" i="1"/>
  <c r="Z293" i="1" s="1"/>
  <c r="BP298" i="1"/>
  <c r="BN298" i="1"/>
  <c r="Z298" i="1"/>
  <c r="BP308" i="1"/>
  <c r="BN308" i="1"/>
  <c r="Z308" i="1"/>
  <c r="Y325" i="1"/>
  <c r="BP320" i="1"/>
  <c r="BN320" i="1"/>
  <c r="Z320" i="1"/>
  <c r="Y324" i="1"/>
  <c r="BP329" i="1"/>
  <c r="BN329" i="1"/>
  <c r="Z329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136" i="1"/>
  <c r="Y172" i="1"/>
  <c r="Y216" i="1"/>
  <c r="Y304" i="1"/>
  <c r="BP302" i="1"/>
  <c r="BN302" i="1"/>
  <c r="Z302" i="1"/>
  <c r="BP314" i="1"/>
  <c r="BN314" i="1"/>
  <c r="Z314" i="1"/>
  <c r="BP321" i="1"/>
  <c r="BN321" i="1"/>
  <c r="Z321" i="1"/>
  <c r="BP336" i="1"/>
  <c r="BN336" i="1"/>
  <c r="Z336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379" i="1"/>
  <c r="Y453" i="1"/>
  <c r="Y452" i="1"/>
  <c r="H9" i="1"/>
  <c r="A10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Y330" i="1"/>
  <c r="D498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BP167" i="1"/>
  <c r="BN167" i="1"/>
  <c r="Z167" i="1"/>
  <c r="Y171" i="1"/>
  <c r="BP175" i="1"/>
  <c r="BN175" i="1"/>
  <c r="Z175" i="1"/>
  <c r="Y192" i="1"/>
  <c r="BP196" i="1"/>
  <c r="BN196" i="1"/>
  <c r="Z196" i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Z259" i="1" s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Y311" i="1"/>
  <c r="BP315" i="1"/>
  <c r="BN315" i="1"/>
  <c r="Z315" i="1"/>
  <c r="Z317" i="1" s="1"/>
  <c r="Y317" i="1"/>
  <c r="BP343" i="1"/>
  <c r="BN343" i="1"/>
  <c r="Z343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O498" i="1"/>
  <c r="Y274" i="1"/>
  <c r="BP271" i="1"/>
  <c r="BN271" i="1"/>
  <c r="Z271" i="1"/>
  <c r="BP289" i="1"/>
  <c r="BN289" i="1"/>
  <c r="Z289" i="1"/>
  <c r="Y293" i="1"/>
  <c r="BP297" i="1"/>
  <c r="BN297" i="1"/>
  <c r="Z297" i="1"/>
  <c r="BP301" i="1"/>
  <c r="BN301" i="1"/>
  <c r="Z301" i="1"/>
  <c r="Y312" i="1"/>
  <c r="BP309" i="1"/>
  <c r="BN309" i="1"/>
  <c r="Z309" i="1"/>
  <c r="Y318" i="1"/>
  <c r="BP322" i="1"/>
  <c r="BN322" i="1"/>
  <c r="Z322" i="1"/>
  <c r="Y331" i="1"/>
  <c r="BP335" i="1"/>
  <c r="BN335" i="1"/>
  <c r="Z335" i="1"/>
  <c r="Z337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24" i="1" l="1"/>
  <c r="Z267" i="1"/>
  <c r="Z215" i="1"/>
  <c r="Z472" i="1"/>
  <c r="Z250" i="1"/>
  <c r="Z171" i="1"/>
  <c r="Z136" i="1"/>
  <c r="Z88" i="1"/>
  <c r="Z461" i="1"/>
  <c r="Z311" i="1"/>
  <c r="Z437" i="1"/>
  <c r="Z303" i="1"/>
  <c r="Z274" i="1"/>
  <c r="Z220" i="1"/>
  <c r="Z410" i="1"/>
  <c r="Z349" i="1"/>
  <c r="Z203" i="1"/>
  <c r="Z109" i="1"/>
  <c r="Z57" i="1"/>
  <c r="Z330" i="1"/>
  <c r="Z116" i="1"/>
  <c r="Z103" i="1"/>
  <c r="Z446" i="1"/>
  <c r="Z431" i="1"/>
  <c r="Y490" i="1"/>
  <c r="Z95" i="1"/>
  <c r="Z393" i="1"/>
  <c r="Z234" i="1"/>
  <c r="Z143" i="1"/>
  <c r="Z76" i="1"/>
  <c r="Z63" i="1"/>
  <c r="Z43" i="1"/>
  <c r="Z31" i="1"/>
  <c r="Y492" i="1"/>
  <c r="Y489" i="1"/>
  <c r="Y491" i="1" s="1"/>
  <c r="Z149" i="1"/>
  <c r="Z69" i="1"/>
  <c r="Y488" i="1"/>
  <c r="Z493" i="1" l="1"/>
</calcChain>
</file>

<file path=xl/sharedStrings.xml><?xml version="1.0" encoding="utf-8"?>
<sst xmlns="http://schemas.openxmlformats.org/spreadsheetml/2006/main" count="2145" uniqueCount="762">
  <si>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</si>
  <si>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</si>
  <si>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</si>
  <si>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</si>
  <si>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</si>
  <si>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</si>
  <si>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</si>
  <si>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</si>
  <si>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</si>
  <si>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</si>
  <si>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</si>
  <si>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</si>
  <si>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</si>
  <si>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</si>
  <si>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</si>
  <si>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</si>
  <si>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</si>
  <si>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</si>
  <si>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</si>
  <si>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</si>
  <si>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</si>
  <si>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</si>
  <si>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</si>
  <si>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</si>
  <si>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</si>
  <si>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</si>
  <si>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</si>
  <si>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</si>
  <si>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</si>
  <si>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</si>
  <si>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</si>
  <si>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</si>
  <si>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</si>
  <si>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</si>
  <si>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</si>
  <si>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</si>
  <si>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</si>
  <si>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</si>
  <si>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</si>
  <si>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</si>
  <si>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</si>
  <si>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</si>
  <si>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</si>
  <si>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</si>
  <si>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</si>
  <si>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</si>
  <si>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</si>
  <si>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</si>
  <si>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</si>
  <si>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</si>
  <si>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</si>
  <si>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</si>
  <si>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</si>
  <si>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</si>
  <si>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</si>
  <si>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</si>
  <si>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</si>
  <si>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</si>
  <si>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</si>
  <si>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</si>
  <si>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</si>
  <si>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</si>
  <si>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</si>
  <si>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</si>
  <si>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</si>
  <si>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</si>
  <si>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</si>
  <si>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</si>
  <si>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</si>
  <si>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</si>
  <si>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</si>
  <si>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</si>
  <si>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</si>
  <si>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</si>
  <si>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</si>
  <si>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</si>
  <si>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</si>
  <si>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</si>
  <si>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</si>
  <si>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</si>
  <si>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</si>
  <si>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</si>
  <si>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</si>
  <si>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</si>
  <si>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</si>
  <si>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</si>
  <si>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</si>
  <si>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</si>
  <si>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</si>
  <si>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</si>
  <si>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</si>
  <si>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</si>
  <si>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</si>
  <si>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</si>
  <si>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</si>
  <si>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</si>
  <si>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</si>
  <si>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</si>
  <si>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</si>
  <si>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</si>
  <si>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</si>
  <si>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</si>
  <si>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</si>
  <si>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</si>
  <si>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</si>
  <si>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</si>
  <si>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</si>
  <si>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</si>
  <si>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Короб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</si>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</sst>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761</v>
      </c>
      <c r="I5" s="759"/>
      <c r="J5" s="759"/>
      <c r="K5" s="759"/>
      <c r="L5" s="759"/>
      <c r="M5" s="617"/>
      <c r="N5" s="58"/>
      <c r="P5" s="24" t="s">
        <v>10</v>
      </c>
      <c r="Q5" s="834">
        <v>45975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Пятница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0.375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107</v>
      </c>
      <c r="L41" s="32"/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60</v>
      </c>
      <c r="Y41" s="540">
        <f>IFERROR(IF(X41="",0,CEILING((X41/$H41),1)*$H41),"")</f>
        <v>60</v>
      </c>
      <c r="Z41" s="36">
        <f>IFERROR(IF(Y41=0,"",ROUNDUP(Y41/H41,0)*0.00902),"")</f>
        <v>0.1353</v>
      </c>
      <c r="AA41" s="56"/>
      <c r="AB41" s="57"/>
      <c r="AC41" s="85" t="s">
        <v>104</v>
      </c>
      <c r="AG41" s="64"/>
      <c r="AJ41" s="68" t="s">
        <v>108</v>
      </c>
      <c r="AK41" s="68">
        <v>4</v>
      </c>
      <c r="BB41" s="86" t="s">
        <v>1</v>
      </c>
      <c r="BM41" s="64">
        <f>IFERROR(X41*I41/H41,"0")</f>
        <v>62.850000000000009</v>
      </c>
      <c r="BN41" s="64">
        <f>IFERROR(Y41*I41/H41,"0")</f>
        <v>62.850000000000009</v>
      </c>
      <c r="BO41" s="64">
        <f>IFERROR(1/J41*(X41/H41),"0")</f>
        <v>0.11363636363636365</v>
      </c>
      <c r="BP41" s="64">
        <f>IFERROR(1/J41*(Y41/H41),"0")</f>
        <v>0.11363636363636365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107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15</v>
      </c>
      <c r="Y43" s="541">
        <f>IFERROR(Y40/H40,"0")+IFERROR(Y41/H41,"0")+IFERROR(Y42/H42,"0")</f>
        <v>15</v>
      </c>
      <c r="Z43" s="541">
        <f>IFERROR(IF(Z40="",0,Z40),"0")+IFERROR(IF(Z41="",0,Z41),"0")+IFERROR(IF(Z42="",0,Z42),"0")</f>
        <v>0.1353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60</v>
      </c>
      <c r="Y44" s="541">
        <f>IFERROR(SUM(Y40:Y42),"0")</f>
        <v>60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111</v>
      </c>
      <c r="B46" s="54" t="s">
        <v>112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113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114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115</v>
      </c>
      <c r="B51" s="54" t="s">
        <v>116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117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118</v>
      </c>
      <c r="B52" s="54" t="s">
        <v>119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124</v>
      </c>
      <c r="B54" s="54" t="s">
        <v>125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270</v>
      </c>
      <c r="Y56" s="540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132</v>
      </c>
      <c r="AG56" s="64"/>
      <c r="AJ56" s="68" t="s">
        <v>108</v>
      </c>
      <c r="AK56" s="68">
        <v>4.5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60</v>
      </c>
      <c r="Y57" s="541">
        <f>IFERROR(Y51/H51,"0")+IFERROR(Y52/H52,"0")+IFERROR(Y53/H53,"0")+IFERROR(Y54/H54,"0")+IFERROR(Y55/H55,"0")+IFERROR(Y56/H56,"0")</f>
        <v>60</v>
      </c>
      <c r="Z57" s="541">
        <f>IFERROR(IF(Z51="",0,Z51),"0")+IFERROR(IF(Z52="",0,Z52),"0")+IFERROR(IF(Z53="",0,Z53),"0")+IFERROR(IF(Z54="",0,Z54),"0")+IFERROR(IF(Z55="",0,Z55),"0")+IFERROR(IF(Z56="",0,Z56),"0")</f>
        <v>0.54120000000000001</v>
      </c>
      <c r="AA57" s="542"/>
      <c r="AB57" s="542"/>
      <c r="AC57" s="542"/>
    </row>
    <row r="58" spans="1:68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270</v>
      </c>
      <c r="Y58" s="541">
        <f>IFERROR(SUM(Y51:Y56),"0")</f>
        <v>270</v>
      </c>
      <c r="Z58" s="37"/>
      <c r="AA58" s="542"/>
      <c r="AB58" s="542"/>
      <c r="AC58" s="542"/>
    </row>
    <row r="59" spans="1:68" ht="14.25" hidden="1" customHeight="1" x14ac:dyDescent="0.25">
      <c r="A59" s="550" t="s">
        <v>133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hidden="1" customHeight="1" x14ac:dyDescent="0.25">
      <c r="A60" s="54" t="s">
        <v>134</v>
      </c>
      <c r="B60" s="54" t="s">
        <v>135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136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137</v>
      </c>
      <c r="B61" s="54" t="s">
        <v>138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136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139</v>
      </c>
      <c r="B62" s="54" t="s">
        <v>140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103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136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141</v>
      </c>
      <c r="B66" s="54" t="s">
        <v>142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143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144</v>
      </c>
      <c r="B67" s="54" t="s">
        <v>145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161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107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168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hidden="1" customHeight="1" x14ac:dyDescent="0.25">
      <c r="A85" s="54" t="s">
        <v>169</v>
      </c>
      <c r="B85" s="54" t="s">
        <v>170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/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107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107</v>
      </c>
      <c r="L87" s="32"/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675</v>
      </c>
      <c r="Y87" s="540">
        <f>IFERROR(IF(X87="",0,CEILING((X87/$H87),1)*$H87),"")</f>
        <v>675</v>
      </c>
      <c r="Z87" s="36">
        <f>IFERROR(IF(Y87=0,"",ROUNDUP(Y87/H87,0)*0.00902),"")</f>
        <v>1.353</v>
      </c>
      <c r="AA87" s="56"/>
      <c r="AB87" s="57"/>
      <c r="AC87" s="131" t="s">
        <v>171</v>
      </c>
      <c r="AG87" s="64"/>
      <c r="AJ87" s="68" t="s">
        <v>108</v>
      </c>
      <c r="AK87" s="68">
        <v>4.5</v>
      </c>
      <c r="BB87" s="132" t="s">
        <v>1</v>
      </c>
      <c r="BM87" s="64">
        <f>IFERROR(X87*I87/H87,"0")</f>
        <v>703.50000000000011</v>
      </c>
      <c r="BN87" s="64">
        <f>IFERROR(Y87*I87/H87,"0")</f>
        <v>703.50000000000011</v>
      </c>
      <c r="BO87" s="64">
        <f>IFERROR(1/J87*(X87/H87),"0")</f>
        <v>1.1363636363636365</v>
      </c>
      <c r="BP87" s="64">
        <f>IFERROR(1/J87*(Y87/H87),"0")</f>
        <v>1.1363636363636365</v>
      </c>
    </row>
    <row r="88" spans="1:68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150</v>
      </c>
      <c r="Y88" s="541">
        <f>IFERROR(Y85/H85,"0")+IFERROR(Y86/H86,"0")+IFERROR(Y87/H87,"0")</f>
        <v>150</v>
      </c>
      <c r="Z88" s="541">
        <f>IFERROR(IF(Z85="",0,Z85),"0")+IFERROR(IF(Z86="",0,Z86),"0")+IFERROR(IF(Z87="",0,Z87),"0")</f>
        <v>1.353</v>
      </c>
      <c r="AA88" s="542"/>
      <c r="AB88" s="542"/>
      <c r="AC88" s="542"/>
    </row>
    <row r="89" spans="1:68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675</v>
      </c>
      <c r="Y89" s="541">
        <f>IFERROR(SUM(Y85:Y87),"0")</f>
        <v>675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hidden="1" customHeight="1" x14ac:dyDescent="0.25">
      <c r="A91" s="54" t="s">
        <v>176</v>
      </c>
      <c r="B91" s="54" t="s">
        <v>177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/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178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179</v>
      </c>
      <c r="B92" s="54" t="s">
        <v>180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182</v>
      </c>
      <c r="B93" s="54" t="s">
        <v>183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675</v>
      </c>
      <c r="Y93" s="540">
        <f>IFERROR(IF(X93="",0,CEILING((X93/$H93),1)*$H93),"")</f>
        <v>675</v>
      </c>
      <c r="Z93" s="36">
        <f>IFERROR(IF(Y93=0,"",ROUNDUP(Y93/H93,0)*0.00651),"")</f>
        <v>1.6274999999999999</v>
      </c>
      <c r="AA93" s="56"/>
      <c r="AB93" s="57"/>
      <c r="AC93" s="137" t="s">
        <v>178</v>
      </c>
      <c r="AG93" s="64"/>
      <c r="AJ93" s="68"/>
      <c r="AK93" s="68">
        <v>0</v>
      </c>
      <c r="BB93" s="138" t="s">
        <v>1</v>
      </c>
      <c r="BM93" s="64">
        <f>IFERROR(X93*I93/H93,"0")</f>
        <v>737.99999999999989</v>
      </c>
      <c r="BN93" s="64">
        <f>IFERROR(Y93*I93/H93,"0")</f>
        <v>737.99999999999989</v>
      </c>
      <c r="BO93" s="64">
        <f>IFERROR(1/J93*(X93/H93),"0")</f>
        <v>1.3736263736263736</v>
      </c>
      <c r="BP93" s="64">
        <f>IFERROR(1/J93*(Y93/H93),"0")</f>
        <v>1.3736263736263736</v>
      </c>
    </row>
    <row r="94" spans="1:68" ht="16.5" hidden="1" customHeight="1" x14ac:dyDescent="0.25">
      <c r="A94" s="54" t="s">
        <v>184</v>
      </c>
      <c r="B94" s="54" t="s">
        <v>185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186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249.99999999999997</v>
      </c>
      <c r="Y95" s="541">
        <f>IFERROR(Y91/H91,"0")+IFERROR(Y92/H92,"0")+IFERROR(Y93/H93,"0")+IFERROR(Y94/H94,"0")</f>
        <v>249.99999999999997</v>
      </c>
      <c r="Z95" s="541">
        <f>IFERROR(IF(Z91="",0,Z91),"0")+IFERROR(IF(Z92="",0,Z92),"0")+IFERROR(IF(Z93="",0,Z93),"0")+IFERROR(IF(Z94="",0,Z94),"0")</f>
        <v>1.6274999999999999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675</v>
      </c>
      <c r="Y96" s="541">
        <f>IFERROR(SUM(Y91:Y94),"0")</f>
        <v>675</v>
      </c>
      <c r="Z96" s="37"/>
      <c r="AA96" s="542"/>
      <c r="AB96" s="542"/>
      <c r="AC96" s="542"/>
    </row>
    <row r="97" spans="1:68" ht="16.5" hidden="1" customHeight="1" x14ac:dyDescent="0.25">
      <c r="A97" s="548" t="s">
        <v>187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188</v>
      </c>
      <c r="B99" s="54" t="s">
        <v>189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190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191</v>
      </c>
      <c r="B100" s="54" t="s">
        <v>192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107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190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193</v>
      </c>
      <c r="B101" s="54" t="s">
        <v>194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107</v>
      </c>
      <c r="L101" s="32" t="s">
        <v>195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1800</v>
      </c>
      <c r="Y101" s="540">
        <f>IFERROR(IF(X101="",0,CEILING((X101/$H101),1)*$H101),"")</f>
        <v>1800</v>
      </c>
      <c r="Z101" s="36">
        <f>IFERROR(IF(Y101=0,"",ROUNDUP(Y101/H101,0)*0.00902),"")</f>
        <v>3.6080000000000001</v>
      </c>
      <c r="AA101" s="56"/>
      <c r="AB101" s="57"/>
      <c r="AC101" s="145" t="s">
        <v>190</v>
      </c>
      <c r="AG101" s="64"/>
      <c r="AJ101" s="68" t="s">
        <v>108</v>
      </c>
      <c r="AK101" s="68">
        <v>54</v>
      </c>
      <c r="BB101" s="146" t="s">
        <v>1</v>
      </c>
      <c r="BM101" s="64">
        <f>IFERROR(X101*I101/H101,"0")</f>
        <v>1876</v>
      </c>
      <c r="BN101" s="64">
        <f>IFERROR(Y101*I101/H101,"0")</f>
        <v>1876</v>
      </c>
      <c r="BO101" s="64">
        <f>IFERROR(1/J101*(X101/H101),"0")</f>
        <v>3.0303030303030303</v>
      </c>
      <c r="BP101" s="64">
        <f>IFERROR(1/J101*(Y101/H101),"0")</f>
        <v>3.0303030303030303</v>
      </c>
    </row>
    <row r="102" spans="1:68" ht="37.5" hidden="1" customHeight="1" x14ac:dyDescent="0.25">
      <c r="A102" s="54" t="s">
        <v>196</v>
      </c>
      <c r="B102" s="54" t="s">
        <v>197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107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190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400</v>
      </c>
      <c r="Y103" s="541">
        <f>IFERROR(Y99/H99,"0")+IFERROR(Y100/H100,"0")+IFERROR(Y101/H101,"0")+IFERROR(Y102/H102,"0")</f>
        <v>400</v>
      </c>
      <c r="Z103" s="541">
        <f>IFERROR(IF(Z99="",0,Z99),"0")+IFERROR(IF(Z100="",0,Z100),"0")+IFERROR(IF(Z101="",0,Z101),"0")+IFERROR(IF(Z102="",0,Z102),"0")</f>
        <v>3.6080000000000001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1800</v>
      </c>
      <c r="Y104" s="541">
        <f>IFERROR(SUM(Y99:Y102),"0")</f>
        <v>1800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133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198</v>
      </c>
      <c r="B106" s="54" t="s">
        <v>199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/>
      <c r="M106" s="33" t="s">
        <v>103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201</v>
      </c>
      <c r="B107" s="54" t="s">
        <v>202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103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203</v>
      </c>
      <c r="B108" s="54" t="s">
        <v>204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103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hidden="1" customHeight="1" x14ac:dyDescent="0.25">
      <c r="A112" s="54" t="s">
        <v>205</v>
      </c>
      <c r="B112" s="54" t="s">
        <v>206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/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207</v>
      </c>
      <c r="AG112" s="64"/>
      <c r="AJ112" s="68"/>
      <c r="AK112" s="68">
        <v>0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208</v>
      </c>
      <c r="B113" s="54" t="s">
        <v>209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210</v>
      </c>
      <c r="B114" s="54" t="s">
        <v>211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212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315.89999999999998</v>
      </c>
      <c r="Y114" s="540">
        <f>IFERROR(IF(X114="",0,CEILING((X114/$H114),1)*$H114),"")</f>
        <v>315.90000000000003</v>
      </c>
      <c r="Z114" s="36">
        <f>IFERROR(IF(Y114=0,"",ROUNDUP(Y114/H114,0)*0.00651),"")</f>
        <v>0.76167000000000007</v>
      </c>
      <c r="AA114" s="56"/>
      <c r="AB114" s="57"/>
      <c r="AC114" s="159" t="s">
        <v>207</v>
      </c>
      <c r="AG114" s="64"/>
      <c r="AJ114" s="68" t="s">
        <v>108</v>
      </c>
      <c r="AK114" s="68">
        <v>37.799999999999997</v>
      </c>
      <c r="BB114" s="160" t="s">
        <v>1</v>
      </c>
      <c r="BM114" s="64">
        <f>IFERROR(X114*I114/H114,"0")</f>
        <v>345.38399999999996</v>
      </c>
      <c r="BN114" s="64">
        <f>IFERROR(Y114*I114/H114,"0")</f>
        <v>345.38400000000001</v>
      </c>
      <c r="BO114" s="64">
        <f>IFERROR(1/J114*(X114/H114),"0")</f>
        <v>0.64285714285714279</v>
      </c>
      <c r="BP114" s="64">
        <f>IFERROR(1/J114*(Y114/H114),"0")</f>
        <v>0.6428571428571429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116.99999999999999</v>
      </c>
      <c r="Y116" s="541">
        <f>IFERROR(Y112/H112,"0")+IFERROR(Y113/H113,"0")+IFERROR(Y114/H114,"0")+IFERROR(Y115/H115,"0")</f>
        <v>117</v>
      </c>
      <c r="Z116" s="541">
        <f>IFERROR(IF(Z112="",0,Z112),"0")+IFERROR(IF(Z113="",0,Z113),"0")+IFERROR(IF(Z114="",0,Z114),"0")+IFERROR(IF(Z115="",0,Z115),"0")</f>
        <v>0.76167000000000007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315.89999999999998</v>
      </c>
      <c r="Y117" s="541">
        <f>IFERROR(SUM(Y112:Y115),"0")</f>
        <v>315.90000000000003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161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219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103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107</v>
      </c>
      <c r="L141" s="32"/>
      <c r="M141" s="33" t="s">
        <v>103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237</v>
      </c>
      <c r="B142" s="54" t="s">
        <v>238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103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239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240</v>
      </c>
      <c r="B146" s="54" t="s">
        <v>241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103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243</v>
      </c>
      <c r="B147" s="54" t="s">
        <v>244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246</v>
      </c>
      <c r="B148" s="54" t="s">
        <v>247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249</v>
      </c>
      <c r="B152" s="54" t="s">
        <v>250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251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252</v>
      </c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254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255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133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107</v>
      </c>
      <c r="L162" s="32"/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107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107</v>
      </c>
      <c r="L164" s="32"/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270</v>
      </c>
      <c r="B166" s="54" t="s">
        <v>271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272</v>
      </c>
      <c r="B167" s="54" t="s">
        <v>273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275</v>
      </c>
      <c r="B168" s="54" t="s">
        <v>276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267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277</v>
      </c>
      <c r="B169" s="54" t="s">
        <v>278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267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279</v>
      </c>
      <c r="B170" s="54" t="s">
        <v>280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0</v>
      </c>
      <c r="Y172" s="541">
        <f>IFERROR(SUM(Y162:Y170),"0")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282</v>
      </c>
      <c r="B174" s="54" t="s">
        <v>283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284</v>
      </c>
      <c r="L174" s="32"/>
      <c r="M174" s="33" t="s">
        <v>285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286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287</v>
      </c>
      <c r="B175" s="54" t="s">
        <v>288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284</v>
      </c>
      <c r="L175" s="32"/>
      <c r="M175" s="33" t="s">
        <v>285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289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290</v>
      </c>
      <c r="B176" s="54" t="s">
        <v>291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284</v>
      </c>
      <c r="L176" s="32"/>
      <c r="M176" s="33" t="s">
        <v>285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289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292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hidden="1" customHeight="1" x14ac:dyDescent="0.25">
      <c r="A180" s="54" t="s">
        <v>293</v>
      </c>
      <c r="B180" s="54" t="s">
        <v>294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284</v>
      </c>
      <c r="L180" s="32"/>
      <c r="M180" s="33" t="s">
        <v>285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289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48" t="s">
        <v>295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296</v>
      </c>
      <c r="B185" s="54" t="s">
        <v>297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103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298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299</v>
      </c>
      <c r="B186" s="54" t="s">
        <v>300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103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298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133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301</v>
      </c>
      <c r="B190" s="54" t="s">
        <v>302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103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303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304</v>
      </c>
      <c r="B191" s="54" t="s">
        <v>305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103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303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hidden="1" customHeight="1" x14ac:dyDescent="0.25">
      <c r="A195" s="54" t="s">
        <v>306</v>
      </c>
      <c r="B195" s="54" t="s">
        <v>307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107</v>
      </c>
      <c r="L195" s="32"/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308</v>
      </c>
      <c r="AG195" s="64"/>
      <c r="AJ195" s="68"/>
      <c r="AK195" s="68">
        <v>0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309</v>
      </c>
      <c r="B196" s="54" t="s">
        <v>310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107</v>
      </c>
      <c r="L196" s="32"/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311</v>
      </c>
      <c r="AG196" s="64"/>
      <c r="AJ196" s="68"/>
      <c r="AK196" s="68">
        <v>0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312</v>
      </c>
      <c r="B197" s="54" t="s">
        <v>313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107</v>
      </c>
      <c r="L197" s="32"/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314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315</v>
      </c>
      <c r="B198" s="54" t="s">
        <v>316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107</v>
      </c>
      <c r="L198" s="32"/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317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318</v>
      </c>
      <c r="B199" s="54" t="s">
        <v>319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320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270</v>
      </c>
      <c r="Y199" s="540">
        <f t="shared" si="10"/>
        <v>270</v>
      </c>
      <c r="Z199" s="36">
        <f>IFERROR(IF(Y199=0,"",ROUNDUP(Y199/H199,0)*0.00502),"")</f>
        <v>0.753</v>
      </c>
      <c r="AA199" s="56"/>
      <c r="AB199" s="57"/>
      <c r="AC199" s="235" t="s">
        <v>308</v>
      </c>
      <c r="AG199" s="64"/>
      <c r="AJ199" s="68" t="s">
        <v>108</v>
      </c>
      <c r="AK199" s="68">
        <v>32.4</v>
      </c>
      <c r="BB199" s="236" t="s">
        <v>1</v>
      </c>
      <c r="BM199" s="64">
        <f t="shared" si="11"/>
        <v>289.5</v>
      </c>
      <c r="BN199" s="64">
        <f t="shared" si="12"/>
        <v>289.5</v>
      </c>
      <c r="BO199" s="64">
        <f t="shared" si="13"/>
        <v>0.64102564102564108</v>
      </c>
      <c r="BP199" s="64">
        <f t="shared" si="14"/>
        <v>0.64102564102564108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311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90</v>
      </c>
      <c r="Y201" s="540">
        <f t="shared" si="10"/>
        <v>90</v>
      </c>
      <c r="Z201" s="36">
        <f>IFERROR(IF(Y201=0,"",ROUNDUP(Y201/H201,0)*0.00502),"")</f>
        <v>0.251</v>
      </c>
      <c r="AA201" s="56"/>
      <c r="AB201" s="57"/>
      <c r="AC201" s="239" t="s">
        <v>314</v>
      </c>
      <c r="AG201" s="64"/>
      <c r="AJ201" s="68"/>
      <c r="AK201" s="68">
        <v>0</v>
      </c>
      <c r="BB201" s="240" t="s">
        <v>1</v>
      </c>
      <c r="BM201" s="64">
        <f t="shared" si="11"/>
        <v>95</v>
      </c>
      <c r="BN201" s="64">
        <f t="shared" si="12"/>
        <v>95</v>
      </c>
      <c r="BO201" s="64">
        <f t="shared" si="13"/>
        <v>0.21367521367521369</v>
      </c>
      <c r="BP201" s="64">
        <f t="shared" si="14"/>
        <v>0.21367521367521369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317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200</v>
      </c>
      <c r="Y203" s="541">
        <f>IFERROR(Y195/H195,"0")+IFERROR(Y196/H196,"0")+IFERROR(Y197/H197,"0")+IFERROR(Y198/H198,"0")+IFERROR(Y199/H199,"0")+IFERROR(Y200/H200,"0")+IFERROR(Y201/H201,"0")+IFERROR(Y202/H202,"0")</f>
        <v>200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1.004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360</v>
      </c>
      <c r="Y204" s="541">
        <f>IFERROR(SUM(Y195:Y202),"0")</f>
        <v>360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212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261.60000000000002</v>
      </c>
      <c r="Y209" s="540">
        <f t="shared" si="15"/>
        <v>261.59999999999997</v>
      </c>
      <c r="Z209" s="36">
        <f t="shared" ref="Z209:Z214" si="20">IFERROR(IF(Y209=0,"",ROUNDUP(Y209/H209,0)*0.00651),"")</f>
        <v>0.70959000000000005</v>
      </c>
      <c r="AA209" s="56"/>
      <c r="AB209" s="57"/>
      <c r="AC209" s="249" t="s">
        <v>329</v>
      </c>
      <c r="AG209" s="64"/>
      <c r="AJ209" s="68" t="s">
        <v>108</v>
      </c>
      <c r="AK209" s="68">
        <v>33.6</v>
      </c>
      <c r="BB209" s="250" t="s">
        <v>1</v>
      </c>
      <c r="BM209" s="64">
        <f t="shared" si="16"/>
        <v>291.03000000000003</v>
      </c>
      <c r="BN209" s="64">
        <f t="shared" si="17"/>
        <v>291.02999999999997</v>
      </c>
      <c r="BO209" s="64">
        <f t="shared" si="18"/>
        <v>0.59890109890109899</v>
      </c>
      <c r="BP209" s="64">
        <f t="shared" si="19"/>
        <v>0.59890109890109888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340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212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261.60000000000002</v>
      </c>
      <c r="Y211" s="540">
        <f t="shared" si="15"/>
        <v>261.59999999999997</v>
      </c>
      <c r="Z211" s="36">
        <f t="shared" si="20"/>
        <v>0.70959000000000005</v>
      </c>
      <c r="AA211" s="56"/>
      <c r="AB211" s="57"/>
      <c r="AC211" s="253" t="s">
        <v>335</v>
      </c>
      <c r="AG211" s="64"/>
      <c r="AJ211" s="68" t="s">
        <v>108</v>
      </c>
      <c r="AK211" s="68">
        <v>33.6</v>
      </c>
      <c r="BB211" s="254" t="s">
        <v>1</v>
      </c>
      <c r="BM211" s="64">
        <f t="shared" si="16"/>
        <v>289.06800000000004</v>
      </c>
      <c r="BN211" s="64">
        <f t="shared" si="17"/>
        <v>289.06799999999998</v>
      </c>
      <c r="BO211" s="64">
        <f t="shared" si="18"/>
        <v>0.59890109890109899</v>
      </c>
      <c r="BP211" s="64">
        <f t="shared" si="19"/>
        <v>0.59890109890109888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/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/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218.00000000000003</v>
      </c>
      <c r="Y215" s="541">
        <f>IFERROR(Y206/H206,"0")+IFERROR(Y207/H207,"0")+IFERROR(Y208/H208,"0")+IFERROR(Y209/H209,"0")+IFERROR(Y210/H210,"0")+IFERROR(Y211/H211,"0")+IFERROR(Y212/H212,"0")+IFERROR(Y213/H213,"0")+IFERROR(Y214/H214,"0")</f>
        <v>217.99999999999997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1.4191800000000001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523.20000000000005</v>
      </c>
      <c r="Y216" s="541">
        <f>IFERROR(SUM(Y206:Y214),"0")</f>
        <v>523.19999999999993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161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48" t="s">
        <v>356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103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103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103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107</v>
      </c>
      <c r="L227" s="32"/>
      <c r="M227" s="33" t="s">
        <v>103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107</v>
      </c>
      <c r="L228" s="32"/>
      <c r="M228" s="33" t="s">
        <v>103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107</v>
      </c>
      <c r="L229" s="32"/>
      <c r="M229" s="33" t="s">
        <v>103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107</v>
      </c>
      <c r="L230" s="32"/>
      <c r="M230" s="33" t="s">
        <v>103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103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107</v>
      </c>
      <c r="L232" s="32"/>
      <c r="M232" s="33" t="s">
        <v>103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107</v>
      </c>
      <c r="L233" s="32"/>
      <c r="M233" s="33" t="s">
        <v>103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133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5.94</v>
      </c>
      <c r="Y237" s="540">
        <f>IFERROR(IF(X237="",0,CEILING((X237/$H237),1)*$H237),"")</f>
        <v>5.9399999999999995</v>
      </c>
      <c r="Z237" s="36">
        <f>IFERROR(IF(Y237=0,"",ROUNDUP(Y237/H237,0)*0.00502),"")</f>
        <v>1.506E-2</v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6.2400000000000011</v>
      </c>
      <c r="BN237" s="64">
        <f>IFERROR(Y237*I237/H237,"0")</f>
        <v>6.24</v>
      </c>
      <c r="BO237" s="64">
        <f>IFERROR(1/J237*(X237/H237),"0")</f>
        <v>1.2820512820512824E-2</v>
      </c>
      <c r="BP237" s="64">
        <f>IFERROR(1/J237*(Y237/H237),"0")</f>
        <v>1.282051282051282E-2</v>
      </c>
    </row>
    <row r="238" spans="1:68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3.0000000000000004</v>
      </c>
      <c r="Y238" s="541">
        <f>IFERROR(Y237/H237,"0")</f>
        <v>2.9999999999999996</v>
      </c>
      <c r="Z238" s="541">
        <f>IFERROR(IF(Z237="",0,Z237),"0")</f>
        <v>1.506E-2</v>
      </c>
      <c r="AA238" s="542"/>
      <c r="AB238" s="542"/>
      <c r="AC238" s="542"/>
    </row>
    <row r="239" spans="1:68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5.94</v>
      </c>
      <c r="Y239" s="541">
        <f>IFERROR(SUM(Y237:Y237),"0")</f>
        <v>5.9399999999999995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382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284</v>
      </c>
      <c r="L241" s="32"/>
      <c r="M241" s="33" t="s">
        <v>285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386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284</v>
      </c>
      <c r="L245" s="32"/>
      <c r="M245" s="33" t="s">
        <v>285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284</v>
      </c>
      <c r="L246" s="32"/>
      <c r="M246" s="33" t="s">
        <v>285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284</v>
      </c>
      <c r="L247" s="32"/>
      <c r="M247" s="33" t="s">
        <v>285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284</v>
      </c>
      <c r="L248" s="32"/>
      <c r="M248" s="33" t="s">
        <v>285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284</v>
      </c>
      <c r="L249" s="32"/>
      <c r="M249" s="33" t="s">
        <v>285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398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103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103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103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107</v>
      </c>
      <c r="L257" s="32"/>
      <c r="M257" s="33" t="s">
        <v>103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107</v>
      </c>
      <c r="L258" s="32"/>
      <c r="M258" s="33" t="s">
        <v>103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414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417</v>
      </c>
      <c r="B264" s="54" t="s">
        <v>418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425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48" t="s">
        <v>434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107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444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445</v>
      </c>
      <c r="B288" s="54" t="s">
        <v>446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447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448</v>
      </c>
      <c r="B289" s="54" t="s">
        <v>449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103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451</v>
      </c>
      <c r="B290" s="54" t="s">
        <v>452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107</v>
      </c>
      <c r="L291" s="32"/>
      <c r="M291" s="33" t="s">
        <v>103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107</v>
      </c>
      <c r="L292" s="32"/>
      <c r="M292" s="33" t="s">
        <v>103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459</v>
      </c>
      <c r="B296" s="54" t="s">
        <v>460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107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461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462</v>
      </c>
      <c r="B297" s="54" t="s">
        <v>463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107</v>
      </c>
      <c r="L297" s="32"/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107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464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340.2</v>
      </c>
      <c r="Y300" s="540">
        <f t="shared" si="26"/>
        <v>340.2</v>
      </c>
      <c r="Z300" s="36">
        <f>IFERROR(IF(Y300=0,"",ROUNDUP(Y300/H300,0)*0.00502),"")</f>
        <v>0.81324000000000007</v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356.40000000000003</v>
      </c>
      <c r="BN300" s="64">
        <f t="shared" si="28"/>
        <v>356.40000000000003</v>
      </c>
      <c r="BO300" s="64">
        <f t="shared" si="29"/>
        <v>0.6923076923076924</v>
      </c>
      <c r="BP300" s="64">
        <f t="shared" si="30"/>
        <v>0.6923076923076924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472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477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162</v>
      </c>
      <c r="Y303" s="541">
        <f>IFERROR(Y296/H296,"0")+IFERROR(Y297/H297,"0")+IFERROR(Y298/H298,"0")+IFERROR(Y299/H299,"0")+IFERROR(Y300/H300,"0")+IFERROR(Y301/H301,"0")+IFERROR(Y302/H302,"0")</f>
        <v>162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0.81324000000000007</v>
      </c>
      <c r="AA303" s="542"/>
      <c r="AB303" s="542"/>
      <c r="AC303" s="542"/>
    </row>
    <row r="304" spans="1:68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340.2</v>
      </c>
      <c r="Y304" s="541">
        <f>IFERROR(SUM(Y296:Y302),"0")</f>
        <v>340.2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478</v>
      </c>
      <c r="B306" s="54" t="s">
        <v>479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480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481</v>
      </c>
      <c r="B307" s="54" t="s">
        <v>482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161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hidden="1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107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107</v>
      </c>
      <c r="L321" s="32"/>
      <c r="M321" s="33" t="s">
        <v>94</v>
      </c>
      <c r="N321" s="33"/>
      <c r="O321" s="32">
        <v>180</v>
      </c>
      <c r="P321" s="778" t="s">
        <v>507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513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514</v>
      </c>
      <c r="B327" s="54" t="s">
        <v>515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516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517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518</v>
      </c>
      <c r="B328" s="54" t="s">
        <v>519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516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522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523</v>
      </c>
      <c r="B334" s="54" t="s">
        <v>524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212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1575</v>
      </c>
      <c r="Y335" s="540">
        <f>IFERROR(IF(X335="",0,CEILING((X335/$H335),1)*$H335),"")</f>
        <v>1575</v>
      </c>
      <c r="Z335" s="36">
        <f>IFERROR(IF(Y335=0,"",ROUNDUP(Y335/H335,0)*0.00651),"")</f>
        <v>4.8825000000000003</v>
      </c>
      <c r="AA335" s="56"/>
      <c r="AB335" s="57"/>
      <c r="AC335" s="385" t="s">
        <v>528</v>
      </c>
      <c r="AG335" s="64"/>
      <c r="AJ335" s="68" t="s">
        <v>108</v>
      </c>
      <c r="AK335" s="68">
        <v>29.4</v>
      </c>
      <c r="BB335" s="386" t="s">
        <v>1</v>
      </c>
      <c r="BM335" s="64">
        <f>IFERROR(X335*I335/H335,"0")</f>
        <v>1763.9999999999998</v>
      </c>
      <c r="BN335" s="64">
        <f>IFERROR(Y335*I335/H335,"0")</f>
        <v>1763.9999999999998</v>
      </c>
      <c r="BO335" s="64">
        <f>IFERROR(1/J335*(X335/H335),"0")</f>
        <v>4.1208791208791213</v>
      </c>
      <c r="BP335" s="64">
        <f>IFERROR(1/J335*(Y335/H335),"0")</f>
        <v>4.1208791208791213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212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108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750</v>
      </c>
      <c r="Y337" s="541">
        <f>IFERROR(Y334/H334,"0")+IFERROR(Y335/H335,"0")+IFERROR(Y336/H336,"0")</f>
        <v>750</v>
      </c>
      <c r="Z337" s="541">
        <f>IFERROR(IF(Z334="",0,Z334),"0")+IFERROR(IF(Z335="",0,Z335),"0")+IFERROR(IF(Z336="",0,Z336),"0")</f>
        <v>4.8825000000000003</v>
      </c>
      <c r="AA337" s="542"/>
      <c r="AB337" s="542"/>
      <c r="AC337" s="542"/>
    </row>
    <row r="338" spans="1:68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1575</v>
      </c>
      <c r="Y338" s="541">
        <f>IFERROR(SUM(Y334:Y336),"0")</f>
        <v>1575</v>
      </c>
      <c r="Z338" s="37"/>
      <c r="AA338" s="542"/>
      <c r="AB338" s="542"/>
      <c r="AC338" s="542"/>
    </row>
    <row r="339" spans="1:68" ht="27.75" hidden="1" customHeight="1" x14ac:dyDescent="0.2">
      <c r="A339" s="695" t="s">
        <v>532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533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90</v>
      </c>
      <c r="Y342" s="540">
        <f t="shared" ref="Y342:Y348" si="31">IFERROR(IF(X342="",0,CEILING((X342/$H342),1)*$H342),"")</f>
        <v>90</v>
      </c>
      <c r="Z342" s="36">
        <f>IFERROR(IF(Y342=0,"",ROUNDUP(Y342/H342,0)*0.02175),"")</f>
        <v>0.1305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92.82</v>
      </c>
      <c r="BN342" s="64">
        <f t="shared" ref="BN342:BN348" si="33">IFERROR(Y342*I342/H342,"0")</f>
        <v>92.82</v>
      </c>
      <c r="BO342" s="64">
        <f t="shared" ref="BO342:BO348" si="34">IFERROR(1/J342*(X342/H342),"0")</f>
        <v>0.125</v>
      </c>
      <c r="BP342" s="64">
        <f t="shared" ref="BP342:BP348" si="35">IFERROR(1/J342*(Y342/H342),"0")</f>
        <v>0.125</v>
      </c>
    </row>
    <row r="343" spans="1:68" ht="27" hidden="1" customHeight="1" x14ac:dyDescent="0.25">
      <c r="A343" s="54" t="s">
        <v>537</v>
      </c>
      <c r="B343" s="54" t="s">
        <v>538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90</v>
      </c>
      <c r="Y344" s="540">
        <f t="shared" si="31"/>
        <v>90</v>
      </c>
      <c r="Z344" s="36">
        <f>IFERROR(IF(Y344=0,"",ROUNDUP(Y344/H344,0)*0.02175),"")</f>
        <v>0.1305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92.82</v>
      </c>
      <c r="BN344" s="64">
        <f t="shared" si="33"/>
        <v>92.82</v>
      </c>
      <c r="BO344" s="64">
        <f t="shared" si="34"/>
        <v>0.125</v>
      </c>
      <c r="BP344" s="64">
        <f t="shared" si="35"/>
        <v>0.125</v>
      </c>
    </row>
    <row r="345" spans="1:68" ht="27" hidden="1" customHeight="1" x14ac:dyDescent="0.25">
      <c r="A345" s="54" t="s">
        <v>543</v>
      </c>
      <c r="B345" s="54" t="s">
        <v>544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545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107</v>
      </c>
      <c r="L346" s="32"/>
      <c r="M346" s="33" t="s">
        <v>103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549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107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552</v>
      </c>
      <c r="B348" s="54" t="s">
        <v>553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107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12</v>
      </c>
      <c r="Y349" s="541">
        <f>IFERROR(Y342/H342,"0")+IFERROR(Y343/H343,"0")+IFERROR(Y344/H344,"0")+IFERROR(Y345/H345,"0")+IFERROR(Y346/H346,"0")+IFERROR(Y347/H347,"0")+IFERROR(Y348/H348,"0")</f>
        <v>12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0.26100000000000001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180</v>
      </c>
      <c r="Y350" s="541">
        <f>IFERROR(SUM(Y342:Y348),"0")</f>
        <v>180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133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554</v>
      </c>
      <c r="B352" s="54" t="s">
        <v>555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103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105</v>
      </c>
      <c r="Y352" s="540">
        <f>IFERROR(IF(X352="",0,CEILING((X352/$H352),1)*$H352),"")</f>
        <v>105</v>
      </c>
      <c r="Z352" s="36">
        <f>IFERROR(IF(Y352=0,"",ROUNDUP(Y352/H352,0)*0.02175),"")</f>
        <v>0.15225</v>
      </c>
      <c r="AA352" s="56"/>
      <c r="AB352" s="57"/>
      <c r="AC352" s="403" t="s">
        <v>556</v>
      </c>
      <c r="AG352" s="64"/>
      <c r="AJ352" s="68"/>
      <c r="AK352" s="68">
        <v>0</v>
      </c>
      <c r="BB352" s="404" t="s">
        <v>1</v>
      </c>
      <c r="BM352" s="64">
        <f>IFERROR(X352*I352/H352,"0")</f>
        <v>108.29</v>
      </c>
      <c r="BN352" s="64">
        <f>IFERROR(Y352*I352/H352,"0")</f>
        <v>108.29</v>
      </c>
      <c r="BO352" s="64">
        <f>IFERROR(1/J352*(X352/H352),"0")</f>
        <v>0.14583333333333331</v>
      </c>
      <c r="BP352" s="64">
        <f>IFERROR(1/J352*(Y352/H352),"0")</f>
        <v>0.14583333333333331</v>
      </c>
    </row>
    <row r="353" spans="1:68" ht="16.5" hidden="1" customHeight="1" x14ac:dyDescent="0.25">
      <c r="A353" s="54" t="s">
        <v>557</v>
      </c>
      <c r="B353" s="54" t="s">
        <v>558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107</v>
      </c>
      <c r="L353" s="32"/>
      <c r="M353" s="33" t="s">
        <v>103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7</v>
      </c>
      <c r="Y354" s="541">
        <f>IFERROR(Y352/H352,"0")+IFERROR(Y353/H353,"0")</f>
        <v>7</v>
      </c>
      <c r="Z354" s="541">
        <f>IFERROR(IF(Z352="",0,Z352),"0")+IFERROR(IF(Z353="",0,Z353),"0")</f>
        <v>0.15225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105</v>
      </c>
      <c r="Y355" s="541">
        <f>IFERROR(SUM(Y352:Y353),"0")</f>
        <v>105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559</v>
      </c>
      <c r="B357" s="54" t="s">
        <v>560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561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564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161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hidden="1" customHeight="1" x14ac:dyDescent="0.25">
      <c r="A362" s="54" t="s">
        <v>565</v>
      </c>
      <c r="B362" s="54" t="s">
        <v>566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567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48" t="s">
        <v>568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569</v>
      </c>
      <c r="B367" s="54" t="s">
        <v>570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571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572</v>
      </c>
      <c r="B368" s="54" t="s">
        <v>573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107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571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574</v>
      </c>
      <c r="B372" s="54" t="s">
        <v>575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107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576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574</v>
      </c>
      <c r="B373" s="54" t="s">
        <v>577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107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hidden="1" customHeight="1" x14ac:dyDescent="0.25">
      <c r="A377" s="54" t="s">
        <v>579</v>
      </c>
      <c r="B377" s="54" t="s">
        <v>580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/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582</v>
      </c>
      <c r="B378" s="54" t="s">
        <v>583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581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5" t="s">
        <v>584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585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586</v>
      </c>
      <c r="B384" s="54" t="s">
        <v>587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107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588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589</v>
      </c>
      <c r="B385" s="54" t="s">
        <v>590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107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591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592</v>
      </c>
      <c r="B386" s="54" t="s">
        <v>593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107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594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595</v>
      </c>
      <c r="B387" s="54" t="s">
        <v>596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588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588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599</v>
      </c>
      <c r="B389" s="54" t="s">
        <v>600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601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602</v>
      </c>
      <c r="B390" s="54" t="s">
        <v>603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604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605</v>
      </c>
      <c r="B391" s="54" t="s">
        <v>606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607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608</v>
      </c>
      <c r="B392" s="54" t="s">
        <v>609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604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610</v>
      </c>
      <c r="B396" s="54" t="s">
        <v>611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107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612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613</v>
      </c>
      <c r="B397" s="54" t="s">
        <v>614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615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616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133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617</v>
      </c>
      <c r="B402" s="54" t="s">
        <v>618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619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620</v>
      </c>
      <c r="B406" s="54" t="s">
        <v>621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107</v>
      </c>
      <c r="L406" s="32"/>
      <c r="M406" s="33" t="s">
        <v>103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622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623</v>
      </c>
      <c r="B407" s="54" t="s">
        <v>624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625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626</v>
      </c>
      <c r="B408" s="54" t="s">
        <v>627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628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629</v>
      </c>
      <c r="B409" s="54" t="s">
        <v>630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 t="s">
        <v>320</v>
      </c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628</v>
      </c>
      <c r="AG409" s="64"/>
      <c r="AJ409" s="68" t="s">
        <v>108</v>
      </c>
      <c r="AK409" s="68">
        <v>37.799999999999997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48" t="s">
        <v>631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632</v>
      </c>
      <c r="B414" s="54" t="s">
        <v>633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634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635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635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636</v>
      </c>
      <c r="B420" s="54" t="s">
        <v>637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/>
      <c r="M420" s="33" t="s">
        <v>103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638</v>
      </c>
      <c r="B421" s="54" t="s">
        <v>639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103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640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641</v>
      </c>
      <c r="B422" s="54" t="s">
        <v>642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643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644</v>
      </c>
      <c r="B423" s="54" t="s">
        <v>645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103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646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647</v>
      </c>
      <c r="B424" s="54" t="s">
        <v>648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103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649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hidden="1" customHeight="1" x14ac:dyDescent="0.25">
      <c r="A425" s="54" t="s">
        <v>650</v>
      </c>
      <c r="B425" s="54" t="s">
        <v>651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/>
      <c r="M425" s="33" t="s">
        <v>103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652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653</v>
      </c>
      <c r="B426" s="54" t="s">
        <v>654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107</v>
      </c>
      <c r="L427" s="32"/>
      <c r="M427" s="33" t="s">
        <v>103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107</v>
      </c>
      <c r="L428" s="32"/>
      <c r="M428" s="33" t="s">
        <v>103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103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661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107</v>
      </c>
      <c r="L430" s="32"/>
      <c r="M430" s="33" t="s">
        <v>103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idden="1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542"/>
      <c r="AB431" s="542"/>
      <c r="AC431" s="542"/>
    </row>
    <row r="432" spans="1:68" hidden="1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0</v>
      </c>
      <c r="Y432" s="541">
        <f>IFERROR(SUM(Y420:Y430),"0")</f>
        <v>0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133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hidden="1" customHeight="1" x14ac:dyDescent="0.25">
      <c r="A434" s="54" t="s">
        <v>664</v>
      </c>
      <c r="B434" s="54" t="s">
        <v>665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/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666</v>
      </c>
      <c r="AG434" s="64"/>
      <c r="AJ434" s="68"/>
      <c r="AK434" s="68">
        <v>0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667</v>
      </c>
      <c r="B435" s="54" t="s">
        <v>668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666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107</v>
      </c>
      <c r="L436" s="32"/>
      <c r="M436" s="33" t="s">
        <v>103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666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hidden="1" customHeight="1" x14ac:dyDescent="0.25">
      <c r="A440" s="54" t="s">
        <v>671</v>
      </c>
      <c r="B440" s="54" t="s">
        <v>672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/>
      <c r="M440" s="33" t="s">
        <v>103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673</v>
      </c>
      <c r="AG440" s="64"/>
      <c r="AJ440" s="68"/>
      <c r="AK440" s="68">
        <v>0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hidden="1" customHeight="1" x14ac:dyDescent="0.25">
      <c r="A441" s="54" t="s">
        <v>674</v>
      </c>
      <c r="B441" s="54" t="s">
        <v>675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/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676</v>
      </c>
      <c r="AG441" s="64"/>
      <c r="AJ441" s="68"/>
      <c r="AK441" s="68">
        <v>0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hidden="1" customHeight="1" x14ac:dyDescent="0.25">
      <c r="A442" s="54" t="s">
        <v>677</v>
      </c>
      <c r="B442" s="54" t="s">
        <v>678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/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680</v>
      </c>
      <c r="B443" s="54" t="s">
        <v>681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107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673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107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676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107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679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idden="1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hidden="1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686</v>
      </c>
      <c r="B449" s="54" t="s">
        <v>687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688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689</v>
      </c>
      <c r="B450" s="54" t="s">
        <v>690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691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692</v>
      </c>
      <c r="B451" s="54" t="s">
        <v>693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694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695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695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696</v>
      </c>
      <c r="B457" s="54" t="s">
        <v>697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698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699</v>
      </c>
      <c r="B458" s="54" t="s">
        <v>700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701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702</v>
      </c>
      <c r="B459" s="54" t="s">
        <v>703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103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704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705</v>
      </c>
      <c r="B460" s="54" t="s">
        <v>706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107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698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133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707</v>
      </c>
      <c r="B464" s="54" t="s">
        <v>708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103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710</v>
      </c>
      <c r="B465" s="54" t="s">
        <v>711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712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713</v>
      </c>
      <c r="B466" s="54" t="s">
        <v>714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107</v>
      </c>
      <c r="L466" s="32"/>
      <c r="M466" s="33" t="s">
        <v>103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716</v>
      </c>
      <c r="B470" s="54" t="s">
        <v>717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107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718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719</v>
      </c>
      <c r="B471" s="54" t="s">
        <v>720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hidden="1" customHeight="1" x14ac:dyDescent="0.25">
      <c r="A475" s="54" t="s">
        <v>722</v>
      </c>
      <c r="B475" s="54" t="s">
        <v>723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/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724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161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725</v>
      </c>
      <c r="B479" s="54" t="s">
        <v>726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727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728</v>
      </c>
      <c r="B480" s="54" t="s">
        <v>729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730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731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133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732</v>
      </c>
      <c r="B485" s="54" t="s">
        <v>733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103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734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735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6885.2399999999989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6885.2399999999989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736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7392.3019999999988</v>
      </c>
      <c r="Y489" s="541">
        <f>IFERROR(SUM(BN22:BN485),"0")</f>
        <v>7392.3019999999988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737</v>
      </c>
      <c r="Q490" s="624"/>
      <c r="R490" s="624"/>
      <c r="S490" s="624"/>
      <c r="T490" s="624"/>
      <c r="U490" s="624"/>
      <c r="V490" s="625"/>
      <c r="W490" s="37" t="s">
        <v>738</v>
      </c>
      <c r="X490" s="38">
        <f>ROUNDUP(SUM(BO22:BO485),0)</f>
        <v>15</v>
      </c>
      <c r="Y490" s="38">
        <f>ROUNDUP(SUM(BP22:BP485),0)</f>
        <v>15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739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7767.3019999999988</v>
      </c>
      <c r="Y491" s="541">
        <f>GrossWeightTotalR+PalletQtyTotalR*25</f>
        <v>7767.3019999999988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740</v>
      </c>
      <c r="Q492" s="624"/>
      <c r="R492" s="624"/>
      <c r="S492" s="624"/>
      <c r="T492" s="624"/>
      <c r="U492" s="624"/>
      <c r="V492" s="625"/>
      <c r="W492" s="37" t="s">
        <v>738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2344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2344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741</v>
      </c>
      <c r="Q493" s="624"/>
      <c r="R493" s="624"/>
      <c r="S493" s="624"/>
      <c r="T493" s="624"/>
      <c r="U493" s="624"/>
      <c r="V493" s="625"/>
      <c r="W493" s="39" t="s">
        <v>742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16.573900000000002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743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254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532</v>
      </c>
      <c r="T495" s="592"/>
      <c r="U495" s="571" t="s">
        <v>584</v>
      </c>
      <c r="V495" s="591"/>
      <c r="W495" s="592"/>
      <c r="X495" s="536" t="s">
        <v>635</v>
      </c>
      <c r="Y495" s="571" t="s">
        <v>695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744</v>
      </c>
      <c r="B496" s="571" t="s">
        <v>63</v>
      </c>
      <c r="C496" s="571" t="s">
        <v>98</v>
      </c>
      <c r="D496" s="571" t="s">
        <v>114</v>
      </c>
      <c r="E496" s="571" t="s">
        <v>168</v>
      </c>
      <c r="F496" s="571" t="s">
        <v>187</v>
      </c>
      <c r="G496" s="571" t="s">
        <v>219</v>
      </c>
      <c r="H496" s="571" t="s">
        <v>97</v>
      </c>
      <c r="I496" s="571" t="s">
        <v>255</v>
      </c>
      <c r="J496" s="571" t="s">
        <v>295</v>
      </c>
      <c r="K496" s="571" t="s">
        <v>356</v>
      </c>
      <c r="L496" s="571" t="s">
        <v>398</v>
      </c>
      <c r="M496" s="571" t="s">
        <v>414</v>
      </c>
      <c r="N496" s="537"/>
      <c r="O496" s="571" t="s">
        <v>425</v>
      </c>
      <c r="P496" s="571" t="s">
        <v>434</v>
      </c>
      <c r="Q496" s="571" t="s">
        <v>444</v>
      </c>
      <c r="R496" s="571" t="s">
        <v>522</v>
      </c>
      <c r="S496" s="571" t="s">
        <v>533</v>
      </c>
      <c r="T496" s="571" t="s">
        <v>568</v>
      </c>
      <c r="U496" s="571" t="s">
        <v>585</v>
      </c>
      <c r="V496" s="571" t="s">
        <v>616</v>
      </c>
      <c r="W496" s="571" t="s">
        <v>631</v>
      </c>
      <c r="X496" s="571" t="s">
        <v>635</v>
      </c>
      <c r="Y496" s="571" t="s">
        <v>695</v>
      </c>
      <c r="Z496" s="571" t="s">
        <v>731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745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60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270</v>
      </c>
      <c r="E498" s="46">
        <f>IFERROR(Y85*1,"0")+IFERROR(Y86*1,"0")+IFERROR(Y87*1,"0")+IFERROR(Y91*1,"0")+IFERROR(Y92*1,"0")+IFERROR(Y93*1,"0")+IFERROR(Y94*1,"0")</f>
        <v>1350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2115.9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883.19999999999982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5.9399999999999995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340.2</v>
      </c>
      <c r="R498" s="46">
        <f>IFERROR(Y334*1,"0")+IFERROR(Y335*1,"0")+IFERROR(Y336*1,"0")</f>
        <v>1575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285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LzKwVvZKFRdofX3pyozpHnLXK3N3HV/+ICQvADKzBIoDSiir9wf3YHrS9SsdGWoinHcnf8x2VyoDuIZdd6rHaA==" saltValue="VIZvBTeUj5HxJbGphLED/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75,00"/>
        <filter val="1 800,00"/>
        <filter val="105,00"/>
        <filter val="117,00"/>
        <filter val="12,00"/>
        <filter val="15"/>
        <filter val="15,00"/>
        <filter val="150,00"/>
        <filter val="162,00"/>
        <filter val="180,00"/>
        <filter val="2 344,00"/>
        <filter val="200,00"/>
        <filter val="218,00"/>
        <filter val="250,00"/>
        <filter val="261,60"/>
        <filter val="270,00"/>
        <filter val="3,00"/>
        <filter val="315,90"/>
        <filter val="340,20"/>
        <filter val="360,00"/>
        <filter val="400,00"/>
        <filter val="5,94"/>
        <filter val="523,20"/>
        <filter val="6 885,24"/>
        <filter val="60,00"/>
        <filter val="675,00"/>
        <filter val="7 392,30"/>
        <filter val="7 767,30"/>
        <filter val="7,00"/>
        <filter val="750,00"/>
        <filter val="90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56 X87 X101 X114 X199 X209 X211 X335:X336 X40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746</v>
      </c>
      <c r="H1" s="52"/>
    </row>
    <row r="3" spans="2:8" x14ac:dyDescent="0.2">
      <c r="B3" s="47" t="s">
        <v>747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748</v>
      </c>
      <c r="D6" s="47" t="s">
        <v>749</v>
      </c>
      <c r="E6" s="47"/>
    </row>
    <row r="8" spans="2:8" x14ac:dyDescent="0.2">
      <c r="B8" s="47" t="s">
        <v>19</v>
      </c>
      <c r="C8" s="47" t="s">
        <v>748</v>
      </c>
      <c r="D8" s="47"/>
      <c r="E8" s="47"/>
    </row>
    <row r="10" spans="2:8" x14ac:dyDescent="0.2">
      <c r="B10" s="47" t="s">
        <v>750</v>
      </c>
      <c r="C10" s="47"/>
      <c r="D10" s="47"/>
      <c r="E10" s="47"/>
    </row>
    <row r="11" spans="2:8" x14ac:dyDescent="0.2">
      <c r="B11" s="47" t="s">
        <v>751</v>
      </c>
      <c r="C11" s="47"/>
      <c r="D11" s="47"/>
      <c r="E11" s="47"/>
    </row>
    <row r="12" spans="2:8" x14ac:dyDescent="0.2">
      <c r="B12" s="47" t="s">
        <v>752</v>
      </c>
      <c r="C12" s="47"/>
      <c r="D12" s="47"/>
      <c r="E12" s="47"/>
    </row>
    <row r="13" spans="2:8" x14ac:dyDescent="0.2">
      <c r="B13" s="47" t="s">
        <v>753</v>
      </c>
      <c r="C13" s="47"/>
      <c r="D13" s="47"/>
      <c r="E13" s="47"/>
    </row>
    <row r="14" spans="2:8" x14ac:dyDescent="0.2">
      <c r="B14" s="47" t="s">
        <v>754</v>
      </c>
      <c r="C14" s="47"/>
      <c r="D14" s="47"/>
      <c r="E14" s="47"/>
    </row>
    <row r="15" spans="2:8" x14ac:dyDescent="0.2">
      <c r="B15" s="47" t="s">
        <v>755</v>
      </c>
      <c r="C15" s="47"/>
      <c r="D15" s="47"/>
      <c r="E15" s="47"/>
    </row>
    <row r="16" spans="2:8" x14ac:dyDescent="0.2">
      <c r="B16" s="47" t="s">
        <v>756</v>
      </c>
      <c r="C16" s="47"/>
      <c r="D16" s="47"/>
      <c r="E16" s="47"/>
    </row>
    <row r="17" spans="2:5" x14ac:dyDescent="0.2">
      <c r="B17" s="47" t="s">
        <v>757</v>
      </c>
      <c r="C17" s="47"/>
      <c r="D17" s="47"/>
      <c r="E17" s="47"/>
    </row>
    <row r="18" spans="2:5" x14ac:dyDescent="0.2">
      <c r="B18" s="47" t="s">
        <v>758</v>
      </c>
      <c r="C18" s="47"/>
      <c r="D18" s="47"/>
      <c r="E18" s="47"/>
    </row>
    <row r="19" spans="2:5" x14ac:dyDescent="0.2">
      <c r="B19" s="47" t="s">
        <v>759</v>
      </c>
      <c r="C19" s="47"/>
      <c r="D19" s="47"/>
      <c r="E19" s="47"/>
    </row>
    <row r="20" spans="2:5" x14ac:dyDescent="0.2">
      <c r="B20" s="47" t="s">
        <v>760</v>
      </c>
      <c r="C20" s="47"/>
      <c r="D20" s="47"/>
      <c r="E20" s="47"/>
    </row>
  </sheetData>
  <sheetProtection algorithmName="SHA-512" hashValue="vZfZSORNIrSxPaXGzjdBfMM9fWMRLBy3j0l3qoRtT3Rriymahxw+A7nX6sfbV42hm0hmKeKVjMjzcff1IyBrMg==" saltValue="CP0LrROY0JdGtzc0f7Le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