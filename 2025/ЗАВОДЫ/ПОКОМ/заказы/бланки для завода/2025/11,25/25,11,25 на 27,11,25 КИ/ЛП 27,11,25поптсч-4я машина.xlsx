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43ECC4-FACD-4DD6-ABA3-0B6CE608F34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N62" i="1"/>
  <c r="BM62" i="1"/>
  <c r="Z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X491" i="1" s="1"/>
  <c r="BM22" i="1"/>
  <c r="Y22" i="1"/>
  <c r="B499" i="1" s="1"/>
  <c r="P22" i="1"/>
  <c r="H10" i="1"/>
  <c r="A9" i="1"/>
  <c r="A10" i="1" s="1"/>
  <c r="D7" i="1"/>
  <c r="Q6" i="1"/>
  <c r="P2" i="1"/>
  <c r="BP74" i="1" l="1"/>
  <c r="BN74" i="1"/>
  <c r="Z74" i="1"/>
  <c r="BP108" i="1"/>
  <c r="BN108" i="1"/>
  <c r="Z108" i="1"/>
  <c r="BP170" i="1"/>
  <c r="BN170" i="1"/>
  <c r="Z170" i="1"/>
  <c r="BP199" i="1"/>
  <c r="BN199" i="1"/>
  <c r="Z199" i="1"/>
  <c r="BP227" i="1"/>
  <c r="BN227" i="1"/>
  <c r="Z227" i="1"/>
  <c r="BP256" i="1"/>
  <c r="BN256" i="1"/>
  <c r="Z256" i="1"/>
  <c r="BP293" i="1"/>
  <c r="BN293" i="1"/>
  <c r="Z293" i="1"/>
  <c r="BP323" i="1"/>
  <c r="BN323" i="1"/>
  <c r="Z323" i="1"/>
  <c r="BP378" i="1"/>
  <c r="BN378" i="1"/>
  <c r="Z378" i="1"/>
  <c r="BP424" i="1"/>
  <c r="BN424" i="1"/>
  <c r="Z424" i="1"/>
  <c r="BP450" i="1"/>
  <c r="BN450" i="1"/>
  <c r="Z450" i="1"/>
  <c r="Z29" i="1"/>
  <c r="BN29" i="1"/>
  <c r="Z56" i="1"/>
  <c r="BN56" i="1"/>
  <c r="BP93" i="1"/>
  <c r="BN93" i="1"/>
  <c r="Z93" i="1"/>
  <c r="BP125" i="1"/>
  <c r="BN125" i="1"/>
  <c r="Z125" i="1"/>
  <c r="BP129" i="1"/>
  <c r="BN129" i="1"/>
  <c r="Z129" i="1"/>
  <c r="Y182" i="1"/>
  <c r="Y181" i="1"/>
  <c r="BP180" i="1"/>
  <c r="BN180" i="1"/>
  <c r="Z180" i="1"/>
  <c r="Z181" i="1" s="1"/>
  <c r="BP185" i="1"/>
  <c r="BN185" i="1"/>
  <c r="Z185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09" i="1"/>
  <c r="BN309" i="1"/>
  <c r="Z309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88" i="1"/>
  <c r="Y306" i="1"/>
  <c r="Y110" i="1"/>
  <c r="BP106" i="1"/>
  <c r="BP135" i="1"/>
  <c r="BN135" i="1"/>
  <c r="Z135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Y178" i="1"/>
  <c r="BP174" i="1"/>
  <c r="BN174" i="1"/>
  <c r="Z174" i="1"/>
  <c r="BP197" i="1"/>
  <c r="BN197" i="1"/>
  <c r="Z197" i="1"/>
  <c r="BP210" i="1"/>
  <c r="BN210" i="1"/>
  <c r="Z210" i="1"/>
  <c r="BP225" i="1"/>
  <c r="BN225" i="1"/>
  <c r="Z225" i="1"/>
  <c r="BP233" i="1"/>
  <c r="BN233" i="1"/>
  <c r="Z233" i="1"/>
  <c r="Y260" i="1"/>
  <c r="BP254" i="1"/>
  <c r="BN254" i="1"/>
  <c r="Z254" i="1"/>
  <c r="BP265" i="1"/>
  <c r="BN265" i="1"/>
  <c r="Z265" i="1"/>
  <c r="BP284" i="1"/>
  <c r="BN284" i="1"/>
  <c r="Z284" i="1"/>
  <c r="BP289" i="1"/>
  <c r="BN289" i="1"/>
  <c r="Z289" i="1"/>
  <c r="X490" i="1"/>
  <c r="X492" i="1" s="1"/>
  <c r="X493" i="1"/>
  <c r="Z27" i="1"/>
  <c r="BN27" i="1"/>
  <c r="Z41" i="1"/>
  <c r="BN41" i="1"/>
  <c r="D499" i="1"/>
  <c r="Z54" i="1"/>
  <c r="BN54" i="1"/>
  <c r="Z60" i="1"/>
  <c r="BN60" i="1"/>
  <c r="Z66" i="1"/>
  <c r="BN66" i="1"/>
  <c r="Y69" i="1"/>
  <c r="Z72" i="1"/>
  <c r="BN72" i="1"/>
  <c r="BP72" i="1"/>
  <c r="Z80" i="1"/>
  <c r="BN80" i="1"/>
  <c r="Z87" i="1"/>
  <c r="BN87" i="1"/>
  <c r="Z91" i="1"/>
  <c r="BN91" i="1"/>
  <c r="Y96" i="1"/>
  <c r="Z100" i="1"/>
  <c r="BN100" i="1"/>
  <c r="Z106" i="1"/>
  <c r="BN106" i="1"/>
  <c r="Y109" i="1"/>
  <c r="BP114" i="1"/>
  <c r="BN114" i="1"/>
  <c r="Z114" i="1"/>
  <c r="BP146" i="1"/>
  <c r="BN146" i="1"/>
  <c r="Z146" i="1"/>
  <c r="BP168" i="1"/>
  <c r="BN168" i="1"/>
  <c r="Z168" i="1"/>
  <c r="Y177" i="1"/>
  <c r="BP191" i="1"/>
  <c r="BN191" i="1"/>
  <c r="Z191" i="1"/>
  <c r="BP201" i="1"/>
  <c r="BN201" i="1"/>
  <c r="Z201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79" i="1"/>
  <c r="BN279" i="1"/>
  <c r="Z279" i="1"/>
  <c r="Y286" i="1"/>
  <c r="Y285" i="1"/>
  <c r="BP283" i="1"/>
  <c r="BN283" i="1"/>
  <c r="Z283" i="1"/>
  <c r="Z285" i="1" s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71" i="1"/>
  <c r="Y203" i="1"/>
  <c r="Y251" i="1"/>
  <c r="Y275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19" i="1"/>
  <c r="Y318" i="1"/>
  <c r="Y326" i="1"/>
  <c r="Y339" i="1"/>
  <c r="Y380" i="1"/>
  <c r="Y454" i="1"/>
  <c r="Y453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Y64" i="1"/>
  <c r="Z61" i="1"/>
  <c r="BN61" i="1"/>
  <c r="Y70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2" i="1" s="1"/>
  <c r="Y143" i="1"/>
  <c r="Y148" i="1"/>
  <c r="BP145" i="1"/>
  <c r="BN145" i="1"/>
  <c r="Z145" i="1"/>
  <c r="Y172" i="1"/>
  <c r="BP164" i="1"/>
  <c r="BN164" i="1"/>
  <c r="Z164" i="1"/>
  <c r="BP167" i="1"/>
  <c r="BN167" i="1"/>
  <c r="Z167" i="1"/>
  <c r="BP175" i="1"/>
  <c r="BN175" i="1"/>
  <c r="Z175" i="1"/>
  <c r="Z177" i="1" s="1"/>
  <c r="BP196" i="1"/>
  <c r="BN196" i="1"/>
  <c r="Z196" i="1"/>
  <c r="BP200" i="1"/>
  <c r="BN200" i="1"/>
  <c r="Z200" i="1"/>
  <c r="BP208" i="1"/>
  <c r="BN208" i="1"/>
  <c r="Z208" i="1"/>
  <c r="H9" i="1"/>
  <c r="Y24" i="1"/>
  <c r="Y44" i="1"/>
  <c r="Y57" i="1"/>
  <c r="Z63" i="1"/>
  <c r="Y63" i="1"/>
  <c r="Z69" i="1"/>
  <c r="BP67" i="1"/>
  <c r="BN67" i="1"/>
  <c r="Z67" i="1"/>
  <c r="BP75" i="1"/>
  <c r="BN75" i="1"/>
  <c r="Z75" i="1"/>
  <c r="Y77" i="1"/>
  <c r="Y82" i="1"/>
  <c r="BP79" i="1"/>
  <c r="BN79" i="1"/>
  <c r="Z79" i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BP248" i="1"/>
  <c r="BN248" i="1"/>
  <c r="Z248" i="1"/>
  <c r="BP257" i="1"/>
  <c r="BN257" i="1"/>
  <c r="Z257" i="1"/>
  <c r="BP266" i="1"/>
  <c r="BN266" i="1"/>
  <c r="Z266" i="1"/>
  <c r="Y268" i="1"/>
  <c r="O499" i="1"/>
  <c r="Y274" i="1"/>
  <c r="BP271" i="1"/>
  <c r="BN271" i="1"/>
  <c r="Z271" i="1"/>
  <c r="Z274" i="1" s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Z338" i="1" s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25" i="1" l="1"/>
  <c r="Z131" i="1"/>
  <c r="Z109" i="1"/>
  <c r="Z259" i="1"/>
  <c r="Z468" i="1"/>
  <c r="Z462" i="1"/>
  <c r="Z250" i="1"/>
  <c r="Z192" i="1"/>
  <c r="Z171" i="1"/>
  <c r="Z81" i="1"/>
  <c r="Z203" i="1"/>
  <c r="Z57" i="1"/>
  <c r="Z43" i="1"/>
  <c r="Z31" i="1"/>
  <c r="Z394" i="1"/>
  <c r="Z305" i="1"/>
  <c r="Z350" i="1"/>
  <c r="Z331" i="1"/>
  <c r="Z215" i="1"/>
  <c r="Y489" i="1"/>
  <c r="Z148" i="1"/>
  <c r="Z103" i="1"/>
  <c r="Y493" i="1"/>
  <c r="Y490" i="1"/>
  <c r="Z447" i="1"/>
  <c r="Z432" i="1"/>
  <c r="Z312" i="1"/>
  <c r="Z267" i="1"/>
  <c r="Z234" i="1"/>
  <c r="Z76" i="1"/>
  <c r="Y491" i="1"/>
  <c r="Z494" i="1"/>
  <c r="Y492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<sst xmlns="http://schemas.openxmlformats.org/spreadsheetml/2006/main" count="2338" uniqueCount="764">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</sst>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45988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Четверг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0.5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700</v>
      </c>
      <c r="Y52" s="542">
        <f t="shared" si="0"/>
        <v>702</v>
      </c>
      <c r="Z52" s="36">
        <f>IFERROR(IF(Y52=0,"",ROUNDUP(Y52/H52,0)*0.01898),"")</f>
        <v>1.2337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726.57407407407413</v>
      </c>
      <c r="BN52" s="64">
        <f t="shared" si="2"/>
        <v>728.65000000000009</v>
      </c>
      <c r="BO52" s="64">
        <f t="shared" si="3"/>
        <v>1.0127314814814814</v>
      </c>
      <c r="BP52" s="64">
        <f t="shared" si="4"/>
        <v>1.015625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400</v>
      </c>
      <c r="Y56" s="542">
        <f t="shared" si="0"/>
        <v>400.5</v>
      </c>
      <c r="Z56" s="36">
        <f>IFERROR(IF(Y56=0,"",ROUNDUP(Y56/H56,0)*0.00902),"")</f>
        <v>0.80278000000000005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416.88888888888891</v>
      </c>
      <c r="BN56" s="64">
        <f t="shared" si="2"/>
        <v>417.41000000000008</v>
      </c>
      <c r="BO56" s="64">
        <f t="shared" si="3"/>
        <v>0.67340067340067344</v>
      </c>
      <c r="BP56" s="64">
        <f t="shared" si="4"/>
        <v>0.67424242424242431</v>
      </c>
    </row>
    <row r="57" spans="1:68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153.7037037037037</v>
      </c>
      <c r="Y57" s="543">
        <f>IFERROR(Y51/H51,"0")+IFERROR(Y52/H52,"0")+IFERROR(Y53/H53,"0")+IFERROR(Y54/H54,"0")+IFERROR(Y55/H55,"0")+IFERROR(Y56/H56,"0")</f>
        <v>154</v>
      </c>
      <c r="Z57" s="543">
        <f>IFERROR(IF(Z51="",0,Z51),"0")+IFERROR(IF(Z52="",0,Z52),"0")+IFERROR(IF(Z53="",0,Z53),"0")+IFERROR(IF(Z54="",0,Z54),"0")+IFERROR(IF(Z55="",0,Z55),"0")+IFERROR(IF(Z56="",0,Z56),"0")</f>
        <v>2.0364800000000001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1100</v>
      </c>
      <c r="Y58" s="543">
        <f>IFERROR(SUM(Y51:Y56),"0")</f>
        <v>1102.5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600</v>
      </c>
      <c r="Y60" s="542">
        <f>IFERROR(IF(X60="",0,CEILING((X60/$H60),1)*$H60),"")</f>
        <v>604.80000000000007</v>
      </c>
      <c r="Z60" s="36">
        <f>IFERROR(IF(Y60=0,"",ROUNDUP(Y60/H60,0)*0.01898),"")</f>
        <v>1.06288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622.77777777777783</v>
      </c>
      <c r="BN60" s="64">
        <f>IFERROR(Y60*I60/H60,"0")</f>
        <v>627.76</v>
      </c>
      <c r="BO60" s="64">
        <f>IFERROR(1/J60*(X60/H60),"0")</f>
        <v>0.86805555555555547</v>
      </c>
      <c r="BP60" s="64">
        <f>IFERROR(1/J60*(Y60/H60),"0")</f>
        <v>0.875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55.55555555555555</v>
      </c>
      <c r="Y63" s="543">
        <f>IFERROR(Y60/H60,"0")+IFERROR(Y61/H61,"0")+IFERROR(Y62/H62,"0")</f>
        <v>56</v>
      </c>
      <c r="Z63" s="543">
        <f>IFERROR(IF(Z60="",0,Z60),"0")+IFERROR(IF(Z61="",0,Z61),"0")+IFERROR(IF(Z62="",0,Z62),"0")</f>
        <v>1.06288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600</v>
      </c>
      <c r="Y64" s="543">
        <f>IFERROR(SUM(Y60:Y62),"0")</f>
        <v>604.80000000000007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hidden="1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2000</v>
      </c>
      <c r="Y308" s="542">
        <f>IFERROR(IF(X308="",0,CEILING((X308/$H308),1)*$H308),"")</f>
        <v>2004.6</v>
      </c>
      <c r="Z308" s="36">
        <f>IFERROR(IF(Y308=0,"",ROUNDUP(Y308/H308,0)*0.01898),"")</f>
        <v>4.8778600000000001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2125.1282051282051</v>
      </c>
      <c r="BN308" s="64">
        <f>IFERROR(Y308*I308/H308,"0")</f>
        <v>2130.0160000000001</v>
      </c>
      <c r="BO308" s="64">
        <f>IFERROR(1/J308*(X308/H308),"0")</f>
        <v>4.0064102564102564</v>
      </c>
      <c r="BP308" s="64">
        <f>IFERROR(1/J308*(Y308/H308),"0")</f>
        <v>4.015625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256.41025641025641</v>
      </c>
      <c r="Y312" s="543">
        <f>IFERROR(Y308/H308,"0")+IFERROR(Y309/H309,"0")+IFERROR(Y310/H310,"0")+IFERROR(Y311/H311,"0")</f>
        <v>257</v>
      </c>
      <c r="Z312" s="543">
        <f>IFERROR(IF(Z308="",0,Z308),"0")+IFERROR(IF(Z309="",0,Z309),"0")+IFERROR(IF(Z310="",0,Z310),"0")+IFERROR(IF(Z311="",0,Z311),"0")</f>
        <v>4.8778600000000001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2000</v>
      </c>
      <c r="Y313" s="543">
        <f>IFERROR(SUM(Y308:Y311),"0")</f>
        <v>2004.6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750</v>
      </c>
      <c r="Y343" s="542">
        <f t="shared" ref="Y343:Y349" si="36">IFERROR(IF(X343="",0,CEILING((X343/$H343),1)*$H343),"")</f>
        <v>750</v>
      </c>
      <c r="Z343" s="36">
        <f>IFERROR(IF(Y343=0,"",ROUNDUP(Y343/H343,0)*0.02175),"")</f>
        <v>1.0874999999999999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773.5</v>
      </c>
      <c r="BN343" s="64">
        <f t="shared" ref="BN343:BN349" si="38">IFERROR(Y343*I343/H343,"0")</f>
        <v>773.5</v>
      </c>
      <c r="BO343" s="64">
        <f t="shared" ref="BO343:BO349" si="39">IFERROR(1/J343*(X343/H343),"0")</f>
        <v>1.0416666666666665</v>
      </c>
      <c r="BP343" s="64">
        <f t="shared" ref="BP343:BP349" si="40">IFERROR(1/J343*(Y343/H343),"0")</f>
        <v>1.0416666666666665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3200</v>
      </c>
      <c r="Y344" s="542">
        <f t="shared" si="36"/>
        <v>3210</v>
      </c>
      <c r="Z344" s="36">
        <f>IFERROR(IF(Y344=0,"",ROUNDUP(Y344/H344,0)*0.02175),"")</f>
        <v>4.6544999999999996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3300.2666666666669</v>
      </c>
      <c r="BN344" s="64">
        <f t="shared" si="38"/>
        <v>3310.5800000000004</v>
      </c>
      <c r="BO344" s="64">
        <f t="shared" si="39"/>
        <v>4.4444444444444446</v>
      </c>
      <c r="BP344" s="64">
        <f t="shared" si="40"/>
        <v>4.458333333333333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3600</v>
      </c>
      <c r="Y346" s="542">
        <f t="shared" si="36"/>
        <v>3600</v>
      </c>
      <c r="Z346" s="36">
        <f>IFERROR(IF(Y346=0,"",ROUNDUP(Y346/H346,0)*0.02175),"")</f>
        <v>5.22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3712.8</v>
      </c>
      <c r="BN346" s="64">
        <f t="shared" si="38"/>
        <v>3712.8</v>
      </c>
      <c r="BO346" s="64">
        <f t="shared" si="39"/>
        <v>5</v>
      </c>
      <c r="BP346" s="64">
        <f t="shared" si="40"/>
        <v>5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503.33333333333337</v>
      </c>
      <c r="Y350" s="543">
        <f>IFERROR(Y343/H343,"0")+IFERROR(Y344/H344,"0")+IFERROR(Y345/H345,"0")+IFERROR(Y346/H346,"0")+IFERROR(Y347/H347,"0")+IFERROR(Y348/H348,"0")+IFERROR(Y349/H349,"0")</f>
        <v>504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10.962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7550</v>
      </c>
      <c r="Y351" s="543">
        <f>IFERROR(SUM(Y343:Y349),"0")</f>
        <v>7560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6000</v>
      </c>
      <c r="Y353" s="542">
        <f>IFERROR(IF(X353="",0,CEILING((X353/$H353),1)*$H353),"")</f>
        <v>6000</v>
      </c>
      <c r="Z353" s="36">
        <f>IFERROR(IF(Y353=0,"",ROUNDUP(Y353/H353,0)*0.02175),"")</f>
        <v>8.6999999999999993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6188</v>
      </c>
      <c r="BN353" s="64">
        <f>IFERROR(Y353*I353/H353,"0")</f>
        <v>6188</v>
      </c>
      <c r="BO353" s="64">
        <f>IFERROR(1/J353*(X353/H353),"0")</f>
        <v>8.3333333333333321</v>
      </c>
      <c r="BP353" s="64">
        <f>IFERROR(1/J353*(Y353/H353),"0")</f>
        <v>8.3333333333333321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400</v>
      </c>
      <c r="Y355" s="543">
        <f>IFERROR(Y353/H353,"0")+IFERROR(Y354/H354,"0")</f>
        <v>400</v>
      </c>
      <c r="Z355" s="543">
        <f>IFERROR(IF(Z353="",0,Z353),"0")+IFERROR(IF(Z354="",0,Z354),"0")</f>
        <v>8.6999999999999993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6000</v>
      </c>
      <c r="Y356" s="543">
        <f>IFERROR(SUM(Y353:Y354),"0")</f>
        <v>6000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idden="1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hidden="1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hidden="1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hidden="1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idden="1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700</v>
      </c>
      <c r="Y472" s="542">
        <f>IFERROR(IF(X472="",0,CEILING((X472/$H472),1)*$H472),"")</f>
        <v>701.4</v>
      </c>
      <c r="Z472" s="36">
        <f>IFERROR(IF(Y472=0,"",ROUNDUP(Y472/H472,0)*0.00902),"")</f>
        <v>1.50634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741.66666666666663</v>
      </c>
      <c r="BN472" s="64">
        <f>IFERROR(Y472*I472/H472,"0")</f>
        <v>743.15</v>
      </c>
      <c r="BO472" s="64">
        <f>IFERROR(1/J472*(X472/H472),"0")</f>
        <v>1.2626262626262625</v>
      </c>
      <c r="BP472" s="64">
        <f>IFERROR(1/J472*(Y472/H472),"0")</f>
        <v>1.2651515151515151</v>
      </c>
    </row>
    <row r="473" spans="1:68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166.66666666666666</v>
      </c>
      <c r="Y473" s="543">
        <f>IFERROR(Y471/H471,"0")+IFERROR(Y472/H472,"0")</f>
        <v>167</v>
      </c>
      <c r="Z473" s="543">
        <f>IFERROR(IF(Z471="",0,Z471),"0")+IFERROR(IF(Z472="",0,Z472),"0")</f>
        <v>1.50634</v>
      </c>
      <c r="AA473" s="544"/>
      <c r="AB473" s="544"/>
      <c r="AC473" s="544"/>
    </row>
    <row r="474" spans="1:68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700</v>
      </c>
      <c r="Y474" s="543">
        <f>IFERROR(SUM(Y471:Y472),"0")</f>
        <v>701.4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17950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17973.300000000003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18607.602279202281</v>
      </c>
      <c r="Y490" s="543">
        <f>IFERROR(SUM(BN22:BN486),"0")</f>
        <v>18631.866000000002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27</v>
      </c>
      <c r="Y491" s="38">
        <f>ROUNDUP(SUM(BP22:BP486),0)</f>
        <v>27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19282.602279202281</v>
      </c>
      <c r="Y492" s="543">
        <f>GrossWeightTotalR+PalletQtyTotalR*25</f>
        <v>19306.866000000002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1535.6695156695157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1538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29.14556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1707.3000000000002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2004.6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13560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701.4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535,67"/>
        <filter val="153,70"/>
        <filter val="166,67"/>
        <filter val="17 950,00"/>
        <filter val="18 607,60"/>
        <filter val="19 282,60"/>
        <filter val="2 000,00"/>
        <filter val="256,41"/>
        <filter val="27"/>
        <filter val="3 200,00"/>
        <filter val="3 600,00"/>
        <filter val="400,00"/>
        <filter val="503,33"/>
        <filter val="55,56"/>
        <filter val="6 000,00"/>
        <filter val="600,00"/>
        <filter val="7 550,00"/>
        <filter val="700,00"/>
        <filter val="750,0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2025-11-25T09:47:56Z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