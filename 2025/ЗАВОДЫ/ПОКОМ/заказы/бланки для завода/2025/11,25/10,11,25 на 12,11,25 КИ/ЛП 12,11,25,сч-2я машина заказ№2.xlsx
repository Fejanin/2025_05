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8D398E0-4CCA-412C-B6A6-9EE4F1B2BF6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30" i="1" l="1"/>
  <c r="BN30" i="1"/>
  <c r="Z53" i="1"/>
  <c r="BN53" i="1"/>
  <c r="Z73" i="1"/>
  <c r="BN73" i="1"/>
  <c r="Z93" i="1"/>
  <c r="BN93" i="1"/>
  <c r="Z108" i="1"/>
  <c r="BN108" i="1"/>
  <c r="Y116" i="1"/>
  <c r="Z129" i="1"/>
  <c r="BN129" i="1"/>
  <c r="Z148" i="1"/>
  <c r="BN148" i="1"/>
  <c r="Z165" i="1"/>
  <c r="BN165" i="1"/>
  <c r="Z186" i="1"/>
  <c r="BN186" i="1"/>
  <c r="Z190" i="1"/>
  <c r="BN190" i="1"/>
  <c r="Z202" i="1"/>
  <c r="BN202" i="1"/>
  <c r="Z211" i="1"/>
  <c r="BN211" i="1"/>
  <c r="Z226" i="1"/>
  <c r="BN226" i="1"/>
  <c r="Z246" i="1"/>
  <c r="BN246" i="1"/>
  <c r="Z264" i="1"/>
  <c r="BN264" i="1"/>
  <c r="Y274" i="1"/>
  <c r="Z289" i="1"/>
  <c r="BN289" i="1"/>
  <c r="Z301" i="1"/>
  <c r="BN301" i="1"/>
  <c r="Z311" i="1"/>
  <c r="BN311" i="1"/>
  <c r="Z328" i="1"/>
  <c r="BN32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Y149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Z291" i="1"/>
  <c r="BN291" i="1"/>
  <c r="Z297" i="1"/>
  <c r="BN297" i="1"/>
  <c r="BP297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70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Z220" i="1" s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Y143" i="1"/>
  <c r="BP147" i="1"/>
  <c r="BN147" i="1"/>
  <c r="Z147" i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Z312" i="1" s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11" i="1" l="1"/>
  <c r="Z143" i="1"/>
  <c r="Z109" i="1"/>
  <c r="Z43" i="1"/>
  <c r="Z325" i="1"/>
  <c r="Y491" i="1"/>
  <c r="Z57" i="1"/>
  <c r="Y490" i="1"/>
  <c r="Z31" i="1"/>
  <c r="Z304" i="1"/>
  <c r="Z259" i="1"/>
  <c r="Z250" i="1"/>
  <c r="Z234" i="1"/>
  <c r="Z350" i="1"/>
  <c r="Z149" i="1"/>
  <c r="Z136" i="1"/>
  <c r="Z215" i="1"/>
  <c r="Z103" i="1"/>
  <c r="Y493" i="1"/>
  <c r="Y492" i="1"/>
  <c r="Z394" i="1"/>
  <c r="Z294" i="1"/>
  <c r="Z171" i="1"/>
  <c r="Z438" i="1"/>
  <c r="Z447" i="1"/>
  <c r="Z432" i="1"/>
  <c r="Z69" i="1"/>
  <c r="Y489" i="1"/>
  <c r="Z203" i="1"/>
  <c r="Z177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<sst xmlns="http://schemas.openxmlformats.org/spreadsheetml/2006/main" count="2347" uniqueCount="766">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</sst>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45973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Среда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0.5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40</v>
      </c>
      <c r="Y40" s="542">
        <f>IFERROR(IF(X40="",0,CEILING((X40/$H40),1)*$H40),"")</f>
        <v>43.2</v>
      </c>
      <c r="Z40" s="36">
        <f>IFERROR(IF(Y40=0,"",ROUNDUP(Y40/H40,0)*0.01898),"")</f>
        <v>7.5920000000000001E-2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41.518518518518519</v>
      </c>
      <c r="BN40" s="64">
        <f>IFERROR(Y40*I40/H40,"0")</f>
        <v>44.84</v>
      </c>
      <c r="BO40" s="64">
        <f>IFERROR(1/J40*(X40/H40),"0")</f>
        <v>5.7870370370370364E-2</v>
      </c>
      <c r="BP40" s="64">
        <f>IFERROR(1/J40*(Y40/H40),"0")</f>
        <v>6.25E-2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8</v>
      </c>
      <c r="Y41" s="542">
        <f>IFERROR(IF(X41="",0,CEILING((X41/$H41),1)*$H41),"")</f>
        <v>8</v>
      </c>
      <c r="Z41" s="36">
        <f>IFERROR(IF(Y41=0,"",ROUNDUP(Y41/H41,0)*0.00902),"")</f>
        <v>1.804E-2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8.3800000000000008</v>
      </c>
      <c r="BN41" s="64">
        <f>IFERROR(Y41*I41/H41,"0")</f>
        <v>8.3800000000000008</v>
      </c>
      <c r="BO41" s="64">
        <f>IFERROR(1/J41*(X41/H41),"0")</f>
        <v>1.5151515151515152E-2</v>
      </c>
      <c r="BP41" s="64">
        <f>IFERROR(1/J41*(Y41/H41),"0")</f>
        <v>1.5151515151515152E-2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5.7037037037037033</v>
      </c>
      <c r="Y43" s="543">
        <f>IFERROR(Y40/H40,"0")+IFERROR(Y41/H41,"0")+IFERROR(Y42/H42,"0")</f>
        <v>6</v>
      </c>
      <c r="Z43" s="543">
        <f>IFERROR(IF(Z40="",0,Z40),"0")+IFERROR(IF(Z41="",0,Z41),"0")+IFERROR(IF(Z42="",0,Z42),"0")</f>
        <v>9.3960000000000002E-2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48</v>
      </c>
      <c r="Y44" s="543">
        <f>IFERROR(SUM(Y40:Y42),"0")</f>
        <v>51.2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180</v>
      </c>
      <c r="Y52" s="542">
        <f t="shared" si="0"/>
        <v>183.60000000000002</v>
      </c>
      <c r="Z52" s="36">
        <f>IFERROR(IF(Y52=0,"",ROUNDUP(Y52/H52,0)*0.01898),"")</f>
        <v>0.32266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186.83333333333334</v>
      </c>
      <c r="BN52" s="64">
        <f t="shared" si="2"/>
        <v>190.57000000000002</v>
      </c>
      <c r="BO52" s="64">
        <f t="shared" si="3"/>
        <v>0.26041666666666663</v>
      </c>
      <c r="BP52" s="64">
        <f t="shared" si="4"/>
        <v>0.265625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36</v>
      </c>
      <c r="Y56" s="542">
        <f t="shared" si="0"/>
        <v>36</v>
      </c>
      <c r="Z56" s="36">
        <f>IFERROR(IF(Y56=0,"",ROUNDUP(Y56/H56,0)*0.00902),"")</f>
        <v>7.2160000000000002E-2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37.520000000000003</v>
      </c>
      <c r="BN56" s="64">
        <f t="shared" si="2"/>
        <v>37.520000000000003</v>
      </c>
      <c r="BO56" s="64">
        <f t="shared" si="3"/>
        <v>6.0606060606060608E-2</v>
      </c>
      <c r="BP56" s="64">
        <f t="shared" si="4"/>
        <v>6.0606060606060608E-2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24.666666666666664</v>
      </c>
      <c r="Y57" s="543">
        <f>IFERROR(Y51/H51,"0")+IFERROR(Y52/H52,"0")+IFERROR(Y53/H53,"0")+IFERROR(Y54/H54,"0")+IFERROR(Y55/H55,"0")+IFERROR(Y56/H56,"0")</f>
        <v>25</v>
      </c>
      <c r="Z57" s="543">
        <f>IFERROR(IF(Z51="",0,Z51),"0")+IFERROR(IF(Z52="",0,Z52),"0")+IFERROR(IF(Z53="",0,Z53),"0")+IFERROR(IF(Z54="",0,Z54),"0")+IFERROR(IF(Z55="",0,Z55),"0")+IFERROR(IF(Z56="",0,Z56),"0")</f>
        <v>0.39482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216</v>
      </c>
      <c r="Y58" s="543">
        <f>IFERROR(SUM(Y51:Y56),"0")</f>
        <v>219.60000000000002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150</v>
      </c>
      <c r="Y60" s="542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18</v>
      </c>
      <c r="Y62" s="542">
        <f>IFERROR(IF(X62="",0,CEILING((X62/$H62),1)*$H62),"")</f>
        <v>18.900000000000002</v>
      </c>
      <c r="Z62" s="36">
        <f>IFERROR(IF(Y62=0,"",ROUNDUP(Y62/H62,0)*0.00651),"")</f>
        <v>4.5569999999999999E-2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19.199999999999996</v>
      </c>
      <c r="BN62" s="64">
        <f>IFERROR(Y62*I62/H62,"0")</f>
        <v>20.16</v>
      </c>
      <c r="BO62" s="64">
        <f>IFERROR(1/J62*(X62/H62),"0")</f>
        <v>3.6630036630036632E-2</v>
      </c>
      <c r="BP62" s="64">
        <f>IFERROR(1/J62*(Y62/H62),"0")</f>
        <v>3.8461538461538464E-2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20.555555555555554</v>
      </c>
      <c r="Y63" s="543">
        <f>IFERROR(Y60/H60,"0")+IFERROR(Y61/H61,"0")+IFERROR(Y62/H62,"0")</f>
        <v>21</v>
      </c>
      <c r="Z63" s="543">
        <f>IFERROR(IF(Z60="",0,Z60),"0")+IFERROR(IF(Z61="",0,Z61),"0")+IFERROR(IF(Z62="",0,Z62),"0")</f>
        <v>0.31129000000000001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168</v>
      </c>
      <c r="Y64" s="543">
        <f>IFERROR(SUM(Y60:Y62),"0")</f>
        <v>170.10000000000002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10</v>
      </c>
      <c r="Y85" s="542">
        <f>IFERROR(IF(X85="",0,CEILING((X85/$H85),1)*$H85),"")</f>
        <v>10.8</v>
      </c>
      <c r="Z85" s="36">
        <f>IFERROR(IF(Y85=0,"",ROUNDUP(Y85/H85,0)*0.01898),"")</f>
        <v>1.898E-2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10.37962962962963</v>
      </c>
      <c r="BN85" s="64">
        <f>IFERROR(Y85*I85/H85,"0")</f>
        <v>11.21</v>
      </c>
      <c r="BO85" s="64">
        <f>IFERROR(1/J85*(X85/H85),"0")</f>
        <v>1.4467592592592591E-2</v>
      </c>
      <c r="BP85" s="64">
        <f>IFERROR(1/J85*(Y85/H85),"0")</f>
        <v>1.5625E-2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18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18.760000000000002</v>
      </c>
      <c r="BN87" s="64">
        <f>IFERROR(Y87*I87/H87,"0")</f>
        <v>18.760000000000002</v>
      </c>
      <c r="BO87" s="64">
        <f>IFERROR(1/J87*(X87/H87),"0")</f>
        <v>3.0303030303030304E-2</v>
      </c>
      <c r="BP87" s="64">
        <f>IFERROR(1/J87*(Y87/H87),"0")</f>
        <v>3.0303030303030304E-2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4.9259259259259256</v>
      </c>
      <c r="Y88" s="543">
        <f>IFERROR(Y85/H85,"0")+IFERROR(Y86/H86,"0")+IFERROR(Y87/H87,"0")</f>
        <v>5</v>
      </c>
      <c r="Z88" s="543">
        <f>IFERROR(IF(Z85="",0,Z85),"0")+IFERROR(IF(Z86="",0,Z86),"0")+IFERROR(IF(Z87="",0,Z87),"0")</f>
        <v>5.5059999999999998E-2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28</v>
      </c>
      <c r="Y89" s="543">
        <f>IFERROR(SUM(Y85:Y87),"0")</f>
        <v>28.8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15</v>
      </c>
      <c r="Y91" s="542">
        <f>IFERROR(IF(X91="",0,CEILING((X91/$H91),1)*$H91),"")</f>
        <v>16.2</v>
      </c>
      <c r="Z91" s="36">
        <f>IFERROR(IF(Y91=0,"",ROUNDUP(Y91/H91,0)*0.01898),"")</f>
        <v>3.7960000000000001E-2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15.914814814814815</v>
      </c>
      <c r="BN91" s="64">
        <f>IFERROR(Y91*I91/H91,"0")</f>
        <v>17.187999999999999</v>
      </c>
      <c r="BO91" s="64">
        <f>IFERROR(1/J91*(X91/H91),"0")</f>
        <v>2.8935185185185185E-2</v>
      </c>
      <c r="BP91" s="64">
        <f>IFERROR(1/J91*(Y91/H91),"0")</f>
        <v>3.125E-2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1.8518518518518519</v>
      </c>
      <c r="Y95" s="543">
        <f>IFERROR(Y91/H91,"0")+IFERROR(Y92/H92,"0")+IFERROR(Y93/H93,"0")+IFERROR(Y94/H94,"0")</f>
        <v>2</v>
      </c>
      <c r="Z95" s="543">
        <f>IFERROR(IF(Z91="",0,Z91),"0")+IFERROR(IF(Z92="",0,Z92),"0")+IFERROR(IF(Z93="",0,Z93),"0")+IFERROR(IF(Z94="",0,Z94),"0")</f>
        <v>3.7960000000000001E-2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15</v>
      </c>
      <c r="Y96" s="543">
        <f>IFERROR(SUM(Y91:Y94),"0")</f>
        <v>16.2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15</v>
      </c>
      <c r="Y112" s="542">
        <f>IFERROR(IF(X112="",0,CEILING((X112/$H112),1)*$H112),"")</f>
        <v>16.2</v>
      </c>
      <c r="Z112" s="36">
        <f>IFERROR(IF(Y112=0,"",ROUNDUP(Y112/H112,0)*0.01898),"")</f>
        <v>3.7960000000000001E-2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15.903703703703703</v>
      </c>
      <c r="BN112" s="64">
        <f>IFERROR(Y112*I112/H112,"0")</f>
        <v>17.175999999999998</v>
      </c>
      <c r="BO112" s="64">
        <f>IFERROR(1/J112*(X112/H112),"0")</f>
        <v>2.8935185185185185E-2</v>
      </c>
      <c r="BP112" s="64">
        <f>IFERROR(1/J112*(Y112/H112),"0")</f>
        <v>3.125E-2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1.8518518518518519</v>
      </c>
      <c r="Y116" s="543">
        <f>IFERROR(Y112/H112,"0")+IFERROR(Y113/H113,"0")+IFERROR(Y114/H114,"0")+IFERROR(Y115/H115,"0")</f>
        <v>2</v>
      </c>
      <c r="Z116" s="543">
        <f>IFERROR(IF(Z112="",0,Z112),"0")+IFERROR(IF(Z113="",0,Z113),"0")+IFERROR(IF(Z114="",0,Z114),"0")+IFERROR(IF(Z115="",0,Z115),"0")</f>
        <v>3.7960000000000001E-2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15</v>
      </c>
      <c r="Y117" s="543">
        <f>IFERROR(SUM(Y112:Y115),"0")</f>
        <v>16.2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12.8</v>
      </c>
      <c r="Y124" s="542">
        <f>IFERROR(IF(X124="",0,CEILING((X124/$H124),1)*$H124),"")</f>
        <v>12.8</v>
      </c>
      <c r="Z124" s="36">
        <f>IFERROR(IF(Y124=0,"",ROUNDUP(Y124/H124,0)*0.00651),"")</f>
        <v>2.6040000000000001E-2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13.52</v>
      </c>
      <c r="BN124" s="64">
        <f>IFERROR(Y124*I124/H124,"0")</f>
        <v>13.52</v>
      </c>
      <c r="BO124" s="64">
        <f>IFERROR(1/J124*(X124/H124),"0")</f>
        <v>2.197802197802198E-2</v>
      </c>
      <c r="BP124" s="64">
        <f>IFERROR(1/J124*(Y124/H124),"0")</f>
        <v>2.197802197802198E-2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4</v>
      </c>
      <c r="Y126" s="543">
        <f>IFERROR(Y124/H124,"0")+IFERROR(Y125/H125,"0")</f>
        <v>4</v>
      </c>
      <c r="Z126" s="543">
        <f>IFERROR(IF(Z124="",0,Z124),"0")+IFERROR(IF(Z125="",0,Z125),"0")</f>
        <v>2.6040000000000001E-2</v>
      </c>
      <c r="AA126" s="544"/>
      <c r="AB126" s="544"/>
      <c r="AC126" s="544"/>
    </row>
    <row r="127" spans="1:68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12.8</v>
      </c>
      <c r="Y127" s="543">
        <f>IFERROR(SUM(Y124:Y125),"0")</f>
        <v>12.8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16</v>
      </c>
      <c r="Y148" s="542">
        <f>IFERROR(IF(X148="",0,CEILING((X148/$H148),1)*$H148),"")</f>
        <v>18</v>
      </c>
      <c r="Z148" s="36">
        <f>IFERROR(IF(Y148=0,"",ROUNDUP(Y148/H148,0)*0.01898),"")</f>
        <v>3.7960000000000001E-2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16.995555555555555</v>
      </c>
      <c r="BN148" s="64">
        <f>IFERROR(Y148*I148/H148,"0")</f>
        <v>19.12</v>
      </c>
      <c r="BO148" s="64">
        <f>IFERROR(1/J148*(X148/H148),"0")</f>
        <v>2.7777777777777776E-2</v>
      </c>
      <c r="BP148" s="64">
        <f>IFERROR(1/J148*(Y148/H148),"0")</f>
        <v>3.125E-2</v>
      </c>
    </row>
    <row r="149" spans="1:68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1.7777777777777777</v>
      </c>
      <c r="Y149" s="543">
        <f>IFERROR(Y146/H146,"0")+IFERROR(Y147/H147,"0")+IFERROR(Y148/H148,"0")</f>
        <v>2</v>
      </c>
      <c r="Z149" s="543">
        <f>IFERROR(IF(Z146="",0,Z146),"0")+IFERROR(IF(Z147="",0,Z147),"0")+IFERROR(IF(Z148="",0,Z148),"0")</f>
        <v>3.7960000000000001E-2</v>
      </c>
      <c r="AA149" s="544"/>
      <c r="AB149" s="544"/>
      <c r="AC149" s="544"/>
    </row>
    <row r="150" spans="1:68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16</v>
      </c>
      <c r="Y150" s="543">
        <f>IFERROR(SUM(Y146:Y148),"0")</f>
        <v>18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8</v>
      </c>
      <c r="Y162" s="542">
        <f t="shared" ref="Y162:Y170" si="5">IFERROR(IF(X162="",0,CEILING((X162/$H162),1)*$H162),"")</f>
        <v>8.4</v>
      </c>
      <c r="Z162" s="36">
        <f>IFERROR(IF(Y162=0,"",ROUNDUP(Y162/H162,0)*0.00902),"")</f>
        <v>1.804E-2</v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8.4761904761904763</v>
      </c>
      <c r="BN162" s="64">
        <f t="shared" ref="BN162:BN170" si="7">IFERROR(Y162*I162/H162,"0")</f>
        <v>8.9</v>
      </c>
      <c r="BO162" s="64">
        <f t="shared" ref="BO162:BO170" si="8">IFERROR(1/J162*(X162/H162),"0")</f>
        <v>1.443001443001443E-2</v>
      </c>
      <c r="BP162" s="64">
        <f t="shared" ref="BP162:BP170" si="9">IFERROR(1/J162*(Y162/H162),"0")</f>
        <v>1.5151515151515152E-2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1.9047619047619047</v>
      </c>
      <c r="Y171" s="543">
        <f>IFERROR(Y162/H162,"0")+IFERROR(Y163/H163,"0")+IFERROR(Y164/H164,"0")+IFERROR(Y165/H165,"0")+IFERROR(Y166/H166,"0")+IFERROR(Y167/H167,"0")+IFERROR(Y168/H168,"0")+IFERROR(Y169/H169,"0")+IFERROR(Y170/H170,"0")</f>
        <v>2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1.804E-2</v>
      </c>
      <c r="AA171" s="544"/>
      <c r="AB171" s="544"/>
      <c r="AC171" s="544"/>
    </row>
    <row r="172" spans="1:68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8</v>
      </c>
      <c r="Y172" s="543">
        <f>IFERROR(SUM(Y162:Y170),"0")</f>
        <v>8.4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4.1999999999999993</v>
      </c>
      <c r="Y211" s="542">
        <f t="shared" si="15"/>
        <v>4.8</v>
      </c>
      <c r="Z211" s="36">
        <f t="shared" si="20"/>
        <v>1.302E-2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4.641</v>
      </c>
      <c r="BN211" s="64">
        <f t="shared" si="17"/>
        <v>5.3040000000000003</v>
      </c>
      <c r="BO211" s="64">
        <f t="shared" si="18"/>
        <v>9.6153846153846142E-3</v>
      </c>
      <c r="BP211" s="64">
        <f t="shared" si="19"/>
        <v>1.098901098901099E-2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1.7499999999999998</v>
      </c>
      <c r="Y215" s="543">
        <f>IFERROR(Y206/H206,"0")+IFERROR(Y207/H207,"0")+IFERROR(Y208/H208,"0")+IFERROR(Y209/H209,"0")+IFERROR(Y210/H210,"0")+IFERROR(Y211/H211,"0")+IFERROR(Y212/H212,"0")+IFERROR(Y213/H213,"0")+IFERROR(Y214/H214,"0")</f>
        <v>2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1.302E-2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4.1999999999999993</v>
      </c>
      <c r="Y216" s="543">
        <f>IFERROR(SUM(Y206:Y214),"0")</f>
        <v>4.8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30</v>
      </c>
      <c r="Y254" s="542">
        <f>IFERROR(IF(X254="",0,CEILING((X254/$H254),1)*$H254),"")</f>
        <v>32.400000000000006</v>
      </c>
      <c r="Z254" s="36">
        <f>IFERROR(IF(Y254=0,"",ROUNDUP(Y254/H254,0)*0.01898),"")</f>
        <v>5.6940000000000004E-2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31.138888888888889</v>
      </c>
      <c r="BN254" s="64">
        <f>IFERROR(Y254*I254/H254,"0")</f>
        <v>33.630000000000003</v>
      </c>
      <c r="BO254" s="64">
        <f>IFERROR(1/J254*(X254/H254),"0")</f>
        <v>4.3402777777777776E-2</v>
      </c>
      <c r="BP254" s="64">
        <f>IFERROR(1/J254*(Y254/H254),"0")</f>
        <v>4.6875000000000007E-2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30</v>
      </c>
      <c r="Y256" s="542">
        <f>IFERROR(IF(X256="",0,CEILING((X256/$H256),1)*$H256),"")</f>
        <v>32.400000000000006</v>
      </c>
      <c r="Z256" s="36">
        <f>IFERROR(IF(Y256=0,"",ROUNDUP(Y256/H256,0)*0.01898),"")</f>
        <v>5.6940000000000004E-2</v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31.138888888888889</v>
      </c>
      <c r="BN256" s="64">
        <f>IFERROR(Y256*I256/H256,"0")</f>
        <v>33.630000000000003</v>
      </c>
      <c r="BO256" s="64">
        <f>IFERROR(1/J256*(X256/H256),"0")</f>
        <v>4.3402777777777776E-2</v>
      </c>
      <c r="BP256" s="64">
        <f>IFERROR(1/J256*(Y256/H256),"0")</f>
        <v>4.6875000000000007E-2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5.5555555555555554</v>
      </c>
      <c r="Y259" s="543">
        <f>IFERROR(Y254/H254,"0")+IFERROR(Y255/H255,"0")+IFERROR(Y256/H256,"0")+IFERROR(Y257/H257,"0")+IFERROR(Y258/H258,"0")</f>
        <v>6.0000000000000009</v>
      </c>
      <c r="Z259" s="543">
        <f>IFERROR(IF(Z254="",0,Z254),"0")+IFERROR(IF(Z255="",0,Z255),"0")+IFERROR(IF(Z256="",0,Z256),"0")+IFERROR(IF(Z257="",0,Z257),"0")+IFERROR(IF(Z258="",0,Z258),"0")</f>
        <v>0.11388000000000001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60</v>
      </c>
      <c r="Y260" s="543">
        <f>IFERROR(SUM(Y254:Y258),"0")</f>
        <v>64.800000000000011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40</v>
      </c>
      <c r="Y289" s="542">
        <f t="shared" si="26"/>
        <v>43.2</v>
      </c>
      <c r="Z289" s="36">
        <f>IFERROR(IF(Y289=0,"",ROUNDUP(Y289/H289,0)*0.01898),"")</f>
        <v>7.5920000000000001E-2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41.518518518518519</v>
      </c>
      <c r="BN289" s="64">
        <f t="shared" si="28"/>
        <v>44.84</v>
      </c>
      <c r="BO289" s="64">
        <f t="shared" si="29"/>
        <v>5.7870370370370364E-2</v>
      </c>
      <c r="BP289" s="64">
        <f t="shared" si="30"/>
        <v>6.25E-2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20</v>
      </c>
      <c r="Y290" s="542">
        <f t="shared" si="26"/>
        <v>21.6</v>
      </c>
      <c r="Z290" s="36">
        <f>IFERROR(IF(Y290=0,"",ROUNDUP(Y290/H290,0)*0.01898),"")</f>
        <v>3.7960000000000001E-2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20.75925925925926</v>
      </c>
      <c r="BN290" s="64">
        <f t="shared" si="28"/>
        <v>22.42</v>
      </c>
      <c r="BO290" s="64">
        <f t="shared" si="29"/>
        <v>2.8935185185185182E-2</v>
      </c>
      <c r="BP290" s="64">
        <f t="shared" si="30"/>
        <v>3.125E-2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300</v>
      </c>
      <c r="Y291" s="542">
        <f t="shared" si="26"/>
        <v>302.40000000000003</v>
      </c>
      <c r="Z291" s="36">
        <f>IFERROR(IF(Y291=0,"",ROUNDUP(Y291/H291,0)*0.01898),"")</f>
        <v>0.53144000000000002</v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311.38888888888891</v>
      </c>
      <c r="BN291" s="64">
        <f t="shared" si="28"/>
        <v>313.88</v>
      </c>
      <c r="BO291" s="64">
        <f t="shared" si="29"/>
        <v>0.43402777777777773</v>
      </c>
      <c r="BP291" s="64">
        <f t="shared" si="30"/>
        <v>0.4375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20</v>
      </c>
      <c r="Y292" s="542">
        <f t="shared" si="26"/>
        <v>20</v>
      </c>
      <c r="Z292" s="36">
        <f>IFERROR(IF(Y292=0,"",ROUNDUP(Y292/H292,0)*0.00902),"")</f>
        <v>4.5100000000000001E-2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20.950000000000003</v>
      </c>
      <c r="BN292" s="64">
        <f t="shared" si="28"/>
        <v>20.950000000000003</v>
      </c>
      <c r="BO292" s="64">
        <f t="shared" si="29"/>
        <v>3.787878787878788E-2</v>
      </c>
      <c r="BP292" s="64">
        <f t="shared" si="30"/>
        <v>3.787878787878788E-2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28</v>
      </c>
      <c r="Y293" s="542">
        <f t="shared" si="26"/>
        <v>28</v>
      </c>
      <c r="Z293" s="36">
        <f>IFERROR(IF(Y293=0,"",ROUNDUP(Y293/H293,0)*0.00902),"")</f>
        <v>6.3140000000000002E-2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29.330000000000002</v>
      </c>
      <c r="BN293" s="64">
        <f t="shared" si="28"/>
        <v>29.330000000000002</v>
      </c>
      <c r="BO293" s="64">
        <f t="shared" si="29"/>
        <v>5.3030303030303032E-2</v>
      </c>
      <c r="BP293" s="64">
        <f t="shared" si="30"/>
        <v>5.3030303030303032E-2</v>
      </c>
    </row>
    <row r="294" spans="1:68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45.333333333333329</v>
      </c>
      <c r="Y294" s="543">
        <f>IFERROR(Y288/H288,"0")+IFERROR(Y289/H289,"0")+IFERROR(Y290/H290,"0")+IFERROR(Y291/H291,"0")+IFERROR(Y292/H292,"0")+IFERROR(Y293/H293,"0")</f>
        <v>46</v>
      </c>
      <c r="Z294" s="543">
        <f>IFERROR(IF(Z288="",0,Z288),"0")+IFERROR(IF(Z289="",0,Z289),"0")+IFERROR(IF(Z290="",0,Z290),"0")+IFERROR(IF(Z291="",0,Z291),"0")+IFERROR(IF(Z292="",0,Z292),"0")+IFERROR(IF(Z293="",0,Z293),"0")</f>
        <v>0.75356000000000001</v>
      </c>
      <c r="AA294" s="544"/>
      <c r="AB294" s="544"/>
      <c r="AC294" s="544"/>
    </row>
    <row r="295" spans="1:68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408</v>
      </c>
      <c r="Y295" s="543">
        <f>IFERROR(SUM(Y288:Y293),"0")</f>
        <v>415.20000000000005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30</v>
      </c>
      <c r="Y297" s="542">
        <f t="shared" ref="Y297:Y303" si="31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31.785714285714285</v>
      </c>
      <c r="BN297" s="64">
        <f t="shared" ref="BN297:BN303" si="33">IFERROR(Y297*I297/H297,"0")</f>
        <v>35.6</v>
      </c>
      <c r="BO297" s="64">
        <f t="shared" ref="BO297:BO303" si="34">IFERROR(1/J297*(X297/H297),"0")</f>
        <v>5.4112554112554112E-2</v>
      </c>
      <c r="BP297" s="64">
        <f t="shared" ref="BP297:BP303" si="35">IFERROR(1/J297*(Y297/H297),"0")</f>
        <v>6.0606060606060608E-2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80</v>
      </c>
      <c r="Y298" s="542">
        <f t="shared" si="31"/>
        <v>84</v>
      </c>
      <c r="Z298" s="36">
        <f>IFERROR(IF(Y298=0,"",ROUNDUP(Y298/H298,0)*0.00902),"")</f>
        <v>0.1804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84.761904761904759</v>
      </c>
      <c r="BN298" s="64">
        <f t="shared" si="33"/>
        <v>89</v>
      </c>
      <c r="BO298" s="64">
        <f t="shared" si="34"/>
        <v>0.14430014430014429</v>
      </c>
      <c r="BP298" s="64">
        <f t="shared" si="35"/>
        <v>0.15151515151515152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10.5</v>
      </c>
      <c r="Y300" s="542">
        <f t="shared" si="31"/>
        <v>10.5</v>
      </c>
      <c r="Z300" s="36">
        <f>IFERROR(IF(Y300=0,"",ROUNDUP(Y300/H300,0)*0.00502),"")</f>
        <v>2.5100000000000001E-2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11.149999999999999</v>
      </c>
      <c r="BN300" s="64">
        <f t="shared" si="33"/>
        <v>11.149999999999999</v>
      </c>
      <c r="BO300" s="64">
        <f t="shared" si="34"/>
        <v>2.1367521367521368E-2</v>
      </c>
      <c r="BP300" s="64">
        <f t="shared" si="35"/>
        <v>2.1367521367521368E-2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31.19047619047619</v>
      </c>
      <c r="Y304" s="543">
        <f>IFERROR(Y297/H297,"0")+IFERROR(Y298/H298,"0")+IFERROR(Y299/H299,"0")+IFERROR(Y300/H300,"0")+IFERROR(Y301/H301,"0")+IFERROR(Y302/H302,"0")+IFERROR(Y303/H303,"0")</f>
        <v>33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0.27766000000000002</v>
      </c>
      <c r="AA304" s="544"/>
      <c r="AB304" s="544"/>
      <c r="AC304" s="544"/>
    </row>
    <row r="305" spans="1:68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120.5</v>
      </c>
      <c r="Y305" s="543">
        <f>IFERROR(SUM(Y297:Y303),"0")</f>
        <v>128.1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800</v>
      </c>
      <c r="Y307" s="542">
        <f>IFERROR(IF(X307="",0,CEILING((X307/$H307),1)*$H307),"")</f>
        <v>803.4</v>
      </c>
      <c r="Z307" s="36">
        <f>IFERROR(IF(Y307=0,"",ROUNDUP(Y307/H307,0)*0.01898),"")</f>
        <v>1.9549400000000001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850.0512820512821</v>
      </c>
      <c r="BN307" s="64">
        <f>IFERROR(Y307*I307/H307,"0")</f>
        <v>853.66399999999999</v>
      </c>
      <c r="BO307" s="64">
        <f>IFERROR(1/J307*(X307/H307),"0")</f>
        <v>1.6025641025641026</v>
      </c>
      <c r="BP307" s="64">
        <f>IFERROR(1/J307*(Y307/H307),"0")</f>
        <v>1.609375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102.56410256410257</v>
      </c>
      <c r="Y312" s="543">
        <f>IFERROR(Y307/H307,"0")+IFERROR(Y308/H308,"0")+IFERROR(Y309/H309,"0")+IFERROR(Y310/H310,"0")+IFERROR(Y311/H311,"0")</f>
        <v>103</v>
      </c>
      <c r="Z312" s="543">
        <f>IFERROR(IF(Z307="",0,Z307),"0")+IFERROR(IF(Z308="",0,Z308),"0")+IFERROR(IF(Z309="",0,Z309),"0")+IFERROR(IF(Z310="",0,Z310),"0")+IFERROR(IF(Z311="",0,Z311),"0")</f>
        <v>1.9549400000000001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800</v>
      </c>
      <c r="Y313" s="543">
        <f>IFERROR(SUM(Y307:Y311),"0")</f>
        <v>803.4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26.583333333333336</v>
      </c>
      <c r="BN316" s="64">
        <f>IFERROR(Y316*I316/H316,"0")</f>
        <v>33.176000000000002</v>
      </c>
      <c r="BO316" s="64">
        <f>IFERROR(1/J316*(X316/H316),"0")</f>
        <v>5.0080128205128208E-2</v>
      </c>
      <c r="BP316" s="64">
        <f>IFERROR(1/J316*(Y316/H316),"0")</f>
        <v>6.25E-2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25</v>
      </c>
      <c r="Y317" s="542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6.1813186813186816</v>
      </c>
      <c r="Y318" s="543">
        <f>IFERROR(Y315/H315,"0")+IFERROR(Y316/H316,"0")+IFERROR(Y317/H317,"0")</f>
        <v>7</v>
      </c>
      <c r="Z318" s="543">
        <f>IFERROR(IF(Z315="",0,Z315),"0")+IFERROR(IF(Z316="",0,Z316),"0")+IFERROR(IF(Z317="",0,Z317),"0")</f>
        <v>0.13286000000000001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50</v>
      </c>
      <c r="Y319" s="543">
        <f>IFERROR(SUM(Y315:Y317),"0")</f>
        <v>56.400000000000006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2.5499999999999998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2.88</v>
      </c>
      <c r="BN324" s="64">
        <f>IFERROR(Y324*I324/H324,"0")</f>
        <v>2.88</v>
      </c>
      <c r="BO324" s="64">
        <f>IFERROR(1/J324*(X324/H324),"0")</f>
        <v>5.4945054945054949E-3</v>
      </c>
      <c r="BP324" s="64">
        <f>IFERROR(1/J324*(Y324/H324),"0")</f>
        <v>5.4945054945054949E-3</v>
      </c>
    </row>
    <row r="325" spans="1:68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1</v>
      </c>
      <c r="Y325" s="543">
        <f>IFERROR(Y321/H321,"0")+IFERROR(Y322/H322,"0")+IFERROR(Y323/H323,"0")+IFERROR(Y324/H324,"0")</f>
        <v>1</v>
      </c>
      <c r="Z325" s="543">
        <f>IFERROR(IF(Z321="",0,Z321),"0")+IFERROR(IF(Z322="",0,Z322),"0")+IFERROR(IF(Z323="",0,Z323),"0")+IFERROR(IF(Z324="",0,Z324),"0")</f>
        <v>6.5100000000000002E-3</v>
      </c>
      <c r="AA325" s="544"/>
      <c r="AB325" s="544"/>
      <c r="AC325" s="544"/>
    </row>
    <row r="326" spans="1:68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2.5499999999999998</v>
      </c>
      <c r="Y326" s="543">
        <f>IFERROR(SUM(Y321:Y324),"0")</f>
        <v>2.5499999999999998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25</v>
      </c>
      <c r="Y335" s="542">
        <f>IFERROR(IF(X335="",0,CEILING((X335/$H335),1)*$H335),"")</f>
        <v>32.4</v>
      </c>
      <c r="Z335" s="36">
        <f>IFERROR(IF(Y335=0,"",ROUNDUP(Y335/H335,0)*0.01898),"")</f>
        <v>7.5920000000000001E-2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26.524691358024693</v>
      </c>
      <c r="BN335" s="64">
        <f>IFERROR(Y335*I335/H335,"0")</f>
        <v>34.375999999999998</v>
      </c>
      <c r="BO335" s="64">
        <f>IFERROR(1/J335*(X335/H335),"0")</f>
        <v>4.8225308641975308E-2</v>
      </c>
      <c r="BP335" s="64">
        <f>IFERROR(1/J335*(Y335/H335),"0")</f>
        <v>6.25E-2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3.0864197530864197</v>
      </c>
      <c r="Y338" s="543">
        <f>IFERROR(Y335/H335,"0")+IFERROR(Y336/H336,"0")+IFERROR(Y337/H337,"0")</f>
        <v>4</v>
      </c>
      <c r="Z338" s="543">
        <f>IFERROR(IF(Z335="",0,Z335),"0")+IFERROR(IF(Z336="",0,Z336),"0")+IFERROR(IF(Z337="",0,Z337),"0")</f>
        <v>7.5920000000000001E-2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25</v>
      </c>
      <c r="Y339" s="543">
        <f>IFERROR(SUM(Y335:Y337),"0")</f>
        <v>32.4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30</v>
      </c>
      <c r="Y343" s="542">
        <f t="shared" ref="Y343:Y349" si="36">IFERROR(IF(X343="",0,CEILING((X343/$H343),1)*$H343),"")</f>
        <v>30</v>
      </c>
      <c r="Z343" s="36">
        <f>IFERROR(IF(Y343=0,"",ROUNDUP(Y343/H343,0)*0.02175),"")</f>
        <v>4.3499999999999997E-2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30.94</v>
      </c>
      <c r="BN343" s="64">
        <f t="shared" ref="BN343:BN349" si="38">IFERROR(Y343*I343/H343,"0")</f>
        <v>30.94</v>
      </c>
      <c r="BO343" s="64">
        <f t="shared" ref="BO343:BO349" si="39">IFERROR(1/J343*(X343/H343),"0")</f>
        <v>4.1666666666666664E-2</v>
      </c>
      <c r="BP343" s="64">
        <f t="shared" ref="BP343:BP349" si="40">IFERROR(1/J343*(Y343/H343),"0")</f>
        <v>4.1666666666666664E-2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100</v>
      </c>
      <c r="Y344" s="542">
        <f t="shared" si="36"/>
        <v>105</v>
      </c>
      <c r="Z344" s="36">
        <f>IFERROR(IF(Y344=0,"",ROUNDUP(Y344/H344,0)*0.02175),"")</f>
        <v>0.15225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103.13333333333334</v>
      </c>
      <c r="BN344" s="64">
        <f t="shared" si="38"/>
        <v>108.29</v>
      </c>
      <c r="BO344" s="64">
        <f t="shared" si="39"/>
        <v>0.1388888888888889</v>
      </c>
      <c r="BP344" s="64">
        <f t="shared" si="40"/>
        <v>0.14583333333333331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8.6666666666666679</v>
      </c>
      <c r="Y350" s="543">
        <f>IFERROR(Y343/H343,"0")+IFERROR(Y344/H344,"0")+IFERROR(Y345/H345,"0")+IFERROR(Y346/H346,"0")+IFERROR(Y347/H347,"0")+IFERROR(Y348/H348,"0")+IFERROR(Y349/H349,"0")</f>
        <v>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0.19574999999999998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130</v>
      </c>
      <c r="Y351" s="543">
        <f>IFERROR(SUM(Y343:Y349),"0")</f>
        <v>135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850</v>
      </c>
      <c r="Y353" s="542">
        <f>IFERROR(IF(X353="",0,CEILING((X353/$H353),1)*$H353),"")</f>
        <v>855</v>
      </c>
      <c r="Z353" s="36">
        <f>IFERROR(IF(Y353=0,"",ROUNDUP(Y353/H353,0)*0.02175),"")</f>
        <v>1.2397499999999999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876.63333333333333</v>
      </c>
      <c r="BN353" s="64">
        <f>IFERROR(Y353*I353/H353,"0")</f>
        <v>881.79000000000008</v>
      </c>
      <c r="BO353" s="64">
        <f>IFERROR(1/J353*(X353/H353),"0")</f>
        <v>1.1805555555555554</v>
      </c>
      <c r="BP353" s="64">
        <f>IFERROR(1/J353*(Y353/H353),"0")</f>
        <v>1.1875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56.666666666666664</v>
      </c>
      <c r="Y355" s="543">
        <f>IFERROR(Y353/H353,"0")+IFERROR(Y354/H354,"0")</f>
        <v>57</v>
      </c>
      <c r="Z355" s="543">
        <f>IFERROR(IF(Z353="",0,Z353),"0")+IFERROR(IF(Z354="",0,Z354),"0")</f>
        <v>1.2397499999999999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850</v>
      </c>
      <c r="Y356" s="543">
        <f>IFERROR(SUM(Y353:Y354),"0")</f>
        <v>855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hidden="1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10</v>
      </c>
      <c r="Y421" s="542">
        <f t="shared" ref="Y421:Y431" si="47">IFERROR(IF(X421="",0,CEILING((X421/$H421),1)*$H421),"")</f>
        <v>10.56</v>
      </c>
      <c r="Z421" s="36">
        <f t="shared" ref="Z421:Z426" si="48">IFERROR(IF(Y421=0,"",ROUNDUP(Y421/H421,0)*0.01196),"")</f>
        <v>2.392E-2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10.662878787878787</v>
      </c>
      <c r="BN421" s="64">
        <f t="shared" ref="BN421:BN431" si="50">IFERROR(Y421*I421/H421,"0")</f>
        <v>11.26</v>
      </c>
      <c r="BO421" s="64">
        <f t="shared" ref="BO421:BO431" si="51">IFERROR(1/J421*(X421/H421),"0")</f>
        <v>1.8210955710955712E-2</v>
      </c>
      <c r="BP421" s="64">
        <f t="shared" ref="BP421:BP431" si="52">IFERROR(1/J421*(Y421/H421),"0")</f>
        <v>1.9230769230769232E-2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5</v>
      </c>
      <c r="Y426" s="542">
        <f t="shared" si="47"/>
        <v>5.28</v>
      </c>
      <c r="Z426" s="36">
        <f t="shared" si="48"/>
        <v>1.196E-2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5.3314393939393936</v>
      </c>
      <c r="BN426" s="64">
        <f t="shared" si="50"/>
        <v>5.63</v>
      </c>
      <c r="BO426" s="64">
        <f t="shared" si="51"/>
        <v>9.1054778554778559E-3</v>
      </c>
      <c r="BP426" s="64">
        <f t="shared" si="52"/>
        <v>9.6153846153846159E-3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2.8409090909090908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3.5880000000000002E-2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15</v>
      </c>
      <c r="Y433" s="543">
        <f>IFERROR(SUM(Y421:Y431),"0")</f>
        <v>15.84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10</v>
      </c>
      <c r="Y435" s="542">
        <f>IFERROR(IF(X435="",0,CEILING((X435/$H435),1)*$H435),"")</f>
        <v>10.56</v>
      </c>
      <c r="Z435" s="36">
        <f>IFERROR(IF(Y435=0,"",ROUNDUP(Y435/H435,0)*0.01196),"")</f>
        <v>2.392E-2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10.662878787878787</v>
      </c>
      <c r="BN435" s="64">
        <f>IFERROR(Y435*I435/H435,"0")</f>
        <v>11.26</v>
      </c>
      <c r="BO435" s="64">
        <f>IFERROR(1/J435*(X435/H435),"0")</f>
        <v>1.8210955710955712E-2</v>
      </c>
      <c r="BP435" s="64">
        <f>IFERROR(1/J435*(Y435/H435),"0")</f>
        <v>1.9230769230769232E-2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1.8939393939393938</v>
      </c>
      <c r="Y438" s="543">
        <f>IFERROR(Y435/H435,"0")+IFERROR(Y436/H436,"0")+IFERROR(Y437/H437,"0")</f>
        <v>2</v>
      </c>
      <c r="Z438" s="543">
        <f>IFERROR(IF(Z435="",0,Z435),"0")+IFERROR(IF(Z436="",0,Z436),"0")+IFERROR(IF(Z437="",0,Z437),"0")</f>
        <v>2.392E-2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10</v>
      </c>
      <c r="Y439" s="543">
        <f>IFERROR(SUM(Y435:Y437),"0")</f>
        <v>10.56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hidden="1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100</v>
      </c>
      <c r="Y471" s="542">
        <f>IFERROR(IF(X471="",0,CEILING((X471/$H471),1)*$H471),"")</f>
        <v>100.80000000000001</v>
      </c>
      <c r="Z471" s="36">
        <f>IFERROR(IF(Y471=0,"",ROUNDUP(Y471/H471,0)*0.00902),"")</f>
        <v>0.21648000000000001</v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105.95238095238095</v>
      </c>
      <c r="BN471" s="64">
        <f>IFERROR(Y471*I471/H471,"0")</f>
        <v>106.80000000000001</v>
      </c>
      <c r="BO471" s="64">
        <f>IFERROR(1/J471*(X471/H471),"0")</f>
        <v>0.18037518037518038</v>
      </c>
      <c r="BP471" s="64">
        <f>IFERROR(1/J471*(Y471/H471),"0")</f>
        <v>0.18181818181818182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120</v>
      </c>
      <c r="Y472" s="542">
        <f>IFERROR(IF(X472="",0,CEILING((X472/$H472),1)*$H472),"")</f>
        <v>121.80000000000001</v>
      </c>
      <c r="Z472" s="36">
        <f>IFERROR(IF(Y472=0,"",ROUNDUP(Y472/H472,0)*0.00902),"")</f>
        <v>0.26158000000000003</v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127.14285714285714</v>
      </c>
      <c r="BN472" s="64">
        <f>IFERROR(Y472*I472/H472,"0")</f>
        <v>129.05000000000001</v>
      </c>
      <c r="BO472" s="64">
        <f>IFERROR(1/J472*(X472/H472),"0")</f>
        <v>0.21645021645021645</v>
      </c>
      <c r="BP472" s="64">
        <f>IFERROR(1/J472*(Y472/H472),"0")</f>
        <v>0.2196969696969697</v>
      </c>
    </row>
    <row r="473" spans="1:68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52.38095238095238</v>
      </c>
      <c r="Y473" s="543">
        <f>IFERROR(Y471/H471,"0")+IFERROR(Y472/H472,"0")</f>
        <v>53</v>
      </c>
      <c r="Z473" s="543">
        <f>IFERROR(IF(Z471="",0,Z471),"0")+IFERROR(IF(Z472="",0,Z472),"0")</f>
        <v>0.47806000000000004</v>
      </c>
      <c r="AA473" s="544"/>
      <c r="AB473" s="544"/>
      <c r="AC473" s="544"/>
    </row>
    <row r="474" spans="1:68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220</v>
      </c>
      <c r="Y474" s="543">
        <f>IFERROR(SUM(Y471:Y472),"0")</f>
        <v>222.60000000000002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3222.05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3287.95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3370.6279005377341</v>
      </c>
      <c r="Y490" s="543">
        <f>IFERROR(SUM(BN22:BN486),"0")</f>
        <v>3439.8160000000007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6</v>
      </c>
      <c r="Y491" s="38">
        <f>ROUNDUP(SUM(BP22:BP486),0)</f>
        <v>6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3520.6279005377341</v>
      </c>
      <c r="Y492" s="543">
        <f>GrossWeightTotalR+PalletQtyTotalR*25</f>
        <v>3589.8160000000007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386.34843551510221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395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6.3148000000000009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51.2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389.70000000000005</v>
      </c>
      <c r="E499" s="46">
        <f>IFERROR(Y85*1,"0")+IFERROR(Y86*1,"0")+IFERROR(Y87*1,"0")+IFERROR(Y91*1,"0")+IFERROR(Y92*1,"0")+IFERROR(Y93*1,"0")+IFERROR(Y94*1,"0")</f>
        <v>45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16.2</v>
      </c>
      <c r="G499" s="46">
        <f>IFERROR(Y124*1,"0")+IFERROR(Y125*1,"0")+IFERROR(Y129*1,"0")+IFERROR(Y130*1,"0")+IFERROR(Y134*1,"0")+IFERROR(Y135*1,"0")</f>
        <v>12.8</v>
      </c>
      <c r="H499" s="46">
        <f>IFERROR(Y140*1,"0")+IFERROR(Y141*1,"0")+IFERROR(Y142*1,"0")+IFERROR(Y146*1,"0")+IFERROR(Y147*1,"0")+IFERROR(Y148*1,"0")+IFERROR(Y152*1,"0")</f>
        <v>18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8.4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4.8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64.800000000000011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1405.65</v>
      </c>
      <c r="R499" s="46">
        <f>IFERROR(Y335*1,"0")+IFERROR(Y336*1,"0")+IFERROR(Y337*1,"0")</f>
        <v>32.4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990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26.4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222.60000000000002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,00"/>
        <filter val="1,75"/>
        <filter val="1,78"/>
        <filter val="1,85"/>
        <filter val="1,89"/>
        <filter val="1,90"/>
        <filter val="10,00"/>
        <filter val="10,50"/>
        <filter val="100,00"/>
        <filter val="102,56"/>
        <filter val="12,80"/>
        <filter val="120,00"/>
        <filter val="120,50"/>
        <filter val="130,00"/>
        <filter val="15,00"/>
        <filter val="150,00"/>
        <filter val="16,00"/>
        <filter val="168,00"/>
        <filter val="18,00"/>
        <filter val="180,00"/>
        <filter val="2,55"/>
        <filter val="2,84"/>
        <filter val="20,00"/>
        <filter val="20,56"/>
        <filter val="216,00"/>
        <filter val="220,00"/>
        <filter val="24,67"/>
        <filter val="25,00"/>
        <filter val="28,00"/>
        <filter val="3 222,05"/>
        <filter val="3 370,63"/>
        <filter val="3 520,63"/>
        <filter val="3,09"/>
        <filter val="30,00"/>
        <filter val="300,00"/>
        <filter val="31,19"/>
        <filter val="36,00"/>
        <filter val="386,35"/>
        <filter val="4,00"/>
        <filter val="4,20"/>
        <filter val="4,93"/>
        <filter val="40,00"/>
        <filter val="408,00"/>
        <filter val="45,33"/>
        <filter val="48,00"/>
        <filter val="5,00"/>
        <filter val="5,56"/>
        <filter val="5,70"/>
        <filter val="50,00"/>
        <filter val="52,38"/>
        <filter val="56,67"/>
        <filter val="6"/>
        <filter val="6,18"/>
        <filter val="60,00"/>
        <filter val="8,00"/>
        <filter val="8,67"/>
        <filter val="80,00"/>
        <filter val="800,00"/>
        <filter val="850,0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2025-11-10T10:52:47Z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