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34E7DE6-3B61-40EC-97FF-AD0E457D1D1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Z423" i="1" s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O410" i="1"/>
  <c r="BM410" i="1"/>
  <c r="Y410" i="1"/>
  <c r="P410" i="1"/>
  <c r="BO409" i="1"/>
  <c r="BM409" i="1"/>
  <c r="Y409" i="1"/>
  <c r="BP409" i="1" s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BP398" i="1" s="1"/>
  <c r="P398" i="1"/>
  <c r="BO397" i="1"/>
  <c r="BM397" i="1"/>
  <c r="Y397" i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X381" i="1"/>
  <c r="X380" i="1"/>
  <c r="BO379" i="1"/>
  <c r="BM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O348" i="1"/>
  <c r="BM348" i="1"/>
  <c r="Y348" i="1"/>
  <c r="P348" i="1"/>
  <c r="BO347" i="1"/>
  <c r="BM347" i="1"/>
  <c r="Y347" i="1"/>
  <c r="BP347" i="1" s="1"/>
  <c r="P347" i="1"/>
  <c r="BO346" i="1"/>
  <c r="BM346" i="1"/>
  <c r="Y346" i="1"/>
  <c r="BO345" i="1"/>
  <c r="BM345" i="1"/>
  <c r="Y345" i="1"/>
  <c r="P345" i="1"/>
  <c r="BO344" i="1"/>
  <c r="BM344" i="1"/>
  <c r="Y344" i="1"/>
  <c r="BP344" i="1" s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X285" i="1"/>
  <c r="X284" i="1"/>
  <c r="BO283" i="1"/>
  <c r="BM283" i="1"/>
  <c r="Y283" i="1"/>
  <c r="Y284" i="1" s="1"/>
  <c r="P283" i="1"/>
  <c r="X281" i="1"/>
  <c r="X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Z256" i="1" s="1"/>
  <c r="P256" i="1"/>
  <c r="BO255" i="1"/>
  <c r="BM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3" i="1" s="1"/>
  <c r="BO22" i="1"/>
  <c r="BM22" i="1"/>
  <c r="X490" i="1" s="1"/>
  <c r="Y22" i="1"/>
  <c r="P22" i="1"/>
  <c r="H10" i="1"/>
  <c r="A9" i="1"/>
  <c r="F10" i="1" s="1"/>
  <c r="D7" i="1"/>
  <c r="Q6" i="1"/>
  <c r="P2" i="1"/>
  <c r="BP41" i="1" l="1"/>
  <c r="BN41" i="1"/>
  <c r="BP60" i="1"/>
  <c r="BN60" i="1"/>
  <c r="Z60" i="1"/>
  <c r="BP87" i="1"/>
  <c r="BN87" i="1"/>
  <c r="Z87" i="1"/>
  <c r="BP114" i="1"/>
  <c r="BN114" i="1"/>
  <c r="Z114" i="1"/>
  <c r="BP169" i="1"/>
  <c r="BN169" i="1"/>
  <c r="Z169" i="1"/>
  <c r="BP209" i="1"/>
  <c r="BN209" i="1"/>
  <c r="Z209" i="1"/>
  <c r="BP232" i="1"/>
  <c r="BN232" i="1"/>
  <c r="Z232" i="1"/>
  <c r="BP273" i="1"/>
  <c r="BN273" i="1"/>
  <c r="Z273" i="1"/>
  <c r="BP303" i="1"/>
  <c r="BN303" i="1"/>
  <c r="Z303" i="1"/>
  <c r="BP328" i="1"/>
  <c r="BN328" i="1"/>
  <c r="Z328" i="1"/>
  <c r="BP348" i="1"/>
  <c r="BN348" i="1"/>
  <c r="Z348" i="1"/>
  <c r="BP389" i="1"/>
  <c r="BN389" i="1"/>
  <c r="Z389" i="1"/>
  <c r="BP424" i="1"/>
  <c r="BN424" i="1"/>
  <c r="Z424" i="1"/>
  <c r="BP450" i="1"/>
  <c r="BN450" i="1"/>
  <c r="Z450" i="1"/>
  <c r="Z41" i="1"/>
  <c r="BP72" i="1"/>
  <c r="BN72" i="1"/>
  <c r="Z72" i="1"/>
  <c r="F499" i="1"/>
  <c r="BP102" i="1"/>
  <c r="BN102" i="1"/>
  <c r="Z102" i="1"/>
  <c r="BP140" i="1"/>
  <c r="BN140" i="1"/>
  <c r="Z140" i="1"/>
  <c r="BP197" i="1"/>
  <c r="BN197" i="1"/>
  <c r="Z197" i="1"/>
  <c r="BP224" i="1"/>
  <c r="BN224" i="1"/>
  <c r="Z224" i="1"/>
  <c r="BP257" i="1"/>
  <c r="BN257" i="1"/>
  <c r="Z257" i="1"/>
  <c r="BP293" i="1"/>
  <c r="BN293" i="1"/>
  <c r="Z293" i="1"/>
  <c r="BP315" i="1"/>
  <c r="BN315" i="1"/>
  <c r="Z315" i="1"/>
  <c r="BP343" i="1"/>
  <c r="BN343" i="1"/>
  <c r="Z343" i="1"/>
  <c r="BP373" i="1"/>
  <c r="BN373" i="1"/>
  <c r="Z373" i="1"/>
  <c r="BP408" i="1"/>
  <c r="BN408" i="1"/>
  <c r="Z408" i="1"/>
  <c r="BP436" i="1"/>
  <c r="BN436" i="1"/>
  <c r="Z436" i="1"/>
  <c r="BP466" i="1"/>
  <c r="BN466" i="1"/>
  <c r="Z466" i="1"/>
  <c r="D499" i="1"/>
  <c r="Y63" i="1"/>
  <c r="Y77" i="1"/>
  <c r="Y95" i="1"/>
  <c r="Y143" i="1"/>
  <c r="Y116" i="1"/>
  <c r="BP112" i="1"/>
  <c r="BN112" i="1"/>
  <c r="Z112" i="1"/>
  <c r="BP135" i="1"/>
  <c r="BN135" i="1"/>
  <c r="Z135" i="1"/>
  <c r="BP148" i="1"/>
  <c r="BN148" i="1"/>
  <c r="Z148" i="1"/>
  <c r="BP167" i="1"/>
  <c r="BN167" i="1"/>
  <c r="Z167" i="1"/>
  <c r="Y192" i="1"/>
  <c r="BN190" i="1"/>
  <c r="Z190" i="1"/>
  <c r="BP191" i="1"/>
  <c r="BN191" i="1"/>
  <c r="Z191" i="1"/>
  <c r="BP195" i="1"/>
  <c r="BN195" i="1"/>
  <c r="Z195" i="1"/>
  <c r="BP207" i="1"/>
  <c r="BN207" i="1"/>
  <c r="Z207" i="1"/>
  <c r="BP219" i="1"/>
  <c r="BN219" i="1"/>
  <c r="Z219" i="1"/>
  <c r="BP230" i="1"/>
  <c r="BN230" i="1"/>
  <c r="Z230" i="1"/>
  <c r="BP255" i="1"/>
  <c r="BN255" i="1"/>
  <c r="Z255" i="1"/>
  <c r="Y275" i="1"/>
  <c r="BP271" i="1"/>
  <c r="BN271" i="1"/>
  <c r="Z271" i="1"/>
  <c r="BP291" i="1"/>
  <c r="BN291" i="1"/>
  <c r="Z291" i="1"/>
  <c r="BP301" i="1"/>
  <c r="BN301" i="1"/>
  <c r="Z301" i="1"/>
  <c r="X491" i="1"/>
  <c r="X492" i="1" s="1"/>
  <c r="X489" i="1"/>
  <c r="Z29" i="1"/>
  <c r="BN29" i="1"/>
  <c r="Y44" i="1"/>
  <c r="Z52" i="1"/>
  <c r="BN52" i="1"/>
  <c r="Z56" i="1"/>
  <c r="BN56" i="1"/>
  <c r="Y64" i="1"/>
  <c r="Z62" i="1"/>
  <c r="BN62" i="1"/>
  <c r="Y70" i="1"/>
  <c r="Z68" i="1"/>
  <c r="BN68" i="1"/>
  <c r="Y76" i="1"/>
  <c r="Z74" i="1"/>
  <c r="BN74" i="1"/>
  <c r="Z85" i="1"/>
  <c r="BN85" i="1"/>
  <c r="Y88" i="1"/>
  <c r="Z91" i="1"/>
  <c r="BN91" i="1"/>
  <c r="BP91" i="1"/>
  <c r="Y96" i="1"/>
  <c r="Z100" i="1"/>
  <c r="BN100" i="1"/>
  <c r="Z106" i="1"/>
  <c r="BN106" i="1"/>
  <c r="BP106" i="1"/>
  <c r="Y109" i="1"/>
  <c r="G499" i="1"/>
  <c r="BP125" i="1"/>
  <c r="BN125" i="1"/>
  <c r="Z125" i="1"/>
  <c r="BP142" i="1"/>
  <c r="BN142" i="1"/>
  <c r="Z142" i="1"/>
  <c r="I499" i="1"/>
  <c r="Y172" i="1"/>
  <c r="BP163" i="1"/>
  <c r="BN163" i="1"/>
  <c r="Z163" i="1"/>
  <c r="BP175" i="1"/>
  <c r="BN175" i="1"/>
  <c r="Z175" i="1"/>
  <c r="BP199" i="1"/>
  <c r="BN199" i="1"/>
  <c r="Z199" i="1"/>
  <c r="BP211" i="1"/>
  <c r="BN211" i="1"/>
  <c r="Z211" i="1"/>
  <c r="Y235" i="1"/>
  <c r="BP226" i="1"/>
  <c r="BN226" i="1"/>
  <c r="Z226" i="1"/>
  <c r="Y251" i="1"/>
  <c r="BP246" i="1"/>
  <c r="BN246" i="1"/>
  <c r="Z246" i="1"/>
  <c r="BP264" i="1"/>
  <c r="BN264" i="1"/>
  <c r="Z264" i="1"/>
  <c r="BP278" i="1"/>
  <c r="BN278" i="1"/>
  <c r="Z278" i="1"/>
  <c r="Y305" i="1"/>
  <c r="BP297" i="1"/>
  <c r="BN297" i="1"/>
  <c r="Z297" i="1"/>
  <c r="Y313" i="1"/>
  <c r="BP307" i="1"/>
  <c r="BN307" i="1"/>
  <c r="Z307" i="1"/>
  <c r="BP317" i="1"/>
  <c r="BN317" i="1"/>
  <c r="Z317" i="1"/>
  <c r="BP330" i="1"/>
  <c r="BN330" i="1"/>
  <c r="Z330" i="1"/>
  <c r="BP345" i="1"/>
  <c r="BN345" i="1"/>
  <c r="Z345" i="1"/>
  <c r="BP354" i="1"/>
  <c r="BN354" i="1"/>
  <c r="Z354" i="1"/>
  <c r="BP379" i="1"/>
  <c r="BN379" i="1"/>
  <c r="Z379" i="1"/>
  <c r="BP391" i="1"/>
  <c r="BN391" i="1"/>
  <c r="Z391" i="1"/>
  <c r="BP410" i="1"/>
  <c r="BN410" i="1"/>
  <c r="Z410" i="1"/>
  <c r="BP426" i="1"/>
  <c r="BN426" i="1"/>
  <c r="Z426" i="1"/>
  <c r="BP442" i="1"/>
  <c r="BN442" i="1"/>
  <c r="Z442" i="1"/>
  <c r="BP452" i="1"/>
  <c r="BN452" i="1"/>
  <c r="Z45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Y117" i="1"/>
  <c r="Y131" i="1"/>
  <c r="Y150" i="1"/>
  <c r="J499" i="1"/>
  <c r="Y204" i="1"/>
  <c r="Q499" i="1"/>
  <c r="BP311" i="1"/>
  <c r="BN311" i="1"/>
  <c r="Z311" i="1"/>
  <c r="BP324" i="1"/>
  <c r="BN324" i="1"/>
  <c r="Z324" i="1"/>
  <c r="BP337" i="1"/>
  <c r="BN337" i="1"/>
  <c r="Z337" i="1"/>
  <c r="BP346" i="1"/>
  <c r="BN346" i="1"/>
  <c r="Z346" i="1"/>
  <c r="T499" i="1"/>
  <c r="BP369" i="1"/>
  <c r="BN369" i="1"/>
  <c r="Z369" i="1"/>
  <c r="BP387" i="1"/>
  <c r="BN387" i="1"/>
  <c r="Z387" i="1"/>
  <c r="Y399" i="1"/>
  <c r="BP397" i="1"/>
  <c r="BN397" i="1"/>
  <c r="Z397" i="1"/>
  <c r="BP430" i="1"/>
  <c r="BN430" i="1"/>
  <c r="Z430" i="1"/>
  <c r="BP446" i="1"/>
  <c r="BN446" i="1"/>
  <c r="Z446" i="1"/>
  <c r="BP460" i="1"/>
  <c r="BN460" i="1"/>
  <c r="Z460" i="1"/>
  <c r="Y319" i="1"/>
  <c r="Y326" i="1"/>
  <c r="Y332" i="1"/>
  <c r="Y350" i="1"/>
  <c r="Y360" i="1"/>
  <c r="Y375" i="1"/>
  <c r="U499" i="1"/>
  <c r="V499" i="1"/>
  <c r="Y412" i="1"/>
  <c r="Y462" i="1"/>
  <c r="H9" i="1"/>
  <c r="A10" i="1"/>
  <c r="BP28" i="1"/>
  <c r="BN28" i="1"/>
  <c r="Z28" i="1"/>
  <c r="BP42" i="1"/>
  <c r="BN42" i="1"/>
  <c r="Z42" i="1"/>
  <c r="Y48" i="1"/>
  <c r="Y47" i="1"/>
  <c r="BP46" i="1"/>
  <c r="BN46" i="1"/>
  <c r="Z46" i="1"/>
  <c r="Z47" i="1" s="1"/>
  <c r="F9" i="1"/>
  <c r="J9" i="1"/>
  <c r="B499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9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Y193" i="1"/>
  <c r="BP190" i="1"/>
  <c r="Y203" i="1"/>
  <c r="BP198" i="1"/>
  <c r="BN198" i="1"/>
  <c r="Z198" i="1"/>
  <c r="BP202" i="1"/>
  <c r="BN202" i="1"/>
  <c r="Z202" i="1"/>
  <c r="Y216" i="1"/>
  <c r="Y215" i="1"/>
  <c r="BP206" i="1"/>
  <c r="BN206" i="1"/>
  <c r="Z206" i="1"/>
  <c r="Y57" i="1"/>
  <c r="Y103" i="1"/>
  <c r="Y126" i="1"/>
  <c r="Y160" i="1"/>
  <c r="Y187" i="1"/>
  <c r="BP196" i="1"/>
  <c r="BN196" i="1"/>
  <c r="Z196" i="1"/>
  <c r="BP200" i="1"/>
  <c r="BN200" i="1"/>
  <c r="Z200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Y221" i="1"/>
  <c r="K499" i="1"/>
  <c r="Z225" i="1"/>
  <c r="Z234" i="1" s="1"/>
  <c r="BN225" i="1"/>
  <c r="BP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65" i="1"/>
  <c r="BN265" i="1"/>
  <c r="Z265" i="1"/>
  <c r="L499" i="1"/>
  <c r="Y259" i="1"/>
  <c r="BP256" i="1"/>
  <c r="BN256" i="1"/>
  <c r="BP258" i="1"/>
  <c r="BN258" i="1"/>
  <c r="Z258" i="1"/>
  <c r="Y260" i="1"/>
  <c r="M499" i="1"/>
  <c r="Y268" i="1"/>
  <c r="BP263" i="1"/>
  <c r="BN263" i="1"/>
  <c r="Z263" i="1"/>
  <c r="Y267" i="1"/>
  <c r="Y274" i="1"/>
  <c r="Y281" i="1"/>
  <c r="Y285" i="1"/>
  <c r="Y294" i="1"/>
  <c r="Y304" i="1"/>
  <c r="Y312" i="1"/>
  <c r="Y318" i="1"/>
  <c r="Y325" i="1"/>
  <c r="Y331" i="1"/>
  <c r="Y338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BP451" i="1"/>
  <c r="BN451" i="1"/>
  <c r="Z451" i="1"/>
  <c r="Z453" i="1" s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S499" i="1"/>
  <c r="W499" i="1"/>
  <c r="Z272" i="1"/>
  <c r="Z274" i="1" s="1"/>
  <c r="BN272" i="1"/>
  <c r="P499" i="1"/>
  <c r="Z279" i="1"/>
  <c r="Z280" i="1" s="1"/>
  <c r="BN279" i="1"/>
  <c r="Y280" i="1"/>
  <c r="Z283" i="1"/>
  <c r="Z284" i="1" s="1"/>
  <c r="BN283" i="1"/>
  <c r="BP283" i="1"/>
  <c r="Z288" i="1"/>
  <c r="BN288" i="1"/>
  <c r="BP288" i="1"/>
  <c r="Z290" i="1"/>
  <c r="BN290" i="1"/>
  <c r="Z292" i="1"/>
  <c r="BN292" i="1"/>
  <c r="Y295" i="1"/>
  <c r="Z298" i="1"/>
  <c r="BN298" i="1"/>
  <c r="Z300" i="1"/>
  <c r="BN300" i="1"/>
  <c r="Z302" i="1"/>
  <c r="BN302" i="1"/>
  <c r="Z308" i="1"/>
  <c r="BN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Z344" i="1"/>
  <c r="BN344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143" i="1" l="1"/>
  <c r="Z350" i="1"/>
  <c r="Z312" i="1"/>
  <c r="Z304" i="1"/>
  <c r="Z432" i="1"/>
  <c r="Z394" i="1"/>
  <c r="Z267" i="1"/>
  <c r="Z203" i="1"/>
  <c r="Z126" i="1"/>
  <c r="Z103" i="1"/>
  <c r="Z43" i="1"/>
  <c r="Z192" i="1"/>
  <c r="Z294" i="1"/>
  <c r="Z259" i="1"/>
  <c r="Z250" i="1"/>
  <c r="Z215" i="1"/>
  <c r="Y491" i="1"/>
  <c r="Z468" i="1"/>
  <c r="Z438" i="1"/>
  <c r="Z177" i="1"/>
  <c r="Z171" i="1"/>
  <c r="Z57" i="1"/>
  <c r="Z31" i="1"/>
  <c r="Y489" i="1"/>
  <c r="Y490" i="1"/>
  <c r="Y492" i="1" s="1"/>
  <c r="Y493" i="1"/>
  <c r="Z494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<sst xmlns="http://schemas.openxmlformats.org/spreadsheetml/2006/main" count="2347" uniqueCount="766">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</sst>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39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24" t="s">
        <v>0</v>
      </c>
      <c r="E1" s="570"/>
      <c r="F1" s="570"/>
      <c r="G1" s="12" t="s">
        <v>1</v>
      </c>
      <c r="H1" s="624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6" t="s">
        <v>8</v>
      </c>
      <c r="B5" s="635"/>
      <c r="C5" s="636"/>
      <c r="D5" s="619"/>
      <c r="E5" s="620"/>
      <c r="F5" s="832" t="s">
        <v>9</v>
      </c>
      <c r="G5" s="636"/>
      <c r="H5" s="619" t="s">
        <v>765</v>
      </c>
      <c r="I5" s="774"/>
      <c r="J5" s="774"/>
      <c r="K5" s="774"/>
      <c r="L5" s="774"/>
      <c r="M5" s="620"/>
      <c r="N5" s="58"/>
      <c r="P5" s="24" t="s">
        <v>10</v>
      </c>
      <c r="Q5" s="838">
        <v>45973</v>
      </c>
      <c r="R5" s="631"/>
      <c r="T5" s="706" t="s">
        <v>11</v>
      </c>
      <c r="U5" s="707"/>
      <c r="V5" s="708" t="s">
        <v>12</v>
      </c>
      <c r="W5" s="631"/>
      <c r="AB5" s="51"/>
      <c r="AC5" s="51"/>
      <c r="AD5" s="51"/>
      <c r="AE5" s="51"/>
    </row>
    <row r="6" spans="1:32" s="538" customFormat="1" ht="24" customHeight="1" x14ac:dyDescent="0.2">
      <c r="A6" s="656" t="s">
        <v>13</v>
      </c>
      <c r="B6" s="635"/>
      <c r="C6" s="636"/>
      <c r="D6" s="776" t="s">
        <v>14</v>
      </c>
      <c r="E6" s="777"/>
      <c r="F6" s="777"/>
      <c r="G6" s="777"/>
      <c r="H6" s="777"/>
      <c r="I6" s="777"/>
      <c r="J6" s="777"/>
      <c r="K6" s="777"/>
      <c r="L6" s="777"/>
      <c r="M6" s="631"/>
      <c r="N6" s="59"/>
      <c r="P6" s="24" t="s">
        <v>15</v>
      </c>
      <c r="Q6" s="821" t="str">
        <f>IF(Q5=0," ",CHOOSE(WEEKDAY(Q5,2),"Понедельник","Вторник","Среда","Четверг","Пятница","Суббота","Воскресенье"))</f>
        <v>Среда</v>
      </c>
      <c r="R6" s="546"/>
      <c r="T6" s="712" t="s">
        <v>16</v>
      </c>
      <c r="U6" s="707"/>
      <c r="V6" s="756" t="s">
        <v>17</v>
      </c>
      <c r="W6" s="581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612" t="str">
        <f>IFERROR(VLOOKUP(DeliveryAddress,Table,3,0),1)</f>
        <v>1</v>
      </c>
      <c r="E7" s="613"/>
      <c r="F7" s="613"/>
      <c r="G7" s="613"/>
      <c r="H7" s="613"/>
      <c r="I7" s="613"/>
      <c r="J7" s="613"/>
      <c r="K7" s="613"/>
      <c r="L7" s="613"/>
      <c r="M7" s="614"/>
      <c r="N7" s="60"/>
      <c r="P7" s="24"/>
      <c r="Q7" s="42"/>
      <c r="R7" s="42"/>
      <c r="T7" s="551"/>
      <c r="U7" s="707"/>
      <c r="V7" s="757"/>
      <c r="W7" s="758"/>
      <c r="AB7" s="51"/>
      <c r="AC7" s="51"/>
      <c r="AD7" s="51"/>
      <c r="AE7" s="51"/>
    </row>
    <row r="8" spans="1:32" s="538" customFormat="1" ht="25.5" customHeight="1" x14ac:dyDescent="0.2">
      <c r="A8" s="853" t="s">
        <v>18</v>
      </c>
      <c r="B8" s="556"/>
      <c r="C8" s="557"/>
      <c r="D8" s="616" t="s">
        <v>19</v>
      </c>
      <c r="E8" s="617"/>
      <c r="F8" s="617"/>
      <c r="G8" s="617"/>
      <c r="H8" s="617"/>
      <c r="I8" s="617"/>
      <c r="J8" s="617"/>
      <c r="K8" s="617"/>
      <c r="L8" s="617"/>
      <c r="M8" s="618"/>
      <c r="N8" s="61"/>
      <c r="P8" s="24" t="s">
        <v>20</v>
      </c>
      <c r="Q8" s="665">
        <v>0.41666666666666669</v>
      </c>
      <c r="R8" s="614"/>
      <c r="T8" s="551"/>
      <c r="U8" s="707"/>
      <c r="V8" s="757"/>
      <c r="W8" s="758"/>
      <c r="AB8" s="51"/>
      <c r="AC8" s="51"/>
      <c r="AD8" s="51"/>
      <c r="AE8" s="51"/>
    </row>
    <row r="9" spans="1:32" s="538" customFormat="1" ht="39.950000000000003" customHeight="1" x14ac:dyDescent="0.2">
      <c r="A9" s="6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73"/>
      <c r="E9" s="560"/>
      <c r="F9" s="6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9"/>
      <c r="P9" s="26" t="s">
        <v>21</v>
      </c>
      <c r="Q9" s="628"/>
      <c r="R9" s="629"/>
      <c r="T9" s="551"/>
      <c r="U9" s="707"/>
      <c r="V9" s="759"/>
      <c r="W9" s="760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73"/>
      <c r="E10" s="560"/>
      <c r="F10" s="6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33" t="str">
        <f>IFERROR(VLOOKUP($D$10,Proxy,2,FALSE),"")</f>
        <v/>
      </c>
      <c r="I10" s="551"/>
      <c r="J10" s="551"/>
      <c r="K10" s="551"/>
      <c r="L10" s="551"/>
      <c r="M10" s="551"/>
      <c r="N10" s="537"/>
      <c r="P10" s="26" t="s">
        <v>22</v>
      </c>
      <c r="Q10" s="713"/>
      <c r="R10" s="714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30"/>
      <c r="R11" s="631"/>
      <c r="U11" s="24" t="s">
        <v>27</v>
      </c>
      <c r="V11" s="787" t="s">
        <v>28</v>
      </c>
      <c r="W11" s="62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1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30</v>
      </c>
      <c r="Q12" s="665"/>
      <c r="R12" s="614"/>
      <c r="S12" s="23"/>
      <c r="U12" s="24"/>
      <c r="V12" s="570"/>
      <c r="W12" s="551"/>
      <c r="AB12" s="51"/>
      <c r="AC12" s="51"/>
      <c r="AD12" s="51"/>
      <c r="AE12" s="51"/>
    </row>
    <row r="13" spans="1:32" s="538" customFormat="1" ht="23.25" customHeight="1" x14ac:dyDescent="0.2">
      <c r="A13" s="691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32</v>
      </c>
      <c r="Q13" s="787"/>
      <c r="R13" s="6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1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697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699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0"/>
      <c r="Q16" s="700"/>
      <c r="R16" s="700"/>
      <c r="S16" s="700"/>
      <c r="T16" s="70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3" t="s">
        <v>36</v>
      </c>
      <c r="B17" s="563" t="s">
        <v>37</v>
      </c>
      <c r="C17" s="667" t="s">
        <v>38</v>
      </c>
      <c r="D17" s="563" t="s">
        <v>39</v>
      </c>
      <c r="E17" s="642"/>
      <c r="F17" s="563" t="s">
        <v>40</v>
      </c>
      <c r="G17" s="563" t="s">
        <v>41</v>
      </c>
      <c r="H17" s="563" t="s">
        <v>42</v>
      </c>
      <c r="I17" s="563" t="s">
        <v>43</v>
      </c>
      <c r="J17" s="563" t="s">
        <v>44</v>
      </c>
      <c r="K17" s="563" t="s">
        <v>45</v>
      </c>
      <c r="L17" s="563" t="s">
        <v>46</v>
      </c>
      <c r="M17" s="563" t="s">
        <v>47</v>
      </c>
      <c r="N17" s="563" t="s">
        <v>48</v>
      </c>
      <c r="O17" s="563" t="s">
        <v>49</v>
      </c>
      <c r="P17" s="563" t="s">
        <v>50</v>
      </c>
      <c r="Q17" s="641"/>
      <c r="R17" s="641"/>
      <c r="S17" s="641"/>
      <c r="T17" s="642"/>
      <c r="U17" s="858" t="s">
        <v>51</v>
      </c>
      <c r="V17" s="636"/>
      <c r="W17" s="563" t="s">
        <v>52</v>
      </c>
      <c r="X17" s="563" t="s">
        <v>53</v>
      </c>
      <c r="Y17" s="859" t="s">
        <v>54</v>
      </c>
      <c r="Z17" s="770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27"/>
      <c r="AF17" s="828"/>
      <c r="AG17" s="66"/>
      <c r="BD17" s="65" t="s">
        <v>60</v>
      </c>
    </row>
    <row r="18" spans="1:68" ht="14.25" customHeight="1" x14ac:dyDescent="0.2">
      <c r="A18" s="564"/>
      <c r="B18" s="564"/>
      <c r="C18" s="564"/>
      <c r="D18" s="643"/>
      <c r="E18" s="645"/>
      <c r="F18" s="564"/>
      <c r="G18" s="564"/>
      <c r="H18" s="564"/>
      <c r="I18" s="564"/>
      <c r="J18" s="564"/>
      <c r="K18" s="564"/>
      <c r="L18" s="564"/>
      <c r="M18" s="564"/>
      <c r="N18" s="564"/>
      <c r="O18" s="564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64"/>
      <c r="X18" s="564"/>
      <c r="Y18" s="860"/>
      <c r="Z18" s="771"/>
      <c r="AA18" s="735"/>
      <c r="AB18" s="735"/>
      <c r="AC18" s="735"/>
      <c r="AD18" s="829"/>
      <c r="AE18" s="830"/>
      <c r="AF18" s="831"/>
      <c r="AG18" s="66"/>
      <c r="BD18" s="65"/>
    </row>
    <row r="19" spans="1:68" ht="27.75" hidden="1" customHeight="1" x14ac:dyDescent="0.2">
      <c r="A19" s="637" t="s">
        <v>63</v>
      </c>
      <c r="B19" s="638"/>
      <c r="C19" s="638"/>
      <c r="D19" s="638"/>
      <c r="E19" s="638"/>
      <c r="F19" s="638"/>
      <c r="G19" s="638"/>
      <c r="H19" s="638"/>
      <c r="I19" s="638"/>
      <c r="J19" s="638"/>
      <c r="K19" s="638"/>
      <c r="L19" s="638"/>
      <c r="M19" s="638"/>
      <c r="N19" s="638"/>
      <c r="O19" s="638"/>
      <c r="P19" s="638"/>
      <c r="Q19" s="638"/>
      <c r="R19" s="638"/>
      <c r="S19" s="638"/>
      <c r="T19" s="638"/>
      <c r="U19" s="638"/>
      <c r="V19" s="638"/>
      <c r="W19" s="638"/>
      <c r="X19" s="638"/>
      <c r="Y19" s="638"/>
      <c r="Z19" s="638"/>
      <c r="AA19" s="48"/>
      <c r="AB19" s="48"/>
      <c r="AC19" s="48"/>
    </row>
    <row r="20" spans="1:68" ht="16.5" hidden="1" customHeight="1" x14ac:dyDescent="0.25">
      <c r="A20" s="554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3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0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2"/>
      <c r="P23" s="555" t="s">
        <v>71</v>
      </c>
      <c r="Q23" s="556"/>
      <c r="R23" s="556"/>
      <c r="S23" s="556"/>
      <c r="T23" s="556"/>
      <c r="U23" s="556"/>
      <c r="V23" s="557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2"/>
      <c r="P24" s="555" t="s">
        <v>71</v>
      </c>
      <c r="Q24" s="556"/>
      <c r="R24" s="556"/>
      <c r="S24" s="556"/>
      <c r="T24" s="556"/>
      <c r="U24" s="556"/>
      <c r="V24" s="557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5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0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2"/>
      <c r="P31" s="555" t="s">
        <v>71</v>
      </c>
      <c r="Q31" s="556"/>
      <c r="R31" s="556"/>
      <c r="S31" s="556"/>
      <c r="T31" s="556"/>
      <c r="U31" s="556"/>
      <c r="V31" s="557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2"/>
      <c r="P32" s="555" t="s">
        <v>71</v>
      </c>
      <c r="Q32" s="556"/>
      <c r="R32" s="556"/>
      <c r="S32" s="556"/>
      <c r="T32" s="556"/>
      <c r="U32" s="556"/>
      <c r="V32" s="557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0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2"/>
      <c r="P35" s="555" t="s">
        <v>71</v>
      </c>
      <c r="Q35" s="556"/>
      <c r="R35" s="556"/>
      <c r="S35" s="556"/>
      <c r="T35" s="556"/>
      <c r="U35" s="556"/>
      <c r="V35" s="557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2"/>
      <c r="P36" s="555" t="s">
        <v>71</v>
      </c>
      <c r="Q36" s="556"/>
      <c r="R36" s="556"/>
      <c r="S36" s="556"/>
      <c r="T36" s="556"/>
      <c r="U36" s="556"/>
      <c r="V36" s="557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7" t="s">
        <v>99</v>
      </c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8"/>
      <c r="P37" s="638"/>
      <c r="Q37" s="638"/>
      <c r="R37" s="638"/>
      <c r="S37" s="638"/>
      <c r="T37" s="638"/>
      <c r="U37" s="638"/>
      <c r="V37" s="638"/>
      <c r="W37" s="638"/>
      <c r="X37" s="638"/>
      <c r="Y37" s="638"/>
      <c r="Z37" s="638"/>
      <c r="AA37" s="48"/>
      <c r="AB37" s="48"/>
      <c r="AC37" s="48"/>
    </row>
    <row r="38" spans="1:68" ht="16.5" hidden="1" customHeight="1" x14ac:dyDescent="0.25">
      <c r="A38" s="554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3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6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0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2"/>
      <c r="P43" s="555" t="s">
        <v>71</v>
      </c>
      <c r="Q43" s="556"/>
      <c r="R43" s="556"/>
      <c r="S43" s="556"/>
      <c r="T43" s="556"/>
      <c r="U43" s="556"/>
      <c r="V43" s="557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2"/>
      <c r="P44" s="555" t="s">
        <v>71</v>
      </c>
      <c r="Q44" s="556"/>
      <c r="R44" s="556"/>
      <c r="S44" s="556"/>
      <c r="T44" s="556"/>
      <c r="U44" s="556"/>
      <c r="V44" s="557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0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2"/>
      <c r="P47" s="555" t="s">
        <v>71</v>
      </c>
      <c r="Q47" s="556"/>
      <c r="R47" s="556"/>
      <c r="S47" s="556"/>
      <c r="T47" s="556"/>
      <c r="U47" s="556"/>
      <c r="V47" s="557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2"/>
      <c r="P48" s="555" t="s">
        <v>71</v>
      </c>
      <c r="Q48" s="556"/>
      <c r="R48" s="556"/>
      <c r="S48" s="556"/>
      <c r="T48" s="556"/>
      <c r="U48" s="556"/>
      <c r="V48" s="557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54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3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400</v>
      </c>
      <c r="Y52" s="542">
        <f t="shared" si="0"/>
        <v>410.40000000000003</v>
      </c>
      <c r="Z52" s="36">
        <f>IFERROR(IF(Y52=0,"",ROUNDUP(Y52/H52,0)*0.01898),"")</f>
        <v>0.72123999999999999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415.18518518518516</v>
      </c>
      <c r="BN52" s="64">
        <f t="shared" si="2"/>
        <v>425.98</v>
      </c>
      <c r="BO52" s="64">
        <f t="shared" si="3"/>
        <v>0.57870370370370372</v>
      </c>
      <c r="BP52" s="64">
        <f t="shared" si="4"/>
        <v>0.59375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25</v>
      </c>
      <c r="Y56" s="542">
        <f t="shared" si="0"/>
        <v>27</v>
      </c>
      <c r="Z56" s="36">
        <f>IFERROR(IF(Y56=0,"",ROUNDUP(Y56/H56,0)*0.00902),"")</f>
        <v>5.4120000000000001E-2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26.055555555555557</v>
      </c>
      <c r="BN56" s="64">
        <f t="shared" si="2"/>
        <v>28.14</v>
      </c>
      <c r="BO56" s="64">
        <f t="shared" si="3"/>
        <v>4.208754208754209E-2</v>
      </c>
      <c r="BP56" s="64">
        <f t="shared" si="4"/>
        <v>4.5454545454545456E-2</v>
      </c>
    </row>
    <row r="57" spans="1:68" x14ac:dyDescent="0.2">
      <c r="A57" s="550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2"/>
      <c r="P57" s="555" t="s">
        <v>71</v>
      </c>
      <c r="Q57" s="556"/>
      <c r="R57" s="556"/>
      <c r="S57" s="556"/>
      <c r="T57" s="556"/>
      <c r="U57" s="556"/>
      <c r="V57" s="557"/>
      <c r="W57" s="37" t="s">
        <v>72</v>
      </c>
      <c r="X57" s="543">
        <f>IFERROR(X51/H51,"0")+IFERROR(X52/H52,"0")+IFERROR(X53/H53,"0")+IFERROR(X54/H54,"0")+IFERROR(X55/H55,"0")+IFERROR(X56/H56,"0")</f>
        <v>42.592592592592595</v>
      </c>
      <c r="Y57" s="543">
        <f>IFERROR(Y51/H51,"0")+IFERROR(Y52/H52,"0")+IFERROR(Y53/H53,"0")+IFERROR(Y54/H54,"0")+IFERROR(Y55/H55,"0")+IFERROR(Y56/H56,"0")</f>
        <v>44</v>
      </c>
      <c r="Z57" s="543">
        <f>IFERROR(IF(Z51="",0,Z51),"0")+IFERROR(IF(Z52="",0,Z52),"0")+IFERROR(IF(Z53="",0,Z53),"0")+IFERROR(IF(Z54="",0,Z54),"0")+IFERROR(IF(Z55="",0,Z55),"0")+IFERROR(IF(Z56="",0,Z56),"0")</f>
        <v>0.77536000000000005</v>
      </c>
      <c r="AA57" s="544"/>
      <c r="AB57" s="544"/>
      <c r="AC57" s="544"/>
    </row>
    <row r="58" spans="1:68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2"/>
      <c r="P58" s="555" t="s">
        <v>71</v>
      </c>
      <c r="Q58" s="556"/>
      <c r="R58" s="556"/>
      <c r="S58" s="556"/>
      <c r="T58" s="556"/>
      <c r="U58" s="556"/>
      <c r="V58" s="557"/>
      <c r="W58" s="37" t="s">
        <v>69</v>
      </c>
      <c r="X58" s="543">
        <f>IFERROR(SUM(X51:X56),"0")</f>
        <v>425</v>
      </c>
      <c r="Y58" s="543">
        <f>IFERROR(SUM(Y51:Y56),"0")</f>
        <v>437.40000000000003</v>
      </c>
      <c r="Z58" s="37"/>
      <c r="AA58" s="544"/>
      <c r="AB58" s="544"/>
      <c r="AC58" s="544"/>
    </row>
    <row r="59" spans="1:68" ht="14.25" hidden="1" customHeight="1" x14ac:dyDescent="0.25">
      <c r="A59" s="553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0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2"/>
      <c r="P63" s="555" t="s">
        <v>71</v>
      </c>
      <c r="Q63" s="556"/>
      <c r="R63" s="556"/>
      <c r="S63" s="556"/>
      <c r="T63" s="556"/>
      <c r="U63" s="556"/>
      <c r="V63" s="557"/>
      <c r="W63" s="37" t="s">
        <v>72</v>
      </c>
      <c r="X63" s="543">
        <f>IFERROR(X60/H60,"0")+IFERROR(X61/H61,"0")+IFERROR(X62/H62,"0")</f>
        <v>9.2592592592592595</v>
      </c>
      <c r="Y63" s="543">
        <f>IFERROR(Y60/H60,"0")+IFERROR(Y61/H61,"0")+IFERROR(Y62/H62,"0")</f>
        <v>10</v>
      </c>
      <c r="Z63" s="543">
        <f>IFERROR(IF(Z60="",0,Z60),"0")+IFERROR(IF(Z61="",0,Z61),"0")+IFERROR(IF(Z62="",0,Z62),"0")</f>
        <v>0.1898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2"/>
      <c r="P64" s="555" t="s">
        <v>71</v>
      </c>
      <c r="Q64" s="556"/>
      <c r="R64" s="556"/>
      <c r="S64" s="556"/>
      <c r="T64" s="556"/>
      <c r="U64" s="556"/>
      <c r="V64" s="557"/>
      <c r="W64" s="37" t="s">
        <v>69</v>
      </c>
      <c r="X64" s="543">
        <f>IFERROR(SUM(X60:X62),"0")</f>
        <v>100</v>
      </c>
      <c r="Y64" s="543">
        <f>IFERROR(SUM(Y60:Y62),"0")</f>
        <v>108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0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2"/>
      <c r="P69" s="555" t="s">
        <v>71</v>
      </c>
      <c r="Q69" s="556"/>
      <c r="R69" s="556"/>
      <c r="S69" s="556"/>
      <c r="T69" s="556"/>
      <c r="U69" s="556"/>
      <c r="V69" s="557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2"/>
      <c r="P70" s="555" t="s">
        <v>71</v>
      </c>
      <c r="Q70" s="556"/>
      <c r="R70" s="556"/>
      <c r="S70" s="556"/>
      <c r="T70" s="556"/>
      <c r="U70" s="556"/>
      <c r="V70" s="557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60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0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2"/>
      <c r="P76" s="555" t="s">
        <v>71</v>
      </c>
      <c r="Q76" s="556"/>
      <c r="R76" s="556"/>
      <c r="S76" s="556"/>
      <c r="T76" s="556"/>
      <c r="U76" s="556"/>
      <c r="V76" s="557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2"/>
      <c r="P77" s="555" t="s">
        <v>71</v>
      </c>
      <c r="Q77" s="556"/>
      <c r="R77" s="556"/>
      <c r="S77" s="556"/>
      <c r="T77" s="556"/>
      <c r="U77" s="556"/>
      <c r="V77" s="557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6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0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2"/>
      <c r="P81" s="555" t="s">
        <v>71</v>
      </c>
      <c r="Q81" s="556"/>
      <c r="R81" s="556"/>
      <c r="S81" s="556"/>
      <c r="T81" s="556"/>
      <c r="U81" s="556"/>
      <c r="V81" s="557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2"/>
      <c r="P82" s="555" t="s">
        <v>71</v>
      </c>
      <c r="Q82" s="556"/>
      <c r="R82" s="556"/>
      <c r="S82" s="556"/>
      <c r="T82" s="556"/>
      <c r="U82" s="556"/>
      <c r="V82" s="557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54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3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2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600</v>
      </c>
      <c r="Y85" s="542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0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2"/>
      <c r="P88" s="555" t="s">
        <v>71</v>
      </c>
      <c r="Q88" s="556"/>
      <c r="R88" s="556"/>
      <c r="S88" s="556"/>
      <c r="T88" s="556"/>
      <c r="U88" s="556"/>
      <c r="V88" s="557"/>
      <c r="W88" s="37" t="s">
        <v>72</v>
      </c>
      <c r="X88" s="543">
        <f>IFERROR(X85/H85,"0")+IFERROR(X86/H86,"0")+IFERROR(X87/H87,"0")</f>
        <v>55.55555555555555</v>
      </c>
      <c r="Y88" s="543">
        <f>IFERROR(Y85/H85,"0")+IFERROR(Y86/H86,"0")+IFERROR(Y87/H87,"0")</f>
        <v>56</v>
      </c>
      <c r="Z88" s="543">
        <f>IFERROR(IF(Z85="",0,Z85),"0")+IFERROR(IF(Z86="",0,Z86),"0")+IFERROR(IF(Z87="",0,Z87),"0")</f>
        <v>1.06288</v>
      </c>
      <c r="AA88" s="544"/>
      <c r="AB88" s="544"/>
      <c r="AC88" s="544"/>
    </row>
    <row r="89" spans="1:68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2"/>
      <c r="P89" s="555" t="s">
        <v>71</v>
      </c>
      <c r="Q89" s="556"/>
      <c r="R89" s="556"/>
      <c r="S89" s="556"/>
      <c r="T89" s="556"/>
      <c r="U89" s="556"/>
      <c r="V89" s="557"/>
      <c r="W89" s="37" t="s">
        <v>69</v>
      </c>
      <c r="X89" s="543">
        <f>IFERROR(SUM(X85:X87),"0")</f>
        <v>600</v>
      </c>
      <c r="Y89" s="543">
        <f>IFERROR(SUM(Y85:Y87),"0")</f>
        <v>604.80000000000007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315</v>
      </c>
      <c r="Y93" s="542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0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2"/>
      <c r="P95" s="555" t="s">
        <v>71</v>
      </c>
      <c r="Q95" s="556"/>
      <c r="R95" s="556"/>
      <c r="S95" s="556"/>
      <c r="T95" s="556"/>
      <c r="U95" s="556"/>
      <c r="V95" s="557"/>
      <c r="W95" s="37" t="s">
        <v>72</v>
      </c>
      <c r="X95" s="543">
        <f>IFERROR(X91/H91,"0")+IFERROR(X92/H92,"0")+IFERROR(X93/H93,"0")+IFERROR(X94/H94,"0")</f>
        <v>141.35802469135803</v>
      </c>
      <c r="Y95" s="543">
        <f>IFERROR(Y91/H91,"0")+IFERROR(Y92/H92,"0")+IFERROR(Y93/H93,"0")+IFERROR(Y94/H94,"0")</f>
        <v>142</v>
      </c>
      <c r="Z95" s="543">
        <f>IFERROR(IF(Z91="",0,Z91),"0")+IFERROR(IF(Z92="",0,Z92),"0")+IFERROR(IF(Z93="",0,Z93),"0")+IFERROR(IF(Z94="",0,Z94),"0")</f>
        <v>1.23617</v>
      </c>
      <c r="AA95" s="544"/>
      <c r="AB95" s="544"/>
      <c r="AC95" s="544"/>
    </row>
    <row r="96" spans="1:68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2"/>
      <c r="P96" s="555" t="s">
        <v>71</v>
      </c>
      <c r="Q96" s="556"/>
      <c r="R96" s="556"/>
      <c r="S96" s="556"/>
      <c r="T96" s="556"/>
      <c r="U96" s="556"/>
      <c r="V96" s="557"/>
      <c r="W96" s="37" t="s">
        <v>69</v>
      </c>
      <c r="X96" s="543">
        <f>IFERROR(SUM(X91:X94),"0")</f>
        <v>515</v>
      </c>
      <c r="Y96" s="543">
        <f>IFERROR(SUM(Y91:Y94),"0")</f>
        <v>518.40000000000009</v>
      </c>
      <c r="Z96" s="37"/>
      <c r="AA96" s="544"/>
      <c r="AB96" s="544"/>
      <c r="AC96" s="544"/>
    </row>
    <row r="97" spans="1:68" ht="16.5" hidden="1" customHeight="1" x14ac:dyDescent="0.25">
      <c r="A97" s="554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3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59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3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25</v>
      </c>
      <c r="Y101" s="542">
        <f>IFERROR(IF(X101="",0,CEILING((X101/$H101),1)*$H101),"")</f>
        <v>27</v>
      </c>
      <c r="Z101" s="36">
        <f>IFERROR(IF(Y101=0,"",ROUNDUP(Y101/H101,0)*0.00902),"")</f>
        <v>5.4120000000000001E-2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26.055555555555557</v>
      </c>
      <c r="BN101" s="64">
        <f>IFERROR(Y101*I101/H101,"0")</f>
        <v>28.14</v>
      </c>
      <c r="BO101" s="64">
        <f>IFERROR(1/J101*(X101/H101),"0")</f>
        <v>4.208754208754209E-2</v>
      </c>
      <c r="BP101" s="64">
        <f>IFERROR(1/J101*(Y101/H101),"0")</f>
        <v>4.5454545454545456E-2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0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2"/>
      <c r="P103" s="555" t="s">
        <v>71</v>
      </c>
      <c r="Q103" s="556"/>
      <c r="R103" s="556"/>
      <c r="S103" s="556"/>
      <c r="T103" s="556"/>
      <c r="U103" s="556"/>
      <c r="V103" s="557"/>
      <c r="W103" s="37" t="s">
        <v>72</v>
      </c>
      <c r="X103" s="543">
        <f>IFERROR(X99/H99,"0")+IFERROR(X100/H100,"0")+IFERROR(X101/H101,"0")+IFERROR(X102/H102,"0")</f>
        <v>5.5555555555555554</v>
      </c>
      <c r="Y103" s="543">
        <f>IFERROR(Y99/H99,"0")+IFERROR(Y100/H100,"0")+IFERROR(Y101/H101,"0")+IFERROR(Y102/H102,"0")</f>
        <v>6</v>
      </c>
      <c r="Z103" s="543">
        <f>IFERROR(IF(Z99="",0,Z99),"0")+IFERROR(IF(Z100="",0,Z100),"0")+IFERROR(IF(Z101="",0,Z101),"0")+IFERROR(IF(Z102="",0,Z102),"0")</f>
        <v>5.4120000000000001E-2</v>
      </c>
      <c r="AA103" s="544"/>
      <c r="AB103" s="544"/>
      <c r="AC103" s="544"/>
    </row>
    <row r="104" spans="1:68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2"/>
      <c r="P104" s="555" t="s">
        <v>71</v>
      </c>
      <c r="Q104" s="556"/>
      <c r="R104" s="556"/>
      <c r="S104" s="556"/>
      <c r="T104" s="556"/>
      <c r="U104" s="556"/>
      <c r="V104" s="557"/>
      <c r="W104" s="37" t="s">
        <v>69</v>
      </c>
      <c r="X104" s="543">
        <f>IFERROR(SUM(X99:X102),"0")</f>
        <v>25</v>
      </c>
      <c r="Y104" s="543">
        <f>IFERROR(SUM(Y99:Y102),"0")</f>
        <v>27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8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3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0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2"/>
      <c r="P109" s="555" t="s">
        <v>71</v>
      </c>
      <c r="Q109" s="556"/>
      <c r="R109" s="556"/>
      <c r="S109" s="556"/>
      <c r="T109" s="556"/>
      <c r="U109" s="556"/>
      <c r="V109" s="557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2"/>
      <c r="P110" s="555" t="s">
        <v>71</v>
      </c>
      <c r="Q110" s="556"/>
      <c r="R110" s="556"/>
      <c r="S110" s="556"/>
      <c r="T110" s="556"/>
      <c r="U110" s="556"/>
      <c r="V110" s="557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0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2"/>
      <c r="P116" s="555" t="s">
        <v>71</v>
      </c>
      <c r="Q116" s="556"/>
      <c r="R116" s="556"/>
      <c r="S116" s="556"/>
      <c r="T116" s="556"/>
      <c r="U116" s="556"/>
      <c r="V116" s="557"/>
      <c r="W116" s="37" t="s">
        <v>72</v>
      </c>
      <c r="X116" s="543">
        <f>IFERROR(X112/H112,"0")+IFERROR(X113/H113,"0")+IFERROR(X114/H114,"0")+IFERROR(X115/H115,"0")</f>
        <v>191.35802469135803</v>
      </c>
      <c r="Y116" s="543">
        <f>IFERROR(Y112/H112,"0")+IFERROR(Y113/H113,"0")+IFERROR(Y114/H114,"0")+IFERROR(Y115/H115,"0")</f>
        <v>192</v>
      </c>
      <c r="Z116" s="543">
        <f>IFERROR(IF(Z112="",0,Z112),"0")+IFERROR(IF(Z113="",0,Z113),"0")+IFERROR(IF(Z114="",0,Z114),"0")+IFERROR(IF(Z115="",0,Z115),"0")</f>
        <v>1.5616699999999999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2"/>
      <c r="P117" s="555" t="s">
        <v>71</v>
      </c>
      <c r="Q117" s="556"/>
      <c r="R117" s="556"/>
      <c r="S117" s="556"/>
      <c r="T117" s="556"/>
      <c r="U117" s="556"/>
      <c r="V117" s="557"/>
      <c r="W117" s="37" t="s">
        <v>69</v>
      </c>
      <c r="X117" s="543">
        <f>IFERROR(SUM(X112:X115),"0")</f>
        <v>650</v>
      </c>
      <c r="Y117" s="543">
        <f>IFERROR(SUM(Y112:Y115),"0")</f>
        <v>653.40000000000009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4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0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2"/>
      <c r="P120" s="555" t="s">
        <v>71</v>
      </c>
      <c r="Q120" s="556"/>
      <c r="R120" s="556"/>
      <c r="S120" s="556"/>
      <c r="T120" s="556"/>
      <c r="U120" s="556"/>
      <c r="V120" s="557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2"/>
      <c r="P121" s="555" t="s">
        <v>71</v>
      </c>
      <c r="Q121" s="556"/>
      <c r="R121" s="556"/>
      <c r="S121" s="556"/>
      <c r="T121" s="556"/>
      <c r="U121" s="556"/>
      <c r="V121" s="557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54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3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100</v>
      </c>
      <c r="Y124" s="542">
        <f>IFERROR(IF(X124="",0,CEILING((X124/$H124),1)*$H124),"")</f>
        <v>102.4</v>
      </c>
      <c r="Z124" s="36">
        <f>IFERROR(IF(Y124=0,"",ROUNDUP(Y124/H124,0)*0.00651),"")</f>
        <v>0.20832000000000001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105.625</v>
      </c>
      <c r="BN124" s="64">
        <f>IFERROR(Y124*I124/H124,"0")</f>
        <v>108.16</v>
      </c>
      <c r="BO124" s="64">
        <f>IFERROR(1/J124*(X124/H124),"0")</f>
        <v>0.1717032967032967</v>
      </c>
      <c r="BP124" s="64">
        <f>IFERROR(1/J124*(Y124/H124),"0")</f>
        <v>0.17582417582417584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0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2"/>
      <c r="P126" s="555" t="s">
        <v>71</v>
      </c>
      <c r="Q126" s="556"/>
      <c r="R126" s="556"/>
      <c r="S126" s="556"/>
      <c r="T126" s="556"/>
      <c r="U126" s="556"/>
      <c r="V126" s="557"/>
      <c r="W126" s="37" t="s">
        <v>72</v>
      </c>
      <c r="X126" s="543">
        <f>IFERROR(X124/H124,"0")+IFERROR(X125/H125,"0")</f>
        <v>31.25</v>
      </c>
      <c r="Y126" s="543">
        <f>IFERROR(Y124/H124,"0")+IFERROR(Y125/H125,"0")</f>
        <v>32</v>
      </c>
      <c r="Z126" s="543">
        <f>IFERROR(IF(Z124="",0,Z124),"0")+IFERROR(IF(Z125="",0,Z125),"0")</f>
        <v>0.20832000000000001</v>
      </c>
      <c r="AA126" s="544"/>
      <c r="AB126" s="544"/>
      <c r="AC126" s="544"/>
    </row>
    <row r="127" spans="1:68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2"/>
      <c r="P127" s="555" t="s">
        <v>71</v>
      </c>
      <c r="Q127" s="556"/>
      <c r="R127" s="556"/>
      <c r="S127" s="556"/>
      <c r="T127" s="556"/>
      <c r="U127" s="556"/>
      <c r="V127" s="557"/>
      <c r="W127" s="37" t="s">
        <v>69</v>
      </c>
      <c r="X127" s="543">
        <f>IFERROR(SUM(X124:X125),"0")</f>
        <v>100</v>
      </c>
      <c r="Y127" s="543">
        <f>IFERROR(SUM(Y124:Y125),"0")</f>
        <v>102.4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0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2"/>
      <c r="P131" s="555" t="s">
        <v>71</v>
      </c>
      <c r="Q131" s="556"/>
      <c r="R131" s="556"/>
      <c r="S131" s="556"/>
      <c r="T131" s="556"/>
      <c r="U131" s="556"/>
      <c r="V131" s="557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2"/>
      <c r="P132" s="555" t="s">
        <v>71</v>
      </c>
      <c r="Q132" s="556"/>
      <c r="R132" s="556"/>
      <c r="S132" s="556"/>
      <c r="T132" s="556"/>
      <c r="U132" s="556"/>
      <c r="V132" s="557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4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0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2"/>
      <c r="P136" s="555" t="s">
        <v>71</v>
      </c>
      <c r="Q136" s="556"/>
      <c r="R136" s="556"/>
      <c r="S136" s="556"/>
      <c r="T136" s="556"/>
      <c r="U136" s="556"/>
      <c r="V136" s="557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2"/>
      <c r="P137" s="555" t="s">
        <v>71</v>
      </c>
      <c r="Q137" s="556"/>
      <c r="R137" s="556"/>
      <c r="S137" s="556"/>
      <c r="T137" s="556"/>
      <c r="U137" s="556"/>
      <c r="V137" s="557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4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3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1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0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2"/>
      <c r="P143" s="555" t="s">
        <v>71</v>
      </c>
      <c r="Q143" s="556"/>
      <c r="R143" s="556"/>
      <c r="S143" s="556"/>
      <c r="T143" s="556"/>
      <c r="U143" s="556"/>
      <c r="V143" s="557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1"/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2"/>
      <c r="P144" s="555" t="s">
        <v>71</v>
      </c>
      <c r="Q144" s="556"/>
      <c r="R144" s="556"/>
      <c r="S144" s="556"/>
      <c r="T144" s="556"/>
      <c r="U144" s="556"/>
      <c r="V144" s="557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3" t="s">
        <v>64</v>
      </c>
      <c r="B145" s="551"/>
      <c r="C145" s="551"/>
      <c r="D145" s="551"/>
      <c r="E145" s="551"/>
      <c r="F145" s="551"/>
      <c r="G145" s="551"/>
      <c r="H145" s="551"/>
      <c r="I145" s="551"/>
      <c r="J145" s="551"/>
      <c r="K145" s="551"/>
      <c r="L145" s="551"/>
      <c r="M145" s="551"/>
      <c r="N145" s="551"/>
      <c r="O145" s="551"/>
      <c r="P145" s="551"/>
      <c r="Q145" s="551"/>
      <c r="R145" s="551"/>
      <c r="S145" s="551"/>
      <c r="T145" s="551"/>
      <c r="U145" s="551"/>
      <c r="V145" s="551"/>
      <c r="W145" s="551"/>
      <c r="X145" s="551"/>
      <c r="Y145" s="551"/>
      <c r="Z145" s="551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0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2"/>
      <c r="P149" s="555" t="s">
        <v>71</v>
      </c>
      <c r="Q149" s="556"/>
      <c r="R149" s="556"/>
      <c r="S149" s="556"/>
      <c r="T149" s="556"/>
      <c r="U149" s="556"/>
      <c r="V149" s="557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1"/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2"/>
      <c r="P150" s="555" t="s">
        <v>71</v>
      </c>
      <c r="Q150" s="556"/>
      <c r="R150" s="556"/>
      <c r="S150" s="556"/>
      <c r="T150" s="556"/>
      <c r="U150" s="556"/>
      <c r="V150" s="557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53" t="s">
        <v>73</v>
      </c>
      <c r="B151" s="551"/>
      <c r="C151" s="551"/>
      <c r="D151" s="551"/>
      <c r="E151" s="551"/>
      <c r="F151" s="551"/>
      <c r="G151" s="551"/>
      <c r="H151" s="551"/>
      <c r="I151" s="551"/>
      <c r="J151" s="551"/>
      <c r="K151" s="551"/>
      <c r="L151" s="551"/>
      <c r="M151" s="551"/>
      <c r="N151" s="551"/>
      <c r="O151" s="551"/>
      <c r="P151" s="551"/>
      <c r="Q151" s="551"/>
      <c r="R151" s="551"/>
      <c r="S151" s="551"/>
      <c r="T151" s="551"/>
      <c r="U151" s="551"/>
      <c r="V151" s="551"/>
      <c r="W151" s="551"/>
      <c r="X151" s="551"/>
      <c r="Y151" s="551"/>
      <c r="Z151" s="551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6" t="s">
        <v>252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0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2"/>
      <c r="P153" s="555" t="s">
        <v>71</v>
      </c>
      <c r="Q153" s="556"/>
      <c r="R153" s="556"/>
      <c r="S153" s="556"/>
      <c r="T153" s="556"/>
      <c r="U153" s="556"/>
      <c r="V153" s="557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1"/>
      <c r="B154" s="551"/>
      <c r="C154" s="551"/>
      <c r="D154" s="551"/>
      <c r="E154" s="551"/>
      <c r="F154" s="551"/>
      <c r="G154" s="551"/>
      <c r="H154" s="551"/>
      <c r="I154" s="551"/>
      <c r="J154" s="551"/>
      <c r="K154" s="551"/>
      <c r="L154" s="551"/>
      <c r="M154" s="551"/>
      <c r="N154" s="551"/>
      <c r="O154" s="552"/>
      <c r="P154" s="555" t="s">
        <v>71</v>
      </c>
      <c r="Q154" s="556"/>
      <c r="R154" s="556"/>
      <c r="S154" s="556"/>
      <c r="T154" s="556"/>
      <c r="U154" s="556"/>
      <c r="V154" s="557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7" t="s">
        <v>255</v>
      </c>
      <c r="B155" s="638"/>
      <c r="C155" s="638"/>
      <c r="D155" s="638"/>
      <c r="E155" s="638"/>
      <c r="F155" s="638"/>
      <c r="G155" s="638"/>
      <c r="H155" s="638"/>
      <c r="I155" s="638"/>
      <c r="J155" s="638"/>
      <c r="K155" s="638"/>
      <c r="L155" s="638"/>
      <c r="M155" s="638"/>
      <c r="N155" s="638"/>
      <c r="O155" s="638"/>
      <c r="P155" s="638"/>
      <c r="Q155" s="638"/>
      <c r="R155" s="638"/>
      <c r="S155" s="638"/>
      <c r="T155" s="638"/>
      <c r="U155" s="638"/>
      <c r="V155" s="638"/>
      <c r="W155" s="638"/>
      <c r="X155" s="638"/>
      <c r="Y155" s="638"/>
      <c r="Z155" s="638"/>
      <c r="AA155" s="48"/>
      <c r="AB155" s="48"/>
      <c r="AC155" s="48"/>
    </row>
    <row r="156" spans="1:68" ht="16.5" hidden="1" customHeight="1" x14ac:dyDescent="0.25">
      <c r="A156" s="554" t="s">
        <v>256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6"/>
      <c r="AB156" s="536"/>
      <c r="AC156" s="536"/>
    </row>
    <row r="157" spans="1:68" ht="14.25" hidden="1" customHeight="1" x14ac:dyDescent="0.25">
      <c r="A157" s="553" t="s">
        <v>136</v>
      </c>
      <c r="B157" s="551"/>
      <c r="C157" s="551"/>
      <c r="D157" s="551"/>
      <c r="E157" s="551"/>
      <c r="F157" s="551"/>
      <c r="G157" s="551"/>
      <c r="H157" s="551"/>
      <c r="I157" s="551"/>
      <c r="J157" s="551"/>
      <c r="K157" s="551"/>
      <c r="L157" s="551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0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2"/>
      <c r="P159" s="555" t="s">
        <v>71</v>
      </c>
      <c r="Q159" s="556"/>
      <c r="R159" s="556"/>
      <c r="S159" s="556"/>
      <c r="T159" s="556"/>
      <c r="U159" s="556"/>
      <c r="V159" s="557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1"/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2"/>
      <c r="P160" s="555" t="s">
        <v>71</v>
      </c>
      <c r="Q160" s="556"/>
      <c r="R160" s="556"/>
      <c r="S160" s="556"/>
      <c r="T160" s="556"/>
      <c r="U160" s="556"/>
      <c r="V160" s="557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3" t="s">
        <v>64</v>
      </c>
      <c r="B161" s="551"/>
      <c r="C161" s="551"/>
      <c r="D161" s="551"/>
      <c r="E161" s="551"/>
      <c r="F161" s="551"/>
      <c r="G161" s="551"/>
      <c r="H161" s="551"/>
      <c r="I161" s="551"/>
      <c r="J161" s="551"/>
      <c r="K161" s="551"/>
      <c r="L161" s="551"/>
      <c r="M161" s="551"/>
      <c r="N161" s="551"/>
      <c r="O161" s="551"/>
      <c r="P161" s="551"/>
      <c r="Q161" s="551"/>
      <c r="R161" s="551"/>
      <c r="S161" s="551"/>
      <c r="T161" s="551"/>
      <c r="U161" s="551"/>
      <c r="V161" s="551"/>
      <c r="W161" s="551"/>
      <c r="X161" s="551"/>
      <c r="Y161" s="551"/>
      <c r="Z161" s="551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0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2"/>
      <c r="P171" s="555" t="s">
        <v>71</v>
      </c>
      <c r="Q171" s="556"/>
      <c r="R171" s="556"/>
      <c r="S171" s="556"/>
      <c r="T171" s="556"/>
      <c r="U171" s="556"/>
      <c r="V171" s="557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2"/>
      <c r="P172" s="555" t="s">
        <v>71</v>
      </c>
      <c r="Q172" s="556"/>
      <c r="R172" s="556"/>
      <c r="S172" s="556"/>
      <c r="T172" s="556"/>
      <c r="U172" s="556"/>
      <c r="V172" s="557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3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7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0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2"/>
      <c r="P177" s="555" t="s">
        <v>71</v>
      </c>
      <c r="Q177" s="556"/>
      <c r="R177" s="556"/>
      <c r="S177" s="556"/>
      <c r="T177" s="556"/>
      <c r="U177" s="556"/>
      <c r="V177" s="557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2"/>
      <c r="P178" s="555" t="s">
        <v>71</v>
      </c>
      <c r="Q178" s="556"/>
      <c r="R178" s="556"/>
      <c r="S178" s="556"/>
      <c r="T178" s="556"/>
      <c r="U178" s="556"/>
      <c r="V178" s="557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0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2"/>
      <c r="P181" s="555" t="s">
        <v>71</v>
      </c>
      <c r="Q181" s="556"/>
      <c r="R181" s="556"/>
      <c r="S181" s="556"/>
      <c r="T181" s="556"/>
      <c r="U181" s="556"/>
      <c r="V181" s="557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2"/>
      <c r="P182" s="555" t="s">
        <v>71</v>
      </c>
      <c r="Q182" s="556"/>
      <c r="R182" s="556"/>
      <c r="S182" s="556"/>
      <c r="T182" s="556"/>
      <c r="U182" s="556"/>
      <c r="V182" s="557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4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3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0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2"/>
      <c r="P187" s="555" t="s">
        <v>71</v>
      </c>
      <c r="Q187" s="556"/>
      <c r="R187" s="556"/>
      <c r="S187" s="556"/>
      <c r="T187" s="556"/>
      <c r="U187" s="556"/>
      <c r="V187" s="557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2"/>
      <c r="P188" s="555" t="s">
        <v>71</v>
      </c>
      <c r="Q188" s="556"/>
      <c r="R188" s="556"/>
      <c r="S188" s="556"/>
      <c r="T188" s="556"/>
      <c r="U188" s="556"/>
      <c r="V188" s="557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0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2"/>
      <c r="P192" s="555" t="s">
        <v>71</v>
      </c>
      <c r="Q192" s="556"/>
      <c r="R192" s="556"/>
      <c r="S192" s="556"/>
      <c r="T192" s="556"/>
      <c r="U192" s="556"/>
      <c r="V192" s="557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2"/>
      <c r="P193" s="555" t="s">
        <v>71</v>
      </c>
      <c r="Q193" s="556"/>
      <c r="R193" s="556"/>
      <c r="S193" s="556"/>
      <c r="T193" s="556"/>
      <c r="U193" s="556"/>
      <c r="V193" s="557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4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0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2"/>
      <c r="P203" s="555" t="s">
        <v>71</v>
      </c>
      <c r="Q203" s="556"/>
      <c r="R203" s="556"/>
      <c r="S203" s="556"/>
      <c r="T203" s="556"/>
      <c r="U203" s="556"/>
      <c r="V203" s="557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2"/>
      <c r="P204" s="555" t="s">
        <v>71</v>
      </c>
      <c r="Q204" s="556"/>
      <c r="R204" s="556"/>
      <c r="S204" s="556"/>
      <c r="T204" s="556"/>
      <c r="U204" s="556"/>
      <c r="V204" s="557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0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2"/>
      <c r="P215" s="555" t="s">
        <v>71</v>
      </c>
      <c r="Q215" s="556"/>
      <c r="R215" s="556"/>
      <c r="S215" s="556"/>
      <c r="T215" s="556"/>
      <c r="U215" s="556"/>
      <c r="V215" s="557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2"/>
      <c r="P216" s="555" t="s">
        <v>71</v>
      </c>
      <c r="Q216" s="556"/>
      <c r="R216" s="556"/>
      <c r="S216" s="556"/>
      <c r="T216" s="556"/>
      <c r="U216" s="556"/>
      <c r="V216" s="557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5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0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2"/>
      <c r="P220" s="555" t="s">
        <v>71</v>
      </c>
      <c r="Q220" s="556"/>
      <c r="R220" s="556"/>
      <c r="S220" s="556"/>
      <c r="T220" s="556"/>
      <c r="U220" s="556"/>
      <c r="V220" s="557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2"/>
      <c r="P221" s="555" t="s">
        <v>71</v>
      </c>
      <c r="Q221" s="556"/>
      <c r="R221" s="556"/>
      <c r="S221" s="556"/>
      <c r="T221" s="556"/>
      <c r="U221" s="556"/>
      <c r="V221" s="557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4" t="s">
        <v>357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3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89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6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0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2"/>
      <c r="P234" s="555" t="s">
        <v>71</v>
      </c>
      <c r="Q234" s="556"/>
      <c r="R234" s="556"/>
      <c r="S234" s="556"/>
      <c r="T234" s="556"/>
      <c r="U234" s="556"/>
      <c r="V234" s="557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2"/>
      <c r="P235" s="555" t="s">
        <v>71</v>
      </c>
      <c r="Q235" s="556"/>
      <c r="R235" s="556"/>
      <c r="S235" s="556"/>
      <c r="T235" s="556"/>
      <c r="U235" s="556"/>
      <c r="V235" s="557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0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2"/>
      <c r="P238" s="555" t="s">
        <v>71</v>
      </c>
      <c r="Q238" s="556"/>
      <c r="R238" s="556"/>
      <c r="S238" s="556"/>
      <c r="T238" s="556"/>
      <c r="U238" s="556"/>
      <c r="V238" s="557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2"/>
      <c r="P239" s="555" t="s">
        <v>71</v>
      </c>
      <c r="Q239" s="556"/>
      <c r="R239" s="556"/>
      <c r="S239" s="556"/>
      <c r="T239" s="556"/>
      <c r="U239" s="556"/>
      <c r="V239" s="557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383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0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2"/>
      <c r="P242" s="555" t="s">
        <v>71</v>
      </c>
      <c r="Q242" s="556"/>
      <c r="R242" s="556"/>
      <c r="S242" s="556"/>
      <c r="T242" s="556"/>
      <c r="U242" s="556"/>
      <c r="V242" s="557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2"/>
      <c r="P243" s="555" t="s">
        <v>71</v>
      </c>
      <c r="Q243" s="556"/>
      <c r="R243" s="556"/>
      <c r="S243" s="556"/>
      <c r="T243" s="556"/>
      <c r="U243" s="556"/>
      <c r="V243" s="557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387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6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0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2"/>
      <c r="P250" s="555" t="s">
        <v>71</v>
      </c>
      <c r="Q250" s="556"/>
      <c r="R250" s="556"/>
      <c r="S250" s="556"/>
      <c r="T250" s="556"/>
      <c r="U250" s="556"/>
      <c r="V250" s="557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2"/>
      <c r="P251" s="555" t="s">
        <v>71</v>
      </c>
      <c r="Q251" s="556"/>
      <c r="R251" s="556"/>
      <c r="S251" s="556"/>
      <c r="T251" s="556"/>
      <c r="U251" s="556"/>
      <c r="V251" s="557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4" t="s">
        <v>399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3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0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2"/>
      <c r="P259" s="555" t="s">
        <v>71</v>
      </c>
      <c r="Q259" s="556"/>
      <c r="R259" s="556"/>
      <c r="S259" s="556"/>
      <c r="T259" s="556"/>
      <c r="U259" s="556"/>
      <c r="V259" s="557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2"/>
      <c r="P260" s="555" t="s">
        <v>71</v>
      </c>
      <c r="Q260" s="556"/>
      <c r="R260" s="556"/>
      <c r="S260" s="556"/>
      <c r="T260" s="556"/>
      <c r="U260" s="556"/>
      <c r="V260" s="557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54" t="s">
        <v>415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3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5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0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2"/>
      <c r="P267" s="555" t="s">
        <v>71</v>
      </c>
      <c r="Q267" s="556"/>
      <c r="R267" s="556"/>
      <c r="S267" s="556"/>
      <c r="T267" s="556"/>
      <c r="U267" s="556"/>
      <c r="V267" s="557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2"/>
      <c r="P268" s="555" t="s">
        <v>71</v>
      </c>
      <c r="Q268" s="556"/>
      <c r="R268" s="556"/>
      <c r="S268" s="556"/>
      <c r="T268" s="556"/>
      <c r="U268" s="556"/>
      <c r="V268" s="557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4" t="s">
        <v>426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3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5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0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2"/>
      <c r="P274" s="555" t="s">
        <v>71</v>
      </c>
      <c r="Q274" s="556"/>
      <c r="R274" s="556"/>
      <c r="S274" s="556"/>
      <c r="T274" s="556"/>
      <c r="U274" s="556"/>
      <c r="V274" s="557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2"/>
      <c r="P275" s="555" t="s">
        <v>71</v>
      </c>
      <c r="Q275" s="556"/>
      <c r="R275" s="556"/>
      <c r="S275" s="556"/>
      <c r="T275" s="556"/>
      <c r="U275" s="556"/>
      <c r="V275" s="557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54" t="s">
        <v>435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3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0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2"/>
      <c r="P280" s="555" t="s">
        <v>71</v>
      </c>
      <c r="Q280" s="556"/>
      <c r="R280" s="556"/>
      <c r="S280" s="556"/>
      <c r="T280" s="556"/>
      <c r="U280" s="556"/>
      <c r="V280" s="557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2"/>
      <c r="P281" s="555" t="s">
        <v>71</v>
      </c>
      <c r="Q281" s="556"/>
      <c r="R281" s="556"/>
      <c r="S281" s="556"/>
      <c r="T281" s="556"/>
      <c r="U281" s="556"/>
      <c r="V281" s="557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0"/>
      <c r="B284" s="551"/>
      <c r="C284" s="551"/>
      <c r="D284" s="551"/>
      <c r="E284" s="551"/>
      <c r="F284" s="551"/>
      <c r="G284" s="551"/>
      <c r="H284" s="551"/>
      <c r="I284" s="551"/>
      <c r="J284" s="551"/>
      <c r="K284" s="551"/>
      <c r="L284" s="551"/>
      <c r="M284" s="551"/>
      <c r="N284" s="551"/>
      <c r="O284" s="552"/>
      <c r="P284" s="555" t="s">
        <v>71</v>
      </c>
      <c r="Q284" s="556"/>
      <c r="R284" s="556"/>
      <c r="S284" s="556"/>
      <c r="T284" s="556"/>
      <c r="U284" s="556"/>
      <c r="V284" s="557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1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2"/>
      <c r="P285" s="555" t="s">
        <v>71</v>
      </c>
      <c r="Q285" s="556"/>
      <c r="R285" s="556"/>
      <c r="S285" s="556"/>
      <c r="T285" s="556"/>
      <c r="U285" s="556"/>
      <c r="V285" s="557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54" t="s">
        <v>445</v>
      </c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1"/>
      <c r="P286" s="551"/>
      <c r="Q286" s="551"/>
      <c r="R286" s="551"/>
      <c r="S286" s="551"/>
      <c r="T286" s="551"/>
      <c r="U286" s="551"/>
      <c r="V286" s="551"/>
      <c r="W286" s="551"/>
      <c r="X286" s="551"/>
      <c r="Y286" s="551"/>
      <c r="Z286" s="551"/>
      <c r="AA286" s="536"/>
      <c r="AB286" s="536"/>
      <c r="AC286" s="536"/>
    </row>
    <row r="287" spans="1:68" ht="14.25" hidden="1" customHeight="1" x14ac:dyDescent="0.25">
      <c r="A287" s="553" t="s">
        <v>101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79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idden="1" x14ac:dyDescent="0.2">
      <c r="A294" s="550"/>
      <c r="B294" s="551"/>
      <c r="C294" s="551"/>
      <c r="D294" s="551"/>
      <c r="E294" s="551"/>
      <c r="F294" s="551"/>
      <c r="G294" s="551"/>
      <c r="H294" s="551"/>
      <c r="I294" s="551"/>
      <c r="J294" s="551"/>
      <c r="K294" s="551"/>
      <c r="L294" s="551"/>
      <c r="M294" s="551"/>
      <c r="N294" s="551"/>
      <c r="O294" s="552"/>
      <c r="P294" s="555" t="s">
        <v>71</v>
      </c>
      <c r="Q294" s="556"/>
      <c r="R294" s="556"/>
      <c r="S294" s="556"/>
      <c r="T294" s="556"/>
      <c r="U294" s="556"/>
      <c r="V294" s="557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1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2"/>
      <c r="P295" s="555" t="s">
        <v>71</v>
      </c>
      <c r="Q295" s="556"/>
      <c r="R295" s="556"/>
      <c r="S295" s="556"/>
      <c r="T295" s="556"/>
      <c r="U295" s="556"/>
      <c r="V295" s="557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1"/>
      <c r="P296" s="551"/>
      <c r="Q296" s="551"/>
      <c r="R296" s="551"/>
      <c r="S296" s="551"/>
      <c r="T296" s="551"/>
      <c r="U296" s="551"/>
      <c r="V296" s="551"/>
      <c r="W296" s="551"/>
      <c r="X296" s="551"/>
      <c r="Y296" s="551"/>
      <c r="Z296" s="551"/>
      <c r="AA296" s="535"/>
      <c r="AB296" s="535"/>
      <c r="AC296" s="535"/>
    </row>
    <row r="297" spans="1:68" ht="27" hidden="1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50"/>
      <c r="B304" s="551"/>
      <c r="C304" s="551"/>
      <c r="D304" s="551"/>
      <c r="E304" s="551"/>
      <c r="F304" s="551"/>
      <c r="G304" s="551"/>
      <c r="H304" s="551"/>
      <c r="I304" s="551"/>
      <c r="J304" s="551"/>
      <c r="K304" s="551"/>
      <c r="L304" s="551"/>
      <c r="M304" s="551"/>
      <c r="N304" s="551"/>
      <c r="O304" s="552"/>
      <c r="P304" s="555" t="s">
        <v>71</v>
      </c>
      <c r="Q304" s="556"/>
      <c r="R304" s="556"/>
      <c r="S304" s="556"/>
      <c r="T304" s="556"/>
      <c r="U304" s="556"/>
      <c r="V304" s="557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1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2"/>
      <c r="P305" s="555" t="s">
        <v>71</v>
      </c>
      <c r="Q305" s="556"/>
      <c r="R305" s="556"/>
      <c r="S305" s="556"/>
      <c r="T305" s="556"/>
      <c r="U305" s="556"/>
      <c r="V305" s="557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1"/>
      <c r="P306" s="551"/>
      <c r="Q306" s="551"/>
      <c r="R306" s="551"/>
      <c r="S306" s="551"/>
      <c r="T306" s="551"/>
      <c r="U306" s="551"/>
      <c r="V306" s="551"/>
      <c r="W306" s="551"/>
      <c r="X306" s="551"/>
      <c r="Y306" s="551"/>
      <c r="Z306" s="551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150</v>
      </c>
      <c r="Y307" s="542">
        <f>IFERROR(IF(X307="",0,CEILING((X307/$H307),1)*$H307),"")</f>
        <v>156</v>
      </c>
      <c r="Z307" s="36">
        <f>IFERROR(IF(Y307=0,"",ROUNDUP(Y307/H307,0)*0.01898),"")</f>
        <v>0.37959999999999999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159.38461538461539</v>
      </c>
      <c r="BN307" s="64">
        <f>IFERROR(Y307*I307/H307,"0")</f>
        <v>165.76000000000002</v>
      </c>
      <c r="BO307" s="64">
        <f>IFERROR(1/J307*(X307/H307),"0")</f>
        <v>0.30048076923076922</v>
      </c>
      <c r="BP307" s="64">
        <f>IFERROR(1/J307*(Y307/H307),"0")</f>
        <v>0.3125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1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0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2"/>
      <c r="P312" s="555" t="s">
        <v>71</v>
      </c>
      <c r="Q312" s="556"/>
      <c r="R312" s="556"/>
      <c r="S312" s="556"/>
      <c r="T312" s="556"/>
      <c r="U312" s="556"/>
      <c r="V312" s="557"/>
      <c r="W312" s="37" t="s">
        <v>72</v>
      </c>
      <c r="X312" s="543">
        <f>IFERROR(X307/H307,"0")+IFERROR(X308/H308,"0")+IFERROR(X309/H309,"0")+IFERROR(X310/H310,"0")+IFERROR(X311/H311,"0")</f>
        <v>19.23076923076923</v>
      </c>
      <c r="Y312" s="543">
        <f>IFERROR(Y307/H307,"0")+IFERROR(Y308/H308,"0")+IFERROR(Y309/H309,"0")+IFERROR(Y310/H310,"0")+IFERROR(Y311/H311,"0")</f>
        <v>20</v>
      </c>
      <c r="Z312" s="543">
        <f>IFERROR(IF(Z307="",0,Z307),"0")+IFERROR(IF(Z308="",0,Z308),"0")+IFERROR(IF(Z309="",0,Z309),"0")+IFERROR(IF(Z310="",0,Z310),"0")+IFERROR(IF(Z311="",0,Z311),"0")</f>
        <v>0.37959999999999999</v>
      </c>
      <c r="AA312" s="544"/>
      <c r="AB312" s="544"/>
      <c r="AC312" s="544"/>
    </row>
    <row r="313" spans="1:68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2"/>
      <c r="P313" s="555" t="s">
        <v>71</v>
      </c>
      <c r="Q313" s="556"/>
      <c r="R313" s="556"/>
      <c r="S313" s="556"/>
      <c r="T313" s="556"/>
      <c r="U313" s="556"/>
      <c r="V313" s="557"/>
      <c r="W313" s="37" t="s">
        <v>69</v>
      </c>
      <c r="X313" s="543">
        <f>IFERROR(SUM(X307:X311),"0")</f>
        <v>150</v>
      </c>
      <c r="Y313" s="543">
        <f>IFERROR(SUM(Y307:Y311),"0")</f>
        <v>156</v>
      </c>
      <c r="Z313" s="37"/>
      <c r="AA313" s="544"/>
      <c r="AB313" s="544"/>
      <c r="AC313" s="544"/>
    </row>
    <row r="314" spans="1:68" ht="14.25" hidden="1" customHeight="1" x14ac:dyDescent="0.25">
      <c r="A314" s="553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200</v>
      </c>
      <c r="Y316" s="542">
        <f>IFERROR(IF(X316="",0,CEILING((X316/$H316),1)*$H316),"")</f>
        <v>202.79999999999998</v>
      </c>
      <c r="Z316" s="36">
        <f>IFERROR(IF(Y316=0,"",ROUNDUP(Y316/H316,0)*0.01898),"")</f>
        <v>0.49348000000000003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212.66666666666669</v>
      </c>
      <c r="BN316" s="64">
        <f>IFERROR(Y316*I316/H316,"0")</f>
        <v>215.64399999999998</v>
      </c>
      <c r="BO316" s="64">
        <f>IFERROR(1/J316*(X316/H316),"0")</f>
        <v>0.40064102564102566</v>
      </c>
      <c r="BP316" s="64">
        <f>IFERROR(1/J316*(Y316/H316),"0")</f>
        <v>0.40625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0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2"/>
      <c r="P318" s="555" t="s">
        <v>71</v>
      </c>
      <c r="Q318" s="556"/>
      <c r="R318" s="556"/>
      <c r="S318" s="556"/>
      <c r="T318" s="556"/>
      <c r="U318" s="556"/>
      <c r="V318" s="557"/>
      <c r="W318" s="37" t="s">
        <v>72</v>
      </c>
      <c r="X318" s="543">
        <f>IFERROR(X315/H315,"0")+IFERROR(X316/H316,"0")+IFERROR(X317/H317,"0")</f>
        <v>25.641025641025642</v>
      </c>
      <c r="Y318" s="543">
        <f>IFERROR(Y315/H315,"0")+IFERROR(Y316/H316,"0")+IFERROR(Y317/H317,"0")</f>
        <v>26</v>
      </c>
      <c r="Z318" s="543">
        <f>IFERROR(IF(Z315="",0,Z315),"0")+IFERROR(IF(Z316="",0,Z316),"0")+IFERROR(IF(Z317="",0,Z317),"0")</f>
        <v>0.49348000000000003</v>
      </c>
      <c r="AA318" s="544"/>
      <c r="AB318" s="544"/>
      <c r="AC318" s="544"/>
    </row>
    <row r="319" spans="1:68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2"/>
      <c r="P319" s="555" t="s">
        <v>71</v>
      </c>
      <c r="Q319" s="556"/>
      <c r="R319" s="556"/>
      <c r="S319" s="556"/>
      <c r="T319" s="556"/>
      <c r="U319" s="556"/>
      <c r="V319" s="557"/>
      <c r="W319" s="37" t="s">
        <v>69</v>
      </c>
      <c r="X319" s="543">
        <f>IFERROR(SUM(X315:X317),"0")</f>
        <v>200</v>
      </c>
      <c r="Y319" s="543">
        <f>IFERROR(SUM(Y315:Y317),"0")</f>
        <v>202.79999999999998</v>
      </c>
      <c r="Z319" s="37"/>
      <c r="AA319" s="544"/>
      <c r="AB319" s="544"/>
      <c r="AC319" s="544"/>
    </row>
    <row r="320" spans="1:68" ht="14.25" hidden="1" customHeight="1" x14ac:dyDescent="0.25">
      <c r="A320" s="553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8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2" t="s">
        <v>511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0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2"/>
      <c r="P325" s="555" t="s">
        <v>71</v>
      </c>
      <c r="Q325" s="556"/>
      <c r="R325" s="556"/>
      <c r="S325" s="556"/>
      <c r="T325" s="556"/>
      <c r="U325" s="556"/>
      <c r="V325" s="557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2"/>
      <c r="P326" s="555" t="s">
        <v>71</v>
      </c>
      <c r="Q326" s="556"/>
      <c r="R326" s="556"/>
      <c r="S326" s="556"/>
      <c r="T326" s="556"/>
      <c r="U326" s="556"/>
      <c r="V326" s="557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3" t="s">
        <v>517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0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2"/>
      <c r="P331" s="555" t="s">
        <v>71</v>
      </c>
      <c r="Q331" s="556"/>
      <c r="R331" s="556"/>
      <c r="S331" s="556"/>
      <c r="T331" s="556"/>
      <c r="U331" s="556"/>
      <c r="V331" s="557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2"/>
      <c r="P332" s="555" t="s">
        <v>71</v>
      </c>
      <c r="Q332" s="556"/>
      <c r="R332" s="556"/>
      <c r="S332" s="556"/>
      <c r="T332" s="556"/>
      <c r="U332" s="556"/>
      <c r="V332" s="557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54" t="s">
        <v>526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3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5"/>
      <c r="AB334" s="535"/>
      <c r="AC334" s="535"/>
    </row>
    <row r="335" spans="1:68" ht="27" hidden="1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252</v>
      </c>
      <c r="Y336" s="542">
        <f>IFERROR(IF(X336="",0,CEILING((X336/$H336),1)*$H336),"")</f>
        <v>252</v>
      </c>
      <c r="Z336" s="36">
        <f>IFERROR(IF(Y336=0,"",ROUNDUP(Y336/H336,0)*0.00651),"")</f>
        <v>0.78120000000000001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282.23999999999995</v>
      </c>
      <c r="BN336" s="64">
        <f>IFERROR(Y336*I336/H336,"0")</f>
        <v>282.23999999999995</v>
      </c>
      <c r="BO336" s="64">
        <f>IFERROR(1/J336*(X336/H336),"0")</f>
        <v>0.65934065934065944</v>
      </c>
      <c r="BP336" s="64">
        <f>IFERROR(1/J336*(Y336/H336),"0")</f>
        <v>0.65934065934065944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55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84</v>
      </c>
      <c r="Y337" s="542">
        <f>IFERROR(IF(X337="",0,CEILING((X337/$H337),1)*$H337),"")</f>
        <v>84</v>
      </c>
      <c r="Z337" s="36">
        <f>IFERROR(IF(Y337=0,"",ROUNDUP(Y337/H337,0)*0.00651),"")</f>
        <v>0.26040000000000002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93.6</v>
      </c>
      <c r="BN337" s="64">
        <f>IFERROR(Y337*I337/H337,"0")</f>
        <v>93.6</v>
      </c>
      <c r="BO337" s="64">
        <f>IFERROR(1/J337*(X337/H337),"0")</f>
        <v>0.2197802197802198</v>
      </c>
      <c r="BP337" s="64">
        <f>IFERROR(1/J337*(Y337/H337),"0")</f>
        <v>0.2197802197802198</v>
      </c>
    </row>
    <row r="338" spans="1:68" x14ac:dyDescent="0.2">
      <c r="A338" s="550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2"/>
      <c r="P338" s="555" t="s">
        <v>71</v>
      </c>
      <c r="Q338" s="556"/>
      <c r="R338" s="556"/>
      <c r="S338" s="556"/>
      <c r="T338" s="556"/>
      <c r="U338" s="556"/>
      <c r="V338" s="557"/>
      <c r="W338" s="37" t="s">
        <v>72</v>
      </c>
      <c r="X338" s="543">
        <f>IFERROR(X335/H335,"0")+IFERROR(X336/H336,"0")+IFERROR(X337/H337,"0")</f>
        <v>160</v>
      </c>
      <c r="Y338" s="543">
        <f>IFERROR(Y335/H335,"0")+IFERROR(Y336/H336,"0")+IFERROR(Y337/H337,"0")</f>
        <v>160</v>
      </c>
      <c r="Z338" s="543">
        <f>IFERROR(IF(Z335="",0,Z335),"0")+IFERROR(IF(Z336="",0,Z336),"0")+IFERROR(IF(Z337="",0,Z337),"0")</f>
        <v>1.0416000000000001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2"/>
      <c r="P339" s="555" t="s">
        <v>71</v>
      </c>
      <c r="Q339" s="556"/>
      <c r="R339" s="556"/>
      <c r="S339" s="556"/>
      <c r="T339" s="556"/>
      <c r="U339" s="556"/>
      <c r="V339" s="557"/>
      <c r="W339" s="37" t="s">
        <v>69</v>
      </c>
      <c r="X339" s="543">
        <f>IFERROR(SUM(X335:X337),"0")</f>
        <v>336</v>
      </c>
      <c r="Y339" s="543">
        <f>IFERROR(SUM(Y335:Y337),"0")</f>
        <v>336</v>
      </c>
      <c r="Z339" s="37"/>
      <c r="AA339" s="544"/>
      <c r="AB339" s="544"/>
      <c r="AC339" s="544"/>
    </row>
    <row r="340" spans="1:68" ht="27.75" hidden="1" customHeight="1" x14ac:dyDescent="0.2">
      <c r="A340" s="637" t="s">
        <v>536</v>
      </c>
      <c r="B340" s="638"/>
      <c r="C340" s="638"/>
      <c r="D340" s="638"/>
      <c r="E340" s="638"/>
      <c r="F340" s="638"/>
      <c r="G340" s="638"/>
      <c r="H340" s="638"/>
      <c r="I340" s="638"/>
      <c r="J340" s="638"/>
      <c r="K340" s="638"/>
      <c r="L340" s="638"/>
      <c r="M340" s="638"/>
      <c r="N340" s="638"/>
      <c r="O340" s="638"/>
      <c r="P340" s="638"/>
      <c r="Q340" s="638"/>
      <c r="R340" s="638"/>
      <c r="S340" s="638"/>
      <c r="T340" s="638"/>
      <c r="U340" s="638"/>
      <c r="V340" s="638"/>
      <c r="W340" s="638"/>
      <c r="X340" s="638"/>
      <c r="Y340" s="638"/>
      <c r="Z340" s="638"/>
      <c r="AA340" s="48"/>
      <c r="AB340" s="48"/>
      <c r="AC340" s="48"/>
    </row>
    <row r="341" spans="1:68" ht="16.5" hidden="1" customHeight="1" x14ac:dyDescent="0.25">
      <c r="A341" s="554" t="s">
        <v>537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3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2500</v>
      </c>
      <c r="Y343" s="542">
        <f t="shared" ref="Y343:Y349" si="36">IFERROR(IF(X343="",0,CEILING((X343/$H343),1)*$H343),"")</f>
        <v>2505</v>
      </c>
      <c r="Z343" s="36">
        <f>IFERROR(IF(Y343=0,"",ROUNDUP(Y343/H343,0)*0.02175),"")</f>
        <v>3.6322499999999995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2578.3333333333335</v>
      </c>
      <c r="BN343" s="64">
        <f t="shared" ref="BN343:BN349" si="38">IFERROR(Y343*I343/H343,"0")</f>
        <v>2583.4899999999998</v>
      </c>
      <c r="BO343" s="64">
        <f t="shared" ref="BO343:BO349" si="39">IFERROR(1/J343*(X343/H343),"0")</f>
        <v>3.4722222222222219</v>
      </c>
      <c r="BP343" s="64">
        <f t="shared" ref="BP343:BP349" si="40">IFERROR(1/J343*(Y343/H343),"0")</f>
        <v>3.4791666666666665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300</v>
      </c>
      <c r="Y344" s="542">
        <f t="shared" si="36"/>
        <v>300</v>
      </c>
      <c r="Z344" s="36">
        <f>IFERROR(IF(Y344=0,"",ROUNDUP(Y344/H344,0)*0.02175),"")</f>
        <v>0.43499999999999994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309.39999999999998</v>
      </c>
      <c r="BN344" s="64">
        <f t="shared" si="38"/>
        <v>309.39999999999998</v>
      </c>
      <c r="BO344" s="64">
        <f t="shared" si="39"/>
        <v>0.41666666666666663</v>
      </c>
      <c r="BP344" s="64">
        <f t="shared" si="40"/>
        <v>0.41666666666666663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500</v>
      </c>
      <c r="Y345" s="542">
        <f t="shared" si="36"/>
        <v>510</v>
      </c>
      <c r="Z345" s="36">
        <f>IFERROR(IF(Y345=0,"",ROUNDUP(Y345/H345,0)*0.02175),"")</f>
        <v>0.73949999999999994</v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515.66666666666663</v>
      </c>
      <c r="BN345" s="64">
        <f t="shared" si="38"/>
        <v>525.98</v>
      </c>
      <c r="BO345" s="64">
        <f t="shared" si="39"/>
        <v>0.69444444444444442</v>
      </c>
      <c r="BP345" s="64">
        <f t="shared" si="40"/>
        <v>0.70833333333333326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4" t="s">
        <v>549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0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2"/>
      <c r="P350" s="555" t="s">
        <v>71</v>
      </c>
      <c r="Q350" s="556"/>
      <c r="R350" s="556"/>
      <c r="S350" s="556"/>
      <c r="T350" s="556"/>
      <c r="U350" s="556"/>
      <c r="V350" s="557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220</v>
      </c>
      <c r="Y350" s="543">
        <f>IFERROR(Y343/H343,"0")+IFERROR(Y344/H344,"0")+IFERROR(Y345/H345,"0")+IFERROR(Y346/H346,"0")+IFERROR(Y347/H347,"0")+IFERROR(Y348/H348,"0")+IFERROR(Y349/H349,"0")</f>
        <v>221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4.8067499999999992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2"/>
      <c r="P351" s="555" t="s">
        <v>71</v>
      </c>
      <c r="Q351" s="556"/>
      <c r="R351" s="556"/>
      <c r="S351" s="556"/>
      <c r="T351" s="556"/>
      <c r="U351" s="556"/>
      <c r="V351" s="557"/>
      <c r="W351" s="37" t="s">
        <v>69</v>
      </c>
      <c r="X351" s="543">
        <f>IFERROR(SUM(X343:X349),"0")</f>
        <v>3300</v>
      </c>
      <c r="Y351" s="543">
        <f>IFERROR(SUM(Y343:Y349),"0")</f>
        <v>3315</v>
      </c>
      <c r="Z351" s="37"/>
      <c r="AA351" s="544"/>
      <c r="AB351" s="544"/>
      <c r="AC351" s="544"/>
    </row>
    <row r="352" spans="1:68" ht="14.25" hidden="1" customHeight="1" x14ac:dyDescent="0.25">
      <c r="A352" s="553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7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0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2"/>
      <c r="P355" s="555" t="s">
        <v>71</v>
      </c>
      <c r="Q355" s="556"/>
      <c r="R355" s="556"/>
      <c r="S355" s="556"/>
      <c r="T355" s="556"/>
      <c r="U355" s="556"/>
      <c r="V355" s="557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2"/>
      <c r="P356" s="555" t="s">
        <v>71</v>
      </c>
      <c r="Q356" s="556"/>
      <c r="R356" s="556"/>
      <c r="S356" s="556"/>
      <c r="T356" s="556"/>
      <c r="U356" s="556"/>
      <c r="V356" s="557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hidden="1" customHeight="1" x14ac:dyDescent="0.25">
      <c r="A357" s="553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5"/>
      <c r="AB357" s="535"/>
      <c r="AC357" s="535"/>
    </row>
    <row r="358" spans="1:68" ht="27" hidden="1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0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2"/>
      <c r="P360" s="555" t="s">
        <v>71</v>
      </c>
      <c r="Q360" s="556"/>
      <c r="R360" s="556"/>
      <c r="S360" s="556"/>
      <c r="T360" s="556"/>
      <c r="U360" s="556"/>
      <c r="V360" s="557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2"/>
      <c r="P361" s="555" t="s">
        <v>71</v>
      </c>
      <c r="Q361" s="556"/>
      <c r="R361" s="556"/>
      <c r="S361" s="556"/>
      <c r="T361" s="556"/>
      <c r="U361" s="556"/>
      <c r="V361" s="557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3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0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2"/>
      <c r="P364" s="555" t="s">
        <v>71</v>
      </c>
      <c r="Q364" s="556"/>
      <c r="R364" s="556"/>
      <c r="S364" s="556"/>
      <c r="T364" s="556"/>
      <c r="U364" s="556"/>
      <c r="V364" s="557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2"/>
      <c r="P365" s="555" t="s">
        <v>71</v>
      </c>
      <c r="Q365" s="556"/>
      <c r="R365" s="556"/>
      <c r="S365" s="556"/>
      <c r="T365" s="556"/>
      <c r="U365" s="556"/>
      <c r="V365" s="557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4" t="s">
        <v>572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3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0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2"/>
      <c r="P370" s="555" t="s">
        <v>71</v>
      </c>
      <c r="Q370" s="556"/>
      <c r="R370" s="556"/>
      <c r="S370" s="556"/>
      <c r="T370" s="556"/>
      <c r="U370" s="556"/>
      <c r="V370" s="557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2"/>
      <c r="P371" s="555" t="s">
        <v>71</v>
      </c>
      <c r="Q371" s="556"/>
      <c r="R371" s="556"/>
      <c r="S371" s="556"/>
      <c r="T371" s="556"/>
      <c r="U371" s="556"/>
      <c r="V371" s="557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3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0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2"/>
      <c r="P375" s="555" t="s">
        <v>71</v>
      </c>
      <c r="Q375" s="556"/>
      <c r="R375" s="556"/>
      <c r="S375" s="556"/>
      <c r="T375" s="556"/>
      <c r="U375" s="556"/>
      <c r="V375" s="557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2"/>
      <c r="P376" s="555" t="s">
        <v>71</v>
      </c>
      <c r="Q376" s="556"/>
      <c r="R376" s="556"/>
      <c r="S376" s="556"/>
      <c r="T376" s="556"/>
      <c r="U376" s="556"/>
      <c r="V376" s="557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3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3000</v>
      </c>
      <c r="Y378" s="542">
        <f>IFERROR(IF(X378="",0,CEILING((X378/$H378),1)*$H378),"")</f>
        <v>3006</v>
      </c>
      <c r="Z378" s="36">
        <f>IFERROR(IF(Y378=0,"",ROUNDUP(Y378/H378,0)*0.01898),"")</f>
        <v>6.3393199999999998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3164.6666666666665</v>
      </c>
      <c r="BN378" s="64">
        <f>IFERROR(Y378*I378/H378,"0")</f>
        <v>3170.9960000000001</v>
      </c>
      <c r="BO378" s="64">
        <f>IFERROR(1/J378*(X378/H378),"0")</f>
        <v>5.208333333333333</v>
      </c>
      <c r="BP378" s="64">
        <f>IFERROR(1/J378*(Y378/H378),"0")</f>
        <v>5.21875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0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2"/>
      <c r="P380" s="555" t="s">
        <v>71</v>
      </c>
      <c r="Q380" s="556"/>
      <c r="R380" s="556"/>
      <c r="S380" s="556"/>
      <c r="T380" s="556"/>
      <c r="U380" s="556"/>
      <c r="V380" s="557"/>
      <c r="W380" s="37" t="s">
        <v>72</v>
      </c>
      <c r="X380" s="543">
        <f>IFERROR(X378/H378,"0")+IFERROR(X379/H379,"0")</f>
        <v>333.33333333333331</v>
      </c>
      <c r="Y380" s="543">
        <f>IFERROR(Y378/H378,"0")+IFERROR(Y379/H379,"0")</f>
        <v>334</v>
      </c>
      <c r="Z380" s="543">
        <f>IFERROR(IF(Z378="",0,Z378),"0")+IFERROR(IF(Z379="",0,Z379),"0")</f>
        <v>6.3393199999999998</v>
      </c>
      <c r="AA380" s="544"/>
      <c r="AB380" s="544"/>
      <c r="AC380" s="544"/>
    </row>
    <row r="381" spans="1:68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2"/>
      <c r="P381" s="555" t="s">
        <v>71</v>
      </c>
      <c r="Q381" s="556"/>
      <c r="R381" s="556"/>
      <c r="S381" s="556"/>
      <c r="T381" s="556"/>
      <c r="U381" s="556"/>
      <c r="V381" s="557"/>
      <c r="W381" s="37" t="s">
        <v>69</v>
      </c>
      <c r="X381" s="543">
        <f>IFERROR(SUM(X378:X379),"0")</f>
        <v>3000</v>
      </c>
      <c r="Y381" s="543">
        <f>IFERROR(SUM(Y378:Y379),"0")</f>
        <v>3006</v>
      </c>
      <c r="Z381" s="37"/>
      <c r="AA381" s="544"/>
      <c r="AB381" s="544"/>
      <c r="AC381" s="544"/>
    </row>
    <row r="382" spans="1:68" ht="27.75" hidden="1" customHeight="1" x14ac:dyDescent="0.2">
      <c r="A382" s="637" t="s">
        <v>588</v>
      </c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8"/>
      <c r="P382" s="638"/>
      <c r="Q382" s="638"/>
      <c r="R382" s="638"/>
      <c r="S382" s="638"/>
      <c r="T382" s="638"/>
      <c r="U382" s="638"/>
      <c r="V382" s="638"/>
      <c r="W382" s="638"/>
      <c r="X382" s="638"/>
      <c r="Y382" s="638"/>
      <c r="Z382" s="638"/>
      <c r="AA382" s="48"/>
      <c r="AB382" s="48"/>
      <c r="AC382" s="48"/>
    </row>
    <row r="383" spans="1:68" ht="16.5" hidden="1" customHeight="1" x14ac:dyDescent="0.25">
      <c r="A383" s="554" t="s">
        <v>589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3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8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0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2"/>
      <c r="P394" s="555" t="s">
        <v>71</v>
      </c>
      <c r="Q394" s="556"/>
      <c r="R394" s="556"/>
      <c r="S394" s="556"/>
      <c r="T394" s="556"/>
      <c r="U394" s="556"/>
      <c r="V394" s="557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2"/>
      <c r="P395" s="555" t="s">
        <v>71</v>
      </c>
      <c r="Q395" s="556"/>
      <c r="R395" s="556"/>
      <c r="S395" s="556"/>
      <c r="T395" s="556"/>
      <c r="U395" s="556"/>
      <c r="V395" s="557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0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2"/>
      <c r="P399" s="555" t="s">
        <v>71</v>
      </c>
      <c r="Q399" s="556"/>
      <c r="R399" s="556"/>
      <c r="S399" s="556"/>
      <c r="T399" s="556"/>
      <c r="U399" s="556"/>
      <c r="V399" s="557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2"/>
      <c r="P400" s="555" t="s">
        <v>71</v>
      </c>
      <c r="Q400" s="556"/>
      <c r="R400" s="556"/>
      <c r="S400" s="556"/>
      <c r="T400" s="556"/>
      <c r="U400" s="556"/>
      <c r="V400" s="557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54" t="s">
        <v>620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3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0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2"/>
      <c r="P404" s="555" t="s">
        <v>71</v>
      </c>
      <c r="Q404" s="556"/>
      <c r="R404" s="556"/>
      <c r="S404" s="556"/>
      <c r="T404" s="556"/>
      <c r="U404" s="556"/>
      <c r="V404" s="557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2"/>
      <c r="P405" s="555" t="s">
        <v>71</v>
      </c>
      <c r="Q405" s="556"/>
      <c r="R405" s="556"/>
      <c r="S405" s="556"/>
      <c r="T405" s="556"/>
      <c r="U405" s="556"/>
      <c r="V405" s="557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5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0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2"/>
      <c r="P411" s="555" t="s">
        <v>71</v>
      </c>
      <c r="Q411" s="556"/>
      <c r="R411" s="556"/>
      <c r="S411" s="556"/>
      <c r="T411" s="556"/>
      <c r="U411" s="556"/>
      <c r="V411" s="557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2"/>
      <c r="P412" s="555" t="s">
        <v>71</v>
      </c>
      <c r="Q412" s="556"/>
      <c r="R412" s="556"/>
      <c r="S412" s="556"/>
      <c r="T412" s="556"/>
      <c r="U412" s="556"/>
      <c r="V412" s="557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4" t="s">
        <v>635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3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0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2"/>
      <c r="P416" s="555" t="s">
        <v>71</v>
      </c>
      <c r="Q416" s="556"/>
      <c r="R416" s="556"/>
      <c r="S416" s="556"/>
      <c r="T416" s="556"/>
      <c r="U416" s="556"/>
      <c r="V416" s="557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2"/>
      <c r="P417" s="555" t="s">
        <v>71</v>
      </c>
      <c r="Q417" s="556"/>
      <c r="R417" s="556"/>
      <c r="S417" s="556"/>
      <c r="T417" s="556"/>
      <c r="U417" s="556"/>
      <c r="V417" s="557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7" t="s">
        <v>639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48"/>
      <c r="AB418" s="48"/>
      <c r="AC418" s="48"/>
    </row>
    <row r="419" spans="1:68" ht="16.5" hidden="1" customHeight="1" x14ac:dyDescent="0.25">
      <c r="A419" s="554" t="s">
        <v>639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3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350</v>
      </c>
      <c r="Y422" s="542">
        <f t="shared" si="47"/>
        <v>353.76</v>
      </c>
      <c r="Z422" s="36">
        <f t="shared" si="48"/>
        <v>0.80132000000000003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373.20075757575756</v>
      </c>
      <c r="BN422" s="64">
        <f t="shared" si="50"/>
        <v>377.21</v>
      </c>
      <c r="BO422" s="64">
        <f t="shared" si="51"/>
        <v>0.63738344988344986</v>
      </c>
      <c r="BP422" s="64">
        <f t="shared" si="52"/>
        <v>0.64423076923076927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2500</v>
      </c>
      <c r="Y423" s="542">
        <f t="shared" si="47"/>
        <v>2502.7200000000003</v>
      </c>
      <c r="Z423" s="36">
        <f t="shared" si="48"/>
        <v>5.6690399999999999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2665.719696969697</v>
      </c>
      <c r="BN423" s="64">
        <f t="shared" si="50"/>
        <v>2668.6200000000003</v>
      </c>
      <c r="BO423" s="64">
        <f t="shared" si="51"/>
        <v>4.5527389277389272</v>
      </c>
      <c r="BP423" s="64">
        <f t="shared" si="52"/>
        <v>4.5576923076923084</v>
      </c>
    </row>
    <row r="424" spans="1:68" ht="27" hidden="1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0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1000</v>
      </c>
      <c r="Y426" s="542">
        <f t="shared" si="47"/>
        <v>1003.2</v>
      </c>
      <c r="Z426" s="36">
        <f t="shared" si="48"/>
        <v>2.2724000000000002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1066.2878787878788</v>
      </c>
      <c r="BN426" s="64">
        <f t="shared" si="50"/>
        <v>1069.7</v>
      </c>
      <c r="BO426" s="64">
        <f t="shared" si="51"/>
        <v>1.821095571095571</v>
      </c>
      <c r="BP426" s="64">
        <f t="shared" si="52"/>
        <v>1.8269230769230771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5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0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2"/>
      <c r="P432" s="555" t="s">
        <v>71</v>
      </c>
      <c r="Q432" s="556"/>
      <c r="R432" s="556"/>
      <c r="S432" s="556"/>
      <c r="T432" s="556"/>
      <c r="U432" s="556"/>
      <c r="V432" s="557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729.16666666666663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8.7427600000000005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2"/>
      <c r="P433" s="555" t="s">
        <v>71</v>
      </c>
      <c r="Q433" s="556"/>
      <c r="R433" s="556"/>
      <c r="S433" s="556"/>
      <c r="T433" s="556"/>
      <c r="U433" s="556"/>
      <c r="V433" s="557"/>
      <c r="W433" s="37" t="s">
        <v>69</v>
      </c>
      <c r="X433" s="543">
        <f>IFERROR(SUM(X421:X431),"0")</f>
        <v>3850</v>
      </c>
      <c r="Y433" s="543">
        <f>IFERROR(SUM(Y421:Y431),"0")</f>
        <v>3859.6800000000003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0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2"/>
      <c r="P438" s="555" t="s">
        <v>71</v>
      </c>
      <c r="Q438" s="556"/>
      <c r="R438" s="556"/>
      <c r="S438" s="556"/>
      <c r="T438" s="556"/>
      <c r="U438" s="556"/>
      <c r="V438" s="557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2"/>
      <c r="P439" s="555" t="s">
        <v>71</v>
      </c>
      <c r="Q439" s="556"/>
      <c r="R439" s="556"/>
      <c r="S439" s="556"/>
      <c r="T439" s="556"/>
      <c r="U439" s="556"/>
      <c r="V439" s="557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500</v>
      </c>
      <c r="Y441" s="542">
        <f t="shared" ref="Y441:Y446" si="53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533.14393939393938</v>
      </c>
      <c r="BN441" s="64">
        <f t="shared" ref="BN441:BN446" si="55">IFERROR(Y441*I441/H441,"0")</f>
        <v>534.85</v>
      </c>
      <c r="BO441" s="64">
        <f t="shared" ref="BO441:BO446" si="56">IFERROR(1/J441*(X441/H441),"0")</f>
        <v>0.91054778554778548</v>
      </c>
      <c r="BP441" s="64">
        <f t="shared" ref="BP441:BP446" si="57">IFERROR(1/J441*(Y441/H441),"0")</f>
        <v>0.91346153846153855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0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2"/>
      <c r="P447" s="555" t="s">
        <v>71</v>
      </c>
      <c r="Q447" s="556"/>
      <c r="R447" s="556"/>
      <c r="S447" s="556"/>
      <c r="T447" s="556"/>
      <c r="U447" s="556"/>
      <c r="V447" s="557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3.4086000000000003</v>
      </c>
      <c r="AA447" s="544"/>
      <c r="AB447" s="544"/>
      <c r="AC447" s="544"/>
    </row>
    <row r="448" spans="1:68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2"/>
      <c r="P448" s="555" t="s">
        <v>71</v>
      </c>
      <c r="Q448" s="556"/>
      <c r="R448" s="556"/>
      <c r="S448" s="556"/>
      <c r="T448" s="556"/>
      <c r="U448" s="556"/>
      <c r="V448" s="557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9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0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2"/>
      <c r="P453" s="555" t="s">
        <v>71</v>
      </c>
      <c r="Q453" s="556"/>
      <c r="R453" s="556"/>
      <c r="S453" s="556"/>
      <c r="T453" s="556"/>
      <c r="U453" s="556"/>
      <c r="V453" s="557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2"/>
      <c r="P454" s="555" t="s">
        <v>71</v>
      </c>
      <c r="Q454" s="556"/>
      <c r="R454" s="556"/>
      <c r="S454" s="556"/>
      <c r="T454" s="556"/>
      <c r="U454" s="556"/>
      <c r="V454" s="557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7" t="s">
        <v>699</v>
      </c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8"/>
      <c r="P455" s="638"/>
      <c r="Q455" s="638"/>
      <c r="R455" s="638"/>
      <c r="S455" s="638"/>
      <c r="T455" s="638"/>
      <c r="U455" s="638"/>
      <c r="V455" s="638"/>
      <c r="W455" s="638"/>
      <c r="X455" s="638"/>
      <c r="Y455" s="638"/>
      <c r="Z455" s="638"/>
      <c r="AA455" s="48"/>
      <c r="AB455" s="48"/>
      <c r="AC455" s="48"/>
    </row>
    <row r="456" spans="1:68" ht="16.5" hidden="1" customHeight="1" x14ac:dyDescent="0.25">
      <c r="A456" s="554" t="s">
        <v>699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3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59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4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150</v>
      </c>
      <c r="Y460" s="542">
        <f>IFERROR(IF(X460="",0,CEILING((X460/$H460),1)*$H460),"")</f>
        <v>156</v>
      </c>
      <c r="Z460" s="36">
        <f>IFERROR(IF(Y460=0,"",ROUNDUP(Y460/H460,0)*0.01898),"")</f>
        <v>0.24674000000000001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155.125</v>
      </c>
      <c r="BN460" s="64">
        <f>IFERROR(Y460*I460/H460,"0")</f>
        <v>161.33000000000001</v>
      </c>
      <c r="BO460" s="64">
        <f>IFERROR(1/J460*(X460/H460),"0")</f>
        <v>0.1953125</v>
      </c>
      <c r="BP460" s="64">
        <f>IFERROR(1/J460*(Y460/H460),"0")</f>
        <v>0.203125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7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0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2"/>
      <c r="P462" s="555" t="s">
        <v>71</v>
      </c>
      <c r="Q462" s="556"/>
      <c r="R462" s="556"/>
      <c r="S462" s="556"/>
      <c r="T462" s="556"/>
      <c r="U462" s="556"/>
      <c r="V462" s="557"/>
      <c r="W462" s="37" t="s">
        <v>72</v>
      </c>
      <c r="X462" s="543">
        <f>IFERROR(X458/H458,"0")+IFERROR(X459/H459,"0")+IFERROR(X460/H460,"0")+IFERROR(X461/H461,"0")</f>
        <v>12.5</v>
      </c>
      <c r="Y462" s="543">
        <f>IFERROR(Y458/H458,"0")+IFERROR(Y459/H459,"0")+IFERROR(Y460/H460,"0")+IFERROR(Y461/H461,"0")</f>
        <v>13</v>
      </c>
      <c r="Z462" s="543">
        <f>IFERROR(IF(Z458="",0,Z458),"0")+IFERROR(IF(Z459="",0,Z459),"0")+IFERROR(IF(Z460="",0,Z460),"0")+IFERROR(IF(Z461="",0,Z461),"0")</f>
        <v>0.24674000000000001</v>
      </c>
      <c r="AA462" s="544"/>
      <c r="AB462" s="544"/>
      <c r="AC462" s="544"/>
    </row>
    <row r="463" spans="1:68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2"/>
      <c r="P463" s="555" t="s">
        <v>71</v>
      </c>
      <c r="Q463" s="556"/>
      <c r="R463" s="556"/>
      <c r="S463" s="556"/>
      <c r="T463" s="556"/>
      <c r="U463" s="556"/>
      <c r="V463" s="557"/>
      <c r="W463" s="37" t="s">
        <v>69</v>
      </c>
      <c r="X463" s="543">
        <f>IFERROR(SUM(X458:X461),"0")</f>
        <v>150</v>
      </c>
      <c r="Y463" s="543">
        <f>IFERROR(SUM(Y458:Y461),"0")</f>
        <v>156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48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0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2"/>
      <c r="P468" s="555" t="s">
        <v>71</v>
      </c>
      <c r="Q468" s="556"/>
      <c r="R468" s="556"/>
      <c r="S468" s="556"/>
      <c r="T468" s="556"/>
      <c r="U468" s="556"/>
      <c r="V468" s="557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2"/>
      <c r="P469" s="555" t="s">
        <v>71</v>
      </c>
      <c r="Q469" s="556"/>
      <c r="R469" s="556"/>
      <c r="S469" s="556"/>
      <c r="T469" s="556"/>
      <c r="U469" s="556"/>
      <c r="V469" s="557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5"/>
      <c r="AB470" s="535"/>
      <c r="AC470" s="535"/>
    </row>
    <row r="471" spans="1:68" ht="27" hidden="1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58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0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2"/>
      <c r="P473" s="555" t="s">
        <v>71</v>
      </c>
      <c r="Q473" s="556"/>
      <c r="R473" s="556"/>
      <c r="S473" s="556"/>
      <c r="T473" s="556"/>
      <c r="U473" s="556"/>
      <c r="V473" s="557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2"/>
      <c r="P474" s="555" t="s">
        <v>71</v>
      </c>
      <c r="Q474" s="556"/>
      <c r="R474" s="556"/>
      <c r="S474" s="556"/>
      <c r="T474" s="556"/>
      <c r="U474" s="556"/>
      <c r="V474" s="557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5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450</v>
      </c>
      <c r="Y476" s="542">
        <f>IFERROR(IF(X476="",0,CEILING((X476/$H476),1)*$H476),"")</f>
        <v>450</v>
      </c>
      <c r="Z476" s="36">
        <f>IFERROR(IF(Y476=0,"",ROUNDUP(Y476/H476,0)*0.01898),"")</f>
        <v>0.94900000000000007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474.70000000000005</v>
      </c>
      <c r="BN476" s="64">
        <f>IFERROR(Y476*I476/H476,"0")</f>
        <v>474.70000000000005</v>
      </c>
      <c r="BO476" s="64">
        <f>IFERROR(1/J476*(X476/H476),"0")</f>
        <v>0.78125</v>
      </c>
      <c r="BP476" s="64">
        <f>IFERROR(1/J476*(Y476/H476),"0")</f>
        <v>0.78125</v>
      </c>
    </row>
    <row r="477" spans="1:68" x14ac:dyDescent="0.2">
      <c r="A477" s="550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2"/>
      <c r="P477" s="555" t="s">
        <v>71</v>
      </c>
      <c r="Q477" s="556"/>
      <c r="R477" s="556"/>
      <c r="S477" s="556"/>
      <c r="T477" s="556"/>
      <c r="U477" s="556"/>
      <c r="V477" s="557"/>
      <c r="W477" s="37" t="s">
        <v>72</v>
      </c>
      <c r="X477" s="543">
        <f>IFERROR(X476/H476,"0")</f>
        <v>50</v>
      </c>
      <c r="Y477" s="543">
        <f>IFERROR(Y476/H476,"0")</f>
        <v>50</v>
      </c>
      <c r="Z477" s="543">
        <f>IFERROR(IF(Z476="",0,Z476),"0")</f>
        <v>0.94900000000000007</v>
      </c>
      <c r="AA477" s="544"/>
      <c r="AB477" s="544"/>
      <c r="AC477" s="544"/>
    </row>
    <row r="478" spans="1:68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2"/>
      <c r="P478" s="555" t="s">
        <v>71</v>
      </c>
      <c r="Q478" s="556"/>
      <c r="R478" s="556"/>
      <c r="S478" s="556"/>
      <c r="T478" s="556"/>
      <c r="U478" s="556"/>
      <c r="V478" s="557"/>
      <c r="W478" s="37" t="s">
        <v>69</v>
      </c>
      <c r="X478" s="543">
        <f>IFERROR(SUM(X476:X476),"0")</f>
        <v>450</v>
      </c>
      <c r="Y478" s="543">
        <f>IFERROR(SUM(Y476:Y476),"0")</f>
        <v>450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0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2"/>
      <c r="P482" s="555" t="s">
        <v>71</v>
      </c>
      <c r="Q482" s="556"/>
      <c r="R482" s="556"/>
      <c r="S482" s="556"/>
      <c r="T482" s="556"/>
      <c r="U482" s="556"/>
      <c r="V482" s="557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2"/>
      <c r="P483" s="555" t="s">
        <v>71</v>
      </c>
      <c r="Q483" s="556"/>
      <c r="R483" s="556"/>
      <c r="S483" s="556"/>
      <c r="T483" s="556"/>
      <c r="U483" s="556"/>
      <c r="V483" s="557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4" t="s">
        <v>735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3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0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2"/>
      <c r="P487" s="555" t="s">
        <v>71</v>
      </c>
      <c r="Q487" s="556"/>
      <c r="R487" s="556"/>
      <c r="S487" s="556"/>
      <c r="T487" s="556"/>
      <c r="U487" s="556"/>
      <c r="V487" s="557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2"/>
      <c r="P488" s="555" t="s">
        <v>71</v>
      </c>
      <c r="Q488" s="556"/>
      <c r="R488" s="556"/>
      <c r="S488" s="556"/>
      <c r="T488" s="556"/>
      <c r="U488" s="556"/>
      <c r="V488" s="557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68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07"/>
      <c r="P489" s="634" t="s">
        <v>739</v>
      </c>
      <c r="Q489" s="635"/>
      <c r="R489" s="635"/>
      <c r="S489" s="635"/>
      <c r="T489" s="635"/>
      <c r="U489" s="635"/>
      <c r="V489" s="636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16531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16638.88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07"/>
      <c r="P490" s="634" t="s">
        <v>740</v>
      </c>
      <c r="Q490" s="635"/>
      <c r="R490" s="635"/>
      <c r="S490" s="635"/>
      <c r="T490" s="635"/>
      <c r="U490" s="635"/>
      <c r="V490" s="636"/>
      <c r="W490" s="37" t="s">
        <v>69</v>
      </c>
      <c r="X490" s="543">
        <f>IFERROR(SUM(BM22:BM486),"0")</f>
        <v>17451.572286540621</v>
      </c>
      <c r="Y490" s="543">
        <f>IFERROR(SUM(BN22:BN486),"0")</f>
        <v>17564.516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07"/>
      <c r="P491" s="634" t="s">
        <v>741</v>
      </c>
      <c r="Q491" s="635"/>
      <c r="R491" s="635"/>
      <c r="S491" s="635"/>
      <c r="T491" s="635"/>
      <c r="U491" s="635"/>
      <c r="V491" s="636"/>
      <c r="W491" s="37" t="s">
        <v>742</v>
      </c>
      <c r="X491" s="38">
        <f>ROUNDUP(SUM(BO22:BO486),0)</f>
        <v>29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07"/>
      <c r="P492" s="634" t="s">
        <v>743</v>
      </c>
      <c r="Q492" s="635"/>
      <c r="R492" s="635"/>
      <c r="S492" s="635"/>
      <c r="T492" s="635"/>
      <c r="U492" s="635"/>
      <c r="V492" s="636"/>
      <c r="W492" s="37" t="s">
        <v>69</v>
      </c>
      <c r="X492" s="543">
        <f>GrossWeightTotal+PalletQtyTotal*25</f>
        <v>18176.572286540621</v>
      </c>
      <c r="Y492" s="543">
        <f>GrossWeightTotalR+PalletQtyTotalR*25</f>
        <v>18289.516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07"/>
      <c r="P493" s="634" t="s">
        <v>744</v>
      </c>
      <c r="Q493" s="635"/>
      <c r="R493" s="635"/>
      <c r="S493" s="635"/>
      <c r="T493" s="635"/>
      <c r="U493" s="635"/>
      <c r="V493" s="636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2481.5146119312785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2495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07"/>
      <c r="P494" s="634" t="s">
        <v>745</v>
      </c>
      <c r="Q494" s="635"/>
      <c r="R494" s="635"/>
      <c r="S494" s="635"/>
      <c r="T494" s="635"/>
      <c r="U494" s="635"/>
      <c r="V494" s="636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33.783009999999997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0" t="s">
        <v>99</v>
      </c>
      <c r="D496" s="657"/>
      <c r="E496" s="657"/>
      <c r="F496" s="657"/>
      <c r="G496" s="657"/>
      <c r="H496" s="622"/>
      <c r="I496" s="590" t="s">
        <v>255</v>
      </c>
      <c r="J496" s="657"/>
      <c r="K496" s="657"/>
      <c r="L496" s="657"/>
      <c r="M496" s="657"/>
      <c r="N496" s="657"/>
      <c r="O496" s="657"/>
      <c r="P496" s="657"/>
      <c r="Q496" s="657"/>
      <c r="R496" s="622"/>
      <c r="S496" s="590" t="s">
        <v>536</v>
      </c>
      <c r="T496" s="622"/>
      <c r="U496" s="590" t="s">
        <v>588</v>
      </c>
      <c r="V496" s="657"/>
      <c r="W496" s="622"/>
      <c r="X496" s="533" t="s">
        <v>639</v>
      </c>
      <c r="Y496" s="590" t="s">
        <v>699</v>
      </c>
      <c r="Z496" s="622"/>
      <c r="AB496" s="52"/>
      <c r="AC496" s="52"/>
      <c r="AF496" s="534"/>
    </row>
    <row r="497" spans="1:32" ht="14.25" customHeight="1" thickTop="1" x14ac:dyDescent="0.2">
      <c r="A497" s="851" t="s">
        <v>748</v>
      </c>
      <c r="B497" s="590" t="s">
        <v>63</v>
      </c>
      <c r="C497" s="590" t="s">
        <v>100</v>
      </c>
      <c r="D497" s="590" t="s">
        <v>117</v>
      </c>
      <c r="E497" s="590" t="s">
        <v>171</v>
      </c>
      <c r="F497" s="590" t="s">
        <v>190</v>
      </c>
      <c r="G497" s="590" t="s">
        <v>220</v>
      </c>
      <c r="H497" s="590" t="s">
        <v>99</v>
      </c>
      <c r="I497" s="590" t="s">
        <v>256</v>
      </c>
      <c r="J497" s="590" t="s">
        <v>297</v>
      </c>
      <c r="K497" s="590" t="s">
        <v>357</v>
      </c>
      <c r="L497" s="590" t="s">
        <v>399</v>
      </c>
      <c r="M497" s="590" t="s">
        <v>415</v>
      </c>
      <c r="N497" s="534"/>
      <c r="O497" s="590" t="s">
        <v>426</v>
      </c>
      <c r="P497" s="590" t="s">
        <v>435</v>
      </c>
      <c r="Q497" s="590" t="s">
        <v>445</v>
      </c>
      <c r="R497" s="590" t="s">
        <v>526</v>
      </c>
      <c r="S497" s="590" t="s">
        <v>537</v>
      </c>
      <c r="T497" s="590" t="s">
        <v>572</v>
      </c>
      <c r="U497" s="590" t="s">
        <v>589</v>
      </c>
      <c r="V497" s="590" t="s">
        <v>620</v>
      </c>
      <c r="W497" s="590" t="s">
        <v>635</v>
      </c>
      <c r="X497" s="590" t="s">
        <v>639</v>
      </c>
      <c r="Y497" s="590" t="s">
        <v>699</v>
      </c>
      <c r="Z497" s="590" t="s">
        <v>735</v>
      </c>
      <c r="AB497" s="52"/>
      <c r="AC497" s="52"/>
      <c r="AF497" s="534"/>
    </row>
    <row r="498" spans="1:32" ht="13.5" customHeight="1" thickBot="1" x14ac:dyDescent="0.25">
      <c r="A498" s="852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4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545.40000000000009</v>
      </c>
      <c r="E499" s="46">
        <f>IFERROR(Y85*1,"0")+IFERROR(Y86*1,"0")+IFERROR(Y87*1,"0")+IFERROR(Y91*1,"0")+IFERROR(Y92*1,"0")+IFERROR(Y93*1,"0")+IFERROR(Y94*1,"0")</f>
        <v>1123.2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680.40000000000009</v>
      </c>
      <c r="G499" s="46">
        <f>IFERROR(Y124*1,"0")+IFERROR(Y125*1,"0")+IFERROR(Y129*1,"0")+IFERROR(Y130*1,"0")+IFERROR(Y134*1,"0")+IFERROR(Y135*1,"0")</f>
        <v>102.4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358.79999999999995</v>
      </c>
      <c r="R499" s="46">
        <f>IFERROR(Y335*1,"0")+IFERROR(Y336*1,"0")+IFERROR(Y337*1,"0")</f>
        <v>336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3825</v>
      </c>
      <c r="T499" s="46">
        <f>IFERROR(Y368*1,"0")+IFERROR(Y369*1,"0")+IFERROR(Y373*1,"0")+IFERROR(Y374*1,"0")+IFERROR(Y378*1,"0")+IFERROR(Y379*1,"0")</f>
        <v>3006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5866.0800000000017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606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0,00"/>
        <filter val="12,50"/>
        <filter val="141,36"/>
        <filter val="150,00"/>
        <filter val="16 531,00"/>
        <filter val="160,00"/>
        <filter val="17 451,57"/>
        <filter val="18 176,57"/>
        <filter val="19,23"/>
        <filter val="191,36"/>
        <filter val="2 481,51"/>
        <filter val="2 500,00"/>
        <filter val="200,00"/>
        <filter val="220,00"/>
        <filter val="25,00"/>
        <filter val="25,64"/>
        <filter val="252,00"/>
        <filter val="284,09"/>
        <filter val="29"/>
        <filter val="3 000,00"/>
        <filter val="3 300,00"/>
        <filter val="3 850,00"/>
        <filter val="300,00"/>
        <filter val="31,25"/>
        <filter val="315,00"/>
        <filter val="33,33"/>
        <filter val="333,33"/>
        <filter val="336,00"/>
        <filter val="350,00"/>
        <filter val="400,00"/>
        <filter val="42,59"/>
        <filter val="425,00"/>
        <filter val="450,00"/>
        <filter val="5,56"/>
        <filter val="50,00"/>
        <filter val="500,00"/>
        <filter val="515,00"/>
        <filter val="55,56"/>
        <filter val="600,00"/>
        <filter val="650,00"/>
        <filter val="729,17"/>
        <filter val="80,00"/>
        <filter val="84,00"/>
        <filter val="9,26"/>
        <filter val="94,70"/>
      </filters>
    </filterColumn>
    <filterColumn colId="29" showButton="0"/>
    <filterColumn colId="30" showButton="0"/>
  </autoFilter>
  <mergeCells count="874"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G497:G498"/>
    <mergeCell ref="Q497:Q49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A153:O154"/>
    <mergeCell ref="A133:Z133"/>
    <mergeCell ref="D125:E125"/>
    <mergeCell ref="P446:T446"/>
    <mergeCell ref="D425:E425"/>
    <mergeCell ref="P451:T451"/>
    <mergeCell ref="A470:Z470"/>
    <mergeCell ref="D424:E424"/>
    <mergeCell ref="P324:T324"/>
    <mergeCell ref="A143:O144"/>
    <mergeCell ref="P492:V492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A367:Z367"/>
    <mergeCell ref="A183:Z183"/>
    <mergeCell ref="A88:O89"/>
    <mergeCell ref="D346:E346"/>
    <mergeCell ref="P229:T229"/>
    <mergeCell ref="D328:E328"/>
    <mergeCell ref="P136:V136"/>
    <mergeCell ref="A253:Z253"/>
    <mergeCell ref="A286:Z286"/>
    <mergeCell ref="P193:V193"/>
    <mergeCell ref="D202:E202"/>
    <mergeCell ref="A269:Z26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445:E445"/>
    <mergeCell ref="D224:E224"/>
    <mergeCell ref="P230:T230"/>
    <mergeCell ref="P168:T168"/>
    <mergeCell ref="D211:E211"/>
    <mergeCell ref="D214:E214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382:Z382"/>
    <mergeCell ref="A116:O117"/>
    <mergeCell ref="P428:T428"/>
    <mergeCell ref="D100:E100"/>
    <mergeCell ref="P113:T113"/>
    <mergeCell ref="A173:Z173"/>
    <mergeCell ref="P129:T129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A47:O48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P416:V416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D290:E290"/>
    <mergeCell ref="D94:E94"/>
    <mergeCell ref="P148:T148"/>
    <mergeCell ref="A109:O110"/>
    <mergeCell ref="D353:E35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2025-11-10T10:49:57Z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