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EE395D9-37CE-419E-92D6-15D99CC5AAD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Y331" i="1" s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O285" i="1"/>
  <c r="BM285" i="1"/>
  <c r="Y285" i="1"/>
  <c r="BP285" i="1" s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O220" i="1"/>
  <c r="BM220" i="1"/>
  <c r="Y220" i="1"/>
  <c r="BP220" i="1" s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Z87" i="1" s="1"/>
  <c r="P87" i="1"/>
  <c r="BO86" i="1"/>
  <c r="BM86" i="1"/>
  <c r="Y86" i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31" i="1" l="1"/>
  <c r="BN31" i="1"/>
  <c r="Z31" i="1"/>
  <c r="BP74" i="1"/>
  <c r="BN74" i="1"/>
  <c r="Z74" i="1"/>
  <c r="BP103" i="1"/>
  <c r="BN103" i="1"/>
  <c r="Z103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4" i="1"/>
  <c r="BN214" i="1"/>
  <c r="Z214" i="1"/>
  <c r="BP249" i="1"/>
  <c r="BN249" i="1"/>
  <c r="Z249" i="1"/>
  <c r="BP279" i="1"/>
  <c r="BN279" i="1"/>
  <c r="Z279" i="1"/>
  <c r="BP310" i="1"/>
  <c r="BN310" i="1"/>
  <c r="Z310" i="1"/>
  <c r="BP343" i="1"/>
  <c r="BN343" i="1"/>
  <c r="Z343" i="1"/>
  <c r="BP388" i="1"/>
  <c r="BN388" i="1"/>
  <c r="Z388" i="1"/>
  <c r="BP425" i="1"/>
  <c r="BN425" i="1"/>
  <c r="Z425" i="1"/>
  <c r="BP451" i="1"/>
  <c r="BN451" i="1"/>
  <c r="Z451" i="1"/>
  <c r="BP54" i="1"/>
  <c r="BN54" i="1"/>
  <c r="Z54" i="1"/>
  <c r="BP88" i="1"/>
  <c r="BN88" i="1"/>
  <c r="Z88" i="1"/>
  <c r="BP115" i="1"/>
  <c r="BN115" i="1"/>
  <c r="Z115" i="1"/>
  <c r="BP169" i="1"/>
  <c r="BN169" i="1"/>
  <c r="Z169" i="1"/>
  <c r="BP202" i="1"/>
  <c r="BN202" i="1"/>
  <c r="Z202" i="1"/>
  <c r="BP229" i="1"/>
  <c r="BN229" i="1"/>
  <c r="Z229" i="1"/>
  <c r="BP267" i="1"/>
  <c r="BN267" i="1"/>
  <c r="Z267" i="1"/>
  <c r="BP298" i="1"/>
  <c r="BN298" i="1"/>
  <c r="Z298" i="1"/>
  <c r="BP320" i="1"/>
  <c r="BN320" i="1"/>
  <c r="Z320" i="1"/>
  <c r="BP357" i="1"/>
  <c r="BN357" i="1"/>
  <c r="Z357" i="1"/>
  <c r="BP409" i="1"/>
  <c r="BN409" i="1"/>
  <c r="Z409" i="1"/>
  <c r="BP437" i="1"/>
  <c r="BN437" i="1"/>
  <c r="Z437" i="1"/>
  <c r="BP473" i="1"/>
  <c r="BN473" i="1"/>
  <c r="Z473" i="1"/>
  <c r="B500" i="1"/>
  <c r="X492" i="1"/>
  <c r="Y96" i="1"/>
  <c r="Y275" i="1"/>
  <c r="Y318" i="1"/>
  <c r="BP314" i="1"/>
  <c r="BN314" i="1"/>
  <c r="Z314" i="1"/>
  <c r="BP335" i="1"/>
  <c r="BN335" i="1"/>
  <c r="Z335" i="1"/>
  <c r="BP353" i="1"/>
  <c r="BN353" i="1"/>
  <c r="Z353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BP300" i="1"/>
  <c r="BN300" i="1"/>
  <c r="Z300" i="1"/>
  <c r="J9" i="1"/>
  <c r="X491" i="1"/>
  <c r="X493" i="1" s="1"/>
  <c r="Z23" i="1"/>
  <c r="BN23" i="1"/>
  <c r="X490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Y78" i="1"/>
  <c r="Z76" i="1"/>
  <c r="BN76" i="1"/>
  <c r="Y82" i="1"/>
  <c r="Z92" i="1"/>
  <c r="BN92" i="1"/>
  <c r="BP92" i="1"/>
  <c r="Z101" i="1"/>
  <c r="BN101" i="1"/>
  <c r="Z107" i="1"/>
  <c r="BN107" i="1"/>
  <c r="Z113" i="1"/>
  <c r="BN113" i="1"/>
  <c r="BP113" i="1"/>
  <c r="Z126" i="1"/>
  <c r="BN126" i="1"/>
  <c r="Y132" i="1"/>
  <c r="Z136" i="1"/>
  <c r="BN136" i="1"/>
  <c r="Z141" i="1"/>
  <c r="BN141" i="1"/>
  <c r="Y144" i="1"/>
  <c r="Z163" i="1"/>
  <c r="BN163" i="1"/>
  <c r="Z167" i="1"/>
  <c r="BN167" i="1"/>
  <c r="Z171" i="1"/>
  <c r="BN171" i="1"/>
  <c r="Z177" i="1"/>
  <c r="BN177" i="1"/>
  <c r="Z192" i="1"/>
  <c r="BN192" i="1"/>
  <c r="Z196" i="1"/>
  <c r="BN196" i="1"/>
  <c r="Z200" i="1"/>
  <c r="BN200" i="1"/>
  <c r="Z208" i="1"/>
  <c r="BN208" i="1"/>
  <c r="Z212" i="1"/>
  <c r="BN212" i="1"/>
  <c r="Z220" i="1"/>
  <c r="BN220" i="1"/>
  <c r="Z227" i="1"/>
  <c r="BN227" i="1"/>
  <c r="Z231" i="1"/>
  <c r="BN231" i="1"/>
  <c r="Z247" i="1"/>
  <c r="BN247" i="1"/>
  <c r="Z256" i="1"/>
  <c r="BN256" i="1"/>
  <c r="Z265" i="1"/>
  <c r="BN265" i="1"/>
  <c r="Z272" i="1"/>
  <c r="BN272" i="1"/>
  <c r="Z285" i="1"/>
  <c r="BN285" i="1"/>
  <c r="Q500" i="1"/>
  <c r="Z292" i="1"/>
  <c r="BN292" i="1"/>
  <c r="BP294" i="1"/>
  <c r="BN294" i="1"/>
  <c r="Z294" i="1"/>
  <c r="BP308" i="1"/>
  <c r="BN308" i="1"/>
  <c r="Z308" i="1"/>
  <c r="Y317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90" i="1"/>
  <c r="BN390" i="1"/>
  <c r="Z390" i="1"/>
  <c r="BP422" i="1"/>
  <c r="BN422" i="1"/>
  <c r="Z422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304" i="1"/>
  <c r="Y455" i="1"/>
  <c r="Y454" i="1"/>
  <c r="Y24" i="1"/>
  <c r="Y77" i="1"/>
  <c r="E500" i="1"/>
  <c r="Y90" i="1"/>
  <c r="BP95" i="1"/>
  <c r="BN95" i="1"/>
  <c r="Z95" i="1"/>
  <c r="F500" i="1"/>
  <c r="Y105" i="1"/>
  <c r="BP100" i="1"/>
  <c r="BN100" i="1"/>
  <c r="Z100" i="1"/>
  <c r="BP108" i="1"/>
  <c r="BN108" i="1"/>
  <c r="Z108" i="1"/>
  <c r="Y121" i="1"/>
  <c r="BP120" i="1"/>
  <c r="BN120" i="1"/>
  <c r="Z120" i="1"/>
  <c r="Z121" i="1" s="1"/>
  <c r="G500" i="1"/>
  <c r="Y128" i="1"/>
  <c r="BP125" i="1"/>
  <c r="BN125" i="1"/>
  <c r="Z125" i="1"/>
  <c r="BP164" i="1"/>
  <c r="BN164" i="1"/>
  <c r="Z164" i="1"/>
  <c r="BP176" i="1"/>
  <c r="BN176" i="1"/>
  <c r="Z176" i="1"/>
  <c r="Z178" i="1" s="1"/>
  <c r="BP197" i="1"/>
  <c r="BN197" i="1"/>
  <c r="Z197" i="1"/>
  <c r="BP201" i="1"/>
  <c r="BN201" i="1"/>
  <c r="Z201" i="1"/>
  <c r="BP266" i="1"/>
  <c r="BN266" i="1"/>
  <c r="Z266" i="1"/>
  <c r="Y32" i="1"/>
  <c r="Y44" i="1"/>
  <c r="Y59" i="1"/>
  <c r="Y65" i="1"/>
  <c r="Y71" i="1"/>
  <c r="Y83" i="1"/>
  <c r="Y97" i="1"/>
  <c r="Y104" i="1"/>
  <c r="Z110" i="1"/>
  <c r="BP116" i="1"/>
  <c r="BN116" i="1"/>
  <c r="Z116" i="1"/>
  <c r="Y118" i="1"/>
  <c r="Y122" i="1"/>
  <c r="BP142" i="1"/>
  <c r="BN142" i="1"/>
  <c r="Z142" i="1"/>
  <c r="Z143" i="1" s="1"/>
  <c r="Y149" i="1"/>
  <c r="BP146" i="1"/>
  <c r="BN146" i="1"/>
  <c r="Z146" i="1"/>
  <c r="BP168" i="1"/>
  <c r="BN168" i="1"/>
  <c r="Z168" i="1"/>
  <c r="Y172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93" i="1"/>
  <c r="BN293" i="1"/>
  <c r="Z293" i="1"/>
  <c r="BP321" i="1"/>
  <c r="BN321" i="1"/>
  <c r="Z321" i="1"/>
  <c r="Y325" i="1"/>
  <c r="BP329" i="1"/>
  <c r="BN329" i="1"/>
  <c r="Z329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BN22" i="1"/>
  <c r="BP22" i="1"/>
  <c r="X494" i="1"/>
  <c r="Y25" i="1"/>
  <c r="Z28" i="1"/>
  <c r="BN28" i="1"/>
  <c r="Z30" i="1"/>
  <c r="BN30" i="1"/>
  <c r="C500" i="1"/>
  <c r="Z42" i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BN86" i="1"/>
  <c r="BP86" i="1"/>
  <c r="BP87" i="1"/>
  <c r="BN87" i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BP280" i="1"/>
  <c r="BN280" i="1"/>
  <c r="Z280" i="1"/>
  <c r="Z281" i="1" s="1"/>
  <c r="Y282" i="1"/>
  <c r="Y287" i="1"/>
  <c r="BP284" i="1"/>
  <c r="BN284" i="1"/>
  <c r="Z284" i="1"/>
  <c r="Y286" i="1"/>
  <c r="BP301" i="1"/>
  <c r="BN301" i="1"/>
  <c r="Z301" i="1"/>
  <c r="BP309" i="1"/>
  <c r="BN309" i="1"/>
  <c r="Z309" i="1"/>
  <c r="BP373" i="1"/>
  <c r="BN373" i="1"/>
  <c r="Z373" i="1"/>
  <c r="Z374" i="1" s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Z268" i="1" s="1"/>
  <c r="Y268" i="1"/>
  <c r="BP273" i="1"/>
  <c r="BN273" i="1"/>
  <c r="Z273" i="1"/>
  <c r="Z275" i="1" s="1"/>
  <c r="BP291" i="1"/>
  <c r="BN291" i="1"/>
  <c r="Z291" i="1"/>
  <c r="Z295" i="1" s="1"/>
  <c r="Y295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500" i="1"/>
  <c r="Y349" i="1"/>
  <c r="BP342" i="1"/>
  <c r="BN342" i="1"/>
  <c r="Z342" i="1"/>
  <c r="BP346" i="1"/>
  <c r="BN346" i="1"/>
  <c r="Z346" i="1"/>
  <c r="BP358" i="1"/>
  <c r="BN358" i="1"/>
  <c r="Z358" i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BP452" i="1"/>
  <c r="BN452" i="1"/>
  <c r="Z452" i="1"/>
  <c r="Z454" i="1" s="1"/>
  <c r="Y463" i="1"/>
  <c r="BP462" i="1"/>
  <c r="BN462" i="1"/>
  <c r="Z462" i="1"/>
  <c r="Z463" i="1" s="1"/>
  <c r="Y469" i="1"/>
  <c r="BP466" i="1"/>
  <c r="BN466" i="1"/>
  <c r="Z466" i="1"/>
  <c r="Z469" i="1" s="1"/>
  <c r="BP482" i="1"/>
  <c r="BN482" i="1"/>
  <c r="Z482" i="1"/>
  <c r="Y484" i="1"/>
  <c r="Z500" i="1"/>
  <c r="Y488" i="1"/>
  <c r="BP487" i="1"/>
  <c r="BN487" i="1"/>
  <c r="Z487" i="1"/>
  <c r="Z488" i="1" s="1"/>
  <c r="Y489" i="1"/>
  <c r="Z483" i="1" l="1"/>
  <c r="Z369" i="1"/>
  <c r="Z359" i="1"/>
  <c r="Z330" i="1"/>
  <c r="Z311" i="1"/>
  <c r="Z286" i="1"/>
  <c r="Z221" i="1"/>
  <c r="Z193" i="1"/>
  <c r="Z96" i="1"/>
  <c r="Z89" i="1"/>
  <c r="Z44" i="1"/>
  <c r="Z24" i="1"/>
  <c r="Z127" i="1"/>
  <c r="Z235" i="1"/>
  <c r="Z58" i="1"/>
  <c r="Z32" i="1"/>
  <c r="Z324" i="1"/>
  <c r="Z349" i="1"/>
  <c r="Z304" i="1"/>
  <c r="Z70" i="1"/>
  <c r="Z204" i="1"/>
  <c r="Z394" i="1"/>
  <c r="Z260" i="1"/>
  <c r="Z251" i="1"/>
  <c r="Z380" i="1"/>
  <c r="Z216" i="1"/>
  <c r="Z172" i="1"/>
  <c r="Y490" i="1"/>
  <c r="Y492" i="1"/>
  <c r="Z337" i="1"/>
  <c r="Z149" i="1"/>
  <c r="Z104" i="1"/>
  <c r="Z448" i="1"/>
  <c r="Z433" i="1"/>
  <c r="Z77" i="1"/>
  <c r="Z64" i="1"/>
  <c r="Y491" i="1"/>
  <c r="Y493" i="1" s="1"/>
  <c r="Y494" i="1"/>
  <c r="Z495" i="1" l="1"/>
</calcChain>
</file>

<file path=xl/sharedStrings.xml><?xml version="1.0" encoding="utf-8"?>
<sst xmlns="http://schemas.openxmlformats.org/spreadsheetml/2006/main" count="2284" uniqueCount="766">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</sst>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2"/>
      <c r="F1" s="572"/>
      <c r="G1" s="12" t="s">
        <v>1</v>
      </c>
      <c r="H1" s="63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9" t="s">
        <v>8</v>
      </c>
      <c r="B5" s="657"/>
      <c r="C5" s="658"/>
      <c r="D5" s="637"/>
      <c r="E5" s="638"/>
      <c r="F5" s="822" t="s">
        <v>9</v>
      </c>
      <c r="G5" s="658"/>
      <c r="H5" s="637" t="s">
        <v>765</v>
      </c>
      <c r="I5" s="780"/>
      <c r="J5" s="780"/>
      <c r="K5" s="780"/>
      <c r="L5" s="780"/>
      <c r="M5" s="638"/>
      <c r="N5" s="58"/>
      <c r="P5" s="24" t="s">
        <v>10</v>
      </c>
      <c r="Q5" s="852">
        <v>45998</v>
      </c>
      <c r="R5" s="683"/>
      <c r="T5" s="724" t="s">
        <v>11</v>
      </c>
      <c r="U5" s="725"/>
      <c r="V5" s="727" t="s">
        <v>12</v>
      </c>
      <c r="W5" s="683"/>
      <c r="AB5" s="51"/>
      <c r="AC5" s="51"/>
      <c r="AD5" s="51"/>
      <c r="AE5" s="51"/>
    </row>
    <row r="6" spans="1:32" s="537" customFormat="1" ht="24" customHeight="1" x14ac:dyDescent="0.2">
      <c r="A6" s="689" t="s">
        <v>13</v>
      </c>
      <c r="B6" s="657"/>
      <c r="C6" s="658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83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Воскресенье</v>
      </c>
      <c r="R6" s="562"/>
      <c r="T6" s="733" t="s">
        <v>16</v>
      </c>
      <c r="U6" s="725"/>
      <c r="V6" s="764" t="s">
        <v>17</v>
      </c>
      <c r="W6" s="58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25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2" t="s">
        <v>18</v>
      </c>
      <c r="B8" s="550"/>
      <c r="C8" s="551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96">
        <v>0.375</v>
      </c>
      <c r="R8" s="608"/>
      <c r="T8" s="556"/>
      <c r="U8" s="725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84"/>
      <c r="E9" s="54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47" t="str">
        <f>IF(AND($A$9="Тип доверенности/получателя при получении в адресе перегруза:",$D$9="Разовая доверенность"),"Введите ФИО","")</f>
        <v/>
      </c>
      <c r="I9" s="548"/>
      <c r="J9" s="5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8"/>
      <c r="L9" s="548"/>
      <c r="M9" s="548"/>
      <c r="N9" s="535"/>
      <c r="P9" s="26" t="s">
        <v>21</v>
      </c>
      <c r="Q9" s="680"/>
      <c r="R9" s="681"/>
      <c r="T9" s="556"/>
      <c r="U9" s="725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84"/>
      <c r="E10" s="54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4" t="str">
        <f>IFERROR(VLOOKUP($D$10,Proxy,2,FALSE),"")</f>
        <v/>
      </c>
      <c r="I10" s="556"/>
      <c r="J10" s="556"/>
      <c r="K10" s="556"/>
      <c r="L10" s="556"/>
      <c r="M10" s="556"/>
      <c r="N10" s="536"/>
      <c r="P10" s="26" t="s">
        <v>22</v>
      </c>
      <c r="Q10" s="734"/>
      <c r="R10" s="735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2"/>
      <c r="R11" s="683"/>
      <c r="U11" s="24" t="s">
        <v>27</v>
      </c>
      <c r="V11" s="798" t="s">
        <v>28</v>
      </c>
      <c r="W11" s="68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8"/>
      <c r="N12" s="62"/>
      <c r="P12" s="24" t="s">
        <v>30</v>
      </c>
      <c r="Q12" s="696"/>
      <c r="R12" s="608"/>
      <c r="S12" s="23"/>
      <c r="U12" s="24"/>
      <c r="V12" s="572"/>
      <c r="W12" s="556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57"/>
      <c r="C13" s="657"/>
      <c r="D13" s="657"/>
      <c r="E13" s="657"/>
      <c r="F13" s="657"/>
      <c r="G13" s="657"/>
      <c r="H13" s="657"/>
      <c r="I13" s="657"/>
      <c r="J13" s="657"/>
      <c r="K13" s="657"/>
      <c r="L13" s="657"/>
      <c r="M13" s="658"/>
      <c r="N13" s="62"/>
      <c r="O13" s="26"/>
      <c r="P13" s="26" t="s">
        <v>32</v>
      </c>
      <c r="Q13" s="798"/>
      <c r="R13" s="6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57"/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41" t="s">
        <v>34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8"/>
      <c r="N15" s="63"/>
      <c r="P15" s="592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93"/>
      <c r="Q16" s="593"/>
      <c r="R16" s="593"/>
      <c r="S16" s="593"/>
      <c r="T16" s="59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700" t="s">
        <v>38</v>
      </c>
      <c r="D17" s="582" t="s">
        <v>39</v>
      </c>
      <c r="E17" s="670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69"/>
      <c r="R17" s="669"/>
      <c r="S17" s="669"/>
      <c r="T17" s="670"/>
      <c r="U17" s="861" t="s">
        <v>51</v>
      </c>
      <c r="V17" s="658"/>
      <c r="W17" s="582" t="s">
        <v>52</v>
      </c>
      <c r="X17" s="582" t="s">
        <v>53</v>
      </c>
      <c r="Y17" s="859" t="s">
        <v>54</v>
      </c>
      <c r="Z17" s="808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71"/>
      <c r="E18" s="673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71"/>
      <c r="Q18" s="672"/>
      <c r="R18" s="672"/>
      <c r="S18" s="672"/>
      <c r="T18" s="673"/>
      <c r="U18" s="67" t="s">
        <v>61</v>
      </c>
      <c r="V18" s="67" t="s">
        <v>62</v>
      </c>
      <c r="W18" s="583"/>
      <c r="X18" s="583"/>
      <c r="Y18" s="860"/>
      <c r="Z18" s="809"/>
      <c r="AA18" s="753"/>
      <c r="AB18" s="753"/>
      <c r="AC18" s="753"/>
      <c r="AD18" s="828"/>
      <c r="AE18" s="829"/>
      <c r="AF18" s="830"/>
      <c r="AG18" s="66"/>
      <c r="BD18" s="65"/>
    </row>
    <row r="19" spans="1:68" ht="27.75" hidden="1" customHeight="1" x14ac:dyDescent="0.2">
      <c r="A19" s="664" t="s">
        <v>63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555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8"/>
      <c r="AB20" s="538"/>
      <c r="AC20" s="538"/>
    </row>
    <row r="21" spans="1:68" ht="14.25" hidden="1" customHeight="1" x14ac:dyDescent="0.25">
      <c r="A21" s="587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3"/>
      <c r="R22" s="553"/>
      <c r="S22" s="553"/>
      <c r="T22" s="554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61">
        <v>4680115886643</v>
      </c>
      <c r="E23" s="562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5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3"/>
      <c r="R23" s="553"/>
      <c r="S23" s="553"/>
      <c r="T23" s="554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0"/>
      <c r="P24" s="549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0"/>
      <c r="P25" s="549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hidden="1" customHeight="1" x14ac:dyDescent="0.25">
      <c r="A26" s="587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9"/>
      <c r="AB26" s="539"/>
      <c r="AC26" s="539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61">
        <v>4680115885912</v>
      </c>
      <c r="E27" s="562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3"/>
      <c r="R27" s="553"/>
      <c r="S27" s="553"/>
      <c r="T27" s="554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61">
        <v>4607091388237</v>
      </c>
      <c r="E28" s="562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3"/>
      <c r="R28" s="553"/>
      <c r="S28" s="553"/>
      <c r="T28" s="554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61">
        <v>4680115887350</v>
      </c>
      <c r="E29" s="562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3"/>
      <c r="R29" s="553"/>
      <c r="S29" s="553"/>
      <c r="T29" s="554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61">
        <v>4680115885905</v>
      </c>
      <c r="E30" s="562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3"/>
      <c r="R30" s="553"/>
      <c r="S30" s="553"/>
      <c r="T30" s="554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1">
        <v>4607091388244</v>
      </c>
      <c r="E31" s="562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3"/>
      <c r="R31" s="553"/>
      <c r="S31" s="553"/>
      <c r="T31" s="554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0"/>
      <c r="P32" s="549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60"/>
      <c r="P33" s="549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hidden="1" customHeight="1" x14ac:dyDescent="0.25">
      <c r="A34" s="587" t="s">
        <v>95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39"/>
      <c r="AB34" s="539"/>
      <c r="AC34" s="539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1">
        <v>4607091388503</v>
      </c>
      <c r="E35" s="562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6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3"/>
      <c r="R35" s="553"/>
      <c r="S35" s="553"/>
      <c r="T35" s="554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0"/>
      <c r="P36" s="549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60"/>
      <c r="P37" s="549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hidden="1" customHeight="1" x14ac:dyDescent="0.2">
      <c r="A38" s="664" t="s">
        <v>101</v>
      </c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48"/>
      <c r="AB38" s="48"/>
      <c r="AC38" s="48"/>
    </row>
    <row r="39" spans="1:68" ht="16.5" hidden="1" customHeight="1" x14ac:dyDescent="0.25">
      <c r="A39" s="555" t="s">
        <v>102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8"/>
      <c r="AB39" s="538"/>
      <c r="AC39" s="538"/>
    </row>
    <row r="40" spans="1:68" ht="14.25" hidden="1" customHeight="1" x14ac:dyDescent="0.25">
      <c r="A40" s="587" t="s">
        <v>103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1">
        <v>4607091385670</v>
      </c>
      <c r="E41" s="562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3"/>
      <c r="R41" s="553"/>
      <c r="S41" s="553"/>
      <c r="T41" s="554"/>
      <c r="U41" s="34"/>
      <c r="V41" s="34"/>
      <c r="W41" s="35" t="s">
        <v>70</v>
      </c>
      <c r="X41" s="543">
        <v>100</v>
      </c>
      <c r="Y41" s="544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61">
        <v>4607091385687</v>
      </c>
      <c r="E42" s="562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3"/>
      <c r="R42" s="553"/>
      <c r="S42" s="553"/>
      <c r="T42" s="554"/>
      <c r="U42" s="34"/>
      <c r="V42" s="34"/>
      <c r="W42" s="35" t="s">
        <v>70</v>
      </c>
      <c r="X42" s="543">
        <v>240</v>
      </c>
      <c r="Y42" s="544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ht="27" hidden="1" customHeight="1" x14ac:dyDescent="0.25">
      <c r="A43" s="54" t="s">
        <v>115</v>
      </c>
      <c r="B43" s="54" t="s">
        <v>116</v>
      </c>
      <c r="C43" s="31">
        <v>4301011565</v>
      </c>
      <c r="D43" s="561">
        <v>4680115882539</v>
      </c>
      <c r="E43" s="562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3"/>
      <c r="R43" s="553"/>
      <c r="S43" s="553"/>
      <c r="T43" s="554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9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0"/>
      <c r="P44" s="549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5">
        <f>IFERROR(X41/H41,"0")+IFERROR(X42/H42,"0")+IFERROR(X43/H43,"0")</f>
        <v>69.259259259259267</v>
      </c>
      <c r="Y44" s="545">
        <f>IFERROR(Y41/H41,"0")+IFERROR(Y42/H42,"0")+IFERROR(Y43/H43,"0")</f>
        <v>70</v>
      </c>
      <c r="Z44" s="545">
        <f>IFERROR(IF(Z41="",0,Z41),"0")+IFERROR(IF(Z42="",0,Z42),"0")+IFERROR(IF(Z43="",0,Z43),"0")</f>
        <v>0.73099999999999998</v>
      </c>
      <c r="AA44" s="546"/>
      <c r="AB44" s="546"/>
      <c r="AC44" s="546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60"/>
      <c r="P45" s="549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5">
        <f>IFERROR(SUM(X41:X43),"0")</f>
        <v>340</v>
      </c>
      <c r="Y45" s="545">
        <f>IFERROR(SUM(Y41:Y43),"0")</f>
        <v>348</v>
      </c>
      <c r="Z45" s="37"/>
      <c r="AA45" s="546"/>
      <c r="AB45" s="546"/>
      <c r="AC45" s="546"/>
    </row>
    <row r="46" spans="1:68" ht="14.25" hidden="1" customHeight="1" x14ac:dyDescent="0.25">
      <c r="A46" s="587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39"/>
      <c r="AB46" s="539"/>
      <c r="AC46" s="539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61">
        <v>4680115884915</v>
      </c>
      <c r="E47" s="562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3"/>
      <c r="R47" s="553"/>
      <c r="S47" s="553"/>
      <c r="T47" s="554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0"/>
      <c r="P48" s="549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60"/>
      <c r="P49" s="549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hidden="1" customHeight="1" x14ac:dyDescent="0.25">
      <c r="A50" s="555" t="s">
        <v>120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8"/>
      <c r="AB50" s="538"/>
      <c r="AC50" s="538"/>
    </row>
    <row r="51" spans="1:68" ht="14.25" hidden="1" customHeight="1" x14ac:dyDescent="0.25">
      <c r="A51" s="587" t="s">
        <v>103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39"/>
      <c r="AB51" s="539"/>
      <c r="AC51" s="539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61">
        <v>4680115885882</v>
      </c>
      <c r="E52" s="562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5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3"/>
      <c r="R52" s="553"/>
      <c r="S52" s="553"/>
      <c r="T52" s="554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61">
        <v>4680115881426</v>
      </c>
      <c r="E53" s="562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3"/>
      <c r="R53" s="553"/>
      <c r="S53" s="553"/>
      <c r="T53" s="554"/>
      <c r="U53" s="34"/>
      <c r="V53" s="34"/>
      <c r="W53" s="35" t="s">
        <v>70</v>
      </c>
      <c r="X53" s="543">
        <v>150</v>
      </c>
      <c r="Y53" s="544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61">
        <v>4680115880283</v>
      </c>
      <c r="E54" s="562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1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3"/>
      <c r="R54" s="553"/>
      <c r="S54" s="553"/>
      <c r="T54" s="554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61">
        <v>4680115881525</v>
      </c>
      <c r="E55" s="562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/>
      <c r="M55" s="33" t="s">
        <v>108</v>
      </c>
      <c r="N55" s="33"/>
      <c r="O55" s="32">
        <v>50</v>
      </c>
      <c r="P55" s="6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3"/>
      <c r="R55" s="553"/>
      <c r="S55" s="553"/>
      <c r="T55" s="554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61">
        <v>4680115885899</v>
      </c>
      <c r="E56" s="562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3"/>
      <c r="R56" s="553"/>
      <c r="S56" s="553"/>
      <c r="T56" s="554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61">
        <v>4680115881419</v>
      </c>
      <c r="E57" s="562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3"/>
      <c r="R57" s="553"/>
      <c r="S57" s="553"/>
      <c r="T57" s="554"/>
      <c r="U57" s="34"/>
      <c r="V57" s="34"/>
      <c r="W57" s="35" t="s">
        <v>70</v>
      </c>
      <c r="X57" s="543">
        <v>270</v>
      </c>
      <c r="Y57" s="544">
        <f t="shared" si="0"/>
        <v>270</v>
      </c>
      <c r="Z57" s="36">
        <f>IFERROR(IF(Y57=0,"",ROUNDUP(Y57/H57,0)*0.00902),"")</f>
        <v>0.54120000000000001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281.40000000000003</v>
      </c>
      <c r="BN57" s="64">
        <f t="shared" si="2"/>
        <v>281.40000000000003</v>
      </c>
      <c r="BO57" s="64">
        <f t="shared" si="3"/>
        <v>0.45454545454545459</v>
      </c>
      <c r="BP57" s="64">
        <f t="shared" si="4"/>
        <v>0.45454545454545459</v>
      </c>
    </row>
    <row r="58" spans="1:68" x14ac:dyDescent="0.2">
      <c r="A58" s="559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0"/>
      <c r="P58" s="549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5">
        <f>IFERROR(X52/H52,"0")+IFERROR(X53/H53,"0")+IFERROR(X54/H54,"0")+IFERROR(X55/H55,"0")+IFERROR(X56/H56,"0")+IFERROR(X57/H57,"0")</f>
        <v>73.888888888888886</v>
      </c>
      <c r="Y58" s="545">
        <f>IFERROR(Y52/H52,"0")+IFERROR(Y53/H53,"0")+IFERROR(Y54/H54,"0")+IFERROR(Y55/H55,"0")+IFERROR(Y56/H56,"0")+IFERROR(Y57/H57,"0")</f>
        <v>74</v>
      </c>
      <c r="Z58" s="545">
        <f>IFERROR(IF(Z52="",0,Z52),"0")+IFERROR(IF(Z53="",0,Z53),"0")+IFERROR(IF(Z54="",0,Z54),"0")+IFERROR(IF(Z55="",0,Z55),"0")+IFERROR(IF(Z56="",0,Z56),"0")+IFERROR(IF(Z57="",0,Z57),"0")</f>
        <v>0.80692000000000008</v>
      </c>
      <c r="AA58" s="546"/>
      <c r="AB58" s="546"/>
      <c r="AC58" s="546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60"/>
      <c r="P59" s="549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5">
        <f>IFERROR(SUM(X52:X57),"0")</f>
        <v>420</v>
      </c>
      <c r="Y59" s="545">
        <f>IFERROR(SUM(Y52:Y57),"0")</f>
        <v>421.20000000000005</v>
      </c>
      <c r="Z59" s="37"/>
      <c r="AA59" s="546"/>
      <c r="AB59" s="546"/>
      <c r="AC59" s="546"/>
    </row>
    <row r="60" spans="1:68" ht="14.25" hidden="1" customHeight="1" x14ac:dyDescent="0.25">
      <c r="A60" s="587" t="s">
        <v>139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61">
        <v>4680115881440</v>
      </c>
      <c r="E61" s="562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3"/>
      <c r="R61" s="553"/>
      <c r="S61" s="553"/>
      <c r="T61" s="554"/>
      <c r="U61" s="34"/>
      <c r="V61" s="34"/>
      <c r="W61" s="35" t="s">
        <v>70</v>
      </c>
      <c r="X61" s="543">
        <v>200</v>
      </c>
      <c r="Y61" s="544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61">
        <v>4680115885950</v>
      </c>
      <c r="E62" s="562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3"/>
      <c r="R62" s="553"/>
      <c r="S62" s="553"/>
      <c r="T62" s="554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61">
        <v>4680115881433</v>
      </c>
      <c r="E63" s="562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3"/>
      <c r="R63" s="553"/>
      <c r="S63" s="553"/>
      <c r="T63" s="554"/>
      <c r="U63" s="34"/>
      <c r="V63" s="34"/>
      <c r="W63" s="35" t="s">
        <v>70</v>
      </c>
      <c r="X63" s="543">
        <v>270</v>
      </c>
      <c r="Y63" s="544">
        <f>IFERROR(IF(X63="",0,CEILING((X63/$H63),1)*$H63),"")</f>
        <v>270</v>
      </c>
      <c r="Z63" s="36">
        <f>IFERROR(IF(Y63=0,"",ROUNDUP(Y63/H63,0)*0.00651),"")</f>
        <v>0.65100000000000002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288</v>
      </c>
      <c r="BN63" s="64">
        <f>IFERROR(Y63*I63/H63,"0")</f>
        <v>288</v>
      </c>
      <c r="BO63" s="64">
        <f>IFERROR(1/J63*(X63/H63),"0")</f>
        <v>0.5494505494505495</v>
      </c>
      <c r="BP63" s="64">
        <f>IFERROR(1/J63*(Y63/H63),"0")</f>
        <v>0.5494505494505495</v>
      </c>
    </row>
    <row r="64" spans="1:68" x14ac:dyDescent="0.2">
      <c r="A64" s="559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0"/>
      <c r="P64" s="549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5">
        <f>IFERROR(X61/H61,"0")+IFERROR(X62/H62,"0")+IFERROR(X63/H63,"0")</f>
        <v>118.51851851851852</v>
      </c>
      <c r="Y64" s="545">
        <f>IFERROR(Y61/H61,"0")+IFERROR(Y62/H62,"0")+IFERROR(Y63/H63,"0")</f>
        <v>119</v>
      </c>
      <c r="Z64" s="545">
        <f>IFERROR(IF(Z61="",0,Z61),"0")+IFERROR(IF(Z62="",0,Z62),"0")+IFERROR(IF(Z63="",0,Z63),"0")</f>
        <v>1.01162</v>
      </c>
      <c r="AA64" s="546"/>
      <c r="AB64" s="546"/>
      <c r="AC64" s="546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60"/>
      <c r="P65" s="549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5">
        <f>IFERROR(SUM(X61:X63),"0")</f>
        <v>470</v>
      </c>
      <c r="Y65" s="545">
        <f>IFERROR(SUM(Y61:Y63),"0")</f>
        <v>475.20000000000005</v>
      </c>
      <c r="Z65" s="37"/>
      <c r="AA65" s="546"/>
      <c r="AB65" s="546"/>
      <c r="AC65" s="546"/>
    </row>
    <row r="66" spans="1:68" ht="14.25" hidden="1" customHeight="1" x14ac:dyDescent="0.25">
      <c r="A66" s="587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39"/>
      <c r="AB66" s="539"/>
      <c r="AC66" s="539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61">
        <v>4680115885073</v>
      </c>
      <c r="E67" s="562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3"/>
      <c r="R67" s="553"/>
      <c r="S67" s="553"/>
      <c r="T67" s="554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61">
        <v>4680115885059</v>
      </c>
      <c r="E68" s="562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8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3"/>
      <c r="R68" s="553"/>
      <c r="S68" s="553"/>
      <c r="T68" s="554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61">
        <v>4680115885097</v>
      </c>
      <c r="E69" s="562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3"/>
      <c r="R69" s="553"/>
      <c r="S69" s="553"/>
      <c r="T69" s="554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9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60"/>
      <c r="P70" s="549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60"/>
      <c r="P71" s="549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hidden="1" customHeight="1" x14ac:dyDescent="0.25">
      <c r="A72" s="587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39"/>
      <c r="AB72" s="539"/>
      <c r="AC72" s="539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61">
        <v>4680115885769</v>
      </c>
      <c r="E73" s="562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/>
      <c r="M73" s="33" t="s">
        <v>81</v>
      </c>
      <c r="N73" s="33"/>
      <c r="O73" s="32">
        <v>45</v>
      </c>
      <c r="P73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3"/>
      <c r="R73" s="553"/>
      <c r="S73" s="553"/>
      <c r="T73" s="554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61">
        <v>4680115884311</v>
      </c>
      <c r="E74" s="562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3"/>
      <c r="R74" s="553"/>
      <c r="S74" s="553"/>
      <c r="T74" s="554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61">
        <v>4680115885929</v>
      </c>
      <c r="E75" s="562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3"/>
      <c r="R75" s="553"/>
      <c r="S75" s="553"/>
      <c r="T75" s="554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61">
        <v>4680115884403</v>
      </c>
      <c r="E76" s="562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3"/>
      <c r="R76" s="553"/>
      <c r="S76" s="553"/>
      <c r="T76" s="554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9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60"/>
      <c r="P77" s="549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60"/>
      <c r="P78" s="549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hidden="1" customHeight="1" x14ac:dyDescent="0.25">
      <c r="A79" s="587" t="s">
        <v>167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61">
        <v>4680115881532</v>
      </c>
      <c r="E80" s="562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3"/>
      <c r="R80" s="553"/>
      <c r="S80" s="553"/>
      <c r="T80" s="554"/>
      <c r="U80" s="34"/>
      <c r="V80" s="34"/>
      <c r="W80" s="35" t="s">
        <v>70</v>
      </c>
      <c r="X80" s="543">
        <v>20</v>
      </c>
      <c r="Y80" s="544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21.051282051282055</v>
      </c>
      <c r="BN80" s="64">
        <f>IFERROR(Y80*I80/H80,"0")</f>
        <v>24.630000000000003</v>
      </c>
      <c r="BO80" s="64">
        <f>IFERROR(1/J80*(X80/H80),"0")</f>
        <v>4.0064102564102567E-2</v>
      </c>
      <c r="BP80" s="64">
        <f>IFERROR(1/J80*(Y80/H80),"0")</f>
        <v>4.6875E-2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61">
        <v>4680115881464</v>
      </c>
      <c r="E81" s="562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6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3"/>
      <c r="R81" s="553"/>
      <c r="S81" s="553"/>
      <c r="T81" s="554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9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60"/>
      <c r="P82" s="549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5">
        <f>IFERROR(X80/H80,"0")+IFERROR(X81/H81,"0")</f>
        <v>2.5641025641025643</v>
      </c>
      <c r="Y82" s="545">
        <f>IFERROR(Y80/H80,"0")+IFERROR(Y81/H81,"0")</f>
        <v>3</v>
      </c>
      <c r="Z82" s="545">
        <f>IFERROR(IF(Z80="",0,Z80),"0")+IFERROR(IF(Z81="",0,Z81),"0")</f>
        <v>5.6940000000000004E-2</v>
      </c>
      <c r="AA82" s="546"/>
      <c r="AB82" s="546"/>
      <c r="AC82" s="546"/>
    </row>
    <row r="83" spans="1:68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60"/>
      <c r="P83" s="549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5">
        <f>IFERROR(SUM(X80:X81),"0")</f>
        <v>20</v>
      </c>
      <c r="Y83" s="545">
        <f>IFERROR(SUM(Y80:Y81),"0")</f>
        <v>23.4</v>
      </c>
      <c r="Z83" s="37"/>
      <c r="AA83" s="546"/>
      <c r="AB83" s="546"/>
      <c r="AC83" s="546"/>
    </row>
    <row r="84" spans="1:68" ht="16.5" hidden="1" customHeight="1" x14ac:dyDescent="0.25">
      <c r="A84" s="555" t="s">
        <v>174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8"/>
      <c r="AB84" s="538"/>
      <c r="AC84" s="538"/>
    </row>
    <row r="85" spans="1:68" ht="14.25" hidden="1" customHeight="1" x14ac:dyDescent="0.25">
      <c r="A85" s="587" t="s">
        <v>103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61">
        <v>4680115881327</v>
      </c>
      <c r="E86" s="562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3"/>
      <c r="R86" s="553"/>
      <c r="S86" s="553"/>
      <c r="T86" s="554"/>
      <c r="U86" s="34"/>
      <c r="V86" s="34"/>
      <c r="W86" s="35" t="s">
        <v>70</v>
      </c>
      <c r="X86" s="543">
        <v>100</v>
      </c>
      <c r="Y86" s="544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103.79629629629629</v>
      </c>
      <c r="BN86" s="64">
        <f>IFERROR(Y86*I86/H86,"0")</f>
        <v>112.1</v>
      </c>
      <c r="BO86" s="64">
        <f>IFERROR(1/J86*(X86/H86),"0")</f>
        <v>0.14467592592592593</v>
      </c>
      <c r="BP86" s="64">
        <f>IFERROR(1/J86*(Y86/H86),"0")</f>
        <v>0.15625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1">
        <v>4680115881518</v>
      </c>
      <c r="E87" s="562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3"/>
      <c r="R87" s="553"/>
      <c r="S87" s="553"/>
      <c r="T87" s="554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1">
        <v>4680115881303</v>
      </c>
      <c r="E88" s="562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/>
      <c r="M88" s="33" t="s">
        <v>88</v>
      </c>
      <c r="N88" s="33"/>
      <c r="O88" s="32">
        <v>50</v>
      </c>
      <c r="P88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3"/>
      <c r="R88" s="553"/>
      <c r="S88" s="553"/>
      <c r="T88" s="554"/>
      <c r="U88" s="34"/>
      <c r="V88" s="34"/>
      <c r="W88" s="35" t="s">
        <v>70</v>
      </c>
      <c r="X88" s="543">
        <v>405</v>
      </c>
      <c r="Y88" s="544">
        <f>IFERROR(IF(X88="",0,CEILING((X88/$H88),1)*$H88),"")</f>
        <v>405</v>
      </c>
      <c r="Z88" s="36">
        <f>IFERROR(IF(Y88=0,"",ROUNDUP(Y88/H88,0)*0.00902),"")</f>
        <v>0.81180000000000008</v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422.1</v>
      </c>
      <c r="BN88" s="64">
        <f>IFERROR(Y88*I88/H88,"0")</f>
        <v>422.1</v>
      </c>
      <c r="BO88" s="64">
        <f>IFERROR(1/J88*(X88/H88),"0")</f>
        <v>0.68181818181818188</v>
      </c>
      <c r="BP88" s="64">
        <f>IFERROR(1/J88*(Y88/H88),"0")</f>
        <v>0.68181818181818188</v>
      </c>
    </row>
    <row r="89" spans="1:68" x14ac:dyDescent="0.2">
      <c r="A89" s="559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60"/>
      <c r="P89" s="549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5">
        <f>IFERROR(X86/H86,"0")+IFERROR(X87/H87,"0")+IFERROR(X88/H88,"0")</f>
        <v>99.259259259259267</v>
      </c>
      <c r="Y89" s="545">
        <f>IFERROR(Y86/H86,"0")+IFERROR(Y87/H87,"0")+IFERROR(Y88/H88,"0")</f>
        <v>100</v>
      </c>
      <c r="Z89" s="545">
        <f>IFERROR(IF(Z86="",0,Z86),"0")+IFERROR(IF(Z87="",0,Z87),"0")+IFERROR(IF(Z88="",0,Z88),"0")</f>
        <v>1.0016</v>
      </c>
      <c r="AA89" s="546"/>
      <c r="AB89" s="546"/>
      <c r="AC89" s="546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60"/>
      <c r="P90" s="549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5">
        <f>IFERROR(SUM(X86:X88),"0")</f>
        <v>505</v>
      </c>
      <c r="Y90" s="545">
        <f>IFERROR(SUM(Y86:Y88),"0")</f>
        <v>513</v>
      </c>
      <c r="Z90" s="37"/>
      <c r="AA90" s="546"/>
      <c r="AB90" s="546"/>
      <c r="AC90" s="546"/>
    </row>
    <row r="91" spans="1:68" ht="14.25" hidden="1" customHeight="1" x14ac:dyDescent="0.25">
      <c r="A91" s="587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1">
        <v>4607091386967</v>
      </c>
      <c r="E92" s="562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3"/>
      <c r="R92" s="553"/>
      <c r="S92" s="553"/>
      <c r="T92" s="554"/>
      <c r="U92" s="34"/>
      <c r="V92" s="34"/>
      <c r="W92" s="35" t="s">
        <v>70</v>
      </c>
      <c r="X92" s="543">
        <v>500</v>
      </c>
      <c r="Y92" s="544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530.49382716049388</v>
      </c>
      <c r="BN92" s="64">
        <f>IFERROR(Y92*I92/H92,"0")</f>
        <v>532.82799999999997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1">
        <v>4680115884953</v>
      </c>
      <c r="E93" s="562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3"/>
      <c r="R93" s="553"/>
      <c r="S93" s="553"/>
      <c r="T93" s="554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1">
        <v>4607091385731</v>
      </c>
      <c r="E94" s="562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3"/>
      <c r="R94" s="553"/>
      <c r="S94" s="553"/>
      <c r="T94" s="554"/>
      <c r="U94" s="34"/>
      <c r="V94" s="34"/>
      <c r="W94" s="35" t="s">
        <v>70</v>
      </c>
      <c r="X94" s="543">
        <v>495</v>
      </c>
      <c r="Y94" s="544">
        <f>IFERROR(IF(X94="",0,CEILING((X94/$H94),1)*$H94),"")</f>
        <v>496.8</v>
      </c>
      <c r="Z94" s="36">
        <f>IFERROR(IF(Y94=0,"",ROUNDUP(Y94/H94,0)*0.00651),"")</f>
        <v>1.19784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541.19999999999993</v>
      </c>
      <c r="BN94" s="64">
        <f>IFERROR(Y94*I94/H94,"0")</f>
        <v>543.16800000000001</v>
      </c>
      <c r="BO94" s="64">
        <f>IFERROR(1/J94*(X94/H94),"0")</f>
        <v>1.0073260073260073</v>
      </c>
      <c r="BP94" s="64">
        <f>IFERROR(1/J94*(Y94/H94),"0")</f>
        <v>1.0109890109890112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1">
        <v>4680115880894</v>
      </c>
      <c r="E95" s="562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3"/>
      <c r="R95" s="553"/>
      <c r="S95" s="553"/>
      <c r="T95" s="554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9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60"/>
      <c r="P96" s="549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5">
        <f>IFERROR(X92/H92,"0")+IFERROR(X93/H93,"0")+IFERROR(X94/H94,"0")+IFERROR(X95/H95,"0")</f>
        <v>245.06172839506172</v>
      </c>
      <c r="Y96" s="545">
        <f>IFERROR(Y92/H92,"0")+IFERROR(Y93/H93,"0")+IFERROR(Y94/H94,"0")+IFERROR(Y95/H95,"0")</f>
        <v>246</v>
      </c>
      <c r="Z96" s="545">
        <f>IFERROR(IF(Z92="",0,Z92),"0")+IFERROR(IF(Z93="",0,Z93),"0")+IFERROR(IF(Z94="",0,Z94),"0")+IFERROR(IF(Z95="",0,Z95),"0")</f>
        <v>2.3746</v>
      </c>
      <c r="AA96" s="546"/>
      <c r="AB96" s="546"/>
      <c r="AC96" s="546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60"/>
      <c r="P97" s="549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5">
        <f>IFERROR(SUM(X92:X95),"0")</f>
        <v>995</v>
      </c>
      <c r="Y97" s="545">
        <f>IFERROR(SUM(Y92:Y95),"0")</f>
        <v>999</v>
      </c>
      <c r="Z97" s="37"/>
      <c r="AA97" s="546"/>
      <c r="AB97" s="546"/>
      <c r="AC97" s="546"/>
    </row>
    <row r="98" spans="1:68" ht="16.5" hidden="1" customHeight="1" x14ac:dyDescent="0.25">
      <c r="A98" s="555" t="s">
        <v>193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8"/>
      <c r="AB98" s="538"/>
      <c r="AC98" s="538"/>
    </row>
    <row r="99" spans="1:68" ht="14.25" hidden="1" customHeight="1" x14ac:dyDescent="0.25">
      <c r="A99" s="587" t="s">
        <v>103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39"/>
      <c r="AB99" s="539"/>
      <c r="AC99" s="539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61">
        <v>4680115882133</v>
      </c>
      <c r="E100" s="562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3"/>
      <c r="R100" s="553"/>
      <c r="S100" s="553"/>
      <c r="T100" s="554"/>
      <c r="U100" s="34"/>
      <c r="V100" s="34"/>
      <c r="W100" s="35" t="s">
        <v>70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61">
        <v>4680115880269</v>
      </c>
      <c r="E101" s="562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7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3"/>
      <c r="R101" s="553"/>
      <c r="S101" s="553"/>
      <c r="T101" s="554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61">
        <v>4680115880429</v>
      </c>
      <c r="E102" s="562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3"/>
      <c r="R102" s="553"/>
      <c r="S102" s="553"/>
      <c r="T102" s="554"/>
      <c r="U102" s="34"/>
      <c r="V102" s="34"/>
      <c r="W102" s="35" t="s">
        <v>70</v>
      </c>
      <c r="X102" s="543">
        <v>135</v>
      </c>
      <c r="Y102" s="544">
        <f>IFERROR(IF(X102="",0,CEILING((X102/$H102),1)*$H102),"")</f>
        <v>135</v>
      </c>
      <c r="Z102" s="36">
        <f>IFERROR(IF(Y102=0,"",ROUNDUP(Y102/H102,0)*0.00902),"")</f>
        <v>0.27060000000000001</v>
      </c>
      <c r="AA102" s="56"/>
      <c r="AB102" s="57"/>
      <c r="AC102" s="147" t="s">
        <v>196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140.70000000000002</v>
      </c>
      <c r="BN102" s="64">
        <f>IFERROR(Y102*I102/H102,"0")</f>
        <v>140.70000000000002</v>
      </c>
      <c r="BO102" s="64">
        <f>IFERROR(1/J102*(X102/H102),"0")</f>
        <v>0.22727272727272729</v>
      </c>
      <c r="BP102" s="64">
        <f>IFERROR(1/J102*(Y102/H102),"0")</f>
        <v>0.22727272727272729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61">
        <v>4680115881457</v>
      </c>
      <c r="E103" s="562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3"/>
      <c r="R103" s="553"/>
      <c r="S103" s="553"/>
      <c r="T103" s="554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9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0"/>
      <c r="P104" s="549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5">
        <f>IFERROR(X100/H100,"0")+IFERROR(X101/H101,"0")+IFERROR(X102/H102,"0")+IFERROR(X103/H103,"0")</f>
        <v>30</v>
      </c>
      <c r="Y104" s="545">
        <f>IFERROR(Y100/H100,"0")+IFERROR(Y101/H101,"0")+IFERROR(Y102/H102,"0")+IFERROR(Y103/H103,"0")</f>
        <v>30</v>
      </c>
      <c r="Z104" s="545">
        <f>IFERROR(IF(Z100="",0,Z100),"0")+IFERROR(IF(Z101="",0,Z101),"0")+IFERROR(IF(Z102="",0,Z102),"0")+IFERROR(IF(Z103="",0,Z103),"0")</f>
        <v>0.27060000000000001</v>
      </c>
      <c r="AA104" s="546"/>
      <c r="AB104" s="546"/>
      <c r="AC104" s="546"/>
    </row>
    <row r="105" spans="1:68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60"/>
      <c r="P105" s="549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5">
        <f>IFERROR(SUM(X100:X103),"0")</f>
        <v>135</v>
      </c>
      <c r="Y105" s="545">
        <f>IFERROR(SUM(Y100:Y103),"0")</f>
        <v>135</v>
      </c>
      <c r="Z105" s="37"/>
      <c r="AA105" s="546"/>
      <c r="AB105" s="546"/>
      <c r="AC105" s="546"/>
    </row>
    <row r="106" spans="1:68" ht="14.25" hidden="1" customHeight="1" x14ac:dyDescent="0.25">
      <c r="A106" s="587" t="s">
        <v>139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39"/>
      <c r="AB106" s="539"/>
      <c r="AC106" s="539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61">
        <v>4680115881488</v>
      </c>
      <c r="E107" s="562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7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3"/>
      <c r="R107" s="553"/>
      <c r="S107" s="553"/>
      <c r="T107" s="554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206</v>
      </c>
      <c r="B108" s="54" t="s">
        <v>207</v>
      </c>
      <c r="C108" s="31">
        <v>4301020346</v>
      </c>
      <c r="D108" s="561">
        <v>4680115882775</v>
      </c>
      <c r="E108" s="562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3"/>
      <c r="R108" s="553"/>
      <c r="S108" s="553"/>
      <c r="T108" s="554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208</v>
      </c>
      <c r="B109" s="54" t="s">
        <v>209</v>
      </c>
      <c r="C109" s="31">
        <v>4301020344</v>
      </c>
      <c r="D109" s="561">
        <v>4680115880658</v>
      </c>
      <c r="E109" s="562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108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3"/>
      <c r="R109" s="553"/>
      <c r="S109" s="553"/>
      <c r="T109" s="554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9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0"/>
      <c r="P110" s="549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0"/>
      <c r="P111" s="549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87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9"/>
      <c r="AB112" s="539"/>
      <c r="AC112" s="539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61">
        <v>4607091385168</v>
      </c>
      <c r="E113" s="562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3"/>
      <c r="R113" s="553"/>
      <c r="S113" s="553"/>
      <c r="T113" s="554"/>
      <c r="U113" s="34"/>
      <c r="V113" s="34"/>
      <c r="W113" s="35" t="s">
        <v>70</v>
      </c>
      <c r="X113" s="543">
        <v>300</v>
      </c>
      <c r="Y113" s="544">
        <f>IFERROR(IF(X113="",0,CEILING((X113/$H113),1)*$H113),"")</f>
        <v>307.8</v>
      </c>
      <c r="Z113" s="36">
        <f>IFERROR(IF(Y113=0,"",ROUNDUP(Y113/H113,0)*0.01898),"")</f>
        <v>0.72123999999999999</v>
      </c>
      <c r="AA113" s="56"/>
      <c r="AB113" s="57"/>
      <c r="AC113" s="157" t="s">
        <v>212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318.07407407407402</v>
      </c>
      <c r="BN113" s="64">
        <f>IFERROR(Y113*I113/H113,"0")</f>
        <v>326.34399999999999</v>
      </c>
      <c r="BO113" s="64">
        <f>IFERROR(1/J113*(X113/H113),"0")</f>
        <v>0.57870370370370372</v>
      </c>
      <c r="BP113" s="64">
        <f>IFERROR(1/J113*(Y113/H113),"0")</f>
        <v>0.59375</v>
      </c>
    </row>
    <row r="114" spans="1:68" ht="27" hidden="1" customHeight="1" x14ac:dyDescent="0.25">
      <c r="A114" s="54" t="s">
        <v>213</v>
      </c>
      <c r="B114" s="54" t="s">
        <v>214</v>
      </c>
      <c r="C114" s="31">
        <v>4301051730</v>
      </c>
      <c r="D114" s="561">
        <v>4607091383256</v>
      </c>
      <c r="E114" s="562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3"/>
      <c r="R114" s="553"/>
      <c r="S114" s="553"/>
      <c r="T114" s="554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4301051721</v>
      </c>
      <c r="D115" s="561">
        <v>4607091385748</v>
      </c>
      <c r="E115" s="562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217</v>
      </c>
      <c r="M115" s="33" t="s">
        <v>88</v>
      </c>
      <c r="N115" s="33"/>
      <c r="O115" s="32">
        <v>45</v>
      </c>
      <c r="P115" s="7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3"/>
      <c r="R115" s="553"/>
      <c r="S115" s="553"/>
      <c r="T115" s="554"/>
      <c r="U115" s="34"/>
      <c r="V115" s="34"/>
      <c r="W115" s="35" t="s">
        <v>70</v>
      </c>
      <c r="X115" s="543">
        <v>315</v>
      </c>
      <c r="Y115" s="544">
        <f>IFERROR(IF(X115="",0,CEILING((X115/$H115),1)*$H115),"")</f>
        <v>315.90000000000003</v>
      </c>
      <c r="Z115" s="36">
        <f>IFERROR(IF(Y115=0,"",ROUNDUP(Y115/H115,0)*0.00651),"")</f>
        <v>0.76167000000000007</v>
      </c>
      <c r="AA115" s="56"/>
      <c r="AB115" s="57"/>
      <c r="AC115" s="161" t="s">
        <v>212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344.4</v>
      </c>
      <c r="BN115" s="64">
        <f>IFERROR(Y115*I115/H115,"0")</f>
        <v>345.38400000000001</v>
      </c>
      <c r="BO115" s="64">
        <f>IFERROR(1/J115*(X115/H115),"0")</f>
        <v>0.64102564102564097</v>
      </c>
      <c r="BP115" s="64">
        <f>IFERROR(1/J115*(Y115/H115),"0")</f>
        <v>0.6428571428571429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61">
        <v>4680115884533</v>
      </c>
      <c r="E116" s="562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 t="s">
        <v>217</v>
      </c>
      <c r="M116" s="33" t="s">
        <v>81</v>
      </c>
      <c r="N116" s="33"/>
      <c r="O116" s="32">
        <v>45</v>
      </c>
      <c r="P116" s="6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3"/>
      <c r="R116" s="553"/>
      <c r="S116" s="553"/>
      <c r="T116" s="554"/>
      <c r="U116" s="34"/>
      <c r="V116" s="34"/>
      <c r="W116" s="35" t="s">
        <v>70</v>
      </c>
      <c r="X116" s="543">
        <v>18</v>
      </c>
      <c r="Y116" s="544">
        <f>IFERROR(IF(X116="",0,CEILING((X116/$H116),1)*$H116),"")</f>
        <v>18</v>
      </c>
      <c r="Z116" s="36">
        <f>IFERROR(IF(Y116=0,"",ROUNDUP(Y116/H116,0)*0.00651),"")</f>
        <v>6.5100000000000005E-2</v>
      </c>
      <c r="AA116" s="56"/>
      <c r="AB116" s="57"/>
      <c r="AC116" s="163" t="s">
        <v>220</v>
      </c>
      <c r="AG116" s="64"/>
      <c r="AJ116" s="68" t="s">
        <v>110</v>
      </c>
      <c r="AK116" s="68">
        <v>25.2</v>
      </c>
      <c r="BB116" s="164" t="s">
        <v>1</v>
      </c>
      <c r="BM116" s="64">
        <f>IFERROR(X116*I116/H116,"0")</f>
        <v>19.8</v>
      </c>
      <c r="BN116" s="64">
        <f>IFERROR(Y116*I116/H116,"0")</f>
        <v>19.8</v>
      </c>
      <c r="BO116" s="64">
        <f>IFERROR(1/J116*(X116/H116),"0")</f>
        <v>5.4945054945054951E-2</v>
      </c>
      <c r="BP116" s="64">
        <f>IFERROR(1/J116*(Y116/H116),"0")</f>
        <v>5.4945054945054951E-2</v>
      </c>
    </row>
    <row r="117" spans="1:68" x14ac:dyDescent="0.2">
      <c r="A117" s="559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0"/>
      <c r="P117" s="549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5">
        <f>IFERROR(X113/H113,"0")+IFERROR(X114/H114,"0")+IFERROR(X115/H115,"0")+IFERROR(X116/H116,"0")</f>
        <v>163.7037037037037</v>
      </c>
      <c r="Y117" s="545">
        <f>IFERROR(Y113/H113,"0")+IFERROR(Y114/H114,"0")+IFERROR(Y115/H115,"0")+IFERROR(Y116/H116,"0")</f>
        <v>165</v>
      </c>
      <c r="Z117" s="545">
        <f>IFERROR(IF(Z113="",0,Z113),"0")+IFERROR(IF(Z114="",0,Z114),"0")+IFERROR(IF(Z115="",0,Z115),"0")+IFERROR(IF(Z116="",0,Z116),"0")</f>
        <v>1.5480099999999999</v>
      </c>
      <c r="AA117" s="546"/>
      <c r="AB117" s="546"/>
      <c r="AC117" s="546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0"/>
      <c r="P118" s="549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5">
        <f>IFERROR(SUM(X113:X116),"0")</f>
        <v>633</v>
      </c>
      <c r="Y118" s="545">
        <f>IFERROR(SUM(Y113:Y116),"0")</f>
        <v>641.70000000000005</v>
      </c>
      <c r="Z118" s="37"/>
      <c r="AA118" s="546"/>
      <c r="AB118" s="546"/>
      <c r="AC118" s="546"/>
    </row>
    <row r="119" spans="1:68" ht="14.25" hidden="1" customHeight="1" x14ac:dyDescent="0.25">
      <c r="A119" s="587" t="s">
        <v>167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9"/>
      <c r="AB119" s="539"/>
      <c r="AC119" s="539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61">
        <v>4680115880238</v>
      </c>
      <c r="E120" s="562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 t="s">
        <v>217</v>
      </c>
      <c r="M120" s="33" t="s">
        <v>81</v>
      </c>
      <c r="N120" s="33"/>
      <c r="O120" s="32">
        <v>40</v>
      </c>
      <c r="P120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3"/>
      <c r="R120" s="553"/>
      <c r="S120" s="553"/>
      <c r="T120" s="554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110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9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0"/>
      <c r="P121" s="549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0"/>
      <c r="P122" s="549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5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8"/>
      <c r="AB123" s="538"/>
      <c r="AC123" s="538"/>
    </row>
    <row r="124" spans="1:68" ht="14.25" hidden="1" customHeight="1" x14ac:dyDescent="0.25">
      <c r="A124" s="587" t="s">
        <v>103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61">
        <v>4680115882577</v>
      </c>
      <c r="E125" s="562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217</v>
      </c>
      <c r="M125" s="33" t="s">
        <v>98</v>
      </c>
      <c r="N125" s="33"/>
      <c r="O125" s="32">
        <v>90</v>
      </c>
      <c r="P125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3"/>
      <c r="R125" s="553"/>
      <c r="S125" s="553"/>
      <c r="T125" s="554"/>
      <c r="U125" s="34"/>
      <c r="V125" s="34"/>
      <c r="W125" s="35" t="s">
        <v>70</v>
      </c>
      <c r="X125" s="543">
        <v>88</v>
      </c>
      <c r="Y125" s="544">
        <f>IFERROR(IF(X125="",0,CEILING((X125/$H125),1)*$H125),"")</f>
        <v>89.600000000000009</v>
      </c>
      <c r="Z125" s="36">
        <f>IFERROR(IF(Y125=0,"",ROUNDUP(Y125/H125,0)*0.00651),"")</f>
        <v>0.18228</v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92.949999999999989</v>
      </c>
      <c r="BN125" s="64">
        <f>IFERROR(Y125*I125/H125,"0")</f>
        <v>94.64</v>
      </c>
      <c r="BO125" s="64">
        <f>IFERROR(1/J125*(X125/H125),"0")</f>
        <v>0.15109890109890112</v>
      </c>
      <c r="BP125" s="64">
        <f>IFERROR(1/J125*(Y125/H125),"0")</f>
        <v>0.15384615384615385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61">
        <v>4680115882577</v>
      </c>
      <c r="E126" s="562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3"/>
      <c r="R126" s="553"/>
      <c r="S126" s="553"/>
      <c r="T126" s="554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9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0"/>
      <c r="P127" s="549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5">
        <f>IFERROR(X125/H125,"0")+IFERROR(X126/H126,"0")</f>
        <v>27.5</v>
      </c>
      <c r="Y127" s="545">
        <f>IFERROR(Y125/H125,"0")+IFERROR(Y126/H126,"0")</f>
        <v>28</v>
      </c>
      <c r="Z127" s="545">
        <f>IFERROR(IF(Z125="",0,Z125),"0")+IFERROR(IF(Z126="",0,Z126),"0")</f>
        <v>0.18228</v>
      </c>
      <c r="AA127" s="546"/>
      <c r="AB127" s="546"/>
      <c r="AC127" s="546"/>
    </row>
    <row r="128" spans="1:68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0"/>
      <c r="P128" s="549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5">
        <f>IFERROR(SUM(X125:X126),"0")</f>
        <v>88</v>
      </c>
      <c r="Y128" s="545">
        <f>IFERROR(SUM(Y125:Y126),"0")</f>
        <v>89.600000000000009</v>
      </c>
      <c r="Z128" s="37"/>
      <c r="AA128" s="546"/>
      <c r="AB128" s="546"/>
      <c r="AC128" s="546"/>
    </row>
    <row r="129" spans="1:68" ht="14.25" hidden="1" customHeight="1" x14ac:dyDescent="0.25">
      <c r="A129" s="587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9"/>
      <c r="AB129" s="539"/>
      <c r="AC129" s="539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61">
        <v>4680115883444</v>
      </c>
      <c r="E130" s="562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61">
        <v>4680115883444</v>
      </c>
      <c r="E131" s="562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217</v>
      </c>
      <c r="M131" s="33" t="s">
        <v>98</v>
      </c>
      <c r="N131" s="33"/>
      <c r="O131" s="32">
        <v>90</v>
      </c>
      <c r="P131" s="6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3"/>
      <c r="R131" s="553"/>
      <c r="S131" s="553"/>
      <c r="T131" s="554"/>
      <c r="U131" s="34"/>
      <c r="V131" s="34"/>
      <c r="W131" s="35" t="s">
        <v>70</v>
      </c>
      <c r="X131" s="543">
        <v>35</v>
      </c>
      <c r="Y131" s="544">
        <f>IFERROR(IF(X131="",0,CEILING((X131/$H131),1)*$H131),"")</f>
        <v>36.4</v>
      </c>
      <c r="Z131" s="36">
        <f>IFERROR(IF(Y131=0,"",ROUNDUP(Y131/H131,0)*0.00651),"")</f>
        <v>8.4629999999999997E-2</v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38.35</v>
      </c>
      <c r="BN131" s="64">
        <f>IFERROR(Y131*I131/H131,"0")</f>
        <v>39.884</v>
      </c>
      <c r="BO131" s="64">
        <f>IFERROR(1/J131*(X131/H131),"0")</f>
        <v>6.8681318681318687E-2</v>
      </c>
      <c r="BP131" s="64">
        <f>IFERROR(1/J131*(Y131/H131),"0")</f>
        <v>7.1428571428571438E-2</v>
      </c>
    </row>
    <row r="132" spans="1:68" x14ac:dyDescent="0.2">
      <c r="A132" s="559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0"/>
      <c r="P132" s="549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5">
        <f>IFERROR(X130/H130,"0")+IFERROR(X131/H131,"0")</f>
        <v>12.5</v>
      </c>
      <c r="Y132" s="545">
        <f>IFERROR(Y130/H130,"0")+IFERROR(Y131/H131,"0")</f>
        <v>13</v>
      </c>
      <c r="Z132" s="545">
        <f>IFERROR(IF(Z130="",0,Z130),"0")+IFERROR(IF(Z131="",0,Z131),"0")</f>
        <v>8.4629999999999997E-2</v>
      </c>
      <c r="AA132" s="546"/>
      <c r="AB132" s="546"/>
      <c r="AC132" s="546"/>
    </row>
    <row r="133" spans="1:68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0"/>
      <c r="P133" s="549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5">
        <f>IFERROR(SUM(X130:X131),"0")</f>
        <v>35</v>
      </c>
      <c r="Y133" s="545">
        <f>IFERROR(SUM(Y130:Y131),"0")</f>
        <v>36.4</v>
      </c>
      <c r="Z133" s="37"/>
      <c r="AA133" s="546"/>
      <c r="AB133" s="546"/>
      <c r="AC133" s="546"/>
    </row>
    <row r="134" spans="1:68" ht="14.25" hidden="1" customHeight="1" x14ac:dyDescent="0.25">
      <c r="A134" s="587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9"/>
      <c r="AB134" s="539"/>
      <c r="AC134" s="539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61">
        <v>4680115882584</v>
      </c>
      <c r="E135" s="562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3"/>
      <c r="R135" s="553"/>
      <c r="S135" s="553"/>
      <c r="T135" s="554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61">
        <v>4680115882584</v>
      </c>
      <c r="E136" s="562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 t="s">
        <v>217</v>
      </c>
      <c r="M136" s="33" t="s">
        <v>98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3"/>
      <c r="R136" s="553"/>
      <c r="S136" s="553"/>
      <c r="T136" s="554"/>
      <c r="U136" s="34"/>
      <c r="V136" s="34"/>
      <c r="W136" s="35" t="s">
        <v>70</v>
      </c>
      <c r="X136" s="543">
        <v>66</v>
      </c>
      <c r="Y136" s="544">
        <f>IFERROR(IF(X136="",0,CEILING((X136/$H136),1)*$H136),"")</f>
        <v>66</v>
      </c>
      <c r="Z136" s="36">
        <f>IFERROR(IF(Y136=0,"",ROUNDUP(Y136/H136,0)*0.00651),"")</f>
        <v>0.16275000000000001</v>
      </c>
      <c r="AA136" s="56"/>
      <c r="AB136" s="57"/>
      <c r="AC136" s="177" t="s">
        <v>227</v>
      </c>
      <c r="AG136" s="64"/>
      <c r="AJ136" s="68" t="s">
        <v>110</v>
      </c>
      <c r="AK136" s="68">
        <v>36.96</v>
      </c>
      <c r="BB136" s="178" t="s">
        <v>1</v>
      </c>
      <c r="BM136" s="64">
        <f>IFERROR(X136*I136/H136,"0")</f>
        <v>72.699999999999989</v>
      </c>
      <c r="BN136" s="64">
        <f>IFERROR(Y136*I136/H136,"0")</f>
        <v>72.699999999999989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x14ac:dyDescent="0.2">
      <c r="A137" s="559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0"/>
      <c r="P137" s="549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5">
        <f>IFERROR(X135/H135,"0")+IFERROR(X136/H136,"0")</f>
        <v>25</v>
      </c>
      <c r="Y137" s="545">
        <f>IFERROR(Y135/H135,"0")+IFERROR(Y136/H136,"0")</f>
        <v>25</v>
      </c>
      <c r="Z137" s="545">
        <f>IFERROR(IF(Z135="",0,Z135),"0")+IFERROR(IF(Z136="",0,Z136),"0")</f>
        <v>0.16275000000000001</v>
      </c>
      <c r="AA137" s="546"/>
      <c r="AB137" s="546"/>
      <c r="AC137" s="546"/>
    </row>
    <row r="138" spans="1:68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0"/>
      <c r="P138" s="549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5">
        <f>IFERROR(SUM(X135:X136),"0")</f>
        <v>66</v>
      </c>
      <c r="Y138" s="545">
        <f>IFERROR(SUM(Y135:Y136),"0")</f>
        <v>66</v>
      </c>
      <c r="Z138" s="37"/>
      <c r="AA138" s="546"/>
      <c r="AB138" s="546"/>
      <c r="AC138" s="546"/>
    </row>
    <row r="139" spans="1:68" ht="16.5" hidden="1" customHeight="1" x14ac:dyDescent="0.25">
      <c r="A139" s="555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8"/>
      <c r="AB139" s="538"/>
      <c r="AC139" s="538"/>
    </row>
    <row r="140" spans="1:68" ht="14.25" hidden="1" customHeight="1" x14ac:dyDescent="0.25">
      <c r="A140" s="587" t="s">
        <v>103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9"/>
      <c r="AB140" s="539"/>
      <c r="AC140" s="539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61">
        <v>4680115887374</v>
      </c>
      <c r="E141" s="562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3"/>
      <c r="R141" s="553"/>
      <c r="S141" s="553"/>
      <c r="T141" s="554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61">
        <v>4607091384604</v>
      </c>
      <c r="E142" s="562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3"/>
      <c r="R142" s="553"/>
      <c r="S142" s="553"/>
      <c r="T142" s="554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9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0"/>
      <c r="P143" s="549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0"/>
      <c r="P144" s="549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87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9"/>
      <c r="AB145" s="539"/>
      <c r="AC145" s="539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61">
        <v>4607091387667</v>
      </c>
      <c r="E146" s="562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2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61">
        <v>4607091387636</v>
      </c>
      <c r="E147" s="562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61">
        <v>4607091382426</v>
      </c>
      <c r="E148" s="562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9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60"/>
      <c r="P149" s="549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60"/>
      <c r="P150" s="549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87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9"/>
      <c r="AB151" s="539"/>
      <c r="AC151" s="539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61">
        <v>4680115887459</v>
      </c>
      <c r="E152" s="562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3"/>
      <c r="R152" s="553"/>
      <c r="S152" s="553"/>
      <c r="T152" s="554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9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60"/>
      <c r="P153" s="549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60"/>
      <c r="P154" s="549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64" t="s">
        <v>254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48"/>
      <c r="AB155" s="48"/>
      <c r="AC155" s="48"/>
    </row>
    <row r="156" spans="1:68" ht="16.5" hidden="1" customHeight="1" x14ac:dyDescent="0.25">
      <c r="A156" s="555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8"/>
      <c r="AB156" s="538"/>
      <c r="AC156" s="538"/>
    </row>
    <row r="157" spans="1:68" ht="14.25" hidden="1" customHeight="1" x14ac:dyDescent="0.25">
      <c r="A157" s="587" t="s">
        <v>139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9"/>
      <c r="AB157" s="539"/>
      <c r="AC157" s="539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61">
        <v>4680115886223</v>
      </c>
      <c r="E158" s="562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9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60"/>
      <c r="P159" s="549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60"/>
      <c r="P160" s="549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87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61">
        <v>4680115880993</v>
      </c>
      <c r="E162" s="562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114</v>
      </c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70</v>
      </c>
      <c r="X162" s="543">
        <v>60</v>
      </c>
      <c r="Y162" s="544">
        <f t="shared" ref="Y162:Y171" si="5">IFERROR(IF(X162="",0,CEILING((X162/$H162),1)*$H162),"")</f>
        <v>63</v>
      </c>
      <c r="Z162" s="36">
        <f>IFERROR(IF(Y162=0,"",ROUNDUP(Y162/H162,0)*0.00902),"")</f>
        <v>0.1353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63.571428571428569</v>
      </c>
      <c r="BN162" s="64">
        <f t="shared" ref="BN162:BN171" si="7">IFERROR(Y162*I162/H162,"0")</f>
        <v>66.75</v>
      </c>
      <c r="BO162" s="64">
        <f t="shared" ref="BO162:BO171" si="8">IFERROR(1/J162*(X162/H162),"0")</f>
        <v>0.10822510822510822</v>
      </c>
      <c r="BP162" s="64">
        <f t="shared" ref="BP162:BP171" si="9">IFERROR(1/J162*(Y162/H162),"0")</f>
        <v>0.11363636363636365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61">
        <v>4680115881761</v>
      </c>
      <c r="E163" s="562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 t="s">
        <v>114</v>
      </c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70</v>
      </c>
      <c r="X163" s="543">
        <v>30</v>
      </c>
      <c r="Y163" s="544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264</v>
      </c>
      <c r="AG163" s="64"/>
      <c r="AJ163" s="68" t="s">
        <v>110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61">
        <v>4680115881563</v>
      </c>
      <c r="E164" s="562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70</v>
      </c>
      <c r="X164" s="543">
        <v>60</v>
      </c>
      <c r="Y164" s="544">
        <f t="shared" si="5"/>
        <v>63</v>
      </c>
      <c r="Z164" s="36">
        <f>IFERROR(IF(Y164=0,"",ROUNDUP(Y164/H164,0)*0.00902),"")</f>
        <v>0.1353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62.714285714285708</v>
      </c>
      <c r="BN164" s="64">
        <f t="shared" si="7"/>
        <v>65.849999999999994</v>
      </c>
      <c r="BO164" s="64">
        <f t="shared" si="8"/>
        <v>0.10822510822510822</v>
      </c>
      <c r="BP164" s="64">
        <f t="shared" si="9"/>
        <v>0.11363636363636365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61">
        <v>4680115880986</v>
      </c>
      <c r="E165" s="562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70</v>
      </c>
      <c r="X165" s="543">
        <v>210</v>
      </c>
      <c r="Y165" s="544">
        <f t="shared" si="5"/>
        <v>210</v>
      </c>
      <c r="Z165" s="36">
        <f>IFERROR(IF(Y165=0,"",ROUNDUP(Y165/H165,0)*0.00502),"")</f>
        <v>0.502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223</v>
      </c>
      <c r="BN165" s="64">
        <f t="shared" si="7"/>
        <v>223</v>
      </c>
      <c r="BO165" s="64">
        <f t="shared" si="8"/>
        <v>0.42735042735042739</v>
      </c>
      <c r="BP165" s="64">
        <f t="shared" si="9"/>
        <v>0.42735042735042739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61">
        <v>4680115887213</v>
      </c>
      <c r="E166" s="562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3"/>
      <c r="R166" s="553"/>
      <c r="S166" s="553"/>
      <c r="T166" s="554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61">
        <v>4680115881785</v>
      </c>
      <c r="E167" s="562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3"/>
      <c r="R167" s="553"/>
      <c r="S167" s="553"/>
      <c r="T167" s="554"/>
      <c r="U167" s="34"/>
      <c r="V167" s="34"/>
      <c r="W167" s="35" t="s">
        <v>70</v>
      </c>
      <c r="X167" s="543">
        <v>140</v>
      </c>
      <c r="Y167" s="544">
        <f t="shared" si="5"/>
        <v>140.70000000000002</v>
      </c>
      <c r="Z167" s="36">
        <f>IFERROR(IF(Y167=0,"",ROUNDUP(Y167/H167,0)*0.00502),"")</f>
        <v>0.33634000000000003</v>
      </c>
      <c r="AA167" s="56"/>
      <c r="AB167" s="57"/>
      <c r="AC167" s="203" t="s">
        <v>264</v>
      </c>
      <c r="AG167" s="64"/>
      <c r="AJ167" s="68" t="s">
        <v>110</v>
      </c>
      <c r="AK167" s="68">
        <v>37.799999999999997</v>
      </c>
      <c r="BB167" s="204" t="s">
        <v>1</v>
      </c>
      <c r="BM167" s="64">
        <f t="shared" si="6"/>
        <v>148.66666666666666</v>
      </c>
      <c r="BN167" s="64">
        <f t="shared" si="7"/>
        <v>149.41</v>
      </c>
      <c r="BO167" s="64">
        <f t="shared" si="8"/>
        <v>0.28490028490028491</v>
      </c>
      <c r="BP167" s="64">
        <f t="shared" si="9"/>
        <v>0.28632478632478636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61">
        <v>4680115886537</v>
      </c>
      <c r="E168" s="562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3"/>
      <c r="R168" s="553"/>
      <c r="S168" s="553"/>
      <c r="T168" s="554"/>
      <c r="U168" s="34"/>
      <c r="V168" s="34"/>
      <c r="W168" s="35" t="s">
        <v>70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61">
        <v>4680115881679</v>
      </c>
      <c r="E169" s="562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3"/>
      <c r="R169" s="553"/>
      <c r="S169" s="553"/>
      <c r="T169" s="554"/>
      <c r="U169" s="34"/>
      <c r="V169" s="34"/>
      <c r="W169" s="35" t="s">
        <v>70</v>
      </c>
      <c r="X169" s="543">
        <v>280</v>
      </c>
      <c r="Y169" s="544">
        <f t="shared" si="5"/>
        <v>281.40000000000003</v>
      </c>
      <c r="Z169" s="36">
        <f>IFERROR(IF(Y169=0,"",ROUNDUP(Y169/H169,0)*0.00502),"")</f>
        <v>0.67268000000000006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293.33333333333331</v>
      </c>
      <c r="BN169" s="64">
        <f t="shared" si="7"/>
        <v>294.80000000000007</v>
      </c>
      <c r="BO169" s="64">
        <f t="shared" si="8"/>
        <v>0.56980056980056981</v>
      </c>
      <c r="BP169" s="64">
        <f t="shared" si="9"/>
        <v>0.57264957264957272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1">
        <v>4680115880191</v>
      </c>
      <c r="E170" s="562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3"/>
      <c r="R170" s="553"/>
      <c r="S170" s="553"/>
      <c r="T170" s="554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1">
        <v>4680115883963</v>
      </c>
      <c r="E171" s="562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3"/>
      <c r="R171" s="553"/>
      <c r="S171" s="553"/>
      <c r="T171" s="554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9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60"/>
      <c r="P172" s="549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335.71428571428567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339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1.85378</v>
      </c>
      <c r="AA172" s="546"/>
      <c r="AB172" s="546"/>
      <c r="AC172" s="546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60"/>
      <c r="P173" s="549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5">
        <f>IFERROR(SUM(X162:X171),"0")</f>
        <v>780</v>
      </c>
      <c r="Y173" s="545">
        <f>IFERROR(SUM(Y162:Y171),"0")</f>
        <v>791.7</v>
      </c>
      <c r="Z173" s="37"/>
      <c r="AA173" s="546"/>
      <c r="AB173" s="546"/>
      <c r="AC173" s="546"/>
    </row>
    <row r="174" spans="1:68" ht="14.25" hidden="1" customHeight="1" x14ac:dyDescent="0.25">
      <c r="A174" s="587" t="s">
        <v>95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61">
        <v>4680115886780</v>
      </c>
      <c r="E175" s="562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70</v>
      </c>
      <c r="X175" s="543">
        <v>7.0000000000000009</v>
      </c>
      <c r="Y175" s="544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61">
        <v>4680115886742</v>
      </c>
      <c r="E176" s="562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70</v>
      </c>
      <c r="X176" s="543">
        <v>7.0000000000000009</v>
      </c>
      <c r="Y176" s="544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61">
        <v>4680115886766</v>
      </c>
      <c r="E177" s="562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6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3"/>
      <c r="R177" s="553"/>
      <c r="S177" s="553"/>
      <c r="T177" s="554"/>
      <c r="U177" s="34"/>
      <c r="V177" s="34"/>
      <c r="W177" s="35" t="s">
        <v>70</v>
      </c>
      <c r="X177" s="543">
        <v>10.5</v>
      </c>
      <c r="Y177" s="544">
        <f>IFERROR(IF(X177="",0,CEILING((X177/$H177),1)*$H177),"")</f>
        <v>11.34</v>
      </c>
      <c r="Z177" s="36">
        <f>IFERROR(IF(Y177=0,"",ROUNDUP(Y177/H177,0)*0.0059),"")</f>
        <v>5.3100000000000001E-2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12.083333333333332</v>
      </c>
      <c r="BN177" s="64">
        <f>IFERROR(Y177*I177/H177,"0")</f>
        <v>13.049999999999999</v>
      </c>
      <c r="BO177" s="64">
        <f>IFERROR(1/J177*(X177/H177),"0")</f>
        <v>3.8580246913580245E-2</v>
      </c>
      <c r="BP177" s="64">
        <f>IFERROR(1/J177*(Y177/H177),"0")</f>
        <v>4.1666666666666664E-2</v>
      </c>
    </row>
    <row r="178" spans="1:68" x14ac:dyDescent="0.2">
      <c r="A178" s="559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0"/>
      <c r="P178" s="549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5">
        <f>IFERROR(X175/H175,"0")+IFERROR(X176/H176,"0")+IFERROR(X177/H177,"0")</f>
        <v>19.444444444444446</v>
      </c>
      <c r="Y178" s="545">
        <f>IFERROR(Y175/H175,"0")+IFERROR(Y176/H176,"0")+IFERROR(Y177/H177,"0")</f>
        <v>21</v>
      </c>
      <c r="Z178" s="545">
        <f>IFERROR(IF(Z175="",0,Z175),"0")+IFERROR(IF(Z176="",0,Z176),"0")+IFERROR(IF(Z177="",0,Z177),"0")</f>
        <v>0.12390000000000001</v>
      </c>
      <c r="AA178" s="546"/>
      <c r="AB178" s="546"/>
      <c r="AC178" s="546"/>
    </row>
    <row r="179" spans="1:68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0"/>
      <c r="P179" s="549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5">
        <f>IFERROR(SUM(X175:X177),"0")</f>
        <v>24.5</v>
      </c>
      <c r="Y179" s="545">
        <f>IFERROR(SUM(Y175:Y177),"0")</f>
        <v>26.46</v>
      </c>
      <c r="Z179" s="37"/>
      <c r="AA179" s="546"/>
      <c r="AB179" s="546"/>
      <c r="AC179" s="546"/>
    </row>
    <row r="180" spans="1:68" ht="14.25" hidden="1" customHeight="1" x14ac:dyDescent="0.25">
      <c r="A180" s="587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61">
        <v>4680115886797</v>
      </c>
      <c r="E181" s="562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3"/>
      <c r="R181" s="553"/>
      <c r="S181" s="553"/>
      <c r="T181" s="554"/>
      <c r="U181" s="34"/>
      <c r="V181" s="34"/>
      <c r="W181" s="35" t="s">
        <v>70</v>
      </c>
      <c r="X181" s="543">
        <v>10.5</v>
      </c>
      <c r="Y181" s="544">
        <f>IFERROR(IF(X181="",0,CEILING((X181/$H181),1)*$H181),"")</f>
        <v>11.34</v>
      </c>
      <c r="Z181" s="36">
        <f>IFERROR(IF(Y181=0,"",ROUNDUP(Y181/H181,0)*0.0059),"")</f>
        <v>5.3100000000000001E-2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12.083333333333332</v>
      </c>
      <c r="BN181" s="64">
        <f>IFERROR(Y181*I181/H181,"0")</f>
        <v>13.049999999999999</v>
      </c>
      <c r="BO181" s="64">
        <f>IFERROR(1/J181*(X181/H181),"0")</f>
        <v>3.8580246913580245E-2</v>
      </c>
      <c r="BP181" s="64">
        <f>IFERROR(1/J181*(Y181/H181),"0")</f>
        <v>4.1666666666666664E-2</v>
      </c>
    </row>
    <row r="182" spans="1:68" x14ac:dyDescent="0.2">
      <c r="A182" s="559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60"/>
      <c r="P182" s="549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5">
        <f>IFERROR(X181/H181,"0")</f>
        <v>8.3333333333333339</v>
      </c>
      <c r="Y182" s="545">
        <f>IFERROR(Y181/H181,"0")</f>
        <v>9</v>
      </c>
      <c r="Z182" s="545">
        <f>IFERROR(IF(Z181="",0,Z181),"0")</f>
        <v>5.3100000000000001E-2</v>
      </c>
      <c r="AA182" s="546"/>
      <c r="AB182" s="546"/>
      <c r="AC182" s="546"/>
    </row>
    <row r="183" spans="1:68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60"/>
      <c r="P183" s="549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5">
        <f>IFERROR(SUM(X181:X181),"0")</f>
        <v>10.5</v>
      </c>
      <c r="Y183" s="545">
        <f>IFERROR(SUM(Y181:Y181),"0")</f>
        <v>11.34</v>
      </c>
      <c r="Z183" s="37"/>
      <c r="AA183" s="546"/>
      <c r="AB183" s="546"/>
      <c r="AC183" s="546"/>
    </row>
    <row r="184" spans="1:68" ht="16.5" hidden="1" customHeight="1" x14ac:dyDescent="0.25">
      <c r="A184" s="555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8"/>
      <c r="AB184" s="538"/>
      <c r="AC184" s="538"/>
    </row>
    <row r="185" spans="1:68" ht="14.25" hidden="1" customHeight="1" x14ac:dyDescent="0.25">
      <c r="A185" s="587" t="s">
        <v>103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39"/>
      <c r="AB185" s="539"/>
      <c r="AC185" s="539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61">
        <v>4680115881402</v>
      </c>
      <c r="E186" s="562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3"/>
      <c r="R186" s="553"/>
      <c r="S186" s="553"/>
      <c r="T186" s="554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1">
        <v>4680115881396</v>
      </c>
      <c r="E187" s="562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3"/>
      <c r="R187" s="553"/>
      <c r="S187" s="553"/>
      <c r="T187" s="554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9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0"/>
      <c r="P188" s="549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0"/>
      <c r="P189" s="549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87" t="s">
        <v>139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1">
        <v>4680115882935</v>
      </c>
      <c r="E191" s="562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3"/>
      <c r="R191" s="553"/>
      <c r="S191" s="553"/>
      <c r="T191" s="554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1">
        <v>4680115880764</v>
      </c>
      <c r="E192" s="562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/>
      <c r="M192" s="33" t="s">
        <v>108</v>
      </c>
      <c r="N192" s="33"/>
      <c r="O192" s="32">
        <v>50</v>
      </c>
      <c r="P192" s="6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3"/>
      <c r="R192" s="553"/>
      <c r="S192" s="553"/>
      <c r="T192" s="554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9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60"/>
      <c r="P193" s="549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0"/>
      <c r="P194" s="549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87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1">
        <v>4680115882683</v>
      </c>
      <c r="E196" s="562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70</v>
      </c>
      <c r="X196" s="543">
        <v>160</v>
      </c>
      <c r="Y196" s="544">
        <f t="shared" ref="Y196:Y203" si="10">IFERROR(IF(X196="",0,CEILING((X196/$H196),1)*$H196),"")</f>
        <v>162</v>
      </c>
      <c r="Z196" s="36">
        <f>IFERROR(IF(Y196=0,"",ROUNDUP(Y196/H196,0)*0.00902),"")</f>
        <v>0.27060000000000001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165.62962962962962</v>
      </c>
      <c r="BN196" s="64">
        <f t="shared" ref="BN196:BN203" si="12">IFERROR(Y196*I196/H196,"0")</f>
        <v>167.7</v>
      </c>
      <c r="BO196" s="64">
        <f t="shared" ref="BO196:BO203" si="13">IFERROR(1/J196*(X196/H196),"0")</f>
        <v>0.22446689113355778</v>
      </c>
      <c r="BP196" s="64">
        <f t="shared" ref="BP196:BP203" si="14">IFERROR(1/J196*(Y196/H196),"0")</f>
        <v>0.22727272727272727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1">
        <v>4680115882690</v>
      </c>
      <c r="E197" s="562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70</v>
      </c>
      <c r="X197" s="543">
        <v>50</v>
      </c>
      <c r="Y197" s="544">
        <f t="shared" si="10"/>
        <v>54</v>
      </c>
      <c r="Z197" s="36">
        <f>IFERROR(IF(Y197=0,"",ROUNDUP(Y197/H197,0)*0.00902),"")</f>
        <v>9.0200000000000002E-2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51.759259259259252</v>
      </c>
      <c r="BN197" s="64">
        <f t="shared" si="12"/>
        <v>55.9</v>
      </c>
      <c r="BO197" s="64">
        <f t="shared" si="13"/>
        <v>7.0145903479236812E-2</v>
      </c>
      <c r="BP197" s="64">
        <f t="shared" si="14"/>
        <v>7.575757575757576E-2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61">
        <v>4680115882669</v>
      </c>
      <c r="E198" s="562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70</v>
      </c>
      <c r="X198" s="543">
        <v>600</v>
      </c>
      <c r="Y198" s="544">
        <f t="shared" si="10"/>
        <v>604.80000000000007</v>
      </c>
      <c r="Z198" s="36">
        <f>IFERROR(IF(Y198=0,"",ROUNDUP(Y198/H198,0)*0.00902),"")</f>
        <v>1.01024</v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621.11111111111109</v>
      </c>
      <c r="BN198" s="64">
        <f t="shared" si="12"/>
        <v>626.08000000000004</v>
      </c>
      <c r="BO198" s="64">
        <f t="shared" si="13"/>
        <v>0.84175084175084169</v>
      </c>
      <c r="BP198" s="64">
        <f t="shared" si="14"/>
        <v>0.84848484848484851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1">
        <v>4680115882676</v>
      </c>
      <c r="E199" s="562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3"/>
      <c r="R199" s="553"/>
      <c r="S199" s="553"/>
      <c r="T199" s="554"/>
      <c r="U199" s="34"/>
      <c r="V199" s="34"/>
      <c r="W199" s="35" t="s">
        <v>70</v>
      </c>
      <c r="X199" s="543">
        <v>100</v>
      </c>
      <c r="Y199" s="544">
        <f t="shared" si="10"/>
        <v>102.60000000000001</v>
      </c>
      <c r="Z199" s="36">
        <f>IFERROR(IF(Y199=0,"",ROUNDUP(Y199/H199,0)*0.00902),"")</f>
        <v>0.17138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103.5185185185185</v>
      </c>
      <c r="BN199" s="64">
        <f t="shared" si="12"/>
        <v>106.21</v>
      </c>
      <c r="BO199" s="64">
        <f t="shared" si="13"/>
        <v>0.14029180695847362</v>
      </c>
      <c r="BP199" s="64">
        <f t="shared" si="14"/>
        <v>0.14393939393939395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61">
        <v>4680115884014</v>
      </c>
      <c r="E200" s="562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70</v>
      </c>
      <c r="X200" s="543">
        <v>180</v>
      </c>
      <c r="Y200" s="544">
        <f t="shared" si="10"/>
        <v>180</v>
      </c>
      <c r="Z200" s="36">
        <f>IFERROR(IF(Y200=0,"",ROUNDUP(Y200/H200,0)*0.00502),"")</f>
        <v>0.502</v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192.99999999999997</v>
      </c>
      <c r="BN200" s="64">
        <f t="shared" si="12"/>
        <v>192.99999999999997</v>
      </c>
      <c r="BO200" s="64">
        <f t="shared" si="13"/>
        <v>0.42735042735042739</v>
      </c>
      <c r="BP200" s="64">
        <f t="shared" si="14"/>
        <v>0.42735042735042739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61">
        <v>4680115884007</v>
      </c>
      <c r="E201" s="562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70</v>
      </c>
      <c r="X201" s="543">
        <v>60</v>
      </c>
      <c r="Y201" s="544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61">
        <v>4680115884038</v>
      </c>
      <c r="E202" s="562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 t="s">
        <v>270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70</v>
      </c>
      <c r="X202" s="543">
        <v>75</v>
      </c>
      <c r="Y202" s="544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318</v>
      </c>
      <c r="AG202" s="64"/>
      <c r="AJ202" s="68" t="s">
        <v>110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61">
        <v>4680115884021</v>
      </c>
      <c r="E203" s="562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3"/>
      <c r="R203" s="553"/>
      <c r="S203" s="553"/>
      <c r="T203" s="554"/>
      <c r="U203" s="34"/>
      <c r="V203" s="34"/>
      <c r="W203" s="35" t="s">
        <v>70</v>
      </c>
      <c r="X203" s="543">
        <v>75</v>
      </c>
      <c r="Y203" s="544">
        <f t="shared" si="10"/>
        <v>75.600000000000009</v>
      </c>
      <c r="Z203" s="36">
        <f>IFERROR(IF(Y203=0,"",ROUNDUP(Y203/H203,0)*0.00502),"")</f>
        <v>0.21084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79.166666666666671</v>
      </c>
      <c r="BN203" s="64">
        <f t="shared" si="12"/>
        <v>79.800000000000011</v>
      </c>
      <c r="BO203" s="64">
        <f t="shared" si="13"/>
        <v>0.17806267806267806</v>
      </c>
      <c r="BP203" s="64">
        <f t="shared" si="14"/>
        <v>0.17948717948717954</v>
      </c>
    </row>
    <row r="204" spans="1:68" x14ac:dyDescent="0.2">
      <c r="A204" s="559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60"/>
      <c r="P204" s="549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385.18518518518522</v>
      </c>
      <c r="Y204" s="545">
        <f>IFERROR(Y196/H196,"0")+IFERROR(Y197/H197,"0")+IFERROR(Y198/H198,"0")+IFERROR(Y199/H199,"0")+IFERROR(Y200/H200,"0")+IFERROR(Y201/H201,"0")+IFERROR(Y202/H202,"0")+IFERROR(Y203/H203,"0")</f>
        <v>389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2.6367800000000003</v>
      </c>
      <c r="AA204" s="546"/>
      <c r="AB204" s="546"/>
      <c r="AC204" s="546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60"/>
      <c r="P205" s="549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5">
        <f>IFERROR(SUM(X196:X203),"0")</f>
        <v>1300</v>
      </c>
      <c r="Y205" s="545">
        <f>IFERROR(SUM(Y196:Y203),"0")</f>
        <v>1315.8</v>
      </c>
      <c r="Z205" s="37"/>
      <c r="AA205" s="546"/>
      <c r="AB205" s="546"/>
      <c r="AC205" s="546"/>
    </row>
    <row r="206" spans="1:68" ht="14.25" hidden="1" customHeight="1" x14ac:dyDescent="0.25">
      <c r="A206" s="587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61">
        <v>4680115881594</v>
      </c>
      <c r="E207" s="562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3"/>
      <c r="R207" s="553"/>
      <c r="S207" s="553"/>
      <c r="T207" s="554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61">
        <v>4680115881617</v>
      </c>
      <c r="E208" s="562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7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3"/>
      <c r="R208" s="553"/>
      <c r="S208" s="553"/>
      <c r="T208" s="554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61">
        <v>4680115880573</v>
      </c>
      <c r="E209" s="562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3"/>
      <c r="R209" s="553"/>
      <c r="S209" s="553"/>
      <c r="T209" s="554"/>
      <c r="U209" s="34"/>
      <c r="V209" s="34"/>
      <c r="W209" s="35" t="s">
        <v>70</v>
      </c>
      <c r="X209" s="543">
        <v>120</v>
      </c>
      <c r="Y209" s="544">
        <f t="shared" si="15"/>
        <v>121.79999999999998</v>
      </c>
      <c r="Z209" s="36">
        <f>IFERROR(IF(Y209=0,"",ROUNDUP(Y209/H209,0)*0.01898),"")</f>
        <v>0.26572000000000001</v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126.8137931034483</v>
      </c>
      <c r="BN209" s="64">
        <f t="shared" si="17"/>
        <v>128.71600000000001</v>
      </c>
      <c r="BO209" s="64">
        <f t="shared" si="18"/>
        <v>0.21551724137931036</v>
      </c>
      <c r="BP209" s="64">
        <f t="shared" si="19"/>
        <v>0.21875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1">
        <v>4680115882195</v>
      </c>
      <c r="E210" s="562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217</v>
      </c>
      <c r="M210" s="33" t="s">
        <v>81</v>
      </c>
      <c r="N210" s="33"/>
      <c r="O210" s="32">
        <v>40</v>
      </c>
      <c r="P210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3"/>
      <c r="R210" s="553"/>
      <c r="S210" s="553"/>
      <c r="T210" s="554"/>
      <c r="U210" s="34"/>
      <c r="V210" s="34"/>
      <c r="W210" s="35" t="s">
        <v>70</v>
      </c>
      <c r="X210" s="543">
        <v>320</v>
      </c>
      <c r="Y210" s="544">
        <f t="shared" si="15"/>
        <v>321.59999999999997</v>
      </c>
      <c r="Z210" s="36">
        <f t="shared" ref="Z210:Z215" si="20">IFERROR(IF(Y210=0,"",ROUNDUP(Y210/H210,0)*0.00651),"")</f>
        <v>0.87234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356</v>
      </c>
      <c r="BN210" s="64">
        <f t="shared" si="17"/>
        <v>357.78</v>
      </c>
      <c r="BO210" s="64">
        <f t="shared" si="18"/>
        <v>0.73260073260073266</v>
      </c>
      <c r="BP210" s="64">
        <f t="shared" si="19"/>
        <v>0.73626373626373631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1">
        <v>4680115882607</v>
      </c>
      <c r="E211" s="562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3"/>
      <c r="R211" s="553"/>
      <c r="S211" s="553"/>
      <c r="T211" s="554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61">
        <v>4680115880092</v>
      </c>
      <c r="E212" s="562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217</v>
      </c>
      <c r="M212" s="33" t="s">
        <v>81</v>
      </c>
      <c r="N212" s="33"/>
      <c r="O212" s="32">
        <v>45</v>
      </c>
      <c r="P212" s="8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70</v>
      </c>
      <c r="X212" s="543">
        <v>360</v>
      </c>
      <c r="Y212" s="544">
        <f t="shared" si="15"/>
        <v>360</v>
      </c>
      <c r="Z212" s="36">
        <f t="shared" si="20"/>
        <v>0.97650000000000003</v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397.8</v>
      </c>
      <c r="BN212" s="64">
        <f t="shared" si="17"/>
        <v>397.8</v>
      </c>
      <c r="BO212" s="64">
        <f t="shared" si="18"/>
        <v>0.82417582417582425</v>
      </c>
      <c r="BP212" s="64">
        <f t="shared" si="19"/>
        <v>0.82417582417582425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61">
        <v>4680115880221</v>
      </c>
      <c r="E213" s="562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/>
      <c r="M213" s="33" t="s">
        <v>81</v>
      </c>
      <c r="N213" s="33"/>
      <c r="O213" s="32">
        <v>45</v>
      </c>
      <c r="P213" s="5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3"/>
      <c r="R213" s="553"/>
      <c r="S213" s="553"/>
      <c r="T213" s="554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61">
        <v>4680115880504</v>
      </c>
      <c r="E214" s="562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217</v>
      </c>
      <c r="M214" s="33" t="s">
        <v>88</v>
      </c>
      <c r="N214" s="33"/>
      <c r="O214" s="32">
        <v>40</v>
      </c>
      <c r="P214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3"/>
      <c r="R214" s="553"/>
      <c r="S214" s="553"/>
      <c r="T214" s="554"/>
      <c r="U214" s="34"/>
      <c r="V214" s="34"/>
      <c r="W214" s="35" t="s">
        <v>70</v>
      </c>
      <c r="X214" s="543">
        <v>160</v>
      </c>
      <c r="Y214" s="544">
        <f t="shared" si="15"/>
        <v>160.79999999999998</v>
      </c>
      <c r="Z214" s="36">
        <f t="shared" si="20"/>
        <v>0.43617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176.80000000000004</v>
      </c>
      <c r="BN214" s="64">
        <f t="shared" si="17"/>
        <v>177.684</v>
      </c>
      <c r="BO214" s="64">
        <f t="shared" si="18"/>
        <v>0.36630036630036633</v>
      </c>
      <c r="BP214" s="64">
        <f t="shared" si="19"/>
        <v>0.36813186813186816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61">
        <v>4680115882164</v>
      </c>
      <c r="E215" s="562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217</v>
      </c>
      <c r="M215" s="33" t="s">
        <v>81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3"/>
      <c r="R215" s="553"/>
      <c r="S215" s="553"/>
      <c r="T215" s="554"/>
      <c r="U215" s="34"/>
      <c r="V215" s="34"/>
      <c r="W215" s="35" t="s">
        <v>70</v>
      </c>
      <c r="X215" s="543">
        <v>240</v>
      </c>
      <c r="Y215" s="544">
        <f t="shared" si="15"/>
        <v>240</v>
      </c>
      <c r="Z215" s="36">
        <f t="shared" si="20"/>
        <v>0.65100000000000002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265.8</v>
      </c>
      <c r="BN215" s="64">
        <f t="shared" si="17"/>
        <v>265.8</v>
      </c>
      <c r="BO215" s="64">
        <f t="shared" si="18"/>
        <v>0.5494505494505495</v>
      </c>
      <c r="BP215" s="64">
        <f t="shared" si="19"/>
        <v>0.5494505494505495</v>
      </c>
    </row>
    <row r="216" spans="1:68" x14ac:dyDescent="0.2">
      <c r="A216" s="559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60"/>
      <c r="P216" s="549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463.79310344827587</v>
      </c>
      <c r="Y216" s="545">
        <f>IFERROR(Y207/H207,"0")+IFERROR(Y208/H208,"0")+IFERROR(Y209/H209,"0")+IFERROR(Y210/H210,"0")+IFERROR(Y211/H211,"0")+IFERROR(Y212/H212,"0")+IFERROR(Y213/H213,"0")+IFERROR(Y214/H214,"0")+IFERROR(Y215/H215,"0")</f>
        <v>465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3.2017300000000004</v>
      </c>
      <c r="AA216" s="546"/>
      <c r="AB216" s="546"/>
      <c r="AC216" s="546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60"/>
      <c r="P217" s="549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5">
        <f>IFERROR(SUM(X207:X215),"0")</f>
        <v>1200</v>
      </c>
      <c r="Y217" s="545">
        <f>IFERROR(SUM(Y207:Y215),"0")</f>
        <v>1204.1999999999998</v>
      </c>
      <c r="Z217" s="37"/>
      <c r="AA217" s="546"/>
      <c r="AB217" s="546"/>
      <c r="AC217" s="546"/>
    </row>
    <row r="218" spans="1:68" ht="14.25" hidden="1" customHeight="1" x14ac:dyDescent="0.25">
      <c r="A218" s="587" t="s">
        <v>167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61">
        <v>4680115880818</v>
      </c>
      <c r="E219" s="562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 t="s">
        <v>217</v>
      </c>
      <c r="M219" s="33" t="s">
        <v>88</v>
      </c>
      <c r="N219" s="33"/>
      <c r="O219" s="32">
        <v>40</v>
      </c>
      <c r="P219" s="7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70</v>
      </c>
      <c r="X219" s="543">
        <v>44</v>
      </c>
      <c r="Y219" s="544">
        <f>IFERROR(IF(X219="",0,CEILING((X219/$H219),1)*$H219),"")</f>
        <v>45.6</v>
      </c>
      <c r="Z219" s="36">
        <f>IFERROR(IF(Y219=0,"",ROUNDUP(Y219/H219,0)*0.00651),"")</f>
        <v>0.12369000000000001</v>
      </c>
      <c r="AA219" s="56"/>
      <c r="AB219" s="57"/>
      <c r="AC219" s="263" t="s">
        <v>354</v>
      </c>
      <c r="AG219" s="64"/>
      <c r="AJ219" s="68" t="s">
        <v>110</v>
      </c>
      <c r="AK219" s="68">
        <v>33.6</v>
      </c>
      <c r="BB219" s="264" t="s">
        <v>1</v>
      </c>
      <c r="BM219" s="64">
        <f>IFERROR(X219*I219/H219,"0")</f>
        <v>48.620000000000005</v>
      </c>
      <c r="BN219" s="64">
        <f>IFERROR(Y219*I219/H219,"0")</f>
        <v>50.388000000000005</v>
      </c>
      <c r="BO219" s="64">
        <f>IFERROR(1/J219*(X219/H219),"0")</f>
        <v>0.10073260073260075</v>
      </c>
      <c r="BP219" s="64">
        <f>IFERROR(1/J219*(Y219/H219),"0")</f>
        <v>0.1043956043956044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61">
        <v>4680115880801</v>
      </c>
      <c r="E220" s="562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217</v>
      </c>
      <c r="M220" s="33" t="s">
        <v>81</v>
      </c>
      <c r="N220" s="33"/>
      <c r="O220" s="32">
        <v>40</v>
      </c>
      <c r="P220" s="5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3"/>
      <c r="R220" s="553"/>
      <c r="S220" s="553"/>
      <c r="T220" s="554"/>
      <c r="U220" s="34"/>
      <c r="V220" s="34"/>
      <c r="W220" s="35" t="s">
        <v>70</v>
      </c>
      <c r="X220" s="543">
        <v>40</v>
      </c>
      <c r="Y220" s="544">
        <f>IFERROR(IF(X220="",0,CEILING((X220/$H220),1)*$H220),"")</f>
        <v>40.799999999999997</v>
      </c>
      <c r="Z220" s="36">
        <f>IFERROR(IF(Y220=0,"",ROUNDUP(Y220/H220,0)*0.00651),"")</f>
        <v>0.11067</v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44.20000000000001</v>
      </c>
      <c r="BN220" s="64">
        <f>IFERROR(Y220*I220/H220,"0")</f>
        <v>45.084000000000003</v>
      </c>
      <c r="BO220" s="64">
        <f>IFERROR(1/J220*(X220/H220),"0")</f>
        <v>9.1575091575091583E-2</v>
      </c>
      <c r="BP220" s="64">
        <f>IFERROR(1/J220*(Y220/H220),"0")</f>
        <v>9.3406593406593408E-2</v>
      </c>
    </row>
    <row r="221" spans="1:68" x14ac:dyDescent="0.2">
      <c r="A221" s="559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60"/>
      <c r="P221" s="549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5">
        <f>IFERROR(X219/H219,"0")+IFERROR(X220/H220,"0")</f>
        <v>35</v>
      </c>
      <c r="Y221" s="545">
        <f>IFERROR(Y219/H219,"0")+IFERROR(Y220/H220,"0")</f>
        <v>36</v>
      </c>
      <c r="Z221" s="545">
        <f>IFERROR(IF(Z219="",0,Z219),"0")+IFERROR(IF(Z220="",0,Z220),"0")</f>
        <v>0.23436000000000001</v>
      </c>
      <c r="AA221" s="546"/>
      <c r="AB221" s="546"/>
      <c r="AC221" s="546"/>
    </row>
    <row r="222" spans="1:68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0"/>
      <c r="P222" s="549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5">
        <f>IFERROR(SUM(X219:X220),"0")</f>
        <v>84</v>
      </c>
      <c r="Y222" s="545">
        <f>IFERROR(SUM(Y219:Y220),"0")</f>
        <v>86.4</v>
      </c>
      <c r="Z222" s="37"/>
      <c r="AA222" s="546"/>
      <c r="AB222" s="546"/>
      <c r="AC222" s="546"/>
    </row>
    <row r="223" spans="1:68" ht="16.5" hidden="1" customHeight="1" x14ac:dyDescent="0.25">
      <c r="A223" s="555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8"/>
      <c r="AB223" s="538"/>
      <c r="AC223" s="538"/>
    </row>
    <row r="224" spans="1:68" ht="14.25" hidden="1" customHeight="1" x14ac:dyDescent="0.25">
      <c r="A224" s="587" t="s">
        <v>103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9"/>
      <c r="AB224" s="539"/>
      <c r="AC224" s="539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61">
        <v>4680115884137</v>
      </c>
      <c r="E225" s="562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61">
        <v>4680115884236</v>
      </c>
      <c r="E226" s="562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61">
        <v>4680115884175</v>
      </c>
      <c r="E227" s="562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 t="s">
        <v>107</v>
      </c>
      <c r="M227" s="33" t="s">
        <v>108</v>
      </c>
      <c r="N227" s="33"/>
      <c r="O227" s="32">
        <v>55</v>
      </c>
      <c r="P227" s="7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3"/>
      <c r="R227" s="553"/>
      <c r="S227" s="553"/>
      <c r="T227" s="554"/>
      <c r="U227" s="34"/>
      <c r="V227" s="34"/>
      <c r="W227" s="35" t="s">
        <v>70</v>
      </c>
      <c r="X227" s="543">
        <v>60</v>
      </c>
      <c r="Y227" s="544">
        <f t="shared" si="21"/>
        <v>69.599999999999994</v>
      </c>
      <c r="Z227" s="36">
        <f>IFERROR(IF(Y227=0,"",ROUNDUP(Y227/H227,0)*0.01898),"")</f>
        <v>0.11388000000000001</v>
      </c>
      <c r="AA227" s="56"/>
      <c r="AB227" s="57"/>
      <c r="AC227" s="271" t="s">
        <v>367</v>
      </c>
      <c r="AG227" s="64"/>
      <c r="AJ227" s="68" t="s">
        <v>110</v>
      </c>
      <c r="AK227" s="68">
        <v>92.8</v>
      </c>
      <c r="BB227" s="272" t="s">
        <v>1</v>
      </c>
      <c r="BM227" s="64">
        <f t="shared" si="22"/>
        <v>62.12068965517242</v>
      </c>
      <c r="BN227" s="64">
        <f t="shared" si="23"/>
        <v>72.06</v>
      </c>
      <c r="BO227" s="64">
        <f t="shared" si="24"/>
        <v>8.0818965517241381E-2</v>
      </c>
      <c r="BP227" s="64">
        <f t="shared" si="25"/>
        <v>9.375E-2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61">
        <v>4680115884144</v>
      </c>
      <c r="E228" s="562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 t="s">
        <v>114</v>
      </c>
      <c r="M228" s="33" t="s">
        <v>108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3"/>
      <c r="R228" s="553"/>
      <c r="S228" s="553"/>
      <c r="T228" s="554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110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61">
        <v>4680115884144</v>
      </c>
      <c r="E229" s="562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61">
        <v>4680115886551</v>
      </c>
      <c r="E230" s="562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3"/>
      <c r="R230" s="553"/>
      <c r="S230" s="553"/>
      <c r="T230" s="554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61">
        <v>4680115884182</v>
      </c>
      <c r="E231" s="562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3"/>
      <c r="R231" s="553"/>
      <c r="S231" s="553"/>
      <c r="T231" s="554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61">
        <v>4680115887282</v>
      </c>
      <c r="E232" s="562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3"/>
      <c r="R232" s="553"/>
      <c r="S232" s="553"/>
      <c r="T232" s="554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61">
        <v>4680115884205</v>
      </c>
      <c r="E233" s="562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 t="s">
        <v>114</v>
      </c>
      <c r="M233" s="33" t="s">
        <v>108</v>
      </c>
      <c r="N233" s="33"/>
      <c r="O233" s="32">
        <v>55</v>
      </c>
      <c r="P233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3"/>
      <c r="R233" s="553"/>
      <c r="S233" s="553"/>
      <c r="T233" s="554"/>
      <c r="U233" s="34"/>
      <c r="V233" s="34"/>
      <c r="W233" s="35" t="s">
        <v>70</v>
      </c>
      <c r="X233" s="543">
        <v>92</v>
      </c>
      <c r="Y233" s="544">
        <f t="shared" si="21"/>
        <v>92</v>
      </c>
      <c r="Z233" s="36">
        <f>IFERROR(IF(Y233=0,"",ROUNDUP(Y233/H233,0)*0.00902),"")</f>
        <v>0.20746000000000001</v>
      </c>
      <c r="AA233" s="56"/>
      <c r="AB233" s="57"/>
      <c r="AC233" s="283" t="s">
        <v>367</v>
      </c>
      <c r="AG233" s="64"/>
      <c r="AJ233" s="68" t="s">
        <v>110</v>
      </c>
      <c r="AK233" s="68">
        <v>48</v>
      </c>
      <c r="BB233" s="284" t="s">
        <v>1</v>
      </c>
      <c r="BM233" s="64">
        <f t="shared" si="22"/>
        <v>96.37</v>
      </c>
      <c r="BN233" s="64">
        <f t="shared" si="23"/>
        <v>96.37</v>
      </c>
      <c r="BO233" s="64">
        <f t="shared" si="24"/>
        <v>0.17424242424242425</v>
      </c>
      <c r="BP233" s="64">
        <f t="shared" si="25"/>
        <v>0.17424242424242425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61">
        <v>4680115884205</v>
      </c>
      <c r="E234" s="562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3"/>
      <c r="R234" s="553"/>
      <c r="S234" s="553"/>
      <c r="T234" s="554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9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60"/>
      <c r="P235" s="549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28.172413793103448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29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0.32134000000000001</v>
      </c>
      <c r="AA235" s="546"/>
      <c r="AB235" s="546"/>
      <c r="AC235" s="546"/>
    </row>
    <row r="236" spans="1:68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60"/>
      <c r="P236" s="549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5">
        <f>IFERROR(SUM(X225:X234),"0")</f>
        <v>152</v>
      </c>
      <c r="Y236" s="545">
        <f>IFERROR(SUM(Y225:Y234),"0")</f>
        <v>161.6</v>
      </c>
      <c r="Z236" s="37"/>
      <c r="AA236" s="546"/>
      <c r="AB236" s="546"/>
      <c r="AC236" s="546"/>
    </row>
    <row r="237" spans="1:68" ht="14.25" hidden="1" customHeight="1" x14ac:dyDescent="0.25">
      <c r="A237" s="587" t="s">
        <v>139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39"/>
      <c r="AB237" s="539"/>
      <c r="AC237" s="539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61">
        <v>4680115885981</v>
      </c>
      <c r="E238" s="562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3"/>
      <c r="R238" s="553"/>
      <c r="S238" s="553"/>
      <c r="T238" s="554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9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60"/>
      <c r="P239" s="549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0"/>
      <c r="P240" s="549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87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61">
        <v>4680115886803</v>
      </c>
      <c r="E242" s="562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3"/>
      <c r="R242" s="553"/>
      <c r="S242" s="553"/>
      <c r="T242" s="554"/>
      <c r="U242" s="34"/>
      <c r="V242" s="34"/>
      <c r="W242" s="35" t="s">
        <v>70</v>
      </c>
      <c r="X242" s="543">
        <v>6</v>
      </c>
      <c r="Y242" s="544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6.5833333333333339</v>
      </c>
      <c r="BN242" s="64">
        <f>IFERROR(Y242*I242/H242,"0")</f>
        <v>7.9</v>
      </c>
      <c r="BO242" s="64">
        <f>IFERROR(1/J242*(X242/H242),"0")</f>
        <v>1.5432098765432096E-2</v>
      </c>
      <c r="BP242" s="64">
        <f>IFERROR(1/J242*(Y242/H242),"0")</f>
        <v>1.8518518518518517E-2</v>
      </c>
    </row>
    <row r="243" spans="1:68" x14ac:dyDescent="0.2">
      <c r="A243" s="559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60"/>
      <c r="P243" s="549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5">
        <f>IFERROR(X242/H242,"0")</f>
        <v>3.333333333333333</v>
      </c>
      <c r="Y243" s="545">
        <f>IFERROR(Y242/H242,"0")</f>
        <v>4</v>
      </c>
      <c r="Z243" s="545">
        <f>IFERROR(IF(Z242="",0,Z242),"0")</f>
        <v>2.3599999999999999E-2</v>
      </c>
      <c r="AA243" s="546"/>
      <c r="AB243" s="546"/>
      <c r="AC243" s="546"/>
    </row>
    <row r="244" spans="1:68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0"/>
      <c r="P244" s="549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5">
        <f>IFERROR(SUM(X242:X242),"0")</f>
        <v>6</v>
      </c>
      <c r="Y244" s="545">
        <f>IFERROR(SUM(Y242:Y242),"0")</f>
        <v>7.2</v>
      </c>
      <c r="Z244" s="37"/>
      <c r="AA244" s="546"/>
      <c r="AB244" s="546"/>
      <c r="AC244" s="546"/>
    </row>
    <row r="245" spans="1:68" ht="14.25" hidden="1" customHeight="1" x14ac:dyDescent="0.25">
      <c r="A245" s="587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39"/>
      <c r="AB245" s="539"/>
      <c r="AC245" s="539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61">
        <v>4680115886704</v>
      </c>
      <c r="E246" s="562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3"/>
      <c r="R246" s="553"/>
      <c r="S246" s="553"/>
      <c r="T246" s="554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61">
        <v>4680115886681</v>
      </c>
      <c r="E247" s="562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3"/>
      <c r="R247" s="553"/>
      <c r="S247" s="553"/>
      <c r="T247" s="554"/>
      <c r="U247" s="34"/>
      <c r="V247" s="34"/>
      <c r="W247" s="35" t="s">
        <v>70</v>
      </c>
      <c r="X247" s="543">
        <v>12</v>
      </c>
      <c r="Y247" s="544">
        <f>IFERROR(IF(X247="",0,CEILING((X247/$H247),1)*$H247),"")</f>
        <v>12.6</v>
      </c>
      <c r="Z247" s="36">
        <f>IFERROR(IF(Y247=0,"",ROUNDUP(Y247/H247,0)*0.0059),"")</f>
        <v>4.1299999999999996E-2</v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13.166666666666668</v>
      </c>
      <c r="BN247" s="64">
        <f>IFERROR(Y247*I247/H247,"0")</f>
        <v>13.825000000000001</v>
      </c>
      <c r="BO247" s="64">
        <f>IFERROR(1/J247*(X247/H247),"0")</f>
        <v>3.0864197530864192E-2</v>
      </c>
      <c r="BP247" s="64">
        <f>IFERROR(1/J247*(Y247/H247),"0")</f>
        <v>3.2407407407407406E-2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61">
        <v>4680115886735</v>
      </c>
      <c r="E248" s="562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3"/>
      <c r="R248" s="553"/>
      <c r="S248" s="553"/>
      <c r="T248" s="554"/>
      <c r="U248" s="34"/>
      <c r="V248" s="34"/>
      <c r="W248" s="35" t="s">
        <v>70</v>
      </c>
      <c r="X248" s="543">
        <v>6</v>
      </c>
      <c r="Y248" s="544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7.2666666666666675</v>
      </c>
      <c r="BN248" s="64">
        <f>IFERROR(Y248*I248/H248,"0")</f>
        <v>7.63</v>
      </c>
      <c r="BO248" s="64">
        <f>IFERROR(1/J248*(X248/H248),"0")</f>
        <v>3.0864197530864192E-2</v>
      </c>
      <c r="BP248" s="64">
        <f>IFERROR(1/J248*(Y248/H248),"0")</f>
        <v>3.2407407407407406E-2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61">
        <v>4680115886728</v>
      </c>
      <c r="E249" s="562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6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61">
        <v>4680115886711</v>
      </c>
      <c r="E250" s="562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3"/>
      <c r="R250" s="553"/>
      <c r="S250" s="553"/>
      <c r="T250" s="554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9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60"/>
      <c r="P251" s="549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5">
        <f>IFERROR(X246/H246,"0")+IFERROR(X247/H247,"0")+IFERROR(X248/H248,"0")+IFERROR(X249/H249,"0")+IFERROR(X250/H250,"0")</f>
        <v>13.333333333333332</v>
      </c>
      <c r="Y251" s="545">
        <f>IFERROR(Y246/H246,"0")+IFERROR(Y247/H247,"0")+IFERROR(Y248/H248,"0")+IFERROR(Y249/H249,"0")+IFERROR(Y250/H250,"0")</f>
        <v>14</v>
      </c>
      <c r="Z251" s="545">
        <f>IFERROR(IF(Z246="",0,Z246),"0")+IFERROR(IF(Z247="",0,Z247),"0")+IFERROR(IF(Z248="",0,Z248),"0")+IFERROR(IF(Z249="",0,Z249),"0")+IFERROR(IF(Z250="",0,Z250),"0")</f>
        <v>8.2599999999999993E-2</v>
      </c>
      <c r="AA251" s="546"/>
      <c r="AB251" s="546"/>
      <c r="AC251" s="546"/>
    </row>
    <row r="252" spans="1:68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60"/>
      <c r="P252" s="549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5">
        <f>IFERROR(SUM(X246:X250),"0")</f>
        <v>18</v>
      </c>
      <c r="Y252" s="545">
        <f>IFERROR(SUM(Y246:Y250),"0")</f>
        <v>18.899999999999999</v>
      </c>
      <c r="Z252" s="37"/>
      <c r="AA252" s="546"/>
      <c r="AB252" s="546"/>
      <c r="AC252" s="546"/>
    </row>
    <row r="253" spans="1:68" ht="16.5" hidden="1" customHeight="1" x14ac:dyDescent="0.25">
      <c r="A253" s="555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8"/>
      <c r="AB253" s="538"/>
      <c r="AC253" s="538"/>
    </row>
    <row r="254" spans="1:68" ht="14.25" hidden="1" customHeight="1" x14ac:dyDescent="0.25">
      <c r="A254" s="587" t="s">
        <v>103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39"/>
      <c r="AB254" s="539"/>
      <c r="AC254" s="539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61">
        <v>4680115885837</v>
      </c>
      <c r="E255" s="562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61">
        <v>4680115885851</v>
      </c>
      <c r="E256" s="562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61">
        <v>4680115885806</v>
      </c>
      <c r="E257" s="562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3"/>
      <c r="R257" s="553"/>
      <c r="S257" s="553"/>
      <c r="T257" s="554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61">
        <v>4680115885844</v>
      </c>
      <c r="E258" s="562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61">
        <v>4680115885820</v>
      </c>
      <c r="E259" s="562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3"/>
      <c r="R259" s="553"/>
      <c r="S259" s="553"/>
      <c r="T259" s="554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9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60"/>
      <c r="P260" s="549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60"/>
      <c r="P261" s="549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5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8"/>
      <c r="AB262" s="538"/>
      <c r="AC262" s="538"/>
    </row>
    <row r="263" spans="1:68" ht="14.25" hidden="1" customHeight="1" x14ac:dyDescent="0.25">
      <c r="A263" s="587" t="s">
        <v>103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39"/>
      <c r="AB263" s="539"/>
      <c r="AC263" s="539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61">
        <v>4607091383423</v>
      </c>
      <c r="E264" s="562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8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3"/>
      <c r="R264" s="553"/>
      <c r="S264" s="553"/>
      <c r="T264" s="554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61">
        <v>4680115886957</v>
      </c>
      <c r="E265" s="562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61">
        <v>4680115885660</v>
      </c>
      <c r="E266" s="562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3"/>
      <c r="R266" s="553"/>
      <c r="S266" s="553"/>
      <c r="T266" s="554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61">
        <v>4680115886773</v>
      </c>
      <c r="E267" s="562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3"/>
      <c r="R267" s="553"/>
      <c r="S267" s="553"/>
      <c r="T267" s="554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9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60"/>
      <c r="P268" s="549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60"/>
      <c r="P269" s="549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5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8"/>
      <c r="AB270" s="538"/>
      <c r="AC270" s="538"/>
    </row>
    <row r="271" spans="1:68" ht="14.25" hidden="1" customHeight="1" x14ac:dyDescent="0.25">
      <c r="A271" s="587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39"/>
      <c r="AB271" s="539"/>
      <c r="AC271" s="539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61">
        <v>4680115886186</v>
      </c>
      <c r="E272" s="562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3"/>
      <c r="R272" s="553"/>
      <c r="S272" s="553"/>
      <c r="T272" s="554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61">
        <v>4680115881228</v>
      </c>
      <c r="E273" s="562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217</v>
      </c>
      <c r="M273" s="33" t="s">
        <v>88</v>
      </c>
      <c r="N273" s="33"/>
      <c r="O273" s="32">
        <v>40</v>
      </c>
      <c r="P273" s="6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3"/>
      <c r="R273" s="553"/>
      <c r="S273" s="553"/>
      <c r="T273" s="554"/>
      <c r="U273" s="34"/>
      <c r="V273" s="34"/>
      <c r="W273" s="35" t="s">
        <v>70</v>
      </c>
      <c r="X273" s="543">
        <v>200</v>
      </c>
      <c r="Y273" s="544">
        <f>IFERROR(IF(X273="",0,CEILING((X273/$H273),1)*$H273),"")</f>
        <v>201.6</v>
      </c>
      <c r="Z273" s="36">
        <f>IFERROR(IF(Y273=0,"",ROUNDUP(Y273/H273,0)*0.00651),"")</f>
        <v>0.54683999999999999</v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221</v>
      </c>
      <c r="BN273" s="64">
        <f>IFERROR(Y273*I273/H273,"0")</f>
        <v>222.768</v>
      </c>
      <c r="BO273" s="64">
        <f>IFERROR(1/J273*(X273/H273),"0")</f>
        <v>0.45787545787545797</v>
      </c>
      <c r="BP273" s="64">
        <f>IFERROR(1/J273*(Y273/H273),"0")</f>
        <v>0.46153846153846156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61">
        <v>4680115881211</v>
      </c>
      <c r="E274" s="562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/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3"/>
      <c r="R274" s="553"/>
      <c r="S274" s="553"/>
      <c r="T274" s="554"/>
      <c r="U274" s="34"/>
      <c r="V274" s="34"/>
      <c r="W274" s="35" t="s">
        <v>70</v>
      </c>
      <c r="X274" s="543">
        <v>160</v>
      </c>
      <c r="Y274" s="544">
        <f>IFERROR(IF(X274="",0,CEILING((X274/$H274),1)*$H274),"")</f>
        <v>160.79999999999998</v>
      </c>
      <c r="Z274" s="36">
        <f>IFERROR(IF(Y274=0,"",ROUNDUP(Y274/H274,0)*0.00651),"")</f>
        <v>0.43617</v>
      </c>
      <c r="AA274" s="56"/>
      <c r="AB274" s="57"/>
      <c r="AC274" s="323" t="s">
        <v>430</v>
      </c>
      <c r="AG274" s="64"/>
      <c r="AJ274" s="68"/>
      <c r="AK274" s="68">
        <v>0</v>
      </c>
      <c r="BB274" s="324" t="s">
        <v>1</v>
      </c>
      <c r="BM274" s="64">
        <f>IFERROR(X274*I274/H274,"0")</f>
        <v>172</v>
      </c>
      <c r="BN274" s="64">
        <f>IFERROR(Y274*I274/H274,"0")</f>
        <v>172.85999999999999</v>
      </c>
      <c r="BO274" s="64">
        <f>IFERROR(1/J274*(X274/H274),"0")</f>
        <v>0.36630036630036633</v>
      </c>
      <c r="BP274" s="64">
        <f>IFERROR(1/J274*(Y274/H274),"0")</f>
        <v>0.36813186813186816</v>
      </c>
    </row>
    <row r="275" spans="1:68" x14ac:dyDescent="0.2">
      <c r="A275" s="559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60"/>
      <c r="P275" s="549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5">
        <f>IFERROR(X272/H272,"0")+IFERROR(X273/H273,"0")+IFERROR(X274/H274,"0")</f>
        <v>150</v>
      </c>
      <c r="Y275" s="545">
        <f>IFERROR(Y272/H272,"0")+IFERROR(Y273/H273,"0")+IFERROR(Y274/H274,"0")</f>
        <v>151</v>
      </c>
      <c r="Z275" s="545">
        <f>IFERROR(IF(Z272="",0,Z272),"0")+IFERROR(IF(Z273="",0,Z273),"0")+IFERROR(IF(Z274="",0,Z274),"0")</f>
        <v>0.98300999999999994</v>
      </c>
      <c r="AA275" s="546"/>
      <c r="AB275" s="546"/>
      <c r="AC275" s="546"/>
    </row>
    <row r="276" spans="1:68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60"/>
      <c r="P276" s="549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5">
        <f>IFERROR(SUM(X272:X274),"0")</f>
        <v>360</v>
      </c>
      <c r="Y276" s="545">
        <f>IFERROR(SUM(Y272:Y274),"0")</f>
        <v>362.4</v>
      </c>
      <c r="Z276" s="37"/>
      <c r="AA276" s="546"/>
      <c r="AB276" s="546"/>
      <c r="AC276" s="546"/>
    </row>
    <row r="277" spans="1:68" ht="16.5" hidden="1" customHeight="1" x14ac:dyDescent="0.25">
      <c r="A277" s="555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8"/>
      <c r="AB277" s="538"/>
      <c r="AC277" s="538"/>
    </row>
    <row r="278" spans="1:68" ht="14.25" hidden="1" customHeight="1" x14ac:dyDescent="0.25">
      <c r="A278" s="587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39"/>
      <c r="AB278" s="539"/>
      <c r="AC278" s="539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61">
        <v>4680115880344</v>
      </c>
      <c r="E279" s="562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3"/>
      <c r="R279" s="553"/>
      <c r="S279" s="553"/>
      <c r="T279" s="554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61">
        <v>4680115886919</v>
      </c>
      <c r="E280" s="562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3"/>
      <c r="R280" s="553"/>
      <c r="S280" s="553"/>
      <c r="T280" s="554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9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0"/>
      <c r="P281" s="549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60"/>
      <c r="P282" s="549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87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9"/>
      <c r="AB283" s="539"/>
      <c r="AC283" s="539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61">
        <v>4680115884618</v>
      </c>
      <c r="E284" s="562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3"/>
      <c r="R284" s="553"/>
      <c r="S284" s="553"/>
      <c r="T284" s="554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61">
        <v>4680115887114</v>
      </c>
      <c r="E285" s="562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3"/>
      <c r="R285" s="553"/>
      <c r="S285" s="553"/>
      <c r="T285" s="554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9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0"/>
      <c r="P286" s="549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0"/>
      <c r="P287" s="549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5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8"/>
      <c r="AB288" s="538"/>
      <c r="AC288" s="538"/>
    </row>
    <row r="289" spans="1:68" ht="14.25" hidden="1" customHeight="1" x14ac:dyDescent="0.25">
      <c r="A289" s="587" t="s">
        <v>103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39"/>
      <c r="AB289" s="539"/>
      <c r="AC289" s="539"/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61">
        <v>4680115885615</v>
      </c>
      <c r="E290" s="562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61">
        <v>4680115885646</v>
      </c>
      <c r="E291" s="562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61">
        <v>4680115885554</v>
      </c>
      <c r="E292" s="562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61">
        <v>4680115885622</v>
      </c>
      <c r="E293" s="562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61">
        <v>4680115885608</v>
      </c>
      <c r="E294" s="562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9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60"/>
      <c r="P295" s="549" t="s">
        <v>76</v>
      </c>
      <c r="Q295" s="550"/>
      <c r="R295" s="550"/>
      <c r="S295" s="550"/>
      <c r="T295" s="550"/>
      <c r="U295" s="550"/>
      <c r="V295" s="551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60"/>
      <c r="P296" s="549" t="s">
        <v>76</v>
      </c>
      <c r="Q296" s="550"/>
      <c r="R296" s="550"/>
      <c r="S296" s="550"/>
      <c r="T296" s="550"/>
      <c r="U296" s="550"/>
      <c r="V296" s="551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87" t="s">
        <v>64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61">
        <v>4607091387193</v>
      </c>
      <c r="E298" s="562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61">
        <v>4607091387230</v>
      </c>
      <c r="E299" s="562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61">
        <v>4607091387292</v>
      </c>
      <c r="E300" s="562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61">
        <v>4607091387285</v>
      </c>
      <c r="E301" s="562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 t="s">
        <v>270</v>
      </c>
      <c r="M301" s="33" t="s">
        <v>68</v>
      </c>
      <c r="N301" s="33"/>
      <c r="O301" s="32">
        <v>40</v>
      </c>
      <c r="P301" s="8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110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61">
        <v>4607091389845</v>
      </c>
      <c r="E302" s="562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70</v>
      </c>
      <c r="X302" s="543">
        <v>175</v>
      </c>
      <c r="Y302" s="544">
        <f t="shared" si="26"/>
        <v>176.4</v>
      </c>
      <c r="Z302" s="36">
        <f>IFERROR(IF(Y302=0,"",ROUNDUP(Y302/H302,0)*0.00502),"")</f>
        <v>0.42168</v>
      </c>
      <c r="AA302" s="56"/>
      <c r="AB302" s="57"/>
      <c r="AC302" s="351" t="s">
        <v>477</v>
      </c>
      <c r="AG302" s="64"/>
      <c r="AJ302" s="68" t="s">
        <v>110</v>
      </c>
      <c r="AK302" s="68">
        <v>37.799999999999997</v>
      </c>
      <c r="BB302" s="352" t="s">
        <v>1</v>
      </c>
      <c r="BM302" s="64">
        <f t="shared" si="27"/>
        <v>183.33333333333334</v>
      </c>
      <c r="BN302" s="64">
        <f t="shared" si="28"/>
        <v>184.8</v>
      </c>
      <c r="BO302" s="64">
        <f t="shared" si="29"/>
        <v>0.35612535612535612</v>
      </c>
      <c r="BP302" s="64">
        <f t="shared" si="30"/>
        <v>0.35897435897435903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61">
        <v>4607091383836</v>
      </c>
      <c r="E303" s="562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 t="s">
        <v>217</v>
      </c>
      <c r="M303" s="33" t="s">
        <v>68</v>
      </c>
      <c r="N303" s="33"/>
      <c r="O303" s="32">
        <v>40</v>
      </c>
      <c r="P303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70</v>
      </c>
      <c r="X303" s="543">
        <v>39</v>
      </c>
      <c r="Y303" s="544">
        <f t="shared" si="26"/>
        <v>39.6</v>
      </c>
      <c r="Z303" s="36">
        <f>IFERROR(IF(Y303=0,"",ROUNDUP(Y303/H303,0)*0.00651),"")</f>
        <v>0.14322000000000001</v>
      </c>
      <c r="AA303" s="56"/>
      <c r="AB303" s="57"/>
      <c r="AC303" s="353" t="s">
        <v>480</v>
      </c>
      <c r="AG303" s="64"/>
      <c r="AJ303" s="68" t="s">
        <v>110</v>
      </c>
      <c r="AK303" s="68">
        <v>25.2</v>
      </c>
      <c r="BB303" s="354" t="s">
        <v>1</v>
      </c>
      <c r="BM303" s="64">
        <f t="shared" si="27"/>
        <v>43.94</v>
      </c>
      <c r="BN303" s="64">
        <f t="shared" si="28"/>
        <v>44.616</v>
      </c>
      <c r="BO303" s="64">
        <f t="shared" si="29"/>
        <v>0.11904761904761907</v>
      </c>
      <c r="BP303" s="64">
        <f t="shared" si="30"/>
        <v>0.12087912087912089</v>
      </c>
    </row>
    <row r="304" spans="1:68" x14ac:dyDescent="0.2">
      <c r="A304" s="559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60"/>
      <c r="P304" s="549" t="s">
        <v>76</v>
      </c>
      <c r="Q304" s="550"/>
      <c r="R304" s="550"/>
      <c r="S304" s="550"/>
      <c r="T304" s="550"/>
      <c r="U304" s="550"/>
      <c r="V304" s="551"/>
      <c r="W304" s="37" t="s">
        <v>77</v>
      </c>
      <c r="X304" s="545">
        <f>IFERROR(X298/H298,"0")+IFERROR(X299/H299,"0")+IFERROR(X300/H300,"0")+IFERROR(X301/H301,"0")+IFERROR(X302/H302,"0")+IFERROR(X303/H303,"0")</f>
        <v>105</v>
      </c>
      <c r="Y304" s="545">
        <f>IFERROR(Y298/H298,"0")+IFERROR(Y299/H299,"0")+IFERROR(Y300/H300,"0")+IFERROR(Y301/H301,"0")+IFERROR(Y302/H302,"0")+IFERROR(Y303/H303,"0")</f>
        <v>106</v>
      </c>
      <c r="Z304" s="545">
        <f>IFERROR(IF(Z298="",0,Z298),"0")+IFERROR(IF(Z299="",0,Z299),"0")+IFERROR(IF(Z300="",0,Z300),"0")+IFERROR(IF(Z301="",0,Z301),"0")+IFERROR(IF(Z302="",0,Z302),"0")+IFERROR(IF(Z303="",0,Z303),"0")</f>
        <v>0.56489999999999996</v>
      </c>
      <c r="AA304" s="546"/>
      <c r="AB304" s="546"/>
      <c r="AC304" s="546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60"/>
      <c r="P305" s="549" t="s">
        <v>76</v>
      </c>
      <c r="Q305" s="550"/>
      <c r="R305" s="550"/>
      <c r="S305" s="550"/>
      <c r="T305" s="550"/>
      <c r="U305" s="550"/>
      <c r="V305" s="551"/>
      <c r="W305" s="37" t="s">
        <v>70</v>
      </c>
      <c r="X305" s="545">
        <f>IFERROR(SUM(X298:X303),"0")</f>
        <v>214</v>
      </c>
      <c r="Y305" s="545">
        <f>IFERROR(SUM(Y298:Y303),"0")</f>
        <v>216</v>
      </c>
      <c r="Z305" s="37"/>
      <c r="AA305" s="546"/>
      <c r="AB305" s="546"/>
      <c r="AC305" s="546"/>
    </row>
    <row r="306" spans="1:68" ht="14.25" hidden="1" customHeight="1" x14ac:dyDescent="0.25">
      <c r="A306" s="587" t="s">
        <v>78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9"/>
      <c r="AB306" s="539"/>
      <c r="AC306" s="539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61">
        <v>4607091387766</v>
      </c>
      <c r="E307" s="562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61">
        <v>4607091387957</v>
      </c>
      <c r="E308" s="562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5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61">
        <v>4607091387964</v>
      </c>
      <c r="E309" s="562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61">
        <v>4680115884588</v>
      </c>
      <c r="E310" s="562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9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60"/>
      <c r="P311" s="549" t="s">
        <v>76</v>
      </c>
      <c r="Q311" s="550"/>
      <c r="R311" s="550"/>
      <c r="S311" s="550"/>
      <c r="T311" s="550"/>
      <c r="U311" s="550"/>
      <c r="V311" s="551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hidden="1" x14ac:dyDescent="0.2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60"/>
      <c r="P312" s="549" t="s">
        <v>76</v>
      </c>
      <c r="Q312" s="550"/>
      <c r="R312" s="550"/>
      <c r="S312" s="550"/>
      <c r="T312" s="550"/>
      <c r="U312" s="550"/>
      <c r="V312" s="551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hidden="1" customHeight="1" x14ac:dyDescent="0.25">
      <c r="A313" s="587" t="s">
        <v>167</v>
      </c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39"/>
      <c r="AB313" s="539"/>
      <c r="AC313" s="539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61">
        <v>4607091380880</v>
      </c>
      <c r="E314" s="562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61">
        <v>4607091384482</v>
      </c>
      <c r="E315" s="562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70</v>
      </c>
      <c r="X315" s="543">
        <v>250</v>
      </c>
      <c r="Y315" s="544">
        <f>IFERROR(IF(X315="",0,CEILING((X315/$H315),1)*$H315),"")</f>
        <v>257.39999999999998</v>
      </c>
      <c r="Z315" s="36">
        <f>IFERROR(IF(Y315=0,"",ROUNDUP(Y315/H315,0)*0.01898),"")</f>
        <v>0.62634000000000001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265.83333333333331</v>
      </c>
      <c r="BN315" s="64">
        <f>IFERROR(Y315*I315/H315,"0")</f>
        <v>273.702</v>
      </c>
      <c r="BO315" s="64">
        <f>IFERROR(1/J315*(X315/H315),"0")</f>
        <v>0.50080128205128205</v>
      </c>
      <c r="BP315" s="64">
        <f>IFERROR(1/J315*(Y315/H315),"0")</f>
        <v>0.515625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61">
        <v>4607091380897</v>
      </c>
      <c r="E316" s="562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70</v>
      </c>
      <c r="X316" s="543">
        <v>300</v>
      </c>
      <c r="Y316" s="544">
        <f>IFERROR(IF(X316="",0,CEILING((X316/$H316),1)*$H316),"")</f>
        <v>302.40000000000003</v>
      </c>
      <c r="Z316" s="36">
        <f>IFERROR(IF(Y316=0,"",ROUNDUP(Y316/H316,0)*0.01898),"")</f>
        <v>0.68328</v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317.64285714285711</v>
      </c>
      <c r="BN316" s="64">
        <f>IFERROR(Y316*I316/H316,"0")</f>
        <v>320.18400000000003</v>
      </c>
      <c r="BO316" s="64">
        <f>IFERROR(1/J316*(X316/H316),"0")</f>
        <v>0.5580357142857143</v>
      </c>
      <c r="BP316" s="64">
        <f>IFERROR(1/J316*(Y316/H316),"0")</f>
        <v>0.5625</v>
      </c>
    </row>
    <row r="317" spans="1:68" x14ac:dyDescent="0.2">
      <c r="A317" s="559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0"/>
      <c r="P317" s="549" t="s">
        <v>76</v>
      </c>
      <c r="Q317" s="550"/>
      <c r="R317" s="550"/>
      <c r="S317" s="550"/>
      <c r="T317" s="550"/>
      <c r="U317" s="550"/>
      <c r="V317" s="551"/>
      <c r="W317" s="37" t="s">
        <v>77</v>
      </c>
      <c r="X317" s="545">
        <f>IFERROR(X314/H314,"0")+IFERROR(X315/H315,"0")+IFERROR(X316/H316,"0")</f>
        <v>67.765567765567766</v>
      </c>
      <c r="Y317" s="545">
        <f>IFERROR(Y314/H314,"0")+IFERROR(Y315/H315,"0")+IFERROR(Y316/H316,"0")</f>
        <v>69</v>
      </c>
      <c r="Z317" s="545">
        <f>IFERROR(IF(Z314="",0,Z314),"0")+IFERROR(IF(Z315="",0,Z315),"0")+IFERROR(IF(Z316="",0,Z316),"0")</f>
        <v>1.30962</v>
      </c>
      <c r="AA317" s="546"/>
      <c r="AB317" s="546"/>
      <c r="AC317" s="546"/>
    </row>
    <row r="318" spans="1:68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60"/>
      <c r="P318" s="549" t="s">
        <v>76</v>
      </c>
      <c r="Q318" s="550"/>
      <c r="R318" s="550"/>
      <c r="S318" s="550"/>
      <c r="T318" s="550"/>
      <c r="U318" s="550"/>
      <c r="V318" s="551"/>
      <c r="W318" s="37" t="s">
        <v>70</v>
      </c>
      <c r="X318" s="545">
        <f>IFERROR(SUM(X314:X316),"0")</f>
        <v>550</v>
      </c>
      <c r="Y318" s="545">
        <f>IFERROR(SUM(Y314:Y316),"0")</f>
        <v>559.79999999999995</v>
      </c>
      <c r="Z318" s="37"/>
      <c r="AA318" s="546"/>
      <c r="AB318" s="546"/>
      <c r="AC318" s="546"/>
    </row>
    <row r="319" spans="1:68" ht="14.25" hidden="1" customHeight="1" x14ac:dyDescent="0.25">
      <c r="A319" s="587" t="s">
        <v>95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39"/>
      <c r="AB319" s="539"/>
      <c r="AC319" s="539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61">
        <v>4607091388381</v>
      </c>
      <c r="E320" s="562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61">
        <v>4607091388374</v>
      </c>
      <c r="E321" s="562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3"/>
      <c r="R321" s="553"/>
      <c r="S321" s="553"/>
      <c r="T321" s="554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61">
        <v>4607091383102</v>
      </c>
      <c r="E322" s="562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217</v>
      </c>
      <c r="M322" s="33" t="s">
        <v>98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70</v>
      </c>
      <c r="X322" s="543">
        <v>34</v>
      </c>
      <c r="Y322" s="544">
        <f>IFERROR(IF(X322="",0,CEILING((X322/$H322),1)*$H322),"")</f>
        <v>35.699999999999996</v>
      </c>
      <c r="Z322" s="36">
        <f>IFERROR(IF(Y322=0,"",ROUNDUP(Y322/H322,0)*0.00651),"")</f>
        <v>9.1139999999999999E-2</v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39.400000000000006</v>
      </c>
      <c r="BN322" s="64">
        <f>IFERROR(Y322*I322/H322,"0")</f>
        <v>41.37</v>
      </c>
      <c r="BO322" s="64">
        <f>IFERROR(1/J322*(X322/H322),"0")</f>
        <v>7.3260073260073263E-2</v>
      </c>
      <c r="BP322" s="64">
        <f>IFERROR(1/J322*(Y322/H322),"0")</f>
        <v>7.6923076923076927E-2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61">
        <v>4607091388404</v>
      </c>
      <c r="E323" s="562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217</v>
      </c>
      <c r="M323" s="33" t="s">
        <v>98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70</v>
      </c>
      <c r="X323" s="543">
        <v>204</v>
      </c>
      <c r="Y323" s="544">
        <f>IFERROR(IF(X323="",0,CEILING((X323/$H323),1)*$H323),"")</f>
        <v>204</v>
      </c>
      <c r="Z323" s="36">
        <f>IFERROR(IF(Y323=0,"",ROUNDUP(Y323/H323,0)*0.00651),"")</f>
        <v>0.52080000000000004</v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230.4</v>
      </c>
      <c r="BN323" s="64">
        <f>IFERROR(Y323*I323/H323,"0")</f>
        <v>230.4</v>
      </c>
      <c r="BO323" s="64">
        <f>IFERROR(1/J323*(X323/H323),"0")</f>
        <v>0.43956043956043961</v>
      </c>
      <c r="BP323" s="64">
        <f>IFERROR(1/J323*(Y323/H323),"0")</f>
        <v>0.43956043956043961</v>
      </c>
    </row>
    <row r="324" spans="1:68" x14ac:dyDescent="0.2">
      <c r="A324" s="559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60"/>
      <c r="P324" s="549" t="s">
        <v>76</v>
      </c>
      <c r="Q324" s="550"/>
      <c r="R324" s="550"/>
      <c r="S324" s="550"/>
      <c r="T324" s="550"/>
      <c r="U324" s="550"/>
      <c r="V324" s="551"/>
      <c r="W324" s="37" t="s">
        <v>77</v>
      </c>
      <c r="X324" s="545">
        <f>IFERROR(X320/H320,"0")+IFERROR(X321/H321,"0")+IFERROR(X322/H322,"0")+IFERROR(X323/H323,"0")</f>
        <v>93.333333333333329</v>
      </c>
      <c r="Y324" s="545">
        <f>IFERROR(Y320/H320,"0")+IFERROR(Y321/H321,"0")+IFERROR(Y322/H322,"0")+IFERROR(Y323/H323,"0")</f>
        <v>94</v>
      </c>
      <c r="Z324" s="545">
        <f>IFERROR(IF(Z320="",0,Z320),"0")+IFERROR(IF(Z321="",0,Z321),"0")+IFERROR(IF(Z322="",0,Z322),"0")+IFERROR(IF(Z323="",0,Z323),"0")</f>
        <v>0.61194000000000004</v>
      </c>
      <c r="AA324" s="546"/>
      <c r="AB324" s="546"/>
      <c r="AC324" s="546"/>
    </row>
    <row r="325" spans="1:68" x14ac:dyDescent="0.2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60"/>
      <c r="P325" s="549" t="s">
        <v>76</v>
      </c>
      <c r="Q325" s="550"/>
      <c r="R325" s="550"/>
      <c r="S325" s="550"/>
      <c r="T325" s="550"/>
      <c r="U325" s="550"/>
      <c r="V325" s="551"/>
      <c r="W325" s="37" t="s">
        <v>70</v>
      </c>
      <c r="X325" s="545">
        <f>IFERROR(SUM(X320:X323),"0")</f>
        <v>238</v>
      </c>
      <c r="Y325" s="545">
        <f>IFERROR(SUM(Y320:Y323),"0")</f>
        <v>239.7</v>
      </c>
      <c r="Z325" s="37"/>
      <c r="AA325" s="546"/>
      <c r="AB325" s="546"/>
      <c r="AC325" s="546"/>
    </row>
    <row r="326" spans="1:68" ht="14.25" hidden="1" customHeight="1" x14ac:dyDescent="0.25">
      <c r="A326" s="587" t="s">
        <v>512</v>
      </c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61">
        <v>4680115881808</v>
      </c>
      <c r="E327" s="562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 t="s">
        <v>217</v>
      </c>
      <c r="M327" s="33" t="s">
        <v>515</v>
      </c>
      <c r="N327" s="33"/>
      <c r="O327" s="32">
        <v>730</v>
      </c>
      <c r="P327" s="8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70</v>
      </c>
      <c r="X327" s="543">
        <v>100</v>
      </c>
      <c r="Y327" s="544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516</v>
      </c>
      <c r="AG327" s="64"/>
      <c r="AJ327" s="68" t="s">
        <v>110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61">
        <v>4680115881822</v>
      </c>
      <c r="E328" s="562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61">
        <v>4680115880016</v>
      </c>
      <c r="E329" s="562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 t="s">
        <v>217</v>
      </c>
      <c r="M329" s="33" t="s">
        <v>515</v>
      </c>
      <c r="N329" s="33"/>
      <c r="O329" s="32">
        <v>730</v>
      </c>
      <c r="P329" s="6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70</v>
      </c>
      <c r="X329" s="543">
        <v>100</v>
      </c>
      <c r="Y329" s="544">
        <f>IFERROR(IF(X329="",0,CEILING((X329/$H329),1)*$H329),"")</f>
        <v>100</v>
      </c>
      <c r="Z329" s="36">
        <f>IFERROR(IF(Y329=0,"",ROUNDUP(Y329/H329,0)*0.00474),"")</f>
        <v>0.23700000000000002</v>
      </c>
      <c r="AA329" s="56"/>
      <c r="AB329" s="57"/>
      <c r="AC329" s="381" t="s">
        <v>516</v>
      </c>
      <c r="AG329" s="64"/>
      <c r="AJ329" s="68" t="s">
        <v>110</v>
      </c>
      <c r="AK329" s="68">
        <v>28</v>
      </c>
      <c r="BB329" s="382" t="s">
        <v>1</v>
      </c>
      <c r="BM329" s="64">
        <f>IFERROR(X329*I329/H329,"0")</f>
        <v>112.00000000000001</v>
      </c>
      <c r="BN329" s="64">
        <f>IFERROR(Y329*I329/H329,"0")</f>
        <v>112.00000000000001</v>
      </c>
      <c r="BO329" s="64">
        <f>IFERROR(1/J329*(X329/H329),"0")</f>
        <v>0.21008403361344538</v>
      </c>
      <c r="BP329" s="64">
        <f>IFERROR(1/J329*(Y329/H329),"0")</f>
        <v>0.21008403361344538</v>
      </c>
    </row>
    <row r="330" spans="1:68" x14ac:dyDescent="0.2">
      <c r="A330" s="559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0"/>
      <c r="P330" s="549" t="s">
        <v>76</v>
      </c>
      <c r="Q330" s="550"/>
      <c r="R330" s="550"/>
      <c r="S330" s="550"/>
      <c r="T330" s="550"/>
      <c r="U330" s="550"/>
      <c r="V330" s="551"/>
      <c r="W330" s="37" t="s">
        <v>77</v>
      </c>
      <c r="X330" s="545">
        <f>IFERROR(X327/H327,"0")+IFERROR(X328/H328,"0")+IFERROR(X329/H329,"0")</f>
        <v>100</v>
      </c>
      <c r="Y330" s="545">
        <f>IFERROR(Y327/H327,"0")+IFERROR(Y328/H328,"0")+IFERROR(Y329/H329,"0")</f>
        <v>100</v>
      </c>
      <c r="Z330" s="545">
        <f>IFERROR(IF(Z327="",0,Z327),"0")+IFERROR(IF(Z328="",0,Z328),"0")+IFERROR(IF(Z329="",0,Z329),"0")</f>
        <v>0.47400000000000003</v>
      </c>
      <c r="AA330" s="546"/>
      <c r="AB330" s="546"/>
      <c r="AC330" s="546"/>
    </row>
    <row r="331" spans="1:68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60"/>
      <c r="P331" s="549" t="s">
        <v>76</v>
      </c>
      <c r="Q331" s="550"/>
      <c r="R331" s="550"/>
      <c r="S331" s="550"/>
      <c r="T331" s="550"/>
      <c r="U331" s="550"/>
      <c r="V331" s="551"/>
      <c r="W331" s="37" t="s">
        <v>70</v>
      </c>
      <c r="X331" s="545">
        <f>IFERROR(SUM(X327:X329),"0")</f>
        <v>200</v>
      </c>
      <c r="Y331" s="545">
        <f>IFERROR(SUM(Y327:Y329),"0")</f>
        <v>200</v>
      </c>
      <c r="Z331" s="37"/>
      <c r="AA331" s="546"/>
      <c r="AB331" s="546"/>
      <c r="AC331" s="546"/>
    </row>
    <row r="332" spans="1:68" ht="16.5" hidden="1" customHeight="1" x14ac:dyDescent="0.25">
      <c r="A332" s="555" t="s">
        <v>521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38"/>
      <c r="AB332" s="538"/>
      <c r="AC332" s="538"/>
    </row>
    <row r="333" spans="1:68" ht="14.25" hidden="1" customHeight="1" x14ac:dyDescent="0.25">
      <c r="A333" s="587" t="s">
        <v>78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9"/>
      <c r="AB333" s="539"/>
      <c r="AC333" s="539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61">
        <v>4607091387919</v>
      </c>
      <c r="E334" s="562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/>
      <c r="M334" s="33" t="s">
        <v>88</v>
      </c>
      <c r="N334" s="33"/>
      <c r="O334" s="32">
        <v>45</v>
      </c>
      <c r="P334" s="6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61">
        <v>4680115883604</v>
      </c>
      <c r="E335" s="562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217</v>
      </c>
      <c r="M335" s="33" t="s">
        <v>81</v>
      </c>
      <c r="N335" s="33"/>
      <c r="O335" s="32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70</v>
      </c>
      <c r="X335" s="543">
        <v>875</v>
      </c>
      <c r="Y335" s="544">
        <f>IFERROR(IF(X335="",0,CEILING((X335/$H335),1)*$H335),"")</f>
        <v>875.7</v>
      </c>
      <c r="Z335" s="36">
        <f>IFERROR(IF(Y335=0,"",ROUNDUP(Y335/H335,0)*0.00651),"")</f>
        <v>2.7146699999999999</v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980</v>
      </c>
      <c r="BN335" s="64">
        <f>IFERROR(Y335*I335/H335,"0")</f>
        <v>980.78399999999999</v>
      </c>
      <c r="BO335" s="64">
        <f>IFERROR(1/J335*(X335/H335),"0")</f>
        <v>2.2893772893772892</v>
      </c>
      <c r="BP335" s="64">
        <f>IFERROR(1/J335*(Y335/H335),"0")</f>
        <v>2.2912087912087915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61">
        <v>4680115883567</v>
      </c>
      <c r="E336" s="562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217</v>
      </c>
      <c r="M336" s="33" t="s">
        <v>88</v>
      </c>
      <c r="N336" s="33"/>
      <c r="O336" s="32">
        <v>40</v>
      </c>
      <c r="P336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70</v>
      </c>
      <c r="X336" s="543">
        <v>350</v>
      </c>
      <c r="Y336" s="544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390</v>
      </c>
      <c r="BN336" s="64">
        <f>IFERROR(Y336*I336/H336,"0")</f>
        <v>390.78</v>
      </c>
      <c r="BO336" s="64">
        <f>IFERROR(1/J336*(X336/H336),"0")</f>
        <v>0.91575091575091572</v>
      </c>
      <c r="BP336" s="64">
        <f>IFERROR(1/J336*(Y336/H336),"0")</f>
        <v>0.91758241758241765</v>
      </c>
    </row>
    <row r="337" spans="1:68" x14ac:dyDescent="0.2">
      <c r="A337" s="559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60"/>
      <c r="P337" s="549" t="s">
        <v>76</v>
      </c>
      <c r="Q337" s="550"/>
      <c r="R337" s="550"/>
      <c r="S337" s="550"/>
      <c r="T337" s="550"/>
      <c r="U337" s="550"/>
      <c r="V337" s="551"/>
      <c r="W337" s="37" t="s">
        <v>77</v>
      </c>
      <c r="X337" s="545">
        <f>IFERROR(X334/H334,"0")+IFERROR(X335/H335,"0")+IFERROR(X336/H336,"0")</f>
        <v>583.33333333333326</v>
      </c>
      <c r="Y337" s="545">
        <f>IFERROR(Y334/H334,"0")+IFERROR(Y335/H335,"0")+IFERROR(Y336/H336,"0")</f>
        <v>584</v>
      </c>
      <c r="Z337" s="545">
        <f>IFERROR(IF(Z334="",0,Z334),"0")+IFERROR(IF(Z335="",0,Z335),"0")+IFERROR(IF(Z336="",0,Z336),"0")</f>
        <v>3.8018399999999999</v>
      </c>
      <c r="AA337" s="546"/>
      <c r="AB337" s="546"/>
      <c r="AC337" s="546"/>
    </row>
    <row r="338" spans="1:68" x14ac:dyDescent="0.2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60"/>
      <c r="P338" s="549" t="s">
        <v>76</v>
      </c>
      <c r="Q338" s="550"/>
      <c r="R338" s="550"/>
      <c r="S338" s="550"/>
      <c r="T338" s="550"/>
      <c r="U338" s="550"/>
      <c r="V338" s="551"/>
      <c r="W338" s="37" t="s">
        <v>70</v>
      </c>
      <c r="X338" s="545">
        <f>IFERROR(SUM(X334:X336),"0")</f>
        <v>1225</v>
      </c>
      <c r="Y338" s="545">
        <f>IFERROR(SUM(Y334:Y336),"0")</f>
        <v>1226.4000000000001</v>
      </c>
      <c r="Z338" s="37"/>
      <c r="AA338" s="546"/>
      <c r="AB338" s="546"/>
      <c r="AC338" s="546"/>
    </row>
    <row r="339" spans="1:68" ht="27.75" hidden="1" customHeight="1" x14ac:dyDescent="0.2">
      <c r="A339" s="664" t="s">
        <v>531</v>
      </c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48"/>
      <c r="AB339" s="48"/>
      <c r="AC339" s="48"/>
    </row>
    <row r="340" spans="1:68" ht="16.5" hidden="1" customHeight="1" x14ac:dyDescent="0.25">
      <c r="A340" s="555" t="s">
        <v>532</v>
      </c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38"/>
      <c r="AB340" s="538"/>
      <c r="AC340" s="538"/>
    </row>
    <row r="341" spans="1:68" ht="14.25" hidden="1" customHeight="1" x14ac:dyDescent="0.25">
      <c r="A341" s="587" t="s">
        <v>103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61">
        <v>4680115884847</v>
      </c>
      <c r="E342" s="562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/>
      <c r="M342" s="33" t="s">
        <v>68</v>
      </c>
      <c r="N342" s="33"/>
      <c r="O342" s="32">
        <v>60</v>
      </c>
      <c r="P342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70</v>
      </c>
      <c r="X342" s="543">
        <v>1600</v>
      </c>
      <c r="Y342" s="544">
        <f t="shared" ref="Y342:Y348" si="31">IFERROR(IF(X342="",0,CEILING((X342/$H342),1)*$H342),"")</f>
        <v>1605</v>
      </c>
      <c r="Z342" s="36">
        <f>IFERROR(IF(Y342=0,"",ROUNDUP(Y342/H342,0)*0.02175),"")</f>
        <v>2.3272499999999998</v>
      </c>
      <c r="AA342" s="56"/>
      <c r="AB342" s="57"/>
      <c r="AC342" s="389" t="s">
        <v>535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1650.1333333333334</v>
      </c>
      <c r="BN342" s="64">
        <f t="shared" ref="BN342:BN348" si="33">IFERROR(Y342*I342/H342,"0")</f>
        <v>1655.2900000000002</v>
      </c>
      <c r="BO342" s="64">
        <f t="shared" ref="BO342:BO348" si="34">IFERROR(1/J342*(X342/H342),"0")</f>
        <v>2.2222222222222223</v>
      </c>
      <c r="BP342" s="64">
        <f t="shared" ref="BP342:BP348" si="35">IFERROR(1/J342*(Y342/H342),"0")</f>
        <v>2.2291666666666665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61">
        <v>4680115884854</v>
      </c>
      <c r="E343" s="562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/>
      <c r="M343" s="33" t="s">
        <v>68</v>
      </c>
      <c r="N343" s="33"/>
      <c r="O343" s="32">
        <v>60</v>
      </c>
      <c r="P343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70</v>
      </c>
      <c r="X343" s="543">
        <v>1000</v>
      </c>
      <c r="Y343" s="544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61">
        <v>4680115884830</v>
      </c>
      <c r="E344" s="562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/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70</v>
      </c>
      <c r="X344" s="543">
        <v>1000</v>
      </c>
      <c r="Y344" s="544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61">
        <v>4680115887046</v>
      </c>
      <c r="E345" s="562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3"/>
      <c r="R345" s="553"/>
      <c r="S345" s="553"/>
      <c r="T345" s="554"/>
      <c r="U345" s="34"/>
      <c r="V345" s="34"/>
      <c r="W345" s="35" t="s">
        <v>70</v>
      </c>
      <c r="X345" s="543">
        <v>400</v>
      </c>
      <c r="Y345" s="544">
        <f t="shared" si="31"/>
        <v>405</v>
      </c>
      <c r="Z345" s="36">
        <f>IFERROR(IF(Y345=0,"",ROUNDUP(Y345/H345,0)*0.02175),"")</f>
        <v>0.58724999999999994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412.53333333333336</v>
      </c>
      <c r="BN345" s="64">
        <f t="shared" si="33"/>
        <v>417.69</v>
      </c>
      <c r="BO345" s="64">
        <f t="shared" si="34"/>
        <v>0.55555555555555558</v>
      </c>
      <c r="BP345" s="64">
        <f t="shared" si="35"/>
        <v>0.5625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61">
        <v>4680115882638</v>
      </c>
      <c r="E346" s="562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61">
        <v>4680115884922</v>
      </c>
      <c r="E347" s="562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61">
        <v>4680115884861</v>
      </c>
      <c r="E348" s="562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9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60"/>
      <c r="P349" s="549" t="s">
        <v>76</v>
      </c>
      <c r="Q349" s="550"/>
      <c r="R349" s="550"/>
      <c r="S349" s="550"/>
      <c r="T349" s="550"/>
      <c r="U349" s="550"/>
      <c r="V349" s="551"/>
      <c r="W349" s="37" t="s">
        <v>77</v>
      </c>
      <c r="X349" s="545">
        <f>IFERROR(X342/H342,"0")+IFERROR(X343/H343,"0")+IFERROR(X344/H344,"0")+IFERROR(X345/H345,"0")+IFERROR(X346/H346,"0")+IFERROR(X347/H347,"0")+IFERROR(X348/H348,"0")</f>
        <v>266.66666666666669</v>
      </c>
      <c r="Y349" s="545">
        <f>IFERROR(Y342/H342,"0")+IFERROR(Y343/H343,"0")+IFERROR(Y344/H344,"0")+IFERROR(Y345/H345,"0")+IFERROR(Y346/H346,"0")+IFERROR(Y347/H347,"0")+IFERROR(Y348/H348,"0")</f>
        <v>268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5.8289999999999997</v>
      </c>
      <c r="AA349" s="546"/>
      <c r="AB349" s="546"/>
      <c r="AC349" s="546"/>
    </row>
    <row r="350" spans="1:68" x14ac:dyDescent="0.2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60"/>
      <c r="P350" s="549" t="s">
        <v>76</v>
      </c>
      <c r="Q350" s="550"/>
      <c r="R350" s="550"/>
      <c r="S350" s="550"/>
      <c r="T350" s="550"/>
      <c r="U350" s="550"/>
      <c r="V350" s="551"/>
      <c r="W350" s="37" t="s">
        <v>70</v>
      </c>
      <c r="X350" s="545">
        <f>IFERROR(SUM(X342:X348),"0")</f>
        <v>4000</v>
      </c>
      <c r="Y350" s="545">
        <f>IFERROR(SUM(Y342:Y348),"0")</f>
        <v>4020</v>
      </c>
      <c r="Z350" s="37"/>
      <c r="AA350" s="546"/>
      <c r="AB350" s="546"/>
      <c r="AC350" s="546"/>
    </row>
    <row r="351" spans="1:68" ht="14.25" hidden="1" customHeight="1" x14ac:dyDescent="0.25">
      <c r="A351" s="587" t="s">
        <v>139</v>
      </c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61">
        <v>4607091383980</v>
      </c>
      <c r="E352" s="562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/>
      <c r="M352" s="33" t="s">
        <v>108</v>
      </c>
      <c r="N352" s="33"/>
      <c r="O352" s="32">
        <v>50</v>
      </c>
      <c r="P352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70</v>
      </c>
      <c r="X352" s="543">
        <v>1000</v>
      </c>
      <c r="Y352" s="544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554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61">
        <v>4607091384178</v>
      </c>
      <c r="E353" s="562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70</v>
      </c>
      <c r="X353" s="543">
        <v>12</v>
      </c>
      <c r="Y353" s="544">
        <f>IFERROR(IF(X353="",0,CEILING((X353/$H353),1)*$H353),"")</f>
        <v>12</v>
      </c>
      <c r="Z353" s="36">
        <f>IFERROR(IF(Y353=0,"",ROUNDUP(Y353/H353,0)*0.00902),"")</f>
        <v>2.7060000000000001E-2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12.57</v>
      </c>
      <c r="BN353" s="64">
        <f>IFERROR(Y353*I353/H353,"0")</f>
        <v>12.57</v>
      </c>
      <c r="BO353" s="64">
        <f>IFERROR(1/J353*(X353/H353),"0")</f>
        <v>2.2727272727272728E-2</v>
      </c>
      <c r="BP353" s="64">
        <f>IFERROR(1/J353*(Y353/H353),"0")</f>
        <v>2.2727272727272728E-2</v>
      </c>
    </row>
    <row r="354" spans="1:68" x14ac:dyDescent="0.2">
      <c r="A354" s="559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0"/>
      <c r="P354" s="549" t="s">
        <v>76</v>
      </c>
      <c r="Q354" s="550"/>
      <c r="R354" s="550"/>
      <c r="S354" s="550"/>
      <c r="T354" s="550"/>
      <c r="U354" s="550"/>
      <c r="V354" s="551"/>
      <c r="W354" s="37" t="s">
        <v>77</v>
      </c>
      <c r="X354" s="545">
        <f>IFERROR(X352/H352,"0")+IFERROR(X353/H353,"0")</f>
        <v>69.666666666666671</v>
      </c>
      <c r="Y354" s="545">
        <f>IFERROR(Y352/H352,"0")+IFERROR(Y353/H353,"0")</f>
        <v>70</v>
      </c>
      <c r="Z354" s="545">
        <f>IFERROR(IF(Z352="",0,Z352),"0")+IFERROR(IF(Z353="",0,Z353),"0")</f>
        <v>1.48431</v>
      </c>
      <c r="AA354" s="546"/>
      <c r="AB354" s="546"/>
      <c r="AC354" s="546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0"/>
      <c r="P355" s="549" t="s">
        <v>76</v>
      </c>
      <c r="Q355" s="550"/>
      <c r="R355" s="550"/>
      <c r="S355" s="550"/>
      <c r="T355" s="550"/>
      <c r="U355" s="550"/>
      <c r="V355" s="551"/>
      <c r="W355" s="37" t="s">
        <v>70</v>
      </c>
      <c r="X355" s="545">
        <f>IFERROR(SUM(X352:X353),"0")</f>
        <v>1012</v>
      </c>
      <c r="Y355" s="545">
        <f>IFERROR(SUM(Y352:Y353),"0")</f>
        <v>1017</v>
      </c>
      <c r="Z355" s="37"/>
      <c r="AA355" s="546"/>
      <c r="AB355" s="546"/>
      <c r="AC355" s="546"/>
    </row>
    <row r="356" spans="1:68" ht="14.25" hidden="1" customHeight="1" x14ac:dyDescent="0.25">
      <c r="A356" s="587" t="s">
        <v>78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9"/>
      <c r="AB356" s="539"/>
      <c r="AC356" s="539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61">
        <v>4607091383928</v>
      </c>
      <c r="E357" s="562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61">
        <v>4607091384260</v>
      </c>
      <c r="E358" s="562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 t="s">
        <v>107</v>
      </c>
      <c r="M358" s="33" t="s">
        <v>81</v>
      </c>
      <c r="N358" s="33"/>
      <c r="O358" s="32">
        <v>40</v>
      </c>
      <c r="P358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70</v>
      </c>
      <c r="X358" s="543">
        <v>20</v>
      </c>
      <c r="Y358" s="544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563</v>
      </c>
      <c r="AG358" s="64"/>
      <c r="AJ358" s="68" t="s">
        <v>110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59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0"/>
      <c r="P359" s="549" t="s">
        <v>76</v>
      </c>
      <c r="Q359" s="550"/>
      <c r="R359" s="550"/>
      <c r="S359" s="550"/>
      <c r="T359" s="550"/>
      <c r="U359" s="550"/>
      <c r="V359" s="551"/>
      <c r="W359" s="37" t="s">
        <v>77</v>
      </c>
      <c r="X359" s="545">
        <f>IFERROR(X357/H357,"0")+IFERROR(X358/H358,"0")</f>
        <v>2.2222222222222223</v>
      </c>
      <c r="Y359" s="545">
        <f>IFERROR(Y357/H357,"0")+IFERROR(Y358/H358,"0")</f>
        <v>3</v>
      </c>
      <c r="Z359" s="545">
        <f>IFERROR(IF(Z357="",0,Z357),"0")+IFERROR(IF(Z358="",0,Z358),"0")</f>
        <v>5.6940000000000004E-2</v>
      </c>
      <c r="AA359" s="546"/>
      <c r="AB359" s="546"/>
      <c r="AC359" s="546"/>
    </row>
    <row r="360" spans="1:68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0"/>
      <c r="P360" s="549" t="s">
        <v>76</v>
      </c>
      <c r="Q360" s="550"/>
      <c r="R360" s="550"/>
      <c r="S360" s="550"/>
      <c r="T360" s="550"/>
      <c r="U360" s="550"/>
      <c r="V360" s="551"/>
      <c r="W360" s="37" t="s">
        <v>70</v>
      </c>
      <c r="X360" s="545">
        <f>IFERROR(SUM(X357:X358),"0")</f>
        <v>20</v>
      </c>
      <c r="Y360" s="545">
        <f>IFERROR(SUM(Y357:Y358),"0")</f>
        <v>27</v>
      </c>
      <c r="Z360" s="37"/>
      <c r="AA360" s="546"/>
      <c r="AB360" s="546"/>
      <c r="AC360" s="546"/>
    </row>
    <row r="361" spans="1:68" ht="14.25" hidden="1" customHeight="1" x14ac:dyDescent="0.25">
      <c r="A361" s="587" t="s">
        <v>167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9"/>
      <c r="AB361" s="539"/>
      <c r="AC361" s="539"/>
    </row>
    <row r="362" spans="1:68" ht="16.5" hidden="1" customHeight="1" x14ac:dyDescent="0.25">
      <c r="A362" s="54" t="s">
        <v>564</v>
      </c>
      <c r="B362" s="54" t="s">
        <v>565</v>
      </c>
      <c r="C362" s="31">
        <v>4301060524</v>
      </c>
      <c r="D362" s="561">
        <v>4607091384673</v>
      </c>
      <c r="E362" s="562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70</v>
      </c>
      <c r="X362" s="543">
        <v>0</v>
      </c>
      <c r="Y362" s="54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9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60"/>
      <c r="P363" s="549" t="s">
        <v>76</v>
      </c>
      <c r="Q363" s="550"/>
      <c r="R363" s="550"/>
      <c r="S363" s="550"/>
      <c r="T363" s="550"/>
      <c r="U363" s="550"/>
      <c r="V363" s="551"/>
      <c r="W363" s="37" t="s">
        <v>77</v>
      </c>
      <c r="X363" s="545">
        <f>IFERROR(X362/H362,"0")</f>
        <v>0</v>
      </c>
      <c r="Y363" s="545">
        <f>IFERROR(Y362/H362,"0")</f>
        <v>0</v>
      </c>
      <c r="Z363" s="545">
        <f>IFERROR(IF(Z362="",0,Z362),"0")</f>
        <v>0</v>
      </c>
      <c r="AA363" s="546"/>
      <c r="AB363" s="546"/>
      <c r="AC363" s="546"/>
    </row>
    <row r="364" spans="1:68" hidden="1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0"/>
      <c r="P364" s="549" t="s">
        <v>76</v>
      </c>
      <c r="Q364" s="550"/>
      <c r="R364" s="550"/>
      <c r="S364" s="550"/>
      <c r="T364" s="550"/>
      <c r="U364" s="550"/>
      <c r="V364" s="551"/>
      <c r="W364" s="37" t="s">
        <v>70</v>
      </c>
      <c r="X364" s="545">
        <f>IFERROR(SUM(X362:X362),"0")</f>
        <v>0</v>
      </c>
      <c r="Y364" s="545">
        <f>IFERROR(SUM(Y362:Y362),"0")</f>
        <v>0</v>
      </c>
      <c r="Z364" s="37"/>
      <c r="AA364" s="546"/>
      <c r="AB364" s="546"/>
      <c r="AC364" s="546"/>
    </row>
    <row r="365" spans="1:68" ht="16.5" hidden="1" customHeight="1" x14ac:dyDescent="0.25">
      <c r="A365" s="555" t="s">
        <v>567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38"/>
      <c r="AB365" s="538"/>
      <c r="AC365" s="538"/>
    </row>
    <row r="366" spans="1:68" ht="14.25" hidden="1" customHeight="1" x14ac:dyDescent="0.25">
      <c r="A366" s="587" t="s">
        <v>103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9"/>
      <c r="AB366" s="539"/>
      <c r="AC366" s="539"/>
    </row>
    <row r="367" spans="1:68" ht="37.5" hidden="1" customHeight="1" x14ac:dyDescent="0.25">
      <c r="A367" s="54" t="s">
        <v>568</v>
      </c>
      <c r="B367" s="54" t="s">
        <v>569</v>
      </c>
      <c r="C367" s="31">
        <v>4301011875</v>
      </c>
      <c r="D367" s="561">
        <v>4680115884885</v>
      </c>
      <c r="E367" s="562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61">
        <v>4680115884908</v>
      </c>
      <c r="E368" s="562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9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0"/>
      <c r="P369" s="549" t="s">
        <v>76</v>
      </c>
      <c r="Q369" s="550"/>
      <c r="R369" s="550"/>
      <c r="S369" s="550"/>
      <c r="T369" s="550"/>
      <c r="U369" s="550"/>
      <c r="V369" s="551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60"/>
      <c r="P370" s="549" t="s">
        <v>76</v>
      </c>
      <c r="Q370" s="550"/>
      <c r="R370" s="550"/>
      <c r="S370" s="550"/>
      <c r="T370" s="550"/>
      <c r="U370" s="550"/>
      <c r="V370" s="551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hidden="1" customHeight="1" x14ac:dyDescent="0.25">
      <c r="A371" s="587" t="s">
        <v>64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9"/>
      <c r="AB371" s="539"/>
      <c r="AC371" s="539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61">
        <v>4607091384802</v>
      </c>
      <c r="E372" s="562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61">
        <v>4607091384802</v>
      </c>
      <c r="E373" s="562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9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0"/>
      <c r="P374" s="549" t="s">
        <v>76</v>
      </c>
      <c r="Q374" s="550"/>
      <c r="R374" s="550"/>
      <c r="S374" s="550"/>
      <c r="T374" s="550"/>
      <c r="U374" s="550"/>
      <c r="V374" s="551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hidden="1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0"/>
      <c r="P375" s="549" t="s">
        <v>76</v>
      </c>
      <c r="Q375" s="550"/>
      <c r="R375" s="550"/>
      <c r="S375" s="550"/>
      <c r="T375" s="550"/>
      <c r="U375" s="550"/>
      <c r="V375" s="551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hidden="1" customHeight="1" x14ac:dyDescent="0.25">
      <c r="A376" s="587" t="s">
        <v>78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61">
        <v>4607091384246</v>
      </c>
      <c r="E377" s="562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70</v>
      </c>
      <c r="X377" s="543">
        <v>40</v>
      </c>
      <c r="Y377" s="544">
        <f>IFERROR(IF(X377="",0,CEILING((X377/$H377),1)*$H377),"")</f>
        <v>45</v>
      </c>
      <c r="Z377" s="36">
        <f>IFERROR(IF(Y377=0,"",ROUNDUP(Y377/H377,0)*0.01898),"")</f>
        <v>9.4899999999999998E-2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42.195555555555558</v>
      </c>
      <c r="BN377" s="64">
        <f>IFERROR(Y377*I377/H377,"0")</f>
        <v>47.47</v>
      </c>
      <c r="BO377" s="64">
        <f>IFERROR(1/J377*(X377/H377),"0")</f>
        <v>6.9444444444444448E-2</v>
      </c>
      <c r="BP377" s="64">
        <f>IFERROR(1/J377*(Y377/H377),"0")</f>
        <v>7.8125E-2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61">
        <v>4607091384253</v>
      </c>
      <c r="E378" s="562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/>
      <c r="M378" s="33" t="s">
        <v>81</v>
      </c>
      <c r="N378" s="33"/>
      <c r="O378" s="32">
        <v>40</v>
      </c>
      <c r="P378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581</v>
      </c>
      <c r="B379" s="54" t="s">
        <v>583</v>
      </c>
      <c r="C379" s="31">
        <v>4301052069</v>
      </c>
      <c r="D379" s="561">
        <v>4607091384253</v>
      </c>
      <c r="E379" s="562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3"/>
      <c r="R379" s="553"/>
      <c r="S379" s="553"/>
      <c r="T379" s="554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9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60"/>
      <c r="P380" s="549" t="s">
        <v>76</v>
      </c>
      <c r="Q380" s="550"/>
      <c r="R380" s="550"/>
      <c r="S380" s="550"/>
      <c r="T380" s="550"/>
      <c r="U380" s="550"/>
      <c r="V380" s="551"/>
      <c r="W380" s="37" t="s">
        <v>77</v>
      </c>
      <c r="X380" s="545">
        <f>IFERROR(X377/H377,"0")+IFERROR(X378/H378,"0")+IFERROR(X379/H379,"0")</f>
        <v>4.4444444444444446</v>
      </c>
      <c r="Y380" s="545">
        <f>IFERROR(Y377/H377,"0")+IFERROR(Y378/H378,"0")+IFERROR(Y379/H379,"0")</f>
        <v>5</v>
      </c>
      <c r="Z380" s="545">
        <f>IFERROR(IF(Z377="",0,Z377),"0")+IFERROR(IF(Z378="",0,Z378),"0")+IFERROR(IF(Z379="",0,Z379),"0")</f>
        <v>9.4899999999999998E-2</v>
      </c>
      <c r="AA380" s="546"/>
      <c r="AB380" s="546"/>
      <c r="AC380" s="546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60"/>
      <c r="P381" s="549" t="s">
        <v>76</v>
      </c>
      <c r="Q381" s="550"/>
      <c r="R381" s="550"/>
      <c r="S381" s="550"/>
      <c r="T381" s="550"/>
      <c r="U381" s="550"/>
      <c r="V381" s="551"/>
      <c r="W381" s="37" t="s">
        <v>70</v>
      </c>
      <c r="X381" s="545">
        <f>IFERROR(SUM(X377:X379),"0")</f>
        <v>40</v>
      </c>
      <c r="Y381" s="545">
        <f>IFERROR(SUM(Y377:Y379),"0")</f>
        <v>45</v>
      </c>
      <c r="Z381" s="37"/>
      <c r="AA381" s="546"/>
      <c r="AB381" s="546"/>
      <c r="AC381" s="546"/>
    </row>
    <row r="382" spans="1:68" ht="27.75" hidden="1" customHeight="1" x14ac:dyDescent="0.2">
      <c r="A382" s="664" t="s">
        <v>585</v>
      </c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48"/>
      <c r="AB382" s="48"/>
      <c r="AC382" s="48"/>
    </row>
    <row r="383" spans="1:68" ht="16.5" hidden="1" customHeight="1" x14ac:dyDescent="0.25">
      <c r="A383" s="555" t="s">
        <v>586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8"/>
      <c r="AB383" s="538"/>
      <c r="AC383" s="538"/>
    </row>
    <row r="384" spans="1:68" ht="14.25" hidden="1" customHeight="1" x14ac:dyDescent="0.25">
      <c r="A384" s="587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9"/>
      <c r="AB384" s="539"/>
      <c r="AC384" s="539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61">
        <v>4680115886100</v>
      </c>
      <c r="E385" s="562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61">
        <v>4680115886117</v>
      </c>
      <c r="E386" s="562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61">
        <v>4680115886124</v>
      </c>
      <c r="E387" s="562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70</v>
      </c>
      <c r="X387" s="543">
        <v>10</v>
      </c>
      <c r="Y387" s="544">
        <f t="shared" si="36"/>
        <v>10.8</v>
      </c>
      <c r="Z387" s="36">
        <f>IFERROR(IF(Y387=0,"",ROUNDUP(Y387/H387,0)*0.00902),"")</f>
        <v>1.804E-2</v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10.351851851851851</v>
      </c>
      <c r="BN387" s="64">
        <f t="shared" si="38"/>
        <v>11.18</v>
      </c>
      <c r="BO387" s="64">
        <f t="shared" si="39"/>
        <v>1.4029180695847361E-2</v>
      </c>
      <c r="BP387" s="64">
        <f t="shared" si="40"/>
        <v>1.5151515151515152E-2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61">
        <v>4680115883147</v>
      </c>
      <c r="E388" s="562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7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61">
        <v>4607091384338</v>
      </c>
      <c r="E389" s="562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 t="s">
        <v>270</v>
      </c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70</v>
      </c>
      <c r="X389" s="543">
        <v>35</v>
      </c>
      <c r="Y389" s="544">
        <f t="shared" si="36"/>
        <v>35.700000000000003</v>
      </c>
      <c r="Z389" s="36">
        <f t="shared" si="41"/>
        <v>8.5339999999999999E-2</v>
      </c>
      <c r="AA389" s="56"/>
      <c r="AB389" s="57"/>
      <c r="AC389" s="435" t="s">
        <v>589</v>
      </c>
      <c r="AG389" s="64"/>
      <c r="AJ389" s="68" t="s">
        <v>110</v>
      </c>
      <c r="AK389" s="68">
        <v>37.799999999999997</v>
      </c>
      <c r="BB389" s="436" t="s">
        <v>1</v>
      </c>
      <c r="BM389" s="64">
        <f t="shared" si="37"/>
        <v>37.166666666666664</v>
      </c>
      <c r="BN389" s="64">
        <f t="shared" si="38"/>
        <v>37.910000000000004</v>
      </c>
      <c r="BO389" s="64">
        <f t="shared" si="39"/>
        <v>7.1225071225071226E-2</v>
      </c>
      <c r="BP389" s="64">
        <f t="shared" si="40"/>
        <v>7.2649572649572655E-2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61">
        <v>4607091389524</v>
      </c>
      <c r="E390" s="562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 t="s">
        <v>270</v>
      </c>
      <c r="M390" s="33" t="s">
        <v>68</v>
      </c>
      <c r="N390" s="33"/>
      <c r="O390" s="32">
        <v>50</v>
      </c>
      <c r="P390" s="77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70</v>
      </c>
      <c r="X390" s="543">
        <v>17.5</v>
      </c>
      <c r="Y390" s="544">
        <f t="shared" si="36"/>
        <v>18.900000000000002</v>
      </c>
      <c r="Z390" s="36">
        <f t="shared" si="41"/>
        <v>4.5179999999999998E-2</v>
      </c>
      <c r="AA390" s="56"/>
      <c r="AB390" s="57"/>
      <c r="AC390" s="437" t="s">
        <v>602</v>
      </c>
      <c r="AG390" s="64"/>
      <c r="AJ390" s="68" t="s">
        <v>110</v>
      </c>
      <c r="AK390" s="68">
        <v>37.799999999999997</v>
      </c>
      <c r="BB390" s="438" t="s">
        <v>1</v>
      </c>
      <c r="BM390" s="64">
        <f t="shared" si="37"/>
        <v>18.583333333333332</v>
      </c>
      <c r="BN390" s="64">
        <f t="shared" si="38"/>
        <v>20.07</v>
      </c>
      <c r="BO390" s="64">
        <f t="shared" si="39"/>
        <v>3.5612535612535613E-2</v>
      </c>
      <c r="BP390" s="64">
        <f t="shared" si="40"/>
        <v>3.8461538461538464E-2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61">
        <v>4680115883161</v>
      </c>
      <c r="E391" s="562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61">
        <v>4607091389531</v>
      </c>
      <c r="E392" s="562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 t="s">
        <v>270</v>
      </c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70</v>
      </c>
      <c r="X392" s="543">
        <v>35</v>
      </c>
      <c r="Y392" s="544">
        <f t="shared" si="36"/>
        <v>35.700000000000003</v>
      </c>
      <c r="Z392" s="36">
        <f t="shared" si="41"/>
        <v>8.5339999999999999E-2</v>
      </c>
      <c r="AA392" s="56"/>
      <c r="AB392" s="57"/>
      <c r="AC392" s="441" t="s">
        <v>608</v>
      </c>
      <c r="AG392" s="64"/>
      <c r="AJ392" s="68" t="s">
        <v>110</v>
      </c>
      <c r="AK392" s="68">
        <v>37.799999999999997</v>
      </c>
      <c r="BB392" s="442" t="s">
        <v>1</v>
      </c>
      <c r="BM392" s="64">
        <f t="shared" si="37"/>
        <v>37.166666666666664</v>
      </c>
      <c r="BN392" s="64">
        <f t="shared" si="38"/>
        <v>37.910000000000004</v>
      </c>
      <c r="BO392" s="64">
        <f t="shared" si="39"/>
        <v>7.1225071225071226E-2</v>
      </c>
      <c r="BP392" s="64">
        <f t="shared" si="40"/>
        <v>7.2649572649572655E-2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61">
        <v>4607091384345</v>
      </c>
      <c r="E393" s="562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9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60"/>
      <c r="P394" s="549" t="s">
        <v>76</v>
      </c>
      <c r="Q394" s="550"/>
      <c r="R394" s="550"/>
      <c r="S394" s="550"/>
      <c r="T394" s="550"/>
      <c r="U394" s="550"/>
      <c r="V394" s="551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43.518518518518512</v>
      </c>
      <c r="Y394" s="545">
        <f>IFERROR(Y385/H385,"0")+IFERROR(Y386/H386,"0")+IFERROR(Y387/H387,"0")+IFERROR(Y388/H388,"0")+IFERROR(Y389/H389,"0")+IFERROR(Y390/H390,"0")+IFERROR(Y391/H391,"0")+IFERROR(Y392/H392,"0")+IFERROR(Y393/H393,"0")</f>
        <v>45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0.2339</v>
      </c>
      <c r="AA394" s="546"/>
      <c r="AB394" s="546"/>
      <c r="AC394" s="546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60"/>
      <c r="P395" s="549" t="s">
        <v>76</v>
      </c>
      <c r="Q395" s="550"/>
      <c r="R395" s="550"/>
      <c r="S395" s="550"/>
      <c r="T395" s="550"/>
      <c r="U395" s="550"/>
      <c r="V395" s="551"/>
      <c r="W395" s="37" t="s">
        <v>70</v>
      </c>
      <c r="X395" s="545">
        <f>IFERROR(SUM(X385:X393),"0")</f>
        <v>97.5</v>
      </c>
      <c r="Y395" s="545">
        <f>IFERROR(SUM(Y385:Y393),"0")</f>
        <v>101.10000000000001</v>
      </c>
      <c r="Z395" s="37"/>
      <c r="AA395" s="546"/>
      <c r="AB395" s="546"/>
      <c r="AC395" s="546"/>
    </row>
    <row r="396" spans="1:68" ht="14.25" hidden="1" customHeight="1" x14ac:dyDescent="0.25">
      <c r="A396" s="587" t="s">
        <v>78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9"/>
      <c r="AB396" s="539"/>
      <c r="AC396" s="539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61">
        <v>4607091384352</v>
      </c>
      <c r="E397" s="562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61">
        <v>4607091389654</v>
      </c>
      <c r="E398" s="562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9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0"/>
      <c r="P399" s="549" t="s">
        <v>76</v>
      </c>
      <c r="Q399" s="550"/>
      <c r="R399" s="550"/>
      <c r="S399" s="550"/>
      <c r="T399" s="550"/>
      <c r="U399" s="550"/>
      <c r="V399" s="551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hidden="1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60"/>
      <c r="P400" s="549" t="s">
        <v>76</v>
      </c>
      <c r="Q400" s="550"/>
      <c r="R400" s="550"/>
      <c r="S400" s="550"/>
      <c r="T400" s="550"/>
      <c r="U400" s="550"/>
      <c r="V400" s="551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hidden="1" customHeight="1" x14ac:dyDescent="0.25">
      <c r="A401" s="555" t="s">
        <v>617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8"/>
      <c r="AB401" s="538"/>
      <c r="AC401" s="538"/>
    </row>
    <row r="402" spans="1:68" ht="14.25" hidden="1" customHeight="1" x14ac:dyDescent="0.25">
      <c r="A402" s="587" t="s">
        <v>139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9"/>
      <c r="AB402" s="539"/>
      <c r="AC402" s="539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61">
        <v>4680115885240</v>
      </c>
      <c r="E403" s="562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9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0"/>
      <c r="P404" s="549" t="s">
        <v>76</v>
      </c>
      <c r="Q404" s="550"/>
      <c r="R404" s="550"/>
      <c r="S404" s="550"/>
      <c r="T404" s="550"/>
      <c r="U404" s="550"/>
      <c r="V404" s="551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hidden="1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60"/>
      <c r="P405" s="549" t="s">
        <v>76</v>
      </c>
      <c r="Q405" s="550"/>
      <c r="R405" s="550"/>
      <c r="S405" s="550"/>
      <c r="T405" s="550"/>
      <c r="U405" s="550"/>
      <c r="V405" s="551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hidden="1" customHeight="1" x14ac:dyDescent="0.25">
      <c r="A406" s="587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9"/>
      <c r="AB406" s="539"/>
      <c r="AC406" s="539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61">
        <v>4680115886094</v>
      </c>
      <c r="E407" s="562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61">
        <v>4607091389425</v>
      </c>
      <c r="E408" s="562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61">
        <v>4680115880771</v>
      </c>
      <c r="E409" s="562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61">
        <v>4607091389500</v>
      </c>
      <c r="E410" s="562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70</v>
      </c>
      <c r="X410" s="543">
        <v>10.5</v>
      </c>
      <c r="Y410" s="544">
        <f>IFERROR(IF(X410="",0,CEILING((X410/$H410),1)*$H410),"")</f>
        <v>10.5</v>
      </c>
      <c r="Z410" s="36">
        <f>IFERROR(IF(Y410=0,"",ROUNDUP(Y410/H410,0)*0.00502),"")</f>
        <v>2.5100000000000001E-2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11.149999999999999</v>
      </c>
      <c r="BN410" s="64">
        <f>IFERROR(Y410*I410/H410,"0")</f>
        <v>11.149999999999999</v>
      </c>
      <c r="BO410" s="64">
        <f>IFERROR(1/J410*(X410/H410),"0")</f>
        <v>2.1367521367521368E-2</v>
      </c>
      <c r="BP410" s="64">
        <f>IFERROR(1/J410*(Y410/H410),"0")</f>
        <v>2.1367521367521368E-2</v>
      </c>
    </row>
    <row r="411" spans="1:68" x14ac:dyDescent="0.2">
      <c r="A411" s="559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60"/>
      <c r="P411" s="549" t="s">
        <v>76</v>
      </c>
      <c r="Q411" s="550"/>
      <c r="R411" s="550"/>
      <c r="S411" s="550"/>
      <c r="T411" s="550"/>
      <c r="U411" s="550"/>
      <c r="V411" s="551"/>
      <c r="W411" s="37" t="s">
        <v>77</v>
      </c>
      <c r="X411" s="545">
        <f>IFERROR(X407/H407,"0")+IFERROR(X408/H408,"0")+IFERROR(X409/H409,"0")+IFERROR(X410/H410,"0")</f>
        <v>5</v>
      </c>
      <c r="Y411" s="545">
        <f>IFERROR(Y407/H407,"0")+IFERROR(Y408/H408,"0")+IFERROR(Y409/H409,"0")+IFERROR(Y410/H410,"0")</f>
        <v>5</v>
      </c>
      <c r="Z411" s="545">
        <f>IFERROR(IF(Z407="",0,Z407),"0")+IFERROR(IF(Z408="",0,Z408),"0")+IFERROR(IF(Z409="",0,Z409),"0")+IFERROR(IF(Z410="",0,Z410),"0")</f>
        <v>2.5100000000000001E-2</v>
      </c>
      <c r="AA411" s="546"/>
      <c r="AB411" s="546"/>
      <c r="AC411" s="546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60"/>
      <c r="P412" s="549" t="s">
        <v>76</v>
      </c>
      <c r="Q412" s="550"/>
      <c r="R412" s="550"/>
      <c r="S412" s="550"/>
      <c r="T412" s="550"/>
      <c r="U412" s="550"/>
      <c r="V412" s="551"/>
      <c r="W412" s="37" t="s">
        <v>70</v>
      </c>
      <c r="X412" s="545">
        <f>IFERROR(SUM(X407:X410),"0")</f>
        <v>10.5</v>
      </c>
      <c r="Y412" s="545">
        <f>IFERROR(SUM(Y407:Y410),"0")</f>
        <v>10.5</v>
      </c>
      <c r="Z412" s="37"/>
      <c r="AA412" s="546"/>
      <c r="AB412" s="546"/>
      <c r="AC412" s="546"/>
    </row>
    <row r="413" spans="1:68" ht="16.5" hidden="1" customHeight="1" x14ac:dyDescent="0.25">
      <c r="A413" s="555" t="s">
        <v>632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8"/>
      <c r="AB413" s="538"/>
      <c r="AC413" s="538"/>
    </row>
    <row r="414" spans="1:68" ht="14.25" hidden="1" customHeight="1" x14ac:dyDescent="0.25">
      <c r="A414" s="587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61">
        <v>4680115885110</v>
      </c>
      <c r="E415" s="562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 t="s">
        <v>217</v>
      </c>
      <c r="M415" s="33" t="s">
        <v>68</v>
      </c>
      <c r="N415" s="33"/>
      <c r="O415" s="32">
        <v>50</v>
      </c>
      <c r="P415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70</v>
      </c>
      <c r="X415" s="543">
        <v>60</v>
      </c>
      <c r="Y415" s="544">
        <f>IFERROR(IF(X415="",0,CEILING((X415/$H415),1)*$H415),"")</f>
        <v>60</v>
      </c>
      <c r="Z415" s="36">
        <f>IFERROR(IF(Y415=0,"",ROUNDUP(Y415/H415,0)*0.00651),"")</f>
        <v>0.32550000000000001</v>
      </c>
      <c r="AA415" s="56"/>
      <c r="AB415" s="57"/>
      <c r="AC415" s="459" t="s">
        <v>635</v>
      </c>
      <c r="AG415" s="64"/>
      <c r="AJ415" s="68" t="s">
        <v>110</v>
      </c>
      <c r="AK415" s="68">
        <v>16.8</v>
      </c>
      <c r="BB415" s="460" t="s">
        <v>1</v>
      </c>
      <c r="BM415" s="64">
        <f>IFERROR(X415*I415/H415,"0")</f>
        <v>105</v>
      </c>
      <c r="BN415" s="64">
        <f>IFERROR(Y415*I415/H415,"0")</f>
        <v>105</v>
      </c>
      <c r="BO415" s="64">
        <f>IFERROR(1/J415*(X415/H415),"0")</f>
        <v>0.27472527472527475</v>
      </c>
      <c r="BP415" s="64">
        <f>IFERROR(1/J415*(Y415/H415),"0")</f>
        <v>0.27472527472527475</v>
      </c>
    </row>
    <row r="416" spans="1:68" x14ac:dyDescent="0.2">
      <c r="A416" s="559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0"/>
      <c r="P416" s="549" t="s">
        <v>76</v>
      </c>
      <c r="Q416" s="550"/>
      <c r="R416" s="550"/>
      <c r="S416" s="550"/>
      <c r="T416" s="550"/>
      <c r="U416" s="550"/>
      <c r="V416" s="551"/>
      <c r="W416" s="37" t="s">
        <v>77</v>
      </c>
      <c r="X416" s="545">
        <f>IFERROR(X415/H415,"0")</f>
        <v>50</v>
      </c>
      <c r="Y416" s="545">
        <f>IFERROR(Y415/H415,"0")</f>
        <v>50</v>
      </c>
      <c r="Z416" s="545">
        <f>IFERROR(IF(Z415="",0,Z415),"0")</f>
        <v>0.32550000000000001</v>
      </c>
      <c r="AA416" s="546"/>
      <c r="AB416" s="546"/>
      <c r="AC416" s="546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60"/>
      <c r="P417" s="549" t="s">
        <v>76</v>
      </c>
      <c r="Q417" s="550"/>
      <c r="R417" s="550"/>
      <c r="S417" s="550"/>
      <c r="T417" s="550"/>
      <c r="U417" s="550"/>
      <c r="V417" s="551"/>
      <c r="W417" s="37" t="s">
        <v>70</v>
      </c>
      <c r="X417" s="545">
        <f>IFERROR(SUM(X415:X415),"0")</f>
        <v>60</v>
      </c>
      <c r="Y417" s="545">
        <f>IFERROR(SUM(Y415:Y415),"0")</f>
        <v>60</v>
      </c>
      <c r="Z417" s="37"/>
      <c r="AA417" s="546"/>
      <c r="AB417" s="546"/>
      <c r="AC417" s="546"/>
    </row>
    <row r="418" spans="1:68" ht="27.75" hidden="1" customHeight="1" x14ac:dyDescent="0.2">
      <c r="A418" s="664" t="s">
        <v>636</v>
      </c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48"/>
      <c r="AB418" s="48"/>
      <c r="AC418" s="48"/>
    </row>
    <row r="419" spans="1:68" ht="16.5" hidden="1" customHeight="1" x14ac:dyDescent="0.25">
      <c r="A419" s="555" t="s">
        <v>636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8"/>
      <c r="AB419" s="538"/>
      <c r="AC419" s="538"/>
    </row>
    <row r="420" spans="1:68" ht="14.25" hidden="1" customHeight="1" x14ac:dyDescent="0.25">
      <c r="A420" s="587" t="s">
        <v>103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9"/>
      <c r="AB420" s="539"/>
      <c r="AC420" s="539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61">
        <v>4607091389067</v>
      </c>
      <c r="E421" s="562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61">
        <v>4607091383522</v>
      </c>
      <c r="E422" s="562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639</v>
      </c>
      <c r="B423" s="54" t="s">
        <v>642</v>
      </c>
      <c r="C423" s="31">
        <v>4301012210</v>
      </c>
      <c r="D423" s="561">
        <v>4607091383522</v>
      </c>
      <c r="E423" s="562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17" t="s">
        <v>643</v>
      </c>
      <c r="Q423" s="553"/>
      <c r="R423" s="553"/>
      <c r="S423" s="553"/>
      <c r="T423" s="554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644</v>
      </c>
      <c r="B424" s="54" t="s">
        <v>645</v>
      </c>
      <c r="C424" s="31">
        <v>4301011961</v>
      </c>
      <c r="D424" s="561">
        <v>4680115885271</v>
      </c>
      <c r="E424" s="562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/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3"/>
      <c r="R424" s="553"/>
      <c r="S424" s="553"/>
      <c r="T424" s="554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61">
        <v>4680115885226</v>
      </c>
      <c r="E425" s="562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3"/>
      <c r="R425" s="553"/>
      <c r="S425" s="553"/>
      <c r="T425" s="554"/>
      <c r="U425" s="34"/>
      <c r="V425" s="34"/>
      <c r="W425" s="35" t="s">
        <v>70</v>
      </c>
      <c r="X425" s="543">
        <v>100</v>
      </c>
      <c r="Y425" s="544">
        <f t="shared" si="42"/>
        <v>100.32000000000001</v>
      </c>
      <c r="Z425" s="36">
        <f t="shared" si="43"/>
        <v>0.22724</v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106.62878787878788</v>
      </c>
      <c r="BN425" s="64">
        <f t="shared" si="45"/>
        <v>106.97</v>
      </c>
      <c r="BO425" s="64">
        <f t="shared" si="46"/>
        <v>0.18210955710955709</v>
      </c>
      <c r="BP425" s="64">
        <f t="shared" si="47"/>
        <v>0.18269230769230771</v>
      </c>
    </row>
    <row r="426" spans="1:68" ht="16.5" hidden="1" customHeight="1" x14ac:dyDescent="0.25">
      <c r="A426" s="54" t="s">
        <v>650</v>
      </c>
      <c r="B426" s="54" t="s">
        <v>651</v>
      </c>
      <c r="C426" s="31">
        <v>4301011774</v>
      </c>
      <c r="D426" s="561">
        <v>4680115884502</v>
      </c>
      <c r="E426" s="562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6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3"/>
      <c r="R426" s="553"/>
      <c r="S426" s="553"/>
      <c r="T426" s="554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61">
        <v>4607091389104</v>
      </c>
      <c r="E427" s="562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5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3"/>
      <c r="R427" s="553"/>
      <c r="S427" s="553"/>
      <c r="T427" s="554"/>
      <c r="U427" s="34"/>
      <c r="V427" s="34"/>
      <c r="W427" s="35" t="s">
        <v>70</v>
      </c>
      <c r="X427" s="543">
        <v>100</v>
      </c>
      <c r="Y427" s="544">
        <f t="shared" si="42"/>
        <v>100.32000000000001</v>
      </c>
      <c r="Z427" s="36">
        <f t="shared" si="43"/>
        <v>0.22724</v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106.62878787878788</v>
      </c>
      <c r="BN427" s="64">
        <f t="shared" si="45"/>
        <v>106.97</v>
      </c>
      <c r="BO427" s="64">
        <f t="shared" si="46"/>
        <v>0.18210955710955709</v>
      </c>
      <c r="BP427" s="64">
        <f t="shared" si="47"/>
        <v>0.18269230769230771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4301012125</v>
      </c>
      <c r="D428" s="561">
        <v>4680115886391</v>
      </c>
      <c r="E428" s="562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3"/>
      <c r="R428" s="553"/>
      <c r="S428" s="553"/>
      <c r="T428" s="554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61">
        <v>4680115880603</v>
      </c>
      <c r="E429" s="562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3"/>
      <c r="R429" s="553"/>
      <c r="S429" s="553"/>
      <c r="T429" s="554"/>
      <c r="U429" s="34"/>
      <c r="V429" s="34"/>
      <c r="W429" s="35" t="s">
        <v>70</v>
      </c>
      <c r="X429" s="543">
        <v>72</v>
      </c>
      <c r="Y429" s="544">
        <f t="shared" si="42"/>
        <v>72</v>
      </c>
      <c r="Z429" s="36">
        <f>IFERROR(IF(Y429=0,"",ROUNDUP(Y429/H429,0)*0.00902),"")</f>
        <v>0.1353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103.65</v>
      </c>
      <c r="BN429" s="64">
        <f t="shared" si="45"/>
        <v>103.65</v>
      </c>
      <c r="BO429" s="64">
        <f t="shared" si="46"/>
        <v>0.11363636363636365</v>
      </c>
      <c r="BP429" s="64">
        <f t="shared" si="47"/>
        <v>0.11363636363636365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4301012036</v>
      </c>
      <c r="D430" s="561">
        <v>4680115882782</v>
      </c>
      <c r="E430" s="562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3"/>
      <c r="R430" s="553"/>
      <c r="S430" s="553"/>
      <c r="T430" s="554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4301012050</v>
      </c>
      <c r="D431" s="561">
        <v>4680115885479</v>
      </c>
      <c r="E431" s="562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7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3"/>
      <c r="R431" s="553"/>
      <c r="S431" s="553"/>
      <c r="T431" s="554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61">
        <v>4607091389982</v>
      </c>
      <c r="E432" s="562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3"/>
      <c r="R432" s="553"/>
      <c r="S432" s="553"/>
      <c r="T432" s="554"/>
      <c r="U432" s="34"/>
      <c r="V432" s="34"/>
      <c r="W432" s="35" t="s">
        <v>70</v>
      </c>
      <c r="X432" s="543">
        <v>162</v>
      </c>
      <c r="Y432" s="544">
        <f t="shared" si="42"/>
        <v>163.19999999999999</v>
      </c>
      <c r="Z432" s="36">
        <f>IFERROR(IF(Y432=0,"",ROUNDUP(Y432/H432,0)*0.00902),"")</f>
        <v>0.30668000000000001</v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233.21250000000003</v>
      </c>
      <c r="BN432" s="64">
        <f t="shared" si="45"/>
        <v>234.94</v>
      </c>
      <c r="BO432" s="64">
        <f t="shared" si="46"/>
        <v>0.25568181818181818</v>
      </c>
      <c r="BP432" s="64">
        <f t="shared" si="47"/>
        <v>0.25757575757575757</v>
      </c>
    </row>
    <row r="433" spans="1:68" x14ac:dyDescent="0.2">
      <c r="A433" s="559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60"/>
      <c r="P433" s="549" t="s">
        <v>76</v>
      </c>
      <c r="Q433" s="550"/>
      <c r="R433" s="550"/>
      <c r="S433" s="550"/>
      <c r="T433" s="550"/>
      <c r="U433" s="550"/>
      <c r="V433" s="551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86.628787878787875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87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0.89646000000000003</v>
      </c>
      <c r="AA433" s="546"/>
      <c r="AB433" s="546"/>
      <c r="AC433" s="546"/>
    </row>
    <row r="434" spans="1:68" x14ac:dyDescent="0.2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60"/>
      <c r="P434" s="549" t="s">
        <v>76</v>
      </c>
      <c r="Q434" s="550"/>
      <c r="R434" s="550"/>
      <c r="S434" s="550"/>
      <c r="T434" s="550"/>
      <c r="U434" s="550"/>
      <c r="V434" s="551"/>
      <c r="W434" s="37" t="s">
        <v>70</v>
      </c>
      <c r="X434" s="545">
        <f>IFERROR(SUM(X421:X432),"0")</f>
        <v>434</v>
      </c>
      <c r="Y434" s="545">
        <f>IFERROR(SUM(Y421:Y432),"0")</f>
        <v>435.84</v>
      </c>
      <c r="Z434" s="37"/>
      <c r="AA434" s="546"/>
      <c r="AB434" s="546"/>
      <c r="AC434" s="546"/>
    </row>
    <row r="435" spans="1:68" ht="14.25" hidden="1" customHeight="1" x14ac:dyDescent="0.25">
      <c r="A435" s="587" t="s">
        <v>139</v>
      </c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61">
        <v>4607091388930</v>
      </c>
      <c r="E436" s="562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3"/>
      <c r="R436" s="553"/>
      <c r="S436" s="553"/>
      <c r="T436" s="554"/>
      <c r="U436" s="34"/>
      <c r="V436" s="34"/>
      <c r="W436" s="35" t="s">
        <v>70</v>
      </c>
      <c r="X436" s="543">
        <v>50</v>
      </c>
      <c r="Y436" s="544">
        <f>IFERROR(IF(X436="",0,CEILING((X436/$H436),1)*$H436),"")</f>
        <v>52.800000000000004</v>
      </c>
      <c r="Z436" s="36">
        <f>IFERROR(IF(Y436=0,"",ROUNDUP(Y436/H436,0)*0.01196),"")</f>
        <v>0.1196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53.314393939393938</v>
      </c>
      <c r="BN436" s="64">
        <f>IFERROR(Y436*I436/H436,"0")</f>
        <v>56.3</v>
      </c>
      <c r="BO436" s="64">
        <f>IFERROR(1/J436*(X436/H436),"0")</f>
        <v>9.1054778554778545E-2</v>
      </c>
      <c r="BP436" s="64">
        <f>IFERROR(1/J436*(Y436/H436),"0")</f>
        <v>9.6153846153846159E-2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4301020384</v>
      </c>
      <c r="D437" s="561">
        <v>4680115886407</v>
      </c>
      <c r="E437" s="562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3"/>
      <c r="R437" s="553"/>
      <c r="S437" s="553"/>
      <c r="T437" s="554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672</v>
      </c>
      <c r="B438" s="54" t="s">
        <v>673</v>
      </c>
      <c r="C438" s="31">
        <v>4301020385</v>
      </c>
      <c r="D438" s="561">
        <v>4680115880054</v>
      </c>
      <c r="E438" s="562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/>
      <c r="M438" s="33" t="s">
        <v>108</v>
      </c>
      <c r="N438" s="33"/>
      <c r="O438" s="32">
        <v>70</v>
      </c>
      <c r="P438" s="7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3"/>
      <c r="R438" s="553"/>
      <c r="S438" s="553"/>
      <c r="T438" s="554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9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60"/>
      <c r="P439" s="549" t="s">
        <v>76</v>
      </c>
      <c r="Q439" s="550"/>
      <c r="R439" s="550"/>
      <c r="S439" s="550"/>
      <c r="T439" s="550"/>
      <c r="U439" s="550"/>
      <c r="V439" s="551"/>
      <c r="W439" s="37" t="s">
        <v>77</v>
      </c>
      <c r="X439" s="545">
        <f>IFERROR(X436/H436,"0")+IFERROR(X437/H437,"0")+IFERROR(X438/H438,"0")</f>
        <v>9.4696969696969688</v>
      </c>
      <c r="Y439" s="545">
        <f>IFERROR(Y436/H436,"0")+IFERROR(Y437/H437,"0")+IFERROR(Y438/H438,"0")</f>
        <v>10</v>
      </c>
      <c r="Z439" s="545">
        <f>IFERROR(IF(Z436="",0,Z436),"0")+IFERROR(IF(Z437="",0,Z437),"0")+IFERROR(IF(Z438="",0,Z438),"0")</f>
        <v>0.1196</v>
      </c>
      <c r="AA439" s="546"/>
      <c r="AB439" s="546"/>
      <c r="AC439" s="546"/>
    </row>
    <row r="440" spans="1:68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60"/>
      <c r="P440" s="549" t="s">
        <v>76</v>
      </c>
      <c r="Q440" s="550"/>
      <c r="R440" s="550"/>
      <c r="S440" s="550"/>
      <c r="T440" s="550"/>
      <c r="U440" s="550"/>
      <c r="V440" s="551"/>
      <c r="W440" s="37" t="s">
        <v>70</v>
      </c>
      <c r="X440" s="545">
        <f>IFERROR(SUM(X436:X438),"0")</f>
        <v>50</v>
      </c>
      <c r="Y440" s="545">
        <f>IFERROR(SUM(Y436:Y438),"0")</f>
        <v>52.800000000000004</v>
      </c>
      <c r="Z440" s="37"/>
      <c r="AA440" s="546"/>
      <c r="AB440" s="546"/>
      <c r="AC440" s="546"/>
    </row>
    <row r="441" spans="1:68" ht="14.25" hidden="1" customHeight="1" x14ac:dyDescent="0.25">
      <c r="A441" s="587" t="s">
        <v>64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61">
        <v>4680115883116</v>
      </c>
      <c r="E442" s="562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3"/>
      <c r="R442" s="553"/>
      <c r="S442" s="553"/>
      <c r="T442" s="554"/>
      <c r="U442" s="34"/>
      <c r="V442" s="34"/>
      <c r="W442" s="35" t="s">
        <v>70</v>
      </c>
      <c r="X442" s="543">
        <v>30</v>
      </c>
      <c r="Y442" s="544">
        <f t="shared" ref="Y442:Y447" si="48">IFERROR(IF(X442="",0,CEILING((X442/$H442),1)*$H442),"")</f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31.988636363636363</v>
      </c>
      <c r="BN442" s="64">
        <f t="shared" ref="BN442:BN447" si="50">IFERROR(Y442*I442/H442,"0")</f>
        <v>33.779999999999994</v>
      </c>
      <c r="BO442" s="64">
        <f t="shared" ref="BO442:BO447" si="51">IFERROR(1/J442*(X442/H442),"0")</f>
        <v>5.4632867132867136E-2</v>
      </c>
      <c r="BP442" s="64">
        <f t="shared" ref="BP442:BP447" si="52">IFERROR(1/J442*(Y442/H442),"0")</f>
        <v>5.7692307692307696E-2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61">
        <v>4680115883093</v>
      </c>
      <c r="E443" s="562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3"/>
      <c r="R443" s="553"/>
      <c r="S443" s="553"/>
      <c r="T443" s="554"/>
      <c r="U443" s="34"/>
      <c r="V443" s="34"/>
      <c r="W443" s="35" t="s">
        <v>70</v>
      </c>
      <c r="X443" s="543">
        <v>130</v>
      </c>
      <c r="Y443" s="544">
        <f t="shared" si="48"/>
        <v>132</v>
      </c>
      <c r="Z443" s="36">
        <f>IFERROR(IF(Y443=0,"",ROUNDUP(Y443/H443,0)*0.01196),"")</f>
        <v>0.29899999999999999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138.61742424242422</v>
      </c>
      <c r="BN443" s="64">
        <f t="shared" si="50"/>
        <v>140.75</v>
      </c>
      <c r="BO443" s="64">
        <f t="shared" si="51"/>
        <v>0.23674242424242425</v>
      </c>
      <c r="BP443" s="64">
        <f t="shared" si="52"/>
        <v>0.24038461538461539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61">
        <v>4680115883109</v>
      </c>
      <c r="E444" s="562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3"/>
      <c r="R444" s="553"/>
      <c r="S444" s="553"/>
      <c r="T444" s="554"/>
      <c r="U444" s="34"/>
      <c r="V444" s="34"/>
      <c r="W444" s="35" t="s">
        <v>70</v>
      </c>
      <c r="X444" s="543">
        <v>100</v>
      </c>
      <c r="Y444" s="544">
        <f t="shared" si="48"/>
        <v>100.32000000000001</v>
      </c>
      <c r="Z444" s="36">
        <f>IFERROR(IF(Y444=0,"",ROUNDUP(Y444/H444,0)*0.01196),"")</f>
        <v>0.22724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106.62878787878788</v>
      </c>
      <c r="BN444" s="64">
        <f t="shared" si="50"/>
        <v>106.97</v>
      </c>
      <c r="BO444" s="64">
        <f t="shared" si="51"/>
        <v>0.18210955710955709</v>
      </c>
      <c r="BP444" s="64">
        <f t="shared" si="52"/>
        <v>0.18269230769230771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61">
        <v>4680115882072</v>
      </c>
      <c r="E445" s="562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 t="s">
        <v>114</v>
      </c>
      <c r="M445" s="33" t="s">
        <v>108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3"/>
      <c r="R445" s="553"/>
      <c r="S445" s="553"/>
      <c r="T445" s="554"/>
      <c r="U445" s="34"/>
      <c r="V445" s="34"/>
      <c r="W445" s="35" t="s">
        <v>70</v>
      </c>
      <c r="X445" s="543">
        <v>24</v>
      </c>
      <c r="Y445" s="544">
        <f t="shared" si="48"/>
        <v>24</v>
      </c>
      <c r="Z445" s="36">
        <f>IFERROR(IF(Y445=0,"",ROUNDUP(Y445/H445,0)*0.00902),"")</f>
        <v>4.5100000000000001E-2</v>
      </c>
      <c r="AA445" s="56"/>
      <c r="AB445" s="57"/>
      <c r="AC445" s="497" t="s">
        <v>676</v>
      </c>
      <c r="AG445" s="64"/>
      <c r="AJ445" s="68" t="s">
        <v>110</v>
      </c>
      <c r="AK445" s="68">
        <v>57.6</v>
      </c>
      <c r="BB445" s="498" t="s">
        <v>1</v>
      </c>
      <c r="BM445" s="64">
        <f t="shared" si="49"/>
        <v>34.550000000000004</v>
      </c>
      <c r="BN445" s="64">
        <f t="shared" si="50"/>
        <v>34.550000000000004</v>
      </c>
      <c r="BO445" s="64">
        <f t="shared" si="51"/>
        <v>3.787878787878788E-2</v>
      </c>
      <c r="BP445" s="64">
        <f t="shared" si="52"/>
        <v>3.787878787878788E-2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61">
        <v>4680115882102</v>
      </c>
      <c r="E446" s="562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 t="s">
        <v>114</v>
      </c>
      <c r="M446" s="33" t="s">
        <v>68</v>
      </c>
      <c r="N446" s="33"/>
      <c r="O446" s="32">
        <v>70</v>
      </c>
      <c r="P446" s="7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70</v>
      </c>
      <c r="X446" s="543">
        <v>30</v>
      </c>
      <c r="Y446" s="544">
        <f t="shared" si="48"/>
        <v>33.6</v>
      </c>
      <c r="Z446" s="36">
        <f>IFERROR(IF(Y446=0,"",ROUNDUP(Y446/H446,0)*0.00902),"")</f>
        <v>6.3140000000000002E-2</v>
      </c>
      <c r="AA446" s="56"/>
      <c r="AB446" s="57"/>
      <c r="AC446" s="499" t="s">
        <v>679</v>
      </c>
      <c r="AG446" s="64"/>
      <c r="AJ446" s="68" t="s">
        <v>110</v>
      </c>
      <c r="AK446" s="68">
        <v>57.6</v>
      </c>
      <c r="BB446" s="500" t="s">
        <v>1</v>
      </c>
      <c r="BM446" s="64">
        <f t="shared" si="49"/>
        <v>41.6875</v>
      </c>
      <c r="BN446" s="64">
        <f t="shared" si="50"/>
        <v>46.69</v>
      </c>
      <c r="BO446" s="64">
        <f t="shared" si="51"/>
        <v>4.7348484848484848E-2</v>
      </c>
      <c r="BP446" s="64">
        <f t="shared" si="52"/>
        <v>5.3030303030303039E-2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61">
        <v>4680115882096</v>
      </c>
      <c r="E447" s="562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 t="s">
        <v>114</v>
      </c>
      <c r="M447" s="33" t="s">
        <v>68</v>
      </c>
      <c r="N447" s="33"/>
      <c r="O447" s="32">
        <v>70</v>
      </c>
      <c r="P447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3"/>
      <c r="R447" s="553"/>
      <c r="S447" s="553"/>
      <c r="T447" s="554"/>
      <c r="U447" s="34"/>
      <c r="V447" s="34"/>
      <c r="W447" s="35" t="s">
        <v>70</v>
      </c>
      <c r="X447" s="543">
        <v>84</v>
      </c>
      <c r="Y447" s="544">
        <f t="shared" si="48"/>
        <v>86.399999999999991</v>
      </c>
      <c r="Z447" s="36">
        <f>IFERROR(IF(Y447=0,"",ROUNDUP(Y447/H447,0)*0.00902),"")</f>
        <v>0.16236</v>
      </c>
      <c r="AA447" s="56"/>
      <c r="AB447" s="57"/>
      <c r="AC447" s="501" t="s">
        <v>682</v>
      </c>
      <c r="AG447" s="64"/>
      <c r="AJ447" s="68" t="s">
        <v>110</v>
      </c>
      <c r="AK447" s="68">
        <v>57.6</v>
      </c>
      <c r="BB447" s="502" t="s">
        <v>1</v>
      </c>
      <c r="BM447" s="64">
        <f t="shared" si="49"/>
        <v>116.72499999999999</v>
      </c>
      <c r="BN447" s="64">
        <f t="shared" si="50"/>
        <v>120.05999999999999</v>
      </c>
      <c r="BO447" s="64">
        <f t="shared" si="51"/>
        <v>0.13257575757575757</v>
      </c>
      <c r="BP447" s="64">
        <f t="shared" si="52"/>
        <v>0.13636363636363635</v>
      </c>
    </row>
    <row r="448" spans="1:68" x14ac:dyDescent="0.2">
      <c r="A448" s="559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60"/>
      <c r="P448" s="549" t="s">
        <v>76</v>
      </c>
      <c r="Q448" s="550"/>
      <c r="R448" s="550"/>
      <c r="S448" s="550"/>
      <c r="T448" s="550"/>
      <c r="U448" s="550"/>
      <c r="V448" s="551"/>
      <c r="W448" s="37" t="s">
        <v>77</v>
      </c>
      <c r="X448" s="545">
        <f>IFERROR(X442/H442,"0")+IFERROR(X443/H443,"0")+IFERROR(X444/H444,"0")+IFERROR(X445/H445,"0")+IFERROR(X446/H446,"0")+IFERROR(X447/H447,"0")</f>
        <v>77.992424242424249</v>
      </c>
      <c r="Y448" s="545">
        <f>IFERROR(Y442/H442,"0")+IFERROR(Y443/H443,"0")+IFERROR(Y444/H444,"0")+IFERROR(Y445/H445,"0")+IFERROR(Y446/H446,"0")+IFERROR(Y447/H447,"0")</f>
        <v>80</v>
      </c>
      <c r="Z448" s="545">
        <f>IFERROR(IF(Z442="",0,Z442),"0")+IFERROR(IF(Z443="",0,Z443),"0")+IFERROR(IF(Z444="",0,Z444),"0")+IFERROR(IF(Z445="",0,Z445),"0")+IFERROR(IF(Z446="",0,Z446),"0")+IFERROR(IF(Z447="",0,Z447),"0")</f>
        <v>0.86860000000000004</v>
      </c>
      <c r="AA448" s="546"/>
      <c r="AB448" s="546"/>
      <c r="AC448" s="546"/>
    </row>
    <row r="449" spans="1:68" x14ac:dyDescent="0.2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60"/>
      <c r="P449" s="549" t="s">
        <v>76</v>
      </c>
      <c r="Q449" s="550"/>
      <c r="R449" s="550"/>
      <c r="S449" s="550"/>
      <c r="T449" s="550"/>
      <c r="U449" s="550"/>
      <c r="V449" s="551"/>
      <c r="W449" s="37" t="s">
        <v>70</v>
      </c>
      <c r="X449" s="545">
        <f>IFERROR(SUM(X442:X447),"0")</f>
        <v>398</v>
      </c>
      <c r="Y449" s="545">
        <f>IFERROR(SUM(Y442:Y447),"0")</f>
        <v>408</v>
      </c>
      <c r="Z449" s="37"/>
      <c r="AA449" s="546"/>
      <c r="AB449" s="546"/>
      <c r="AC449" s="546"/>
    </row>
    <row r="450" spans="1:68" ht="14.25" hidden="1" customHeight="1" x14ac:dyDescent="0.25">
      <c r="A450" s="587" t="s">
        <v>78</v>
      </c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39"/>
      <c r="AB450" s="539"/>
      <c r="AC450" s="539"/>
    </row>
    <row r="451" spans="1:68" ht="16.5" hidden="1" customHeight="1" x14ac:dyDescent="0.25">
      <c r="A451" s="54" t="s">
        <v>689</v>
      </c>
      <c r="B451" s="54" t="s">
        <v>690</v>
      </c>
      <c r="C451" s="31">
        <v>4301051232</v>
      </c>
      <c r="D451" s="561">
        <v>4607091383409</v>
      </c>
      <c r="E451" s="562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3"/>
      <c r="R451" s="553"/>
      <c r="S451" s="553"/>
      <c r="T451" s="554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61">
        <v>4607091383416</v>
      </c>
      <c r="E452" s="562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6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3"/>
      <c r="R452" s="553"/>
      <c r="S452" s="553"/>
      <c r="T452" s="554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61">
        <v>4680115883536</v>
      </c>
      <c r="E453" s="562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3"/>
      <c r="R453" s="553"/>
      <c r="S453" s="553"/>
      <c r="T453" s="554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9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60"/>
      <c r="P454" s="549" t="s">
        <v>76</v>
      </c>
      <c r="Q454" s="550"/>
      <c r="R454" s="550"/>
      <c r="S454" s="550"/>
      <c r="T454" s="550"/>
      <c r="U454" s="550"/>
      <c r="V454" s="551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60"/>
      <c r="P455" s="549" t="s">
        <v>76</v>
      </c>
      <c r="Q455" s="550"/>
      <c r="R455" s="550"/>
      <c r="S455" s="550"/>
      <c r="T455" s="550"/>
      <c r="U455" s="550"/>
      <c r="V455" s="551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64" t="s">
        <v>699</v>
      </c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48"/>
      <c r="AB456" s="48"/>
      <c r="AC456" s="48"/>
    </row>
    <row r="457" spans="1:68" ht="16.5" hidden="1" customHeight="1" x14ac:dyDescent="0.25">
      <c r="A457" s="555" t="s">
        <v>699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8"/>
      <c r="AB457" s="538"/>
      <c r="AC457" s="538"/>
    </row>
    <row r="458" spans="1:68" ht="14.25" hidden="1" customHeight="1" x14ac:dyDescent="0.25">
      <c r="A458" s="587" t="s">
        <v>103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61">
        <v>4640242181011</v>
      </c>
      <c r="E459" s="562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61">
        <v>4640242180441</v>
      </c>
      <c r="E460" s="562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3"/>
      <c r="R460" s="553"/>
      <c r="S460" s="553"/>
      <c r="T460" s="554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61">
        <v>4640242180564</v>
      </c>
      <c r="E461" s="562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3"/>
      <c r="R461" s="553"/>
      <c r="S461" s="553"/>
      <c r="T461" s="554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61">
        <v>4640242181189</v>
      </c>
      <c r="E462" s="562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3"/>
      <c r="R462" s="553"/>
      <c r="S462" s="553"/>
      <c r="T462" s="554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9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60"/>
      <c r="P463" s="549" t="s">
        <v>76</v>
      </c>
      <c r="Q463" s="550"/>
      <c r="R463" s="550"/>
      <c r="S463" s="550"/>
      <c r="T463" s="550"/>
      <c r="U463" s="550"/>
      <c r="V463" s="551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60"/>
      <c r="P464" s="549" t="s">
        <v>76</v>
      </c>
      <c r="Q464" s="550"/>
      <c r="R464" s="550"/>
      <c r="S464" s="550"/>
      <c r="T464" s="550"/>
      <c r="U464" s="550"/>
      <c r="V464" s="551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87" t="s">
        <v>139</v>
      </c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61">
        <v>4640242180519</v>
      </c>
      <c r="E466" s="562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3"/>
      <c r="R466" s="553"/>
      <c r="S466" s="553"/>
      <c r="T466" s="554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61">
        <v>4640242180526</v>
      </c>
      <c r="E467" s="562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7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3"/>
      <c r="R467" s="553"/>
      <c r="S467" s="553"/>
      <c r="T467" s="554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61">
        <v>4640242181363</v>
      </c>
      <c r="E468" s="562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3"/>
      <c r="R468" s="553"/>
      <c r="S468" s="553"/>
      <c r="T468" s="554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9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60"/>
      <c r="P469" s="549" t="s">
        <v>76</v>
      </c>
      <c r="Q469" s="550"/>
      <c r="R469" s="550"/>
      <c r="S469" s="550"/>
      <c r="T469" s="550"/>
      <c r="U469" s="550"/>
      <c r="V469" s="551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0"/>
      <c r="P470" s="549" t="s">
        <v>76</v>
      </c>
      <c r="Q470" s="550"/>
      <c r="R470" s="550"/>
      <c r="S470" s="550"/>
      <c r="T470" s="550"/>
      <c r="U470" s="550"/>
      <c r="V470" s="551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87" t="s">
        <v>64</v>
      </c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61">
        <v>4640242180816</v>
      </c>
      <c r="E472" s="562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/>
      <c r="M472" s="33" t="s">
        <v>68</v>
      </c>
      <c r="N472" s="33"/>
      <c r="O472" s="32">
        <v>40</v>
      </c>
      <c r="P472" s="7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3"/>
      <c r="R472" s="553"/>
      <c r="S472" s="553"/>
      <c r="T472" s="554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61">
        <v>4640242180595</v>
      </c>
      <c r="E473" s="562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/>
      <c r="M473" s="33" t="s">
        <v>68</v>
      </c>
      <c r="N473" s="33"/>
      <c r="O473" s="32">
        <v>40</v>
      </c>
      <c r="P473" s="62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3"/>
      <c r="R473" s="553"/>
      <c r="S473" s="553"/>
      <c r="T473" s="554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9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0"/>
      <c r="P474" s="549" t="s">
        <v>76</v>
      </c>
      <c r="Q474" s="550"/>
      <c r="R474" s="550"/>
      <c r="S474" s="550"/>
      <c r="T474" s="550"/>
      <c r="U474" s="550"/>
      <c r="V474" s="551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0"/>
      <c r="P475" s="549" t="s">
        <v>76</v>
      </c>
      <c r="Q475" s="550"/>
      <c r="R475" s="550"/>
      <c r="S475" s="550"/>
      <c r="T475" s="550"/>
      <c r="U475" s="550"/>
      <c r="V475" s="551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87" t="s">
        <v>78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61">
        <v>4640242180533</v>
      </c>
      <c r="E477" s="562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3"/>
      <c r="R477" s="553"/>
      <c r="S477" s="553"/>
      <c r="T477" s="554"/>
      <c r="U477" s="34"/>
      <c r="V477" s="34"/>
      <c r="W477" s="35" t="s">
        <v>70</v>
      </c>
      <c r="X477" s="543">
        <v>600</v>
      </c>
      <c r="Y477" s="544">
        <f>IFERROR(IF(X477="",0,CEILING((X477/$H477),1)*$H477),"")</f>
        <v>603</v>
      </c>
      <c r="Z477" s="36">
        <f>IFERROR(IF(Y477=0,"",ROUNDUP(Y477/H477,0)*0.01898),"")</f>
        <v>1.27166</v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632.93333333333328</v>
      </c>
      <c r="BN477" s="64">
        <f>IFERROR(Y477*I477/H477,"0")</f>
        <v>636.09799999999996</v>
      </c>
      <c r="BO477" s="64">
        <f>IFERROR(1/J477*(X477/H477),"0")</f>
        <v>1.0416666666666667</v>
      </c>
      <c r="BP477" s="64">
        <f>IFERROR(1/J477*(Y477/H477),"0")</f>
        <v>1.046875</v>
      </c>
    </row>
    <row r="478" spans="1:68" x14ac:dyDescent="0.2">
      <c r="A478" s="559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60"/>
      <c r="P478" s="549" t="s">
        <v>76</v>
      </c>
      <c r="Q478" s="550"/>
      <c r="R478" s="550"/>
      <c r="S478" s="550"/>
      <c r="T478" s="550"/>
      <c r="U478" s="550"/>
      <c r="V478" s="551"/>
      <c r="W478" s="37" t="s">
        <v>77</v>
      </c>
      <c r="X478" s="545">
        <f>IFERROR(X477/H477,"0")</f>
        <v>66.666666666666671</v>
      </c>
      <c r="Y478" s="545">
        <f>IFERROR(Y477/H477,"0")</f>
        <v>67</v>
      </c>
      <c r="Z478" s="545">
        <f>IFERROR(IF(Z477="",0,Z477),"0")</f>
        <v>1.27166</v>
      </c>
      <c r="AA478" s="546"/>
      <c r="AB478" s="546"/>
      <c r="AC478" s="546"/>
    </row>
    <row r="479" spans="1:68" x14ac:dyDescent="0.2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0"/>
      <c r="P479" s="549" t="s">
        <v>76</v>
      </c>
      <c r="Q479" s="550"/>
      <c r="R479" s="550"/>
      <c r="S479" s="550"/>
      <c r="T479" s="550"/>
      <c r="U479" s="550"/>
      <c r="V479" s="551"/>
      <c r="W479" s="37" t="s">
        <v>70</v>
      </c>
      <c r="X479" s="545">
        <f>IFERROR(SUM(X477:X477),"0")</f>
        <v>600</v>
      </c>
      <c r="Y479" s="545">
        <f>IFERROR(SUM(Y477:Y477),"0")</f>
        <v>603</v>
      </c>
      <c r="Z479" s="37"/>
      <c r="AA479" s="546"/>
      <c r="AB479" s="546"/>
      <c r="AC479" s="546"/>
    </row>
    <row r="480" spans="1:68" ht="14.25" hidden="1" customHeight="1" x14ac:dyDescent="0.25">
      <c r="A480" s="587" t="s">
        <v>167</v>
      </c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61">
        <v>4640242180120</v>
      </c>
      <c r="E481" s="562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61">
        <v>4640242180137</v>
      </c>
      <c r="E482" s="562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3"/>
      <c r="R482" s="553"/>
      <c r="S482" s="553"/>
      <c r="T482" s="554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9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60"/>
      <c r="P483" s="549" t="s">
        <v>76</v>
      </c>
      <c r="Q483" s="550"/>
      <c r="R483" s="550"/>
      <c r="S483" s="550"/>
      <c r="T483" s="550"/>
      <c r="U483" s="550"/>
      <c r="V483" s="551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0"/>
      <c r="P484" s="549" t="s">
        <v>76</v>
      </c>
      <c r="Q484" s="550"/>
      <c r="R484" s="550"/>
      <c r="S484" s="550"/>
      <c r="T484" s="550"/>
      <c r="U484" s="550"/>
      <c r="V484" s="551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5" t="s">
        <v>735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8"/>
      <c r="AB485" s="538"/>
      <c r="AC485" s="538"/>
    </row>
    <row r="486" spans="1:68" ht="14.25" hidden="1" customHeight="1" x14ac:dyDescent="0.25">
      <c r="A486" s="587" t="s">
        <v>139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61">
        <v>4640242180090</v>
      </c>
      <c r="E487" s="562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84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3"/>
      <c r="R487" s="553"/>
      <c r="S487" s="553"/>
      <c r="T487" s="554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9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60"/>
      <c r="P488" s="549" t="s">
        <v>76</v>
      </c>
      <c r="Q488" s="550"/>
      <c r="R488" s="550"/>
      <c r="S488" s="550"/>
      <c r="T488" s="550"/>
      <c r="U488" s="550"/>
      <c r="V488" s="551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60"/>
      <c r="P489" s="549" t="s">
        <v>76</v>
      </c>
      <c r="Q489" s="550"/>
      <c r="R489" s="550"/>
      <c r="S489" s="550"/>
      <c r="T489" s="550"/>
      <c r="U489" s="550"/>
      <c r="V489" s="551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25"/>
      <c r="P490" s="656" t="s">
        <v>739</v>
      </c>
      <c r="Q490" s="657"/>
      <c r="R490" s="657"/>
      <c r="S490" s="657"/>
      <c r="T490" s="657"/>
      <c r="U490" s="657"/>
      <c r="V490" s="658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16791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16956.64</v>
      </c>
      <c r="Z490" s="37"/>
      <c r="AA490" s="546"/>
      <c r="AB490" s="546"/>
      <c r="AC490" s="546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25"/>
      <c r="P491" s="656" t="s">
        <v>740</v>
      </c>
      <c r="Q491" s="657"/>
      <c r="R491" s="657"/>
      <c r="S491" s="657"/>
      <c r="T491" s="657"/>
      <c r="U491" s="657"/>
      <c r="V491" s="658"/>
      <c r="W491" s="37" t="s">
        <v>70</v>
      </c>
      <c r="X491" s="545">
        <f>IFERROR(SUM(BM22:BM487),"0")</f>
        <v>17981.13754771835</v>
      </c>
      <c r="Y491" s="545">
        <f>IFERROR(SUM(BN22:BN487),"0")</f>
        <v>18158.328999999998</v>
      </c>
      <c r="Z491" s="37"/>
      <c r="AA491" s="546"/>
      <c r="AB491" s="546"/>
      <c r="AC491" s="546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25"/>
      <c r="P492" s="656" t="s">
        <v>741</v>
      </c>
      <c r="Q492" s="657"/>
      <c r="R492" s="657"/>
      <c r="S492" s="657"/>
      <c r="T492" s="657"/>
      <c r="U492" s="657"/>
      <c r="V492" s="658"/>
      <c r="W492" s="37" t="s">
        <v>742</v>
      </c>
      <c r="X492" s="38">
        <f>ROUNDUP(SUM(BO22:BO487),0)</f>
        <v>31</v>
      </c>
      <c r="Y492" s="38">
        <f>ROUNDUP(SUM(BP22:BP487),0)</f>
        <v>31</v>
      </c>
      <c r="Z492" s="37"/>
      <c r="AA492" s="546"/>
      <c r="AB492" s="546"/>
      <c r="AC492" s="546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25"/>
      <c r="P493" s="656" t="s">
        <v>743</v>
      </c>
      <c r="Q493" s="657"/>
      <c r="R493" s="657"/>
      <c r="S493" s="657"/>
      <c r="T493" s="657"/>
      <c r="U493" s="657"/>
      <c r="V493" s="658"/>
      <c r="W493" s="37" t="s">
        <v>70</v>
      </c>
      <c r="X493" s="545">
        <f>GrossWeightTotal+PalletQtyTotal*25</f>
        <v>18756.13754771835</v>
      </c>
      <c r="Y493" s="545">
        <f>GrossWeightTotalR+PalletQtyTotalR*25</f>
        <v>18933.328999999998</v>
      </c>
      <c r="Z493" s="37"/>
      <c r="AA493" s="546"/>
      <c r="AB493" s="546"/>
      <c r="AC493" s="546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25"/>
      <c r="P494" s="656" t="s">
        <v>744</v>
      </c>
      <c r="Q494" s="657"/>
      <c r="R494" s="657"/>
      <c r="S494" s="657"/>
      <c r="T494" s="657"/>
      <c r="U494" s="657"/>
      <c r="V494" s="658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3941.2732218824171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3973</v>
      </c>
      <c r="Z494" s="37"/>
      <c r="AA494" s="546"/>
      <c r="AB494" s="546"/>
      <c r="AC494" s="546"/>
    </row>
    <row r="495" spans="1:68" ht="14.25" hidden="1" customHeight="1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25"/>
      <c r="P495" s="656" t="s">
        <v>745</v>
      </c>
      <c r="Q495" s="657"/>
      <c r="R495" s="657"/>
      <c r="S495" s="657"/>
      <c r="T495" s="657"/>
      <c r="U495" s="657"/>
      <c r="V495" s="658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35.713419999999992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101</v>
      </c>
      <c r="D497" s="600"/>
      <c r="E497" s="600"/>
      <c r="F497" s="600"/>
      <c r="G497" s="600"/>
      <c r="H497" s="601"/>
      <c r="I497" s="597" t="s">
        <v>254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531</v>
      </c>
      <c r="T497" s="601"/>
      <c r="U497" s="597" t="s">
        <v>585</v>
      </c>
      <c r="V497" s="600"/>
      <c r="W497" s="601"/>
      <c r="X497" s="540" t="s">
        <v>636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18" t="s">
        <v>748</v>
      </c>
      <c r="B498" s="597" t="s">
        <v>63</v>
      </c>
      <c r="C498" s="597" t="s">
        <v>102</v>
      </c>
      <c r="D498" s="597" t="s">
        <v>120</v>
      </c>
      <c r="E498" s="597" t="s">
        <v>174</v>
      </c>
      <c r="F498" s="597" t="s">
        <v>193</v>
      </c>
      <c r="G498" s="597" t="s">
        <v>224</v>
      </c>
      <c r="H498" s="597" t="s">
        <v>101</v>
      </c>
      <c r="I498" s="597" t="s">
        <v>255</v>
      </c>
      <c r="J498" s="597" t="s">
        <v>299</v>
      </c>
      <c r="K498" s="597" t="s">
        <v>358</v>
      </c>
      <c r="L498" s="597" t="s">
        <v>400</v>
      </c>
      <c r="M498" s="597" t="s">
        <v>416</v>
      </c>
      <c r="N498" s="541"/>
      <c r="O498" s="597" t="s">
        <v>427</v>
      </c>
      <c r="P498" s="597" t="s">
        <v>436</v>
      </c>
      <c r="Q498" s="597" t="s">
        <v>449</v>
      </c>
      <c r="R498" s="597" t="s">
        <v>521</v>
      </c>
      <c r="S498" s="597" t="s">
        <v>532</v>
      </c>
      <c r="T498" s="597" t="s">
        <v>567</v>
      </c>
      <c r="U498" s="597" t="s">
        <v>586</v>
      </c>
      <c r="V498" s="597" t="s">
        <v>617</v>
      </c>
      <c r="W498" s="597" t="s">
        <v>632</v>
      </c>
      <c r="X498" s="597" t="s">
        <v>636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19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348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919.80000000000007</v>
      </c>
      <c r="E500" s="46">
        <f>IFERROR(Y86*1,"0")+IFERROR(Y87*1,"0")+IFERROR(Y88*1,"0")+IFERROR(Y92*1,"0")+IFERROR(Y93*1,"0")+IFERROR(Y94*1,"0")+IFERROR(Y95*1,"0")</f>
        <v>1512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776.7</v>
      </c>
      <c r="G500" s="46">
        <f>IFERROR(Y125*1,"0")+IFERROR(Y126*1,"0")+IFERROR(Y130*1,"0")+IFERROR(Y131*1,"0")+IFERROR(Y135*1,"0")+IFERROR(Y136*1,"0")</f>
        <v>192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829.5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2606.4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187.7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362.4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1215.5</v>
      </c>
      <c r="R500" s="46">
        <f>IFERROR(Y334*1,"0")+IFERROR(Y335*1,"0")+IFERROR(Y336*1,"0")</f>
        <v>1226.4000000000001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5064</v>
      </c>
      <c r="T500" s="46">
        <f>IFERROR(Y367*1,"0")+IFERROR(Y368*1,"0")+IFERROR(Y372*1,"0")+IFERROR(Y373*1,"0")+IFERROR(Y377*1,"0")+IFERROR(Y378*1,"0")+IFERROR(Y379*1,"0")</f>
        <v>45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101.10000000000001</v>
      </c>
      <c r="V500" s="46">
        <f>IFERROR(Y403*1,"0")+IFERROR(Y407*1,"0")+IFERROR(Y408*1,"0")+IFERROR(Y409*1,"0")+IFERROR(Y410*1,"0")</f>
        <v>10.5</v>
      </c>
      <c r="W500" s="46">
        <f>IFERROR(Y415*1,"0")</f>
        <v>60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896.64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603</v>
      </c>
      <c r="Z500" s="46">
        <f>IFERROR(Y487*1,"0")</f>
        <v>0</v>
      </c>
      <c r="AB500" s="52"/>
      <c r="AC500" s="52"/>
      <c r="AF500" s="541"/>
    </row>
  </sheetData>
  <sheetProtection algorithmName="SHA-512" hashValue="Uwtm5+Pv/LNydHzhcePfCVc1g591WR62yFLVXHqljS65RPvf4uAo/7ci9pxmLtcEnzJ0lOcQQ1ftF5ahhJv0/w==" saltValue="NEaMHzryQYppNKE7v7IkI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2,00"/>
        <filter val="1 200,00"/>
        <filter val="1 225,00"/>
        <filter val="1 300,00"/>
        <filter val="1 600,00"/>
        <filter val="10,00"/>
        <filter val="10,50"/>
        <filter val="100,00"/>
        <filter val="105,00"/>
        <filter val="118,52"/>
        <filter val="12,00"/>
        <filter val="12,50"/>
        <filter val="120,00"/>
        <filter val="13,33"/>
        <filter val="130,00"/>
        <filter val="135,00"/>
        <filter val="140,00"/>
        <filter val="150,00"/>
        <filter val="152,00"/>
        <filter val="16 791,00"/>
        <filter val="160,00"/>
        <filter val="162,00"/>
        <filter val="163,70"/>
        <filter val="17 981,14"/>
        <filter val="17,50"/>
        <filter val="175,00"/>
        <filter val="18 756,14"/>
        <filter val="18,00"/>
        <filter val="180,00"/>
        <filter val="19,44"/>
        <filter val="2,22"/>
        <filter val="2,56"/>
        <filter val="20,00"/>
        <filter val="200,00"/>
        <filter val="204,00"/>
        <filter val="210,00"/>
        <filter val="214,00"/>
        <filter val="238,00"/>
        <filter val="24,00"/>
        <filter val="24,50"/>
        <filter val="240,00"/>
        <filter val="245,06"/>
        <filter val="25,00"/>
        <filter val="250,00"/>
        <filter val="266,67"/>
        <filter val="27,50"/>
        <filter val="270,00"/>
        <filter val="28,17"/>
        <filter val="280,00"/>
        <filter val="3 941,27"/>
        <filter val="3,33"/>
        <filter val="30,00"/>
        <filter val="300,00"/>
        <filter val="31"/>
        <filter val="315,00"/>
        <filter val="320,00"/>
        <filter val="335,71"/>
        <filter val="34,00"/>
        <filter val="340,00"/>
        <filter val="35,00"/>
        <filter val="350,00"/>
        <filter val="360,00"/>
        <filter val="385,19"/>
        <filter val="39,00"/>
        <filter val="398,00"/>
        <filter val="4 000,00"/>
        <filter val="4,44"/>
        <filter val="40,00"/>
        <filter val="400,00"/>
        <filter val="405,00"/>
        <filter val="420,00"/>
        <filter val="43,52"/>
        <filter val="434,00"/>
        <filter val="44,00"/>
        <filter val="463,79"/>
        <filter val="470,00"/>
        <filter val="495,00"/>
        <filter val="5,00"/>
        <filter val="50,00"/>
        <filter val="500,00"/>
        <filter val="505,00"/>
        <filter val="550,00"/>
        <filter val="583,33"/>
        <filter val="6,00"/>
        <filter val="60,00"/>
        <filter val="600,00"/>
        <filter val="633,00"/>
        <filter val="66,00"/>
        <filter val="66,67"/>
        <filter val="67,77"/>
        <filter val="69,26"/>
        <filter val="69,67"/>
        <filter val="7,00"/>
        <filter val="72,00"/>
        <filter val="73,89"/>
        <filter val="75,00"/>
        <filter val="77,99"/>
        <filter val="780,00"/>
        <filter val="8,33"/>
        <filter val="84,00"/>
        <filter val="86,63"/>
        <filter val="875,00"/>
        <filter val="88,00"/>
        <filter val="9,47"/>
        <filter val="92,00"/>
        <filter val="93,33"/>
        <filter val="97,50"/>
        <filter val="99,26"/>
        <filter val="995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M498:M499"/>
    <mergeCell ref="O498:O499"/>
    <mergeCell ref="A476:Z476"/>
    <mergeCell ref="D468:E468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D249:E249"/>
    <mergeCell ref="A51:Z51"/>
    <mergeCell ref="D170:E170"/>
    <mergeCell ref="P132:V132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181:T181"/>
    <mergeCell ref="P404:V404"/>
    <mergeCell ref="A351:Z351"/>
    <mergeCell ref="D487:E487"/>
    <mergeCell ref="P397:T397"/>
    <mergeCell ref="P372:T372"/>
    <mergeCell ref="P484:V484"/>
    <mergeCell ref="A463:O464"/>
    <mergeCell ref="A483:O484"/>
    <mergeCell ref="P440:V440"/>
    <mergeCell ref="A396:Z396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357:T357"/>
    <mergeCell ref="P492:V492"/>
    <mergeCell ref="P415:T415"/>
    <mergeCell ref="P479:V479"/>
    <mergeCell ref="D447:E447"/>
    <mergeCell ref="P487:T487"/>
    <mergeCell ref="D428:E428"/>
    <mergeCell ref="D415:E415"/>
    <mergeCell ref="A486:Z486"/>
    <mergeCell ref="P459:T459"/>
    <mergeCell ref="D427:E427"/>
    <mergeCell ref="P483:V483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P286:V286"/>
    <mergeCell ref="P97:V97"/>
    <mergeCell ref="D298:E298"/>
    <mergeCell ref="D181:E181"/>
    <mergeCell ref="A221:O222"/>
    <mergeCell ref="A286:O287"/>
    <mergeCell ref="P327:T327"/>
    <mergeCell ref="D273:E273"/>
    <mergeCell ref="P252:V252"/>
    <mergeCell ref="P105:V105"/>
    <mergeCell ref="P212:T212"/>
    <mergeCell ref="D343:E343"/>
    <mergeCell ref="P74:T74"/>
    <mergeCell ref="P243:V243"/>
    <mergeCell ref="A190:Z190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235:O236"/>
    <mergeCell ref="P343:T343"/>
    <mergeCell ref="A288:Z288"/>
    <mergeCell ref="P256:T256"/>
    <mergeCell ref="Z17:Z18"/>
    <mergeCell ref="A66:Z66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P236:V236"/>
    <mergeCell ref="P394:V394"/>
    <mergeCell ref="P257:T257"/>
    <mergeCell ref="P80:T80"/>
    <mergeCell ref="P173:V173"/>
    <mergeCell ref="A172:O173"/>
    <mergeCell ref="H17:H18"/>
    <mergeCell ref="P388:T388"/>
    <mergeCell ref="D198:E198"/>
    <mergeCell ref="P275:V275"/>
    <mergeCell ref="P104:V104"/>
    <mergeCell ref="P27:T27"/>
    <mergeCell ref="D75:E75"/>
    <mergeCell ref="P390:T390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P321:T321"/>
    <mergeCell ref="P353:T353"/>
    <mergeCell ref="D169:E169"/>
    <mergeCell ref="P204:V204"/>
    <mergeCell ref="P82:V82"/>
    <mergeCell ref="A134:Z134"/>
    <mergeCell ref="P303:T303"/>
    <mergeCell ref="P317:V317"/>
    <mergeCell ref="P304:V304"/>
    <mergeCell ref="A98:Z98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P133:V133"/>
    <mergeCell ref="A195:Z195"/>
    <mergeCell ref="P125:T125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D9:E9"/>
    <mergeCell ref="P53:T53"/>
    <mergeCell ref="F9:G9"/>
    <mergeCell ref="I17:I18"/>
    <mergeCell ref="A48:O49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P197:T197"/>
    <mergeCell ref="A354:O355"/>
    <mergeCell ref="D167:E167"/>
    <mergeCell ref="P422:T422"/>
    <mergeCell ref="P481:T481"/>
    <mergeCell ref="D141:E141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D423:E423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A60:Z60"/>
    <mergeCell ref="P81:T81"/>
    <mergeCell ref="P56:T56"/>
    <mergeCell ref="A270:Z270"/>
    <mergeCell ref="D426:E426"/>
    <mergeCell ref="D473:E473"/>
    <mergeCell ref="P437:T437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A34:Z34"/>
    <mergeCell ref="D410:E410"/>
    <mergeCell ref="A441:Z441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A330:O331"/>
    <mergeCell ref="P249:T249"/>
    <mergeCell ref="P73:T73"/>
    <mergeCell ref="D187:E187"/>
    <mergeCell ref="P315:T315"/>
    <mergeCell ref="P231:T231"/>
    <mergeCell ref="P302:T30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2 X100 X102 X107 X113 X115:X116 X120 X125 X131 X136 X162:X165 X167 X169 X196:X203 X209:X210 X212 X214:X215 X219:X220 X225 X227:X228 X233 X273 X301:X303 X314:X316 X322:X323 X327 X329 X335:X336 X358 X367 X377 X389:X390 X392 X415 X421 X425 X427 X436 X442:X447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xLDnVJxu7Wk8q1sGRf2n6k5a0ZuXAXovsjMEN+DsL2N0f4cV7AciLO1g97dFtGaWm2eMykumQOdGw3lFZTF14w==" saltValue="e45c5JcTla4bMQtfDBzo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2025-12-04T11:22:07Z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