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1B69A52-03DC-4B7C-972E-6F35527C9F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Z502" i="1" s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Y386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0" i="1" s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X288" i="1"/>
  <c r="X287" i="1"/>
  <c r="BO286" i="1"/>
  <c r="BM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Y275" i="1" s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Y258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Y211" i="1" s="1"/>
  <c r="P203" i="1"/>
  <c r="X201" i="1"/>
  <c r="X200" i="1"/>
  <c r="BO199" i="1"/>
  <c r="BM199" i="1"/>
  <c r="Y199" i="1"/>
  <c r="Y201" i="1" s="1"/>
  <c r="P199" i="1"/>
  <c r="BP198" i="1"/>
  <c r="BO198" i="1"/>
  <c r="BN198" i="1"/>
  <c r="BM198" i="1"/>
  <c r="Z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Y119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Y90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N56" i="1"/>
  <c r="BM56" i="1"/>
  <c r="Z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Y33" i="1" s="1"/>
  <c r="P27" i="1"/>
  <c r="X25" i="1"/>
  <c r="X492" i="1" s="1"/>
  <c r="X24" i="1"/>
  <c r="BP23" i="1"/>
  <c r="BO23" i="1"/>
  <c r="BN23" i="1"/>
  <c r="BM23" i="1"/>
  <c r="Z23" i="1"/>
  <c r="Y23" i="1"/>
  <c r="P23" i="1"/>
  <c r="BO22" i="1"/>
  <c r="BM22" i="1"/>
  <c r="X493" i="1" s="1"/>
  <c r="Y22" i="1"/>
  <c r="P22" i="1"/>
  <c r="H10" i="1"/>
  <c r="A9" i="1"/>
  <c r="A10" i="1" s="1"/>
  <c r="D7" i="1"/>
  <c r="Q6" i="1"/>
  <c r="P2" i="1"/>
  <c r="BP118" i="1" l="1"/>
  <c r="BN118" i="1"/>
  <c r="Z118" i="1"/>
  <c r="BP151" i="1"/>
  <c r="BN151" i="1"/>
  <c r="Z151" i="1"/>
  <c r="BP183" i="1"/>
  <c r="BN183" i="1"/>
  <c r="Z183" i="1"/>
  <c r="BP216" i="1"/>
  <c r="BN216" i="1"/>
  <c r="Z216" i="1"/>
  <c r="BP239" i="1"/>
  <c r="BN239" i="1"/>
  <c r="Z239" i="1"/>
  <c r="BP279" i="1"/>
  <c r="BN279" i="1"/>
  <c r="Z279" i="1"/>
  <c r="BP313" i="1"/>
  <c r="BN313" i="1"/>
  <c r="Z313" i="1"/>
  <c r="BP342" i="1"/>
  <c r="BN342" i="1"/>
  <c r="Z342" i="1"/>
  <c r="BP348" i="1"/>
  <c r="BN348" i="1"/>
  <c r="Z348" i="1"/>
  <c r="BP385" i="1"/>
  <c r="BN385" i="1"/>
  <c r="Z385" i="1"/>
  <c r="BP391" i="1"/>
  <c r="BN391" i="1"/>
  <c r="Z391" i="1"/>
  <c r="BN421" i="1"/>
  <c r="Z421" i="1"/>
  <c r="Z422" i="1" s="1"/>
  <c r="BP428" i="1"/>
  <c r="BN428" i="1"/>
  <c r="Z428" i="1"/>
  <c r="BP450" i="1"/>
  <c r="BN450" i="1"/>
  <c r="Z450" i="1"/>
  <c r="Z29" i="1"/>
  <c r="BN29" i="1"/>
  <c r="Z47" i="1"/>
  <c r="Z48" i="1" s="1"/>
  <c r="BN47" i="1"/>
  <c r="BP47" i="1"/>
  <c r="Y48" i="1"/>
  <c r="Z52" i="1"/>
  <c r="BN52" i="1"/>
  <c r="Y59" i="1"/>
  <c r="Z74" i="1"/>
  <c r="BN74" i="1"/>
  <c r="Z93" i="1"/>
  <c r="BN93" i="1"/>
  <c r="BP104" i="1"/>
  <c r="BN104" i="1"/>
  <c r="Z104" i="1"/>
  <c r="BP144" i="1"/>
  <c r="BN144" i="1"/>
  <c r="Z144" i="1"/>
  <c r="BP171" i="1"/>
  <c r="BN171" i="1"/>
  <c r="Z171" i="1"/>
  <c r="BP206" i="1"/>
  <c r="BN206" i="1"/>
  <c r="Z206" i="1"/>
  <c r="BP226" i="1"/>
  <c r="BN226" i="1"/>
  <c r="Z226" i="1"/>
  <c r="BP263" i="1"/>
  <c r="BN263" i="1"/>
  <c r="Z263" i="1"/>
  <c r="BP299" i="1"/>
  <c r="BN299" i="1"/>
  <c r="Z299" i="1"/>
  <c r="BP329" i="1"/>
  <c r="BN329" i="1"/>
  <c r="Z329" i="1"/>
  <c r="BP358" i="1"/>
  <c r="BN358" i="1"/>
  <c r="Z358" i="1"/>
  <c r="BP399" i="1"/>
  <c r="BN399" i="1"/>
  <c r="Z399" i="1"/>
  <c r="BP436" i="1"/>
  <c r="BN436" i="1"/>
  <c r="Z436" i="1"/>
  <c r="BP470" i="1"/>
  <c r="BN470" i="1"/>
  <c r="Z470" i="1"/>
  <c r="J502" i="1"/>
  <c r="Y229" i="1"/>
  <c r="K502" i="1"/>
  <c r="Y318" i="1"/>
  <c r="Y355" i="1"/>
  <c r="B502" i="1"/>
  <c r="X494" i="1"/>
  <c r="X495" i="1" s="1"/>
  <c r="Z27" i="1"/>
  <c r="BN27" i="1"/>
  <c r="BP27" i="1"/>
  <c r="Y32" i="1"/>
  <c r="Z31" i="1"/>
  <c r="BN31" i="1"/>
  <c r="Z43" i="1"/>
  <c r="BN43" i="1"/>
  <c r="Z54" i="1"/>
  <c r="BN54" i="1"/>
  <c r="Z62" i="1"/>
  <c r="BN62" i="1"/>
  <c r="Z72" i="1"/>
  <c r="BN72" i="1"/>
  <c r="BP72" i="1"/>
  <c r="Y77" i="1"/>
  <c r="Z80" i="1"/>
  <c r="BN80" i="1"/>
  <c r="Z87" i="1"/>
  <c r="BN87" i="1"/>
  <c r="BP102" i="1"/>
  <c r="BN102" i="1"/>
  <c r="Z102" i="1"/>
  <c r="BP116" i="1"/>
  <c r="BN116" i="1"/>
  <c r="Z116" i="1"/>
  <c r="Y139" i="1"/>
  <c r="BP137" i="1"/>
  <c r="BN137" i="1"/>
  <c r="Z137" i="1"/>
  <c r="Y180" i="1"/>
  <c r="BP169" i="1"/>
  <c r="BN169" i="1"/>
  <c r="Z169" i="1"/>
  <c r="BP177" i="1"/>
  <c r="BN177" i="1"/>
  <c r="Z177" i="1"/>
  <c r="BP204" i="1"/>
  <c r="BN204" i="1"/>
  <c r="Z204" i="1"/>
  <c r="Y224" i="1"/>
  <c r="BP214" i="1"/>
  <c r="BN214" i="1"/>
  <c r="Z214" i="1"/>
  <c r="BP95" i="1"/>
  <c r="BN95" i="1"/>
  <c r="Z95" i="1"/>
  <c r="Y112" i="1"/>
  <c r="BP108" i="1"/>
  <c r="BN108" i="1"/>
  <c r="Z108" i="1"/>
  <c r="Y124" i="1"/>
  <c r="Y123" i="1"/>
  <c r="BP122" i="1"/>
  <c r="BN122" i="1"/>
  <c r="Z122" i="1"/>
  <c r="Z123" i="1" s="1"/>
  <c r="BP127" i="1"/>
  <c r="BN127" i="1"/>
  <c r="Z127" i="1"/>
  <c r="BP153" i="1"/>
  <c r="BN153" i="1"/>
  <c r="Z153" i="1"/>
  <c r="BP173" i="1"/>
  <c r="BN173" i="1"/>
  <c r="Z173" i="1"/>
  <c r="BP194" i="1"/>
  <c r="BN194" i="1"/>
  <c r="Z194" i="1"/>
  <c r="BP208" i="1"/>
  <c r="BN208" i="1"/>
  <c r="Z208" i="1"/>
  <c r="Y96" i="1"/>
  <c r="Y113" i="1"/>
  <c r="Y130" i="1"/>
  <c r="Y140" i="1"/>
  <c r="H502" i="1"/>
  <c r="Y154" i="1"/>
  <c r="Y179" i="1"/>
  <c r="Y186" i="1"/>
  <c r="Y200" i="1"/>
  <c r="Y223" i="1"/>
  <c r="Z218" i="1"/>
  <c r="BN218" i="1"/>
  <c r="Z222" i="1"/>
  <c r="BN222" i="1"/>
  <c r="Y228" i="1"/>
  <c r="Z233" i="1"/>
  <c r="BN233" i="1"/>
  <c r="Z237" i="1"/>
  <c r="BN237" i="1"/>
  <c r="Z253" i="1"/>
  <c r="BN253" i="1"/>
  <c r="Z261" i="1"/>
  <c r="BN261" i="1"/>
  <c r="Z265" i="1"/>
  <c r="BN265" i="1"/>
  <c r="Z272" i="1"/>
  <c r="BN272" i="1"/>
  <c r="BP297" i="1"/>
  <c r="BN297" i="1"/>
  <c r="Z297" i="1"/>
  <c r="BP309" i="1"/>
  <c r="BN309" i="1"/>
  <c r="Z309" i="1"/>
  <c r="BP327" i="1"/>
  <c r="BN327" i="1"/>
  <c r="Z327" i="1"/>
  <c r="BP340" i="1"/>
  <c r="BN340" i="1"/>
  <c r="Z340" i="1"/>
  <c r="BP354" i="1"/>
  <c r="BN354" i="1"/>
  <c r="Z354" i="1"/>
  <c r="Y387" i="1"/>
  <c r="BP383" i="1"/>
  <c r="BN383" i="1"/>
  <c r="Z383" i="1"/>
  <c r="BP397" i="1"/>
  <c r="BN397" i="1"/>
  <c r="Z397" i="1"/>
  <c r="BP416" i="1"/>
  <c r="BN416" i="1"/>
  <c r="Z416" i="1"/>
  <c r="BP434" i="1"/>
  <c r="BN434" i="1"/>
  <c r="Z434" i="1"/>
  <c r="BP444" i="1"/>
  <c r="BN444" i="1"/>
  <c r="Z444" i="1"/>
  <c r="BP448" i="1"/>
  <c r="BN448" i="1"/>
  <c r="Z448" i="1"/>
  <c r="BP466" i="1"/>
  <c r="BN466" i="1"/>
  <c r="Z466" i="1"/>
  <c r="BP286" i="1"/>
  <c r="BN286" i="1"/>
  <c r="Z286" i="1"/>
  <c r="BP305" i="1"/>
  <c r="BN305" i="1"/>
  <c r="Z305" i="1"/>
  <c r="BP315" i="1"/>
  <c r="BN315" i="1"/>
  <c r="Z315" i="1"/>
  <c r="BP333" i="1"/>
  <c r="BN333" i="1"/>
  <c r="Z333" i="1"/>
  <c r="BP350" i="1"/>
  <c r="BN350" i="1"/>
  <c r="Z350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393" i="1"/>
  <c r="BN393" i="1"/>
  <c r="Z393" i="1"/>
  <c r="BP403" i="1"/>
  <c r="BN403" i="1"/>
  <c r="Z403" i="1"/>
  <c r="BP430" i="1"/>
  <c r="BN430" i="1"/>
  <c r="Z430" i="1"/>
  <c r="BP438" i="1"/>
  <c r="BN438" i="1"/>
  <c r="Z438" i="1"/>
  <c r="BP452" i="1"/>
  <c r="BN452" i="1"/>
  <c r="Z452" i="1"/>
  <c r="BP484" i="1"/>
  <c r="BN484" i="1"/>
  <c r="Z484" i="1"/>
  <c r="Y292" i="1"/>
  <c r="Y336" i="1"/>
  <c r="Y360" i="1"/>
  <c r="Y446" i="1"/>
  <c r="Y445" i="1"/>
  <c r="F9" i="1"/>
  <c r="J9" i="1"/>
  <c r="F10" i="1"/>
  <c r="Z22" i="1"/>
  <c r="Z24" i="1" s="1"/>
  <c r="BN22" i="1"/>
  <c r="BP22" i="1"/>
  <c r="X496" i="1"/>
  <c r="Y25" i="1"/>
  <c r="Z28" i="1"/>
  <c r="BN28" i="1"/>
  <c r="BP28" i="1"/>
  <c r="Z30" i="1"/>
  <c r="BN30" i="1"/>
  <c r="C502" i="1"/>
  <c r="Z42" i="1"/>
  <c r="Z44" i="1" s="1"/>
  <c r="BN42" i="1"/>
  <c r="BP42" i="1"/>
  <c r="Y45" i="1"/>
  <c r="D502" i="1"/>
  <c r="Z53" i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Z73" i="1"/>
  <c r="BN73" i="1"/>
  <c r="BP73" i="1"/>
  <c r="Z75" i="1"/>
  <c r="BN75" i="1"/>
  <c r="Z79" i="1"/>
  <c r="Z81" i="1" s="1"/>
  <c r="BN79" i="1"/>
  <c r="BP79" i="1"/>
  <c r="Y82" i="1"/>
  <c r="E502" i="1"/>
  <c r="Z86" i="1"/>
  <c r="BN86" i="1"/>
  <c r="BP86" i="1"/>
  <c r="Z88" i="1"/>
  <c r="BN88" i="1"/>
  <c r="Y89" i="1"/>
  <c r="Z92" i="1"/>
  <c r="BN92" i="1"/>
  <c r="BP92" i="1"/>
  <c r="Z94" i="1"/>
  <c r="BN94" i="1"/>
  <c r="Y97" i="1"/>
  <c r="F502" i="1"/>
  <c r="Z101" i="1"/>
  <c r="Z105" i="1" s="1"/>
  <c r="BN101" i="1"/>
  <c r="BP101" i="1"/>
  <c r="Z103" i="1"/>
  <c r="BN103" i="1"/>
  <c r="Y106" i="1"/>
  <c r="Z109" i="1"/>
  <c r="BN109" i="1"/>
  <c r="BP109" i="1"/>
  <c r="Z111" i="1"/>
  <c r="BN111" i="1"/>
  <c r="Z115" i="1"/>
  <c r="BN115" i="1"/>
  <c r="BP115" i="1"/>
  <c r="Z117" i="1"/>
  <c r="BN117" i="1"/>
  <c r="Y120" i="1"/>
  <c r="G502" i="1"/>
  <c r="Z128" i="1"/>
  <c r="Z129" i="1" s="1"/>
  <c r="BN128" i="1"/>
  <c r="BP128" i="1"/>
  <c r="Y129" i="1"/>
  <c r="Z132" i="1"/>
  <c r="Z134" i="1" s="1"/>
  <c r="BN132" i="1"/>
  <c r="BP132" i="1"/>
  <c r="Y135" i="1"/>
  <c r="Z138" i="1"/>
  <c r="Z139" i="1" s="1"/>
  <c r="BN138" i="1"/>
  <c r="BP138" i="1"/>
  <c r="Z143" i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Y155" i="1"/>
  <c r="I502" i="1"/>
  <c r="Y165" i="1"/>
  <c r="Z168" i="1"/>
  <c r="BN168" i="1"/>
  <c r="BP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196" i="1"/>
  <c r="Z199" i="1"/>
  <c r="Z200" i="1" s="1"/>
  <c r="BN199" i="1"/>
  <c r="BP199" i="1"/>
  <c r="Z203" i="1"/>
  <c r="BN203" i="1"/>
  <c r="BP203" i="1"/>
  <c r="Z205" i="1"/>
  <c r="BN205" i="1"/>
  <c r="Z207" i="1"/>
  <c r="BN207" i="1"/>
  <c r="Z209" i="1"/>
  <c r="BN209" i="1"/>
  <c r="Y212" i="1"/>
  <c r="Z215" i="1"/>
  <c r="BN215" i="1"/>
  <c r="BP215" i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BP255" i="1"/>
  <c r="BN255" i="1"/>
  <c r="Z255" i="1"/>
  <c r="BP264" i="1"/>
  <c r="BN264" i="1"/>
  <c r="Z264" i="1"/>
  <c r="BP273" i="1"/>
  <c r="BN273" i="1"/>
  <c r="Z273" i="1"/>
  <c r="O502" i="1"/>
  <c r="Y281" i="1"/>
  <c r="BP278" i="1"/>
  <c r="BN278" i="1"/>
  <c r="Z278" i="1"/>
  <c r="BP291" i="1"/>
  <c r="BN291" i="1"/>
  <c r="Z291" i="1"/>
  <c r="Z292" i="1" s="1"/>
  <c r="Y293" i="1"/>
  <c r="Q502" i="1"/>
  <c r="Y301" i="1"/>
  <c r="BP296" i="1"/>
  <c r="BN296" i="1"/>
  <c r="Z296" i="1"/>
  <c r="BP300" i="1"/>
  <c r="BN300" i="1"/>
  <c r="Z300" i="1"/>
  <c r="Y302" i="1"/>
  <c r="Y311" i="1"/>
  <c r="BP304" i="1"/>
  <c r="BN304" i="1"/>
  <c r="Z304" i="1"/>
  <c r="BP308" i="1"/>
  <c r="BN308" i="1"/>
  <c r="Z308" i="1"/>
  <c r="Y317" i="1"/>
  <c r="BP316" i="1"/>
  <c r="BN316" i="1"/>
  <c r="Z316" i="1"/>
  <c r="Y323" i="1"/>
  <c r="BP320" i="1"/>
  <c r="BN320" i="1"/>
  <c r="Z320" i="1"/>
  <c r="BP328" i="1"/>
  <c r="BN328" i="1"/>
  <c r="Z328" i="1"/>
  <c r="Y337" i="1"/>
  <c r="BP341" i="1"/>
  <c r="BN341" i="1"/>
  <c r="Z341" i="1"/>
  <c r="Z343" i="1" s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86" i="1"/>
  <c r="BP384" i="1"/>
  <c r="BN384" i="1"/>
  <c r="Z384" i="1"/>
  <c r="BP394" i="1"/>
  <c r="BN394" i="1"/>
  <c r="Z394" i="1"/>
  <c r="BP398" i="1"/>
  <c r="BN398" i="1"/>
  <c r="Z398" i="1"/>
  <c r="Y405" i="1"/>
  <c r="BP415" i="1"/>
  <c r="BN415" i="1"/>
  <c r="Z415" i="1"/>
  <c r="BP449" i="1"/>
  <c r="BN449" i="1"/>
  <c r="Z449" i="1"/>
  <c r="BP453" i="1"/>
  <c r="BN453" i="1"/>
  <c r="Z453" i="1"/>
  <c r="Y455" i="1"/>
  <c r="Y458" i="1"/>
  <c r="BP457" i="1"/>
  <c r="BN457" i="1"/>
  <c r="Z457" i="1"/>
  <c r="Z458" i="1" s="1"/>
  <c r="Y459" i="1"/>
  <c r="Y502" i="1"/>
  <c r="Y468" i="1"/>
  <c r="BP463" i="1"/>
  <c r="BN463" i="1"/>
  <c r="Z463" i="1"/>
  <c r="Y467" i="1"/>
  <c r="BP471" i="1"/>
  <c r="BN471" i="1"/>
  <c r="Z471" i="1"/>
  <c r="Z472" i="1" s="1"/>
  <c r="Y473" i="1"/>
  <c r="Y476" i="1"/>
  <c r="BP475" i="1"/>
  <c r="BN475" i="1"/>
  <c r="Z475" i="1"/>
  <c r="Z476" i="1" s="1"/>
  <c r="Y477" i="1"/>
  <c r="Y480" i="1"/>
  <c r="BP479" i="1"/>
  <c r="BN479" i="1"/>
  <c r="Z479" i="1"/>
  <c r="Z480" i="1" s="1"/>
  <c r="Y481" i="1"/>
  <c r="Y486" i="1"/>
  <c r="BP483" i="1"/>
  <c r="BN483" i="1"/>
  <c r="Z483" i="1"/>
  <c r="Y485" i="1"/>
  <c r="H9" i="1"/>
  <c r="Y24" i="1"/>
  <c r="Y145" i="1"/>
  <c r="Y195" i="1"/>
  <c r="Y242" i="1"/>
  <c r="Y257" i="1"/>
  <c r="BP262" i="1"/>
  <c r="BN262" i="1"/>
  <c r="Z262" i="1"/>
  <c r="Y266" i="1"/>
  <c r="BP271" i="1"/>
  <c r="BN271" i="1"/>
  <c r="Z271" i="1"/>
  <c r="BP280" i="1"/>
  <c r="BN280" i="1"/>
  <c r="Z280" i="1"/>
  <c r="Y282" i="1"/>
  <c r="P502" i="1"/>
  <c r="Y288" i="1"/>
  <c r="BP285" i="1"/>
  <c r="BN285" i="1"/>
  <c r="Z285" i="1"/>
  <c r="Z287" i="1" s="1"/>
  <c r="BP298" i="1"/>
  <c r="BN298" i="1"/>
  <c r="Z298" i="1"/>
  <c r="BP306" i="1"/>
  <c r="BN306" i="1"/>
  <c r="Z306" i="1"/>
  <c r="Y310" i="1"/>
  <c r="BP314" i="1"/>
  <c r="BN314" i="1"/>
  <c r="Z314" i="1"/>
  <c r="Z317" i="1" s="1"/>
  <c r="BP322" i="1"/>
  <c r="BN322" i="1"/>
  <c r="Z322" i="1"/>
  <c r="Y324" i="1"/>
  <c r="Y331" i="1"/>
  <c r="BP326" i="1"/>
  <c r="BN326" i="1"/>
  <c r="Z326" i="1"/>
  <c r="Z330" i="1" s="1"/>
  <c r="Y330" i="1"/>
  <c r="BP334" i="1"/>
  <c r="BN334" i="1"/>
  <c r="Z334" i="1"/>
  <c r="Z336" i="1" s="1"/>
  <c r="BP349" i="1"/>
  <c r="BN349" i="1"/>
  <c r="Z349" i="1"/>
  <c r="BP353" i="1"/>
  <c r="BN353" i="1"/>
  <c r="Z353" i="1"/>
  <c r="BP374" i="1"/>
  <c r="BN374" i="1"/>
  <c r="Z374" i="1"/>
  <c r="Y376" i="1"/>
  <c r="Y381" i="1"/>
  <c r="BP378" i="1"/>
  <c r="BN378" i="1"/>
  <c r="Z378" i="1"/>
  <c r="Z380" i="1" s="1"/>
  <c r="BP392" i="1"/>
  <c r="BN392" i="1"/>
  <c r="Z392" i="1"/>
  <c r="BP396" i="1"/>
  <c r="BN396" i="1"/>
  <c r="Z396" i="1"/>
  <c r="Z400" i="1" s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9" i="1"/>
  <c r="BN429" i="1"/>
  <c r="Z429" i="1"/>
  <c r="BP433" i="1"/>
  <c r="BN433" i="1"/>
  <c r="Z433" i="1"/>
  <c r="BP437" i="1"/>
  <c r="BN437" i="1"/>
  <c r="Z437" i="1"/>
  <c r="L502" i="1"/>
  <c r="Y267" i="1"/>
  <c r="M502" i="1"/>
  <c r="Y274" i="1"/>
  <c r="R502" i="1"/>
  <c r="Y344" i="1"/>
  <c r="S502" i="1"/>
  <c r="Y356" i="1"/>
  <c r="T502" i="1"/>
  <c r="Y375" i="1"/>
  <c r="U502" i="1"/>
  <c r="Y401" i="1"/>
  <c r="W502" i="1"/>
  <c r="Y422" i="1"/>
  <c r="BP421" i="1"/>
  <c r="Y423" i="1"/>
  <c r="X502" i="1"/>
  <c r="Y440" i="1"/>
  <c r="BP427" i="1"/>
  <c r="BN427" i="1"/>
  <c r="Z427" i="1"/>
  <c r="BP431" i="1"/>
  <c r="BN431" i="1"/>
  <c r="Z431" i="1"/>
  <c r="BP435" i="1"/>
  <c r="BN435" i="1"/>
  <c r="Z435" i="1"/>
  <c r="Y439" i="1"/>
  <c r="Z445" i="1"/>
  <c r="BP443" i="1"/>
  <c r="BN443" i="1"/>
  <c r="Z443" i="1"/>
  <c r="Y454" i="1"/>
  <c r="BP451" i="1"/>
  <c r="BN451" i="1"/>
  <c r="Z451" i="1"/>
  <c r="BP465" i="1"/>
  <c r="BN465" i="1"/>
  <c r="Z465" i="1"/>
  <c r="Y472" i="1"/>
  <c r="Y491" i="1"/>
  <c r="Z489" i="1"/>
  <c r="Z490" i="1" s="1"/>
  <c r="BN489" i="1"/>
  <c r="BP489" i="1"/>
  <c r="Y490" i="1"/>
  <c r="Z417" i="1" l="1"/>
  <c r="Z375" i="1"/>
  <c r="Z274" i="1"/>
  <c r="Z266" i="1"/>
  <c r="Z485" i="1"/>
  <c r="Z365" i="1"/>
  <c r="Z145" i="1"/>
  <c r="Z454" i="1"/>
  <c r="Z355" i="1"/>
  <c r="Z257" i="1"/>
  <c r="Z241" i="1"/>
  <c r="Z223" i="1"/>
  <c r="Z211" i="1"/>
  <c r="Z179" i="1"/>
  <c r="Z154" i="1"/>
  <c r="Z119" i="1"/>
  <c r="Z112" i="1"/>
  <c r="Z96" i="1"/>
  <c r="Z89" i="1"/>
  <c r="Z76" i="1"/>
  <c r="Z64" i="1"/>
  <c r="Z58" i="1"/>
  <c r="Z32" i="1"/>
  <c r="Z439" i="1"/>
  <c r="Z310" i="1"/>
  <c r="Z301" i="1"/>
  <c r="Z185" i="1"/>
  <c r="Y493" i="1"/>
  <c r="Y496" i="1"/>
  <c r="Z467" i="1"/>
  <c r="Z323" i="1"/>
  <c r="Z281" i="1"/>
  <c r="Z497" i="1" s="1"/>
  <c r="Y492" i="1"/>
  <c r="Y494" i="1"/>
  <c r="Y495" i="1" l="1"/>
</calcChain>
</file>

<file path=xl/sharedStrings.xml><?xml version="1.0" encoding="utf-8"?>
<sst xmlns="http://schemas.openxmlformats.org/spreadsheetml/2006/main" count="2300" uniqueCount="775">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</sst>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46016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0.375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54">
        <v>4607091385687</v>
      </c>
      <c r="E43" s="555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400</v>
      </c>
      <c r="Y53" s="548">
        <f t="shared" si="0"/>
        <v>410.40000000000003</v>
      </c>
      <c r="Z53" s="36">
        <f>IFERROR(IF(Y53=0,"",ROUNDUP(Y53/H53,0)*0.01898),"")</f>
        <v>0.72123999999999999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415.18518518518516</v>
      </c>
      <c r="BN53" s="64">
        <f t="shared" si="2"/>
        <v>425.98</v>
      </c>
      <c r="BO53" s="64">
        <f t="shared" si="3"/>
        <v>0.57870370370370372</v>
      </c>
      <c r="BP53" s="64">
        <f t="shared" si="4"/>
        <v>0.59375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540</v>
      </c>
      <c r="Y57" s="548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157.03703703703704</v>
      </c>
      <c r="Y58" s="549">
        <f>IFERROR(Y52/H52,"0")+IFERROR(Y53/H53,"0")+IFERROR(Y54/H54,"0")+IFERROR(Y55/H55,"0")+IFERROR(Y56/H56,"0")+IFERROR(Y57/H57,"0")</f>
        <v>158</v>
      </c>
      <c r="Z58" s="549">
        <f>IFERROR(IF(Z52="",0,Z52),"0")+IFERROR(IF(Z53="",0,Z53),"0")+IFERROR(IF(Z54="",0,Z54),"0")+IFERROR(IF(Z55="",0,Z55),"0")+IFERROR(IF(Z56="",0,Z56),"0")+IFERROR(IF(Z57="",0,Z57),"0")</f>
        <v>1.8036400000000001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940</v>
      </c>
      <c r="Y59" s="549">
        <f>IFERROR(SUM(Y52:Y57),"0")</f>
        <v>950.40000000000009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350</v>
      </c>
      <c r="Y61" s="548">
        <f>IFERROR(IF(X61="",0,CEILING((X61/$H61),1)*$H61),"")</f>
        <v>356.40000000000003</v>
      </c>
      <c r="Z61" s="36">
        <f>IFERROR(IF(Y61=0,"",ROUNDUP(Y61/H61,0)*0.01898),"")</f>
        <v>0.62634000000000001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363.28703703703707</v>
      </c>
      <c r="BN61" s="64">
        <f>IFERROR(Y61*I61/H61,"0")</f>
        <v>369.93</v>
      </c>
      <c r="BO61" s="64">
        <f>IFERROR(1/J61*(X61/H61),"0")</f>
        <v>0.5063657407407407</v>
      </c>
      <c r="BP61" s="64">
        <f>IFERROR(1/J61*(Y61/H61),"0")</f>
        <v>0.515625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225</v>
      </c>
      <c r="Y63" s="548">
        <f>IFERROR(IF(X63="",0,CEILING((X63/$H63),1)*$H63),"")</f>
        <v>226.8</v>
      </c>
      <c r="Z63" s="36">
        <f>IFERROR(IF(Y63=0,"",ROUNDUP(Y63/H63,0)*0.00651),"")</f>
        <v>0.54683999999999999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239.99999999999997</v>
      </c>
      <c r="BN63" s="64">
        <f>IFERROR(Y63*I63/H63,"0")</f>
        <v>241.91999999999996</v>
      </c>
      <c r="BO63" s="64">
        <f>IFERROR(1/J63*(X63/H63),"0")</f>
        <v>0.45787545787545786</v>
      </c>
      <c r="BP63" s="64">
        <f>IFERROR(1/J63*(Y63/H63),"0")</f>
        <v>0.46153846153846156</v>
      </c>
    </row>
    <row r="64" spans="1:68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115.74074074074073</v>
      </c>
      <c r="Y64" s="549">
        <f>IFERROR(Y61/H61,"0")+IFERROR(Y62/H62,"0")+IFERROR(Y63/H63,"0")</f>
        <v>117</v>
      </c>
      <c r="Z64" s="549">
        <f>IFERROR(IF(Z61="",0,Z61),"0")+IFERROR(IF(Z62="",0,Z62),"0")+IFERROR(IF(Z63="",0,Z63),"0")</f>
        <v>1.1731799999999999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575</v>
      </c>
      <c r="Y65" s="549">
        <f>IFERROR(SUM(Y61:Y63),"0")</f>
        <v>583.20000000000005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110</v>
      </c>
      <c r="Y79" s="548">
        <f>IFERROR(IF(X79="",0,CEILING((X79/$H79),1)*$H79),"")</f>
        <v>117</v>
      </c>
      <c r="Z79" s="36">
        <f>IFERROR(IF(Y79=0,"",ROUNDUP(Y79/H79,0)*0.01898),"")</f>
        <v>0.28470000000000001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115.7820512820513</v>
      </c>
      <c r="BN79" s="64">
        <f>IFERROR(Y79*I79/H79,"0")</f>
        <v>123.15</v>
      </c>
      <c r="BO79" s="64">
        <f>IFERROR(1/J79*(X79/H79),"0")</f>
        <v>0.2203525641025641</v>
      </c>
      <c r="BP79" s="64">
        <f>IFERROR(1/J79*(Y79/H79),"0")</f>
        <v>0.234375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14.102564102564102</v>
      </c>
      <c r="Y81" s="549">
        <f>IFERROR(Y79/H79,"0")+IFERROR(Y80/H80,"0")</f>
        <v>15</v>
      </c>
      <c r="Z81" s="549">
        <f>IFERROR(IF(Z79="",0,Z79),"0")+IFERROR(IF(Z80="",0,Z80),"0")</f>
        <v>0.28470000000000001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110</v>
      </c>
      <c r="Y82" s="549">
        <f>IFERROR(SUM(Y79:Y80),"0")</f>
        <v>117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180</v>
      </c>
      <c r="Y88" s="548">
        <f>IFERROR(IF(X88="",0,CEILING((X88/$H88),1)*$H88),"")</f>
        <v>180</v>
      </c>
      <c r="Z88" s="36">
        <f>IFERROR(IF(Y88=0,"",ROUNDUP(Y88/H88,0)*0.00902),"")</f>
        <v>0.36080000000000001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187.60000000000002</v>
      </c>
      <c r="BN88" s="64">
        <f>IFERROR(Y88*I88/H88,"0")</f>
        <v>187.60000000000002</v>
      </c>
      <c r="BO88" s="64">
        <f>IFERROR(1/J88*(X88/H88),"0")</f>
        <v>0.30303030303030304</v>
      </c>
      <c r="BP88" s="64">
        <f>IFERROR(1/J88*(Y88/H88),"0")</f>
        <v>0.30303030303030304</v>
      </c>
    </row>
    <row r="89" spans="1:68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40</v>
      </c>
      <c r="Y89" s="549">
        <f>IFERROR(Y85/H85,"0")+IFERROR(Y86/H86,"0")+IFERROR(Y87/H87,"0")+IFERROR(Y88/H88,"0")</f>
        <v>40</v>
      </c>
      <c r="Z89" s="549">
        <f>IFERROR(IF(Z85="",0,Z85),"0")+IFERROR(IF(Z86="",0,Z86),"0")+IFERROR(IF(Z87="",0,Z87),"0")+IFERROR(IF(Z88="",0,Z88),"0")</f>
        <v>0.36080000000000001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180</v>
      </c>
      <c r="Y90" s="549">
        <f>IFERROR(SUM(Y85:Y88),"0")</f>
        <v>180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100</v>
      </c>
      <c r="Y92" s="548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315</v>
      </c>
      <c r="Y94" s="548">
        <f>IFERROR(IF(X94="",0,CEILING((X94/$H94),1)*$H94),"")</f>
        <v>315.90000000000003</v>
      </c>
      <c r="Z94" s="36">
        <f>IFERROR(IF(Y94=0,"",ROUNDUP(Y94/H94,0)*0.00651),"")</f>
        <v>0.76167000000000007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344.4</v>
      </c>
      <c r="BN94" s="64">
        <f>IFERROR(Y94*I94/H94,"0")</f>
        <v>345.38400000000001</v>
      </c>
      <c r="BO94" s="64">
        <f>IFERROR(1/J94*(X94/H94),"0")</f>
        <v>0.64102564102564097</v>
      </c>
      <c r="BP94" s="64">
        <f>IFERROR(1/J94*(Y94/H94),"0")</f>
        <v>0.6428571428571429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129.01234567901233</v>
      </c>
      <c r="Y96" s="549">
        <f>IFERROR(Y92/H92,"0")+IFERROR(Y93/H93,"0")+IFERROR(Y94/H94,"0")+IFERROR(Y95/H95,"0")</f>
        <v>130</v>
      </c>
      <c r="Z96" s="549">
        <f>IFERROR(IF(Z92="",0,Z92),"0")+IFERROR(IF(Z93="",0,Z93),"0")+IFERROR(IF(Z94="",0,Z94),"0")+IFERROR(IF(Z95="",0,Z95),"0")</f>
        <v>1.00841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415</v>
      </c>
      <c r="Y97" s="549">
        <f>IFERROR(SUM(Y92:Y95),"0")</f>
        <v>421.20000000000005</v>
      </c>
      <c r="Z97" s="37"/>
      <c r="AA97" s="550"/>
      <c r="AB97" s="550"/>
      <c r="AC97" s="550"/>
    </row>
    <row r="98" spans="1:68" ht="16.5" hidden="1" customHeight="1" x14ac:dyDescent="0.25">
      <c r="A98" s="556" t="s">
        <v>192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90</v>
      </c>
      <c r="Y103" s="548">
        <f>IFERROR(IF(X103="",0,CEILING((X103/$H103),1)*$H103),"")</f>
        <v>90</v>
      </c>
      <c r="Z103" s="36">
        <f>IFERROR(IF(Y103=0,"",ROUNDUP(Y103/H103,0)*0.00902),"")</f>
        <v>0.1804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93.800000000000011</v>
      </c>
      <c r="BN103" s="64">
        <f>IFERROR(Y103*I103/H103,"0")</f>
        <v>93.800000000000011</v>
      </c>
      <c r="BO103" s="64">
        <f>IFERROR(1/J103*(X103/H103),"0")</f>
        <v>0.15151515151515152</v>
      </c>
      <c r="BP103" s="64">
        <f>IFERROR(1/J103*(Y103/H103),"0")</f>
        <v>0.15151515151515152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20</v>
      </c>
      <c r="Y105" s="549">
        <f>IFERROR(Y100/H100,"0")+IFERROR(Y101/H101,"0")+IFERROR(Y102/H102,"0")+IFERROR(Y103/H103,"0")+IFERROR(Y104/H104,"0")</f>
        <v>20</v>
      </c>
      <c r="Z105" s="549">
        <f>IFERROR(IF(Z100="",0,Z100),"0")+IFERROR(IF(Z101="",0,Z101),"0")+IFERROR(IF(Z102="",0,Z102),"0")+IFERROR(IF(Z103="",0,Z103),"0")+IFERROR(IF(Z104="",0,Z104),"0")</f>
        <v>0.1804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90</v>
      </c>
      <c r="Y106" s="549">
        <f>IFERROR(SUM(Y100:Y104),"0")</f>
        <v>90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500</v>
      </c>
      <c r="Y115" s="548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495</v>
      </c>
      <c r="Y117" s="548">
        <f>IFERROR(IF(X117="",0,CEILING((X117/$H117),1)*$H117),"")</f>
        <v>496.8</v>
      </c>
      <c r="Z117" s="36">
        <f>IFERROR(IF(Y117=0,"",ROUNDUP(Y117/H117,0)*0.00651),"")</f>
        <v>1.19784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541.19999999999993</v>
      </c>
      <c r="BN117" s="64">
        <f>IFERROR(Y117*I117/H117,"0")</f>
        <v>543.16800000000001</v>
      </c>
      <c r="BO117" s="64">
        <f>IFERROR(1/J117*(X117/H117),"0")</f>
        <v>1.0073260073260073</v>
      </c>
      <c r="BP117" s="64">
        <f>IFERROR(1/J117*(Y117/H117),"0")</f>
        <v>1.0109890109890112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 t="s">
        <v>223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245.06172839506172</v>
      </c>
      <c r="Y119" s="549">
        <f>IFERROR(Y115/H115,"0")+IFERROR(Y116/H116,"0")+IFERROR(Y117/H117,"0")+IFERROR(Y118/H118,"0")</f>
        <v>246</v>
      </c>
      <c r="Z119" s="549">
        <f>IFERROR(IF(Z115="",0,Z115),"0")+IFERROR(IF(Z116="",0,Z116),"0")+IFERROR(IF(Z117="",0,Z117),"0")+IFERROR(IF(Z118="",0,Z118),"0")</f>
        <v>2.3746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995</v>
      </c>
      <c r="Y120" s="549">
        <f>IFERROR(SUM(Y115:Y118),"0")</f>
        <v>999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 t="s">
        <v>223</v>
      </c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39.6</v>
      </c>
      <c r="Y122" s="548">
        <f>IFERROR(IF(X122="",0,CEILING((X122/$H122),1)*$H122),"")</f>
        <v>39.6</v>
      </c>
      <c r="Z122" s="36">
        <f>IFERROR(IF(Y122=0,"",ROUNDUP(Y122/H122,0)*0.00651),"")</f>
        <v>0.13020000000000001</v>
      </c>
      <c r="AA122" s="56"/>
      <c r="AB122" s="57"/>
      <c r="AC122" s="169" t="s">
        <v>229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44.760000000000005</v>
      </c>
      <c r="BN122" s="64">
        <f>IFERROR(Y122*I122/H122,"0")</f>
        <v>44.760000000000005</v>
      </c>
      <c r="BO122" s="64">
        <f>IFERROR(1/J122*(X122/H122),"0")</f>
        <v>0.1098901098901099</v>
      </c>
      <c r="BP122" s="64">
        <f>IFERROR(1/J122*(Y122/H122),"0")</f>
        <v>0.1098901098901099</v>
      </c>
    </row>
    <row r="123" spans="1:68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20</v>
      </c>
      <c r="Y123" s="549">
        <f>IFERROR(Y122/H122,"0")</f>
        <v>20</v>
      </c>
      <c r="Z123" s="549">
        <f>IFERROR(IF(Z122="",0,Z122),"0")</f>
        <v>0.13020000000000001</v>
      </c>
      <c r="AA123" s="550"/>
      <c r="AB123" s="550"/>
      <c r="AC123" s="550"/>
    </row>
    <row r="124" spans="1:68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39.6</v>
      </c>
      <c r="Y124" s="549">
        <f>IFERROR(SUM(Y122:Y122),"0")</f>
        <v>39.6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223</v>
      </c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40</v>
      </c>
      <c r="Y127" s="548">
        <f>IFERROR(IF(X127="",0,CEILING((X127/$H127),1)*$H127),"")</f>
        <v>41.6</v>
      </c>
      <c r="Z127" s="36">
        <f>IFERROR(IF(Y127=0,"",ROUNDUP(Y127/H127,0)*0.00651),"")</f>
        <v>8.4629999999999997E-2</v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42.249999999999993</v>
      </c>
      <c r="BN127" s="64">
        <f>IFERROR(Y127*I127/H127,"0")</f>
        <v>43.94</v>
      </c>
      <c r="BO127" s="64">
        <f>IFERROR(1/J127*(X127/H127),"0")</f>
        <v>6.8681318681318687E-2</v>
      </c>
      <c r="BP127" s="64">
        <f>IFERROR(1/J127*(Y127/H127),"0")</f>
        <v>7.1428571428571438E-2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12.5</v>
      </c>
      <c r="Y129" s="549">
        <f>IFERROR(Y127/H127,"0")+IFERROR(Y128/H128,"0")</f>
        <v>13</v>
      </c>
      <c r="Z129" s="549">
        <f>IFERROR(IF(Z127="",0,Z127),"0")+IFERROR(IF(Z128="",0,Z128),"0")</f>
        <v>8.4629999999999997E-2</v>
      </c>
      <c r="AA129" s="550"/>
      <c r="AB129" s="550"/>
      <c r="AC129" s="550"/>
    </row>
    <row r="130" spans="1:68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40</v>
      </c>
      <c r="Y130" s="549">
        <f>IFERROR(SUM(Y127:Y128),"0")</f>
        <v>41.6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223</v>
      </c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 t="s">
        <v>223</v>
      </c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49.5</v>
      </c>
      <c r="Y138" s="548">
        <f>IFERROR(IF(X138="",0,CEILING((X138/$H138),1)*$H138),"")</f>
        <v>50.160000000000004</v>
      </c>
      <c r="Z138" s="36">
        <f>IFERROR(IF(Y138=0,"",ROUNDUP(Y138/H138,0)*0.00651),"")</f>
        <v>0.12369000000000001</v>
      </c>
      <c r="AA138" s="56"/>
      <c r="AB138" s="57"/>
      <c r="AC138" s="181" t="s">
        <v>233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54.524999999999999</v>
      </c>
      <c r="BN138" s="64">
        <f>IFERROR(Y138*I138/H138,"0")</f>
        <v>55.252000000000002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18.75</v>
      </c>
      <c r="Y139" s="549">
        <f>IFERROR(Y137/H137,"0")+IFERROR(Y138/H138,"0")</f>
        <v>19</v>
      </c>
      <c r="Z139" s="549">
        <f>IFERROR(IF(Z137="",0,Z137),"0")+IFERROR(IF(Z138="",0,Z138),"0")</f>
        <v>0.12369000000000001</v>
      </c>
      <c r="AA139" s="550"/>
      <c r="AB139" s="550"/>
      <c r="AC139" s="550"/>
    </row>
    <row r="140" spans="1:68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49.5</v>
      </c>
      <c r="Y140" s="549">
        <f>IFERROR(SUM(Y137:Y138),"0")</f>
        <v>50.160000000000004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60</v>
      </c>
      <c r="Y167" s="548">
        <f t="shared" ref="Y167:Y178" si="10">IFERROR(IF(X167="",0,CEILING((X167/$H167),1)*$H167),"")</f>
        <v>63</v>
      </c>
      <c r="Z167" s="36">
        <f>IFERROR(IF(Y167=0,"",ROUNDUP(Y167/H167,0)*0.00902),"")</f>
        <v>0.1353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63.571428571428569</v>
      </c>
      <c r="BN167" s="64">
        <f t="shared" ref="BN167:BN178" si="12">IFERROR(Y167*I167/H167,"0")</f>
        <v>66.75</v>
      </c>
      <c r="BO167" s="64">
        <f t="shared" ref="BO167:BO178" si="13">IFERROR(1/J167*(X167/H167),"0")</f>
        <v>0.10822510822510822</v>
      </c>
      <c r="BP167" s="64">
        <f t="shared" ref="BP167:BP178" si="14">IFERROR(1/J167*(Y167/H167),"0")</f>
        <v>0.11363636363636365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 t="s">
        <v>114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20</v>
      </c>
      <c r="Y168" s="548">
        <f t="shared" si="10"/>
        <v>21</v>
      </c>
      <c r="Z168" s="36">
        <f>IFERROR(IF(Y168=0,"",ROUNDUP(Y168/H168,0)*0.00902),"")</f>
        <v>4.5100000000000001E-2</v>
      </c>
      <c r="AA168" s="56"/>
      <c r="AB168" s="57"/>
      <c r="AC168" s="205" t="s">
        <v>283</v>
      </c>
      <c r="AG168" s="64"/>
      <c r="AJ168" s="68" t="s">
        <v>108</v>
      </c>
      <c r="AK168" s="68">
        <v>50.4</v>
      </c>
      <c r="BB168" s="206" t="s">
        <v>1</v>
      </c>
      <c r="BM168" s="64">
        <f t="shared" si="11"/>
        <v>21.19047619047619</v>
      </c>
      <c r="BN168" s="64">
        <f t="shared" si="12"/>
        <v>22.25</v>
      </c>
      <c r="BO168" s="64">
        <f t="shared" si="13"/>
        <v>3.6075036075036072E-2</v>
      </c>
      <c r="BP168" s="64">
        <f t="shared" si="14"/>
        <v>3.787878787878788E-2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150</v>
      </c>
      <c r="Y169" s="548">
        <f t="shared" si="10"/>
        <v>151.20000000000002</v>
      </c>
      <c r="Z169" s="36">
        <f>IFERROR(IF(Y169=0,"",ROUNDUP(Y169/H169,0)*0.00902),"")</f>
        <v>0.32472000000000001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156.78571428571428</v>
      </c>
      <c r="BN169" s="64">
        <f t="shared" si="12"/>
        <v>158.04</v>
      </c>
      <c r="BO169" s="64">
        <f t="shared" si="13"/>
        <v>0.27056277056277056</v>
      </c>
      <c r="BP169" s="64">
        <f t="shared" si="14"/>
        <v>0.27272727272727271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35</v>
      </c>
      <c r="Y171" s="548">
        <f t="shared" si="10"/>
        <v>35.700000000000003</v>
      </c>
      <c r="Z171" s="36">
        <f>IFERROR(IF(Y171=0,"",ROUNDUP(Y171/H171,0)*0.00502),"")</f>
        <v>8.5339999999999999E-2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37.166666666666664</v>
      </c>
      <c r="BN171" s="64">
        <f t="shared" si="12"/>
        <v>37.910000000000004</v>
      </c>
      <c r="BO171" s="64">
        <f t="shared" si="13"/>
        <v>7.1225071225071226E-2</v>
      </c>
      <c r="BP171" s="64">
        <f t="shared" si="14"/>
        <v>7.2649572649572655E-2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52.5</v>
      </c>
      <c r="Y173" s="548">
        <f t="shared" si="10"/>
        <v>52.5</v>
      </c>
      <c r="Z173" s="36">
        <f>IFERROR(IF(Y173=0,"",ROUNDUP(Y173/H173,0)*0.00502),"")</f>
        <v>0.1255</v>
      </c>
      <c r="AA173" s="56"/>
      <c r="AB173" s="57"/>
      <c r="AC173" s="215" t="s">
        <v>283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55.75</v>
      </c>
      <c r="BN173" s="64">
        <f t="shared" si="12"/>
        <v>55.75</v>
      </c>
      <c r="BO173" s="64">
        <f t="shared" si="13"/>
        <v>0.10683760683760685</v>
      </c>
      <c r="BP173" s="64">
        <f t="shared" si="14"/>
        <v>0.10683760683760685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105</v>
      </c>
      <c r="Y176" s="548">
        <f t="shared" si="10"/>
        <v>105</v>
      </c>
      <c r="Z176" s="36">
        <f>IFERROR(IF(Y176=0,"",ROUNDUP(Y176/H176,0)*0.00502),"")</f>
        <v>0.251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110.00000000000001</v>
      </c>
      <c r="BN176" s="64">
        <f t="shared" si="12"/>
        <v>110.00000000000001</v>
      </c>
      <c r="BO176" s="64">
        <f t="shared" si="13"/>
        <v>0.21367521367521369</v>
      </c>
      <c r="BP176" s="64">
        <f t="shared" si="14"/>
        <v>0.21367521367521369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146.42857142857142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148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0.96695999999999993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422.5</v>
      </c>
      <c r="Y180" s="549">
        <f>IFERROR(SUM(Y167:Y178),"0")</f>
        <v>428.40000000000003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10.5</v>
      </c>
      <c r="Y182" s="548">
        <f>IFERROR(IF(X182="",0,CEILING((X182/$H182),1)*$H182),"")</f>
        <v>11.34</v>
      </c>
      <c r="Z182" s="36">
        <f>IFERROR(IF(Y182=0,"",ROUNDUP(Y182/H182,0)*0.0059),"")</f>
        <v>5.3100000000000001E-2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12.083333333333332</v>
      </c>
      <c r="BN182" s="64">
        <f>IFERROR(Y182*I182/H182,"0")</f>
        <v>13.049999999999999</v>
      </c>
      <c r="BO182" s="64">
        <f>IFERROR(1/J182*(X182/H182),"0")</f>
        <v>3.8580246913580245E-2</v>
      </c>
      <c r="BP182" s="64">
        <f>IFERROR(1/J182*(Y182/H182),"0")</f>
        <v>4.1666666666666664E-2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7.0000000000000009</v>
      </c>
      <c r="Y183" s="548">
        <f>IFERROR(IF(X183="",0,CEILING((X183/$H183),1)*$H183),"")</f>
        <v>7.5600000000000005</v>
      </c>
      <c r="Z183" s="36">
        <f>IFERROR(IF(Y183=0,"",ROUNDUP(Y183/H183,0)*0.0059),"")</f>
        <v>3.5400000000000001E-2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8.0555555555555554</v>
      </c>
      <c r="BN183" s="64">
        <f>IFERROR(Y183*I183/H183,"0")</f>
        <v>8.6999999999999993</v>
      </c>
      <c r="BO183" s="64">
        <f>IFERROR(1/J183*(X183/H183),"0")</f>
        <v>2.5720164609053499E-2</v>
      </c>
      <c r="BP183" s="64">
        <f>IFERROR(1/J183*(Y183/H183),"0")</f>
        <v>2.7777777777777776E-2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17.5</v>
      </c>
      <c r="Y184" s="548">
        <f>IFERROR(IF(X184="",0,CEILING((X184/$H184),1)*$H184),"")</f>
        <v>17.64</v>
      </c>
      <c r="Z184" s="36">
        <f>IFERROR(IF(Y184=0,"",ROUNDUP(Y184/H184,0)*0.0059),"")</f>
        <v>8.2599999999999993E-2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20.138888888888889</v>
      </c>
      <c r="BN184" s="64">
        <f>IFERROR(Y184*I184/H184,"0")</f>
        <v>20.3</v>
      </c>
      <c r="BO184" s="64">
        <f>IFERROR(1/J184*(X184/H184),"0")</f>
        <v>6.4300411522633744E-2</v>
      </c>
      <c r="BP184" s="64">
        <f>IFERROR(1/J184*(Y184/H184),"0")</f>
        <v>6.4814814814814811E-2</v>
      </c>
    </row>
    <row r="185" spans="1:68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27.777777777777779</v>
      </c>
      <c r="Y185" s="549">
        <f>IFERROR(Y182/H182,"0")+IFERROR(Y183/H183,"0")+IFERROR(Y184/H184,"0")</f>
        <v>29</v>
      </c>
      <c r="Z185" s="549">
        <f>IFERROR(IF(Z182="",0,Z182),"0")+IFERROR(IF(Z183="",0,Z183),"0")+IFERROR(IF(Z184="",0,Z184),"0")</f>
        <v>0.17109999999999997</v>
      </c>
      <c r="AA185" s="550"/>
      <c r="AB185" s="550"/>
      <c r="AC185" s="550"/>
    </row>
    <row r="186" spans="1:68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35</v>
      </c>
      <c r="Y186" s="549">
        <f>IFERROR(SUM(Y182:Y184),"0")</f>
        <v>36.54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200</v>
      </c>
      <c r="Y203" s="548">
        <f t="shared" ref="Y203:Y210" si="15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207.03703703703701</v>
      </c>
      <c r="BN203" s="64">
        <f t="shared" ref="BN203:BN210" si="17">IFERROR(Y203*I203/H203,"0")</f>
        <v>212.42</v>
      </c>
      <c r="BO203" s="64">
        <f t="shared" ref="BO203:BO210" si="18">IFERROR(1/J203*(X203/H203),"0")</f>
        <v>0.28058361391694725</v>
      </c>
      <c r="BP203" s="64">
        <f t="shared" ref="BP203:BP210" si="19">IFERROR(1/J203*(Y203/H203),"0")</f>
        <v>0.2878787878787879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50</v>
      </c>
      <c r="Y204" s="548">
        <f t="shared" si="15"/>
        <v>54</v>
      </c>
      <c r="Z204" s="36">
        <f>IFERROR(IF(Y204=0,"",ROUNDUP(Y204/H204,0)*0.00902),"")</f>
        <v>9.0200000000000002E-2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51.759259259259252</v>
      </c>
      <c r="BN204" s="64">
        <f t="shared" si="17"/>
        <v>55.9</v>
      </c>
      <c r="BO204" s="64">
        <f t="shared" si="18"/>
        <v>7.0145903479236812E-2</v>
      </c>
      <c r="BP204" s="64">
        <f t="shared" si="19"/>
        <v>7.575757575757576E-2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100</v>
      </c>
      <c r="Y205" s="548">
        <f t="shared" si="15"/>
        <v>102.60000000000001</v>
      </c>
      <c r="Z205" s="36">
        <f>IFERROR(IF(Y205=0,"",ROUNDUP(Y205/H205,0)*0.00902),"")</f>
        <v>0.17138</v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103.5185185185185</v>
      </c>
      <c r="BN205" s="64">
        <f t="shared" si="17"/>
        <v>106.21</v>
      </c>
      <c r="BO205" s="64">
        <f t="shared" si="18"/>
        <v>0.14029180695847362</v>
      </c>
      <c r="BP205" s="64">
        <f t="shared" si="19"/>
        <v>0.14393939393939395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80</v>
      </c>
      <c r="Y206" s="548">
        <f t="shared" si="15"/>
        <v>81</v>
      </c>
      <c r="Z206" s="36">
        <f>IFERROR(IF(Y206=0,"",ROUNDUP(Y206/H206,0)*0.00902),"")</f>
        <v>0.1353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82.81481481481481</v>
      </c>
      <c r="BN206" s="64">
        <f t="shared" si="17"/>
        <v>83.85</v>
      </c>
      <c r="BO206" s="64">
        <f t="shared" si="18"/>
        <v>0.11223344556677889</v>
      </c>
      <c r="BP206" s="64">
        <f t="shared" si="19"/>
        <v>0.11363636363636363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105</v>
      </c>
      <c r="Y207" s="548">
        <f t="shared" si="15"/>
        <v>106.2</v>
      </c>
      <c r="Z207" s="36">
        <f>IFERROR(IF(Y207=0,"",ROUNDUP(Y207/H207,0)*0.00502),"")</f>
        <v>0.29618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112.58333333333333</v>
      </c>
      <c r="BN207" s="64">
        <f t="shared" si="17"/>
        <v>113.87</v>
      </c>
      <c r="BO207" s="64">
        <f t="shared" si="18"/>
        <v>0.2492877492877493</v>
      </c>
      <c r="BP207" s="64">
        <f t="shared" si="19"/>
        <v>0.25213675213675218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54</v>
      </c>
      <c r="Y208" s="548">
        <f t="shared" si="15"/>
        <v>54</v>
      </c>
      <c r="Z208" s="36">
        <f>IFERROR(IF(Y208=0,"",ROUNDUP(Y208/H208,0)*0.00502),"")</f>
        <v>0.15060000000000001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56.999999999999993</v>
      </c>
      <c r="BN208" s="64">
        <f t="shared" si="17"/>
        <v>56.999999999999993</v>
      </c>
      <c r="BO208" s="64">
        <f t="shared" si="18"/>
        <v>0.12820512820512822</v>
      </c>
      <c r="BP208" s="64">
        <f t="shared" si="19"/>
        <v>0.12820512820512822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 t="s">
        <v>292</v>
      </c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75</v>
      </c>
      <c r="Y209" s="548">
        <f t="shared" si="15"/>
        <v>75.600000000000009</v>
      </c>
      <c r="Z209" s="36">
        <f>IFERROR(IF(Y209=0,"",ROUNDUP(Y209/H209,0)*0.00502),"")</f>
        <v>0.21084</v>
      </c>
      <c r="AA209" s="56"/>
      <c r="AB209" s="57"/>
      <c r="AC209" s="255" t="s">
        <v>343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79.166666666666671</v>
      </c>
      <c r="BN209" s="64">
        <f t="shared" si="17"/>
        <v>79.800000000000011</v>
      </c>
      <c r="BO209" s="64">
        <f t="shared" si="18"/>
        <v>0.17806267806267806</v>
      </c>
      <c r="BP209" s="64">
        <f t="shared" si="19"/>
        <v>0.17948717948717954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54</v>
      </c>
      <c r="Y210" s="548">
        <f t="shared" si="15"/>
        <v>54</v>
      </c>
      <c r="Z210" s="36">
        <f>IFERROR(IF(Y210=0,"",ROUNDUP(Y210/H210,0)*0.00502),"")</f>
        <v>0.15060000000000001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56.999999999999993</v>
      </c>
      <c r="BN210" s="64">
        <f t="shared" si="17"/>
        <v>56.999999999999993</v>
      </c>
      <c r="BO210" s="64">
        <f t="shared" si="18"/>
        <v>0.12820512820512822</v>
      </c>
      <c r="BP210" s="64">
        <f t="shared" si="19"/>
        <v>0.12820512820512822</v>
      </c>
    </row>
    <row r="211" spans="1:68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239.62962962962959</v>
      </c>
      <c r="Y211" s="549">
        <f>IFERROR(Y203/H203,"0")+IFERROR(Y204/H204,"0")+IFERROR(Y205/H205,"0")+IFERROR(Y206/H206,"0")+IFERROR(Y207/H207,"0")+IFERROR(Y208/H208,"0")+IFERROR(Y209/H209,"0")+IFERROR(Y210/H210,"0")</f>
        <v>243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1.54786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718</v>
      </c>
      <c r="Y212" s="549">
        <f>IFERROR(SUM(Y203:Y210),"0")</f>
        <v>732.60000000000014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150</v>
      </c>
      <c r="Y216" s="548">
        <f t="shared" si="20"/>
        <v>156.6</v>
      </c>
      <c r="Z216" s="36">
        <f>IFERROR(IF(Y216=0,"",ROUNDUP(Y216/H216,0)*0.01898),"")</f>
        <v>0.34164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158.51724137931038</v>
      </c>
      <c r="BN216" s="64">
        <f t="shared" si="22"/>
        <v>165.49200000000002</v>
      </c>
      <c r="BO216" s="64">
        <f t="shared" si="23"/>
        <v>0.26939655172413796</v>
      </c>
      <c r="BP216" s="64">
        <f t="shared" si="24"/>
        <v>0.28125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160</v>
      </c>
      <c r="Y217" s="548">
        <f t="shared" si="20"/>
        <v>160.79999999999998</v>
      </c>
      <c r="Z217" s="36">
        <f t="shared" ref="Z217:Z222" si="25">IFERROR(IF(Y217=0,"",ROUNDUP(Y217/H217,0)*0.00651),"")</f>
        <v>0.43617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178</v>
      </c>
      <c r="BN217" s="64">
        <f t="shared" si="22"/>
        <v>178.89</v>
      </c>
      <c r="BO217" s="64">
        <f t="shared" si="23"/>
        <v>0.36630036630036633</v>
      </c>
      <c r="BP217" s="64">
        <f t="shared" si="24"/>
        <v>0.36813186813186816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40</v>
      </c>
      <c r="Y219" s="548">
        <f t="shared" si="20"/>
        <v>40.799999999999997</v>
      </c>
      <c r="Z219" s="36">
        <f t="shared" si="25"/>
        <v>0.11067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44.20000000000001</v>
      </c>
      <c r="BN219" s="64">
        <f t="shared" si="22"/>
        <v>45.084000000000003</v>
      </c>
      <c r="BO219" s="64">
        <f t="shared" si="23"/>
        <v>9.1575091575091583E-2</v>
      </c>
      <c r="BP219" s="64">
        <f t="shared" si="24"/>
        <v>9.3406593406593408E-2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40</v>
      </c>
      <c r="Y221" s="548">
        <f t="shared" si="20"/>
        <v>40.799999999999997</v>
      </c>
      <c r="Z221" s="36">
        <f t="shared" si="25"/>
        <v>0.11067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44.20000000000001</v>
      </c>
      <c r="BN221" s="64">
        <f t="shared" si="22"/>
        <v>45.084000000000003</v>
      </c>
      <c r="BO221" s="64">
        <f t="shared" si="23"/>
        <v>9.1575091575091583E-2</v>
      </c>
      <c r="BP221" s="64">
        <f t="shared" si="24"/>
        <v>9.3406593406593408E-2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100</v>
      </c>
      <c r="Y222" s="548">
        <f t="shared" si="20"/>
        <v>100.8</v>
      </c>
      <c r="Z222" s="36">
        <f t="shared" si="25"/>
        <v>0.27342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110.75000000000001</v>
      </c>
      <c r="BN222" s="64">
        <f t="shared" si="22"/>
        <v>111.63600000000001</v>
      </c>
      <c r="BO222" s="64">
        <f t="shared" si="23"/>
        <v>0.22893772893772898</v>
      </c>
      <c r="BP222" s="64">
        <f t="shared" si="24"/>
        <v>0.23076923076923078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158.90804597701151</v>
      </c>
      <c r="Y223" s="549">
        <f>IFERROR(Y214/H214,"0")+IFERROR(Y215/H215,"0")+IFERROR(Y216/H216,"0")+IFERROR(Y217/H217,"0")+IFERROR(Y218/H218,"0")+IFERROR(Y219/H219,"0")+IFERROR(Y220/H220,"0")+IFERROR(Y221/H221,"0")+IFERROR(Y222/H222,"0")</f>
        <v>161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1.27257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490</v>
      </c>
      <c r="Y224" s="549">
        <f>IFERROR(SUM(Y214:Y222),"0")</f>
        <v>499.8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223</v>
      </c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20</v>
      </c>
      <c r="Y226" s="548">
        <f>IFERROR(IF(X226="",0,CEILING((X226/$H226),1)*$H226),"")</f>
        <v>21.599999999999998</v>
      </c>
      <c r="Z226" s="36">
        <f>IFERROR(IF(Y226=0,"",ROUNDUP(Y226/H226,0)*0.00651),"")</f>
        <v>5.8590000000000003E-2</v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22.100000000000005</v>
      </c>
      <c r="BN226" s="64">
        <f>IFERROR(Y226*I226/H226,"0")</f>
        <v>23.868000000000002</v>
      </c>
      <c r="BO226" s="64">
        <f>IFERROR(1/J226*(X226/H226),"0")</f>
        <v>4.5787545787545791E-2</v>
      </c>
      <c r="BP226" s="64">
        <f>IFERROR(1/J226*(Y226/H226),"0")</f>
        <v>4.9450549450549455E-2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223</v>
      </c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60</v>
      </c>
      <c r="Y227" s="548">
        <f>IFERROR(IF(X227="",0,CEILING((X227/$H227),1)*$H227),"")</f>
        <v>60</v>
      </c>
      <c r="Z227" s="36">
        <f>IFERROR(IF(Y227=0,"",ROUNDUP(Y227/H227,0)*0.00651),"")</f>
        <v>0.16275000000000001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66.300000000000011</v>
      </c>
      <c r="BN227" s="64">
        <f>IFERROR(Y227*I227/H227,"0")</f>
        <v>66.300000000000011</v>
      </c>
      <c r="BO227" s="64">
        <f>IFERROR(1/J227*(X227/H227),"0")</f>
        <v>0.13736263736263737</v>
      </c>
      <c r="BP227" s="64">
        <f>IFERROR(1/J227*(Y227/H227),"0")</f>
        <v>0.13736263736263737</v>
      </c>
    </row>
    <row r="228" spans="1:68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33.333333333333336</v>
      </c>
      <c r="Y228" s="549">
        <f>IFERROR(Y226/H226,"0")+IFERROR(Y227/H227,"0")</f>
        <v>34</v>
      </c>
      <c r="Z228" s="549">
        <f>IFERROR(IF(Z226="",0,Z226),"0")+IFERROR(IF(Z227="",0,Z227),"0")</f>
        <v>0.22134000000000001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80</v>
      </c>
      <c r="Y229" s="549">
        <f>IFERROR(SUM(Y226:Y227),"0")</f>
        <v>81.599999999999994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150</v>
      </c>
      <c r="Y234" s="548">
        <f t="shared" si="26"/>
        <v>150.79999999999998</v>
      </c>
      <c r="Z234" s="36">
        <f>IFERROR(IF(Y234=0,"",ROUNDUP(Y234/H234,0)*0.01898),"")</f>
        <v>0.24674000000000001</v>
      </c>
      <c r="AA234" s="56"/>
      <c r="AB234" s="57"/>
      <c r="AC234" s="285" t="s">
        <v>392</v>
      </c>
      <c r="AG234" s="64"/>
      <c r="AJ234" s="68" t="s">
        <v>108</v>
      </c>
      <c r="AK234" s="68">
        <v>92.8</v>
      </c>
      <c r="BB234" s="286" t="s">
        <v>1</v>
      </c>
      <c r="BM234" s="64">
        <f t="shared" si="27"/>
        <v>155.30172413793105</v>
      </c>
      <c r="BN234" s="64">
        <f t="shared" si="28"/>
        <v>156.12999999999997</v>
      </c>
      <c r="BO234" s="64">
        <f t="shared" si="29"/>
        <v>0.20204741379310345</v>
      </c>
      <c r="BP234" s="64">
        <f t="shared" si="30"/>
        <v>0.20312499999999997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 t="s">
        <v>114</v>
      </c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12</v>
      </c>
      <c r="Y235" s="548">
        <f t="shared" si="26"/>
        <v>12</v>
      </c>
      <c r="Z235" s="36">
        <f>IFERROR(IF(Y235=0,"",ROUNDUP(Y235/H235,0)*0.00902),"")</f>
        <v>2.7060000000000001E-2</v>
      </c>
      <c r="AA235" s="56"/>
      <c r="AB235" s="57"/>
      <c r="AC235" s="287" t="s">
        <v>386</v>
      </c>
      <c r="AG235" s="64"/>
      <c r="AJ235" s="68" t="s">
        <v>108</v>
      </c>
      <c r="AK235" s="68">
        <v>48</v>
      </c>
      <c r="BB235" s="288" t="s">
        <v>1</v>
      </c>
      <c r="BM235" s="64">
        <f t="shared" si="27"/>
        <v>12.57</v>
      </c>
      <c r="BN235" s="64">
        <f t="shared" si="28"/>
        <v>12.57</v>
      </c>
      <c r="BO235" s="64">
        <f t="shared" si="29"/>
        <v>2.2727272727272728E-2</v>
      </c>
      <c r="BP235" s="64">
        <f t="shared" si="30"/>
        <v>2.2727272727272728E-2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40</v>
      </c>
      <c r="Y239" s="548">
        <f t="shared" si="26"/>
        <v>40</v>
      </c>
      <c r="Z239" s="36">
        <f>IFERROR(IF(Y239=0,"",ROUNDUP(Y239/H239,0)*0.00902),"")</f>
        <v>9.0200000000000002E-2</v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41.900000000000006</v>
      </c>
      <c r="BN239" s="64">
        <f t="shared" si="28"/>
        <v>41.900000000000006</v>
      </c>
      <c r="BO239" s="64">
        <f t="shared" si="29"/>
        <v>7.575757575757576E-2</v>
      </c>
      <c r="BP239" s="64">
        <f t="shared" si="30"/>
        <v>7.575757575757576E-2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25.931034482758619</v>
      </c>
      <c r="Y241" s="549">
        <f>IFERROR(Y232/H232,"0")+IFERROR(Y233/H233,"0")+IFERROR(Y234/H234,"0")+IFERROR(Y235/H235,"0")+IFERROR(Y236/H236,"0")+IFERROR(Y237/H237,"0")+IFERROR(Y238/H238,"0")+IFERROR(Y239/H239,"0")+IFERROR(Y240/H240,"0")</f>
        <v>26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0.36400000000000005</v>
      </c>
      <c r="AA241" s="550"/>
      <c r="AB241" s="550"/>
      <c r="AC241" s="550"/>
    </row>
    <row r="242" spans="1:68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202</v>
      </c>
      <c r="Y242" s="549">
        <f>IFERROR(SUM(Y232:Y240),"0")</f>
        <v>202.79999999999998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2.5</v>
      </c>
      <c r="Y254" s="548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3.0277777777777777</v>
      </c>
      <c r="BN254" s="64">
        <f>IFERROR(Y254*I254/H254,"0")</f>
        <v>3.2700000000000005</v>
      </c>
      <c r="BO254" s="64">
        <f>IFERROR(1/J254*(X254/H254),"0")</f>
        <v>1.2860082304526748E-2</v>
      </c>
      <c r="BP254" s="64">
        <f>IFERROR(1/J254*(Y254/H254),"0")</f>
        <v>1.3888888888888888E-2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2.7777777777777777</v>
      </c>
      <c r="Y257" s="549">
        <f>IFERROR(Y252/H252,"0")+IFERROR(Y253/H253,"0")+IFERROR(Y254/H254,"0")+IFERROR(Y255/H255,"0")+IFERROR(Y256/H256,"0")</f>
        <v>3</v>
      </c>
      <c r="Z257" s="549">
        <f>IFERROR(IF(Z252="",0,Z252),"0")+IFERROR(IF(Z253="",0,Z253),"0")+IFERROR(IF(Z254="",0,Z254),"0")+IFERROR(IF(Z255="",0,Z255),"0")+IFERROR(IF(Z256="",0,Z256),"0")</f>
        <v>1.77E-2</v>
      </c>
      <c r="AA257" s="550"/>
      <c r="AB257" s="550"/>
      <c r="AC257" s="550"/>
    </row>
    <row r="258" spans="1:68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2.5</v>
      </c>
      <c r="Y258" s="549">
        <f>IFERROR(SUM(Y252:Y256),"0")</f>
        <v>2.7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80</v>
      </c>
      <c r="Y279" s="548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120</v>
      </c>
      <c r="Y280" s="548">
        <f>IFERROR(IF(X280="",0,CEILING((X280/$H280),1)*$H280),"")</f>
        <v>120</v>
      </c>
      <c r="Z280" s="36">
        <f>IFERROR(IF(Y280=0,"",ROUNDUP(Y280/H280,0)*0.00651),"")</f>
        <v>0.32550000000000001</v>
      </c>
      <c r="AA280" s="56"/>
      <c r="AB280" s="57"/>
      <c r="AC280" s="335" t="s">
        <v>453</v>
      </c>
      <c r="AG280" s="64"/>
      <c r="AJ280" s="68"/>
      <c r="AK280" s="68">
        <v>0</v>
      </c>
      <c r="BB280" s="336" t="s">
        <v>1</v>
      </c>
      <c r="BM280" s="64">
        <f>IFERROR(X280*I280/H280,"0")</f>
        <v>129.00000000000003</v>
      </c>
      <c r="BN280" s="64">
        <f>IFERROR(Y280*I280/H280,"0")</f>
        <v>129.00000000000003</v>
      </c>
      <c r="BO280" s="64">
        <f>IFERROR(1/J280*(X280/H280),"0")</f>
        <v>0.27472527472527475</v>
      </c>
      <c r="BP280" s="64">
        <f>IFERROR(1/J280*(Y280/H280),"0")</f>
        <v>0.27472527472527475</v>
      </c>
    </row>
    <row r="281" spans="1:68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83.333333333333343</v>
      </c>
      <c r="Y281" s="549">
        <f>IFERROR(Y278/H278,"0")+IFERROR(Y279/H279,"0")+IFERROR(Y280/H280,"0")</f>
        <v>84</v>
      </c>
      <c r="Z281" s="549">
        <f>IFERROR(IF(Z278="",0,Z278),"0")+IFERROR(IF(Z279="",0,Z279),"0")+IFERROR(IF(Z280="",0,Z280),"0")</f>
        <v>0.54683999999999999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200</v>
      </c>
      <c r="Y282" s="549">
        <f>IFERROR(SUM(Y278:Y280),"0")</f>
        <v>201.6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 t="s">
        <v>292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 t="s">
        <v>108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 t="s">
        <v>223</v>
      </c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24</v>
      </c>
      <c r="Y309" s="548">
        <f t="shared" si="31"/>
        <v>25.2</v>
      </c>
      <c r="Z309" s="36">
        <f>IFERROR(IF(Y309=0,"",ROUNDUP(Y309/H309,0)*0.00651),"")</f>
        <v>9.1139999999999999E-2</v>
      </c>
      <c r="AA309" s="56"/>
      <c r="AB309" s="57"/>
      <c r="AC309" s="365" t="s">
        <v>503</v>
      </c>
      <c r="AG309" s="64"/>
      <c r="AJ309" s="68" t="s">
        <v>108</v>
      </c>
      <c r="AK309" s="68">
        <v>25.2</v>
      </c>
      <c r="BB309" s="366" t="s">
        <v>1</v>
      </c>
      <c r="BM309" s="64">
        <f t="shared" si="32"/>
        <v>27.04</v>
      </c>
      <c r="BN309" s="64">
        <f t="shared" si="33"/>
        <v>28.391999999999999</v>
      </c>
      <c r="BO309" s="64">
        <f t="shared" si="34"/>
        <v>7.3260073260073263E-2</v>
      </c>
      <c r="BP309" s="64">
        <f t="shared" si="35"/>
        <v>7.6923076923076927E-2</v>
      </c>
    </row>
    <row r="310" spans="1:68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13.333333333333332</v>
      </c>
      <c r="Y310" s="549">
        <f>IFERROR(Y304/H304,"0")+IFERROR(Y305/H305,"0")+IFERROR(Y306/H306,"0")+IFERROR(Y307/H307,"0")+IFERROR(Y308/H308,"0")+IFERROR(Y309/H309,"0")</f>
        <v>14</v>
      </c>
      <c r="Z310" s="549">
        <f>IFERROR(IF(Z304="",0,Z304),"0")+IFERROR(IF(Z305="",0,Z305),"0")+IFERROR(IF(Z306="",0,Z306),"0")+IFERROR(IF(Z307="",0,Z307),"0")+IFERROR(IF(Z308="",0,Z308),"0")+IFERROR(IF(Z309="",0,Z309),"0")</f>
        <v>9.1139999999999999E-2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24</v>
      </c>
      <c r="Y311" s="549">
        <f>IFERROR(SUM(Y304:Y309),"0")</f>
        <v>25.2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20</v>
      </c>
      <c r="Y320" s="548">
        <f>IFERROR(IF(X320="",0,CEILING((X320/$H320),1)*$H320),"")</f>
        <v>25.200000000000003</v>
      </c>
      <c r="Z320" s="36">
        <f>IFERROR(IF(Y320=0,"",ROUNDUP(Y320/H320,0)*0.01898),"")</f>
        <v>5.6940000000000004E-2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21.176190476190474</v>
      </c>
      <c r="BN320" s="64">
        <f>IFERROR(Y320*I320/H320,"0")</f>
        <v>26.682000000000002</v>
      </c>
      <c r="BO320" s="64">
        <f>IFERROR(1/J320*(X320/H320),"0")</f>
        <v>3.7202380952380952E-2</v>
      </c>
      <c r="BP320" s="64">
        <f>IFERROR(1/J320*(Y320/H320),"0")</f>
        <v>4.6875E-2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500</v>
      </c>
      <c r="Y321" s="548">
        <f>IFERROR(IF(X321="",0,CEILING((X321/$H321),1)*$H321),"")</f>
        <v>507</v>
      </c>
      <c r="Z321" s="36">
        <f>IFERROR(IF(Y321=0,"",ROUNDUP(Y321/H321,0)*0.01898),"")</f>
        <v>1.2337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531.66666666666663</v>
      </c>
      <c r="BN321" s="64">
        <f>IFERROR(Y321*I321/H321,"0")</f>
        <v>539.11</v>
      </c>
      <c r="BO321" s="64">
        <f>IFERROR(1/J321*(X321/H321),"0")</f>
        <v>1.0016025641025641</v>
      </c>
      <c r="BP321" s="64">
        <f>IFERROR(1/J321*(Y321/H321),"0")</f>
        <v>1.015625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120</v>
      </c>
      <c r="Y322" s="548">
        <f>IFERROR(IF(X322="",0,CEILING((X322/$H322),1)*$H322),"")</f>
        <v>126</v>
      </c>
      <c r="Z322" s="36">
        <f>IFERROR(IF(Y322=0,"",ROUNDUP(Y322/H322,0)*0.01898),"")</f>
        <v>0.28470000000000001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127.05714285714285</v>
      </c>
      <c r="BN322" s="64">
        <f>IFERROR(Y322*I322/H322,"0")</f>
        <v>133.41</v>
      </c>
      <c r="BO322" s="64">
        <f>IFERROR(1/J322*(X322/H322),"0")</f>
        <v>0.2232142857142857</v>
      </c>
      <c r="BP322" s="64">
        <f>IFERROR(1/J322*(Y322/H322),"0")</f>
        <v>0.234375</v>
      </c>
    </row>
    <row r="323" spans="1:68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80.769230769230774</v>
      </c>
      <c r="Y323" s="549">
        <f>IFERROR(Y320/H320,"0")+IFERROR(Y321/H321,"0")+IFERROR(Y322/H322,"0")</f>
        <v>83</v>
      </c>
      <c r="Z323" s="549">
        <f>IFERROR(IF(Z320="",0,Z320),"0")+IFERROR(IF(Z321="",0,Z321),"0")+IFERROR(IF(Z322="",0,Z322),"0")</f>
        <v>1.57534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640</v>
      </c>
      <c r="Y324" s="549">
        <f>IFERROR(SUM(Y320:Y322),"0")</f>
        <v>658.2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223</v>
      </c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223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223</v>
      </c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223</v>
      </c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223</v>
      </c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245</v>
      </c>
      <c r="Y341" s="548">
        <f>IFERROR(IF(X341="",0,CEILING((X341/$H341),1)*$H341),"")</f>
        <v>245.70000000000002</v>
      </c>
      <c r="Z341" s="36">
        <f>IFERROR(IF(Y341=0,"",ROUNDUP(Y341/H341,0)*0.00651),"")</f>
        <v>0.76167000000000007</v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274.39999999999998</v>
      </c>
      <c r="BN341" s="64">
        <f>IFERROR(Y341*I341/H341,"0")</f>
        <v>275.18399999999997</v>
      </c>
      <c r="BO341" s="64">
        <f>IFERROR(1/J341*(X341/H341),"0")</f>
        <v>0.64102564102564097</v>
      </c>
      <c r="BP341" s="64">
        <f>IFERROR(1/J341*(Y341/H341),"0")</f>
        <v>0.6428571428571429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223</v>
      </c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385</v>
      </c>
      <c r="Y342" s="548">
        <f>IFERROR(IF(X342="",0,CEILING((X342/$H342),1)*$H342),"")</f>
        <v>386.40000000000003</v>
      </c>
      <c r="Z342" s="36">
        <f>IFERROR(IF(Y342=0,"",ROUNDUP(Y342/H342,0)*0.00651),"")</f>
        <v>1.19784</v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428.99999999999994</v>
      </c>
      <c r="BN342" s="64">
        <f>IFERROR(Y342*I342/H342,"0")</f>
        <v>430.56</v>
      </c>
      <c r="BO342" s="64">
        <f>IFERROR(1/J342*(X342/H342),"0")</f>
        <v>1.0073260073260073</v>
      </c>
      <c r="BP342" s="64">
        <f>IFERROR(1/J342*(Y342/H342),"0")</f>
        <v>1.0109890109890112</v>
      </c>
    </row>
    <row r="343" spans="1:68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300</v>
      </c>
      <c r="Y343" s="549">
        <f>IFERROR(Y340/H340,"0")+IFERROR(Y341/H341,"0")+IFERROR(Y342/H342,"0")</f>
        <v>301</v>
      </c>
      <c r="Z343" s="549">
        <f>IFERROR(IF(Z340="",0,Z340),"0")+IFERROR(IF(Z341="",0,Z341),"0")+IFERROR(IF(Z342="",0,Z342),"0")</f>
        <v>1.9595100000000001</v>
      </c>
      <c r="AA343" s="550"/>
      <c r="AB343" s="550"/>
      <c r="AC343" s="550"/>
    </row>
    <row r="344" spans="1:68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630</v>
      </c>
      <c r="Y344" s="549">
        <f>IFERROR(SUM(Y340:Y342),"0")</f>
        <v>632.1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2400</v>
      </c>
      <c r="Y348" s="548">
        <f t="shared" ref="Y348:Y354" si="36">IFERROR(IF(X348="",0,CEILING((X348/$H348),1)*$H348),"")</f>
        <v>2400</v>
      </c>
      <c r="Z348" s="36">
        <f>IFERROR(IF(Y348=0,"",ROUNDUP(Y348/H348,0)*0.02175),"")</f>
        <v>3.4799999999999995</v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2475.1999999999998</v>
      </c>
      <c r="BN348" s="64">
        <f t="shared" ref="BN348:BN354" si="38">IFERROR(Y348*I348/H348,"0")</f>
        <v>2475.1999999999998</v>
      </c>
      <c r="BO348" s="64">
        <f t="shared" ref="BO348:BO354" si="39">IFERROR(1/J348*(X348/H348),"0")</f>
        <v>3.333333333333333</v>
      </c>
      <c r="BP348" s="64">
        <f t="shared" ref="BP348:BP354" si="40">IFERROR(1/J348*(Y348/H348),"0")</f>
        <v>3.333333333333333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500</v>
      </c>
      <c r="Y349" s="548">
        <f t="shared" si="36"/>
        <v>510</v>
      </c>
      <c r="Z349" s="36">
        <f>IFERROR(IF(Y349=0,"",ROUNDUP(Y349/H349,0)*0.02175),"")</f>
        <v>0.73949999999999994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si="37"/>
        <v>515.66666666666663</v>
      </c>
      <c r="BN349" s="64">
        <f t="shared" si="38"/>
        <v>525.98</v>
      </c>
      <c r="BO349" s="64">
        <f t="shared" si="39"/>
        <v>0.69444444444444442</v>
      </c>
      <c r="BP349" s="64">
        <f t="shared" si="40"/>
        <v>0.70833333333333326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4">
        <v>4680115884830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2400</v>
      </c>
      <c r="Y350" s="548">
        <f t="shared" si="36"/>
        <v>2400</v>
      </c>
      <c r="Z350" s="36">
        <f>IFERROR(IF(Y350=0,"",ROUNDUP(Y350/H350,0)*0.02175),"")</f>
        <v>3.4799999999999995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2475.1999999999998</v>
      </c>
      <c r="BN350" s="64">
        <f t="shared" si="38"/>
        <v>2475.1999999999998</v>
      </c>
      <c r="BO350" s="64">
        <f t="shared" si="39"/>
        <v>3.333333333333333</v>
      </c>
      <c r="BP350" s="64">
        <f t="shared" si="40"/>
        <v>3.333333333333333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4">
        <v>4680115887046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5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100</v>
      </c>
      <c r="Y351" s="548">
        <f t="shared" si="36"/>
        <v>105</v>
      </c>
      <c r="Z351" s="36">
        <f>IFERROR(IF(Y351=0,"",ROUNDUP(Y351/H351,0)*0.02175),"")</f>
        <v>0.15225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103.13333333333334</v>
      </c>
      <c r="BN351" s="64">
        <f t="shared" si="38"/>
        <v>108.29</v>
      </c>
      <c r="BO351" s="64">
        <f t="shared" si="39"/>
        <v>0.1388888888888889</v>
      </c>
      <c r="BP351" s="64">
        <f t="shared" si="40"/>
        <v>0.14583333333333331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30</v>
      </c>
      <c r="Y354" s="548">
        <f t="shared" si="36"/>
        <v>30</v>
      </c>
      <c r="Z354" s="36">
        <f>IFERROR(IF(Y354=0,"",ROUNDUP(Y354/H354,0)*0.00902),"")</f>
        <v>5.4120000000000001E-2</v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31.140000000000004</v>
      </c>
      <c r="BN354" s="64">
        <f t="shared" si="38"/>
        <v>31.140000000000004</v>
      </c>
      <c r="BO354" s="64">
        <f t="shared" si="39"/>
        <v>4.5454545454545456E-2</v>
      </c>
      <c r="BP354" s="64">
        <f t="shared" si="40"/>
        <v>4.5454545454545456E-2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366.00000000000006</v>
      </c>
      <c r="Y355" s="549">
        <f>IFERROR(Y348/H348,"0")+IFERROR(Y349/H349,"0")+IFERROR(Y350/H350,"0")+IFERROR(Y351/H351,"0")+IFERROR(Y352/H352,"0")+IFERROR(Y353/H353,"0")+IFERROR(Y354/H354,"0")</f>
        <v>367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7.9058699999999993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5430</v>
      </c>
      <c r="Y356" s="549">
        <f>IFERROR(SUM(Y348:Y354),"0")</f>
        <v>5445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/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2000</v>
      </c>
      <c r="Y358" s="548">
        <f>IFERROR(IF(X358="",0,CEILING((X358/$H358),1)*$H358),"")</f>
        <v>2010</v>
      </c>
      <c r="Z358" s="36">
        <f>IFERROR(IF(Y358=0,"",ROUNDUP(Y358/H358,0)*0.02175),"")</f>
        <v>2.9144999999999999</v>
      </c>
      <c r="AA358" s="56"/>
      <c r="AB358" s="57"/>
      <c r="AC358" s="415" t="s">
        <v>577</v>
      </c>
      <c r="AG358" s="64"/>
      <c r="AJ358" s="68"/>
      <c r="AK358" s="68">
        <v>0</v>
      </c>
      <c r="BB358" s="416" t="s">
        <v>1</v>
      </c>
      <c r="BM358" s="64">
        <f>IFERROR(X358*I358/H358,"0")</f>
        <v>2062.6666666666665</v>
      </c>
      <c r="BN358" s="64">
        <f>IFERROR(Y358*I358/H358,"0")</f>
        <v>2072.98</v>
      </c>
      <c r="BO358" s="64">
        <f>IFERROR(1/J358*(X358/H358),"0")</f>
        <v>2.7777777777777777</v>
      </c>
      <c r="BP358" s="64">
        <f>IFERROR(1/J358*(Y358/H358),"0")</f>
        <v>2.7916666666666665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12</v>
      </c>
      <c r="Y359" s="548">
        <f>IFERROR(IF(X359="",0,CEILING((X359/$H359),1)*$H359),"")</f>
        <v>12</v>
      </c>
      <c r="Z359" s="36">
        <f>IFERROR(IF(Y359=0,"",ROUNDUP(Y359/H359,0)*0.00902),"")</f>
        <v>2.7060000000000001E-2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12.57</v>
      </c>
      <c r="BN359" s="64">
        <f>IFERROR(Y359*I359/H359,"0")</f>
        <v>12.57</v>
      </c>
      <c r="BO359" s="64">
        <f>IFERROR(1/J359*(X359/H359),"0")</f>
        <v>2.2727272727272728E-2</v>
      </c>
      <c r="BP359" s="64">
        <f>IFERROR(1/J359*(Y359/H359),"0")</f>
        <v>2.2727272727272728E-2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136.33333333333334</v>
      </c>
      <c r="Y360" s="549">
        <f>IFERROR(Y358/H358,"0")+IFERROR(Y359/H359,"0")</f>
        <v>137</v>
      </c>
      <c r="Z360" s="549">
        <f>IFERROR(IF(Z358="",0,Z358),"0")+IFERROR(IF(Z359="",0,Z359),"0")</f>
        <v>2.94156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2012</v>
      </c>
      <c r="Y361" s="549">
        <f>IFERROR(SUM(Y358:Y359),"0")</f>
        <v>2022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20</v>
      </c>
      <c r="Y364" s="548">
        <f>IFERROR(IF(X364="",0,CEILING((X364/$H364),1)*$H364),"")</f>
        <v>27</v>
      </c>
      <c r="Z364" s="36">
        <f>IFERROR(IF(Y364=0,"",ROUNDUP(Y364/H364,0)*0.01898),"")</f>
        <v>5.6940000000000004E-2</v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21.097777777777779</v>
      </c>
      <c r="BN364" s="64">
        <f>IFERROR(Y364*I364/H364,"0")</f>
        <v>28.481999999999996</v>
      </c>
      <c r="BO364" s="64">
        <f>IFERROR(1/J364*(X364/H364),"0")</f>
        <v>3.4722222222222224E-2</v>
      </c>
      <c r="BP364" s="64">
        <f>IFERROR(1/J364*(Y364/H364),"0")</f>
        <v>4.6875E-2</v>
      </c>
    </row>
    <row r="365" spans="1:68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2.2222222222222223</v>
      </c>
      <c r="Y365" s="549">
        <f>IFERROR(Y363/H363,"0")+IFERROR(Y364/H364,"0")</f>
        <v>3</v>
      </c>
      <c r="Z365" s="549">
        <f>IFERROR(IF(Z363="",0,Z363),"0")+IFERROR(IF(Z364="",0,Z364),"0")</f>
        <v>5.6940000000000004E-2</v>
      </c>
      <c r="AA365" s="550"/>
      <c r="AB365" s="550"/>
      <c r="AC365" s="550"/>
    </row>
    <row r="366" spans="1:68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20</v>
      </c>
      <c r="Y366" s="549">
        <f>IFERROR(SUM(Y363:Y364),"0")</f>
        <v>27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50</v>
      </c>
      <c r="Y373" s="548">
        <f>IFERROR(IF(X373="",0,CEILING((X373/$H373),1)*$H373),"")</f>
        <v>60</v>
      </c>
      <c r="Z373" s="36">
        <f>IFERROR(IF(Y373=0,"",ROUNDUP(Y373/H373,0)*0.01898),"")</f>
        <v>9.4899999999999998E-2</v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51.708333333333336</v>
      </c>
      <c r="BN373" s="64">
        <f>IFERROR(Y373*I373/H373,"0")</f>
        <v>62.050000000000004</v>
      </c>
      <c r="BO373" s="64">
        <f>IFERROR(1/J373*(X373/H373),"0")</f>
        <v>6.5104166666666671E-2</v>
      </c>
      <c r="BP373" s="64">
        <f>IFERROR(1/J373*(Y373/H373),"0")</f>
        <v>7.8125E-2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4.166666666666667</v>
      </c>
      <c r="Y375" s="549">
        <f>IFERROR(Y373/H373,"0")+IFERROR(Y374/H374,"0")</f>
        <v>5</v>
      </c>
      <c r="Z375" s="549">
        <f>IFERROR(IF(Z373="",0,Z373),"0")+IFERROR(IF(Z374="",0,Z374),"0")</f>
        <v>9.4899999999999998E-2</v>
      </c>
      <c r="AA375" s="550"/>
      <c r="AB375" s="550"/>
      <c r="AC375" s="550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50</v>
      </c>
      <c r="Y376" s="549">
        <f>IFERROR(SUM(Y373:Y374),"0")</f>
        <v>60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4301031303</v>
      </c>
      <c r="D378" s="554">
        <v>4607091384802</v>
      </c>
      <c r="E378" s="555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35</v>
      </c>
      <c r="P378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4301031457</v>
      </c>
      <c r="D379" s="554">
        <v>4607091384802</v>
      </c>
      <c r="E379" s="555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40</v>
      </c>
      <c r="Y383" s="548">
        <f>IFERROR(IF(X383="",0,CEILING((X383/$H383),1)*$H383),"")</f>
        <v>45</v>
      </c>
      <c r="Z383" s="36">
        <f>IFERROR(IF(Y383=0,"",ROUNDUP(Y383/H383,0)*0.01898),"")</f>
        <v>9.4899999999999998E-2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42.195555555555558</v>
      </c>
      <c r="BN383" s="64">
        <f>IFERROR(Y383*I383/H383,"0")</f>
        <v>47.47</v>
      </c>
      <c r="BO383" s="64">
        <f>IFERROR(1/J383*(X383/H383),"0")</f>
        <v>6.9444444444444448E-2</v>
      </c>
      <c r="BP383" s="64">
        <f>IFERROR(1/J383*(Y383/H383),"0")</f>
        <v>7.8125E-2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4.4444444444444446</v>
      </c>
      <c r="Y386" s="549">
        <f>IFERROR(Y383/H383,"0")+IFERROR(Y384/H384,"0")+IFERROR(Y385/H385,"0")</f>
        <v>5</v>
      </c>
      <c r="Z386" s="549">
        <f>IFERROR(IF(Z383="",0,Z383),"0")+IFERROR(IF(Z384="",0,Z384),"0")+IFERROR(IF(Z385="",0,Z385),"0")</f>
        <v>9.4899999999999998E-2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40</v>
      </c>
      <c r="Y387" s="549">
        <f>IFERROR(SUM(Y383:Y385),"0")</f>
        <v>45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 t="s">
        <v>292</v>
      </c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 t="s">
        <v>108</v>
      </c>
      <c r="AK395" s="68">
        <v>37.799999999999997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 t="s">
        <v>292</v>
      </c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14</v>
      </c>
      <c r="Y396" s="548">
        <f t="shared" si="41"/>
        <v>14.700000000000001</v>
      </c>
      <c r="Z396" s="36">
        <f t="shared" si="46"/>
        <v>3.5140000000000005E-2</v>
      </c>
      <c r="AA396" s="56"/>
      <c r="AB396" s="57"/>
      <c r="AC396" s="449" t="s">
        <v>625</v>
      </c>
      <c r="AG396" s="64"/>
      <c r="AJ396" s="68" t="s">
        <v>108</v>
      </c>
      <c r="AK396" s="68">
        <v>37.799999999999997</v>
      </c>
      <c r="BB396" s="450" t="s">
        <v>1</v>
      </c>
      <c r="BM396" s="64">
        <f t="shared" si="42"/>
        <v>14.866666666666665</v>
      </c>
      <c r="BN396" s="64">
        <f t="shared" si="43"/>
        <v>15.61</v>
      </c>
      <c r="BO396" s="64">
        <f t="shared" si="44"/>
        <v>2.8490028490028491E-2</v>
      </c>
      <c r="BP396" s="64">
        <f t="shared" si="45"/>
        <v>2.9914529914529919E-2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35</v>
      </c>
      <c r="Y398" s="548">
        <f t="shared" si="41"/>
        <v>35.700000000000003</v>
      </c>
      <c r="Z398" s="36">
        <f t="shared" si="46"/>
        <v>8.5339999999999999E-2</v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37.166666666666664</v>
      </c>
      <c r="BN398" s="64">
        <f t="shared" si="43"/>
        <v>37.910000000000004</v>
      </c>
      <c r="BO398" s="64">
        <f t="shared" si="44"/>
        <v>7.1225071225071226E-2</v>
      </c>
      <c r="BP398" s="64">
        <f t="shared" si="45"/>
        <v>7.2649572649572655E-2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23.333333333333329</v>
      </c>
      <c r="Y400" s="549">
        <f>IFERROR(Y391/H391,"0")+IFERROR(Y392/H392,"0")+IFERROR(Y393/H393,"0")+IFERROR(Y394/H394,"0")+IFERROR(Y395/H395,"0")+IFERROR(Y396/H396,"0")+IFERROR(Y397/H397,"0")+IFERROR(Y398/H398,"0")+IFERROR(Y399/H399,"0")</f>
        <v>24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0.12048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49</v>
      </c>
      <c r="Y401" s="549">
        <f>IFERROR(SUM(Y391:Y399),"0")</f>
        <v>50.400000000000006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 t="s">
        <v>223</v>
      </c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20</v>
      </c>
      <c r="Y421" s="548">
        <f>IFERROR(IF(X421="",0,CEILING((X421/$H421),1)*$H421),"")</f>
        <v>20.399999999999999</v>
      </c>
      <c r="Z421" s="36">
        <f>IFERROR(IF(Y421=0,"",ROUNDUP(Y421/H421,0)*0.00651),"")</f>
        <v>0.11067</v>
      </c>
      <c r="AA421" s="56"/>
      <c r="AB421" s="57"/>
      <c r="AC421" s="471" t="s">
        <v>658</v>
      </c>
      <c r="AG421" s="64"/>
      <c r="AJ421" s="68" t="s">
        <v>108</v>
      </c>
      <c r="AK421" s="68">
        <v>16.8</v>
      </c>
      <c r="BB421" s="472" t="s">
        <v>1</v>
      </c>
      <c r="BM421" s="64">
        <f>IFERROR(X421*I421/H421,"0")</f>
        <v>35</v>
      </c>
      <c r="BN421" s="64">
        <f>IFERROR(Y421*I421/H421,"0")</f>
        <v>35.699999999999996</v>
      </c>
      <c r="BO421" s="64">
        <f>IFERROR(1/J421*(X421/H421),"0")</f>
        <v>9.1575091575091583E-2</v>
      </c>
      <c r="BP421" s="64">
        <f>IFERROR(1/J421*(Y421/H421),"0")</f>
        <v>9.3406593406593408E-2</v>
      </c>
    </row>
    <row r="422" spans="1:68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16.666666666666668</v>
      </c>
      <c r="Y422" s="549">
        <f>IFERROR(Y421/H421,"0")</f>
        <v>17</v>
      </c>
      <c r="Z422" s="549">
        <f>IFERROR(IF(Z421="",0,Z421),"0")</f>
        <v>0.11067</v>
      </c>
      <c r="AA422" s="550"/>
      <c r="AB422" s="550"/>
      <c r="AC422" s="550"/>
    </row>
    <row r="423" spans="1:68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20</v>
      </c>
      <c r="Y423" s="549">
        <f>IFERROR(SUM(Y421:Y421),"0")</f>
        <v>20.399999999999999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150</v>
      </c>
      <c r="Y431" s="548">
        <f t="shared" si="47"/>
        <v>153.12</v>
      </c>
      <c r="Z431" s="36">
        <f t="shared" si="48"/>
        <v>0.34683999999999998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159.94318181818181</v>
      </c>
      <c r="BN431" s="64">
        <f t="shared" si="50"/>
        <v>163.26999999999998</v>
      </c>
      <c r="BO431" s="64">
        <f t="shared" si="51"/>
        <v>0.27316433566433568</v>
      </c>
      <c r="BP431" s="64">
        <f t="shared" si="52"/>
        <v>0.27884615384615385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250</v>
      </c>
      <c r="Y433" s="548">
        <f t="shared" si="47"/>
        <v>253.44</v>
      </c>
      <c r="Z433" s="36">
        <f t="shared" si="48"/>
        <v>0.57408000000000003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266.57196969696969</v>
      </c>
      <c r="BN433" s="64">
        <f t="shared" si="50"/>
        <v>270.23999999999995</v>
      </c>
      <c r="BO433" s="64">
        <f t="shared" si="51"/>
        <v>0.45527389277389274</v>
      </c>
      <c r="BP433" s="64">
        <f t="shared" si="52"/>
        <v>0.46153846153846156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120</v>
      </c>
      <c r="Y435" s="548">
        <f t="shared" si="47"/>
        <v>120</v>
      </c>
      <c r="Z435" s="36">
        <f>IFERROR(IF(Y435=0,"",ROUNDUP(Y435/H435,0)*0.00902),"")</f>
        <v>0.22550000000000001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172.75000000000003</v>
      </c>
      <c r="BN435" s="64">
        <f t="shared" si="50"/>
        <v>172.75000000000003</v>
      </c>
      <c r="BO435" s="64">
        <f t="shared" si="51"/>
        <v>0.18939393939393939</v>
      </c>
      <c r="BP435" s="64">
        <f t="shared" si="52"/>
        <v>0.18939393939393939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100.75757575757575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102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1.14642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520</v>
      </c>
      <c r="Y440" s="549">
        <f>IFERROR(SUM(Y427:Y438),"0")</f>
        <v>526.55999999999995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400</v>
      </c>
      <c r="Y442" s="548">
        <f>IFERROR(IF(X442="",0,CEILING((X442/$H442),1)*$H442),"")</f>
        <v>401.28000000000003</v>
      </c>
      <c r="Z442" s="36">
        <f>IFERROR(IF(Y442=0,"",ROUNDUP(Y442/H442,0)*0.01196),"")</f>
        <v>0.90895999999999999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426.5151515151515</v>
      </c>
      <c r="BN442" s="64">
        <f>IFERROR(Y442*I442/H442,"0")</f>
        <v>427.88</v>
      </c>
      <c r="BO442" s="64">
        <f>IFERROR(1/J442*(X442/H442),"0")</f>
        <v>0.72843822843822836</v>
      </c>
      <c r="BP442" s="64">
        <f>IFERROR(1/J442*(Y442/H442),"0")</f>
        <v>0.73076923076923084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75.757575757575751</v>
      </c>
      <c r="Y445" s="549">
        <f>IFERROR(Y442/H442,"0")+IFERROR(Y443/H443,"0")+IFERROR(Y444/H444,"0")</f>
        <v>76</v>
      </c>
      <c r="Z445" s="549">
        <f>IFERROR(IF(Z442="",0,Z442),"0")+IFERROR(IF(Z443="",0,Z443),"0")+IFERROR(IF(Z444="",0,Z444),"0")</f>
        <v>0.90895999999999999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400</v>
      </c>
      <c r="Y446" s="549">
        <f>IFERROR(SUM(Y442:Y444),"0")</f>
        <v>401.28000000000003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50</v>
      </c>
      <c r="Y448" s="548">
        <f t="shared" ref="Y448:Y453" si="53">IFERROR(IF(X448="",0,CEILING((X448/$H448),1)*$H448),"")</f>
        <v>52.800000000000004</v>
      </c>
      <c r="Z448" s="36">
        <f>IFERROR(IF(Y448=0,"",ROUNDUP(Y448/H448,0)*0.01196),"")</f>
        <v>0.1196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53.314393939393938</v>
      </c>
      <c r="BN448" s="64">
        <f t="shared" ref="BN448:BN453" si="55">IFERROR(Y448*I448/H448,"0")</f>
        <v>56.3</v>
      </c>
      <c r="BO448" s="64">
        <f t="shared" ref="BO448:BO453" si="56">IFERROR(1/J448*(X448/H448),"0")</f>
        <v>9.1054778554778545E-2</v>
      </c>
      <c r="BP448" s="64">
        <f t="shared" ref="BP448:BP453" si="57">IFERROR(1/J448*(Y448/H448),"0")</f>
        <v>9.6153846153846159E-2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180</v>
      </c>
      <c r="Y449" s="548">
        <f t="shared" si="53"/>
        <v>184.8</v>
      </c>
      <c r="Z449" s="36">
        <f>IFERROR(IF(Y449=0,"",ROUNDUP(Y449/H449,0)*0.01196),"")</f>
        <v>0.41860000000000003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191.93181818181816</v>
      </c>
      <c r="BN449" s="64">
        <f t="shared" si="55"/>
        <v>197.04999999999998</v>
      </c>
      <c r="BO449" s="64">
        <f t="shared" si="56"/>
        <v>0.32779720279720276</v>
      </c>
      <c r="BP449" s="64">
        <f t="shared" si="57"/>
        <v>0.33653846153846156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280</v>
      </c>
      <c r="Y450" s="548">
        <f t="shared" si="53"/>
        <v>285.12</v>
      </c>
      <c r="Z450" s="36">
        <f>IFERROR(IF(Y450=0,"",ROUNDUP(Y450/H450,0)*0.01196),"")</f>
        <v>0.64583999999999997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298.56060606060601</v>
      </c>
      <c r="BN450" s="64">
        <f t="shared" si="55"/>
        <v>304.02</v>
      </c>
      <c r="BO450" s="64">
        <f t="shared" si="56"/>
        <v>0.50990675990675993</v>
      </c>
      <c r="BP450" s="64">
        <f t="shared" si="57"/>
        <v>0.51923076923076927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 t="s">
        <v>114</v>
      </c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60</v>
      </c>
      <c r="Y451" s="548">
        <f t="shared" si="53"/>
        <v>62.4</v>
      </c>
      <c r="Z451" s="36">
        <f>IFERROR(IF(Y451=0,"",ROUNDUP(Y451/H451,0)*0.00902),"")</f>
        <v>0.11726</v>
      </c>
      <c r="AA451" s="56"/>
      <c r="AB451" s="57"/>
      <c r="AC451" s="509" t="s">
        <v>698</v>
      </c>
      <c r="AG451" s="64"/>
      <c r="AJ451" s="68" t="s">
        <v>108</v>
      </c>
      <c r="AK451" s="68">
        <v>57.6</v>
      </c>
      <c r="BB451" s="510" t="s">
        <v>1</v>
      </c>
      <c r="BM451" s="64">
        <f t="shared" si="54"/>
        <v>86.375000000000014</v>
      </c>
      <c r="BN451" s="64">
        <f t="shared" si="55"/>
        <v>89.830000000000013</v>
      </c>
      <c r="BO451" s="64">
        <f t="shared" si="56"/>
        <v>9.4696969696969696E-2</v>
      </c>
      <c r="BP451" s="64">
        <f t="shared" si="57"/>
        <v>9.8484848484848481E-2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 t="s">
        <v>114</v>
      </c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 t="s">
        <v>108</v>
      </c>
      <c r="AK452" s="68">
        <v>57.6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 t="s">
        <v>114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96</v>
      </c>
      <c r="Y453" s="548">
        <f t="shared" si="53"/>
        <v>96</v>
      </c>
      <c r="Z453" s="36">
        <f>IFERROR(IF(Y453=0,"",ROUNDUP(Y453/H453,0)*0.00902),"")</f>
        <v>0.1804</v>
      </c>
      <c r="AA453" s="56"/>
      <c r="AB453" s="57"/>
      <c r="AC453" s="513" t="s">
        <v>704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133.4</v>
      </c>
      <c r="BN453" s="64">
        <f t="shared" si="55"/>
        <v>133.4</v>
      </c>
      <c r="BO453" s="64">
        <f t="shared" si="56"/>
        <v>0.15151515151515152</v>
      </c>
      <c r="BP453" s="64">
        <f t="shared" si="57"/>
        <v>0.15151515151515152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129.09090909090909</v>
      </c>
      <c r="Y454" s="549">
        <f>IFERROR(Y448/H448,"0")+IFERROR(Y449/H449,"0")+IFERROR(Y450/H450,"0")+IFERROR(Y451/H451,"0")+IFERROR(Y452/H452,"0")+IFERROR(Y453/H453,"0")</f>
        <v>132</v>
      </c>
      <c r="Z454" s="549">
        <f>IFERROR(IF(Z448="",0,Z448),"0")+IFERROR(IF(Z449="",0,Z449),"0")+IFERROR(IF(Z450="",0,Z450),"0")+IFERROR(IF(Z451="",0,Z451),"0")+IFERROR(IF(Z452="",0,Z452),"0")+IFERROR(IF(Z453="",0,Z453),"0")</f>
        <v>1.4817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666</v>
      </c>
      <c r="Y455" s="549">
        <f>IFERROR(SUM(Y448:Y453),"0")</f>
        <v>681.12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1500</v>
      </c>
      <c r="Y479" s="548">
        <f>IFERROR(IF(X479="",0,CEILING((X479/$H479),1)*$H479),"")</f>
        <v>1503</v>
      </c>
      <c r="Z479" s="36">
        <f>IFERROR(IF(Y479=0,"",ROUNDUP(Y479/H479,0)*0.01898),"")</f>
        <v>3.1696599999999999</v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1582.3333333333333</v>
      </c>
      <c r="BN479" s="64">
        <f>IFERROR(Y479*I479/H479,"0")</f>
        <v>1585.498</v>
      </c>
      <c r="BO479" s="64">
        <f>IFERROR(1/J479*(X479/H479),"0")</f>
        <v>2.6041666666666665</v>
      </c>
      <c r="BP479" s="64">
        <f>IFERROR(1/J479*(Y479/H479),"0")</f>
        <v>2.609375</v>
      </c>
    </row>
    <row r="480" spans="1:68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166.66666666666666</v>
      </c>
      <c r="Y480" s="549">
        <f>IFERROR(Y479/H479,"0")</f>
        <v>167</v>
      </c>
      <c r="Z480" s="549">
        <f>IFERROR(IF(Z479="",0,Z479),"0")</f>
        <v>3.1696599999999999</v>
      </c>
      <c r="AA480" s="550"/>
      <c r="AB480" s="550"/>
      <c r="AC480" s="550"/>
    </row>
    <row r="481" spans="1:68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1500</v>
      </c>
      <c r="Y481" s="549">
        <f>IFERROR(SUM(Y479:Y479),"0")</f>
        <v>1503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17585.099999999999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17755.46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18591.347053355323</v>
      </c>
      <c r="Y493" s="549">
        <f>IFERROR(SUM(BN22:BN489),"0")</f>
        <v>18772.212000000003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30</v>
      </c>
      <c r="Y494" s="38">
        <f>ROUNDUP(SUM(BP22:BP489),0)</f>
        <v>30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19341.347053355323</v>
      </c>
      <c r="Y495" s="549">
        <f>GrossWeightTotalR+PalletQtyTotalR*25</f>
        <v>19522.212000000003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2909.8658777365667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2939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34.290669999999992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192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1650.6000000000001</v>
      </c>
      <c r="E502" s="46">
        <f>IFERROR(Y85*1,"0")+IFERROR(Y86*1,"0")+IFERROR(Y87*1,"0")+IFERROR(Y88*1,"0")+IFERROR(Y92*1,"0")+IFERROR(Y93*1,"0")+IFERROR(Y94*1,"0")+IFERROR(Y95*1,"0")</f>
        <v>601.20000000000005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1128.5999999999999</v>
      </c>
      <c r="G502" s="46">
        <f>IFERROR(Y127*1,"0")+IFERROR(Y128*1,"0")+IFERROR(Y132*1,"0")+IFERROR(Y133*1,"0")+IFERROR(Y137*1,"0")+IFERROR(Y138*1,"0")</f>
        <v>91.76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464.94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1314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205.49999999999997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201.6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683.4</v>
      </c>
      <c r="R502" s="46">
        <f>IFERROR(Y340*1,"0")+IFERROR(Y341*1,"0")+IFERROR(Y342*1,"0")</f>
        <v>632.1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7494</v>
      </c>
      <c r="T502" s="46">
        <f>IFERROR(Y373*1,"0")+IFERROR(Y374*1,"0")+IFERROR(Y378*1,"0")+IFERROR(Y379*1,"0")+IFERROR(Y383*1,"0")+IFERROR(Y384*1,"0")+IFERROR(Y385*1,"0")</f>
        <v>105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50.400000000000006</v>
      </c>
      <c r="V502" s="46">
        <f>IFERROR(Y409*1,"0")+IFERROR(Y413*1,"0")+IFERROR(Y414*1,"0")+IFERROR(Y415*1,"0")+IFERROR(Y416*1,"0")</f>
        <v>0</v>
      </c>
      <c r="W502" s="46">
        <f>IFERROR(Y421*1,"0")</f>
        <v>20.399999999999999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1608.96</v>
      </c>
      <c r="Y502" s="46">
        <f>IFERROR(Y463*1,"0")+IFERROR(Y464*1,"0")+IFERROR(Y465*1,"0")+IFERROR(Y466*1,"0")+IFERROR(Y470*1,"0")+IFERROR(Y471*1,"0")+IFERROR(Y475*1,"0")+IFERROR(Y479*1,"0")+IFERROR(Y483*1,"0")+IFERROR(Y484*1,"0")</f>
        <v>1503</v>
      </c>
      <c r="Z502" s="46">
        <f>IFERROR(Y489*1,"0")</f>
        <v>0</v>
      </c>
      <c r="AB502" s="52"/>
      <c r="AC502" s="52"/>
      <c r="AF502" s="545"/>
    </row>
  </sheetData>
  <sheetProtection algorithmName="SHA-512" hashValue="QsSWnUZJ3wE2E5IJ9YABsJNai39NhQK7TE6mUi8gHEf7IAkwyS4wEU9u4zDsBVsNx8vTlt87IKYu2hlYp/bLwA==" saltValue="Nyj2iqC/o3ibxhsjYoPB/A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,50"/>
        <filter val="100,00"/>
        <filter val="100,76"/>
        <filter val="105,00"/>
        <filter val="110,00"/>
        <filter val="115,74"/>
        <filter val="12,00"/>
        <filter val="12,50"/>
        <filter val="120,00"/>
        <filter val="129,01"/>
        <filter val="129,09"/>
        <filter val="13,33"/>
        <filter val="136,33"/>
        <filter val="14,00"/>
        <filter val="14,10"/>
        <filter val="146,43"/>
        <filter val="150,00"/>
        <filter val="157,04"/>
        <filter val="158,91"/>
        <filter val="16,67"/>
        <filter val="160,00"/>
        <filter val="166,67"/>
        <filter val="17 585,10"/>
        <filter val="17,50"/>
        <filter val="18 591,35"/>
        <filter val="18,75"/>
        <filter val="180,00"/>
        <filter val="19 341,35"/>
        <filter val="2 000,00"/>
        <filter val="2 012,00"/>
        <filter val="2 400,00"/>
        <filter val="2 909,87"/>
        <filter val="2,22"/>
        <filter val="2,50"/>
        <filter val="2,78"/>
        <filter val="20,00"/>
        <filter val="200,00"/>
        <filter val="202,00"/>
        <filter val="225,00"/>
        <filter val="23,33"/>
        <filter val="239,63"/>
        <filter val="24,00"/>
        <filter val="245,00"/>
        <filter val="245,06"/>
        <filter val="25,93"/>
        <filter val="250,00"/>
        <filter val="27,78"/>
        <filter val="280,00"/>
        <filter val="30"/>
        <filter val="30,00"/>
        <filter val="300,00"/>
        <filter val="315,00"/>
        <filter val="33,33"/>
        <filter val="35,00"/>
        <filter val="350,00"/>
        <filter val="366,00"/>
        <filter val="385,00"/>
        <filter val="39,60"/>
        <filter val="4,17"/>
        <filter val="4,44"/>
        <filter val="40,00"/>
        <filter val="400,00"/>
        <filter val="415,00"/>
        <filter val="422,50"/>
        <filter val="49,00"/>
        <filter val="49,50"/>
        <filter val="490,00"/>
        <filter val="495,00"/>
        <filter val="5 430,00"/>
        <filter val="50,00"/>
        <filter val="500,00"/>
        <filter val="52,50"/>
        <filter val="520,00"/>
        <filter val="54,00"/>
        <filter val="540,00"/>
        <filter val="575,00"/>
        <filter val="60,00"/>
        <filter val="630,00"/>
        <filter val="640,00"/>
        <filter val="666,00"/>
        <filter val="7,00"/>
        <filter val="718,00"/>
        <filter val="75,00"/>
        <filter val="75,76"/>
        <filter val="80,00"/>
        <filter val="80,77"/>
        <filter val="83,33"/>
        <filter val="90,00"/>
        <filter val="940,00"/>
        <filter val="96,00"/>
        <filter val="995,00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7:X169 X171 X173 X176 X203:X210 X216:X217 X219 X221:X222 X226:X227 X232 X234:X235 X239 X279 X307:X309 X320:X322 X328:X329 X333 X335 X341:X342 X364 X373 X383 X395:X396 X398 X421 X427 X431 X433 X442 X448:X453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03Op0c79GQoj8Nq9FuUQpE1kpAtfJY0iOWqNM9np32AaFJiLSyG3ZfKMer4RieK7FXXCorIz1YP/Fxewt8M3w==" saltValue="tIQ0Yx6pBLbW16JgK0h2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2025-12-23T12:28:19Z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