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0E6EB12-9DE7-40EA-A8A7-34E3949CFC9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BP464" i="1"/>
  <c r="BO464" i="1"/>
  <c r="BN464" i="1"/>
  <c r="BM464" i="1"/>
  <c r="Z464" i="1"/>
  <c r="Y464" i="1"/>
  <c r="P464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BP415" i="1" s="1"/>
  <c r="P415" i="1"/>
  <c r="BP414" i="1"/>
  <c r="BO414" i="1"/>
  <c r="BN414" i="1"/>
  <c r="BM414" i="1"/>
  <c r="Z414" i="1"/>
  <c r="Y414" i="1"/>
  <c r="P414" i="1"/>
  <c r="X412" i="1"/>
  <c r="Y411" i="1"/>
  <c r="X411" i="1"/>
  <c r="BP410" i="1"/>
  <c r="BO410" i="1"/>
  <c r="BN410" i="1"/>
  <c r="BM410" i="1"/>
  <c r="Z410" i="1"/>
  <c r="Z411" i="1" s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O359" i="1"/>
  <c r="BM359" i="1"/>
  <c r="Y359" i="1"/>
  <c r="Y361" i="1" s="1"/>
  <c r="P359" i="1"/>
  <c r="X357" i="1"/>
  <c r="X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P301" i="1"/>
  <c r="BO301" i="1"/>
  <c r="BN301" i="1"/>
  <c r="BM301" i="1"/>
  <c r="Z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P286" i="1"/>
  <c r="BO286" i="1"/>
  <c r="BN286" i="1"/>
  <c r="BM286" i="1"/>
  <c r="Z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O262" i="1"/>
  <c r="BM262" i="1"/>
  <c r="Y262" i="1"/>
  <c r="P262" i="1"/>
  <c r="BO261" i="1"/>
  <c r="BM261" i="1"/>
  <c r="Y261" i="1"/>
  <c r="P261" i="1"/>
  <c r="X258" i="1"/>
  <c r="X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O252" i="1"/>
  <c r="BM252" i="1"/>
  <c r="Y252" i="1"/>
  <c r="Y258" i="1" s="1"/>
  <c r="P252" i="1"/>
  <c r="X250" i="1"/>
  <c r="X249" i="1"/>
  <c r="BO248" i="1"/>
  <c r="BM248" i="1"/>
  <c r="Y248" i="1"/>
  <c r="Y250" i="1" s="1"/>
  <c r="P248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BP227" i="1" s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P184" i="1"/>
  <c r="BO183" i="1"/>
  <c r="BM183" i="1"/>
  <c r="Y183" i="1"/>
  <c r="BP183" i="1" s="1"/>
  <c r="P183" i="1"/>
  <c r="BO182" i="1"/>
  <c r="BM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Y154" i="1" s="1"/>
  <c r="X146" i="1"/>
  <c r="X145" i="1"/>
  <c r="BO144" i="1"/>
  <c r="BM144" i="1"/>
  <c r="Y144" i="1"/>
  <c r="BP144" i="1" s="1"/>
  <c r="P144" i="1"/>
  <c r="BO143" i="1"/>
  <c r="BM143" i="1"/>
  <c r="Y143" i="1"/>
  <c r="BP143" i="1" s="1"/>
  <c r="P143" i="1"/>
  <c r="X140" i="1"/>
  <c r="X139" i="1"/>
  <c r="BO138" i="1"/>
  <c r="BM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Y44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Y33" i="1" s="1"/>
  <c r="P27" i="1"/>
  <c r="X25" i="1"/>
  <c r="X493" i="1" s="1"/>
  <c r="X24" i="1"/>
  <c r="BP23" i="1"/>
  <c r="BO23" i="1"/>
  <c r="BN23" i="1"/>
  <c r="BM23" i="1"/>
  <c r="Z23" i="1"/>
  <c r="Y23" i="1"/>
  <c r="P23" i="1"/>
  <c r="BO22" i="1"/>
  <c r="BM22" i="1"/>
  <c r="X494" i="1" s="1"/>
  <c r="Y22" i="1"/>
  <c r="P22" i="1"/>
  <c r="H10" i="1"/>
  <c r="A9" i="1"/>
  <c r="A10" i="1" s="1"/>
  <c r="D7" i="1"/>
  <c r="Q6" i="1"/>
  <c r="P2" i="1"/>
  <c r="BP101" i="1" l="1"/>
  <c r="BN101" i="1"/>
  <c r="Z101" i="1"/>
  <c r="BP138" i="1"/>
  <c r="BN138" i="1"/>
  <c r="Z138" i="1"/>
  <c r="BP174" i="1"/>
  <c r="BN174" i="1"/>
  <c r="Z174" i="1"/>
  <c r="BP205" i="1"/>
  <c r="BN205" i="1"/>
  <c r="Z205" i="1"/>
  <c r="BP232" i="1"/>
  <c r="BN232" i="1"/>
  <c r="Z232" i="1"/>
  <c r="BP272" i="1"/>
  <c r="BN272" i="1"/>
  <c r="Z272" i="1"/>
  <c r="BP307" i="1"/>
  <c r="BN307" i="1"/>
  <c r="Z307" i="1"/>
  <c r="BP335" i="1"/>
  <c r="BN335" i="1"/>
  <c r="Z335" i="1"/>
  <c r="BP385" i="1"/>
  <c r="BN385" i="1"/>
  <c r="Z385" i="1"/>
  <c r="Y424" i="1"/>
  <c r="Y423" i="1"/>
  <c r="BP422" i="1"/>
  <c r="BN422" i="1"/>
  <c r="Z422" i="1"/>
  <c r="Z423" i="1" s="1"/>
  <c r="BP428" i="1"/>
  <c r="BN428" i="1"/>
  <c r="Z428" i="1"/>
  <c r="BP452" i="1"/>
  <c r="BN452" i="1"/>
  <c r="Z452" i="1"/>
  <c r="Z29" i="1"/>
  <c r="BN29" i="1"/>
  <c r="Z47" i="1"/>
  <c r="Z48" i="1" s="1"/>
  <c r="BN47" i="1"/>
  <c r="BP47" i="1"/>
  <c r="Y48" i="1"/>
  <c r="Z52" i="1"/>
  <c r="BN52" i="1"/>
  <c r="Y59" i="1"/>
  <c r="Z68" i="1"/>
  <c r="BN68" i="1"/>
  <c r="Y76" i="1"/>
  <c r="Z86" i="1"/>
  <c r="BN86" i="1"/>
  <c r="BP115" i="1"/>
  <c r="BN115" i="1"/>
  <c r="Z115" i="1"/>
  <c r="BP152" i="1"/>
  <c r="BN152" i="1"/>
  <c r="Z152" i="1"/>
  <c r="BP184" i="1"/>
  <c r="BN184" i="1"/>
  <c r="Z184" i="1"/>
  <c r="Y223" i="1"/>
  <c r="BP217" i="1"/>
  <c r="BN217" i="1"/>
  <c r="Z217" i="1"/>
  <c r="BP255" i="1"/>
  <c r="BN255" i="1"/>
  <c r="Z255" i="1"/>
  <c r="BP297" i="1"/>
  <c r="BN297" i="1"/>
  <c r="Z297" i="1"/>
  <c r="BP321" i="1"/>
  <c r="BN321" i="1"/>
  <c r="Z321" i="1"/>
  <c r="BP354" i="1"/>
  <c r="BN354" i="1"/>
  <c r="Z354" i="1"/>
  <c r="BP399" i="1"/>
  <c r="BN399" i="1"/>
  <c r="Z399" i="1"/>
  <c r="BP436" i="1"/>
  <c r="BN436" i="1"/>
  <c r="Z436" i="1"/>
  <c r="BP472" i="1"/>
  <c r="BN472" i="1"/>
  <c r="Z472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Y120" i="1"/>
  <c r="I503" i="1"/>
  <c r="Y180" i="1"/>
  <c r="BP253" i="1"/>
  <c r="BN253" i="1"/>
  <c r="Z253" i="1"/>
  <c r="BP270" i="1"/>
  <c r="BN270" i="1"/>
  <c r="Z270" i="1"/>
  <c r="Y292" i="1"/>
  <c r="BP290" i="1"/>
  <c r="BN290" i="1"/>
  <c r="Z290" i="1"/>
  <c r="BP305" i="1"/>
  <c r="BN305" i="1"/>
  <c r="Z305" i="1"/>
  <c r="BP317" i="1"/>
  <c r="BN317" i="1"/>
  <c r="Z317" i="1"/>
  <c r="BP329" i="1"/>
  <c r="BN329" i="1"/>
  <c r="Z329" i="1"/>
  <c r="BP352" i="1"/>
  <c r="BN352" i="1"/>
  <c r="Z352" i="1"/>
  <c r="Y381" i="1"/>
  <c r="BP379" i="1"/>
  <c r="BN379" i="1"/>
  <c r="Z379" i="1"/>
  <c r="BP397" i="1"/>
  <c r="BN397" i="1"/>
  <c r="Z397" i="1"/>
  <c r="BP416" i="1"/>
  <c r="BN416" i="1"/>
  <c r="Z416" i="1"/>
  <c r="BP434" i="1"/>
  <c r="BN434" i="1"/>
  <c r="Z434" i="1"/>
  <c r="BP450" i="1"/>
  <c r="BN450" i="1"/>
  <c r="Z450" i="1"/>
  <c r="BP466" i="1"/>
  <c r="BN466" i="1"/>
  <c r="Z466" i="1"/>
  <c r="B503" i="1"/>
  <c r="X495" i="1"/>
  <c r="X496" i="1" s="1"/>
  <c r="X497" i="1"/>
  <c r="Z27" i="1"/>
  <c r="BN27" i="1"/>
  <c r="BP27" i="1"/>
  <c r="Y32" i="1"/>
  <c r="Z31" i="1"/>
  <c r="BN31" i="1"/>
  <c r="Z43" i="1"/>
  <c r="BN43" i="1"/>
  <c r="Z54" i="1"/>
  <c r="BN54" i="1"/>
  <c r="Z62" i="1"/>
  <c r="BN62" i="1"/>
  <c r="Z72" i="1"/>
  <c r="BN72" i="1"/>
  <c r="BP72" i="1"/>
  <c r="Y77" i="1"/>
  <c r="Z80" i="1"/>
  <c r="BN80" i="1"/>
  <c r="Z88" i="1"/>
  <c r="BN88" i="1"/>
  <c r="Y96" i="1"/>
  <c r="Z94" i="1"/>
  <c r="BN94" i="1"/>
  <c r="Z103" i="1"/>
  <c r="BN103" i="1"/>
  <c r="Z111" i="1"/>
  <c r="BN111" i="1"/>
  <c r="Z117" i="1"/>
  <c r="BN117" i="1"/>
  <c r="Z132" i="1"/>
  <c r="BN132" i="1"/>
  <c r="BP132" i="1"/>
  <c r="Z143" i="1"/>
  <c r="BN143" i="1"/>
  <c r="Z148" i="1"/>
  <c r="BN148" i="1"/>
  <c r="BP148" i="1"/>
  <c r="Z149" i="1"/>
  <c r="BN149" i="1"/>
  <c r="Z150" i="1"/>
  <c r="BN150" i="1"/>
  <c r="Z168" i="1"/>
  <c r="BN168" i="1"/>
  <c r="Z172" i="1"/>
  <c r="BN172" i="1"/>
  <c r="Z176" i="1"/>
  <c r="BN176" i="1"/>
  <c r="Z182" i="1"/>
  <c r="BN182" i="1"/>
  <c r="BP182" i="1"/>
  <c r="Z188" i="1"/>
  <c r="Z189" i="1" s="1"/>
  <c r="BN188" i="1"/>
  <c r="BP188" i="1"/>
  <c r="Y189" i="1"/>
  <c r="Z193" i="1"/>
  <c r="BN193" i="1"/>
  <c r="Z203" i="1"/>
  <c r="BN203" i="1"/>
  <c r="BP203" i="1"/>
  <c r="Z207" i="1"/>
  <c r="BN207" i="1"/>
  <c r="Z215" i="1"/>
  <c r="BN215" i="1"/>
  <c r="Z219" i="1"/>
  <c r="BN219" i="1"/>
  <c r="Z227" i="1"/>
  <c r="BN227" i="1"/>
  <c r="Y241" i="1"/>
  <c r="Z234" i="1"/>
  <c r="BN234" i="1"/>
  <c r="BP236" i="1"/>
  <c r="BN236" i="1"/>
  <c r="Z236" i="1"/>
  <c r="L503" i="1"/>
  <c r="BP262" i="1"/>
  <c r="BN262" i="1"/>
  <c r="Z262" i="1"/>
  <c r="BP279" i="1"/>
  <c r="BN279" i="1"/>
  <c r="Z279" i="1"/>
  <c r="BP299" i="1"/>
  <c r="BN299" i="1"/>
  <c r="Z299" i="1"/>
  <c r="BP309" i="1"/>
  <c r="BN309" i="1"/>
  <c r="Z309" i="1"/>
  <c r="BP323" i="1"/>
  <c r="BN323" i="1"/>
  <c r="Z323" i="1"/>
  <c r="BP342" i="1"/>
  <c r="BN342" i="1"/>
  <c r="Z342" i="1"/>
  <c r="BP360" i="1"/>
  <c r="BN360" i="1"/>
  <c r="Z360" i="1"/>
  <c r="BP364" i="1"/>
  <c r="BN364" i="1"/>
  <c r="Z364" i="1"/>
  <c r="BP393" i="1"/>
  <c r="BN393" i="1"/>
  <c r="Z393" i="1"/>
  <c r="BP405" i="1"/>
  <c r="BN405" i="1"/>
  <c r="Z405" i="1"/>
  <c r="BP430" i="1"/>
  <c r="BN430" i="1"/>
  <c r="Z430" i="1"/>
  <c r="BP438" i="1"/>
  <c r="BN438" i="1"/>
  <c r="Z438" i="1"/>
  <c r="BP454" i="1"/>
  <c r="BN454" i="1"/>
  <c r="Z454" i="1"/>
  <c r="Y331" i="1"/>
  <c r="X503" i="1"/>
  <c r="W503" i="1"/>
  <c r="F9" i="1"/>
  <c r="J9" i="1"/>
  <c r="F10" i="1"/>
  <c r="Z22" i="1"/>
  <c r="Z24" i="1" s="1"/>
  <c r="BN22" i="1"/>
  <c r="BP22" i="1"/>
  <c r="Y25" i="1"/>
  <c r="Z28" i="1"/>
  <c r="BN28" i="1"/>
  <c r="BP28" i="1"/>
  <c r="Z30" i="1"/>
  <c r="BN30" i="1"/>
  <c r="C503" i="1"/>
  <c r="Z42" i="1"/>
  <c r="BN42" i="1"/>
  <c r="BP42" i="1"/>
  <c r="Y45" i="1"/>
  <c r="D503" i="1"/>
  <c r="Z53" i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BN67" i="1"/>
  <c r="BP67" i="1"/>
  <c r="Y70" i="1"/>
  <c r="Z73" i="1"/>
  <c r="BN73" i="1"/>
  <c r="BP73" i="1"/>
  <c r="Z75" i="1"/>
  <c r="BN75" i="1"/>
  <c r="Z79" i="1"/>
  <c r="BN79" i="1"/>
  <c r="BP79" i="1"/>
  <c r="Y82" i="1"/>
  <c r="E503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3" i="1"/>
  <c r="Y130" i="1"/>
  <c r="BP127" i="1"/>
  <c r="BN127" i="1"/>
  <c r="Z127" i="1"/>
  <c r="Z129" i="1" s="1"/>
  <c r="Y129" i="1"/>
  <c r="H9" i="1"/>
  <c r="Y24" i="1"/>
  <c r="BP87" i="1"/>
  <c r="BN87" i="1"/>
  <c r="Z87" i="1"/>
  <c r="BP95" i="1"/>
  <c r="BN95" i="1"/>
  <c r="Z95" i="1"/>
  <c r="Y97" i="1"/>
  <c r="F503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Y135" i="1"/>
  <c r="Y139" i="1"/>
  <c r="Y146" i="1"/>
  <c r="Y155" i="1"/>
  <c r="Y159" i="1"/>
  <c r="Y165" i="1"/>
  <c r="Y179" i="1"/>
  <c r="Y185" i="1"/>
  <c r="Y196" i="1"/>
  <c r="Y200" i="1"/>
  <c r="Y212" i="1"/>
  <c r="Y224" i="1"/>
  <c r="Y228" i="1"/>
  <c r="Z238" i="1"/>
  <c r="BN238" i="1"/>
  <c r="Z240" i="1"/>
  <c r="BN240" i="1"/>
  <c r="Z244" i="1"/>
  <c r="Z245" i="1" s="1"/>
  <c r="BN244" i="1"/>
  <c r="BP244" i="1"/>
  <c r="Y245" i="1"/>
  <c r="Z248" i="1"/>
  <c r="Z249" i="1" s="1"/>
  <c r="BN248" i="1"/>
  <c r="BP248" i="1"/>
  <c r="Y249" i="1"/>
  <c r="Z252" i="1"/>
  <c r="BN252" i="1"/>
  <c r="BP252" i="1"/>
  <c r="Z254" i="1"/>
  <c r="BN254" i="1"/>
  <c r="Z256" i="1"/>
  <c r="BN256" i="1"/>
  <c r="Y257" i="1"/>
  <c r="Z261" i="1"/>
  <c r="BN261" i="1"/>
  <c r="BP261" i="1"/>
  <c r="Z263" i="1"/>
  <c r="BN263" i="1"/>
  <c r="Z265" i="1"/>
  <c r="BN265" i="1"/>
  <c r="Y266" i="1"/>
  <c r="BP271" i="1"/>
  <c r="BN271" i="1"/>
  <c r="Z271" i="1"/>
  <c r="BP280" i="1"/>
  <c r="BN280" i="1"/>
  <c r="Z280" i="1"/>
  <c r="Y282" i="1"/>
  <c r="P503" i="1"/>
  <c r="Y288" i="1"/>
  <c r="BP285" i="1"/>
  <c r="BN285" i="1"/>
  <c r="Z285" i="1"/>
  <c r="Z287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BP330" i="1"/>
  <c r="BN330" i="1"/>
  <c r="Z330" i="1"/>
  <c r="Y332" i="1"/>
  <c r="Y337" i="1"/>
  <c r="BP334" i="1"/>
  <c r="BN334" i="1"/>
  <c r="Z334" i="1"/>
  <c r="BP343" i="1"/>
  <c r="BN343" i="1"/>
  <c r="Z343" i="1"/>
  <c r="Y345" i="1"/>
  <c r="Y356" i="1"/>
  <c r="BP349" i="1"/>
  <c r="BN349" i="1"/>
  <c r="Z349" i="1"/>
  <c r="S503" i="1"/>
  <c r="BP353" i="1"/>
  <c r="BN353" i="1"/>
  <c r="Z353" i="1"/>
  <c r="BP365" i="1"/>
  <c r="BN365" i="1"/>
  <c r="Z365" i="1"/>
  <c r="Z366" i="1" s="1"/>
  <c r="Y367" i="1"/>
  <c r="Y370" i="1"/>
  <c r="BP369" i="1"/>
  <c r="BN369" i="1"/>
  <c r="Z369" i="1"/>
  <c r="Z370" i="1" s="1"/>
  <c r="Y371" i="1"/>
  <c r="T503" i="1"/>
  <c r="Y377" i="1"/>
  <c r="BP374" i="1"/>
  <c r="BN374" i="1"/>
  <c r="Z374" i="1"/>
  <c r="Z376" i="1" s="1"/>
  <c r="BP386" i="1"/>
  <c r="BN386" i="1"/>
  <c r="Z386" i="1"/>
  <c r="Y388" i="1"/>
  <c r="U503" i="1"/>
  <c r="Y401" i="1"/>
  <c r="BP392" i="1"/>
  <c r="BN392" i="1"/>
  <c r="Z392" i="1"/>
  <c r="BP396" i="1"/>
  <c r="BN396" i="1"/>
  <c r="Z396" i="1"/>
  <c r="BP400" i="1"/>
  <c r="BN400" i="1"/>
  <c r="Z400" i="1"/>
  <c r="Y402" i="1"/>
  <c r="Y407" i="1"/>
  <c r="BP404" i="1"/>
  <c r="BN404" i="1"/>
  <c r="Z404" i="1"/>
  <c r="Y406" i="1"/>
  <c r="Z133" i="1"/>
  <c r="BN133" i="1"/>
  <c r="Z137" i="1"/>
  <c r="BN137" i="1"/>
  <c r="BP137" i="1"/>
  <c r="H503" i="1"/>
  <c r="Z144" i="1"/>
  <c r="Z145" i="1" s="1"/>
  <c r="BN144" i="1"/>
  <c r="Y145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7" i="1"/>
  <c r="BN167" i="1"/>
  <c r="BP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503" i="1"/>
  <c r="Z194" i="1"/>
  <c r="Z195" i="1" s="1"/>
  <c r="BN194" i="1"/>
  <c r="Y195" i="1"/>
  <c r="Z198" i="1"/>
  <c r="Z200" i="1" s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503" i="1"/>
  <c r="Z233" i="1"/>
  <c r="BN233" i="1"/>
  <c r="Z235" i="1"/>
  <c r="BN235" i="1"/>
  <c r="Z237" i="1"/>
  <c r="BN237" i="1"/>
  <c r="Y242" i="1"/>
  <c r="Y267" i="1"/>
  <c r="BP273" i="1"/>
  <c r="BN273" i="1"/>
  <c r="Z273" i="1"/>
  <c r="Y275" i="1"/>
  <c r="Y281" i="1"/>
  <c r="BP278" i="1"/>
  <c r="BN278" i="1"/>
  <c r="Z278" i="1"/>
  <c r="O503" i="1"/>
  <c r="Y287" i="1"/>
  <c r="BP291" i="1"/>
  <c r="BN291" i="1"/>
  <c r="Z291" i="1"/>
  <c r="Z292" i="1" s="1"/>
  <c r="Y293" i="1"/>
  <c r="Q50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Y324" i="1"/>
  <c r="BP328" i="1"/>
  <c r="BN328" i="1"/>
  <c r="Z328" i="1"/>
  <c r="BP336" i="1"/>
  <c r="BN336" i="1"/>
  <c r="Z336" i="1"/>
  <c r="Y338" i="1"/>
  <c r="R503" i="1"/>
  <c r="Y344" i="1"/>
  <c r="BP341" i="1"/>
  <c r="BN341" i="1"/>
  <c r="Z341" i="1"/>
  <c r="Z344" i="1" s="1"/>
  <c r="BP351" i="1"/>
  <c r="BN351" i="1"/>
  <c r="Z351" i="1"/>
  <c r="BP355" i="1"/>
  <c r="BN355" i="1"/>
  <c r="Z355" i="1"/>
  <c r="Y357" i="1"/>
  <c r="Y362" i="1"/>
  <c r="BP359" i="1"/>
  <c r="BN359" i="1"/>
  <c r="Z359" i="1"/>
  <c r="Z361" i="1" s="1"/>
  <c r="Y366" i="1"/>
  <c r="Y376" i="1"/>
  <c r="BP380" i="1"/>
  <c r="BN380" i="1"/>
  <c r="Z380" i="1"/>
  <c r="Z381" i="1" s="1"/>
  <c r="Y382" i="1"/>
  <c r="Y387" i="1"/>
  <c r="BP384" i="1"/>
  <c r="BN384" i="1"/>
  <c r="Z384" i="1"/>
  <c r="BP394" i="1"/>
  <c r="BN394" i="1"/>
  <c r="Z394" i="1"/>
  <c r="BP398" i="1"/>
  <c r="BN398" i="1"/>
  <c r="Z398" i="1"/>
  <c r="BP431" i="1"/>
  <c r="BN431" i="1"/>
  <c r="Z431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5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M503" i="1"/>
  <c r="Y274" i="1"/>
  <c r="V503" i="1"/>
  <c r="Y412" i="1"/>
  <c r="Y419" i="1"/>
  <c r="Z415" i="1"/>
  <c r="BN415" i="1"/>
  <c r="Z417" i="1"/>
  <c r="BN417" i="1"/>
  <c r="Y418" i="1"/>
  <c r="BP429" i="1"/>
  <c r="BN429" i="1"/>
  <c r="Z429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BP453" i="1"/>
  <c r="BN453" i="1"/>
  <c r="Z453" i="1"/>
  <c r="Y468" i="1"/>
  <c r="BP467" i="1"/>
  <c r="BN467" i="1"/>
  <c r="Z467" i="1"/>
  <c r="Y469" i="1"/>
  <c r="Y474" i="1"/>
  <c r="BP471" i="1"/>
  <c r="BN471" i="1"/>
  <c r="Z471" i="1"/>
  <c r="Y486" i="1"/>
  <c r="Y503" i="1"/>
  <c r="Y440" i="1"/>
  <c r="Z473" i="1" l="1"/>
  <c r="Z387" i="1"/>
  <c r="Z331" i="1"/>
  <c r="Z281" i="1"/>
  <c r="Z223" i="1"/>
  <c r="Z179" i="1"/>
  <c r="Z139" i="1"/>
  <c r="Z134" i="1"/>
  <c r="Z406" i="1"/>
  <c r="Z324" i="1"/>
  <c r="Z274" i="1"/>
  <c r="Z119" i="1"/>
  <c r="Z112" i="1"/>
  <c r="Z76" i="1"/>
  <c r="Z69" i="1"/>
  <c r="Z58" i="1"/>
  <c r="Z211" i="1"/>
  <c r="Z311" i="1"/>
  <c r="Z418" i="1"/>
  <c r="Z468" i="1"/>
  <c r="Z241" i="1"/>
  <c r="Z154" i="1"/>
  <c r="Z81" i="1"/>
  <c r="Z44" i="1"/>
  <c r="Z32" i="1"/>
  <c r="Z498" i="1" s="1"/>
  <c r="Z455" i="1"/>
  <c r="Z440" i="1"/>
  <c r="Z446" i="1"/>
  <c r="Z302" i="1"/>
  <c r="Z401" i="1"/>
  <c r="Z318" i="1"/>
  <c r="Z266" i="1"/>
  <c r="Z257" i="1"/>
  <c r="Z105" i="1"/>
  <c r="Y497" i="1"/>
  <c r="Z64" i="1"/>
  <c r="Y493" i="1"/>
  <c r="Y494" i="1"/>
  <c r="Z356" i="1"/>
  <c r="Z337" i="1"/>
  <c r="Z96" i="1"/>
  <c r="Z89" i="1"/>
  <c r="Y495" i="1"/>
  <c r="Y496" i="1" l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<sst xmlns="http://schemas.openxmlformats.org/spreadsheetml/2006/main" count="2367" uniqueCount="778">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</sst>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3" sqref="AA43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46016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Четверг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0.41666666666666669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120</v>
      </c>
      <c r="Y43" s="550">
        <f>IFERROR(IF(X43="",0,CEILING((X43/$H43),1)*$H43),"")</f>
        <v>120</v>
      </c>
      <c r="Z43" s="36">
        <f>IFERROR(IF(Y43=0,"",ROUNDUP(Y43/H43,0)*0.00902),"")</f>
        <v>0.27060000000000001</v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125.70000000000002</v>
      </c>
      <c r="BN43" s="64">
        <f>IFERROR(Y43*I43/H43,"0")</f>
        <v>125.70000000000002</v>
      </c>
      <c r="BO43" s="64">
        <f>IFERROR(1/J43*(X43/H43),"0")</f>
        <v>0.22727272727272729</v>
      </c>
      <c r="BP43" s="64">
        <f>IFERROR(1/J43*(Y43/H43),"0")</f>
        <v>0.22727272727272729</v>
      </c>
    </row>
    <row r="44" spans="1:68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30</v>
      </c>
      <c r="Y44" s="551">
        <f>IFERROR(Y41/H41,"0")+IFERROR(Y42/H42,"0")+IFERROR(Y43/H43,"0")</f>
        <v>30</v>
      </c>
      <c r="Z44" s="551">
        <f>IFERROR(IF(Z41="",0,Z41),"0")+IFERROR(IF(Z42="",0,Z42),"0")+IFERROR(IF(Z43="",0,Z43),"0")</f>
        <v>0.27060000000000001</v>
      </c>
      <c r="AA44" s="552"/>
      <c r="AB44" s="552"/>
      <c r="AC44" s="552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120</v>
      </c>
      <c r="Y45" s="551">
        <f>IFERROR(SUM(Y41:Y43),"0")</f>
        <v>120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1080</v>
      </c>
      <c r="Y61" s="550">
        <f>IFERROR(IF(X61="",0,CEILING((X61/$H61),1)*$H61),"")</f>
        <v>1080</v>
      </c>
      <c r="Z61" s="36">
        <f>IFERROR(IF(Y61=0,"",ROUNDUP(Y61/H61,0)*0.01898),"")</f>
        <v>1.8980000000000001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1121</v>
      </c>
      <c r="BN61" s="64">
        <f>IFERROR(Y61*I61/H61,"0")</f>
        <v>1121</v>
      </c>
      <c r="BO61" s="64">
        <f>IFERROR(1/J61*(X61/H61),"0")</f>
        <v>1.5625</v>
      </c>
      <c r="BP61" s="64">
        <f>IFERROR(1/J61*(Y61/H61),"0")</f>
        <v>1.5625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491</v>
      </c>
      <c r="Y63" s="550">
        <f>IFERROR(IF(X63="",0,CEILING((X63/$H63),1)*$H63),"")</f>
        <v>491.40000000000003</v>
      </c>
      <c r="Z63" s="36">
        <f>IFERROR(IF(Y63=0,"",ROUNDUP(Y63/H63,0)*0.00651),"")</f>
        <v>1.18482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523.73333333333323</v>
      </c>
      <c r="BN63" s="64">
        <f>IFERROR(Y63*I63/H63,"0")</f>
        <v>524.16</v>
      </c>
      <c r="BO63" s="64">
        <f>IFERROR(1/J63*(X63/H63),"0")</f>
        <v>0.99918599918599926</v>
      </c>
      <c r="BP63" s="64">
        <f>IFERROR(1/J63*(Y63/H63),"0")</f>
        <v>1</v>
      </c>
    </row>
    <row r="64" spans="1:68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281.85185185185185</v>
      </c>
      <c r="Y64" s="551">
        <f>IFERROR(Y61/H61,"0")+IFERROR(Y62/H62,"0")+IFERROR(Y63/H63,"0")</f>
        <v>282</v>
      </c>
      <c r="Z64" s="551">
        <f>IFERROR(IF(Z61="",0,Z61),"0")+IFERROR(IF(Z62="",0,Z62),"0")+IFERROR(IF(Z63="",0,Z63),"0")</f>
        <v>3.0828199999999999</v>
      </c>
      <c r="AA64" s="552"/>
      <c r="AB64" s="552"/>
      <c r="AC64" s="552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1571</v>
      </c>
      <c r="Y65" s="551">
        <f>IFERROR(SUM(Y61:Y63),"0")</f>
        <v>1571.4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225</v>
      </c>
      <c r="Y88" s="550">
        <f>IFERROR(IF(X88="",0,CEILING((X88/$H88),1)*$H88),"")</f>
        <v>225</v>
      </c>
      <c r="Z88" s="36">
        <f>IFERROR(IF(Y88=0,"",ROUNDUP(Y88/H88,0)*0.00902),"")</f>
        <v>0.45100000000000001</v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234.5</v>
      </c>
      <c r="BN88" s="64">
        <f>IFERROR(Y88*I88/H88,"0")</f>
        <v>234.5</v>
      </c>
      <c r="BO88" s="64">
        <f>IFERROR(1/J88*(X88/H88),"0")</f>
        <v>0.37878787878787878</v>
      </c>
      <c r="BP88" s="64">
        <f>IFERROR(1/J88*(Y88/H88),"0")</f>
        <v>0.37878787878787878</v>
      </c>
    </row>
    <row r="89" spans="1:68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50</v>
      </c>
      <c r="Y89" s="551">
        <f>IFERROR(Y85/H85,"0")+IFERROR(Y86/H86,"0")+IFERROR(Y87/H87,"0")+IFERROR(Y88/H88,"0")</f>
        <v>50</v>
      </c>
      <c r="Z89" s="551">
        <f>IFERROR(IF(Z85="",0,Z85),"0")+IFERROR(IF(Z86="",0,Z86),"0")+IFERROR(IF(Z87="",0,Z87),"0")+IFERROR(IF(Z88="",0,Z88),"0")</f>
        <v>0.45100000000000001</v>
      </c>
      <c r="AA89" s="552"/>
      <c r="AB89" s="552"/>
      <c r="AC89" s="552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225</v>
      </c>
      <c r="Y90" s="551">
        <f>IFERROR(SUM(Y85:Y88),"0")</f>
        <v>225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hidden="1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0</v>
      </c>
      <c r="Y112" s="551">
        <f>IFERROR(Y108/H108,"0")+IFERROR(Y109/H109,"0")+IFERROR(Y110/H110,"0")+IFERROR(Y111/H111,"0")</f>
        <v>0</v>
      </c>
      <c r="Z112" s="551">
        <f>IFERROR(IF(Z108="",0,Z108),"0")+IFERROR(IF(Z109="",0,Z109),"0")+IFERROR(IF(Z110="",0,Z110),"0")+IFERROR(IF(Z111="",0,Z111),"0")</f>
        <v>0</v>
      </c>
      <c r="AA112" s="552"/>
      <c r="AB112" s="552"/>
      <c r="AC112" s="552"/>
    </row>
    <row r="113" spans="1:68" hidden="1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0</v>
      </c>
      <c r="Y113" s="551">
        <f>IFERROR(SUM(Y108:Y111),"0")</f>
        <v>0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500</v>
      </c>
      <c r="Y115" s="550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61.728395061728399</v>
      </c>
      <c r="Y119" s="551">
        <f>IFERROR(Y115/H115,"0")+IFERROR(Y116/H116,"0")+IFERROR(Y117/H117,"0")+IFERROR(Y118/H118,"0")</f>
        <v>62</v>
      </c>
      <c r="Z119" s="551">
        <f>IFERROR(IF(Z115="",0,Z115),"0")+IFERROR(IF(Z116="",0,Z116),"0")+IFERROR(IF(Z117="",0,Z117),"0")+IFERROR(IF(Z118="",0,Z118),"0")</f>
        <v>1.17676</v>
      </c>
      <c r="AA119" s="552"/>
      <c r="AB119" s="552"/>
      <c r="AC119" s="552"/>
    </row>
    <row r="120" spans="1:68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500</v>
      </c>
      <c r="Y120" s="551">
        <f>IFERROR(SUM(Y115:Y118),"0")</f>
        <v>502.2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hidden="1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0</v>
      </c>
      <c r="Y129" s="551">
        <f>IFERROR(Y127/H127,"0")+IFERROR(Y128/H128,"0")</f>
        <v>0</v>
      </c>
      <c r="Z129" s="551">
        <f>IFERROR(IF(Z127="",0,Z127),"0")+IFERROR(IF(Z128="",0,Z128),"0")</f>
        <v>0</v>
      </c>
      <c r="AA129" s="552"/>
      <c r="AB129" s="552"/>
      <c r="AC129" s="552"/>
    </row>
    <row r="130" spans="1:68" hidden="1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0</v>
      </c>
      <c r="Y130" s="551">
        <f>IFERROR(SUM(Y127:Y128),"0")</f>
        <v>0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0</v>
      </c>
      <c r="Y134" s="551">
        <f>IFERROR(Y132/H132,"0")+IFERROR(Y133/H133,"0")</f>
        <v>0</v>
      </c>
      <c r="Z134" s="551">
        <f>IFERROR(IF(Z132="",0,Z132),"0")+IFERROR(IF(Z133="",0,Z133),"0")</f>
        <v>0</v>
      </c>
      <c r="AA134" s="552"/>
      <c r="AB134" s="552"/>
      <c r="AC134" s="552"/>
    </row>
    <row r="135" spans="1:68" hidden="1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0</v>
      </c>
      <c r="Y135" s="551">
        <f>IFERROR(SUM(Y132:Y133),"0")</f>
        <v>0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0</v>
      </c>
      <c r="Y139" s="551">
        <f>IFERROR(Y137/H137,"0")+IFERROR(Y138/H138,"0")</f>
        <v>0</v>
      </c>
      <c r="Z139" s="551">
        <f>IFERROR(IF(Z137="",0,Z137),"0")+IFERROR(IF(Z138="",0,Z138),"0")</f>
        <v>0</v>
      </c>
      <c r="AA139" s="552"/>
      <c r="AB139" s="552"/>
      <c r="AC139" s="552"/>
    </row>
    <row r="140" spans="1:68" hidden="1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0</v>
      </c>
      <c r="Y140" s="551">
        <f>IFERROR(SUM(Y137:Y138),"0")</f>
        <v>0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25</v>
      </c>
      <c r="Y152" s="550">
        <f t="shared" si="5"/>
        <v>25.200000000000003</v>
      </c>
      <c r="Z152" s="36">
        <f>IFERROR(IF(Y152=0,"",ROUNDUP(Y152/H152,0)*0.00651),"")</f>
        <v>3.9059999999999997E-2</v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26.607142857142858</v>
      </c>
      <c r="BN152" s="64">
        <f t="shared" si="7"/>
        <v>26.82</v>
      </c>
      <c r="BO152" s="64">
        <f t="shared" si="8"/>
        <v>3.2705389848246995E-2</v>
      </c>
      <c r="BP152" s="64">
        <f t="shared" si="9"/>
        <v>3.2967032967032968E-2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250</v>
      </c>
      <c r="Y153" s="550">
        <f t="shared" si="5"/>
        <v>252</v>
      </c>
      <c r="Z153" s="36">
        <f>IFERROR(IF(Y153=0,"",ROUNDUP(Y153/H153,0)*0.01898),"")</f>
        <v>0.53144000000000002</v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265.55555555555554</v>
      </c>
      <c r="BN153" s="64">
        <f t="shared" si="7"/>
        <v>267.68000000000006</v>
      </c>
      <c r="BO153" s="64">
        <f t="shared" si="8"/>
        <v>0.43402777777777779</v>
      </c>
      <c r="BP153" s="64">
        <f t="shared" si="9"/>
        <v>0.4375</v>
      </c>
    </row>
    <row r="154" spans="1:68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33.730158730158735</v>
      </c>
      <c r="Y154" s="551">
        <f>IFERROR(Y148/H148,"0")+IFERROR(Y149/H149,"0")+IFERROR(Y150/H150,"0")+IFERROR(Y151/H151,"0")+IFERROR(Y152/H152,"0")+IFERROR(Y153/H153,"0")</f>
        <v>34</v>
      </c>
      <c r="Z154" s="551">
        <f>IFERROR(IF(Z148="",0,Z148),"0")+IFERROR(IF(Z149="",0,Z149),"0")+IFERROR(IF(Z150="",0,Z150),"0")+IFERROR(IF(Z151="",0,Z151),"0")+IFERROR(IF(Z152="",0,Z152),"0")+IFERROR(IF(Z153="",0,Z153),"0")</f>
        <v>0.57050000000000001</v>
      </c>
      <c r="AA154" s="552"/>
      <c r="AB154" s="552"/>
      <c r="AC154" s="552"/>
    </row>
    <row r="155" spans="1:68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275</v>
      </c>
      <c r="Y155" s="551">
        <f>IFERROR(SUM(Y148:Y153),"0")</f>
        <v>277.2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0</v>
      </c>
      <c r="Y182" s="550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</v>
      </c>
      <c r="Y185" s="551">
        <f>IFERROR(Y182/H182,"0")+IFERROR(Y183/H183,"0")+IFERROR(Y184/H184,"0")</f>
        <v>0</v>
      </c>
      <c r="Z185" s="551">
        <f>IFERROR(IF(Z182="",0,Z182),"0")+IFERROR(IF(Z183="",0,Z183),"0")+IFERROR(IF(Z184="",0,Z184),"0")</f>
        <v>0</v>
      </c>
      <c r="AA185" s="552"/>
      <c r="AB185" s="552"/>
      <c r="AC185" s="552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0</v>
      </c>
      <c r="Y186" s="551">
        <f>IFERROR(SUM(Y182:Y184),"0")</f>
        <v>0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hidden="1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0</v>
      </c>
      <c r="Y203" s="550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100</v>
      </c>
      <c r="Y204" s="550">
        <f t="shared" si="15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103.5185185185185</v>
      </c>
      <c r="BN204" s="64">
        <f t="shared" si="17"/>
        <v>106.21</v>
      </c>
      <c r="BO204" s="64">
        <f t="shared" si="18"/>
        <v>0.14029180695847362</v>
      </c>
      <c r="BP204" s="64">
        <f t="shared" si="19"/>
        <v>0.14393939393939395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100</v>
      </c>
      <c r="Y205" s="550">
        <f t="shared" si="15"/>
        <v>102.60000000000001</v>
      </c>
      <c r="Z205" s="36">
        <f>IFERROR(IF(Y205=0,"",ROUNDUP(Y205/H205,0)*0.00902),"")</f>
        <v>0.17138</v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103.5185185185185</v>
      </c>
      <c r="BN205" s="64">
        <f t="shared" si="17"/>
        <v>106.21</v>
      </c>
      <c r="BO205" s="64">
        <f t="shared" si="18"/>
        <v>0.14029180695847362</v>
      </c>
      <c r="BP205" s="64">
        <f t="shared" si="19"/>
        <v>0.14393939393939395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100</v>
      </c>
      <c r="Y206" s="550">
        <f t="shared" si="15"/>
        <v>102.60000000000001</v>
      </c>
      <c r="Z206" s="36">
        <f>IFERROR(IF(Y206=0,"",ROUNDUP(Y206/H206,0)*0.00902),"")</f>
        <v>0.17138</v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103.5185185185185</v>
      </c>
      <c r="BN206" s="64">
        <f t="shared" si="17"/>
        <v>106.21</v>
      </c>
      <c r="BO206" s="64">
        <f t="shared" si="18"/>
        <v>0.14029180695847362</v>
      </c>
      <c r="BP206" s="64">
        <f t="shared" si="19"/>
        <v>0.14393939393939395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55.555555555555557</v>
      </c>
      <c r="Y211" s="551">
        <f>IFERROR(Y203/H203,"0")+IFERROR(Y204/H204,"0")+IFERROR(Y205/H205,"0")+IFERROR(Y206/H206,"0")+IFERROR(Y207/H207,"0")+IFERROR(Y208/H208,"0")+IFERROR(Y209/H209,"0")+IFERROR(Y210/H210,"0")</f>
        <v>57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0.51414000000000004</v>
      </c>
      <c r="AA211" s="552"/>
      <c r="AB211" s="552"/>
      <c r="AC211" s="552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300</v>
      </c>
      <c r="Y212" s="551">
        <f>IFERROR(SUM(Y203:Y210),"0")</f>
        <v>307.8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hidden="1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0</v>
      </c>
      <c r="Y248" s="55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0</v>
      </c>
      <c r="Y249" s="551">
        <f>IFERROR(Y248/H248,"0")</f>
        <v>0</v>
      </c>
      <c r="Z249" s="551">
        <f>IFERROR(IF(Z248="",0,Z248),"0")</f>
        <v>0</v>
      </c>
      <c r="AA249" s="552"/>
      <c r="AB249" s="552"/>
      <c r="AC249" s="552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0</v>
      </c>
      <c r="Y250" s="551">
        <f>IFERROR(SUM(Y248:Y248),"0")</f>
        <v>0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0</v>
      </c>
      <c r="Y252" s="550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</v>
      </c>
      <c r="Y256" s="550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0</v>
      </c>
      <c r="Y257" s="551">
        <f>IFERROR(Y252/H252,"0")+IFERROR(Y253/H253,"0")+IFERROR(Y254/H254,"0")+IFERROR(Y255/H255,"0")+IFERROR(Y256/H256,"0")</f>
        <v>0</v>
      </c>
      <c r="Z257" s="551">
        <f>IFERROR(IF(Z252="",0,Z252),"0")+IFERROR(IF(Z253="",0,Z253),"0")+IFERROR(IF(Z254="",0,Z254),"0")+IFERROR(IF(Z255="",0,Z255),"0")+IFERROR(IF(Z256="",0,Z256),"0")</f>
        <v>0</v>
      </c>
      <c r="AA257" s="552"/>
      <c r="AB257" s="552"/>
      <c r="AC257" s="552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0</v>
      </c>
      <c r="Y258" s="551">
        <f>IFERROR(SUM(Y252:Y256),"0")</f>
        <v>0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0</v>
      </c>
      <c r="Y281" s="551">
        <f>IFERROR(Y278/H278,"0")+IFERROR(Y279/H279,"0")+IFERROR(Y280/H280,"0")</f>
        <v>0</v>
      </c>
      <c r="Z281" s="551">
        <f>IFERROR(IF(Z278="",0,Z278),"0")+IFERROR(IF(Z279="",0,Z279),"0")+IFERROR(IF(Z280="",0,Z280),"0")</f>
        <v>0</v>
      </c>
      <c r="AA281" s="552"/>
      <c r="AB281" s="552"/>
      <c r="AC281" s="552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0</v>
      </c>
      <c r="Y282" s="551">
        <f>IFERROR(SUM(Y278:Y280),"0")</f>
        <v>0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200</v>
      </c>
      <c r="Y297" s="550">
        <f t="shared" si="31"/>
        <v>205.20000000000002</v>
      </c>
      <c r="Z297" s="36">
        <f>IFERROR(IF(Y297=0,"",ROUNDUP(Y297/H297,0)*0.01898),"")</f>
        <v>0.36062</v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207.59259259259258</v>
      </c>
      <c r="BN297" s="64">
        <f t="shared" si="33"/>
        <v>212.99</v>
      </c>
      <c r="BO297" s="64">
        <f t="shared" si="34"/>
        <v>0.28935185185185186</v>
      </c>
      <c r="BP297" s="64">
        <f t="shared" si="35"/>
        <v>0.296875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80</v>
      </c>
      <c r="Y300" s="550">
        <f t="shared" si="31"/>
        <v>80</v>
      </c>
      <c r="Z300" s="36">
        <f>IFERROR(IF(Y300=0,"",ROUNDUP(Y300/H300,0)*0.00902),"")</f>
        <v>0.1804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83.800000000000011</v>
      </c>
      <c r="BN300" s="64">
        <f t="shared" si="33"/>
        <v>83.800000000000011</v>
      </c>
      <c r="BO300" s="64">
        <f t="shared" si="34"/>
        <v>0.15151515151515152</v>
      </c>
      <c r="BP300" s="64">
        <f t="shared" si="35"/>
        <v>0.15151515151515152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0</v>
      </c>
      <c r="Y301" s="550">
        <f t="shared" si="31"/>
        <v>0</v>
      </c>
      <c r="Z301" s="36" t="str">
        <f>IFERROR(IF(Y301=0,"",ROUNDUP(Y301/H301,0)*0.00902),"")</f>
        <v/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38.518518518518519</v>
      </c>
      <c r="Y302" s="551">
        <f>IFERROR(Y296/H296,"0")+IFERROR(Y297/H297,"0")+IFERROR(Y298/H298,"0")+IFERROR(Y299/H299,"0")+IFERROR(Y300/H300,"0")+IFERROR(Y301/H301,"0")</f>
        <v>39</v>
      </c>
      <c r="Z302" s="551">
        <f>IFERROR(IF(Z296="",0,Z296),"0")+IFERROR(IF(Z297="",0,Z297),"0")+IFERROR(IF(Z298="",0,Z298),"0")+IFERROR(IF(Z299="",0,Z299),"0")+IFERROR(IF(Z300="",0,Z300),"0")+IFERROR(IF(Z301="",0,Z301),"0")</f>
        <v>0.54102000000000006</v>
      </c>
      <c r="AA302" s="552"/>
      <c r="AB302" s="552"/>
      <c r="AC302" s="552"/>
    </row>
    <row r="303" spans="1:68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280</v>
      </c>
      <c r="Y303" s="551">
        <f>IFERROR(SUM(Y296:Y301),"0")</f>
        <v>285.20000000000005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500</v>
      </c>
      <c r="Y305" s="550">
        <f t="shared" ref="Y305:Y310" si="36">IFERROR(IF(X305="",0,CEILING((X305/$H305),1)*$H305),"")</f>
        <v>504</v>
      </c>
      <c r="Z305" s="36">
        <f>IFERROR(IF(Y305=0,"",ROUNDUP(Y305/H305,0)*0.00902),"")</f>
        <v>1.0824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529.7619047619047</v>
      </c>
      <c r="BN305" s="64">
        <f t="shared" ref="BN305:BN310" si="38">IFERROR(Y305*I305/H305,"0")</f>
        <v>534</v>
      </c>
      <c r="BO305" s="64">
        <f t="shared" ref="BO305:BO310" si="39">IFERROR(1/J305*(X305/H305),"0")</f>
        <v>0.90187590187590183</v>
      </c>
      <c r="BP305" s="64">
        <f t="shared" ref="BP305:BP310" si="40">IFERROR(1/J305*(Y305/H305),"0")</f>
        <v>0.90909090909090917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700</v>
      </c>
      <c r="Y306" s="550">
        <f t="shared" si="36"/>
        <v>701.4</v>
      </c>
      <c r="Z306" s="36">
        <f>IFERROR(IF(Y306=0,"",ROUNDUP(Y306/H306,0)*0.00902),"")</f>
        <v>1.50634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741.66666666666663</v>
      </c>
      <c r="BN306" s="64">
        <f t="shared" si="38"/>
        <v>743.15</v>
      </c>
      <c r="BO306" s="64">
        <f t="shared" si="39"/>
        <v>1.2626262626262625</v>
      </c>
      <c r="BP306" s="64">
        <f t="shared" si="40"/>
        <v>1.2651515151515151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42</v>
      </c>
      <c r="Y308" s="550">
        <f t="shared" si="36"/>
        <v>42</v>
      </c>
      <c r="Z308" s="36">
        <f>IFERROR(IF(Y308=0,"",ROUNDUP(Y308/H308,0)*0.00502),"")</f>
        <v>0.1004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44.599999999999994</v>
      </c>
      <c r="BN308" s="64">
        <f t="shared" si="38"/>
        <v>44.599999999999994</v>
      </c>
      <c r="BO308" s="64">
        <f t="shared" si="39"/>
        <v>8.5470085470085472E-2</v>
      </c>
      <c r="BP308" s="64">
        <f t="shared" si="40"/>
        <v>8.5470085470085472E-2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305.71428571428567</v>
      </c>
      <c r="Y311" s="551">
        <f>IFERROR(Y305/H305,"0")+IFERROR(Y306/H306,"0")+IFERROR(Y307/H307,"0")+IFERROR(Y308/H308,"0")+IFERROR(Y309/H309,"0")+IFERROR(Y310/H310,"0")</f>
        <v>307</v>
      </c>
      <c r="Z311" s="551">
        <f>IFERROR(IF(Z305="",0,Z305),"0")+IFERROR(IF(Z306="",0,Z306),"0")+IFERROR(IF(Z307="",0,Z307),"0")+IFERROR(IF(Z308="",0,Z308),"0")+IFERROR(IF(Z309="",0,Z309),"0")+IFERROR(IF(Z310="",0,Z310),"0")</f>
        <v>2.6891400000000001</v>
      </c>
      <c r="AA311" s="552"/>
      <c r="AB311" s="552"/>
      <c r="AC311" s="552"/>
    </row>
    <row r="312" spans="1:68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1242</v>
      </c>
      <c r="Y312" s="551">
        <f>IFERROR(SUM(Y305:Y310),"0")</f>
        <v>1247.4000000000001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5930</v>
      </c>
      <c r="Y314" s="550">
        <f>IFERROR(IF(X314="",0,CEILING((X314/$H314),1)*$H314),"")</f>
        <v>5935.8</v>
      </c>
      <c r="Z314" s="36">
        <f>IFERROR(IF(Y314=0,"",ROUNDUP(Y314/H314,0)*0.01898),"")</f>
        <v>14.44378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6301.005128205129</v>
      </c>
      <c r="BN314" s="64">
        <f>IFERROR(Y314*I314/H314,"0")</f>
        <v>6307.1680000000006</v>
      </c>
      <c r="BO314" s="64">
        <f>IFERROR(1/J314*(X314/H314),"0")</f>
        <v>11.879006410256411</v>
      </c>
      <c r="BP314" s="64">
        <f>IFERROR(1/J314*(Y314/H314),"0")</f>
        <v>11.890625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760.25641025641028</v>
      </c>
      <c r="Y318" s="551">
        <f>IFERROR(Y314/H314,"0")+IFERROR(Y315/H315,"0")+IFERROR(Y316/H316,"0")+IFERROR(Y317/H317,"0")</f>
        <v>761</v>
      </c>
      <c r="Z318" s="551">
        <f>IFERROR(IF(Z314="",0,Z314),"0")+IFERROR(IF(Z315="",0,Z315),"0")+IFERROR(IF(Z316="",0,Z316),"0")+IFERROR(IF(Z317="",0,Z317),"0")</f>
        <v>14.44378</v>
      </c>
      <c r="AA318" s="552"/>
      <c r="AB318" s="552"/>
      <c r="AC318" s="552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5930</v>
      </c>
      <c r="Y319" s="551">
        <f>IFERROR(SUM(Y314:Y317),"0")</f>
        <v>5935.8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400</v>
      </c>
      <c r="Y322" s="550">
        <f>IFERROR(IF(X322="",0,CEILING((X322/$H322),1)*$H322),"")</f>
        <v>405.59999999999997</v>
      </c>
      <c r="Z322" s="36">
        <f>IFERROR(IF(Y322=0,"",ROUNDUP(Y322/H322,0)*0.01898),"")</f>
        <v>0.98696000000000006</v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425.33333333333337</v>
      </c>
      <c r="BN322" s="64">
        <f>IFERROR(Y322*I322/H322,"0")</f>
        <v>431.28799999999995</v>
      </c>
      <c r="BO322" s="64">
        <f>IFERROR(1/J322*(X322/H322),"0")</f>
        <v>0.80128205128205132</v>
      </c>
      <c r="BP322" s="64">
        <f>IFERROR(1/J322*(Y322/H322),"0")</f>
        <v>0.8125</v>
      </c>
    </row>
    <row r="323" spans="1:68" ht="16.5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120</v>
      </c>
      <c r="Y323" s="550">
        <f>IFERROR(IF(X323="",0,CEILING((X323/$H323),1)*$H323),"")</f>
        <v>126</v>
      </c>
      <c r="Z323" s="36">
        <f>IFERROR(IF(Y323=0,"",ROUNDUP(Y323/H323,0)*0.01898),"")</f>
        <v>0.28470000000000001</v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127.05714285714285</v>
      </c>
      <c r="BN323" s="64">
        <f>IFERROR(Y323*I323/H323,"0")</f>
        <v>133.41</v>
      </c>
      <c r="BO323" s="64">
        <f>IFERROR(1/J323*(X323/H323),"0")</f>
        <v>0.2232142857142857</v>
      </c>
      <c r="BP323" s="64">
        <f>IFERROR(1/J323*(Y323/H323),"0")</f>
        <v>0.234375</v>
      </c>
    </row>
    <row r="324" spans="1:68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65.567765567765576</v>
      </c>
      <c r="Y324" s="551">
        <f>IFERROR(Y321/H321,"0")+IFERROR(Y322/H322,"0")+IFERROR(Y323/H323,"0")</f>
        <v>67</v>
      </c>
      <c r="Z324" s="551">
        <f>IFERROR(IF(Z321="",0,Z321),"0")+IFERROR(IF(Z322="",0,Z322),"0")+IFERROR(IF(Z323="",0,Z323),"0")</f>
        <v>1.27166</v>
      </c>
      <c r="AA324" s="552"/>
      <c r="AB324" s="552"/>
      <c r="AC324" s="552"/>
    </row>
    <row r="325" spans="1:68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520</v>
      </c>
      <c r="Y325" s="551">
        <f>IFERROR(SUM(Y321:Y323),"0")</f>
        <v>531.59999999999991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0</v>
      </c>
      <c r="Y329" s="550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0</v>
      </c>
      <c r="Y331" s="551">
        <f>IFERROR(Y327/H327,"0")+IFERROR(Y328/H328,"0")+IFERROR(Y329/H329,"0")+IFERROR(Y330/H330,"0")</f>
        <v>0</v>
      </c>
      <c r="Z331" s="551">
        <f>IFERROR(IF(Z327="",0,Z327),"0")+IFERROR(IF(Z328="",0,Z328),"0")+IFERROR(IF(Z329="",0,Z329),"0")+IFERROR(IF(Z330="",0,Z330),"0")</f>
        <v>0</v>
      </c>
      <c r="AA331" s="552"/>
      <c r="AB331" s="552"/>
      <c r="AC331" s="552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0</v>
      </c>
      <c r="Y332" s="551">
        <f>IFERROR(SUM(Y327:Y330),"0")</f>
        <v>0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hidden="1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0</v>
      </c>
      <c r="Y337" s="551">
        <f>IFERROR(Y334/H334,"0")+IFERROR(Y335/H335,"0")+IFERROR(Y336/H336,"0")</f>
        <v>0</v>
      </c>
      <c r="Z337" s="551">
        <f>IFERROR(IF(Z334="",0,Z334),"0")+IFERROR(IF(Z335="",0,Z335),"0")+IFERROR(IF(Z336="",0,Z336),"0")</f>
        <v>0</v>
      </c>
      <c r="AA337" s="552"/>
      <c r="AB337" s="552"/>
      <c r="AC337" s="552"/>
    </row>
    <row r="338" spans="1:68" hidden="1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0</v>
      </c>
      <c r="Y338" s="551">
        <f>IFERROR(SUM(Y334:Y336),"0")</f>
        <v>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750</v>
      </c>
      <c r="Y349" s="550">
        <f t="shared" ref="Y349:Y355" si="41">IFERROR(IF(X349="",0,CEILING((X349/$H349),1)*$H349),"")</f>
        <v>750</v>
      </c>
      <c r="Z349" s="36">
        <f>IFERROR(IF(Y349=0,"",ROUNDUP(Y349/H349,0)*0.02175),"")</f>
        <v>1.0874999999999999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773.5</v>
      </c>
      <c r="BN349" s="64">
        <f t="shared" ref="BN349:BN355" si="43">IFERROR(Y349*I349/H349,"0")</f>
        <v>773.5</v>
      </c>
      <c r="BO349" s="64">
        <f t="shared" ref="BO349:BO355" si="44">IFERROR(1/J349*(X349/H349),"0")</f>
        <v>1.0416666666666665</v>
      </c>
      <c r="BP349" s="64">
        <f t="shared" ref="BP349:BP355" si="45">IFERROR(1/J349*(Y349/H349),"0")</f>
        <v>1.0416666666666665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2000</v>
      </c>
      <c r="Y351" s="550">
        <f t="shared" si="41"/>
        <v>2010</v>
      </c>
      <c r="Z351" s="36">
        <f>IFERROR(IF(Y351=0,"",ROUNDUP(Y351/H351,0)*0.02175),"")</f>
        <v>2.9144999999999999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2062.6666666666665</v>
      </c>
      <c r="BN351" s="64">
        <f t="shared" si="43"/>
        <v>2072.98</v>
      </c>
      <c r="BO351" s="64">
        <f t="shared" si="44"/>
        <v>2.7777777777777777</v>
      </c>
      <c r="BP351" s="64">
        <f t="shared" si="45"/>
        <v>2.7916666666666665</v>
      </c>
    </row>
    <row r="352" spans="1:68" ht="37.5" hidden="1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50</v>
      </c>
      <c r="Y354" s="550">
        <f t="shared" si="41"/>
        <v>50</v>
      </c>
      <c r="Z354" s="36">
        <f>IFERROR(IF(Y354=0,"",ROUNDUP(Y354/H354,0)*0.00902),"")</f>
        <v>9.0200000000000002E-2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51.9</v>
      </c>
      <c r="BN354" s="64">
        <f t="shared" si="43"/>
        <v>51.9</v>
      </c>
      <c r="BO354" s="64">
        <f t="shared" si="44"/>
        <v>7.575757575757576E-2</v>
      </c>
      <c r="BP354" s="64">
        <f t="shared" si="45"/>
        <v>7.575757575757576E-2</v>
      </c>
    </row>
    <row r="355" spans="1:68" ht="37.5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50</v>
      </c>
      <c r="Y355" s="550">
        <f t="shared" si="41"/>
        <v>50</v>
      </c>
      <c r="Z355" s="36">
        <f>IFERROR(IF(Y355=0,"",ROUNDUP(Y355/H355,0)*0.00902),"")</f>
        <v>9.0200000000000002E-2</v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51.9</v>
      </c>
      <c r="BN355" s="64">
        <f t="shared" si="43"/>
        <v>51.9</v>
      </c>
      <c r="BO355" s="64">
        <f t="shared" si="44"/>
        <v>7.575757575757576E-2</v>
      </c>
      <c r="BP355" s="64">
        <f t="shared" si="45"/>
        <v>7.575757575757576E-2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203.33333333333334</v>
      </c>
      <c r="Y356" s="551">
        <f>IFERROR(Y349/H349,"0")+IFERROR(Y350/H350,"0")+IFERROR(Y351/H351,"0")+IFERROR(Y352/H352,"0")+IFERROR(Y353/H353,"0")+IFERROR(Y354/H354,"0")+IFERROR(Y355/H355,"0")</f>
        <v>204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4.1824000000000003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2850</v>
      </c>
      <c r="Y357" s="551">
        <f>IFERROR(SUM(Y349:Y355),"0")</f>
        <v>2860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hidden="1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40</v>
      </c>
      <c r="Y360" s="550">
        <f>IFERROR(IF(X360="",0,CEILING((X360/$H360),1)*$H360),"")</f>
        <v>40</v>
      </c>
      <c r="Z360" s="36">
        <f>IFERROR(IF(Y360=0,"",ROUNDUP(Y360/H360,0)*0.00902),"")</f>
        <v>9.0200000000000002E-2</v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41.900000000000006</v>
      </c>
      <c r="BN360" s="64">
        <f>IFERROR(Y360*I360/H360,"0")</f>
        <v>41.900000000000006</v>
      </c>
      <c r="BO360" s="64">
        <f>IFERROR(1/J360*(X360/H360),"0")</f>
        <v>7.575757575757576E-2</v>
      </c>
      <c r="BP360" s="64">
        <f>IFERROR(1/J360*(Y360/H360),"0")</f>
        <v>7.575757575757576E-2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10</v>
      </c>
      <c r="Y361" s="551">
        <f>IFERROR(Y359/H359,"0")+IFERROR(Y360/H360,"0")</f>
        <v>10</v>
      </c>
      <c r="Z361" s="551">
        <f>IFERROR(IF(Z359="",0,Z359),"0")+IFERROR(IF(Z360="",0,Z360),"0")</f>
        <v>9.0200000000000002E-2</v>
      </c>
      <c r="AA361" s="552"/>
      <c r="AB361" s="552"/>
      <c r="AC361" s="552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40</v>
      </c>
      <c r="Y362" s="551">
        <f>IFERROR(SUM(Y359:Y360),"0")</f>
        <v>40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hidden="1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0</v>
      </c>
      <c r="Y384" s="550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0</v>
      </c>
      <c r="Y387" s="551">
        <f>IFERROR(Y384/H384,"0")+IFERROR(Y385/H385,"0")+IFERROR(Y386/H386,"0")</f>
        <v>0</v>
      </c>
      <c r="Z387" s="551">
        <f>IFERROR(IF(Z384="",0,Z384),"0")+IFERROR(IF(Z385="",0,Z385),"0")+IFERROR(IF(Z386="",0,Z386),"0")</f>
        <v>0</v>
      </c>
      <c r="AA387" s="552"/>
      <c r="AB387" s="552"/>
      <c r="AC387" s="552"/>
    </row>
    <row r="388" spans="1:68" hidden="1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0</v>
      </c>
      <c r="Y388" s="551">
        <f>IFERROR(SUM(Y384:Y386),"0")</f>
        <v>0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50</v>
      </c>
      <c r="Y392" s="550">
        <f t="shared" ref="Y392:Y400" si="46">IFERROR(IF(X392="",0,CEILING((X392/$H392),1)*$H392),"")</f>
        <v>54</v>
      </c>
      <c r="Z392" s="36">
        <f>IFERROR(IF(Y392=0,"",ROUNDUP(Y392/H392,0)*0.00902),"")</f>
        <v>9.0200000000000002E-2</v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51.759259259259252</v>
      </c>
      <c r="BN392" s="64">
        <f t="shared" ref="BN392:BN400" si="48">IFERROR(Y392*I392/H392,"0")</f>
        <v>55.9</v>
      </c>
      <c r="BO392" s="64">
        <f t="shared" ref="BO392:BO400" si="49">IFERROR(1/J392*(X392/H392),"0")</f>
        <v>7.0145903479236812E-2</v>
      </c>
      <c r="BP392" s="64">
        <f t="shared" ref="BP392:BP400" si="50">IFERROR(1/J392*(Y392/H392),"0")</f>
        <v>7.575757575757576E-2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0</v>
      </c>
      <c r="Y393" s="550">
        <f t="shared" si="46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0</v>
      </c>
      <c r="BN393" s="64">
        <f t="shared" si="48"/>
        <v>0</v>
      </c>
      <c r="BO393" s="64">
        <f t="shared" si="49"/>
        <v>0</v>
      </c>
      <c r="BP393" s="64">
        <f t="shared" si="50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0</v>
      </c>
      <c r="Y394" s="550">
        <f t="shared" si="46"/>
        <v>0</v>
      </c>
      <c r="Z394" s="36" t="str">
        <f>IFERROR(IF(Y394=0,"",ROUNDUP(Y394/H394,0)*0.00902),"")</f>
        <v/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0</v>
      </c>
      <c r="BN394" s="64">
        <f t="shared" si="48"/>
        <v>0</v>
      </c>
      <c r="BO394" s="64">
        <f t="shared" si="49"/>
        <v>0</v>
      </c>
      <c r="BP394" s="64">
        <f t="shared" si="50"/>
        <v>0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9.2592592592592595</v>
      </c>
      <c r="Y401" s="551">
        <f>IFERROR(Y392/H392,"0")+IFERROR(Y393/H393,"0")+IFERROR(Y394/H394,"0")+IFERROR(Y395/H395,"0")+IFERROR(Y396/H396,"0")+IFERROR(Y397/H397,"0")+IFERROR(Y398/H398,"0")+IFERROR(Y399/H399,"0")+IFERROR(Y400/H400,"0")</f>
        <v>10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9.0200000000000002E-2</v>
      </c>
      <c r="AA401" s="552"/>
      <c r="AB401" s="552"/>
      <c r="AC401" s="552"/>
    </row>
    <row r="402" spans="1:68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50</v>
      </c>
      <c r="Y402" s="551">
        <f>IFERROR(SUM(Y392:Y400),"0")</f>
        <v>54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hidden="1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550</v>
      </c>
      <c r="Y429" s="550">
        <f t="shared" si="52"/>
        <v>554.4</v>
      </c>
      <c r="Z429" s="36">
        <f t="shared" si="53"/>
        <v>1.2558</v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586.45833333333326</v>
      </c>
      <c r="BN429" s="64">
        <f t="shared" si="55"/>
        <v>591.15</v>
      </c>
      <c r="BO429" s="64">
        <f t="shared" si="56"/>
        <v>1.0016025641025641</v>
      </c>
      <c r="BP429" s="64">
        <f t="shared" si="57"/>
        <v>1.0096153846153846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0</v>
      </c>
      <c r="Y432" s="550">
        <f t="shared" si="52"/>
        <v>0</v>
      </c>
      <c r="Z432" s="36" t="str">
        <f t="shared" si="53"/>
        <v/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550</v>
      </c>
      <c r="Y434" s="550">
        <f t="shared" si="52"/>
        <v>554.4</v>
      </c>
      <c r="Z434" s="36">
        <f t="shared" si="53"/>
        <v>1.2558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586.45833333333326</v>
      </c>
      <c r="BN434" s="64">
        <f t="shared" si="55"/>
        <v>591.15</v>
      </c>
      <c r="BO434" s="64">
        <f t="shared" si="56"/>
        <v>1.0016025641025641</v>
      </c>
      <c r="BP434" s="64">
        <f t="shared" si="57"/>
        <v>1.0096153846153846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0</v>
      </c>
      <c r="Y438" s="550">
        <f t="shared" si="52"/>
        <v>0</v>
      </c>
      <c r="Z438" s="36" t="str">
        <f>IFERROR(IF(Y438=0,"",ROUNDUP(Y438/H438,0)*0.00651),"")</f>
        <v/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208.33333333333331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209.99999999999997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2.5116000000000001</v>
      </c>
      <c r="AA440" s="552"/>
      <c r="AB440" s="552"/>
      <c r="AC440" s="552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1100</v>
      </c>
      <c r="Y441" s="551">
        <f>IFERROR(SUM(Y428:Y439),"0")</f>
        <v>1108.8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1080</v>
      </c>
      <c r="Y443" s="550">
        <f>IFERROR(IF(X443="",0,CEILING((X443/$H443),1)*$H443),"")</f>
        <v>1082.4000000000001</v>
      </c>
      <c r="Z443" s="36">
        <f>IFERROR(IF(Y443=0,"",ROUNDUP(Y443/H443,0)*0.01196),"")</f>
        <v>2.4518</v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1151.590909090909</v>
      </c>
      <c r="BN443" s="64">
        <f>IFERROR(Y443*I443/H443,"0")</f>
        <v>1154.1500000000001</v>
      </c>
      <c r="BO443" s="64">
        <f>IFERROR(1/J443*(X443/H443),"0")</f>
        <v>1.9667832167832167</v>
      </c>
      <c r="BP443" s="64">
        <f>IFERROR(1/J443*(Y443/H443),"0")</f>
        <v>1.9711538461538463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204.54545454545453</v>
      </c>
      <c r="Y446" s="551">
        <f>IFERROR(Y443/H443,"0")+IFERROR(Y444/H444,"0")+IFERROR(Y445/H445,"0")</f>
        <v>205</v>
      </c>
      <c r="Z446" s="551">
        <f>IFERROR(IF(Z443="",0,Z443),"0")+IFERROR(IF(Z444="",0,Z444),"0")+IFERROR(IF(Z445="",0,Z445),"0")</f>
        <v>2.4518</v>
      </c>
      <c r="AA446" s="552"/>
      <c r="AB446" s="552"/>
      <c r="AC446" s="552"/>
    </row>
    <row r="447" spans="1:68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1080</v>
      </c>
      <c r="Y447" s="551">
        <f>IFERROR(SUM(Y443:Y445),"0")</f>
        <v>1082.4000000000001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200</v>
      </c>
      <c r="Y449" s="550">
        <f t="shared" ref="Y449:Y454" si="58">IFERROR(IF(X449="",0,CEILING((X449/$H449),1)*$H449),"")</f>
        <v>200.64000000000001</v>
      </c>
      <c r="Z449" s="36">
        <f>IFERROR(IF(Y449=0,"",ROUNDUP(Y449/H449,0)*0.01196),"")</f>
        <v>0.45448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213.25757575757575</v>
      </c>
      <c r="BN449" s="64">
        <f t="shared" ref="BN449:BN454" si="60">IFERROR(Y449*I449/H449,"0")</f>
        <v>213.94</v>
      </c>
      <c r="BO449" s="64">
        <f t="shared" ref="BO449:BO454" si="61">IFERROR(1/J449*(X449/H449),"0")</f>
        <v>0.36421911421911418</v>
      </c>
      <c r="BP449" s="64">
        <f t="shared" ref="BP449:BP454" si="62">IFERROR(1/J449*(Y449/H449),"0")</f>
        <v>0.36538461538461542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250</v>
      </c>
      <c r="Y450" s="550">
        <f t="shared" si="58"/>
        <v>253.44</v>
      </c>
      <c r="Z450" s="36">
        <f>IFERROR(IF(Y450=0,"",ROUNDUP(Y450/H450,0)*0.01196),"")</f>
        <v>0.57408000000000003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266.57196969696969</v>
      </c>
      <c r="BN450" s="64">
        <f t="shared" si="60"/>
        <v>270.23999999999995</v>
      </c>
      <c r="BO450" s="64">
        <f t="shared" si="61"/>
        <v>0.45527389277389274</v>
      </c>
      <c r="BP450" s="64">
        <f t="shared" si="62"/>
        <v>0.46153846153846156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100</v>
      </c>
      <c r="Y451" s="550">
        <f t="shared" si="58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106.62878787878788</v>
      </c>
      <c r="BN451" s="64">
        <f t="shared" si="60"/>
        <v>106.97</v>
      </c>
      <c r="BO451" s="64">
        <f t="shared" si="61"/>
        <v>0.18210955710955709</v>
      </c>
      <c r="BP451" s="64">
        <f t="shared" si="62"/>
        <v>0.18269230769230771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104.16666666666666</v>
      </c>
      <c r="Y455" s="551">
        <f>IFERROR(Y449/H449,"0")+IFERROR(Y450/H450,"0")+IFERROR(Y451/H451,"0")+IFERROR(Y452/H452,"0")+IFERROR(Y453/H453,"0")+IFERROR(Y454/H454,"0")</f>
        <v>105</v>
      </c>
      <c r="Z455" s="551">
        <f>IFERROR(IF(Z449="",0,Z449),"0")+IFERROR(IF(Z450="",0,Z450),"0")+IFERROR(IF(Z451="",0,Z451),"0")+IFERROR(IF(Z452="",0,Z452),"0")+IFERROR(IF(Z453="",0,Z453),"0")+IFERROR(IF(Z454="",0,Z454),"0")</f>
        <v>1.2558000000000002</v>
      </c>
      <c r="AA455" s="552"/>
      <c r="AB455" s="552"/>
      <c r="AC455" s="552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550</v>
      </c>
      <c r="Y456" s="551">
        <f>IFERROR(SUM(Y449:Y454),"0")</f>
        <v>554.40000000000009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1280</v>
      </c>
      <c r="Y476" s="550">
        <f>IFERROR(IF(X476="",0,CEILING((X476/$H476),1)*$H476),"")</f>
        <v>1281</v>
      </c>
      <c r="Z476" s="36">
        <f>IFERROR(IF(Y476=0,"",ROUNDUP(Y476/H476,0)*0.00902),"")</f>
        <v>2.7511000000000001</v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1356.1904761904761</v>
      </c>
      <c r="BN476" s="64">
        <f>IFERROR(Y476*I476/H476,"0")</f>
        <v>1357.25</v>
      </c>
      <c r="BO476" s="64">
        <f>IFERROR(1/J476*(X476/H476),"0")</f>
        <v>2.3088023088023086</v>
      </c>
      <c r="BP476" s="64">
        <f>IFERROR(1/J476*(Y476/H476),"0")</f>
        <v>2.3106060606060606</v>
      </c>
    </row>
    <row r="477" spans="1:68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304.76190476190476</v>
      </c>
      <c r="Y477" s="551">
        <f>IFERROR(Y476/H476,"0")</f>
        <v>305</v>
      </c>
      <c r="Z477" s="551">
        <f>IFERROR(IF(Z476="",0,Z476),"0")</f>
        <v>2.7511000000000001</v>
      </c>
      <c r="AA477" s="552"/>
      <c r="AB477" s="552"/>
      <c r="AC477" s="552"/>
    </row>
    <row r="478" spans="1:68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1280</v>
      </c>
      <c r="Y478" s="551">
        <f>IFERROR(SUM(Y476:Y476),"0")</f>
        <v>1281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17913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17984.2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18899.374123715792</v>
      </c>
      <c r="Y494" s="551">
        <f>IFERROR(SUM(BN22:BN490),"0")</f>
        <v>18974.281999999999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33</v>
      </c>
      <c r="Y495" s="38">
        <f>ROUNDUP(SUM(BP22:BP490),0)</f>
        <v>33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19724.374123715792</v>
      </c>
      <c r="Y496" s="551">
        <f>GrossWeightTotalR+PalletQtyTotalR*25</f>
        <v>19799.281999999999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2727.3228931562262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2738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38.344520000000003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120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1571.4</v>
      </c>
      <c r="E503" s="46">
        <f>IFERROR(Y85*1,"0")+IFERROR(Y86*1,"0")+IFERROR(Y87*1,"0")+IFERROR(Y88*1,"0")+IFERROR(Y92*1,"0")+IFERROR(Y93*1,"0")+IFERROR(Y94*1,"0")+IFERROR(Y95*1,"0")</f>
        <v>225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502.2</v>
      </c>
      <c r="G503" s="46">
        <f>IFERROR(Y127*1,"0")+IFERROR(Y128*1,"0")+IFERROR(Y132*1,"0")+IFERROR(Y133*1,"0")+IFERROR(Y137*1,"0")+IFERROR(Y138*1,"0")</f>
        <v>0</v>
      </c>
      <c r="H503" s="46">
        <f>IFERROR(Y143*1,"0")+IFERROR(Y144*1,"0")+IFERROR(Y148*1,"0")+IFERROR(Y149*1,"0")+IFERROR(Y150*1,"0")+IFERROR(Y151*1,"0")+IFERROR(Y152*1,"0")+IFERROR(Y153*1,"0")+IFERROR(Y157*1,"0")</f>
        <v>277.2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307.8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0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8000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2900</v>
      </c>
      <c r="T503" s="46">
        <f>IFERROR(Y374*1,"0")+IFERROR(Y375*1,"0")+IFERROR(Y379*1,"0")+IFERROR(Y380*1,"0")+IFERROR(Y384*1,"0")+IFERROR(Y385*1,"0")+IFERROR(Y386*1,"0")</f>
        <v>0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54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2745.6</v>
      </c>
      <c r="Y503" s="46">
        <f>IFERROR(Y464*1,"0")+IFERROR(Y465*1,"0")+IFERROR(Y466*1,"0")+IFERROR(Y467*1,"0")+IFERROR(Y471*1,"0")+IFERROR(Y472*1,"0")+IFERROR(Y476*1,"0")+IFERROR(Y480*1,"0")+IFERROR(Y484*1,"0")+IFERROR(Y485*1,"0")</f>
        <v>1281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100,00"/>
        <filter val="1 242,00"/>
        <filter val="1 280,00"/>
        <filter val="1 571,00"/>
        <filter val="10,00"/>
        <filter val="100,00"/>
        <filter val="104,17"/>
        <filter val="120,00"/>
        <filter val="17 913,00"/>
        <filter val="18 899,37"/>
        <filter val="19 724,37"/>
        <filter val="2 000,00"/>
        <filter val="2 727,32"/>
        <filter val="2 850,00"/>
        <filter val="200,00"/>
        <filter val="203,33"/>
        <filter val="204,55"/>
        <filter val="208,33"/>
        <filter val="225,00"/>
        <filter val="25,00"/>
        <filter val="250,00"/>
        <filter val="275,00"/>
        <filter val="280,00"/>
        <filter val="281,85"/>
        <filter val="30,00"/>
        <filter val="300,00"/>
        <filter val="304,76"/>
        <filter val="305,71"/>
        <filter val="33"/>
        <filter val="33,73"/>
        <filter val="38,52"/>
        <filter val="40,00"/>
        <filter val="400,00"/>
        <filter val="42,00"/>
        <filter val="491,00"/>
        <filter val="5 930,00"/>
        <filter val="50,00"/>
        <filter val="500,00"/>
        <filter val="520,00"/>
        <filter val="55,56"/>
        <filter val="550,00"/>
        <filter val="61,73"/>
        <filter val="65,57"/>
        <filter val="700,00"/>
        <filter val="750,00"/>
        <filter val="760,26"/>
        <filter val="80,00"/>
        <filter val="9,26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2025-12-23T12:29:51Z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