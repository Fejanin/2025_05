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E7DFEE78-3E59-44FB-9D69-14C9DCD9EE5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заказа'!$B$57:$B$57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заказа'!$X$57:$X$57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заказа'!$Y$57:$Y$57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заказа'!$W$57:$W$57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BP272" i="1" s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BP265" i="1" s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BO261" i="1"/>
  <c r="BM261" i="1"/>
  <c r="Y261" i="1"/>
  <c r="BP261" i="1" s="1"/>
  <c r="P261" i="1"/>
  <c r="X258" i="1"/>
  <c r="X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BO253" i="1"/>
  <c r="BM253" i="1"/>
  <c r="Y253" i="1"/>
  <c r="P253" i="1"/>
  <c r="BP252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X229" i="1"/>
  <c r="X228" i="1"/>
  <c r="BO227" i="1"/>
  <c r="BM227" i="1"/>
  <c r="Y227" i="1"/>
  <c r="BP227" i="1" s="1"/>
  <c r="P227" i="1"/>
  <c r="BO226" i="1"/>
  <c r="BM226" i="1"/>
  <c r="Y226" i="1"/>
  <c r="Y228" i="1" s="1"/>
  <c r="P226" i="1"/>
  <c r="X224" i="1"/>
  <c r="X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O215" i="1"/>
  <c r="BM215" i="1"/>
  <c r="Y215" i="1"/>
  <c r="BP215" i="1" s="1"/>
  <c r="P215" i="1"/>
  <c r="BO214" i="1"/>
  <c r="BM214" i="1"/>
  <c r="Y214" i="1"/>
  <c r="P214" i="1"/>
  <c r="X212" i="1"/>
  <c r="X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O203" i="1"/>
  <c r="BM203" i="1"/>
  <c r="Y203" i="1"/>
  <c r="BP203" i="1" s="1"/>
  <c r="P203" i="1"/>
  <c r="X201" i="1"/>
  <c r="X200" i="1"/>
  <c r="BO199" i="1"/>
  <c r="BM199" i="1"/>
  <c r="Y199" i="1"/>
  <c r="BP199" i="1" s="1"/>
  <c r="P199" i="1"/>
  <c r="BO198" i="1"/>
  <c r="BM198" i="1"/>
  <c r="Y198" i="1"/>
  <c r="Y200" i="1" s="1"/>
  <c r="P198" i="1"/>
  <c r="X196" i="1"/>
  <c r="X195" i="1"/>
  <c r="BO194" i="1"/>
  <c r="BM194" i="1"/>
  <c r="Y194" i="1"/>
  <c r="BP194" i="1" s="1"/>
  <c r="P194" i="1"/>
  <c r="BO193" i="1"/>
  <c r="BM193" i="1"/>
  <c r="Y193" i="1"/>
  <c r="Y195" i="1" s="1"/>
  <c r="P193" i="1"/>
  <c r="X190" i="1"/>
  <c r="X189" i="1"/>
  <c r="BO188" i="1"/>
  <c r="BM188" i="1"/>
  <c r="Y188" i="1"/>
  <c r="P188" i="1"/>
  <c r="X186" i="1"/>
  <c r="X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O173" i="1"/>
  <c r="BM173" i="1"/>
  <c r="Y173" i="1"/>
  <c r="BP173" i="1" s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BP153" i="1" s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BO149" i="1"/>
  <c r="BM149" i="1"/>
  <c r="Y149" i="1"/>
  <c r="BO148" i="1"/>
  <c r="BM148" i="1"/>
  <c r="Y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P138" i="1"/>
  <c r="BO137" i="1"/>
  <c r="BM137" i="1"/>
  <c r="Y137" i="1"/>
  <c r="BP137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4" i="1" s="1"/>
  <c r="P132" i="1"/>
  <c r="X130" i="1"/>
  <c r="X129" i="1"/>
  <c r="BO128" i="1"/>
  <c r="BM128" i="1"/>
  <c r="Y128" i="1"/>
  <c r="P128" i="1"/>
  <c r="BP127" i="1"/>
  <c r="BO127" i="1"/>
  <c r="BN127" i="1"/>
  <c r="BM127" i="1"/>
  <c r="Z127" i="1"/>
  <c r="Y127" i="1"/>
  <c r="P127" i="1"/>
  <c r="X124" i="1"/>
  <c r="Y123" i="1"/>
  <c r="X123" i="1"/>
  <c r="BP122" i="1"/>
  <c r="BO122" i="1"/>
  <c r="BN122" i="1"/>
  <c r="BM122" i="1"/>
  <c r="Z122" i="1"/>
  <c r="Z123" i="1" s="1"/>
  <c r="Y122" i="1"/>
  <c r="Y124" i="1" s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Y113" i="1" s="1"/>
  <c r="P109" i="1"/>
  <c r="BP108" i="1"/>
  <c r="BO108" i="1"/>
  <c r="BN108" i="1"/>
  <c r="BM108" i="1"/>
  <c r="Z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P73" i="1"/>
  <c r="BP72" i="1"/>
  <c r="BO72" i="1"/>
  <c r="BN72" i="1"/>
  <c r="BM72" i="1"/>
  <c r="Z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Z57" i="1" s="1"/>
  <c r="P57" i="1"/>
  <c r="BO56" i="1"/>
  <c r="BM56" i="1"/>
  <c r="Y56" i="1"/>
  <c r="BP56" i="1" s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5" i="1" s="1"/>
  <c r="BM22" i="1"/>
  <c r="Y22" i="1"/>
  <c r="B503" i="1" s="1"/>
  <c r="P22" i="1"/>
  <c r="H10" i="1"/>
  <c r="A9" i="1"/>
  <c r="A10" i="1" s="1"/>
  <c r="D7" i="1"/>
  <c r="Q6" i="1"/>
  <c r="P2" i="1"/>
  <c r="BP116" i="1" l="1"/>
  <c r="BN116" i="1"/>
  <c r="Z116" i="1"/>
  <c r="BP151" i="1"/>
  <c r="BN151" i="1"/>
  <c r="Z151" i="1"/>
  <c r="BP183" i="1"/>
  <c r="BN183" i="1"/>
  <c r="Z183" i="1"/>
  <c r="BP221" i="1"/>
  <c r="BN221" i="1"/>
  <c r="Z221" i="1"/>
  <c r="BP256" i="1"/>
  <c r="BN256" i="1"/>
  <c r="Z256" i="1"/>
  <c r="BP290" i="1"/>
  <c r="BN290" i="1"/>
  <c r="Z290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27" i="1"/>
  <c r="BN27" i="1"/>
  <c r="Y32" i="1"/>
  <c r="Z43" i="1"/>
  <c r="BN43" i="1"/>
  <c r="Z62" i="1"/>
  <c r="BN62" i="1"/>
  <c r="Z80" i="1"/>
  <c r="BN80" i="1"/>
  <c r="Z95" i="1"/>
  <c r="BN95" i="1"/>
  <c r="BP102" i="1"/>
  <c r="BN102" i="1"/>
  <c r="Z102" i="1"/>
  <c r="BP144" i="1"/>
  <c r="BN144" i="1"/>
  <c r="Z144" i="1"/>
  <c r="BP171" i="1"/>
  <c r="BN171" i="1"/>
  <c r="Z171" i="1"/>
  <c r="BP209" i="1"/>
  <c r="BN209" i="1"/>
  <c r="Z209" i="1"/>
  <c r="BP238" i="1"/>
  <c r="BN238" i="1"/>
  <c r="Z238" i="1"/>
  <c r="BP270" i="1"/>
  <c r="BN270" i="1"/>
  <c r="Z270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BP286" i="1"/>
  <c r="BN286" i="1"/>
  <c r="Z2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X494" i="1"/>
  <c r="X496" i="1" s="1"/>
  <c r="Z23" i="1"/>
  <c r="BN23" i="1"/>
  <c r="X493" i="1"/>
  <c r="Y33" i="1"/>
  <c r="Z29" i="1"/>
  <c r="BN29" i="1"/>
  <c r="Z35" i="1"/>
  <c r="Z36" i="1" s="1"/>
  <c r="BN35" i="1"/>
  <c r="BP35" i="1"/>
  <c r="Y36" i="1"/>
  <c r="Z41" i="1"/>
  <c r="BN41" i="1"/>
  <c r="Y44" i="1"/>
  <c r="Z47" i="1"/>
  <c r="Z48" i="1" s="1"/>
  <c r="BN47" i="1"/>
  <c r="BP47" i="1"/>
  <c r="Y48" i="1"/>
  <c r="Z52" i="1"/>
  <c r="BN52" i="1"/>
  <c r="Z56" i="1"/>
  <c r="BN56" i="1"/>
  <c r="Z68" i="1"/>
  <c r="BN68" i="1"/>
  <c r="Y76" i="1"/>
  <c r="Z74" i="1"/>
  <c r="BN74" i="1"/>
  <c r="Z85" i="1"/>
  <c r="BN85" i="1"/>
  <c r="Z93" i="1"/>
  <c r="BN93" i="1"/>
  <c r="Z100" i="1"/>
  <c r="BN100" i="1"/>
  <c r="Z104" i="1"/>
  <c r="BN104" i="1"/>
  <c r="Z110" i="1"/>
  <c r="BN110" i="1"/>
  <c r="Z118" i="1"/>
  <c r="BN118" i="1"/>
  <c r="Z133" i="1"/>
  <c r="BN133" i="1"/>
  <c r="Z137" i="1"/>
  <c r="BN137" i="1"/>
  <c r="H503" i="1"/>
  <c r="Z153" i="1"/>
  <c r="BN153" i="1"/>
  <c r="Y179" i="1"/>
  <c r="Z169" i="1"/>
  <c r="BN169" i="1"/>
  <c r="Z173" i="1"/>
  <c r="BN173" i="1"/>
  <c r="Z177" i="1"/>
  <c r="BN177" i="1"/>
  <c r="Y186" i="1"/>
  <c r="Z194" i="1"/>
  <c r="BN194" i="1"/>
  <c r="Z198" i="1"/>
  <c r="BN198" i="1"/>
  <c r="Z199" i="1"/>
  <c r="BN199" i="1"/>
  <c r="Z203" i="1"/>
  <c r="BN203" i="1"/>
  <c r="Z207" i="1"/>
  <c r="BN207" i="1"/>
  <c r="Z215" i="1"/>
  <c r="BN215" i="1"/>
  <c r="Z219" i="1"/>
  <c r="BN219" i="1"/>
  <c r="Z227" i="1"/>
  <c r="BN227" i="1"/>
  <c r="Z232" i="1"/>
  <c r="BN232" i="1"/>
  <c r="Z236" i="1"/>
  <c r="BN236" i="1"/>
  <c r="Z240" i="1"/>
  <c r="BN240" i="1"/>
  <c r="Z254" i="1"/>
  <c r="BN254" i="1"/>
  <c r="Z261" i="1"/>
  <c r="BN261" i="1"/>
  <c r="Z265" i="1"/>
  <c r="BN265" i="1"/>
  <c r="Z272" i="1"/>
  <c r="BN272" i="1"/>
  <c r="BP297" i="1"/>
  <c r="BN297" i="1"/>
  <c r="Z297" i="1"/>
  <c r="BP307" i="1"/>
  <c r="BN307" i="1"/>
  <c r="Z307" i="1"/>
  <c r="BP321" i="1"/>
  <c r="BN321" i="1"/>
  <c r="Z321" i="1"/>
  <c r="Z324" i="1" s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292" i="1"/>
  <c r="Y388" i="1"/>
  <c r="Y387" i="1"/>
  <c r="Y486" i="1"/>
  <c r="F9" i="1"/>
  <c r="J9" i="1"/>
  <c r="F10" i="1"/>
  <c r="Z22" i="1"/>
  <c r="Z24" i="1" s="1"/>
  <c r="BN22" i="1"/>
  <c r="BP22" i="1"/>
  <c r="X497" i="1"/>
  <c r="Y25" i="1"/>
  <c r="Z28" i="1"/>
  <c r="BN28" i="1"/>
  <c r="BP28" i="1"/>
  <c r="Z30" i="1"/>
  <c r="BN30" i="1"/>
  <c r="C503" i="1"/>
  <c r="Z42" i="1"/>
  <c r="Z44" i="1" s="1"/>
  <c r="BN42" i="1"/>
  <c r="BP42" i="1"/>
  <c r="Y45" i="1"/>
  <c r="D503" i="1"/>
  <c r="Y58" i="1"/>
  <c r="Z53" i="1"/>
  <c r="BN53" i="1"/>
  <c r="Z55" i="1"/>
  <c r="BN55" i="1"/>
  <c r="Y59" i="1"/>
  <c r="Y64" i="1"/>
  <c r="BP61" i="1"/>
  <c r="BN61" i="1"/>
  <c r="Z61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Y112" i="1"/>
  <c r="BP111" i="1"/>
  <c r="BN111" i="1"/>
  <c r="Z111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Z134" i="1" s="1"/>
  <c r="Y139" i="1"/>
  <c r="Y145" i="1"/>
  <c r="Y155" i="1"/>
  <c r="BP148" i="1"/>
  <c r="BN148" i="1"/>
  <c r="Z148" i="1"/>
  <c r="BP150" i="1"/>
  <c r="BN150" i="1"/>
  <c r="Z150" i="1"/>
  <c r="Y154" i="1"/>
  <c r="BP168" i="1"/>
  <c r="BN168" i="1"/>
  <c r="Z168" i="1"/>
  <c r="BP172" i="1"/>
  <c r="BN172" i="1"/>
  <c r="Z172" i="1"/>
  <c r="BP176" i="1"/>
  <c r="BN176" i="1"/>
  <c r="Z176" i="1"/>
  <c r="BP184" i="1"/>
  <c r="BN184" i="1"/>
  <c r="Z184" i="1"/>
  <c r="Y189" i="1"/>
  <c r="BP188" i="1"/>
  <c r="BN188" i="1"/>
  <c r="Z188" i="1"/>
  <c r="Z189" i="1" s="1"/>
  <c r="Y190" i="1"/>
  <c r="J503" i="1"/>
  <c r="Y196" i="1"/>
  <c r="BP193" i="1"/>
  <c r="BN193" i="1"/>
  <c r="Z193" i="1"/>
  <c r="Z195" i="1" s="1"/>
  <c r="BP298" i="1"/>
  <c r="BN298" i="1"/>
  <c r="Z298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H9" i="1"/>
  <c r="Y24" i="1"/>
  <c r="BP57" i="1"/>
  <c r="BN57" i="1"/>
  <c r="BP63" i="1"/>
  <c r="BN63" i="1"/>
  <c r="Z63" i="1"/>
  <c r="Y65" i="1"/>
  <c r="Y70" i="1"/>
  <c r="BP67" i="1"/>
  <c r="BN67" i="1"/>
  <c r="Z67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Z105" i="1" s="1"/>
  <c r="Y105" i="1"/>
  <c r="BP109" i="1"/>
  <c r="BN109" i="1"/>
  <c r="Z109" i="1"/>
  <c r="Z112" i="1" s="1"/>
  <c r="BP117" i="1"/>
  <c r="BN117" i="1"/>
  <c r="Z117" i="1"/>
  <c r="BP138" i="1"/>
  <c r="BN138" i="1"/>
  <c r="Z138" i="1"/>
  <c r="Z139" i="1" s="1"/>
  <c r="Y140" i="1"/>
  <c r="Y146" i="1"/>
  <c r="BP143" i="1"/>
  <c r="BN143" i="1"/>
  <c r="Z143" i="1"/>
  <c r="BP149" i="1"/>
  <c r="BN149" i="1"/>
  <c r="Z149" i="1"/>
  <c r="BP152" i="1"/>
  <c r="BN152" i="1"/>
  <c r="Z152" i="1"/>
  <c r="BP170" i="1"/>
  <c r="BN170" i="1"/>
  <c r="Z170" i="1"/>
  <c r="BP174" i="1"/>
  <c r="BN174" i="1"/>
  <c r="Z174" i="1"/>
  <c r="BP178" i="1"/>
  <c r="BN178" i="1"/>
  <c r="Z178" i="1"/>
  <c r="Y180" i="1"/>
  <c r="Y185" i="1"/>
  <c r="BP182" i="1"/>
  <c r="BN182" i="1"/>
  <c r="Z182" i="1"/>
  <c r="BP204" i="1"/>
  <c r="BN204" i="1"/>
  <c r="Z204" i="1"/>
  <c r="Y212" i="1"/>
  <c r="BP208" i="1"/>
  <c r="BN208" i="1"/>
  <c r="Z208" i="1"/>
  <c r="BP216" i="1"/>
  <c r="BN216" i="1"/>
  <c r="Z216" i="1"/>
  <c r="BP220" i="1"/>
  <c r="BN220" i="1"/>
  <c r="Z220" i="1"/>
  <c r="BP233" i="1"/>
  <c r="BN233" i="1"/>
  <c r="Z233" i="1"/>
  <c r="BP237" i="1"/>
  <c r="BN237" i="1"/>
  <c r="Z237" i="1"/>
  <c r="Y241" i="1"/>
  <c r="BP253" i="1"/>
  <c r="BN253" i="1"/>
  <c r="Z253" i="1"/>
  <c r="Y257" i="1"/>
  <c r="BP262" i="1"/>
  <c r="BN262" i="1"/>
  <c r="Z262" i="1"/>
  <c r="Y266" i="1"/>
  <c r="BP271" i="1"/>
  <c r="BN271" i="1"/>
  <c r="Z271" i="1"/>
  <c r="Y275" i="1"/>
  <c r="BP280" i="1"/>
  <c r="BN280" i="1"/>
  <c r="Z280" i="1"/>
  <c r="Y282" i="1"/>
  <c r="P503" i="1"/>
  <c r="Y288" i="1"/>
  <c r="BP285" i="1"/>
  <c r="BN285" i="1"/>
  <c r="Z285" i="1"/>
  <c r="Z287" i="1" s="1"/>
  <c r="Y287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9" i="1"/>
  <c r="F503" i="1"/>
  <c r="Y106" i="1"/>
  <c r="G503" i="1"/>
  <c r="Y129" i="1"/>
  <c r="I503" i="1"/>
  <c r="Y165" i="1"/>
  <c r="Y201" i="1"/>
  <c r="BP198" i="1"/>
  <c r="Y211" i="1"/>
  <c r="BP206" i="1"/>
  <c r="BN206" i="1"/>
  <c r="Z206" i="1"/>
  <c r="BP210" i="1"/>
  <c r="BN210" i="1"/>
  <c r="Z210" i="1"/>
  <c r="Y223" i="1"/>
  <c r="BP214" i="1"/>
  <c r="BN214" i="1"/>
  <c r="Z214" i="1"/>
  <c r="BP218" i="1"/>
  <c r="BN218" i="1"/>
  <c r="Z218" i="1"/>
  <c r="BP222" i="1"/>
  <c r="BN222" i="1"/>
  <c r="Z222" i="1"/>
  <c r="Y224" i="1"/>
  <c r="Y229" i="1"/>
  <c r="BP226" i="1"/>
  <c r="BN226" i="1"/>
  <c r="Z226" i="1"/>
  <c r="BP235" i="1"/>
  <c r="BN235" i="1"/>
  <c r="Z235" i="1"/>
  <c r="BP239" i="1"/>
  <c r="BN239" i="1"/>
  <c r="Z239" i="1"/>
  <c r="Y258" i="1"/>
  <c r="BP255" i="1"/>
  <c r="BN255" i="1"/>
  <c r="Z255" i="1"/>
  <c r="L503" i="1"/>
  <c r="BP264" i="1"/>
  <c r="BN264" i="1"/>
  <c r="Z264" i="1"/>
  <c r="BP273" i="1"/>
  <c r="BN273" i="1"/>
  <c r="Z273" i="1"/>
  <c r="O503" i="1"/>
  <c r="Y281" i="1"/>
  <c r="BP278" i="1"/>
  <c r="BN278" i="1"/>
  <c r="Z278" i="1"/>
  <c r="BP291" i="1"/>
  <c r="BN291" i="1"/>
  <c r="Z291" i="1"/>
  <c r="Z292" i="1" s="1"/>
  <c r="Y293" i="1"/>
  <c r="Y303" i="1"/>
  <c r="BP296" i="1"/>
  <c r="BN296" i="1"/>
  <c r="Z296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BP336" i="1"/>
  <c r="BN336" i="1"/>
  <c r="Z336" i="1"/>
  <c r="R503" i="1"/>
  <c r="Y345" i="1"/>
  <c r="Y344" i="1"/>
  <c r="BP341" i="1"/>
  <c r="BN341" i="1"/>
  <c r="Z341" i="1"/>
  <c r="BP375" i="1"/>
  <c r="BN375" i="1"/>
  <c r="Z375" i="1"/>
  <c r="Z376" i="1" s="1"/>
  <c r="Y377" i="1"/>
  <c r="Y382" i="1"/>
  <c r="BP379" i="1"/>
  <c r="BN379" i="1"/>
  <c r="Z379" i="1"/>
  <c r="Z381" i="1" s="1"/>
  <c r="Y381" i="1"/>
  <c r="Q503" i="1"/>
  <c r="K503" i="1"/>
  <c r="Y242" i="1"/>
  <c r="Y267" i="1"/>
  <c r="M503" i="1"/>
  <c r="Y274" i="1"/>
  <c r="S503" i="1"/>
  <c r="BP352" i="1"/>
  <c r="BN352" i="1"/>
  <c r="Z352" i="1"/>
  <c r="BP360" i="1"/>
  <c r="BN360" i="1"/>
  <c r="Z360" i="1"/>
  <c r="Y362" i="1"/>
  <c r="Y367" i="1"/>
  <c r="BP364" i="1"/>
  <c r="BN364" i="1"/>
  <c r="Z364" i="1"/>
  <c r="Z366" i="1" s="1"/>
  <c r="BP385" i="1"/>
  <c r="BN385" i="1"/>
  <c r="Z385" i="1"/>
  <c r="Z387" i="1" s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BP465" i="1"/>
  <c r="BN465" i="1"/>
  <c r="Z465" i="1"/>
  <c r="BP485" i="1"/>
  <c r="BN485" i="1"/>
  <c r="Z485" i="1"/>
  <c r="Y487" i="1"/>
  <c r="Z503" i="1"/>
  <c r="Y491" i="1"/>
  <c r="BP490" i="1"/>
  <c r="BN490" i="1"/>
  <c r="Z490" i="1"/>
  <c r="Z491" i="1" s="1"/>
  <c r="Y492" i="1"/>
  <c r="Y440" i="1"/>
  <c r="Z486" i="1" l="1"/>
  <c r="Z331" i="1"/>
  <c r="Z302" i="1"/>
  <c r="Z281" i="1"/>
  <c r="Z266" i="1"/>
  <c r="Z228" i="1"/>
  <c r="Z406" i="1"/>
  <c r="Z185" i="1"/>
  <c r="Z145" i="1"/>
  <c r="Z241" i="1"/>
  <c r="Z200" i="1"/>
  <c r="Z468" i="1"/>
  <c r="Z440" i="1"/>
  <c r="Z401" i="1"/>
  <c r="Z361" i="1"/>
  <c r="Z344" i="1"/>
  <c r="Z356" i="1"/>
  <c r="Z274" i="1"/>
  <c r="Z257" i="1"/>
  <c r="Z211" i="1"/>
  <c r="Z96" i="1"/>
  <c r="Z69" i="1"/>
  <c r="Z311" i="1"/>
  <c r="Z58" i="1"/>
  <c r="Z32" i="1"/>
  <c r="Z455" i="1"/>
  <c r="Z418" i="1"/>
  <c r="Z337" i="1"/>
  <c r="Y497" i="1"/>
  <c r="Z154" i="1"/>
  <c r="Z76" i="1"/>
  <c r="Y493" i="1"/>
  <c r="Y495" i="1"/>
  <c r="Z223" i="1"/>
  <c r="Z318" i="1"/>
  <c r="Z179" i="1"/>
  <c r="Z119" i="1"/>
  <c r="Z89" i="1"/>
  <c r="Z64" i="1"/>
  <c r="Y494" i="1"/>
  <c r="Z498" i="1" l="1"/>
  <c r="Y496" i="1"/>
</calcChain>
</file>

<file path=xl/sharedStrings.xml><?xml version="1.0" encoding="utf-8"?>
<sst xmlns="http://schemas.openxmlformats.org/spreadsheetml/2006/main" count="2367" uniqueCount="778">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</sst>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36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72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45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8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61" sqref="AA61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616" t="s">
        <v>0</v>
      </c>
      <c r="E1" s="575"/>
      <c r="F1" s="575"/>
      <c r="G1" s="12" t="s">
        <v>1</v>
      </c>
      <c r="H1" s="616" t="s">
        <v>2</v>
      </c>
      <c r="I1" s="575"/>
      <c r="J1" s="575"/>
      <c r="K1" s="575"/>
      <c r="L1" s="575"/>
      <c r="M1" s="575"/>
      <c r="N1" s="575"/>
      <c r="O1" s="575"/>
      <c r="P1" s="575"/>
      <c r="Q1" s="575"/>
      <c r="R1" s="574" t="s">
        <v>3</v>
      </c>
      <c r="S1" s="575"/>
      <c r="T1" s="57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677" t="s">
        <v>8</v>
      </c>
      <c r="B5" s="678"/>
      <c r="C5" s="679"/>
      <c r="D5" s="620"/>
      <c r="E5" s="621"/>
      <c r="F5" s="843" t="s">
        <v>9</v>
      </c>
      <c r="G5" s="679"/>
      <c r="H5" s="620" t="s">
        <v>777</v>
      </c>
      <c r="I5" s="788"/>
      <c r="J5" s="788"/>
      <c r="K5" s="788"/>
      <c r="L5" s="788"/>
      <c r="M5" s="621"/>
      <c r="N5" s="58"/>
      <c r="P5" s="24" t="s">
        <v>10</v>
      </c>
      <c r="Q5" s="858">
        <v>46016</v>
      </c>
      <c r="R5" s="672"/>
      <c r="T5" s="731" t="s">
        <v>11</v>
      </c>
      <c r="U5" s="732"/>
      <c r="V5" s="733" t="s">
        <v>12</v>
      </c>
      <c r="W5" s="672"/>
      <c r="AB5" s="51"/>
      <c r="AC5" s="51"/>
      <c r="AD5" s="51"/>
      <c r="AE5" s="51"/>
    </row>
    <row r="6" spans="1:32" s="543" customFormat="1" ht="24" customHeight="1" x14ac:dyDescent="0.2">
      <c r="A6" s="677" t="s">
        <v>13</v>
      </c>
      <c r="B6" s="678"/>
      <c r="C6" s="679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2"/>
      <c r="N6" s="59"/>
      <c r="P6" s="24" t="s">
        <v>15</v>
      </c>
      <c r="Q6" s="866" t="str">
        <f>IF(Q5=0," ",CHOOSE(WEEKDAY(Q5,2),"Понедельник","Вторник","Среда","Четверг","Пятница","Суббота","Воскресенье"))</f>
        <v>Четверг</v>
      </c>
      <c r="R6" s="561"/>
      <c r="T6" s="737" t="s">
        <v>16</v>
      </c>
      <c r="U6" s="732"/>
      <c r="V6" s="774" t="s">
        <v>17</v>
      </c>
      <c r="W6" s="582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624" t="str">
        <f>IFERROR(VLOOKUP(DeliveryAddress,Table,3,0),1)</f>
        <v>1</v>
      </c>
      <c r="E7" s="625"/>
      <c r="F7" s="625"/>
      <c r="G7" s="625"/>
      <c r="H7" s="625"/>
      <c r="I7" s="625"/>
      <c r="J7" s="625"/>
      <c r="K7" s="625"/>
      <c r="L7" s="625"/>
      <c r="M7" s="626"/>
      <c r="N7" s="60"/>
      <c r="P7" s="24"/>
      <c r="Q7" s="42"/>
      <c r="R7" s="42"/>
      <c r="T7" s="559"/>
      <c r="U7" s="732"/>
      <c r="V7" s="775"/>
      <c r="W7" s="776"/>
      <c r="AB7" s="51"/>
      <c r="AC7" s="51"/>
      <c r="AD7" s="51"/>
      <c r="AE7" s="51"/>
    </row>
    <row r="8" spans="1:32" s="543" customFormat="1" ht="25.5" customHeight="1" x14ac:dyDescent="0.2">
      <c r="A8" s="876" t="s">
        <v>18</v>
      </c>
      <c r="B8" s="556"/>
      <c r="C8" s="557"/>
      <c r="D8" s="606" t="s">
        <v>19</v>
      </c>
      <c r="E8" s="607"/>
      <c r="F8" s="607"/>
      <c r="G8" s="607"/>
      <c r="H8" s="607"/>
      <c r="I8" s="607"/>
      <c r="J8" s="607"/>
      <c r="K8" s="607"/>
      <c r="L8" s="607"/>
      <c r="M8" s="608"/>
      <c r="N8" s="61"/>
      <c r="P8" s="24" t="s">
        <v>20</v>
      </c>
      <c r="Q8" s="694">
        <v>0.45833333333333331</v>
      </c>
      <c r="R8" s="626"/>
      <c r="T8" s="559"/>
      <c r="U8" s="732"/>
      <c r="V8" s="775"/>
      <c r="W8" s="776"/>
      <c r="AB8" s="51"/>
      <c r="AC8" s="51"/>
      <c r="AD8" s="51"/>
      <c r="AE8" s="51"/>
    </row>
    <row r="9" spans="1:32" s="543" customFormat="1" ht="39.950000000000003" customHeight="1" x14ac:dyDescent="0.2">
      <c r="A9" s="7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701"/>
      <c r="E9" s="554"/>
      <c r="F9" s="7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53" t="str">
        <f>IF(AND($A$9="Тип доверенности/получателя при получении в адресе перегруза:",$D$9="Разовая доверенность"),"Введите ФИО","")</f>
        <v/>
      </c>
      <c r="I9" s="554"/>
      <c r="J9" s="55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4"/>
      <c r="L9" s="554"/>
      <c r="M9" s="554"/>
      <c r="N9" s="541"/>
      <c r="P9" s="26" t="s">
        <v>21</v>
      </c>
      <c r="Q9" s="669"/>
      <c r="R9" s="670"/>
      <c r="T9" s="559"/>
      <c r="U9" s="732"/>
      <c r="V9" s="777"/>
      <c r="W9" s="77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7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701"/>
      <c r="E10" s="554"/>
      <c r="F10" s="7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66" t="str">
        <f>IFERROR(VLOOKUP($D$10,Proxy,2,FALSE),"")</f>
        <v/>
      </c>
      <c r="I10" s="559"/>
      <c r="J10" s="559"/>
      <c r="K10" s="559"/>
      <c r="L10" s="559"/>
      <c r="M10" s="559"/>
      <c r="N10" s="542"/>
      <c r="P10" s="26" t="s">
        <v>22</v>
      </c>
      <c r="Q10" s="738"/>
      <c r="R10" s="739"/>
      <c r="U10" s="24" t="s">
        <v>23</v>
      </c>
      <c r="V10" s="581" t="s">
        <v>24</v>
      </c>
      <c r="W10" s="582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1"/>
      <c r="R11" s="672"/>
      <c r="U11" s="24" t="s">
        <v>27</v>
      </c>
      <c r="V11" s="818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698" t="s">
        <v>29</v>
      </c>
      <c r="B12" s="678"/>
      <c r="C12" s="678"/>
      <c r="D12" s="678"/>
      <c r="E12" s="678"/>
      <c r="F12" s="678"/>
      <c r="G12" s="678"/>
      <c r="H12" s="678"/>
      <c r="I12" s="678"/>
      <c r="J12" s="678"/>
      <c r="K12" s="678"/>
      <c r="L12" s="678"/>
      <c r="M12" s="679"/>
      <c r="N12" s="62"/>
      <c r="P12" s="24" t="s">
        <v>30</v>
      </c>
      <c r="Q12" s="694"/>
      <c r="R12" s="626"/>
      <c r="S12" s="23"/>
      <c r="U12" s="24"/>
      <c r="V12" s="575"/>
      <c r="W12" s="559"/>
      <c r="AB12" s="51"/>
      <c r="AC12" s="51"/>
      <c r="AD12" s="51"/>
      <c r="AE12" s="51"/>
    </row>
    <row r="13" spans="1:32" s="543" customFormat="1" ht="23.25" customHeight="1" x14ac:dyDescent="0.2">
      <c r="A13" s="698" t="s">
        <v>31</v>
      </c>
      <c r="B13" s="678"/>
      <c r="C13" s="678"/>
      <c r="D13" s="678"/>
      <c r="E13" s="678"/>
      <c r="F13" s="678"/>
      <c r="G13" s="678"/>
      <c r="H13" s="678"/>
      <c r="I13" s="678"/>
      <c r="J13" s="678"/>
      <c r="K13" s="678"/>
      <c r="L13" s="678"/>
      <c r="M13" s="679"/>
      <c r="N13" s="62"/>
      <c r="O13" s="26"/>
      <c r="P13" s="26" t="s">
        <v>32</v>
      </c>
      <c r="Q13" s="818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698" t="s">
        <v>33</v>
      </c>
      <c r="B14" s="678"/>
      <c r="C14" s="678"/>
      <c r="D14" s="678"/>
      <c r="E14" s="678"/>
      <c r="F14" s="678"/>
      <c r="G14" s="678"/>
      <c r="H14" s="678"/>
      <c r="I14" s="678"/>
      <c r="J14" s="678"/>
      <c r="K14" s="678"/>
      <c r="L14" s="678"/>
      <c r="M14" s="67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42" t="s">
        <v>34</v>
      </c>
      <c r="B15" s="678"/>
      <c r="C15" s="678"/>
      <c r="D15" s="678"/>
      <c r="E15" s="678"/>
      <c r="F15" s="678"/>
      <c r="G15" s="678"/>
      <c r="H15" s="678"/>
      <c r="I15" s="678"/>
      <c r="J15" s="678"/>
      <c r="K15" s="678"/>
      <c r="L15" s="678"/>
      <c r="M15" s="679"/>
      <c r="N15" s="63"/>
      <c r="P15" s="705" t="s">
        <v>35</v>
      </c>
      <c r="Q15" s="575"/>
      <c r="R15" s="575"/>
      <c r="S15" s="575"/>
      <c r="T15" s="57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6"/>
      <c r="Q16" s="706"/>
      <c r="R16" s="706"/>
      <c r="S16" s="706"/>
      <c r="T16" s="70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3" t="s">
        <v>36</v>
      </c>
      <c r="B17" s="583" t="s">
        <v>37</v>
      </c>
      <c r="C17" s="709" t="s">
        <v>38</v>
      </c>
      <c r="D17" s="583" t="s">
        <v>39</v>
      </c>
      <c r="E17" s="648"/>
      <c r="F17" s="583" t="s">
        <v>40</v>
      </c>
      <c r="G17" s="583" t="s">
        <v>41</v>
      </c>
      <c r="H17" s="583" t="s">
        <v>42</v>
      </c>
      <c r="I17" s="583" t="s">
        <v>43</v>
      </c>
      <c r="J17" s="583" t="s">
        <v>44</v>
      </c>
      <c r="K17" s="583" t="s">
        <v>45</v>
      </c>
      <c r="L17" s="583" t="s">
        <v>46</v>
      </c>
      <c r="M17" s="583" t="s">
        <v>47</v>
      </c>
      <c r="N17" s="583" t="s">
        <v>48</v>
      </c>
      <c r="O17" s="583" t="s">
        <v>49</v>
      </c>
      <c r="P17" s="583" t="s">
        <v>50</v>
      </c>
      <c r="Q17" s="647"/>
      <c r="R17" s="647"/>
      <c r="S17" s="647"/>
      <c r="T17" s="648"/>
      <c r="U17" s="871" t="s">
        <v>51</v>
      </c>
      <c r="V17" s="679"/>
      <c r="W17" s="583" t="s">
        <v>52</v>
      </c>
      <c r="X17" s="583" t="s">
        <v>53</v>
      </c>
      <c r="Y17" s="874" t="s">
        <v>54</v>
      </c>
      <c r="Z17" s="785" t="s">
        <v>55</v>
      </c>
      <c r="AA17" s="764" t="s">
        <v>56</v>
      </c>
      <c r="AB17" s="764" t="s">
        <v>57</v>
      </c>
      <c r="AC17" s="764" t="s">
        <v>58</v>
      </c>
      <c r="AD17" s="764" t="s">
        <v>59</v>
      </c>
      <c r="AE17" s="838"/>
      <c r="AF17" s="839"/>
      <c r="AG17" s="66"/>
      <c r="BD17" s="65" t="s">
        <v>60</v>
      </c>
    </row>
    <row r="18" spans="1:68" ht="14.25" customHeight="1" x14ac:dyDescent="0.2">
      <c r="A18" s="584"/>
      <c r="B18" s="584"/>
      <c r="C18" s="584"/>
      <c r="D18" s="649"/>
      <c r="E18" s="651"/>
      <c r="F18" s="584"/>
      <c r="G18" s="584"/>
      <c r="H18" s="584"/>
      <c r="I18" s="584"/>
      <c r="J18" s="584"/>
      <c r="K18" s="584"/>
      <c r="L18" s="584"/>
      <c r="M18" s="584"/>
      <c r="N18" s="584"/>
      <c r="O18" s="584"/>
      <c r="P18" s="649"/>
      <c r="Q18" s="650"/>
      <c r="R18" s="650"/>
      <c r="S18" s="650"/>
      <c r="T18" s="651"/>
      <c r="U18" s="67" t="s">
        <v>61</v>
      </c>
      <c r="V18" s="67" t="s">
        <v>62</v>
      </c>
      <c r="W18" s="584"/>
      <c r="X18" s="584"/>
      <c r="Y18" s="875"/>
      <c r="Z18" s="786"/>
      <c r="AA18" s="765"/>
      <c r="AB18" s="765"/>
      <c r="AC18" s="765"/>
      <c r="AD18" s="840"/>
      <c r="AE18" s="841"/>
      <c r="AF18" s="842"/>
      <c r="AG18" s="66"/>
      <c r="BD18" s="65"/>
    </row>
    <row r="19" spans="1:68" ht="27.75" hidden="1" customHeight="1" x14ac:dyDescent="0.2">
      <c r="A19" s="690" t="s">
        <v>63</v>
      </c>
      <c r="B19" s="691"/>
      <c r="C19" s="691"/>
      <c r="D19" s="691"/>
      <c r="E19" s="691"/>
      <c r="F19" s="691"/>
      <c r="G19" s="691"/>
      <c r="H19" s="691"/>
      <c r="I19" s="691"/>
      <c r="J19" s="691"/>
      <c r="K19" s="691"/>
      <c r="L19" s="691"/>
      <c r="M19" s="691"/>
      <c r="N19" s="691"/>
      <c r="O19" s="691"/>
      <c r="P19" s="691"/>
      <c r="Q19" s="691"/>
      <c r="R19" s="691"/>
      <c r="S19" s="691"/>
      <c r="T19" s="691"/>
      <c r="U19" s="691"/>
      <c r="V19" s="691"/>
      <c r="W19" s="691"/>
      <c r="X19" s="691"/>
      <c r="Y19" s="691"/>
      <c r="Z19" s="691"/>
      <c r="AA19" s="48"/>
      <c r="AB19" s="48"/>
      <c r="AC19" s="48"/>
    </row>
    <row r="20" spans="1:68" ht="16.5" hidden="1" customHeight="1" x14ac:dyDescent="0.25">
      <c r="A20" s="599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4"/>
      <c r="AB20" s="544"/>
      <c r="AC20" s="544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3"/>
      <c r="R22" s="563"/>
      <c r="S22" s="563"/>
      <c r="T22" s="564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3"/>
      <c r="R23" s="563"/>
      <c r="S23" s="563"/>
      <c r="T23" s="564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7"/>
      <c r="P24" s="555" t="s">
        <v>75</v>
      </c>
      <c r="Q24" s="556"/>
      <c r="R24" s="556"/>
      <c r="S24" s="556"/>
      <c r="T24" s="556"/>
      <c r="U24" s="556"/>
      <c r="V24" s="557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7"/>
      <c r="P25" s="555" t="s">
        <v>75</v>
      </c>
      <c r="Q25" s="556"/>
      <c r="R25" s="556"/>
      <c r="S25" s="556"/>
      <c r="T25" s="556"/>
      <c r="U25" s="556"/>
      <c r="V25" s="557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3"/>
      <c r="R27" s="563"/>
      <c r="S27" s="563"/>
      <c r="T27" s="564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9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3"/>
      <c r="R28" s="563"/>
      <c r="S28" s="563"/>
      <c r="T28" s="564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7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3"/>
      <c r="R29" s="563"/>
      <c r="S29" s="563"/>
      <c r="T29" s="564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7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3"/>
      <c r="R30" s="563"/>
      <c r="S30" s="563"/>
      <c r="T30" s="564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0">
        <v>4607091388244</v>
      </c>
      <c r="E31" s="561"/>
      <c r="F31" s="548">
        <v>0.42</v>
      </c>
      <c r="G31" s="32">
        <v>6</v>
      </c>
      <c r="H31" s="548">
        <v>2.52</v>
      </c>
      <c r="I31" s="548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3"/>
      <c r="R31" s="563"/>
      <c r="S31" s="563"/>
      <c r="T31" s="564"/>
      <c r="U31" s="34"/>
      <c r="V31" s="34"/>
      <c r="W31" s="35" t="s">
        <v>69</v>
      </c>
      <c r="X31" s="549">
        <v>0</v>
      </c>
      <c r="Y31" s="55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7"/>
      <c r="P32" s="555" t="s">
        <v>75</v>
      </c>
      <c r="Q32" s="556"/>
      <c r="R32" s="556"/>
      <c r="S32" s="556"/>
      <c r="T32" s="556"/>
      <c r="U32" s="556"/>
      <c r="V32" s="557"/>
      <c r="W32" s="37" t="s">
        <v>76</v>
      </c>
      <c r="X32" s="551">
        <f>IFERROR(X27/H27,"0")+IFERROR(X28/H28,"0")+IFERROR(X29/H29,"0")+IFERROR(X30/H30,"0")+IFERROR(X31/H31,"0")</f>
        <v>0</v>
      </c>
      <c r="Y32" s="551">
        <f>IFERROR(Y27/H27,"0")+IFERROR(Y28/H28,"0")+IFERROR(Y29/H29,"0")+IFERROR(Y30/H30,"0")+IFERROR(Y31/H31,"0")</f>
        <v>0</v>
      </c>
      <c r="Z32" s="551">
        <f>IFERROR(IF(Z27="",0,Z27),"0")+IFERROR(IF(Z28="",0,Z28),"0")+IFERROR(IF(Z29="",0,Z29),"0")+IFERROR(IF(Z30="",0,Z30),"0")+IFERROR(IF(Z31="",0,Z31),"0")</f>
        <v>0</v>
      </c>
      <c r="AA32" s="552"/>
      <c r="AB32" s="552"/>
      <c r="AC32" s="552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67"/>
      <c r="P33" s="555" t="s">
        <v>75</v>
      </c>
      <c r="Q33" s="556"/>
      <c r="R33" s="556"/>
      <c r="S33" s="556"/>
      <c r="T33" s="556"/>
      <c r="U33" s="556"/>
      <c r="V33" s="557"/>
      <c r="W33" s="37" t="s">
        <v>69</v>
      </c>
      <c r="X33" s="551">
        <f>IFERROR(SUM(X27:X31),"0")</f>
        <v>0</v>
      </c>
      <c r="Y33" s="551">
        <f>IFERROR(SUM(Y27:Y31),"0")</f>
        <v>0</v>
      </c>
      <c r="Z33" s="37"/>
      <c r="AA33" s="552"/>
      <c r="AB33" s="552"/>
      <c r="AC33" s="552"/>
    </row>
    <row r="34" spans="1:68" ht="14.25" hidden="1" customHeight="1" x14ac:dyDescent="0.25">
      <c r="A34" s="558" t="s">
        <v>95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5"/>
      <c r="AB34" s="545"/>
      <c r="AC34" s="545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0">
        <v>4607091388503</v>
      </c>
      <c r="E35" s="561"/>
      <c r="F35" s="548">
        <v>0.05</v>
      </c>
      <c r="G35" s="32">
        <v>12</v>
      </c>
      <c r="H35" s="548">
        <v>0.6</v>
      </c>
      <c r="I35" s="548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1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3"/>
      <c r="R35" s="563"/>
      <c r="S35" s="563"/>
      <c r="T35" s="564"/>
      <c r="U35" s="34"/>
      <c r="V35" s="34"/>
      <c r="W35" s="35" t="s">
        <v>69</v>
      </c>
      <c r="X35" s="549">
        <v>0</v>
      </c>
      <c r="Y35" s="550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7"/>
      <c r="P36" s="555" t="s">
        <v>75</v>
      </c>
      <c r="Q36" s="556"/>
      <c r="R36" s="556"/>
      <c r="S36" s="556"/>
      <c r="T36" s="556"/>
      <c r="U36" s="556"/>
      <c r="V36" s="557"/>
      <c r="W36" s="37" t="s">
        <v>76</v>
      </c>
      <c r="X36" s="551">
        <f>IFERROR(X35/H35,"0")</f>
        <v>0</v>
      </c>
      <c r="Y36" s="551">
        <f>IFERROR(Y35/H35,"0")</f>
        <v>0</v>
      </c>
      <c r="Z36" s="551">
        <f>IFERROR(IF(Z35="",0,Z35),"0")</f>
        <v>0</v>
      </c>
      <c r="AA36" s="552"/>
      <c r="AB36" s="552"/>
      <c r="AC36" s="552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67"/>
      <c r="P37" s="555" t="s">
        <v>75</v>
      </c>
      <c r="Q37" s="556"/>
      <c r="R37" s="556"/>
      <c r="S37" s="556"/>
      <c r="T37" s="556"/>
      <c r="U37" s="556"/>
      <c r="V37" s="557"/>
      <c r="W37" s="37" t="s">
        <v>69</v>
      </c>
      <c r="X37" s="551">
        <f>IFERROR(SUM(X35:X35),"0")</f>
        <v>0</v>
      </c>
      <c r="Y37" s="551">
        <f>IFERROR(SUM(Y35:Y35),"0")</f>
        <v>0</v>
      </c>
      <c r="Z37" s="37"/>
      <c r="AA37" s="552"/>
      <c r="AB37" s="552"/>
      <c r="AC37" s="552"/>
    </row>
    <row r="38" spans="1:68" ht="27.75" hidden="1" customHeight="1" x14ac:dyDescent="0.2">
      <c r="A38" s="690" t="s">
        <v>101</v>
      </c>
      <c r="B38" s="691"/>
      <c r="C38" s="691"/>
      <c r="D38" s="691"/>
      <c r="E38" s="691"/>
      <c r="F38" s="691"/>
      <c r="G38" s="691"/>
      <c r="H38" s="691"/>
      <c r="I38" s="691"/>
      <c r="J38" s="691"/>
      <c r="K38" s="691"/>
      <c r="L38" s="691"/>
      <c r="M38" s="691"/>
      <c r="N38" s="691"/>
      <c r="O38" s="691"/>
      <c r="P38" s="691"/>
      <c r="Q38" s="691"/>
      <c r="R38" s="691"/>
      <c r="S38" s="691"/>
      <c r="T38" s="691"/>
      <c r="U38" s="691"/>
      <c r="V38" s="691"/>
      <c r="W38" s="691"/>
      <c r="X38" s="691"/>
      <c r="Y38" s="691"/>
      <c r="Z38" s="691"/>
      <c r="AA38" s="48"/>
      <c r="AB38" s="48"/>
      <c r="AC38" s="48"/>
    </row>
    <row r="39" spans="1:68" ht="16.5" hidden="1" customHeight="1" x14ac:dyDescent="0.25">
      <c r="A39" s="599" t="s">
        <v>102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4"/>
      <c r="AB39" s="544"/>
      <c r="AC39" s="544"/>
    </row>
    <row r="40" spans="1:68" ht="14.25" hidden="1" customHeight="1" x14ac:dyDescent="0.25">
      <c r="A40" s="558" t="s">
        <v>103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5"/>
      <c r="AB40" s="545"/>
      <c r="AC40" s="545"/>
    </row>
    <row r="41" spans="1:68" ht="16.5" hidden="1" customHeight="1" x14ac:dyDescent="0.25">
      <c r="A41" s="54" t="s">
        <v>104</v>
      </c>
      <c r="B41" s="54" t="s">
        <v>105</v>
      </c>
      <c r="C41" s="31">
        <v>4301011380</v>
      </c>
      <c r="D41" s="560">
        <v>4607091385670</v>
      </c>
      <c r="E41" s="561"/>
      <c r="F41" s="548">
        <v>1.35</v>
      </c>
      <c r="G41" s="32">
        <v>8</v>
      </c>
      <c r="H41" s="548">
        <v>10.8</v>
      </c>
      <c r="I41" s="548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7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3"/>
      <c r="R41" s="563"/>
      <c r="S41" s="563"/>
      <c r="T41" s="564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0">
        <v>4680115882539</v>
      </c>
      <c r="E42" s="561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2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3"/>
      <c r="R42" s="563"/>
      <c r="S42" s="563"/>
      <c r="T42" s="564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0">
        <v>4607091385687</v>
      </c>
      <c r="E43" s="561"/>
      <c r="F43" s="548">
        <v>0.4</v>
      </c>
      <c r="G43" s="32">
        <v>10</v>
      </c>
      <c r="H43" s="548">
        <v>4</v>
      </c>
      <c r="I43" s="548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3"/>
      <c r="R43" s="563"/>
      <c r="S43" s="563"/>
      <c r="T43" s="564"/>
      <c r="U43" s="34"/>
      <c r="V43" s="34"/>
      <c r="W43" s="35" t="s">
        <v>69</v>
      </c>
      <c r="X43" s="549">
        <v>0</v>
      </c>
      <c r="Y43" s="550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idden="1" x14ac:dyDescent="0.2">
      <c r="A44" s="566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7"/>
      <c r="P44" s="555" t="s">
        <v>75</v>
      </c>
      <c r="Q44" s="556"/>
      <c r="R44" s="556"/>
      <c r="S44" s="556"/>
      <c r="T44" s="556"/>
      <c r="U44" s="556"/>
      <c r="V44" s="557"/>
      <c r="W44" s="37" t="s">
        <v>76</v>
      </c>
      <c r="X44" s="551">
        <f>IFERROR(X41/H41,"0")+IFERROR(X42/H42,"0")+IFERROR(X43/H43,"0")</f>
        <v>0</v>
      </c>
      <c r="Y44" s="551">
        <f>IFERROR(Y41/H41,"0")+IFERROR(Y42/H42,"0")+IFERROR(Y43/H43,"0")</f>
        <v>0</v>
      </c>
      <c r="Z44" s="551">
        <f>IFERROR(IF(Z41="",0,Z41),"0")+IFERROR(IF(Z42="",0,Z42),"0")+IFERROR(IF(Z43="",0,Z43),"0")</f>
        <v>0</v>
      </c>
      <c r="AA44" s="552"/>
      <c r="AB44" s="552"/>
      <c r="AC44" s="552"/>
    </row>
    <row r="45" spans="1:68" hidden="1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67"/>
      <c r="P45" s="555" t="s">
        <v>75</v>
      </c>
      <c r="Q45" s="556"/>
      <c r="R45" s="556"/>
      <c r="S45" s="556"/>
      <c r="T45" s="556"/>
      <c r="U45" s="556"/>
      <c r="V45" s="557"/>
      <c r="W45" s="37" t="s">
        <v>69</v>
      </c>
      <c r="X45" s="551">
        <f>IFERROR(SUM(X41:X43),"0")</f>
        <v>0</v>
      </c>
      <c r="Y45" s="551">
        <f>IFERROR(SUM(Y41:Y43),"0")</f>
        <v>0</v>
      </c>
      <c r="Z45" s="37"/>
      <c r="AA45" s="552"/>
      <c r="AB45" s="552"/>
      <c r="AC45" s="552"/>
    </row>
    <row r="46" spans="1:68" ht="14.25" hidden="1" customHeight="1" x14ac:dyDescent="0.25">
      <c r="A46" s="558" t="s">
        <v>77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5"/>
      <c r="AB46" s="545"/>
      <c r="AC46" s="545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0">
        <v>4680115884915</v>
      </c>
      <c r="E47" s="561"/>
      <c r="F47" s="548">
        <v>0.3</v>
      </c>
      <c r="G47" s="32">
        <v>6</v>
      </c>
      <c r="H47" s="548">
        <v>1.8</v>
      </c>
      <c r="I47" s="548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4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3"/>
      <c r="R47" s="563"/>
      <c r="S47" s="563"/>
      <c r="T47" s="564"/>
      <c r="U47" s="34"/>
      <c r="V47" s="34"/>
      <c r="W47" s="35" t="s">
        <v>69</v>
      </c>
      <c r="X47" s="549">
        <v>0</v>
      </c>
      <c r="Y47" s="550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7"/>
      <c r="P48" s="555" t="s">
        <v>75</v>
      </c>
      <c r="Q48" s="556"/>
      <c r="R48" s="556"/>
      <c r="S48" s="556"/>
      <c r="T48" s="556"/>
      <c r="U48" s="556"/>
      <c r="V48" s="557"/>
      <c r="W48" s="37" t="s">
        <v>76</v>
      </c>
      <c r="X48" s="551">
        <f>IFERROR(X47/H47,"0")</f>
        <v>0</v>
      </c>
      <c r="Y48" s="551">
        <f>IFERROR(Y47/H47,"0")</f>
        <v>0</v>
      </c>
      <c r="Z48" s="551">
        <f>IFERROR(IF(Z47="",0,Z47),"0")</f>
        <v>0</v>
      </c>
      <c r="AA48" s="552"/>
      <c r="AB48" s="552"/>
      <c r="AC48" s="552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67"/>
      <c r="P49" s="555" t="s">
        <v>75</v>
      </c>
      <c r="Q49" s="556"/>
      <c r="R49" s="556"/>
      <c r="S49" s="556"/>
      <c r="T49" s="556"/>
      <c r="U49" s="556"/>
      <c r="V49" s="557"/>
      <c r="W49" s="37" t="s">
        <v>69</v>
      </c>
      <c r="X49" s="551">
        <f>IFERROR(SUM(X47:X47),"0")</f>
        <v>0</v>
      </c>
      <c r="Y49" s="551">
        <f>IFERROR(SUM(Y47:Y47),"0")</f>
        <v>0</v>
      </c>
      <c r="Z49" s="37"/>
      <c r="AA49" s="552"/>
      <c r="AB49" s="552"/>
      <c r="AC49" s="552"/>
    </row>
    <row r="50" spans="1:68" ht="16.5" hidden="1" customHeight="1" x14ac:dyDescent="0.25">
      <c r="A50" s="599" t="s">
        <v>119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4"/>
      <c r="AB50" s="544"/>
      <c r="AC50" s="544"/>
    </row>
    <row r="51" spans="1:68" ht="14.25" hidden="1" customHeight="1" x14ac:dyDescent="0.25">
      <c r="A51" s="558" t="s">
        <v>103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5"/>
      <c r="AB51" s="545"/>
      <c r="AC51" s="545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0">
        <v>4680115885882</v>
      </c>
      <c r="E52" s="561"/>
      <c r="F52" s="548">
        <v>1.4</v>
      </c>
      <c r="G52" s="32">
        <v>8</v>
      </c>
      <c r="H52" s="548">
        <v>11.2</v>
      </c>
      <c r="I52" s="548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5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3"/>
      <c r="R52" s="563"/>
      <c r="S52" s="563"/>
      <c r="T52" s="564"/>
      <c r="U52" s="34"/>
      <c r="V52" s="34"/>
      <c r="W52" s="35" t="s">
        <v>69</v>
      </c>
      <c r="X52" s="549">
        <v>0</v>
      </c>
      <c r="Y52" s="550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0">
        <v>4680115881426</v>
      </c>
      <c r="E53" s="561"/>
      <c r="F53" s="548">
        <v>1.35</v>
      </c>
      <c r="G53" s="32">
        <v>8</v>
      </c>
      <c r="H53" s="548">
        <v>10.8</v>
      </c>
      <c r="I53" s="548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71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3"/>
      <c r="R53" s="563"/>
      <c r="S53" s="563"/>
      <c r="T53" s="564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0">
        <v>4680115880283</v>
      </c>
      <c r="E54" s="561"/>
      <c r="F54" s="548">
        <v>0.6</v>
      </c>
      <c r="G54" s="32">
        <v>8</v>
      </c>
      <c r="H54" s="548">
        <v>4.8</v>
      </c>
      <c r="I54" s="548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3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3"/>
      <c r="R54" s="563"/>
      <c r="S54" s="563"/>
      <c r="T54" s="564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0">
        <v>4680115881525</v>
      </c>
      <c r="E55" s="561"/>
      <c r="F55" s="548">
        <v>0.4</v>
      </c>
      <c r="G55" s="32">
        <v>10</v>
      </c>
      <c r="H55" s="548">
        <v>4</v>
      </c>
      <c r="I55" s="548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3"/>
      <c r="R55" s="563"/>
      <c r="S55" s="563"/>
      <c r="T55" s="564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0">
        <v>4680115885899</v>
      </c>
      <c r="E56" s="561"/>
      <c r="F56" s="548">
        <v>0.35</v>
      </c>
      <c r="G56" s="32">
        <v>6</v>
      </c>
      <c r="H56" s="548">
        <v>2.1</v>
      </c>
      <c r="I56" s="548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58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3"/>
      <c r="R56" s="563"/>
      <c r="S56" s="563"/>
      <c r="T56" s="564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135</v>
      </c>
      <c r="B57" s="54" t="s">
        <v>136</v>
      </c>
      <c r="C57" s="31">
        <v>4301011801</v>
      </c>
      <c r="D57" s="560">
        <v>4680115881419</v>
      </c>
      <c r="E57" s="561"/>
      <c r="F57" s="548">
        <v>0.45</v>
      </c>
      <c r="G57" s="32">
        <v>10</v>
      </c>
      <c r="H57" s="548">
        <v>4.5</v>
      </c>
      <c r="I57" s="548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4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3"/>
      <c r="R57" s="563"/>
      <c r="S57" s="563"/>
      <c r="T57" s="564"/>
      <c r="U57" s="34"/>
      <c r="V57" s="34"/>
      <c r="W57" s="35" t="s">
        <v>69</v>
      </c>
      <c r="X57" s="549">
        <v>0</v>
      </c>
      <c r="Y57" s="550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idden="1" x14ac:dyDescent="0.2">
      <c r="A58" s="566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7"/>
      <c r="P58" s="555" t="s">
        <v>75</v>
      </c>
      <c r="Q58" s="556"/>
      <c r="R58" s="556"/>
      <c r="S58" s="556"/>
      <c r="T58" s="556"/>
      <c r="U58" s="556"/>
      <c r="V58" s="557"/>
      <c r="W58" s="37" t="s">
        <v>76</v>
      </c>
      <c r="X58" s="551">
        <f>IFERROR(X52/H52,"0")+IFERROR(X53/H53,"0")+IFERROR(X54/H54,"0")+IFERROR(X55/H55,"0")+IFERROR(X56/H56,"0")+IFERROR(X57/H57,"0")</f>
        <v>0</v>
      </c>
      <c r="Y58" s="551">
        <f>IFERROR(Y52/H52,"0")+IFERROR(Y53/H53,"0")+IFERROR(Y54/H54,"0")+IFERROR(Y55/H55,"0")+IFERROR(Y56/H56,"0")+IFERROR(Y57/H57,"0")</f>
        <v>0</v>
      </c>
      <c r="Z58" s="551">
        <f>IFERROR(IF(Z52="",0,Z52),"0")+IFERROR(IF(Z53="",0,Z53),"0")+IFERROR(IF(Z54="",0,Z54),"0")+IFERROR(IF(Z55="",0,Z55),"0")+IFERROR(IF(Z56="",0,Z56),"0")+IFERROR(IF(Z57="",0,Z57),"0")</f>
        <v>0</v>
      </c>
      <c r="AA58" s="552"/>
      <c r="AB58" s="552"/>
      <c r="AC58" s="552"/>
    </row>
    <row r="59" spans="1:68" hidden="1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67"/>
      <c r="P59" s="555" t="s">
        <v>75</v>
      </c>
      <c r="Q59" s="556"/>
      <c r="R59" s="556"/>
      <c r="S59" s="556"/>
      <c r="T59" s="556"/>
      <c r="U59" s="556"/>
      <c r="V59" s="557"/>
      <c r="W59" s="37" t="s">
        <v>69</v>
      </c>
      <c r="X59" s="551">
        <f>IFERROR(SUM(X52:X57),"0")</f>
        <v>0</v>
      </c>
      <c r="Y59" s="551">
        <f>IFERROR(SUM(Y52:Y57),"0")</f>
        <v>0</v>
      </c>
      <c r="Z59" s="37"/>
      <c r="AA59" s="552"/>
      <c r="AB59" s="552"/>
      <c r="AC59" s="552"/>
    </row>
    <row r="60" spans="1:68" ht="14.25" hidden="1" customHeight="1" x14ac:dyDescent="0.25">
      <c r="A60" s="558" t="s">
        <v>138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5"/>
      <c r="AB60" s="545"/>
      <c r="AC60" s="545"/>
    </row>
    <row r="61" spans="1:68" ht="16.5" customHeight="1" x14ac:dyDescent="0.25">
      <c r="A61" s="54" t="s">
        <v>139</v>
      </c>
      <c r="B61" s="54" t="s">
        <v>140</v>
      </c>
      <c r="C61" s="31">
        <v>4301020298</v>
      </c>
      <c r="D61" s="560">
        <v>4680115881440</v>
      </c>
      <c r="E61" s="561"/>
      <c r="F61" s="548">
        <v>1.35</v>
      </c>
      <c r="G61" s="32">
        <v>8</v>
      </c>
      <c r="H61" s="548">
        <v>10.8</v>
      </c>
      <c r="I61" s="548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9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3"/>
      <c r="R61" s="563"/>
      <c r="S61" s="563"/>
      <c r="T61" s="564"/>
      <c r="U61" s="34"/>
      <c r="V61" s="34"/>
      <c r="W61" s="35" t="s">
        <v>69</v>
      </c>
      <c r="X61" s="549">
        <v>100</v>
      </c>
      <c r="Y61" s="550">
        <f>IFERROR(IF(X61="",0,CEILING((X61/$H61),1)*$H61),"")</f>
        <v>108</v>
      </c>
      <c r="Z61" s="36">
        <f>IFERROR(IF(Y61=0,"",ROUNDUP(Y61/H61,0)*0.01898),"")</f>
        <v>0.1898</v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103.79629629629629</v>
      </c>
      <c r="BN61" s="64">
        <f>IFERROR(Y61*I61/H61,"0")</f>
        <v>112.1</v>
      </c>
      <c r="BO61" s="64">
        <f>IFERROR(1/J61*(X61/H61),"0")</f>
        <v>0.14467592592592593</v>
      </c>
      <c r="BP61" s="64">
        <f>IFERROR(1/J61*(Y61/H61),"0")</f>
        <v>0.15625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0">
        <v>4680115885950</v>
      </c>
      <c r="E62" s="561"/>
      <c r="F62" s="548">
        <v>0.37</v>
      </c>
      <c r="G62" s="32">
        <v>6</v>
      </c>
      <c r="H62" s="548">
        <v>2.2200000000000002</v>
      </c>
      <c r="I62" s="548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3"/>
      <c r="R62" s="563"/>
      <c r="S62" s="563"/>
      <c r="T62" s="564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144</v>
      </c>
      <c r="B63" s="54" t="s">
        <v>145</v>
      </c>
      <c r="C63" s="31">
        <v>4301020296</v>
      </c>
      <c r="D63" s="560">
        <v>4680115881433</v>
      </c>
      <c r="E63" s="561"/>
      <c r="F63" s="548">
        <v>0.45</v>
      </c>
      <c r="G63" s="32">
        <v>6</v>
      </c>
      <c r="H63" s="548">
        <v>2.7</v>
      </c>
      <c r="I63" s="548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3"/>
      <c r="R63" s="563"/>
      <c r="S63" s="563"/>
      <c r="T63" s="564"/>
      <c r="U63" s="34"/>
      <c r="V63" s="34"/>
      <c r="W63" s="35" t="s">
        <v>69</v>
      </c>
      <c r="X63" s="549">
        <v>22.5</v>
      </c>
      <c r="Y63" s="550">
        <f>IFERROR(IF(X63="",0,CEILING((X63/$H63),1)*$H63),"")</f>
        <v>24.3</v>
      </c>
      <c r="Z63" s="36">
        <f>IFERROR(IF(Y63=0,"",ROUNDUP(Y63/H63,0)*0.00651),"")</f>
        <v>5.8590000000000003E-2</v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23.999999999999996</v>
      </c>
      <c r="BN63" s="64">
        <f>IFERROR(Y63*I63/H63,"0")</f>
        <v>25.919999999999995</v>
      </c>
      <c r="BO63" s="64">
        <f>IFERROR(1/J63*(X63/H63),"0")</f>
        <v>4.5787545787545784E-2</v>
      </c>
      <c r="BP63" s="64">
        <f>IFERROR(1/J63*(Y63/H63),"0")</f>
        <v>4.9450549450549455E-2</v>
      </c>
    </row>
    <row r="64" spans="1:68" x14ac:dyDescent="0.2">
      <c r="A64" s="566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7"/>
      <c r="P64" s="555" t="s">
        <v>75</v>
      </c>
      <c r="Q64" s="556"/>
      <c r="R64" s="556"/>
      <c r="S64" s="556"/>
      <c r="T64" s="556"/>
      <c r="U64" s="556"/>
      <c r="V64" s="557"/>
      <c r="W64" s="37" t="s">
        <v>76</v>
      </c>
      <c r="X64" s="551">
        <f>IFERROR(X61/H61,"0")+IFERROR(X62/H62,"0")+IFERROR(X63/H63,"0")</f>
        <v>17.592592592592592</v>
      </c>
      <c r="Y64" s="551">
        <f>IFERROR(Y61/H61,"0")+IFERROR(Y62/H62,"0")+IFERROR(Y63/H63,"0")</f>
        <v>19</v>
      </c>
      <c r="Z64" s="551">
        <f>IFERROR(IF(Z61="",0,Z61),"0")+IFERROR(IF(Z62="",0,Z62),"0")+IFERROR(IF(Z63="",0,Z63),"0")</f>
        <v>0.24839</v>
      </c>
      <c r="AA64" s="552"/>
      <c r="AB64" s="552"/>
      <c r="AC64" s="552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67"/>
      <c r="P65" s="555" t="s">
        <v>75</v>
      </c>
      <c r="Q65" s="556"/>
      <c r="R65" s="556"/>
      <c r="S65" s="556"/>
      <c r="T65" s="556"/>
      <c r="U65" s="556"/>
      <c r="V65" s="557"/>
      <c r="W65" s="37" t="s">
        <v>69</v>
      </c>
      <c r="X65" s="551">
        <f>IFERROR(SUM(X61:X63),"0")</f>
        <v>122.5</v>
      </c>
      <c r="Y65" s="551">
        <f>IFERROR(SUM(Y61:Y63),"0")</f>
        <v>132.30000000000001</v>
      </c>
      <c r="Z65" s="37"/>
      <c r="AA65" s="552"/>
      <c r="AB65" s="552"/>
      <c r="AC65" s="552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5"/>
      <c r="AB66" s="545"/>
      <c r="AC66" s="545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0">
        <v>4680115885073</v>
      </c>
      <c r="E67" s="561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3"/>
      <c r="R67" s="563"/>
      <c r="S67" s="563"/>
      <c r="T67" s="564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0">
        <v>4680115885097</v>
      </c>
      <c r="E68" s="561"/>
      <c r="F68" s="548">
        <v>0.3</v>
      </c>
      <c r="G68" s="32">
        <v>6</v>
      </c>
      <c r="H68" s="548">
        <v>1.8</v>
      </c>
      <c r="I68" s="548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3"/>
      <c r="R68" s="563"/>
      <c r="S68" s="563"/>
      <c r="T68" s="564"/>
      <c r="U68" s="34"/>
      <c r="V68" s="34"/>
      <c r="W68" s="35" t="s">
        <v>69</v>
      </c>
      <c r="X68" s="549">
        <v>0</v>
      </c>
      <c r="Y68" s="55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7"/>
      <c r="P69" s="555" t="s">
        <v>75</v>
      </c>
      <c r="Q69" s="556"/>
      <c r="R69" s="556"/>
      <c r="S69" s="556"/>
      <c r="T69" s="556"/>
      <c r="U69" s="556"/>
      <c r="V69" s="557"/>
      <c r="W69" s="37" t="s">
        <v>76</v>
      </c>
      <c r="X69" s="551">
        <f>IFERROR(X67/H67,"0")+IFERROR(X68/H68,"0")</f>
        <v>0</v>
      </c>
      <c r="Y69" s="551">
        <f>IFERROR(Y67/H67,"0")+IFERROR(Y68/H68,"0")</f>
        <v>0</v>
      </c>
      <c r="Z69" s="551">
        <f>IFERROR(IF(Z67="",0,Z67),"0")+IFERROR(IF(Z68="",0,Z68),"0")</f>
        <v>0</v>
      </c>
      <c r="AA69" s="552"/>
      <c r="AB69" s="552"/>
      <c r="AC69" s="552"/>
    </row>
    <row r="70" spans="1:68" hidden="1" x14ac:dyDescent="0.2">
      <c r="A70" s="559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67"/>
      <c r="P70" s="555" t="s">
        <v>75</v>
      </c>
      <c r="Q70" s="556"/>
      <c r="R70" s="556"/>
      <c r="S70" s="556"/>
      <c r="T70" s="556"/>
      <c r="U70" s="556"/>
      <c r="V70" s="557"/>
      <c r="W70" s="37" t="s">
        <v>69</v>
      </c>
      <c r="X70" s="551">
        <f>IFERROR(SUM(X67:X68),"0")</f>
        <v>0</v>
      </c>
      <c r="Y70" s="551">
        <f>IFERROR(SUM(Y67:Y68),"0")</f>
        <v>0</v>
      </c>
      <c r="Z70" s="37"/>
      <c r="AA70" s="552"/>
      <c r="AB70" s="552"/>
      <c r="AC70" s="552"/>
    </row>
    <row r="71" spans="1:68" ht="14.25" hidden="1" customHeight="1" x14ac:dyDescent="0.25">
      <c r="A71" s="558" t="s">
        <v>77</v>
      </c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59"/>
      <c r="P71" s="559"/>
      <c r="Q71" s="559"/>
      <c r="R71" s="559"/>
      <c r="S71" s="559"/>
      <c r="T71" s="559"/>
      <c r="U71" s="559"/>
      <c r="V71" s="559"/>
      <c r="W71" s="559"/>
      <c r="X71" s="559"/>
      <c r="Y71" s="559"/>
      <c r="Z71" s="559"/>
      <c r="AA71" s="545"/>
      <c r="AB71" s="545"/>
      <c r="AC71" s="54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0">
        <v>4680115885769</v>
      </c>
      <c r="E72" s="561"/>
      <c r="F72" s="548">
        <v>1.4</v>
      </c>
      <c r="G72" s="32">
        <v>6</v>
      </c>
      <c r="H72" s="548">
        <v>8.4</v>
      </c>
      <c r="I72" s="548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3"/>
      <c r="R72" s="563"/>
      <c r="S72" s="563"/>
      <c r="T72" s="564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0">
        <v>4680115884311</v>
      </c>
      <c r="E73" s="561"/>
      <c r="F73" s="548">
        <v>0.3</v>
      </c>
      <c r="G73" s="32">
        <v>6</v>
      </c>
      <c r="H73" s="548">
        <v>1.8</v>
      </c>
      <c r="I73" s="548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3"/>
      <c r="R73" s="563"/>
      <c r="S73" s="563"/>
      <c r="T73" s="564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0">
        <v>4680115885929</v>
      </c>
      <c r="E74" s="561"/>
      <c r="F74" s="548">
        <v>0.42</v>
      </c>
      <c r="G74" s="32">
        <v>6</v>
      </c>
      <c r="H74" s="548">
        <v>2.52</v>
      </c>
      <c r="I74" s="548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3"/>
      <c r="R74" s="563"/>
      <c r="S74" s="563"/>
      <c r="T74" s="564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0">
        <v>4680115884403</v>
      </c>
      <c r="E75" s="561"/>
      <c r="F75" s="548">
        <v>0.3</v>
      </c>
      <c r="G75" s="32">
        <v>6</v>
      </c>
      <c r="H75" s="548">
        <v>1.8</v>
      </c>
      <c r="I75" s="548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3"/>
      <c r="R75" s="563"/>
      <c r="S75" s="563"/>
      <c r="T75" s="564"/>
      <c r="U75" s="34"/>
      <c r="V75" s="34"/>
      <c r="W75" s="35" t="s">
        <v>69</v>
      </c>
      <c r="X75" s="549">
        <v>0</v>
      </c>
      <c r="Y75" s="55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7"/>
      <c r="P76" s="555" t="s">
        <v>75</v>
      </c>
      <c r="Q76" s="556"/>
      <c r="R76" s="556"/>
      <c r="S76" s="556"/>
      <c r="T76" s="556"/>
      <c r="U76" s="556"/>
      <c r="V76" s="557"/>
      <c r="W76" s="37" t="s">
        <v>76</v>
      </c>
      <c r="X76" s="551">
        <f>IFERROR(X72/H72,"0")+IFERROR(X73/H73,"0")+IFERROR(X74/H74,"0")+IFERROR(X75/H75,"0")</f>
        <v>0</v>
      </c>
      <c r="Y76" s="551">
        <f>IFERROR(Y72/H72,"0")+IFERROR(Y73/H73,"0")+IFERROR(Y74/H74,"0")+IFERROR(Y75/H75,"0")</f>
        <v>0</v>
      </c>
      <c r="Z76" s="551">
        <f>IFERROR(IF(Z72="",0,Z72),"0")+IFERROR(IF(Z73="",0,Z73),"0")+IFERROR(IF(Z74="",0,Z74),"0")+IFERROR(IF(Z75="",0,Z75),"0")</f>
        <v>0</v>
      </c>
      <c r="AA76" s="552"/>
      <c r="AB76" s="552"/>
      <c r="AC76" s="552"/>
    </row>
    <row r="77" spans="1:68" hidden="1" x14ac:dyDescent="0.2">
      <c r="A77" s="559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67"/>
      <c r="P77" s="555" t="s">
        <v>75</v>
      </c>
      <c r="Q77" s="556"/>
      <c r="R77" s="556"/>
      <c r="S77" s="556"/>
      <c r="T77" s="556"/>
      <c r="U77" s="556"/>
      <c r="V77" s="557"/>
      <c r="W77" s="37" t="s">
        <v>69</v>
      </c>
      <c r="X77" s="551">
        <f>IFERROR(SUM(X72:X75),"0")</f>
        <v>0</v>
      </c>
      <c r="Y77" s="551">
        <f>IFERROR(SUM(Y72:Y75),"0")</f>
        <v>0</v>
      </c>
      <c r="Z77" s="37"/>
      <c r="AA77" s="552"/>
      <c r="AB77" s="552"/>
      <c r="AC77" s="552"/>
    </row>
    <row r="78" spans="1:68" ht="14.25" hidden="1" customHeight="1" x14ac:dyDescent="0.25">
      <c r="A78" s="558" t="s">
        <v>163</v>
      </c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59"/>
      <c r="P78" s="559"/>
      <c r="Q78" s="559"/>
      <c r="R78" s="559"/>
      <c r="S78" s="559"/>
      <c r="T78" s="559"/>
      <c r="U78" s="559"/>
      <c r="V78" s="559"/>
      <c r="W78" s="559"/>
      <c r="X78" s="559"/>
      <c r="Y78" s="559"/>
      <c r="Z78" s="559"/>
      <c r="AA78" s="545"/>
      <c r="AB78" s="545"/>
      <c r="AC78" s="54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0">
        <v>4680115881532</v>
      </c>
      <c r="E79" s="561"/>
      <c r="F79" s="548">
        <v>1.3</v>
      </c>
      <c r="G79" s="32">
        <v>6</v>
      </c>
      <c r="H79" s="548">
        <v>7.8</v>
      </c>
      <c r="I79" s="548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5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3"/>
      <c r="R79" s="563"/>
      <c r="S79" s="563"/>
      <c r="T79" s="564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0">
        <v>4680115881464</v>
      </c>
      <c r="E80" s="561"/>
      <c r="F80" s="548">
        <v>0.4</v>
      </c>
      <c r="G80" s="32">
        <v>6</v>
      </c>
      <c r="H80" s="548">
        <v>2.4</v>
      </c>
      <c r="I80" s="548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784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3"/>
      <c r="R80" s="563"/>
      <c r="S80" s="563"/>
      <c r="T80" s="564"/>
      <c r="U80" s="34"/>
      <c r="V80" s="34"/>
      <c r="W80" s="35" t="s">
        <v>69</v>
      </c>
      <c r="X80" s="549">
        <v>0</v>
      </c>
      <c r="Y80" s="55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6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7"/>
      <c r="P81" s="555" t="s">
        <v>75</v>
      </c>
      <c r="Q81" s="556"/>
      <c r="R81" s="556"/>
      <c r="S81" s="556"/>
      <c r="T81" s="556"/>
      <c r="U81" s="556"/>
      <c r="V81" s="557"/>
      <c r="W81" s="37" t="s">
        <v>76</v>
      </c>
      <c r="X81" s="551">
        <f>IFERROR(X79/H79,"0")+IFERROR(X80/H80,"0")</f>
        <v>0</v>
      </c>
      <c r="Y81" s="551">
        <f>IFERROR(Y79/H79,"0")+IFERROR(Y80/H80,"0")</f>
        <v>0</v>
      </c>
      <c r="Z81" s="551">
        <f>IFERROR(IF(Z79="",0,Z79),"0")+IFERROR(IF(Z80="",0,Z80),"0")</f>
        <v>0</v>
      </c>
      <c r="AA81" s="552"/>
      <c r="AB81" s="552"/>
      <c r="AC81" s="552"/>
    </row>
    <row r="82" spans="1:68" hidden="1" x14ac:dyDescent="0.2">
      <c r="A82" s="559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67"/>
      <c r="P82" s="555" t="s">
        <v>75</v>
      </c>
      <c r="Q82" s="556"/>
      <c r="R82" s="556"/>
      <c r="S82" s="556"/>
      <c r="T82" s="556"/>
      <c r="U82" s="556"/>
      <c r="V82" s="557"/>
      <c r="W82" s="37" t="s">
        <v>69</v>
      </c>
      <c r="X82" s="551">
        <f>IFERROR(SUM(X79:X80),"0")</f>
        <v>0</v>
      </c>
      <c r="Y82" s="551">
        <f>IFERROR(SUM(Y79:Y80),"0")</f>
        <v>0</v>
      </c>
      <c r="Z82" s="37"/>
      <c r="AA82" s="552"/>
      <c r="AB82" s="552"/>
      <c r="AC82" s="552"/>
    </row>
    <row r="83" spans="1:68" ht="16.5" hidden="1" customHeight="1" x14ac:dyDescent="0.25">
      <c r="A83" s="599" t="s">
        <v>170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4"/>
      <c r="AB83" s="544"/>
      <c r="AC83" s="544"/>
    </row>
    <row r="84" spans="1:68" ht="14.25" hidden="1" customHeight="1" x14ac:dyDescent="0.25">
      <c r="A84" s="558" t="s">
        <v>103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5"/>
      <c r="AB84" s="545"/>
      <c r="AC84" s="54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60">
        <v>4680115881327</v>
      </c>
      <c r="E85" s="561"/>
      <c r="F85" s="548">
        <v>1.35</v>
      </c>
      <c r="G85" s="32">
        <v>8</v>
      </c>
      <c r="H85" s="548">
        <v>10.8</v>
      </c>
      <c r="I85" s="548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3"/>
      <c r="R85" s="563"/>
      <c r="S85" s="563"/>
      <c r="T85" s="564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0">
        <v>4680115887732</v>
      </c>
      <c r="E86" s="561"/>
      <c r="F86" s="548">
        <v>0.17</v>
      </c>
      <c r="G86" s="32">
        <v>10</v>
      </c>
      <c r="H86" s="548">
        <v>1.7</v>
      </c>
      <c r="I86" s="548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6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3"/>
      <c r="R86" s="563"/>
      <c r="S86" s="563"/>
      <c r="T86" s="564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0">
        <v>4680115881518</v>
      </c>
      <c r="E87" s="561"/>
      <c r="F87" s="548">
        <v>0.4</v>
      </c>
      <c r="G87" s="32">
        <v>10</v>
      </c>
      <c r="H87" s="548">
        <v>4</v>
      </c>
      <c r="I87" s="548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3"/>
      <c r="R87" s="563"/>
      <c r="S87" s="563"/>
      <c r="T87" s="564"/>
      <c r="U87" s="34"/>
      <c r="V87" s="34"/>
      <c r="W87" s="35" t="s">
        <v>69</v>
      </c>
      <c r="X87" s="549">
        <v>0</v>
      </c>
      <c r="Y87" s="55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0">
        <v>4680115881303</v>
      </c>
      <c r="E88" s="561"/>
      <c r="F88" s="548">
        <v>0.45</v>
      </c>
      <c r="G88" s="32">
        <v>10</v>
      </c>
      <c r="H88" s="548">
        <v>4.5</v>
      </c>
      <c r="I88" s="548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3"/>
      <c r="R88" s="563"/>
      <c r="S88" s="563"/>
      <c r="T88" s="564"/>
      <c r="U88" s="34"/>
      <c r="V88" s="34"/>
      <c r="W88" s="35" t="s">
        <v>69</v>
      </c>
      <c r="X88" s="549">
        <v>0</v>
      </c>
      <c r="Y88" s="550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6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7"/>
      <c r="P89" s="555" t="s">
        <v>75</v>
      </c>
      <c r="Q89" s="556"/>
      <c r="R89" s="556"/>
      <c r="S89" s="556"/>
      <c r="T89" s="556"/>
      <c r="U89" s="556"/>
      <c r="V89" s="557"/>
      <c r="W89" s="37" t="s">
        <v>76</v>
      </c>
      <c r="X89" s="551">
        <f>IFERROR(X85/H85,"0")+IFERROR(X86/H86,"0")+IFERROR(X87/H87,"0")+IFERROR(X88/H88,"0")</f>
        <v>0</v>
      </c>
      <c r="Y89" s="551">
        <f>IFERROR(Y85/H85,"0")+IFERROR(Y86/H86,"0")+IFERROR(Y87/H87,"0")+IFERROR(Y88/H88,"0")</f>
        <v>0</v>
      </c>
      <c r="Z89" s="551">
        <f>IFERROR(IF(Z85="",0,Z85),"0")+IFERROR(IF(Z86="",0,Z86),"0")+IFERROR(IF(Z87="",0,Z87),"0")+IFERROR(IF(Z88="",0,Z88),"0")</f>
        <v>0</v>
      </c>
      <c r="AA89" s="552"/>
      <c r="AB89" s="552"/>
      <c r="AC89" s="552"/>
    </row>
    <row r="90" spans="1:68" hidden="1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67"/>
      <c r="P90" s="555" t="s">
        <v>75</v>
      </c>
      <c r="Q90" s="556"/>
      <c r="R90" s="556"/>
      <c r="S90" s="556"/>
      <c r="T90" s="556"/>
      <c r="U90" s="556"/>
      <c r="V90" s="557"/>
      <c r="W90" s="37" t="s">
        <v>69</v>
      </c>
      <c r="X90" s="551">
        <f>IFERROR(SUM(X85:X88),"0")</f>
        <v>0</v>
      </c>
      <c r="Y90" s="551">
        <f>IFERROR(SUM(Y85:Y88),"0")</f>
        <v>0</v>
      </c>
      <c r="Z90" s="37"/>
      <c r="AA90" s="552"/>
      <c r="AB90" s="552"/>
      <c r="AC90" s="552"/>
    </row>
    <row r="91" spans="1:68" ht="14.25" hidden="1" customHeight="1" x14ac:dyDescent="0.25">
      <c r="A91" s="558" t="s">
        <v>77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5"/>
      <c r="AB91" s="545"/>
      <c r="AC91" s="545"/>
    </row>
    <row r="92" spans="1:68" ht="27" hidden="1" customHeight="1" x14ac:dyDescent="0.25">
      <c r="A92" s="54" t="s">
        <v>182</v>
      </c>
      <c r="B92" s="54" t="s">
        <v>183</v>
      </c>
      <c r="C92" s="31">
        <v>4301051712</v>
      </c>
      <c r="D92" s="560">
        <v>4607091386967</v>
      </c>
      <c r="E92" s="561"/>
      <c r="F92" s="548">
        <v>1.35</v>
      </c>
      <c r="G92" s="32">
        <v>6</v>
      </c>
      <c r="H92" s="548">
        <v>8.1</v>
      </c>
      <c r="I92" s="548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5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3"/>
      <c r="R92" s="563"/>
      <c r="S92" s="563"/>
      <c r="T92" s="564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0">
        <v>4680115884953</v>
      </c>
      <c r="E93" s="561"/>
      <c r="F93" s="548">
        <v>0.37</v>
      </c>
      <c r="G93" s="32">
        <v>6</v>
      </c>
      <c r="H93" s="548">
        <v>2.2200000000000002</v>
      </c>
      <c r="I93" s="548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3"/>
      <c r="R93" s="563"/>
      <c r="S93" s="563"/>
      <c r="T93" s="564"/>
      <c r="U93" s="34"/>
      <c r="V93" s="34"/>
      <c r="W93" s="35" t="s">
        <v>69</v>
      </c>
      <c r="X93" s="549">
        <v>0</v>
      </c>
      <c r="Y93" s="55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187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188</v>
      </c>
      <c r="B94" s="54" t="s">
        <v>189</v>
      </c>
      <c r="C94" s="31">
        <v>4301051718</v>
      </c>
      <c r="D94" s="560">
        <v>4607091385731</v>
      </c>
      <c r="E94" s="561"/>
      <c r="F94" s="548">
        <v>0.45</v>
      </c>
      <c r="G94" s="32">
        <v>6</v>
      </c>
      <c r="H94" s="548">
        <v>2.7</v>
      </c>
      <c r="I94" s="548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5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3"/>
      <c r="R94" s="563"/>
      <c r="S94" s="563"/>
      <c r="T94" s="564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190</v>
      </c>
      <c r="B95" s="54" t="s">
        <v>191</v>
      </c>
      <c r="C95" s="31">
        <v>4301051438</v>
      </c>
      <c r="D95" s="560">
        <v>4680115880894</v>
      </c>
      <c r="E95" s="561"/>
      <c r="F95" s="548">
        <v>0.33</v>
      </c>
      <c r="G95" s="32">
        <v>6</v>
      </c>
      <c r="H95" s="548">
        <v>1.98</v>
      </c>
      <c r="I95" s="548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1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3"/>
      <c r="R95" s="563"/>
      <c r="S95" s="563"/>
      <c r="T95" s="564"/>
      <c r="U95" s="34"/>
      <c r="V95" s="34"/>
      <c r="W95" s="35" t="s">
        <v>69</v>
      </c>
      <c r="X95" s="549">
        <v>0</v>
      </c>
      <c r="Y95" s="550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192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idden="1" x14ac:dyDescent="0.2">
      <c r="A96" s="566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7"/>
      <c r="P96" s="555" t="s">
        <v>75</v>
      </c>
      <c r="Q96" s="556"/>
      <c r="R96" s="556"/>
      <c r="S96" s="556"/>
      <c r="T96" s="556"/>
      <c r="U96" s="556"/>
      <c r="V96" s="557"/>
      <c r="W96" s="37" t="s">
        <v>76</v>
      </c>
      <c r="X96" s="551">
        <f>IFERROR(X92/H92,"0")+IFERROR(X93/H93,"0")+IFERROR(X94/H94,"0")+IFERROR(X95/H95,"0")</f>
        <v>0</v>
      </c>
      <c r="Y96" s="551">
        <f>IFERROR(Y92/H92,"0")+IFERROR(Y93/H93,"0")+IFERROR(Y94/H94,"0")+IFERROR(Y95/H95,"0")</f>
        <v>0</v>
      </c>
      <c r="Z96" s="551">
        <f>IFERROR(IF(Z92="",0,Z92),"0")+IFERROR(IF(Z93="",0,Z93),"0")+IFERROR(IF(Z94="",0,Z94),"0")+IFERROR(IF(Z95="",0,Z95),"0")</f>
        <v>0</v>
      </c>
      <c r="AA96" s="552"/>
      <c r="AB96" s="552"/>
      <c r="AC96" s="552"/>
    </row>
    <row r="97" spans="1:68" hidden="1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67"/>
      <c r="P97" s="555" t="s">
        <v>75</v>
      </c>
      <c r="Q97" s="556"/>
      <c r="R97" s="556"/>
      <c r="S97" s="556"/>
      <c r="T97" s="556"/>
      <c r="U97" s="556"/>
      <c r="V97" s="557"/>
      <c r="W97" s="37" t="s">
        <v>69</v>
      </c>
      <c r="X97" s="551">
        <f>IFERROR(SUM(X92:X95),"0")</f>
        <v>0</v>
      </c>
      <c r="Y97" s="551">
        <f>IFERROR(SUM(Y92:Y95),"0")</f>
        <v>0</v>
      </c>
      <c r="Z97" s="37"/>
      <c r="AA97" s="552"/>
      <c r="AB97" s="552"/>
      <c r="AC97" s="552"/>
    </row>
    <row r="98" spans="1:68" ht="16.5" hidden="1" customHeight="1" x14ac:dyDescent="0.25">
      <c r="A98" s="599" t="s">
        <v>193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4"/>
      <c r="AB98" s="544"/>
      <c r="AC98" s="544"/>
    </row>
    <row r="99" spans="1:68" ht="14.25" hidden="1" customHeight="1" x14ac:dyDescent="0.25">
      <c r="A99" s="558" t="s">
        <v>103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5"/>
      <c r="AB99" s="545"/>
      <c r="AC99" s="545"/>
    </row>
    <row r="100" spans="1:68" ht="37.5" hidden="1" customHeight="1" x14ac:dyDescent="0.25">
      <c r="A100" s="54" t="s">
        <v>194</v>
      </c>
      <c r="B100" s="54" t="s">
        <v>195</v>
      </c>
      <c r="C100" s="31">
        <v>4301011514</v>
      </c>
      <c r="D100" s="560">
        <v>4680115882133</v>
      </c>
      <c r="E100" s="561"/>
      <c r="F100" s="548">
        <v>1.35</v>
      </c>
      <c r="G100" s="32">
        <v>8</v>
      </c>
      <c r="H100" s="548">
        <v>10.8</v>
      </c>
      <c r="I100" s="548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3"/>
      <c r="R100" s="563"/>
      <c r="S100" s="563"/>
      <c r="T100" s="564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196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197</v>
      </c>
      <c r="B101" s="54" t="s">
        <v>198</v>
      </c>
      <c r="C101" s="31">
        <v>4301012051</v>
      </c>
      <c r="D101" s="560">
        <v>4680115887718</v>
      </c>
      <c r="E101" s="561"/>
      <c r="F101" s="548">
        <v>0.11</v>
      </c>
      <c r="G101" s="32">
        <v>10</v>
      </c>
      <c r="H101" s="548">
        <v>1.1000000000000001</v>
      </c>
      <c r="I101" s="548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74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3"/>
      <c r="R101" s="563"/>
      <c r="S101" s="563"/>
      <c r="T101" s="564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199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4301011417</v>
      </c>
      <c r="D102" s="560">
        <v>4680115880269</v>
      </c>
      <c r="E102" s="561"/>
      <c r="F102" s="548">
        <v>0.375</v>
      </c>
      <c r="G102" s="32">
        <v>10</v>
      </c>
      <c r="H102" s="548">
        <v>3.75</v>
      </c>
      <c r="I102" s="548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3"/>
      <c r="R102" s="563"/>
      <c r="S102" s="563"/>
      <c r="T102" s="564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196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4301011415</v>
      </c>
      <c r="D103" s="560">
        <v>4680115880429</v>
      </c>
      <c r="E103" s="561"/>
      <c r="F103" s="548">
        <v>0.45</v>
      </c>
      <c r="G103" s="32">
        <v>10</v>
      </c>
      <c r="H103" s="548">
        <v>4.5</v>
      </c>
      <c r="I103" s="548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3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3"/>
      <c r="R103" s="563"/>
      <c r="S103" s="563"/>
      <c r="T103" s="564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196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204</v>
      </c>
      <c r="B104" s="54" t="s">
        <v>205</v>
      </c>
      <c r="C104" s="31">
        <v>4301011462</v>
      </c>
      <c r="D104" s="560">
        <v>4680115881457</v>
      </c>
      <c r="E104" s="561"/>
      <c r="F104" s="548">
        <v>0.75</v>
      </c>
      <c r="G104" s="32">
        <v>6</v>
      </c>
      <c r="H104" s="548">
        <v>4.5</v>
      </c>
      <c r="I104" s="548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66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3"/>
      <c r="R104" s="563"/>
      <c r="S104" s="563"/>
      <c r="T104" s="564"/>
      <c r="U104" s="34"/>
      <c r="V104" s="34"/>
      <c r="W104" s="35" t="s">
        <v>69</v>
      </c>
      <c r="X104" s="549">
        <v>0</v>
      </c>
      <c r="Y104" s="550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196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hidden="1" x14ac:dyDescent="0.2">
      <c r="A105" s="566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7"/>
      <c r="P105" s="555" t="s">
        <v>75</v>
      </c>
      <c r="Q105" s="556"/>
      <c r="R105" s="556"/>
      <c r="S105" s="556"/>
      <c r="T105" s="556"/>
      <c r="U105" s="556"/>
      <c r="V105" s="557"/>
      <c r="W105" s="37" t="s">
        <v>76</v>
      </c>
      <c r="X105" s="551">
        <f>IFERROR(X100/H100,"0")+IFERROR(X101/H101,"0")+IFERROR(X102/H102,"0")+IFERROR(X103/H103,"0")+IFERROR(X104/H104,"0")</f>
        <v>0</v>
      </c>
      <c r="Y105" s="551">
        <f>IFERROR(Y100/H100,"0")+IFERROR(Y101/H101,"0")+IFERROR(Y102/H102,"0")+IFERROR(Y103/H103,"0")+IFERROR(Y104/H104,"0")</f>
        <v>0</v>
      </c>
      <c r="Z105" s="551">
        <f>IFERROR(IF(Z100="",0,Z100),"0")+IFERROR(IF(Z101="",0,Z101),"0")+IFERROR(IF(Z102="",0,Z102),"0")+IFERROR(IF(Z103="",0,Z103),"0")+IFERROR(IF(Z104="",0,Z104),"0")</f>
        <v>0</v>
      </c>
      <c r="AA105" s="552"/>
      <c r="AB105" s="552"/>
      <c r="AC105" s="552"/>
    </row>
    <row r="106" spans="1:68" hidden="1" x14ac:dyDescent="0.2">
      <c r="A106" s="559"/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67"/>
      <c r="P106" s="555" t="s">
        <v>75</v>
      </c>
      <c r="Q106" s="556"/>
      <c r="R106" s="556"/>
      <c r="S106" s="556"/>
      <c r="T106" s="556"/>
      <c r="U106" s="556"/>
      <c r="V106" s="557"/>
      <c r="W106" s="37" t="s">
        <v>69</v>
      </c>
      <c r="X106" s="551">
        <f>IFERROR(SUM(X100:X104),"0")</f>
        <v>0</v>
      </c>
      <c r="Y106" s="551">
        <f>IFERROR(SUM(Y100:Y104),"0")</f>
        <v>0</v>
      </c>
      <c r="Z106" s="37"/>
      <c r="AA106" s="552"/>
      <c r="AB106" s="552"/>
      <c r="AC106" s="552"/>
    </row>
    <row r="107" spans="1:68" ht="14.25" hidden="1" customHeight="1" x14ac:dyDescent="0.25">
      <c r="A107" s="558" t="s">
        <v>138</v>
      </c>
      <c r="B107" s="559"/>
      <c r="C107" s="559"/>
      <c r="D107" s="559"/>
      <c r="E107" s="559"/>
      <c r="F107" s="559"/>
      <c r="G107" s="559"/>
      <c r="H107" s="559"/>
      <c r="I107" s="559"/>
      <c r="J107" s="559"/>
      <c r="K107" s="559"/>
      <c r="L107" s="559"/>
      <c r="M107" s="559"/>
      <c r="N107" s="559"/>
      <c r="O107" s="559"/>
      <c r="P107" s="559"/>
      <c r="Q107" s="559"/>
      <c r="R107" s="559"/>
      <c r="S107" s="559"/>
      <c r="T107" s="559"/>
      <c r="U107" s="559"/>
      <c r="V107" s="559"/>
      <c r="W107" s="559"/>
      <c r="X107" s="559"/>
      <c r="Y107" s="559"/>
      <c r="Z107" s="559"/>
      <c r="AA107" s="545"/>
      <c r="AB107" s="545"/>
      <c r="AC107" s="545"/>
    </row>
    <row r="108" spans="1:68" ht="16.5" hidden="1" customHeight="1" x14ac:dyDescent="0.25">
      <c r="A108" s="54" t="s">
        <v>206</v>
      </c>
      <c r="B108" s="54" t="s">
        <v>207</v>
      </c>
      <c r="C108" s="31">
        <v>4301020345</v>
      </c>
      <c r="D108" s="560">
        <v>4680115881488</v>
      </c>
      <c r="E108" s="561"/>
      <c r="F108" s="548">
        <v>1.35</v>
      </c>
      <c r="G108" s="32">
        <v>8</v>
      </c>
      <c r="H108" s="548">
        <v>10.8</v>
      </c>
      <c r="I108" s="548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3"/>
      <c r="R108" s="563"/>
      <c r="S108" s="563"/>
      <c r="T108" s="564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209</v>
      </c>
      <c r="B109" s="54" t="s">
        <v>210</v>
      </c>
      <c r="C109" s="31">
        <v>4301020186</v>
      </c>
      <c r="D109" s="560">
        <v>4680115887664</v>
      </c>
      <c r="E109" s="561"/>
      <c r="F109" s="548">
        <v>0.1</v>
      </c>
      <c r="G109" s="32">
        <v>10</v>
      </c>
      <c r="H109" s="548">
        <v>1</v>
      </c>
      <c r="I109" s="548">
        <v>1.21</v>
      </c>
      <c r="J109" s="32">
        <v>392</v>
      </c>
      <c r="K109" s="32" t="s">
        <v>211</v>
      </c>
      <c r="L109" s="32"/>
      <c r="M109" s="33" t="s">
        <v>68</v>
      </c>
      <c r="N109" s="33"/>
      <c r="O109" s="32">
        <v>30</v>
      </c>
      <c r="P109" s="77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3"/>
      <c r="R109" s="563"/>
      <c r="S109" s="563"/>
      <c r="T109" s="564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212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213</v>
      </c>
      <c r="B110" s="54" t="s">
        <v>214</v>
      </c>
      <c r="C110" s="31">
        <v>4301020346</v>
      </c>
      <c r="D110" s="560">
        <v>4680115882775</v>
      </c>
      <c r="E110" s="561"/>
      <c r="F110" s="548">
        <v>0.3</v>
      </c>
      <c r="G110" s="32">
        <v>8</v>
      </c>
      <c r="H110" s="548">
        <v>2.4</v>
      </c>
      <c r="I110" s="548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4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3"/>
      <c r="R110" s="563"/>
      <c r="S110" s="563"/>
      <c r="T110" s="564"/>
      <c r="U110" s="34"/>
      <c r="V110" s="34"/>
      <c r="W110" s="35" t="s">
        <v>69</v>
      </c>
      <c r="X110" s="549">
        <v>3</v>
      </c>
      <c r="Y110" s="550">
        <f>IFERROR(IF(X110="",0,CEILING((X110/$H110),1)*$H110),"")</f>
        <v>4.8</v>
      </c>
      <c r="Z110" s="36">
        <f>IFERROR(IF(Y110=0,"",ROUNDUP(Y110/H110,0)*0.00502),"")</f>
        <v>1.004E-2</v>
      </c>
      <c r="AA110" s="56"/>
      <c r="AB110" s="57"/>
      <c r="AC110" s="157" t="s">
        <v>208</v>
      </c>
      <c r="AG110" s="64"/>
      <c r="AJ110" s="68"/>
      <c r="AK110" s="68">
        <v>0</v>
      </c>
      <c r="BB110" s="158" t="s">
        <v>1</v>
      </c>
      <c r="BM110" s="64">
        <f>IFERROR(X110*I110/H110,"0")</f>
        <v>3.125</v>
      </c>
      <c r="BN110" s="64">
        <f>IFERROR(Y110*I110/H110,"0")</f>
        <v>5</v>
      </c>
      <c r="BO110" s="64">
        <f>IFERROR(1/J110*(X110/H110),"0")</f>
        <v>5.341880341880342E-3</v>
      </c>
      <c r="BP110" s="64">
        <f>IFERROR(1/J110*(Y110/H110),"0")</f>
        <v>8.5470085470085479E-3</v>
      </c>
    </row>
    <row r="111" spans="1:68" ht="16.5" hidden="1" customHeight="1" x14ac:dyDescent="0.25">
      <c r="A111" s="54" t="s">
        <v>215</v>
      </c>
      <c r="B111" s="54" t="s">
        <v>216</v>
      </c>
      <c r="C111" s="31">
        <v>4301020344</v>
      </c>
      <c r="D111" s="560">
        <v>4680115880658</v>
      </c>
      <c r="E111" s="561"/>
      <c r="F111" s="548">
        <v>0.4</v>
      </c>
      <c r="G111" s="32">
        <v>6</v>
      </c>
      <c r="H111" s="548">
        <v>2.4</v>
      </c>
      <c r="I111" s="548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3"/>
      <c r="R111" s="563"/>
      <c r="S111" s="563"/>
      <c r="T111" s="564"/>
      <c r="U111" s="34"/>
      <c r="V111" s="34"/>
      <c r="W111" s="35" t="s">
        <v>69</v>
      </c>
      <c r="X111" s="549">
        <v>0</v>
      </c>
      <c r="Y111" s="550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208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66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7"/>
      <c r="P112" s="555" t="s">
        <v>75</v>
      </c>
      <c r="Q112" s="556"/>
      <c r="R112" s="556"/>
      <c r="S112" s="556"/>
      <c r="T112" s="556"/>
      <c r="U112" s="556"/>
      <c r="V112" s="557"/>
      <c r="W112" s="37" t="s">
        <v>76</v>
      </c>
      <c r="X112" s="551">
        <f>IFERROR(X108/H108,"0")+IFERROR(X109/H109,"0")+IFERROR(X110/H110,"0")+IFERROR(X111/H111,"0")</f>
        <v>1.25</v>
      </c>
      <c r="Y112" s="551">
        <f>IFERROR(Y108/H108,"0")+IFERROR(Y109/H109,"0")+IFERROR(Y110/H110,"0")+IFERROR(Y111/H111,"0")</f>
        <v>2</v>
      </c>
      <c r="Z112" s="551">
        <f>IFERROR(IF(Z108="",0,Z108),"0")+IFERROR(IF(Z109="",0,Z109),"0")+IFERROR(IF(Z110="",0,Z110),"0")+IFERROR(IF(Z111="",0,Z111),"0")</f>
        <v>1.004E-2</v>
      </c>
      <c r="AA112" s="552"/>
      <c r="AB112" s="552"/>
      <c r="AC112" s="552"/>
    </row>
    <row r="113" spans="1:68" x14ac:dyDescent="0.2">
      <c r="A113" s="559"/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67"/>
      <c r="P113" s="555" t="s">
        <v>75</v>
      </c>
      <c r="Q113" s="556"/>
      <c r="R113" s="556"/>
      <c r="S113" s="556"/>
      <c r="T113" s="556"/>
      <c r="U113" s="556"/>
      <c r="V113" s="557"/>
      <c r="W113" s="37" t="s">
        <v>69</v>
      </c>
      <c r="X113" s="551">
        <f>IFERROR(SUM(X108:X111),"0")</f>
        <v>3</v>
      </c>
      <c r="Y113" s="551">
        <f>IFERROR(SUM(Y108:Y111),"0")</f>
        <v>4.8</v>
      </c>
      <c r="Z113" s="37"/>
      <c r="AA113" s="552"/>
      <c r="AB113" s="552"/>
      <c r="AC113" s="552"/>
    </row>
    <row r="114" spans="1:68" ht="14.25" hidden="1" customHeight="1" x14ac:dyDescent="0.25">
      <c r="A114" s="558" t="s">
        <v>77</v>
      </c>
      <c r="B114" s="559"/>
      <c r="C114" s="559"/>
      <c r="D114" s="559"/>
      <c r="E114" s="559"/>
      <c r="F114" s="559"/>
      <c r="G114" s="559"/>
      <c r="H114" s="559"/>
      <c r="I114" s="559"/>
      <c r="J114" s="559"/>
      <c r="K114" s="559"/>
      <c r="L114" s="559"/>
      <c r="M114" s="559"/>
      <c r="N114" s="559"/>
      <c r="O114" s="559"/>
      <c r="P114" s="559"/>
      <c r="Q114" s="559"/>
      <c r="R114" s="559"/>
      <c r="S114" s="559"/>
      <c r="T114" s="559"/>
      <c r="U114" s="559"/>
      <c r="V114" s="559"/>
      <c r="W114" s="559"/>
      <c r="X114" s="559"/>
      <c r="Y114" s="559"/>
      <c r="Z114" s="559"/>
      <c r="AA114" s="545"/>
      <c r="AB114" s="545"/>
      <c r="AC114" s="545"/>
    </row>
    <row r="115" spans="1:68" ht="27" hidden="1" customHeight="1" x14ac:dyDescent="0.25">
      <c r="A115" s="54" t="s">
        <v>217</v>
      </c>
      <c r="B115" s="54" t="s">
        <v>218</v>
      </c>
      <c r="C115" s="31">
        <v>4301051724</v>
      </c>
      <c r="D115" s="560">
        <v>4607091385168</v>
      </c>
      <c r="E115" s="561"/>
      <c r="F115" s="548">
        <v>1.35</v>
      </c>
      <c r="G115" s="32">
        <v>6</v>
      </c>
      <c r="H115" s="548">
        <v>8.1</v>
      </c>
      <c r="I115" s="548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4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3"/>
      <c r="R115" s="563"/>
      <c r="S115" s="563"/>
      <c r="T115" s="564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219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220</v>
      </c>
      <c r="B116" s="54" t="s">
        <v>221</v>
      </c>
      <c r="C116" s="31">
        <v>4301051730</v>
      </c>
      <c r="D116" s="560">
        <v>4607091383256</v>
      </c>
      <c r="E116" s="561"/>
      <c r="F116" s="548">
        <v>0.33</v>
      </c>
      <c r="G116" s="32">
        <v>6</v>
      </c>
      <c r="H116" s="548">
        <v>1.98</v>
      </c>
      <c r="I116" s="548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3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3"/>
      <c r="R116" s="563"/>
      <c r="S116" s="563"/>
      <c r="T116" s="564"/>
      <c r="U116" s="34"/>
      <c r="V116" s="34"/>
      <c r="W116" s="35" t="s">
        <v>69</v>
      </c>
      <c r="X116" s="549">
        <v>0</v>
      </c>
      <c r="Y116" s="550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219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4301051721</v>
      </c>
      <c r="D117" s="560">
        <v>4607091385748</v>
      </c>
      <c r="E117" s="561"/>
      <c r="F117" s="548">
        <v>0.45</v>
      </c>
      <c r="G117" s="32">
        <v>6</v>
      </c>
      <c r="H117" s="548">
        <v>2.7</v>
      </c>
      <c r="I117" s="548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3"/>
      <c r="R117" s="563"/>
      <c r="S117" s="563"/>
      <c r="T117" s="564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219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60">
        <v>4680115884533</v>
      </c>
      <c r="E118" s="561"/>
      <c r="F118" s="548">
        <v>0.3</v>
      </c>
      <c r="G118" s="32">
        <v>6</v>
      </c>
      <c r="H118" s="548">
        <v>1.8</v>
      </c>
      <c r="I118" s="548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3"/>
      <c r="R118" s="563"/>
      <c r="S118" s="563"/>
      <c r="T118" s="564"/>
      <c r="U118" s="34"/>
      <c r="V118" s="34"/>
      <c r="W118" s="35" t="s">
        <v>69</v>
      </c>
      <c r="X118" s="549">
        <v>0</v>
      </c>
      <c r="Y118" s="550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566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7"/>
      <c r="P119" s="555" t="s">
        <v>75</v>
      </c>
      <c r="Q119" s="556"/>
      <c r="R119" s="556"/>
      <c r="S119" s="556"/>
      <c r="T119" s="556"/>
      <c r="U119" s="556"/>
      <c r="V119" s="557"/>
      <c r="W119" s="37" t="s">
        <v>76</v>
      </c>
      <c r="X119" s="551">
        <f>IFERROR(X115/H115,"0")+IFERROR(X116/H116,"0")+IFERROR(X117/H117,"0")+IFERROR(X118/H118,"0")</f>
        <v>0</v>
      </c>
      <c r="Y119" s="551">
        <f>IFERROR(Y115/H115,"0")+IFERROR(Y116/H116,"0")+IFERROR(Y117/H117,"0")+IFERROR(Y118/H118,"0")</f>
        <v>0</v>
      </c>
      <c r="Z119" s="551">
        <f>IFERROR(IF(Z115="",0,Z115),"0")+IFERROR(IF(Z116="",0,Z116),"0")+IFERROR(IF(Z117="",0,Z117),"0")+IFERROR(IF(Z118="",0,Z118),"0")</f>
        <v>0</v>
      </c>
      <c r="AA119" s="552"/>
      <c r="AB119" s="552"/>
      <c r="AC119" s="552"/>
    </row>
    <row r="120" spans="1:68" hidden="1" x14ac:dyDescent="0.2">
      <c r="A120" s="559"/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67"/>
      <c r="P120" s="555" t="s">
        <v>75</v>
      </c>
      <c r="Q120" s="556"/>
      <c r="R120" s="556"/>
      <c r="S120" s="556"/>
      <c r="T120" s="556"/>
      <c r="U120" s="556"/>
      <c r="V120" s="557"/>
      <c r="W120" s="37" t="s">
        <v>69</v>
      </c>
      <c r="X120" s="551">
        <f>IFERROR(SUM(X115:X118),"0")</f>
        <v>0</v>
      </c>
      <c r="Y120" s="551">
        <f>IFERROR(SUM(Y115:Y118),"0")</f>
        <v>0</v>
      </c>
      <c r="Z120" s="37"/>
      <c r="AA120" s="552"/>
      <c r="AB120" s="552"/>
      <c r="AC120" s="552"/>
    </row>
    <row r="121" spans="1:68" ht="14.25" hidden="1" customHeight="1" x14ac:dyDescent="0.25">
      <c r="A121" s="558" t="s">
        <v>163</v>
      </c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59"/>
      <c r="P121" s="559"/>
      <c r="Q121" s="559"/>
      <c r="R121" s="559"/>
      <c r="S121" s="559"/>
      <c r="T121" s="559"/>
      <c r="U121" s="559"/>
      <c r="V121" s="559"/>
      <c r="W121" s="559"/>
      <c r="X121" s="559"/>
      <c r="Y121" s="559"/>
      <c r="Z121" s="559"/>
      <c r="AA121" s="545"/>
      <c r="AB121" s="545"/>
      <c r="AC121" s="545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60">
        <v>4680115880238</v>
      </c>
      <c r="E122" s="561"/>
      <c r="F122" s="548">
        <v>0.33</v>
      </c>
      <c r="G122" s="32">
        <v>6</v>
      </c>
      <c r="H122" s="548">
        <v>1.98</v>
      </c>
      <c r="I122" s="548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3"/>
      <c r="R122" s="563"/>
      <c r="S122" s="563"/>
      <c r="T122" s="564"/>
      <c r="U122" s="34"/>
      <c r="V122" s="34"/>
      <c r="W122" s="35" t="s">
        <v>69</v>
      </c>
      <c r="X122" s="549">
        <v>0</v>
      </c>
      <c r="Y122" s="550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6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7"/>
      <c r="P123" s="555" t="s">
        <v>75</v>
      </c>
      <c r="Q123" s="556"/>
      <c r="R123" s="556"/>
      <c r="S123" s="556"/>
      <c r="T123" s="556"/>
      <c r="U123" s="556"/>
      <c r="V123" s="557"/>
      <c r="W123" s="37" t="s">
        <v>76</v>
      </c>
      <c r="X123" s="551">
        <f>IFERROR(X122/H122,"0")</f>
        <v>0</v>
      </c>
      <c r="Y123" s="551">
        <f>IFERROR(Y122/H122,"0")</f>
        <v>0</v>
      </c>
      <c r="Z123" s="551">
        <f>IFERROR(IF(Z122="",0,Z122),"0")</f>
        <v>0</v>
      </c>
      <c r="AA123" s="552"/>
      <c r="AB123" s="552"/>
      <c r="AC123" s="552"/>
    </row>
    <row r="124" spans="1:68" hidden="1" x14ac:dyDescent="0.2">
      <c r="A124" s="559"/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67"/>
      <c r="P124" s="555" t="s">
        <v>75</v>
      </c>
      <c r="Q124" s="556"/>
      <c r="R124" s="556"/>
      <c r="S124" s="556"/>
      <c r="T124" s="556"/>
      <c r="U124" s="556"/>
      <c r="V124" s="557"/>
      <c r="W124" s="37" t="s">
        <v>69</v>
      </c>
      <c r="X124" s="551">
        <f>IFERROR(SUM(X122:X122),"0")</f>
        <v>0</v>
      </c>
      <c r="Y124" s="551">
        <f>IFERROR(SUM(Y122:Y122),"0")</f>
        <v>0</v>
      </c>
      <c r="Z124" s="37"/>
      <c r="AA124" s="552"/>
      <c r="AB124" s="552"/>
      <c r="AC124" s="552"/>
    </row>
    <row r="125" spans="1:68" ht="16.5" hidden="1" customHeight="1" x14ac:dyDescent="0.25">
      <c r="A125" s="599" t="s">
        <v>230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4"/>
      <c r="AB125" s="544"/>
      <c r="AC125" s="544"/>
    </row>
    <row r="126" spans="1:68" ht="14.25" hidden="1" customHeight="1" x14ac:dyDescent="0.25">
      <c r="A126" s="558" t="s">
        <v>103</v>
      </c>
      <c r="B126" s="559"/>
      <c r="C126" s="559"/>
      <c r="D126" s="559"/>
      <c r="E126" s="559"/>
      <c r="F126" s="559"/>
      <c r="G126" s="559"/>
      <c r="H126" s="559"/>
      <c r="I126" s="559"/>
      <c r="J126" s="559"/>
      <c r="K126" s="559"/>
      <c r="L126" s="559"/>
      <c r="M126" s="559"/>
      <c r="N126" s="559"/>
      <c r="O126" s="559"/>
      <c r="P126" s="559"/>
      <c r="Q126" s="559"/>
      <c r="R126" s="559"/>
      <c r="S126" s="559"/>
      <c r="T126" s="559"/>
      <c r="U126" s="559"/>
      <c r="V126" s="559"/>
      <c r="W126" s="559"/>
      <c r="X126" s="559"/>
      <c r="Y126" s="559"/>
      <c r="Z126" s="559"/>
      <c r="AA126" s="545"/>
      <c r="AB126" s="545"/>
      <c r="AC126" s="545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60">
        <v>4680115882577</v>
      </c>
      <c r="E127" s="561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3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3"/>
      <c r="R127" s="563"/>
      <c r="S127" s="563"/>
      <c r="T127" s="564"/>
      <c r="U127" s="34"/>
      <c r="V127" s="34"/>
      <c r="W127" s="35" t="s">
        <v>69</v>
      </c>
      <c r="X127" s="549">
        <v>24</v>
      </c>
      <c r="Y127" s="550">
        <f>IFERROR(IF(X127="",0,CEILING((X127/$H127),1)*$H127),"")</f>
        <v>25.6</v>
      </c>
      <c r="Z127" s="36">
        <f>IFERROR(IF(Y127=0,"",ROUNDUP(Y127/H127,0)*0.00651),"")</f>
        <v>5.2080000000000001E-2</v>
      </c>
      <c r="AA127" s="56"/>
      <c r="AB127" s="57"/>
      <c r="AC127" s="171" t="s">
        <v>233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25.35</v>
      </c>
      <c r="BN127" s="64">
        <f>IFERROR(Y127*I127/H127,"0")</f>
        <v>27.04</v>
      </c>
      <c r="BO127" s="64">
        <f>IFERROR(1/J127*(X127/H127),"0")</f>
        <v>4.1208791208791215E-2</v>
      </c>
      <c r="BP127" s="64">
        <f>IFERROR(1/J127*(Y127/H127),"0")</f>
        <v>4.3956043956043959E-2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60">
        <v>4680115882577</v>
      </c>
      <c r="E128" s="561"/>
      <c r="F128" s="548">
        <v>0.4</v>
      </c>
      <c r="G128" s="32">
        <v>8</v>
      </c>
      <c r="H128" s="548">
        <v>3.2</v>
      </c>
      <c r="I128" s="548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3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3"/>
      <c r="R128" s="563"/>
      <c r="S128" s="563"/>
      <c r="T128" s="564"/>
      <c r="U128" s="34"/>
      <c r="V128" s="34"/>
      <c r="W128" s="35" t="s">
        <v>69</v>
      </c>
      <c r="X128" s="549">
        <v>0</v>
      </c>
      <c r="Y128" s="550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7"/>
      <c r="P129" s="555" t="s">
        <v>75</v>
      </c>
      <c r="Q129" s="556"/>
      <c r="R129" s="556"/>
      <c r="S129" s="556"/>
      <c r="T129" s="556"/>
      <c r="U129" s="556"/>
      <c r="V129" s="557"/>
      <c r="W129" s="37" t="s">
        <v>76</v>
      </c>
      <c r="X129" s="551">
        <f>IFERROR(X127/H127,"0")+IFERROR(X128/H128,"0")</f>
        <v>7.5</v>
      </c>
      <c r="Y129" s="551">
        <f>IFERROR(Y127/H127,"0")+IFERROR(Y128/H128,"0")</f>
        <v>8</v>
      </c>
      <c r="Z129" s="551">
        <f>IFERROR(IF(Z127="",0,Z127),"0")+IFERROR(IF(Z128="",0,Z128),"0")</f>
        <v>5.2080000000000001E-2</v>
      </c>
      <c r="AA129" s="552"/>
      <c r="AB129" s="552"/>
      <c r="AC129" s="552"/>
    </row>
    <row r="130" spans="1:68" x14ac:dyDescent="0.2">
      <c r="A130" s="559"/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67"/>
      <c r="P130" s="555" t="s">
        <v>75</v>
      </c>
      <c r="Q130" s="556"/>
      <c r="R130" s="556"/>
      <c r="S130" s="556"/>
      <c r="T130" s="556"/>
      <c r="U130" s="556"/>
      <c r="V130" s="557"/>
      <c r="W130" s="37" t="s">
        <v>69</v>
      </c>
      <c r="X130" s="551">
        <f>IFERROR(SUM(X127:X128),"0")</f>
        <v>24</v>
      </c>
      <c r="Y130" s="551">
        <f>IFERROR(SUM(Y127:Y128),"0")</f>
        <v>25.6</v>
      </c>
      <c r="Z130" s="37"/>
      <c r="AA130" s="552"/>
      <c r="AB130" s="552"/>
      <c r="AC130" s="552"/>
    </row>
    <row r="131" spans="1:68" ht="14.25" hidden="1" customHeight="1" x14ac:dyDescent="0.25">
      <c r="A131" s="558" t="s">
        <v>64</v>
      </c>
      <c r="B131" s="559"/>
      <c r="C131" s="559"/>
      <c r="D131" s="559"/>
      <c r="E131" s="559"/>
      <c r="F131" s="559"/>
      <c r="G131" s="559"/>
      <c r="H131" s="559"/>
      <c r="I131" s="559"/>
      <c r="J131" s="559"/>
      <c r="K131" s="559"/>
      <c r="L131" s="559"/>
      <c r="M131" s="559"/>
      <c r="N131" s="559"/>
      <c r="O131" s="559"/>
      <c r="P131" s="559"/>
      <c r="Q131" s="559"/>
      <c r="R131" s="559"/>
      <c r="S131" s="559"/>
      <c r="T131" s="559"/>
      <c r="U131" s="559"/>
      <c r="V131" s="559"/>
      <c r="W131" s="559"/>
      <c r="X131" s="559"/>
      <c r="Y131" s="559"/>
      <c r="Z131" s="559"/>
      <c r="AA131" s="545"/>
      <c r="AB131" s="545"/>
      <c r="AC131" s="545"/>
    </row>
    <row r="132" spans="1:68" ht="27" customHeight="1" x14ac:dyDescent="0.25">
      <c r="A132" s="54" t="s">
        <v>235</v>
      </c>
      <c r="B132" s="54" t="s">
        <v>236</v>
      </c>
      <c r="C132" s="31">
        <v>4301031235</v>
      </c>
      <c r="D132" s="560">
        <v>4680115883444</v>
      </c>
      <c r="E132" s="561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3"/>
      <c r="R132" s="563"/>
      <c r="S132" s="563"/>
      <c r="T132" s="564"/>
      <c r="U132" s="34"/>
      <c r="V132" s="34"/>
      <c r="W132" s="35" t="s">
        <v>69</v>
      </c>
      <c r="X132" s="549">
        <v>7</v>
      </c>
      <c r="Y132" s="550">
        <f>IFERROR(IF(X132="",0,CEILING((X132/$H132),1)*$H132),"")</f>
        <v>8.3999999999999986</v>
      </c>
      <c r="Z132" s="36">
        <f>IFERROR(IF(Y132=0,"",ROUNDUP(Y132/H132,0)*0.00651),"")</f>
        <v>1.9529999999999999E-2</v>
      </c>
      <c r="AA132" s="56"/>
      <c r="AB132" s="57"/>
      <c r="AC132" s="175" t="s">
        <v>237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7.67</v>
      </c>
      <c r="BN132" s="64">
        <f>IFERROR(Y132*I132/H132,"0")</f>
        <v>9.2039999999999988</v>
      </c>
      <c r="BO132" s="64">
        <f>IFERROR(1/J132*(X132/H132),"0")</f>
        <v>1.3736263736263738E-2</v>
      </c>
      <c r="BP132" s="64">
        <f>IFERROR(1/J132*(Y132/H132),"0")</f>
        <v>1.6483516483516484E-2</v>
      </c>
    </row>
    <row r="133" spans="1:68" ht="27" hidden="1" customHeight="1" x14ac:dyDescent="0.25">
      <c r="A133" s="54" t="s">
        <v>235</v>
      </c>
      <c r="B133" s="54" t="s">
        <v>238</v>
      </c>
      <c r="C133" s="31">
        <v>4301031234</v>
      </c>
      <c r="D133" s="560">
        <v>4680115883444</v>
      </c>
      <c r="E133" s="561"/>
      <c r="F133" s="548">
        <v>0.35</v>
      </c>
      <c r="G133" s="32">
        <v>8</v>
      </c>
      <c r="H133" s="548">
        <v>2.8</v>
      </c>
      <c r="I133" s="548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2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3"/>
      <c r="R133" s="563"/>
      <c r="S133" s="563"/>
      <c r="T133" s="564"/>
      <c r="U133" s="34"/>
      <c r="V133" s="34"/>
      <c r="W133" s="35" t="s">
        <v>69</v>
      </c>
      <c r="X133" s="549">
        <v>0</v>
      </c>
      <c r="Y133" s="550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237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66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7"/>
      <c r="P134" s="555" t="s">
        <v>75</v>
      </c>
      <c r="Q134" s="556"/>
      <c r="R134" s="556"/>
      <c r="S134" s="556"/>
      <c r="T134" s="556"/>
      <c r="U134" s="556"/>
      <c r="V134" s="557"/>
      <c r="W134" s="37" t="s">
        <v>76</v>
      </c>
      <c r="X134" s="551">
        <f>IFERROR(X132/H132,"0")+IFERROR(X133/H133,"0")</f>
        <v>2.5</v>
      </c>
      <c r="Y134" s="551">
        <f>IFERROR(Y132/H132,"0")+IFERROR(Y133/H133,"0")</f>
        <v>2.9999999999999996</v>
      </c>
      <c r="Z134" s="551">
        <f>IFERROR(IF(Z132="",0,Z132),"0")+IFERROR(IF(Z133="",0,Z133),"0")</f>
        <v>1.9529999999999999E-2</v>
      </c>
      <c r="AA134" s="552"/>
      <c r="AB134" s="552"/>
      <c r="AC134" s="552"/>
    </row>
    <row r="135" spans="1:68" x14ac:dyDescent="0.2">
      <c r="A135" s="559"/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67"/>
      <c r="P135" s="555" t="s">
        <v>75</v>
      </c>
      <c r="Q135" s="556"/>
      <c r="R135" s="556"/>
      <c r="S135" s="556"/>
      <c r="T135" s="556"/>
      <c r="U135" s="556"/>
      <c r="V135" s="557"/>
      <c r="W135" s="37" t="s">
        <v>69</v>
      </c>
      <c r="X135" s="551">
        <f>IFERROR(SUM(X132:X133),"0")</f>
        <v>7</v>
      </c>
      <c r="Y135" s="551">
        <f>IFERROR(SUM(Y132:Y133),"0")</f>
        <v>8.3999999999999986</v>
      </c>
      <c r="Z135" s="37"/>
      <c r="AA135" s="552"/>
      <c r="AB135" s="552"/>
      <c r="AC135" s="552"/>
    </row>
    <row r="136" spans="1:68" ht="14.25" hidden="1" customHeight="1" x14ac:dyDescent="0.25">
      <c r="A136" s="558" t="s">
        <v>77</v>
      </c>
      <c r="B136" s="559"/>
      <c r="C136" s="559"/>
      <c r="D136" s="559"/>
      <c r="E136" s="559"/>
      <c r="F136" s="559"/>
      <c r="G136" s="559"/>
      <c r="H136" s="559"/>
      <c r="I136" s="559"/>
      <c r="J136" s="559"/>
      <c r="K136" s="559"/>
      <c r="L136" s="559"/>
      <c r="M136" s="559"/>
      <c r="N136" s="559"/>
      <c r="O136" s="559"/>
      <c r="P136" s="559"/>
      <c r="Q136" s="559"/>
      <c r="R136" s="559"/>
      <c r="S136" s="559"/>
      <c r="T136" s="559"/>
      <c r="U136" s="559"/>
      <c r="V136" s="559"/>
      <c r="W136" s="559"/>
      <c r="X136" s="559"/>
      <c r="Y136" s="559"/>
      <c r="Z136" s="559"/>
      <c r="AA136" s="545"/>
      <c r="AB136" s="545"/>
      <c r="AC136" s="545"/>
    </row>
    <row r="137" spans="1:68" ht="16.5" customHeight="1" x14ac:dyDescent="0.25">
      <c r="A137" s="54" t="s">
        <v>239</v>
      </c>
      <c r="B137" s="54" t="s">
        <v>240</v>
      </c>
      <c r="C137" s="31">
        <v>4301051477</v>
      </c>
      <c r="D137" s="560">
        <v>4680115882584</v>
      </c>
      <c r="E137" s="561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71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3"/>
      <c r="R137" s="563"/>
      <c r="S137" s="563"/>
      <c r="T137" s="564"/>
      <c r="U137" s="34"/>
      <c r="V137" s="34"/>
      <c r="W137" s="35" t="s">
        <v>69</v>
      </c>
      <c r="X137" s="549">
        <v>7.92</v>
      </c>
      <c r="Y137" s="550">
        <f>IFERROR(IF(X137="",0,CEILING((X137/$H137),1)*$H137),"")</f>
        <v>7.92</v>
      </c>
      <c r="Z137" s="36">
        <f>IFERROR(IF(Y137=0,"",ROUNDUP(Y137/H137,0)*0.00651),"")</f>
        <v>1.9529999999999999E-2</v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8.7240000000000002</v>
      </c>
      <c r="BN137" s="64">
        <f>IFERROR(Y137*I137/H137,"0")</f>
        <v>8.7240000000000002</v>
      </c>
      <c r="BO137" s="64">
        <f>IFERROR(1/J137*(X137/H137),"0")</f>
        <v>1.6483516483516484E-2</v>
      </c>
      <c r="BP137" s="64">
        <f>IFERROR(1/J137*(Y137/H137),"0")</f>
        <v>1.6483516483516484E-2</v>
      </c>
    </row>
    <row r="138" spans="1:68" ht="16.5" hidden="1" customHeight="1" x14ac:dyDescent="0.25">
      <c r="A138" s="54" t="s">
        <v>239</v>
      </c>
      <c r="B138" s="54" t="s">
        <v>241</v>
      </c>
      <c r="C138" s="31">
        <v>4301051476</v>
      </c>
      <c r="D138" s="560">
        <v>4680115882584</v>
      </c>
      <c r="E138" s="561"/>
      <c r="F138" s="548">
        <v>0.33</v>
      </c>
      <c r="G138" s="32">
        <v>8</v>
      </c>
      <c r="H138" s="548">
        <v>2.64</v>
      </c>
      <c r="I138" s="548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3"/>
      <c r="R138" s="563"/>
      <c r="S138" s="563"/>
      <c r="T138" s="564"/>
      <c r="U138" s="34"/>
      <c r="V138" s="34"/>
      <c r="W138" s="35" t="s">
        <v>69</v>
      </c>
      <c r="X138" s="549">
        <v>0</v>
      </c>
      <c r="Y138" s="550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233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66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7"/>
      <c r="P139" s="555" t="s">
        <v>75</v>
      </c>
      <c r="Q139" s="556"/>
      <c r="R139" s="556"/>
      <c r="S139" s="556"/>
      <c r="T139" s="556"/>
      <c r="U139" s="556"/>
      <c r="V139" s="557"/>
      <c r="W139" s="37" t="s">
        <v>76</v>
      </c>
      <c r="X139" s="551">
        <f>IFERROR(X137/H137,"0")+IFERROR(X138/H138,"0")</f>
        <v>3</v>
      </c>
      <c r="Y139" s="551">
        <f>IFERROR(Y137/H137,"0")+IFERROR(Y138/H138,"0")</f>
        <v>3</v>
      </c>
      <c r="Z139" s="551">
        <f>IFERROR(IF(Z137="",0,Z137),"0")+IFERROR(IF(Z138="",0,Z138),"0")</f>
        <v>1.9529999999999999E-2</v>
      </c>
      <c r="AA139" s="552"/>
      <c r="AB139" s="552"/>
      <c r="AC139" s="552"/>
    </row>
    <row r="140" spans="1:68" x14ac:dyDescent="0.2">
      <c r="A140" s="559"/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67"/>
      <c r="P140" s="555" t="s">
        <v>75</v>
      </c>
      <c r="Q140" s="556"/>
      <c r="R140" s="556"/>
      <c r="S140" s="556"/>
      <c r="T140" s="556"/>
      <c r="U140" s="556"/>
      <c r="V140" s="557"/>
      <c r="W140" s="37" t="s">
        <v>69</v>
      </c>
      <c r="X140" s="551">
        <f>IFERROR(SUM(X137:X138),"0")</f>
        <v>7.92</v>
      </c>
      <c r="Y140" s="551">
        <f>IFERROR(SUM(Y137:Y138),"0")</f>
        <v>7.92</v>
      </c>
      <c r="Z140" s="37"/>
      <c r="AA140" s="552"/>
      <c r="AB140" s="552"/>
      <c r="AC140" s="552"/>
    </row>
    <row r="141" spans="1:68" ht="16.5" hidden="1" customHeight="1" x14ac:dyDescent="0.25">
      <c r="A141" s="599" t="s">
        <v>101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4"/>
      <c r="AB141" s="544"/>
      <c r="AC141" s="544"/>
    </row>
    <row r="142" spans="1:68" ht="14.25" hidden="1" customHeight="1" x14ac:dyDescent="0.25">
      <c r="A142" s="558" t="s">
        <v>103</v>
      </c>
      <c r="B142" s="559"/>
      <c r="C142" s="559"/>
      <c r="D142" s="559"/>
      <c r="E142" s="559"/>
      <c r="F142" s="559"/>
      <c r="G142" s="559"/>
      <c r="H142" s="559"/>
      <c r="I142" s="559"/>
      <c r="J142" s="559"/>
      <c r="K142" s="559"/>
      <c r="L142" s="559"/>
      <c r="M142" s="559"/>
      <c r="N142" s="559"/>
      <c r="O142" s="559"/>
      <c r="P142" s="559"/>
      <c r="Q142" s="559"/>
      <c r="R142" s="559"/>
      <c r="S142" s="559"/>
      <c r="T142" s="559"/>
      <c r="U142" s="559"/>
      <c r="V142" s="559"/>
      <c r="W142" s="559"/>
      <c r="X142" s="559"/>
      <c r="Y142" s="559"/>
      <c r="Z142" s="559"/>
      <c r="AA142" s="545"/>
      <c r="AB142" s="545"/>
      <c r="AC142" s="545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60">
        <v>4680115887374</v>
      </c>
      <c r="E143" s="561"/>
      <c r="F143" s="548">
        <v>1.6</v>
      </c>
      <c r="G143" s="32">
        <v>8</v>
      </c>
      <c r="H143" s="548">
        <v>12.8</v>
      </c>
      <c r="I143" s="548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68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3"/>
      <c r="R143" s="563"/>
      <c r="S143" s="563"/>
      <c r="T143" s="564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60">
        <v>4607091384604</v>
      </c>
      <c r="E144" s="561"/>
      <c r="F144" s="548">
        <v>0.4</v>
      </c>
      <c r="G144" s="32">
        <v>10</v>
      </c>
      <c r="H144" s="548">
        <v>4</v>
      </c>
      <c r="I144" s="548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59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3"/>
      <c r="R144" s="563"/>
      <c r="S144" s="563"/>
      <c r="T144" s="564"/>
      <c r="U144" s="34"/>
      <c r="V144" s="34"/>
      <c r="W144" s="35" t="s">
        <v>69</v>
      </c>
      <c r="X144" s="549">
        <v>0</v>
      </c>
      <c r="Y144" s="550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7"/>
      <c r="P145" s="555" t="s">
        <v>75</v>
      </c>
      <c r="Q145" s="556"/>
      <c r="R145" s="556"/>
      <c r="S145" s="556"/>
      <c r="T145" s="556"/>
      <c r="U145" s="556"/>
      <c r="V145" s="557"/>
      <c r="W145" s="37" t="s">
        <v>76</v>
      </c>
      <c r="X145" s="551">
        <f>IFERROR(X143/H143,"0")+IFERROR(X144/H144,"0")</f>
        <v>0</v>
      </c>
      <c r="Y145" s="551">
        <f>IFERROR(Y143/H143,"0")+IFERROR(Y144/H144,"0")</f>
        <v>0</v>
      </c>
      <c r="Z145" s="551">
        <f>IFERROR(IF(Z143="",0,Z143),"0")+IFERROR(IF(Z144="",0,Z144),"0")</f>
        <v>0</v>
      </c>
      <c r="AA145" s="552"/>
      <c r="AB145" s="552"/>
      <c r="AC145" s="552"/>
    </row>
    <row r="146" spans="1:68" hidden="1" x14ac:dyDescent="0.2">
      <c r="A146" s="559"/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67"/>
      <c r="P146" s="555" t="s">
        <v>75</v>
      </c>
      <c r="Q146" s="556"/>
      <c r="R146" s="556"/>
      <c r="S146" s="556"/>
      <c r="T146" s="556"/>
      <c r="U146" s="556"/>
      <c r="V146" s="557"/>
      <c r="W146" s="37" t="s">
        <v>69</v>
      </c>
      <c r="X146" s="551">
        <f>IFERROR(SUM(X143:X144),"0")</f>
        <v>0</v>
      </c>
      <c r="Y146" s="551">
        <f>IFERROR(SUM(Y143:Y144),"0")</f>
        <v>0</v>
      </c>
      <c r="Z146" s="37"/>
      <c r="AA146" s="552"/>
      <c r="AB146" s="552"/>
      <c r="AC146" s="552"/>
    </row>
    <row r="147" spans="1:68" ht="14.25" hidden="1" customHeight="1" x14ac:dyDescent="0.25">
      <c r="A147" s="558" t="s">
        <v>64</v>
      </c>
      <c r="B147" s="559"/>
      <c r="C147" s="559"/>
      <c r="D147" s="559"/>
      <c r="E147" s="559"/>
      <c r="F147" s="559"/>
      <c r="G147" s="559"/>
      <c r="H147" s="559"/>
      <c r="I147" s="559"/>
      <c r="J147" s="559"/>
      <c r="K147" s="559"/>
      <c r="L147" s="559"/>
      <c r="M147" s="559"/>
      <c r="N147" s="559"/>
      <c r="O147" s="559"/>
      <c r="P147" s="559"/>
      <c r="Q147" s="559"/>
      <c r="R147" s="559"/>
      <c r="S147" s="559"/>
      <c r="T147" s="559"/>
      <c r="U147" s="559"/>
      <c r="V147" s="559"/>
      <c r="W147" s="559"/>
      <c r="X147" s="559"/>
      <c r="Y147" s="559"/>
      <c r="Z147" s="559"/>
      <c r="AA147" s="545"/>
      <c r="AB147" s="545"/>
      <c r="AC147" s="545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60">
        <v>4680115887428</v>
      </c>
      <c r="E148" s="561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112</v>
      </c>
      <c r="L148" s="32"/>
      <c r="M148" s="33" t="s">
        <v>68</v>
      </c>
      <c r="N148" s="33"/>
      <c r="O148" s="32">
        <v>40</v>
      </c>
      <c r="P148" s="630" t="s">
        <v>250</v>
      </c>
      <c r="Q148" s="563"/>
      <c r="R148" s="563"/>
      <c r="S148" s="563"/>
      <c r="T148" s="564"/>
      <c r="U148" s="34"/>
      <c r="V148" s="34"/>
      <c r="W148" s="35" t="s">
        <v>69</v>
      </c>
      <c r="X148" s="549">
        <v>0</v>
      </c>
      <c r="Y148" s="550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60">
        <v>4680115887336</v>
      </c>
      <c r="E149" s="561"/>
      <c r="F149" s="548">
        <v>0.7</v>
      </c>
      <c r="G149" s="32">
        <v>6</v>
      </c>
      <c r="H149" s="548">
        <v>4.2</v>
      </c>
      <c r="I149" s="548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70" t="s">
        <v>255</v>
      </c>
      <c r="Q149" s="563"/>
      <c r="R149" s="563"/>
      <c r="S149" s="563"/>
      <c r="T149" s="564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60">
        <v>4680115887398</v>
      </c>
      <c r="E150" s="561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112</v>
      </c>
      <c r="L150" s="32"/>
      <c r="M150" s="33" t="s">
        <v>68</v>
      </c>
      <c r="N150" s="33"/>
      <c r="O150" s="32">
        <v>40</v>
      </c>
      <c r="P150" s="661" t="s">
        <v>259</v>
      </c>
      <c r="Q150" s="563"/>
      <c r="R150" s="563"/>
      <c r="S150" s="563"/>
      <c r="T150" s="564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customHeight="1" x14ac:dyDescent="0.25">
      <c r="A151" s="54" t="s">
        <v>261</v>
      </c>
      <c r="B151" s="54" t="s">
        <v>262</v>
      </c>
      <c r="C151" s="31">
        <v>4301030895</v>
      </c>
      <c r="D151" s="560">
        <v>4607091387667</v>
      </c>
      <c r="E151" s="561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106</v>
      </c>
      <c r="L151" s="32" t="s">
        <v>107</v>
      </c>
      <c r="M151" s="33" t="s">
        <v>108</v>
      </c>
      <c r="N151" s="33"/>
      <c r="O151" s="32">
        <v>40</v>
      </c>
      <c r="P151" s="87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63"/>
      <c r="R151" s="563"/>
      <c r="S151" s="563"/>
      <c r="T151" s="564"/>
      <c r="U151" s="34"/>
      <c r="V151" s="34"/>
      <c r="W151" s="35" t="s">
        <v>69</v>
      </c>
      <c r="X151" s="549">
        <v>25</v>
      </c>
      <c r="Y151" s="550">
        <f t="shared" si="5"/>
        <v>27</v>
      </c>
      <c r="Z151" s="36">
        <f>IFERROR(IF(Y151=0,"",ROUNDUP(Y151/H151,0)*0.01898),"")</f>
        <v>5.6940000000000004E-2</v>
      </c>
      <c r="AA151" s="56"/>
      <c r="AB151" s="57"/>
      <c r="AC151" s="193" t="s">
        <v>263</v>
      </c>
      <c r="AG151" s="64"/>
      <c r="AJ151" s="68" t="s">
        <v>92</v>
      </c>
      <c r="AK151" s="68">
        <v>72</v>
      </c>
      <c r="BB151" s="194" t="s">
        <v>1</v>
      </c>
      <c r="BM151" s="64">
        <f t="shared" si="6"/>
        <v>26.555555555555557</v>
      </c>
      <c r="BN151" s="64">
        <f t="shared" si="7"/>
        <v>28.68</v>
      </c>
      <c r="BO151" s="64">
        <f t="shared" si="8"/>
        <v>4.3402777777777776E-2</v>
      </c>
      <c r="BP151" s="64">
        <f t="shared" si="9"/>
        <v>4.6875E-2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60">
        <v>4607091387636</v>
      </c>
      <c r="E152" s="561"/>
      <c r="F152" s="548">
        <v>0.7</v>
      </c>
      <c r="G152" s="32">
        <v>6</v>
      </c>
      <c r="H152" s="548">
        <v>4.2</v>
      </c>
      <c r="I152" s="548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63"/>
      <c r="R152" s="563"/>
      <c r="S152" s="563"/>
      <c r="T152" s="564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60">
        <v>4607091382426</v>
      </c>
      <c r="E153" s="561"/>
      <c r="F153" s="548">
        <v>0.9</v>
      </c>
      <c r="G153" s="32">
        <v>10</v>
      </c>
      <c r="H153" s="548">
        <v>9</v>
      </c>
      <c r="I153" s="548">
        <v>9.56</v>
      </c>
      <c r="J153" s="32">
        <v>64</v>
      </c>
      <c r="K153" s="32" t="s">
        <v>106</v>
      </c>
      <c r="L153" s="32" t="s">
        <v>107</v>
      </c>
      <c r="M153" s="33" t="s">
        <v>68</v>
      </c>
      <c r="N153" s="33"/>
      <c r="O153" s="32">
        <v>40</v>
      </c>
      <c r="P153" s="7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63"/>
      <c r="R153" s="563"/>
      <c r="S153" s="563"/>
      <c r="T153" s="564"/>
      <c r="U153" s="34"/>
      <c r="V153" s="34"/>
      <c r="W153" s="35" t="s">
        <v>69</v>
      </c>
      <c r="X153" s="549">
        <v>0</v>
      </c>
      <c r="Y153" s="550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 t="s">
        <v>92</v>
      </c>
      <c r="AK153" s="68">
        <v>72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66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67"/>
      <c r="P154" s="555" t="s">
        <v>75</v>
      </c>
      <c r="Q154" s="556"/>
      <c r="R154" s="556"/>
      <c r="S154" s="556"/>
      <c r="T154" s="556"/>
      <c r="U154" s="556"/>
      <c r="V154" s="557"/>
      <c r="W154" s="37" t="s">
        <v>76</v>
      </c>
      <c r="X154" s="551">
        <f>IFERROR(X148/H148,"0")+IFERROR(X149/H149,"0")+IFERROR(X150/H150,"0")+IFERROR(X151/H151,"0")+IFERROR(X152/H152,"0")+IFERROR(X153/H153,"0")</f>
        <v>2.7777777777777777</v>
      </c>
      <c r="Y154" s="551">
        <f>IFERROR(Y148/H148,"0")+IFERROR(Y149/H149,"0")+IFERROR(Y150/H150,"0")+IFERROR(Y151/H151,"0")+IFERROR(Y152/H152,"0")+IFERROR(Y153/H153,"0")</f>
        <v>3</v>
      </c>
      <c r="Z154" s="551">
        <f>IFERROR(IF(Z148="",0,Z148),"0")+IFERROR(IF(Z149="",0,Z149),"0")+IFERROR(IF(Z150="",0,Z150),"0")+IFERROR(IF(Z151="",0,Z151),"0")+IFERROR(IF(Z152="",0,Z152),"0")+IFERROR(IF(Z153="",0,Z153),"0")</f>
        <v>5.6940000000000004E-2</v>
      </c>
      <c r="AA154" s="552"/>
      <c r="AB154" s="552"/>
      <c r="AC154" s="552"/>
    </row>
    <row r="155" spans="1:68" x14ac:dyDescent="0.2">
      <c r="A155" s="559"/>
      <c r="B155" s="559"/>
      <c r="C155" s="559"/>
      <c r="D155" s="559"/>
      <c r="E155" s="559"/>
      <c r="F155" s="559"/>
      <c r="G155" s="559"/>
      <c r="H155" s="559"/>
      <c r="I155" s="559"/>
      <c r="J155" s="559"/>
      <c r="K155" s="559"/>
      <c r="L155" s="559"/>
      <c r="M155" s="559"/>
      <c r="N155" s="559"/>
      <c r="O155" s="567"/>
      <c r="P155" s="555" t="s">
        <v>75</v>
      </c>
      <c r="Q155" s="556"/>
      <c r="R155" s="556"/>
      <c r="S155" s="556"/>
      <c r="T155" s="556"/>
      <c r="U155" s="556"/>
      <c r="V155" s="557"/>
      <c r="W155" s="37" t="s">
        <v>69</v>
      </c>
      <c r="X155" s="551">
        <f>IFERROR(SUM(X148:X153),"0")</f>
        <v>25</v>
      </c>
      <c r="Y155" s="551">
        <f>IFERROR(SUM(Y148:Y153),"0")</f>
        <v>27</v>
      </c>
      <c r="Z155" s="37"/>
      <c r="AA155" s="552"/>
      <c r="AB155" s="552"/>
      <c r="AC155" s="552"/>
    </row>
    <row r="156" spans="1:68" ht="14.25" hidden="1" customHeight="1" x14ac:dyDescent="0.25">
      <c r="A156" s="558" t="s">
        <v>77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5"/>
      <c r="AB156" s="545"/>
      <c r="AC156" s="545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60">
        <v>4680115887459</v>
      </c>
      <c r="E157" s="561"/>
      <c r="F157" s="548">
        <v>0.3</v>
      </c>
      <c r="G157" s="32">
        <v>6</v>
      </c>
      <c r="H157" s="548">
        <v>1.8</v>
      </c>
      <c r="I157" s="548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6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3"/>
      <c r="R157" s="563"/>
      <c r="S157" s="563"/>
      <c r="T157" s="564"/>
      <c r="U157" s="34"/>
      <c r="V157" s="34"/>
      <c r="W157" s="35" t="s">
        <v>69</v>
      </c>
      <c r="X157" s="549">
        <v>0</v>
      </c>
      <c r="Y157" s="550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59"/>
      <c r="C158" s="559"/>
      <c r="D158" s="559"/>
      <c r="E158" s="559"/>
      <c r="F158" s="559"/>
      <c r="G158" s="559"/>
      <c r="H158" s="559"/>
      <c r="I158" s="559"/>
      <c r="J158" s="559"/>
      <c r="K158" s="559"/>
      <c r="L158" s="559"/>
      <c r="M158" s="559"/>
      <c r="N158" s="559"/>
      <c r="O158" s="567"/>
      <c r="P158" s="555" t="s">
        <v>75</v>
      </c>
      <c r="Q158" s="556"/>
      <c r="R158" s="556"/>
      <c r="S158" s="556"/>
      <c r="T158" s="556"/>
      <c r="U158" s="556"/>
      <c r="V158" s="557"/>
      <c r="W158" s="37" t="s">
        <v>76</v>
      </c>
      <c r="X158" s="551">
        <f>IFERROR(X157/H157,"0")</f>
        <v>0</v>
      </c>
      <c r="Y158" s="551">
        <f>IFERROR(Y157/H157,"0")</f>
        <v>0</v>
      </c>
      <c r="Z158" s="551">
        <f>IFERROR(IF(Z157="",0,Z157),"0")</f>
        <v>0</v>
      </c>
      <c r="AA158" s="552"/>
      <c r="AB158" s="552"/>
      <c r="AC158" s="552"/>
    </row>
    <row r="159" spans="1:68" hidden="1" x14ac:dyDescent="0.2">
      <c r="A159" s="559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67"/>
      <c r="P159" s="555" t="s">
        <v>75</v>
      </c>
      <c r="Q159" s="556"/>
      <c r="R159" s="556"/>
      <c r="S159" s="556"/>
      <c r="T159" s="556"/>
      <c r="U159" s="556"/>
      <c r="V159" s="557"/>
      <c r="W159" s="37" t="s">
        <v>69</v>
      </c>
      <c r="X159" s="551">
        <f>IFERROR(SUM(X157:X157),"0")</f>
        <v>0</v>
      </c>
      <c r="Y159" s="551">
        <f>IFERROR(SUM(Y157:Y157),"0")</f>
        <v>0</v>
      </c>
      <c r="Z159" s="37"/>
      <c r="AA159" s="552"/>
      <c r="AB159" s="552"/>
      <c r="AC159" s="552"/>
    </row>
    <row r="160" spans="1:68" ht="27.75" hidden="1" customHeight="1" x14ac:dyDescent="0.2">
      <c r="A160" s="690" t="s">
        <v>273</v>
      </c>
      <c r="B160" s="691"/>
      <c r="C160" s="691"/>
      <c r="D160" s="691"/>
      <c r="E160" s="691"/>
      <c r="F160" s="691"/>
      <c r="G160" s="691"/>
      <c r="H160" s="691"/>
      <c r="I160" s="691"/>
      <c r="J160" s="691"/>
      <c r="K160" s="691"/>
      <c r="L160" s="691"/>
      <c r="M160" s="691"/>
      <c r="N160" s="691"/>
      <c r="O160" s="691"/>
      <c r="P160" s="691"/>
      <c r="Q160" s="691"/>
      <c r="R160" s="691"/>
      <c r="S160" s="691"/>
      <c r="T160" s="691"/>
      <c r="U160" s="691"/>
      <c r="V160" s="691"/>
      <c r="W160" s="691"/>
      <c r="X160" s="691"/>
      <c r="Y160" s="691"/>
      <c r="Z160" s="691"/>
      <c r="AA160" s="48"/>
      <c r="AB160" s="48"/>
      <c r="AC160" s="48"/>
    </row>
    <row r="161" spans="1:68" ht="16.5" hidden="1" customHeight="1" x14ac:dyDescent="0.25">
      <c r="A161" s="599" t="s">
        <v>274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4"/>
      <c r="AB161" s="544"/>
      <c r="AC161" s="544"/>
    </row>
    <row r="162" spans="1:68" ht="14.25" hidden="1" customHeight="1" x14ac:dyDescent="0.25">
      <c r="A162" s="558" t="s">
        <v>138</v>
      </c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59"/>
      <c r="P162" s="559"/>
      <c r="Q162" s="559"/>
      <c r="R162" s="559"/>
      <c r="S162" s="559"/>
      <c r="T162" s="559"/>
      <c r="U162" s="559"/>
      <c r="V162" s="559"/>
      <c r="W162" s="559"/>
      <c r="X162" s="559"/>
      <c r="Y162" s="559"/>
      <c r="Z162" s="559"/>
      <c r="AA162" s="545"/>
      <c r="AB162" s="545"/>
      <c r="AC162" s="545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60">
        <v>4680115886223</v>
      </c>
      <c r="E163" s="561"/>
      <c r="F163" s="548">
        <v>0.33</v>
      </c>
      <c r="G163" s="32">
        <v>6</v>
      </c>
      <c r="H163" s="548">
        <v>1.98</v>
      </c>
      <c r="I163" s="548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3"/>
      <c r="R163" s="563"/>
      <c r="S163" s="563"/>
      <c r="T163" s="564"/>
      <c r="U163" s="34"/>
      <c r="V163" s="34"/>
      <c r="W163" s="35" t="s">
        <v>69</v>
      </c>
      <c r="X163" s="549">
        <v>0</v>
      </c>
      <c r="Y163" s="550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67"/>
      <c r="P164" s="555" t="s">
        <v>75</v>
      </c>
      <c r="Q164" s="556"/>
      <c r="R164" s="556"/>
      <c r="S164" s="556"/>
      <c r="T164" s="556"/>
      <c r="U164" s="556"/>
      <c r="V164" s="557"/>
      <c r="W164" s="37" t="s">
        <v>76</v>
      </c>
      <c r="X164" s="551">
        <f>IFERROR(X163/H163,"0")</f>
        <v>0</v>
      </c>
      <c r="Y164" s="551">
        <f>IFERROR(Y163/H163,"0")</f>
        <v>0</v>
      </c>
      <c r="Z164" s="551">
        <f>IFERROR(IF(Z163="",0,Z163),"0")</f>
        <v>0</v>
      </c>
      <c r="AA164" s="552"/>
      <c r="AB164" s="552"/>
      <c r="AC164" s="552"/>
    </row>
    <row r="165" spans="1:68" hidden="1" x14ac:dyDescent="0.2">
      <c r="A165" s="559"/>
      <c r="B165" s="559"/>
      <c r="C165" s="559"/>
      <c r="D165" s="559"/>
      <c r="E165" s="559"/>
      <c r="F165" s="559"/>
      <c r="G165" s="559"/>
      <c r="H165" s="559"/>
      <c r="I165" s="559"/>
      <c r="J165" s="559"/>
      <c r="K165" s="559"/>
      <c r="L165" s="559"/>
      <c r="M165" s="559"/>
      <c r="N165" s="559"/>
      <c r="O165" s="567"/>
      <c r="P165" s="555" t="s">
        <v>75</v>
      </c>
      <c r="Q165" s="556"/>
      <c r="R165" s="556"/>
      <c r="S165" s="556"/>
      <c r="T165" s="556"/>
      <c r="U165" s="556"/>
      <c r="V165" s="557"/>
      <c r="W165" s="37" t="s">
        <v>69</v>
      </c>
      <c r="X165" s="551">
        <f>IFERROR(SUM(X163:X163),"0")</f>
        <v>0</v>
      </c>
      <c r="Y165" s="551">
        <f>IFERROR(SUM(Y163:Y163),"0")</f>
        <v>0</v>
      </c>
      <c r="Z165" s="37"/>
      <c r="AA165" s="552"/>
      <c r="AB165" s="552"/>
      <c r="AC165" s="552"/>
    </row>
    <row r="166" spans="1:68" ht="14.25" hidden="1" customHeight="1" x14ac:dyDescent="0.25">
      <c r="A166" s="558" t="s">
        <v>64</v>
      </c>
      <c r="B166" s="559"/>
      <c r="C166" s="559"/>
      <c r="D166" s="559"/>
      <c r="E166" s="559"/>
      <c r="F166" s="559"/>
      <c r="G166" s="559"/>
      <c r="H166" s="559"/>
      <c r="I166" s="559"/>
      <c r="J166" s="559"/>
      <c r="K166" s="559"/>
      <c r="L166" s="559"/>
      <c r="M166" s="559"/>
      <c r="N166" s="559"/>
      <c r="O166" s="559"/>
      <c r="P166" s="559"/>
      <c r="Q166" s="559"/>
      <c r="R166" s="559"/>
      <c r="S166" s="559"/>
      <c r="T166" s="559"/>
      <c r="U166" s="559"/>
      <c r="V166" s="559"/>
      <c r="W166" s="559"/>
      <c r="X166" s="559"/>
      <c r="Y166" s="559"/>
      <c r="Z166" s="559"/>
      <c r="AA166" s="545"/>
      <c r="AB166" s="545"/>
      <c r="AC166" s="545"/>
    </row>
    <row r="167" spans="1:68" ht="27" hidden="1" customHeight="1" x14ac:dyDescent="0.25">
      <c r="A167" s="54" t="s">
        <v>278</v>
      </c>
      <c r="B167" s="54" t="s">
        <v>279</v>
      </c>
      <c r="C167" s="31">
        <v>4301031191</v>
      </c>
      <c r="D167" s="560">
        <v>4680115880993</v>
      </c>
      <c r="E167" s="561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112</v>
      </c>
      <c r="L167" s="32" t="s">
        <v>115</v>
      </c>
      <c r="M167" s="33" t="s">
        <v>68</v>
      </c>
      <c r="N167" s="33"/>
      <c r="O167" s="32">
        <v>40</v>
      </c>
      <c r="P167" s="68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63"/>
      <c r="R167" s="563"/>
      <c r="S167" s="563"/>
      <c r="T167" s="564"/>
      <c r="U167" s="34"/>
      <c r="V167" s="34"/>
      <c r="W167" s="35" t="s">
        <v>69</v>
      </c>
      <c r="X167" s="549">
        <v>0</v>
      </c>
      <c r="Y167" s="550">
        <f t="shared" ref="Y167:Y178" si="10">IFERROR(IF(X167="",0,CEILING((X167/$H167),1)*$H167),"")</f>
        <v>0</v>
      </c>
      <c r="Z167" s="36" t="str">
        <f>IFERROR(IF(Y167=0,"",ROUNDUP(Y167/H167,0)*0.00902),"")</f>
        <v/>
      </c>
      <c r="AA167" s="56"/>
      <c r="AB167" s="57"/>
      <c r="AC167" s="203" t="s">
        <v>280</v>
      </c>
      <c r="AG167" s="64"/>
      <c r="AJ167" s="68" t="s">
        <v>92</v>
      </c>
      <c r="AK167" s="68">
        <v>50.4</v>
      </c>
      <c r="BB167" s="204" t="s">
        <v>1</v>
      </c>
      <c r="BM167" s="64">
        <f t="shared" ref="BM167:BM178" si="11">IFERROR(X167*I167/H167,"0")</f>
        <v>0</v>
      </c>
      <c r="BN167" s="64">
        <f t="shared" ref="BN167:BN178" si="12">IFERROR(Y167*I167/H167,"0")</f>
        <v>0</v>
      </c>
      <c r="BO167" s="64">
        <f t="shared" ref="BO167:BO178" si="13">IFERROR(1/J167*(X167/H167),"0")</f>
        <v>0</v>
      </c>
      <c r="BP167" s="64">
        <f t="shared" ref="BP167:BP178" si="14">IFERROR(1/J167*(Y167/H167),"0")</f>
        <v>0</v>
      </c>
    </row>
    <row r="168" spans="1:68" ht="27" hidden="1" customHeight="1" x14ac:dyDescent="0.25">
      <c r="A168" s="54" t="s">
        <v>281</v>
      </c>
      <c r="B168" s="54" t="s">
        <v>282</v>
      </c>
      <c r="C168" s="31">
        <v>4301031204</v>
      </c>
      <c r="D168" s="560">
        <v>4680115881761</v>
      </c>
      <c r="E168" s="561"/>
      <c r="F168" s="548">
        <v>0.7</v>
      </c>
      <c r="G168" s="32">
        <v>6</v>
      </c>
      <c r="H168" s="548">
        <v>4.2</v>
      </c>
      <c r="I168" s="548">
        <v>4.45</v>
      </c>
      <c r="J168" s="32">
        <v>132</v>
      </c>
      <c r="K168" s="32" t="s">
        <v>112</v>
      </c>
      <c r="L168" s="32"/>
      <c r="M168" s="33" t="s">
        <v>68</v>
      </c>
      <c r="N168" s="33"/>
      <c r="O168" s="32">
        <v>40</v>
      </c>
      <c r="P168" s="64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63"/>
      <c r="R168" s="563"/>
      <c r="S168" s="563"/>
      <c r="T168" s="564"/>
      <c r="U168" s="34"/>
      <c r="V168" s="34"/>
      <c r="W168" s="35" t="s">
        <v>69</v>
      </c>
      <c r="X168" s="549">
        <v>0</v>
      </c>
      <c r="Y168" s="550">
        <f t="shared" si="10"/>
        <v>0</v>
      </c>
      <c r="Z168" s="36" t="str">
        <f>IFERROR(IF(Y168=0,"",ROUNDUP(Y168/H168,0)*0.00902),"")</f>
        <v/>
      </c>
      <c r="AA168" s="56"/>
      <c r="AB168" s="57"/>
      <c r="AC168" s="205" t="s">
        <v>283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284</v>
      </c>
      <c r="B169" s="54" t="s">
        <v>285</v>
      </c>
      <c r="C169" s="31">
        <v>4301031201</v>
      </c>
      <c r="D169" s="560">
        <v>4680115881563</v>
      </c>
      <c r="E169" s="561"/>
      <c r="F169" s="548">
        <v>0.7</v>
      </c>
      <c r="G169" s="32">
        <v>6</v>
      </c>
      <c r="H169" s="548">
        <v>4.2</v>
      </c>
      <c r="I169" s="548">
        <v>4.3899999999999997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63"/>
      <c r="R169" s="563"/>
      <c r="S169" s="563"/>
      <c r="T169" s="564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286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60">
        <v>4680115887565</v>
      </c>
      <c r="E170" s="561"/>
      <c r="F170" s="548">
        <v>0.08</v>
      </c>
      <c r="G170" s="32">
        <v>10</v>
      </c>
      <c r="H170" s="548">
        <v>0.8</v>
      </c>
      <c r="I170" s="548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59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63"/>
      <c r="R170" s="563"/>
      <c r="S170" s="563"/>
      <c r="T170" s="564"/>
      <c r="U170" s="34"/>
      <c r="V170" s="34"/>
      <c r="W170" s="35" t="s">
        <v>69</v>
      </c>
      <c r="X170" s="549">
        <v>0</v>
      </c>
      <c r="Y170" s="550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290</v>
      </c>
      <c r="B171" s="54" t="s">
        <v>291</v>
      </c>
      <c r="C171" s="31">
        <v>4301031199</v>
      </c>
      <c r="D171" s="560">
        <v>4680115880986</v>
      </c>
      <c r="E171" s="561"/>
      <c r="F171" s="548">
        <v>0.35</v>
      </c>
      <c r="G171" s="32">
        <v>6</v>
      </c>
      <c r="H171" s="548">
        <v>2.1</v>
      </c>
      <c r="I171" s="548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2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63"/>
      <c r="R171" s="563"/>
      <c r="S171" s="563"/>
      <c r="T171" s="564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280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60">
        <v>4680115887213</v>
      </c>
      <c r="E172" s="561"/>
      <c r="F172" s="548">
        <v>0.3</v>
      </c>
      <c r="G172" s="32">
        <v>6</v>
      </c>
      <c r="H172" s="548">
        <v>1.8</v>
      </c>
      <c r="I172" s="548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7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63"/>
      <c r="R172" s="563"/>
      <c r="S172" s="563"/>
      <c r="T172" s="564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296</v>
      </c>
      <c r="B173" s="54" t="s">
        <v>297</v>
      </c>
      <c r="C173" s="31">
        <v>4301031205</v>
      </c>
      <c r="D173" s="560">
        <v>4680115881785</v>
      </c>
      <c r="E173" s="561"/>
      <c r="F173" s="548">
        <v>0.35</v>
      </c>
      <c r="G173" s="32">
        <v>6</v>
      </c>
      <c r="H173" s="548">
        <v>2.1</v>
      </c>
      <c r="I173" s="548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3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63"/>
      <c r="R173" s="563"/>
      <c r="S173" s="563"/>
      <c r="T173" s="564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60">
        <v>4680115886537</v>
      </c>
      <c r="E174" s="561"/>
      <c r="F174" s="548">
        <v>0.3</v>
      </c>
      <c r="G174" s="32">
        <v>6</v>
      </c>
      <c r="H174" s="548">
        <v>1.8</v>
      </c>
      <c r="I174" s="548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63"/>
      <c r="R174" s="563"/>
      <c r="S174" s="563"/>
      <c r="T174" s="564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60">
        <v>4680115887596</v>
      </c>
      <c r="E175" s="561"/>
      <c r="F175" s="548">
        <v>0.08</v>
      </c>
      <c r="G175" s="32">
        <v>10</v>
      </c>
      <c r="H175" s="548">
        <v>0.8</v>
      </c>
      <c r="I175" s="548">
        <v>1.01</v>
      </c>
      <c r="J175" s="32">
        <v>336</v>
      </c>
      <c r="K175" s="32" t="s">
        <v>176</v>
      </c>
      <c r="L175" s="32"/>
      <c r="M175" s="33" t="s">
        <v>68</v>
      </c>
      <c r="N175" s="33"/>
      <c r="O175" s="32">
        <v>45</v>
      </c>
      <c r="P175" s="79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63"/>
      <c r="R175" s="563"/>
      <c r="S175" s="563"/>
      <c r="T175" s="564"/>
      <c r="U175" s="34"/>
      <c r="V175" s="34"/>
      <c r="W175" s="35" t="s">
        <v>69</v>
      </c>
      <c r="X175" s="549">
        <v>0</v>
      </c>
      <c r="Y175" s="550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hidden="1" customHeight="1" x14ac:dyDescent="0.25">
      <c r="A176" s="54" t="s">
        <v>304</v>
      </c>
      <c r="B176" s="54" t="s">
        <v>305</v>
      </c>
      <c r="C176" s="31">
        <v>4301031202</v>
      </c>
      <c r="D176" s="560">
        <v>4680115881679</v>
      </c>
      <c r="E176" s="561"/>
      <c r="F176" s="548">
        <v>0.35</v>
      </c>
      <c r="G176" s="32">
        <v>6</v>
      </c>
      <c r="H176" s="548">
        <v>2.1</v>
      </c>
      <c r="I176" s="548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63"/>
      <c r="R176" s="563"/>
      <c r="S176" s="563"/>
      <c r="T176" s="564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286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60">
        <v>4680115880191</v>
      </c>
      <c r="E177" s="561"/>
      <c r="F177" s="548">
        <v>0.4</v>
      </c>
      <c r="G177" s="32">
        <v>6</v>
      </c>
      <c r="H177" s="548">
        <v>2.4</v>
      </c>
      <c r="I177" s="548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63"/>
      <c r="R177" s="563"/>
      <c r="S177" s="563"/>
      <c r="T177" s="564"/>
      <c r="U177" s="34"/>
      <c r="V177" s="34"/>
      <c r="W177" s="35" t="s">
        <v>69</v>
      </c>
      <c r="X177" s="549">
        <v>0</v>
      </c>
      <c r="Y177" s="550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60">
        <v>4680115883963</v>
      </c>
      <c r="E178" s="561"/>
      <c r="F178" s="548">
        <v>0.28000000000000003</v>
      </c>
      <c r="G178" s="32">
        <v>6</v>
      </c>
      <c r="H178" s="548">
        <v>1.68</v>
      </c>
      <c r="I178" s="548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63"/>
      <c r="R178" s="563"/>
      <c r="S178" s="563"/>
      <c r="T178" s="564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idden="1" x14ac:dyDescent="0.2">
      <c r="A179" s="566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7"/>
      <c r="P179" s="555" t="s">
        <v>75</v>
      </c>
      <c r="Q179" s="556"/>
      <c r="R179" s="556"/>
      <c r="S179" s="556"/>
      <c r="T179" s="556"/>
      <c r="U179" s="556"/>
      <c r="V179" s="557"/>
      <c r="W179" s="37" t="s">
        <v>76</v>
      </c>
      <c r="X179" s="55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5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5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2"/>
      <c r="AB179" s="552"/>
      <c r="AC179" s="552"/>
    </row>
    <row r="180" spans="1:68" hidden="1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7"/>
      <c r="P180" s="555" t="s">
        <v>75</v>
      </c>
      <c r="Q180" s="556"/>
      <c r="R180" s="556"/>
      <c r="S180" s="556"/>
      <c r="T180" s="556"/>
      <c r="U180" s="556"/>
      <c r="V180" s="557"/>
      <c r="W180" s="37" t="s">
        <v>69</v>
      </c>
      <c r="X180" s="551">
        <f>IFERROR(SUM(X167:X178),"0")</f>
        <v>0</v>
      </c>
      <c r="Y180" s="551">
        <f>IFERROR(SUM(Y167:Y178),"0")</f>
        <v>0</v>
      </c>
      <c r="Z180" s="37"/>
      <c r="AA180" s="552"/>
      <c r="AB180" s="552"/>
      <c r="AC180" s="552"/>
    </row>
    <row r="181" spans="1:68" ht="14.25" hidden="1" customHeight="1" x14ac:dyDescent="0.25">
      <c r="A181" s="558" t="s">
        <v>95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5"/>
      <c r="AB181" s="545"/>
      <c r="AC181" s="545"/>
    </row>
    <row r="182" spans="1:68" ht="27" customHeight="1" x14ac:dyDescent="0.25">
      <c r="A182" s="54" t="s">
        <v>311</v>
      </c>
      <c r="B182" s="54" t="s">
        <v>312</v>
      </c>
      <c r="C182" s="31">
        <v>4301032053</v>
      </c>
      <c r="D182" s="560">
        <v>4680115886780</v>
      </c>
      <c r="E182" s="561"/>
      <c r="F182" s="548">
        <v>7.0000000000000007E-2</v>
      </c>
      <c r="G182" s="32">
        <v>18</v>
      </c>
      <c r="H182" s="548">
        <v>1.26</v>
      </c>
      <c r="I182" s="548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8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63"/>
      <c r="R182" s="563"/>
      <c r="S182" s="563"/>
      <c r="T182" s="564"/>
      <c r="U182" s="34"/>
      <c r="V182" s="34"/>
      <c r="W182" s="35" t="s">
        <v>69</v>
      </c>
      <c r="X182" s="549">
        <v>1.05</v>
      </c>
      <c r="Y182" s="550">
        <f>IFERROR(IF(X182="",0,CEILING((X182/$H182),1)*$H182),"")</f>
        <v>1.26</v>
      </c>
      <c r="Z182" s="36">
        <f>IFERROR(IF(Y182=0,"",ROUNDUP(Y182/H182,0)*0.0059),"")</f>
        <v>5.8999999999999999E-3</v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1.2083333333333333</v>
      </c>
      <c r="BN182" s="64">
        <f>IFERROR(Y182*I182/H182,"0")</f>
        <v>1.45</v>
      </c>
      <c r="BO182" s="64">
        <f>IFERROR(1/J182*(X182/H182),"0")</f>
        <v>3.8580246913580245E-3</v>
      </c>
      <c r="BP182" s="64">
        <f>IFERROR(1/J182*(Y182/H182),"0")</f>
        <v>4.6296296296296294E-3</v>
      </c>
    </row>
    <row r="183" spans="1:68" ht="27" hidden="1" customHeight="1" x14ac:dyDescent="0.25">
      <c r="A183" s="54" t="s">
        <v>316</v>
      </c>
      <c r="B183" s="54" t="s">
        <v>317</v>
      </c>
      <c r="C183" s="31">
        <v>4301032051</v>
      </c>
      <c r="D183" s="560">
        <v>4680115886742</v>
      </c>
      <c r="E183" s="561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2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63"/>
      <c r="R183" s="563"/>
      <c r="S183" s="563"/>
      <c r="T183" s="564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60">
        <v>4680115886766</v>
      </c>
      <c r="E184" s="561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63"/>
      <c r="R184" s="563"/>
      <c r="S184" s="563"/>
      <c r="T184" s="564"/>
      <c r="U184" s="34"/>
      <c r="V184" s="34"/>
      <c r="W184" s="35" t="s">
        <v>69</v>
      </c>
      <c r="X184" s="549">
        <v>0</v>
      </c>
      <c r="Y184" s="550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6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7"/>
      <c r="P185" s="555" t="s">
        <v>75</v>
      </c>
      <c r="Q185" s="556"/>
      <c r="R185" s="556"/>
      <c r="S185" s="556"/>
      <c r="T185" s="556"/>
      <c r="U185" s="556"/>
      <c r="V185" s="557"/>
      <c r="W185" s="37" t="s">
        <v>76</v>
      </c>
      <c r="X185" s="551">
        <f>IFERROR(X182/H182,"0")+IFERROR(X183/H183,"0")+IFERROR(X184/H184,"0")</f>
        <v>0.83333333333333337</v>
      </c>
      <c r="Y185" s="551">
        <f>IFERROR(Y182/H182,"0")+IFERROR(Y183/H183,"0")+IFERROR(Y184/H184,"0")</f>
        <v>1</v>
      </c>
      <c r="Z185" s="551">
        <f>IFERROR(IF(Z182="",0,Z182),"0")+IFERROR(IF(Z183="",0,Z183),"0")+IFERROR(IF(Z184="",0,Z184),"0")</f>
        <v>5.8999999999999999E-3</v>
      </c>
      <c r="AA185" s="552"/>
      <c r="AB185" s="552"/>
      <c r="AC185" s="552"/>
    </row>
    <row r="186" spans="1:68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7"/>
      <c r="P186" s="555" t="s">
        <v>75</v>
      </c>
      <c r="Q186" s="556"/>
      <c r="R186" s="556"/>
      <c r="S186" s="556"/>
      <c r="T186" s="556"/>
      <c r="U186" s="556"/>
      <c r="V186" s="557"/>
      <c r="W186" s="37" t="s">
        <v>69</v>
      </c>
      <c r="X186" s="551">
        <f>IFERROR(SUM(X182:X184),"0")</f>
        <v>1.05</v>
      </c>
      <c r="Y186" s="551">
        <f>IFERROR(SUM(Y182:Y184),"0")</f>
        <v>1.26</v>
      </c>
      <c r="Z186" s="37"/>
      <c r="AA186" s="552"/>
      <c r="AB186" s="552"/>
      <c r="AC186" s="552"/>
    </row>
    <row r="187" spans="1:68" ht="14.25" hidden="1" customHeight="1" x14ac:dyDescent="0.25">
      <c r="A187" s="558" t="s">
        <v>321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5"/>
      <c r="AB187" s="545"/>
      <c r="AC187" s="545"/>
    </row>
    <row r="188" spans="1:68" ht="27" hidden="1" customHeight="1" x14ac:dyDescent="0.25">
      <c r="A188" s="54" t="s">
        <v>322</v>
      </c>
      <c r="B188" s="54" t="s">
        <v>323</v>
      </c>
      <c r="C188" s="31">
        <v>4301170013</v>
      </c>
      <c r="D188" s="560">
        <v>4680115886797</v>
      </c>
      <c r="E188" s="561"/>
      <c r="F188" s="548">
        <v>7.0000000000000007E-2</v>
      </c>
      <c r="G188" s="32">
        <v>18</v>
      </c>
      <c r="H188" s="548">
        <v>1.26</v>
      </c>
      <c r="I188" s="548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81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63"/>
      <c r="R188" s="563"/>
      <c r="S188" s="563"/>
      <c r="T188" s="564"/>
      <c r="U188" s="34"/>
      <c r="V188" s="34"/>
      <c r="W188" s="35" t="s">
        <v>69</v>
      </c>
      <c r="X188" s="549">
        <v>0</v>
      </c>
      <c r="Y188" s="550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6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7"/>
      <c r="P189" s="555" t="s">
        <v>75</v>
      </c>
      <c r="Q189" s="556"/>
      <c r="R189" s="556"/>
      <c r="S189" s="556"/>
      <c r="T189" s="556"/>
      <c r="U189" s="556"/>
      <c r="V189" s="557"/>
      <c r="W189" s="37" t="s">
        <v>76</v>
      </c>
      <c r="X189" s="551">
        <f>IFERROR(X188/H188,"0")</f>
        <v>0</v>
      </c>
      <c r="Y189" s="551">
        <f>IFERROR(Y188/H188,"0")</f>
        <v>0</v>
      </c>
      <c r="Z189" s="551">
        <f>IFERROR(IF(Z188="",0,Z188),"0")</f>
        <v>0</v>
      </c>
      <c r="AA189" s="552"/>
      <c r="AB189" s="552"/>
      <c r="AC189" s="552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7"/>
      <c r="P190" s="555" t="s">
        <v>75</v>
      </c>
      <c r="Q190" s="556"/>
      <c r="R190" s="556"/>
      <c r="S190" s="556"/>
      <c r="T190" s="556"/>
      <c r="U190" s="556"/>
      <c r="V190" s="557"/>
      <c r="W190" s="37" t="s">
        <v>69</v>
      </c>
      <c r="X190" s="551">
        <f>IFERROR(SUM(X188:X188),"0")</f>
        <v>0</v>
      </c>
      <c r="Y190" s="551">
        <f>IFERROR(SUM(Y188:Y188),"0")</f>
        <v>0</v>
      </c>
      <c r="Z190" s="37"/>
      <c r="AA190" s="552"/>
      <c r="AB190" s="552"/>
      <c r="AC190" s="552"/>
    </row>
    <row r="191" spans="1:68" ht="16.5" hidden="1" customHeight="1" x14ac:dyDescent="0.25">
      <c r="A191" s="599" t="s">
        <v>324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4"/>
      <c r="AB191" s="544"/>
      <c r="AC191" s="544"/>
    </row>
    <row r="192" spans="1:68" ht="14.25" hidden="1" customHeight="1" x14ac:dyDescent="0.25">
      <c r="A192" s="558" t="s">
        <v>103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5"/>
      <c r="AB192" s="545"/>
      <c r="AC192" s="545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60">
        <v>4680115881402</v>
      </c>
      <c r="E193" s="561"/>
      <c r="F193" s="548">
        <v>1.35</v>
      </c>
      <c r="G193" s="32">
        <v>8</v>
      </c>
      <c r="H193" s="548">
        <v>10.8</v>
      </c>
      <c r="I193" s="548">
        <v>11.21</v>
      </c>
      <c r="J193" s="32">
        <v>64</v>
      </c>
      <c r="K193" s="32" t="s">
        <v>106</v>
      </c>
      <c r="L193" s="32"/>
      <c r="M193" s="33" t="s">
        <v>108</v>
      </c>
      <c r="N193" s="33"/>
      <c r="O193" s="32">
        <v>55</v>
      </c>
      <c r="P193" s="78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63"/>
      <c r="R193" s="563"/>
      <c r="S193" s="563"/>
      <c r="T193" s="564"/>
      <c r="U193" s="34"/>
      <c r="V193" s="34"/>
      <c r="W193" s="35" t="s">
        <v>69</v>
      </c>
      <c r="X193" s="549">
        <v>0</v>
      </c>
      <c r="Y193" s="550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60">
        <v>4680115881396</v>
      </c>
      <c r="E194" s="561"/>
      <c r="F194" s="548">
        <v>0.45</v>
      </c>
      <c r="G194" s="32">
        <v>6</v>
      </c>
      <c r="H194" s="548">
        <v>2.7</v>
      </c>
      <c r="I194" s="548">
        <v>2.88</v>
      </c>
      <c r="J194" s="32">
        <v>182</v>
      </c>
      <c r="K194" s="32" t="s">
        <v>67</v>
      </c>
      <c r="L194" s="32" t="s">
        <v>90</v>
      </c>
      <c r="M194" s="33" t="s">
        <v>108</v>
      </c>
      <c r="N194" s="33"/>
      <c r="O194" s="32">
        <v>55</v>
      </c>
      <c r="P194" s="65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63"/>
      <c r="R194" s="563"/>
      <c r="S194" s="563"/>
      <c r="T194" s="564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6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7"/>
      <c r="P195" s="555" t="s">
        <v>75</v>
      </c>
      <c r="Q195" s="556"/>
      <c r="R195" s="556"/>
      <c r="S195" s="556"/>
      <c r="T195" s="556"/>
      <c r="U195" s="556"/>
      <c r="V195" s="557"/>
      <c r="W195" s="37" t="s">
        <v>76</v>
      </c>
      <c r="X195" s="551">
        <f>IFERROR(X193/H193,"0")+IFERROR(X194/H194,"0")</f>
        <v>0</v>
      </c>
      <c r="Y195" s="551">
        <f>IFERROR(Y193/H193,"0")+IFERROR(Y194/H194,"0")</f>
        <v>0</v>
      </c>
      <c r="Z195" s="551">
        <f>IFERROR(IF(Z193="",0,Z193),"0")+IFERROR(IF(Z194="",0,Z194),"0")</f>
        <v>0</v>
      </c>
      <c r="AA195" s="552"/>
      <c r="AB195" s="552"/>
      <c r="AC195" s="552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7"/>
      <c r="P196" s="555" t="s">
        <v>75</v>
      </c>
      <c r="Q196" s="556"/>
      <c r="R196" s="556"/>
      <c r="S196" s="556"/>
      <c r="T196" s="556"/>
      <c r="U196" s="556"/>
      <c r="V196" s="557"/>
      <c r="W196" s="37" t="s">
        <v>69</v>
      </c>
      <c r="X196" s="551">
        <f>IFERROR(SUM(X193:X194),"0")</f>
        <v>0</v>
      </c>
      <c r="Y196" s="551">
        <f>IFERROR(SUM(Y193:Y194),"0")</f>
        <v>0</v>
      </c>
      <c r="Z196" s="37"/>
      <c r="AA196" s="552"/>
      <c r="AB196" s="552"/>
      <c r="AC196" s="552"/>
    </row>
    <row r="197" spans="1:68" ht="14.25" hidden="1" customHeight="1" x14ac:dyDescent="0.25">
      <c r="A197" s="558" t="s">
        <v>138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5"/>
      <c r="AB197" s="545"/>
      <c r="AC197" s="545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60">
        <v>4680115882935</v>
      </c>
      <c r="E198" s="561"/>
      <c r="F198" s="548">
        <v>1.35</v>
      </c>
      <c r="G198" s="32">
        <v>8</v>
      </c>
      <c r="H198" s="548">
        <v>10.8</v>
      </c>
      <c r="I198" s="548">
        <v>11.21</v>
      </c>
      <c r="J198" s="32">
        <v>64</v>
      </c>
      <c r="K198" s="32" t="s">
        <v>106</v>
      </c>
      <c r="L198" s="32"/>
      <c r="M198" s="33" t="s">
        <v>108</v>
      </c>
      <c r="N198" s="33"/>
      <c r="O198" s="32">
        <v>50</v>
      </c>
      <c r="P198" s="83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63"/>
      <c r="R198" s="563"/>
      <c r="S198" s="563"/>
      <c r="T198" s="564"/>
      <c r="U198" s="34"/>
      <c r="V198" s="34"/>
      <c r="W198" s="35" t="s">
        <v>69</v>
      </c>
      <c r="X198" s="549">
        <v>0</v>
      </c>
      <c r="Y198" s="550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60">
        <v>4680115880764</v>
      </c>
      <c r="E199" s="561"/>
      <c r="F199" s="548">
        <v>0.35</v>
      </c>
      <c r="G199" s="32">
        <v>6</v>
      </c>
      <c r="H199" s="548">
        <v>2.1</v>
      </c>
      <c r="I199" s="548">
        <v>2.2799999999999998</v>
      </c>
      <c r="J199" s="32">
        <v>182</v>
      </c>
      <c r="K199" s="32" t="s">
        <v>67</v>
      </c>
      <c r="L199" s="32"/>
      <c r="M199" s="33" t="s">
        <v>108</v>
      </c>
      <c r="N199" s="33"/>
      <c r="O199" s="32">
        <v>50</v>
      </c>
      <c r="P199" s="85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63"/>
      <c r="R199" s="563"/>
      <c r="S199" s="563"/>
      <c r="T199" s="564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6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7"/>
      <c r="P200" s="555" t="s">
        <v>75</v>
      </c>
      <c r="Q200" s="556"/>
      <c r="R200" s="556"/>
      <c r="S200" s="556"/>
      <c r="T200" s="556"/>
      <c r="U200" s="556"/>
      <c r="V200" s="557"/>
      <c r="W200" s="37" t="s">
        <v>76</v>
      </c>
      <c r="X200" s="551">
        <f>IFERROR(X198/H198,"0")+IFERROR(X199/H199,"0")</f>
        <v>0</v>
      </c>
      <c r="Y200" s="551">
        <f>IFERROR(Y198/H198,"0")+IFERROR(Y199/H199,"0")</f>
        <v>0</v>
      </c>
      <c r="Z200" s="551">
        <f>IFERROR(IF(Z198="",0,Z198),"0")+IFERROR(IF(Z199="",0,Z199),"0")</f>
        <v>0</v>
      </c>
      <c r="AA200" s="552"/>
      <c r="AB200" s="552"/>
      <c r="AC200" s="552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7"/>
      <c r="P201" s="555" t="s">
        <v>75</v>
      </c>
      <c r="Q201" s="556"/>
      <c r="R201" s="556"/>
      <c r="S201" s="556"/>
      <c r="T201" s="556"/>
      <c r="U201" s="556"/>
      <c r="V201" s="557"/>
      <c r="W201" s="37" t="s">
        <v>69</v>
      </c>
      <c r="X201" s="551">
        <f>IFERROR(SUM(X198:X199),"0")</f>
        <v>0</v>
      </c>
      <c r="Y201" s="551">
        <f>IFERROR(SUM(Y198:Y199),"0")</f>
        <v>0</v>
      </c>
      <c r="Z201" s="37"/>
      <c r="AA201" s="552"/>
      <c r="AB201" s="552"/>
      <c r="AC201" s="552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5"/>
      <c r="AB202" s="545"/>
      <c r="AC202" s="545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60">
        <v>4680115882683</v>
      </c>
      <c r="E203" s="561"/>
      <c r="F203" s="548">
        <v>0.9</v>
      </c>
      <c r="G203" s="32">
        <v>6</v>
      </c>
      <c r="H203" s="548">
        <v>5.4</v>
      </c>
      <c r="I203" s="548">
        <v>5.59</v>
      </c>
      <c r="J203" s="32">
        <v>132</v>
      </c>
      <c r="K203" s="32" t="s">
        <v>112</v>
      </c>
      <c r="L203" s="32" t="s">
        <v>115</v>
      </c>
      <c r="M203" s="33" t="s">
        <v>68</v>
      </c>
      <c r="N203" s="33"/>
      <c r="O203" s="32">
        <v>40</v>
      </c>
      <c r="P203" s="73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63"/>
      <c r="R203" s="563"/>
      <c r="S203" s="563"/>
      <c r="T203" s="564"/>
      <c r="U203" s="34"/>
      <c r="V203" s="34"/>
      <c r="W203" s="35" t="s">
        <v>69</v>
      </c>
      <c r="X203" s="549">
        <v>10</v>
      </c>
      <c r="Y203" s="550">
        <f t="shared" ref="Y203:Y210" si="15">IFERROR(IF(X203="",0,CEILING((X203/$H203),1)*$H203),"")</f>
        <v>10.8</v>
      </c>
      <c r="Z203" s="36">
        <f>IFERROR(IF(Y203=0,"",ROUNDUP(Y203/H203,0)*0.00902),"")</f>
        <v>1.804E-2</v>
      </c>
      <c r="AA203" s="56"/>
      <c r="AB203" s="57"/>
      <c r="AC203" s="243" t="s">
        <v>337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6">IFERROR(X203*I203/H203,"0")</f>
        <v>10.351851851851851</v>
      </c>
      <c r="BN203" s="64">
        <f t="shared" ref="BN203:BN210" si="17">IFERROR(Y203*I203/H203,"0")</f>
        <v>11.18</v>
      </c>
      <c r="BO203" s="64">
        <f t="shared" ref="BO203:BO210" si="18">IFERROR(1/J203*(X203/H203),"0")</f>
        <v>1.4029180695847361E-2</v>
      </c>
      <c r="BP203" s="64">
        <f t="shared" ref="BP203:BP210" si="19">IFERROR(1/J203*(Y203/H203),"0")</f>
        <v>1.5151515151515152E-2</v>
      </c>
    </row>
    <row r="204" spans="1:68" ht="27" hidden="1" customHeight="1" x14ac:dyDescent="0.25">
      <c r="A204" s="54" t="s">
        <v>338</v>
      </c>
      <c r="B204" s="54" t="s">
        <v>339</v>
      </c>
      <c r="C204" s="31">
        <v>4301031230</v>
      </c>
      <c r="D204" s="560">
        <v>4680115882690</v>
      </c>
      <c r="E204" s="561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112</v>
      </c>
      <c r="L204" s="32" t="s">
        <v>115</v>
      </c>
      <c r="M204" s="33" t="s">
        <v>68</v>
      </c>
      <c r="N204" s="33"/>
      <c r="O204" s="32">
        <v>40</v>
      </c>
      <c r="P204" s="74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63"/>
      <c r="R204" s="563"/>
      <c r="S204" s="563"/>
      <c r="T204" s="564"/>
      <c r="U204" s="34"/>
      <c r="V204" s="34"/>
      <c r="W204" s="35" t="s">
        <v>69</v>
      </c>
      <c r="X204" s="549">
        <v>0</v>
      </c>
      <c r="Y204" s="550">
        <f t="shared" si="15"/>
        <v>0</v>
      </c>
      <c r="Z204" s="36" t="str">
        <f>IFERROR(IF(Y204=0,"",ROUNDUP(Y204/H204,0)*0.00902),"")</f>
        <v/>
      </c>
      <c r="AA204" s="56"/>
      <c r="AB204" s="57"/>
      <c r="AC204" s="245" t="s">
        <v>340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6"/>
        <v>0</v>
      </c>
      <c r="BN204" s="64">
        <f t="shared" si="17"/>
        <v>0</v>
      </c>
      <c r="BO204" s="64">
        <f t="shared" si="18"/>
        <v>0</v>
      </c>
      <c r="BP204" s="64">
        <f t="shared" si="19"/>
        <v>0</v>
      </c>
    </row>
    <row r="205" spans="1:68" ht="27" hidden="1" customHeight="1" x14ac:dyDescent="0.25">
      <c r="A205" s="54" t="s">
        <v>341</v>
      </c>
      <c r="B205" s="54" t="s">
        <v>342</v>
      </c>
      <c r="C205" s="31">
        <v>4301031220</v>
      </c>
      <c r="D205" s="560">
        <v>4680115882669</v>
      </c>
      <c r="E205" s="561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63"/>
      <c r="R205" s="563"/>
      <c r="S205" s="563"/>
      <c r="T205" s="564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343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344</v>
      </c>
      <c r="B206" s="54" t="s">
        <v>345</v>
      </c>
      <c r="C206" s="31">
        <v>4301031221</v>
      </c>
      <c r="D206" s="560">
        <v>4680115882676</v>
      </c>
      <c r="E206" s="561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63"/>
      <c r="R206" s="563"/>
      <c r="S206" s="563"/>
      <c r="T206" s="564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346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347</v>
      </c>
      <c r="B207" s="54" t="s">
        <v>348</v>
      </c>
      <c r="C207" s="31">
        <v>4301031223</v>
      </c>
      <c r="D207" s="560">
        <v>4680115884014</v>
      </c>
      <c r="E207" s="561"/>
      <c r="F207" s="548">
        <v>0.3</v>
      </c>
      <c r="G207" s="32">
        <v>6</v>
      </c>
      <c r="H207" s="548">
        <v>1.8</v>
      </c>
      <c r="I207" s="548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67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63"/>
      <c r="R207" s="563"/>
      <c r="S207" s="563"/>
      <c r="T207" s="564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IFERROR(IF(Y207=0,"",ROUNDUP(Y207/H207,0)*0.00502),"")</f>
        <v/>
      </c>
      <c r="AA207" s="56"/>
      <c r="AB207" s="57"/>
      <c r="AC207" s="251" t="s">
        <v>337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4301031222</v>
      </c>
      <c r="D208" s="560">
        <v>4680115884007</v>
      </c>
      <c r="E208" s="561"/>
      <c r="F208" s="548">
        <v>0.3</v>
      </c>
      <c r="G208" s="32">
        <v>6</v>
      </c>
      <c r="H208" s="548">
        <v>1.8</v>
      </c>
      <c r="I208" s="548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1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63"/>
      <c r="R208" s="563"/>
      <c r="S208" s="563"/>
      <c r="T208" s="564"/>
      <c r="U208" s="34"/>
      <c r="V208" s="34"/>
      <c r="W208" s="35" t="s">
        <v>69</v>
      </c>
      <c r="X208" s="549">
        <v>0</v>
      </c>
      <c r="Y208" s="550">
        <f t="shared" si="15"/>
        <v>0</v>
      </c>
      <c r="Z208" s="36" t="str">
        <f>IFERROR(IF(Y208=0,"",ROUNDUP(Y208/H208,0)*0.00502),"")</f>
        <v/>
      </c>
      <c r="AA208" s="56"/>
      <c r="AB208" s="57"/>
      <c r="AC208" s="253" t="s">
        <v>340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4301031229</v>
      </c>
      <c r="D209" s="560">
        <v>4680115884038</v>
      </c>
      <c r="E209" s="561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63"/>
      <c r="R209" s="563"/>
      <c r="S209" s="563"/>
      <c r="T209" s="564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343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60">
        <v>4680115884021</v>
      </c>
      <c r="E210" s="561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2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63"/>
      <c r="R210" s="563"/>
      <c r="S210" s="563"/>
      <c r="T210" s="564"/>
      <c r="U210" s="34"/>
      <c r="V210" s="34"/>
      <c r="W210" s="35" t="s">
        <v>69</v>
      </c>
      <c r="X210" s="549">
        <v>9</v>
      </c>
      <c r="Y210" s="550">
        <f t="shared" si="15"/>
        <v>9</v>
      </c>
      <c r="Z210" s="36">
        <f>IFERROR(IF(Y210=0,"",ROUNDUP(Y210/H210,0)*0.00502),"")</f>
        <v>2.5100000000000001E-2</v>
      </c>
      <c r="AA210" s="56"/>
      <c r="AB210" s="57"/>
      <c r="AC210" s="257" t="s">
        <v>346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9.4999999999999982</v>
      </c>
      <c r="BN210" s="64">
        <f t="shared" si="17"/>
        <v>9.4999999999999982</v>
      </c>
      <c r="BO210" s="64">
        <f t="shared" si="18"/>
        <v>2.1367521367521368E-2</v>
      </c>
      <c r="BP210" s="64">
        <f t="shared" si="19"/>
        <v>2.1367521367521368E-2</v>
      </c>
    </row>
    <row r="211" spans="1:68" x14ac:dyDescent="0.2">
      <c r="A211" s="566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7"/>
      <c r="P211" s="555" t="s">
        <v>75</v>
      </c>
      <c r="Q211" s="556"/>
      <c r="R211" s="556"/>
      <c r="S211" s="556"/>
      <c r="T211" s="556"/>
      <c r="U211" s="556"/>
      <c r="V211" s="557"/>
      <c r="W211" s="37" t="s">
        <v>76</v>
      </c>
      <c r="X211" s="551">
        <f>IFERROR(X203/H203,"0")+IFERROR(X204/H204,"0")+IFERROR(X205/H205,"0")+IFERROR(X206/H206,"0")+IFERROR(X207/H207,"0")+IFERROR(X208/H208,"0")+IFERROR(X209/H209,"0")+IFERROR(X210/H210,"0")</f>
        <v>6.8518518518518512</v>
      </c>
      <c r="Y211" s="551">
        <f>IFERROR(Y203/H203,"0")+IFERROR(Y204/H204,"0")+IFERROR(Y205/H205,"0")+IFERROR(Y206/H206,"0")+IFERROR(Y207/H207,"0")+IFERROR(Y208/H208,"0")+IFERROR(Y209/H209,"0")+IFERROR(Y210/H210,"0")</f>
        <v>7</v>
      </c>
      <c r="Z211" s="551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4.3139999999999998E-2</v>
      </c>
      <c r="AA211" s="552"/>
      <c r="AB211" s="552"/>
      <c r="AC211" s="552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7"/>
      <c r="P212" s="555" t="s">
        <v>75</v>
      </c>
      <c r="Q212" s="556"/>
      <c r="R212" s="556"/>
      <c r="S212" s="556"/>
      <c r="T212" s="556"/>
      <c r="U212" s="556"/>
      <c r="V212" s="557"/>
      <c r="W212" s="37" t="s">
        <v>69</v>
      </c>
      <c r="X212" s="551">
        <f>IFERROR(SUM(X203:X210),"0")</f>
        <v>19</v>
      </c>
      <c r="Y212" s="551">
        <f>IFERROR(SUM(Y203:Y210),"0")</f>
        <v>19.8</v>
      </c>
      <c r="Z212" s="37"/>
      <c r="AA212" s="552"/>
      <c r="AB212" s="552"/>
      <c r="AC212" s="552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5"/>
      <c r="AB213" s="545"/>
      <c r="AC213" s="545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60">
        <v>4680115881594</v>
      </c>
      <c r="E214" s="561"/>
      <c r="F214" s="548">
        <v>1.35</v>
      </c>
      <c r="G214" s="32">
        <v>6</v>
      </c>
      <c r="H214" s="548">
        <v>8.1</v>
      </c>
      <c r="I214" s="548">
        <v>8.5939999999999994</v>
      </c>
      <c r="J214" s="32">
        <v>64</v>
      </c>
      <c r="K214" s="32" t="s">
        <v>106</v>
      </c>
      <c r="L214" s="32"/>
      <c r="M214" s="33" t="s">
        <v>80</v>
      </c>
      <c r="N214" s="33"/>
      <c r="O214" s="32">
        <v>40</v>
      </c>
      <c r="P214" s="80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63"/>
      <c r="R214" s="563"/>
      <c r="S214" s="563"/>
      <c r="T214" s="564"/>
      <c r="U214" s="34"/>
      <c r="V214" s="34"/>
      <c r="W214" s="35" t="s">
        <v>69</v>
      </c>
      <c r="X214" s="549">
        <v>0</v>
      </c>
      <c r="Y214" s="550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60">
        <v>4680115881617</v>
      </c>
      <c r="E215" s="561"/>
      <c r="F215" s="548">
        <v>1.35</v>
      </c>
      <c r="G215" s="32">
        <v>6</v>
      </c>
      <c r="H215" s="548">
        <v>8.1</v>
      </c>
      <c r="I215" s="548">
        <v>8.5760000000000005</v>
      </c>
      <c r="J215" s="32">
        <v>64</v>
      </c>
      <c r="K215" s="32" t="s">
        <v>106</v>
      </c>
      <c r="L215" s="32"/>
      <c r="M215" s="33" t="s">
        <v>80</v>
      </c>
      <c r="N215" s="33"/>
      <c r="O215" s="32">
        <v>40</v>
      </c>
      <c r="P215" s="5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63"/>
      <c r="R215" s="563"/>
      <c r="S215" s="563"/>
      <c r="T215" s="564"/>
      <c r="U215" s="34"/>
      <c r="V215" s="34"/>
      <c r="W215" s="35" t="s">
        <v>69</v>
      </c>
      <c r="X215" s="549">
        <v>0</v>
      </c>
      <c r="Y215" s="550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hidden="1" customHeight="1" x14ac:dyDescent="0.25">
      <c r="A216" s="54" t="s">
        <v>361</v>
      </c>
      <c r="B216" s="54" t="s">
        <v>362</v>
      </c>
      <c r="C216" s="31">
        <v>4301051656</v>
      </c>
      <c r="D216" s="560">
        <v>4680115880573</v>
      </c>
      <c r="E216" s="561"/>
      <c r="F216" s="548">
        <v>1.45</v>
      </c>
      <c r="G216" s="32">
        <v>6</v>
      </c>
      <c r="H216" s="548">
        <v>8.6999999999999993</v>
      </c>
      <c r="I216" s="548">
        <v>9.1940000000000008</v>
      </c>
      <c r="J216" s="32">
        <v>64</v>
      </c>
      <c r="K216" s="32" t="s">
        <v>106</v>
      </c>
      <c r="L216" s="32" t="s">
        <v>107</v>
      </c>
      <c r="M216" s="33" t="s">
        <v>80</v>
      </c>
      <c r="N216" s="33"/>
      <c r="O216" s="32">
        <v>45</v>
      </c>
      <c r="P216" s="74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63"/>
      <c r="R216" s="563"/>
      <c r="S216" s="563"/>
      <c r="T216" s="564"/>
      <c r="U216" s="34"/>
      <c r="V216" s="34"/>
      <c r="W216" s="35" t="s">
        <v>69</v>
      </c>
      <c r="X216" s="549">
        <v>0</v>
      </c>
      <c r="Y216" s="550">
        <f t="shared" si="20"/>
        <v>0</v>
      </c>
      <c r="Z216" s="36" t="str">
        <f>IFERROR(IF(Y216=0,"",ROUNDUP(Y216/H216,0)*0.01898),"")</f>
        <v/>
      </c>
      <c r="AA216" s="56"/>
      <c r="AB216" s="57"/>
      <c r="AC216" s="263" t="s">
        <v>363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21"/>
        <v>0</v>
      </c>
      <c r="BN216" s="64">
        <f t="shared" si="22"/>
        <v>0</v>
      </c>
      <c r="BO216" s="64">
        <f t="shared" si="23"/>
        <v>0</v>
      </c>
      <c r="BP216" s="64">
        <f t="shared" si="24"/>
        <v>0</v>
      </c>
    </row>
    <row r="217" spans="1:68" ht="27" hidden="1" customHeight="1" x14ac:dyDescent="0.25">
      <c r="A217" s="54" t="s">
        <v>364</v>
      </c>
      <c r="B217" s="54" t="s">
        <v>365</v>
      </c>
      <c r="C217" s="31">
        <v>4301051407</v>
      </c>
      <c r="D217" s="560">
        <v>4680115882195</v>
      </c>
      <c r="E217" s="561"/>
      <c r="F217" s="548">
        <v>0.4</v>
      </c>
      <c r="G217" s="32">
        <v>6</v>
      </c>
      <c r="H217" s="548">
        <v>2.4</v>
      </c>
      <c r="I217" s="548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66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63"/>
      <c r="R217" s="563"/>
      <c r="S217" s="563"/>
      <c r="T217" s="564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 t="shared" ref="Z217:Z222" si="25">IFERROR(IF(Y217=0,"",ROUNDUP(Y217/H217,0)*0.00651),"")</f>
        <v/>
      </c>
      <c r="AA217" s="56"/>
      <c r="AB217" s="57"/>
      <c r="AC217" s="265" t="s">
        <v>357</v>
      </c>
      <c r="AG217" s="64"/>
      <c r="AJ217" s="68" t="s">
        <v>92</v>
      </c>
      <c r="AK217" s="68">
        <v>33.6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60">
        <v>4680115882607</v>
      </c>
      <c r="E218" s="561"/>
      <c r="F218" s="548">
        <v>0.3</v>
      </c>
      <c r="G218" s="32">
        <v>6</v>
      </c>
      <c r="H218" s="548">
        <v>1.8</v>
      </c>
      <c r="I218" s="548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8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63"/>
      <c r="R218" s="563"/>
      <c r="S218" s="563"/>
      <c r="T218" s="564"/>
      <c r="U218" s="34"/>
      <c r="V218" s="34"/>
      <c r="W218" s="35" t="s">
        <v>69</v>
      </c>
      <c r="X218" s="549">
        <v>0</v>
      </c>
      <c r="Y218" s="550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 t="s">
        <v>92</v>
      </c>
      <c r="AK218" s="68">
        <v>25.2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hidden="1" customHeight="1" x14ac:dyDescent="0.25">
      <c r="A219" s="54" t="s">
        <v>368</v>
      </c>
      <c r="B219" s="54" t="s">
        <v>369</v>
      </c>
      <c r="C219" s="31">
        <v>4301051666</v>
      </c>
      <c r="D219" s="560">
        <v>4680115880092</v>
      </c>
      <c r="E219" s="561"/>
      <c r="F219" s="548">
        <v>0.4</v>
      </c>
      <c r="G219" s="32">
        <v>6</v>
      </c>
      <c r="H219" s="548">
        <v>2.4</v>
      </c>
      <c r="I219" s="548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63"/>
      <c r="R219" s="563"/>
      <c r="S219" s="563"/>
      <c r="T219" s="564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363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60">
        <v>4680115880221</v>
      </c>
      <c r="E220" s="561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6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63"/>
      <c r="R220" s="563"/>
      <c r="S220" s="563"/>
      <c r="T220" s="564"/>
      <c r="U220" s="34"/>
      <c r="V220" s="34"/>
      <c r="W220" s="35" t="s">
        <v>69</v>
      </c>
      <c r="X220" s="549">
        <v>0</v>
      </c>
      <c r="Y220" s="550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 t="s">
        <v>92</v>
      </c>
      <c r="AK220" s="68">
        <v>33.6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4301051945</v>
      </c>
      <c r="D221" s="560">
        <v>4680115880504</v>
      </c>
      <c r="E221" s="561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9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63"/>
      <c r="R221" s="563"/>
      <c r="S221" s="563"/>
      <c r="T221" s="564"/>
      <c r="U221" s="34"/>
      <c r="V221" s="34"/>
      <c r="W221" s="35" t="s">
        <v>69</v>
      </c>
      <c r="X221" s="549">
        <v>0</v>
      </c>
      <c r="Y221" s="550">
        <f t="shared" si="20"/>
        <v>0</v>
      </c>
      <c r="Z221" s="36" t="str">
        <f t="shared" si="25"/>
        <v/>
      </c>
      <c r="AA221" s="56"/>
      <c r="AB221" s="57"/>
      <c r="AC221" s="273" t="s">
        <v>374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375</v>
      </c>
      <c r="B222" s="54" t="s">
        <v>376</v>
      </c>
      <c r="C222" s="31">
        <v>4301051410</v>
      </c>
      <c r="D222" s="560">
        <v>4680115882164</v>
      </c>
      <c r="E222" s="561"/>
      <c r="F222" s="548">
        <v>0.4</v>
      </c>
      <c r="G222" s="32">
        <v>6</v>
      </c>
      <c r="H222" s="548">
        <v>2.4</v>
      </c>
      <c r="I222" s="548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63"/>
      <c r="R222" s="563"/>
      <c r="S222" s="563"/>
      <c r="T222" s="564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360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idden="1" x14ac:dyDescent="0.2">
      <c r="A223" s="566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7"/>
      <c r="P223" s="555" t="s">
        <v>75</v>
      </c>
      <c r="Q223" s="556"/>
      <c r="R223" s="556"/>
      <c r="S223" s="556"/>
      <c r="T223" s="556"/>
      <c r="U223" s="556"/>
      <c r="V223" s="557"/>
      <c r="W223" s="37" t="s">
        <v>76</v>
      </c>
      <c r="X223" s="551">
        <f>IFERROR(X214/H214,"0")+IFERROR(X215/H215,"0")+IFERROR(X216/H216,"0")+IFERROR(X217/H217,"0")+IFERROR(X218/H218,"0")+IFERROR(X219/H219,"0")+IFERROR(X220/H220,"0")+IFERROR(X221/H221,"0")+IFERROR(X222/H222,"0")</f>
        <v>0</v>
      </c>
      <c r="Y223" s="551">
        <f>IFERROR(Y214/H214,"0")+IFERROR(Y215/H215,"0")+IFERROR(Y216/H216,"0")+IFERROR(Y217/H217,"0")+IFERROR(Y218/H218,"0")+IFERROR(Y219/H219,"0")+IFERROR(Y220/H220,"0")+IFERROR(Y221/H221,"0")+IFERROR(Y222/H222,"0")</f>
        <v>0</v>
      </c>
      <c r="Z223" s="551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</v>
      </c>
      <c r="AA223" s="552"/>
      <c r="AB223" s="552"/>
      <c r="AC223" s="552"/>
    </row>
    <row r="224" spans="1:68" hidden="1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7"/>
      <c r="P224" s="555" t="s">
        <v>75</v>
      </c>
      <c r="Q224" s="556"/>
      <c r="R224" s="556"/>
      <c r="S224" s="556"/>
      <c r="T224" s="556"/>
      <c r="U224" s="556"/>
      <c r="V224" s="557"/>
      <c r="W224" s="37" t="s">
        <v>69</v>
      </c>
      <c r="X224" s="551">
        <f>IFERROR(SUM(X214:X222),"0")</f>
        <v>0</v>
      </c>
      <c r="Y224" s="551">
        <f>IFERROR(SUM(Y214:Y222),"0")</f>
        <v>0</v>
      </c>
      <c r="Z224" s="37"/>
      <c r="AA224" s="552"/>
      <c r="AB224" s="552"/>
      <c r="AC224" s="552"/>
    </row>
    <row r="225" spans="1:68" ht="14.25" hidden="1" customHeight="1" x14ac:dyDescent="0.25">
      <c r="A225" s="558" t="s">
        <v>163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5"/>
      <c r="AB225" s="545"/>
      <c r="AC225" s="545"/>
    </row>
    <row r="226" spans="1:68" ht="27" hidden="1" customHeight="1" x14ac:dyDescent="0.25">
      <c r="A226" s="54" t="s">
        <v>377</v>
      </c>
      <c r="B226" s="54" t="s">
        <v>378</v>
      </c>
      <c r="C226" s="31">
        <v>4301060463</v>
      </c>
      <c r="D226" s="560">
        <v>4680115880818</v>
      </c>
      <c r="E226" s="561"/>
      <c r="F226" s="548">
        <v>0.4</v>
      </c>
      <c r="G226" s="32">
        <v>6</v>
      </c>
      <c r="H226" s="548">
        <v>2.4</v>
      </c>
      <c r="I226" s="548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63"/>
      <c r="R226" s="563"/>
      <c r="S226" s="563"/>
      <c r="T226" s="564"/>
      <c r="U226" s="34"/>
      <c r="V226" s="34"/>
      <c r="W226" s="35" t="s">
        <v>69</v>
      </c>
      <c r="X226" s="549">
        <v>0</v>
      </c>
      <c r="Y226" s="550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379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hidden="1" customHeight="1" x14ac:dyDescent="0.25">
      <c r="A227" s="54" t="s">
        <v>380</v>
      </c>
      <c r="B227" s="54" t="s">
        <v>381</v>
      </c>
      <c r="C227" s="31">
        <v>4301060389</v>
      </c>
      <c r="D227" s="560">
        <v>4680115880801</v>
      </c>
      <c r="E227" s="561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9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63"/>
      <c r="R227" s="563"/>
      <c r="S227" s="563"/>
      <c r="T227" s="564"/>
      <c r="U227" s="34"/>
      <c r="V227" s="34"/>
      <c r="W227" s="35" t="s">
        <v>69</v>
      </c>
      <c r="X227" s="549">
        <v>0</v>
      </c>
      <c r="Y227" s="550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382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hidden="1" x14ac:dyDescent="0.2">
      <c r="A228" s="566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7"/>
      <c r="P228" s="555" t="s">
        <v>75</v>
      </c>
      <c r="Q228" s="556"/>
      <c r="R228" s="556"/>
      <c r="S228" s="556"/>
      <c r="T228" s="556"/>
      <c r="U228" s="556"/>
      <c r="V228" s="557"/>
      <c r="W228" s="37" t="s">
        <v>76</v>
      </c>
      <c r="X228" s="551">
        <f>IFERROR(X226/H226,"0")+IFERROR(X227/H227,"0")</f>
        <v>0</v>
      </c>
      <c r="Y228" s="551">
        <f>IFERROR(Y226/H226,"0")+IFERROR(Y227/H227,"0")</f>
        <v>0</v>
      </c>
      <c r="Z228" s="551">
        <f>IFERROR(IF(Z226="",0,Z226),"0")+IFERROR(IF(Z227="",0,Z227),"0")</f>
        <v>0</v>
      </c>
      <c r="AA228" s="552"/>
      <c r="AB228" s="552"/>
      <c r="AC228" s="552"/>
    </row>
    <row r="229" spans="1:68" hidden="1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7"/>
      <c r="P229" s="555" t="s">
        <v>75</v>
      </c>
      <c r="Q229" s="556"/>
      <c r="R229" s="556"/>
      <c r="S229" s="556"/>
      <c r="T229" s="556"/>
      <c r="U229" s="556"/>
      <c r="V229" s="557"/>
      <c r="W229" s="37" t="s">
        <v>69</v>
      </c>
      <c r="X229" s="551">
        <f>IFERROR(SUM(X226:X227),"0")</f>
        <v>0</v>
      </c>
      <c r="Y229" s="551">
        <f>IFERROR(SUM(Y226:Y227),"0")</f>
        <v>0</v>
      </c>
      <c r="Z229" s="37"/>
      <c r="AA229" s="552"/>
      <c r="AB229" s="552"/>
      <c r="AC229" s="552"/>
    </row>
    <row r="230" spans="1:68" ht="16.5" hidden="1" customHeight="1" x14ac:dyDescent="0.25">
      <c r="A230" s="599" t="s">
        <v>383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4"/>
      <c r="AB230" s="544"/>
      <c r="AC230" s="544"/>
    </row>
    <row r="231" spans="1:68" ht="14.25" hidden="1" customHeight="1" x14ac:dyDescent="0.25">
      <c r="A231" s="558" t="s">
        <v>103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5"/>
      <c r="AB231" s="545"/>
      <c r="AC231" s="545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60">
        <v>4680115884137</v>
      </c>
      <c r="E232" s="561"/>
      <c r="F232" s="548">
        <v>1.45</v>
      </c>
      <c r="G232" s="32">
        <v>8</v>
      </c>
      <c r="H232" s="548">
        <v>11.6</v>
      </c>
      <c r="I232" s="548">
        <v>12.01</v>
      </c>
      <c r="J232" s="32">
        <v>64</v>
      </c>
      <c r="K232" s="32" t="s">
        <v>106</v>
      </c>
      <c r="L232" s="32"/>
      <c r="M232" s="33" t="s">
        <v>108</v>
      </c>
      <c r="N232" s="33"/>
      <c r="O232" s="32">
        <v>55</v>
      </c>
      <c r="P232" s="6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63"/>
      <c r="R232" s="563"/>
      <c r="S232" s="563"/>
      <c r="T232" s="564"/>
      <c r="U232" s="34"/>
      <c r="V232" s="34"/>
      <c r="W232" s="35" t="s">
        <v>69</v>
      </c>
      <c r="X232" s="549">
        <v>0</v>
      </c>
      <c r="Y232" s="550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/>
      <c r="AK232" s="68">
        <v>0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60">
        <v>4680115884236</v>
      </c>
      <c r="E233" s="561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106</v>
      </c>
      <c r="L233" s="32"/>
      <c r="M233" s="33" t="s">
        <v>108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63"/>
      <c r="R233" s="563"/>
      <c r="S233" s="563"/>
      <c r="T233" s="564"/>
      <c r="U233" s="34"/>
      <c r="V233" s="34"/>
      <c r="W233" s="35" t="s">
        <v>69</v>
      </c>
      <c r="X233" s="549">
        <v>0</v>
      </c>
      <c r="Y233" s="550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hidden="1" customHeight="1" x14ac:dyDescent="0.25">
      <c r="A234" s="54" t="s">
        <v>390</v>
      </c>
      <c r="B234" s="54" t="s">
        <v>391</v>
      </c>
      <c r="C234" s="31">
        <v>4301011721</v>
      </c>
      <c r="D234" s="560">
        <v>4680115884175</v>
      </c>
      <c r="E234" s="561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6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63"/>
      <c r="R234" s="563"/>
      <c r="S234" s="563"/>
      <c r="T234" s="564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392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393</v>
      </c>
      <c r="B235" s="54" t="s">
        <v>394</v>
      </c>
      <c r="C235" s="31">
        <v>4301011824</v>
      </c>
      <c r="D235" s="560">
        <v>4680115884144</v>
      </c>
      <c r="E235" s="561"/>
      <c r="F235" s="548">
        <v>0.4</v>
      </c>
      <c r="G235" s="32">
        <v>10</v>
      </c>
      <c r="H235" s="548">
        <v>4</v>
      </c>
      <c r="I235" s="548">
        <v>4.1900000000000004</v>
      </c>
      <c r="J235" s="32">
        <v>132</v>
      </c>
      <c r="K235" s="32" t="s">
        <v>112</v>
      </c>
      <c r="L235" s="32" t="s">
        <v>115</v>
      </c>
      <c r="M235" s="33" t="s">
        <v>108</v>
      </c>
      <c r="N235" s="33"/>
      <c r="O235" s="32">
        <v>55</v>
      </c>
      <c r="P235" s="68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63"/>
      <c r="R235" s="563"/>
      <c r="S235" s="563"/>
      <c r="T235" s="564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IFERROR(IF(Y235=0,"",ROUNDUP(Y235/H235,0)*0.00902),"")</f>
        <v/>
      </c>
      <c r="AA235" s="56"/>
      <c r="AB235" s="57"/>
      <c r="AC235" s="287" t="s">
        <v>386</v>
      </c>
      <c r="AG235" s="64"/>
      <c r="AJ235" s="68" t="s">
        <v>92</v>
      </c>
      <c r="AK235" s="68">
        <v>48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60">
        <v>4680115884144</v>
      </c>
      <c r="E236" s="561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112</v>
      </c>
      <c r="L236" s="32"/>
      <c r="M236" s="33" t="s">
        <v>108</v>
      </c>
      <c r="N236" s="33"/>
      <c r="O236" s="32">
        <v>55</v>
      </c>
      <c r="P236" s="635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3"/>
      <c r="R236" s="563"/>
      <c r="S236" s="563"/>
      <c r="T236" s="564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60">
        <v>4680115886551</v>
      </c>
      <c r="E237" s="561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112</v>
      </c>
      <c r="L237" s="32"/>
      <c r="M237" s="33" t="s">
        <v>108</v>
      </c>
      <c r="N237" s="33"/>
      <c r="O237" s="32">
        <v>55</v>
      </c>
      <c r="P237" s="6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63"/>
      <c r="R237" s="563"/>
      <c r="S237" s="563"/>
      <c r="T237" s="564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60">
        <v>4680115887282</v>
      </c>
      <c r="E238" s="561"/>
      <c r="F238" s="548">
        <v>0.4</v>
      </c>
      <c r="G238" s="32">
        <v>6</v>
      </c>
      <c r="H238" s="548">
        <v>2.4</v>
      </c>
      <c r="I238" s="548">
        <v>2.58</v>
      </c>
      <c r="J238" s="32">
        <v>182</v>
      </c>
      <c r="K238" s="32" t="s">
        <v>67</v>
      </c>
      <c r="L238" s="32"/>
      <c r="M238" s="33" t="s">
        <v>108</v>
      </c>
      <c r="N238" s="33"/>
      <c r="O238" s="32">
        <v>55</v>
      </c>
      <c r="P238" s="74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63"/>
      <c r="R238" s="563"/>
      <c r="S238" s="563"/>
      <c r="T238" s="564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401</v>
      </c>
      <c r="B239" s="54" t="s">
        <v>402</v>
      </c>
      <c r="C239" s="31">
        <v>4301011722</v>
      </c>
      <c r="D239" s="560">
        <v>4680115884205</v>
      </c>
      <c r="E239" s="561"/>
      <c r="F239" s="548">
        <v>0.4</v>
      </c>
      <c r="G239" s="32">
        <v>10</v>
      </c>
      <c r="H239" s="548">
        <v>4</v>
      </c>
      <c r="I239" s="548">
        <v>4.1900000000000004</v>
      </c>
      <c r="J239" s="32">
        <v>132</v>
      </c>
      <c r="K239" s="32" t="s">
        <v>112</v>
      </c>
      <c r="L239" s="32" t="s">
        <v>115</v>
      </c>
      <c r="M239" s="33" t="s">
        <v>108</v>
      </c>
      <c r="N239" s="33"/>
      <c r="O239" s="32">
        <v>55</v>
      </c>
      <c r="P239" s="7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63"/>
      <c r="R239" s="563"/>
      <c r="S239" s="563"/>
      <c r="T239" s="564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392</v>
      </c>
      <c r="AG239" s="64"/>
      <c r="AJ239" s="68" t="s">
        <v>92</v>
      </c>
      <c r="AK239" s="68">
        <v>48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60">
        <v>4680115884205</v>
      </c>
      <c r="E240" s="561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112</v>
      </c>
      <c r="L240" s="32"/>
      <c r="M240" s="33" t="s">
        <v>108</v>
      </c>
      <c r="N240" s="33"/>
      <c r="O240" s="32">
        <v>55</v>
      </c>
      <c r="P240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3"/>
      <c r="R240" s="563"/>
      <c r="S240" s="563"/>
      <c r="T240" s="564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idden="1" x14ac:dyDescent="0.2">
      <c r="A241" s="566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7"/>
      <c r="P241" s="555" t="s">
        <v>75</v>
      </c>
      <c r="Q241" s="556"/>
      <c r="R241" s="556"/>
      <c r="S241" s="556"/>
      <c r="T241" s="556"/>
      <c r="U241" s="556"/>
      <c r="V241" s="557"/>
      <c r="W241" s="37" t="s">
        <v>76</v>
      </c>
      <c r="X241" s="551">
        <f>IFERROR(X232/H232,"0")+IFERROR(X233/H233,"0")+IFERROR(X234/H234,"0")+IFERROR(X235/H235,"0")+IFERROR(X236/H236,"0")+IFERROR(X237/H237,"0")+IFERROR(X238/H238,"0")+IFERROR(X239/H239,"0")+IFERROR(X240/H240,"0")</f>
        <v>0</v>
      </c>
      <c r="Y241" s="551">
        <f>IFERROR(Y232/H232,"0")+IFERROR(Y233/H233,"0")+IFERROR(Y234/H234,"0")+IFERROR(Y235/H235,"0")+IFERROR(Y236/H236,"0")+IFERROR(Y237/H237,"0")+IFERROR(Y238/H238,"0")+IFERROR(Y239/H239,"0")+IFERROR(Y240/H240,"0")</f>
        <v>0</v>
      </c>
      <c r="Z241" s="551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2"/>
      <c r="AB241" s="552"/>
      <c r="AC241" s="552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7"/>
      <c r="P242" s="555" t="s">
        <v>75</v>
      </c>
      <c r="Q242" s="556"/>
      <c r="R242" s="556"/>
      <c r="S242" s="556"/>
      <c r="T242" s="556"/>
      <c r="U242" s="556"/>
      <c r="V242" s="557"/>
      <c r="W242" s="37" t="s">
        <v>69</v>
      </c>
      <c r="X242" s="551">
        <f>IFERROR(SUM(X232:X240),"0")</f>
        <v>0</v>
      </c>
      <c r="Y242" s="551">
        <f>IFERROR(SUM(Y232:Y240),"0")</f>
        <v>0</v>
      </c>
      <c r="Z242" s="37"/>
      <c r="AA242" s="552"/>
      <c r="AB242" s="552"/>
      <c r="AC242" s="552"/>
    </row>
    <row r="243" spans="1:68" ht="14.25" hidden="1" customHeight="1" x14ac:dyDescent="0.25">
      <c r="A243" s="558" t="s">
        <v>138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5"/>
      <c r="AB243" s="545"/>
      <c r="AC243" s="545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60">
        <v>4680115885981</v>
      </c>
      <c r="E244" s="561"/>
      <c r="F244" s="548">
        <v>0.33</v>
      </c>
      <c r="G244" s="32">
        <v>6</v>
      </c>
      <c r="H244" s="548">
        <v>1.98</v>
      </c>
      <c r="I244" s="548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63"/>
      <c r="R244" s="563"/>
      <c r="S244" s="563"/>
      <c r="T244" s="564"/>
      <c r="U244" s="34"/>
      <c r="V244" s="34"/>
      <c r="W244" s="35" t="s">
        <v>69</v>
      </c>
      <c r="X244" s="549">
        <v>0</v>
      </c>
      <c r="Y244" s="550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6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7"/>
      <c r="P245" s="555" t="s">
        <v>75</v>
      </c>
      <c r="Q245" s="556"/>
      <c r="R245" s="556"/>
      <c r="S245" s="556"/>
      <c r="T245" s="556"/>
      <c r="U245" s="556"/>
      <c r="V245" s="557"/>
      <c r="W245" s="37" t="s">
        <v>76</v>
      </c>
      <c r="X245" s="551">
        <f>IFERROR(X244/H244,"0")</f>
        <v>0</v>
      </c>
      <c r="Y245" s="551">
        <f>IFERROR(Y244/H244,"0")</f>
        <v>0</v>
      </c>
      <c r="Z245" s="551">
        <f>IFERROR(IF(Z244="",0,Z244),"0")</f>
        <v>0</v>
      </c>
      <c r="AA245" s="552"/>
      <c r="AB245" s="552"/>
      <c r="AC245" s="552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7"/>
      <c r="P246" s="555" t="s">
        <v>75</v>
      </c>
      <c r="Q246" s="556"/>
      <c r="R246" s="556"/>
      <c r="S246" s="556"/>
      <c r="T246" s="556"/>
      <c r="U246" s="556"/>
      <c r="V246" s="557"/>
      <c r="W246" s="37" t="s">
        <v>69</v>
      </c>
      <c r="X246" s="551">
        <f>IFERROR(SUM(X244:X244),"0")</f>
        <v>0</v>
      </c>
      <c r="Y246" s="551">
        <f>IFERROR(SUM(Y244:Y244),"0")</f>
        <v>0</v>
      </c>
      <c r="Z246" s="37"/>
      <c r="AA246" s="552"/>
      <c r="AB246" s="552"/>
      <c r="AC246" s="552"/>
    </row>
    <row r="247" spans="1:68" ht="14.25" hidden="1" customHeight="1" x14ac:dyDescent="0.25">
      <c r="A247" s="558" t="s">
        <v>407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5"/>
      <c r="AB247" s="545"/>
      <c r="AC247" s="545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60">
        <v>4680115886803</v>
      </c>
      <c r="E248" s="561"/>
      <c r="F248" s="548">
        <v>0.12</v>
      </c>
      <c r="G248" s="32">
        <v>15</v>
      </c>
      <c r="H248" s="548">
        <v>1.8</v>
      </c>
      <c r="I248" s="548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68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63"/>
      <c r="R248" s="563"/>
      <c r="S248" s="563"/>
      <c r="T248" s="564"/>
      <c r="U248" s="34"/>
      <c r="V248" s="34"/>
      <c r="W248" s="35" t="s">
        <v>69</v>
      </c>
      <c r="X248" s="549">
        <v>5.3999999999999986</v>
      </c>
      <c r="Y248" s="550">
        <f>IFERROR(IF(X248="",0,CEILING((X248/$H248),1)*$H248),"")</f>
        <v>5.4</v>
      </c>
      <c r="Z248" s="36">
        <f>IFERROR(IF(Y248=0,"",ROUNDUP(Y248/H248,0)*0.0059),"")</f>
        <v>1.77E-2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5.924999999999998</v>
      </c>
      <c r="BN248" s="64">
        <f>IFERROR(Y248*I248/H248,"0")</f>
        <v>5.9250000000000007</v>
      </c>
      <c r="BO248" s="64">
        <f>IFERROR(1/J248*(X248/H248),"0")</f>
        <v>1.3888888888888885E-2</v>
      </c>
      <c r="BP248" s="64">
        <f>IFERROR(1/J248*(Y248/H248),"0")</f>
        <v>1.3888888888888888E-2</v>
      </c>
    </row>
    <row r="249" spans="1:68" x14ac:dyDescent="0.2">
      <c r="A249" s="566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7"/>
      <c r="P249" s="555" t="s">
        <v>75</v>
      </c>
      <c r="Q249" s="556"/>
      <c r="R249" s="556"/>
      <c r="S249" s="556"/>
      <c r="T249" s="556"/>
      <c r="U249" s="556"/>
      <c r="V249" s="557"/>
      <c r="W249" s="37" t="s">
        <v>76</v>
      </c>
      <c r="X249" s="551">
        <f>IFERROR(X248/H248,"0")</f>
        <v>2.9999999999999991</v>
      </c>
      <c r="Y249" s="551">
        <f>IFERROR(Y248/H248,"0")</f>
        <v>3</v>
      </c>
      <c r="Z249" s="551">
        <f>IFERROR(IF(Z248="",0,Z248),"0")</f>
        <v>1.77E-2</v>
      </c>
      <c r="AA249" s="552"/>
      <c r="AB249" s="552"/>
      <c r="AC249" s="552"/>
    </row>
    <row r="250" spans="1:68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7"/>
      <c r="P250" s="555" t="s">
        <v>75</v>
      </c>
      <c r="Q250" s="556"/>
      <c r="R250" s="556"/>
      <c r="S250" s="556"/>
      <c r="T250" s="556"/>
      <c r="U250" s="556"/>
      <c r="V250" s="557"/>
      <c r="W250" s="37" t="s">
        <v>69</v>
      </c>
      <c r="X250" s="551">
        <f>IFERROR(SUM(X248:X248),"0")</f>
        <v>5.3999999999999986</v>
      </c>
      <c r="Y250" s="551">
        <f>IFERROR(SUM(Y248:Y248),"0")</f>
        <v>5.4</v>
      </c>
      <c r="Z250" s="37"/>
      <c r="AA250" s="552"/>
      <c r="AB250" s="552"/>
      <c r="AC250" s="552"/>
    </row>
    <row r="251" spans="1:68" ht="14.25" hidden="1" customHeight="1" x14ac:dyDescent="0.25">
      <c r="A251" s="558" t="s">
        <v>411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5"/>
      <c r="AB251" s="545"/>
      <c r="AC251" s="545"/>
    </row>
    <row r="252" spans="1:68" ht="27" customHeight="1" x14ac:dyDescent="0.25">
      <c r="A252" s="54" t="s">
        <v>412</v>
      </c>
      <c r="B252" s="54" t="s">
        <v>413</v>
      </c>
      <c r="C252" s="31">
        <v>4301041004</v>
      </c>
      <c r="D252" s="560">
        <v>4680115886704</v>
      </c>
      <c r="E252" s="561"/>
      <c r="F252" s="548">
        <v>5.5E-2</v>
      </c>
      <c r="G252" s="32">
        <v>18</v>
      </c>
      <c r="H252" s="548">
        <v>0.99</v>
      </c>
      <c r="I252" s="548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63"/>
      <c r="R252" s="563"/>
      <c r="S252" s="563"/>
      <c r="T252" s="564"/>
      <c r="U252" s="34"/>
      <c r="V252" s="34"/>
      <c r="W252" s="35" t="s">
        <v>69</v>
      </c>
      <c r="X252" s="549">
        <v>3.96</v>
      </c>
      <c r="Y252" s="550">
        <f>IFERROR(IF(X252="",0,CEILING((X252/$H252),1)*$H252),"")</f>
        <v>3.96</v>
      </c>
      <c r="Z252" s="36">
        <f>IFERROR(IF(Y252=0,"",ROUNDUP(Y252/H252,0)*0.0059),"")</f>
        <v>2.3599999999999999E-2</v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4.72</v>
      </c>
      <c r="BN252" s="64">
        <f>IFERROR(Y252*I252/H252,"0")</f>
        <v>4.72</v>
      </c>
      <c r="BO252" s="64">
        <f>IFERROR(1/J252*(X252/H252),"0")</f>
        <v>1.8518518518518517E-2</v>
      </c>
      <c r="BP252" s="64">
        <f>IFERROR(1/J252*(Y252/H252),"0")</f>
        <v>1.8518518518518517E-2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60">
        <v>4680115886681</v>
      </c>
      <c r="E253" s="561"/>
      <c r="F253" s="548">
        <v>0.12</v>
      </c>
      <c r="G253" s="32">
        <v>15</v>
      </c>
      <c r="H253" s="548">
        <v>1.8</v>
      </c>
      <c r="I253" s="548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4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63"/>
      <c r="R253" s="563"/>
      <c r="S253" s="563"/>
      <c r="T253" s="564"/>
      <c r="U253" s="34"/>
      <c r="V253" s="34"/>
      <c r="W253" s="35" t="s">
        <v>69</v>
      </c>
      <c r="X253" s="549">
        <v>5.3999999999999986</v>
      </c>
      <c r="Y253" s="550">
        <f>IFERROR(IF(X253="",0,CEILING((X253/$H253),1)*$H253),"")</f>
        <v>5.4</v>
      </c>
      <c r="Z253" s="36">
        <f>IFERROR(IF(Y253=0,"",ROUNDUP(Y253/H253,0)*0.0059),"")</f>
        <v>1.77E-2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5.924999999999998</v>
      </c>
      <c r="BN253" s="64">
        <f>IFERROR(Y253*I253/H253,"0")</f>
        <v>5.9250000000000007</v>
      </c>
      <c r="BO253" s="64">
        <f>IFERROR(1/J253*(X253/H253),"0")</f>
        <v>1.3888888888888885E-2</v>
      </c>
      <c r="BP253" s="64">
        <f>IFERROR(1/J253*(Y253/H253),"0")</f>
        <v>1.3888888888888888E-2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60">
        <v>4680115886735</v>
      </c>
      <c r="E254" s="561"/>
      <c r="F254" s="548">
        <v>0.05</v>
      </c>
      <c r="G254" s="32">
        <v>18</v>
      </c>
      <c r="H254" s="548">
        <v>0.9</v>
      </c>
      <c r="I254" s="548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7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63"/>
      <c r="R254" s="563"/>
      <c r="S254" s="563"/>
      <c r="T254" s="564"/>
      <c r="U254" s="34"/>
      <c r="V254" s="34"/>
      <c r="W254" s="35" t="s">
        <v>69</v>
      </c>
      <c r="X254" s="549">
        <v>1.5</v>
      </c>
      <c r="Y254" s="550">
        <f>IFERROR(IF(X254="",0,CEILING((X254/$H254),1)*$H254),"")</f>
        <v>1.8</v>
      </c>
      <c r="Z254" s="36">
        <f>IFERROR(IF(Y254=0,"",ROUNDUP(Y254/H254,0)*0.0059),"")</f>
        <v>1.18E-2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1.8166666666666669</v>
      </c>
      <c r="BN254" s="64">
        <f>IFERROR(Y254*I254/H254,"0")</f>
        <v>2.1800000000000002</v>
      </c>
      <c r="BO254" s="64">
        <f>IFERROR(1/J254*(X254/H254),"0")</f>
        <v>7.7160493827160481E-3</v>
      </c>
      <c r="BP254" s="64">
        <f>IFERROR(1/J254*(Y254/H254),"0")</f>
        <v>9.2592592592592587E-3</v>
      </c>
    </row>
    <row r="255" spans="1:68" ht="27" customHeight="1" x14ac:dyDescent="0.25">
      <c r="A255" s="54" t="s">
        <v>419</v>
      </c>
      <c r="B255" s="54" t="s">
        <v>420</v>
      </c>
      <c r="C255" s="31">
        <v>4301041006</v>
      </c>
      <c r="D255" s="560">
        <v>4680115886728</v>
      </c>
      <c r="E255" s="561"/>
      <c r="F255" s="548">
        <v>5.5E-2</v>
      </c>
      <c r="G255" s="32">
        <v>18</v>
      </c>
      <c r="H255" s="548">
        <v>0.99</v>
      </c>
      <c r="I255" s="548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4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63"/>
      <c r="R255" s="563"/>
      <c r="S255" s="563"/>
      <c r="T255" s="564"/>
      <c r="U255" s="34"/>
      <c r="V255" s="34"/>
      <c r="W255" s="35" t="s">
        <v>69</v>
      </c>
      <c r="X255" s="549">
        <v>2.97</v>
      </c>
      <c r="Y255" s="550">
        <f>IFERROR(IF(X255="",0,CEILING((X255/$H255),1)*$H255),"")</f>
        <v>2.9699999999999998</v>
      </c>
      <c r="Z255" s="36">
        <f>IFERROR(IF(Y255=0,"",ROUNDUP(Y255/H255,0)*0.0059),"")</f>
        <v>1.77E-2</v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3.54</v>
      </c>
      <c r="BN255" s="64">
        <f>IFERROR(Y255*I255/H255,"0")</f>
        <v>3.5399999999999996</v>
      </c>
      <c r="BO255" s="64">
        <f>IFERROR(1/J255*(X255/H255),"0")</f>
        <v>1.388888888888889E-2</v>
      </c>
      <c r="BP255" s="64">
        <f>IFERROR(1/J255*(Y255/H255),"0")</f>
        <v>1.3888888888888886E-2</v>
      </c>
    </row>
    <row r="256" spans="1:68" ht="27" customHeight="1" x14ac:dyDescent="0.25">
      <c r="A256" s="54" t="s">
        <v>421</v>
      </c>
      <c r="B256" s="54" t="s">
        <v>422</v>
      </c>
      <c r="C256" s="31">
        <v>4301041005</v>
      </c>
      <c r="D256" s="560">
        <v>4680115886711</v>
      </c>
      <c r="E256" s="561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7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63"/>
      <c r="R256" s="563"/>
      <c r="S256" s="563"/>
      <c r="T256" s="564"/>
      <c r="U256" s="34"/>
      <c r="V256" s="34"/>
      <c r="W256" s="35" t="s">
        <v>69</v>
      </c>
      <c r="X256" s="549">
        <v>0.99</v>
      </c>
      <c r="Y256" s="550">
        <f>IFERROR(IF(X256="",0,CEILING((X256/$H256),1)*$H256),"")</f>
        <v>0.99</v>
      </c>
      <c r="Z256" s="36">
        <f>IFERROR(IF(Y256=0,"",ROUNDUP(Y256/H256,0)*0.0059),"")</f>
        <v>5.8999999999999999E-3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1.18</v>
      </c>
      <c r="BN256" s="64">
        <f>IFERROR(Y256*I256/H256,"0")</f>
        <v>1.18</v>
      </c>
      <c r="BO256" s="64">
        <f>IFERROR(1/J256*(X256/H256),"0")</f>
        <v>4.6296296296296294E-3</v>
      </c>
      <c r="BP256" s="64">
        <f>IFERROR(1/J256*(Y256/H256),"0")</f>
        <v>4.6296296296296294E-3</v>
      </c>
    </row>
    <row r="257" spans="1:68" x14ac:dyDescent="0.2">
      <c r="A257" s="566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7"/>
      <c r="P257" s="555" t="s">
        <v>75</v>
      </c>
      <c r="Q257" s="556"/>
      <c r="R257" s="556"/>
      <c r="S257" s="556"/>
      <c r="T257" s="556"/>
      <c r="U257" s="556"/>
      <c r="V257" s="557"/>
      <c r="W257" s="37" t="s">
        <v>76</v>
      </c>
      <c r="X257" s="551">
        <f>IFERROR(X252/H252,"0")+IFERROR(X253/H253,"0")+IFERROR(X254/H254,"0")+IFERROR(X255/H255,"0")+IFERROR(X256/H256,"0")</f>
        <v>12.666666666666666</v>
      </c>
      <c r="Y257" s="551">
        <f>IFERROR(Y252/H252,"0")+IFERROR(Y253/H253,"0")+IFERROR(Y254/H254,"0")+IFERROR(Y255/H255,"0")+IFERROR(Y256/H256,"0")</f>
        <v>13</v>
      </c>
      <c r="Z257" s="551">
        <f>IFERROR(IF(Z252="",0,Z252),"0")+IFERROR(IF(Z253="",0,Z253),"0")+IFERROR(IF(Z254="",0,Z254),"0")+IFERROR(IF(Z255="",0,Z255),"0")+IFERROR(IF(Z256="",0,Z256),"0")</f>
        <v>7.6700000000000004E-2</v>
      </c>
      <c r="AA257" s="552"/>
      <c r="AB257" s="552"/>
      <c r="AC257" s="552"/>
    </row>
    <row r="258" spans="1:68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7"/>
      <c r="P258" s="555" t="s">
        <v>75</v>
      </c>
      <c r="Q258" s="556"/>
      <c r="R258" s="556"/>
      <c r="S258" s="556"/>
      <c r="T258" s="556"/>
      <c r="U258" s="556"/>
      <c r="V258" s="557"/>
      <c r="W258" s="37" t="s">
        <v>69</v>
      </c>
      <c r="X258" s="551">
        <f>IFERROR(SUM(X252:X256),"0")</f>
        <v>14.82</v>
      </c>
      <c r="Y258" s="551">
        <f>IFERROR(SUM(Y252:Y256),"0")</f>
        <v>15.12</v>
      </c>
      <c r="Z258" s="37"/>
      <c r="AA258" s="552"/>
      <c r="AB258" s="552"/>
      <c r="AC258" s="552"/>
    </row>
    <row r="259" spans="1:68" ht="16.5" hidden="1" customHeight="1" x14ac:dyDescent="0.25">
      <c r="A259" s="599" t="s">
        <v>423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4"/>
      <c r="AB259" s="544"/>
      <c r="AC259" s="544"/>
    </row>
    <row r="260" spans="1:68" ht="14.25" hidden="1" customHeight="1" x14ac:dyDescent="0.25">
      <c r="A260" s="558" t="s">
        <v>103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5"/>
      <c r="AB260" s="545"/>
      <c r="AC260" s="545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60">
        <v>4680115885837</v>
      </c>
      <c r="E261" s="561"/>
      <c r="F261" s="548">
        <v>1.35</v>
      </c>
      <c r="G261" s="32">
        <v>8</v>
      </c>
      <c r="H261" s="548">
        <v>10.8</v>
      </c>
      <c r="I261" s="548">
        <v>11.21</v>
      </c>
      <c r="J261" s="32">
        <v>64</v>
      </c>
      <c r="K261" s="32" t="s">
        <v>106</v>
      </c>
      <c r="L261" s="32" t="s">
        <v>107</v>
      </c>
      <c r="M261" s="33" t="s">
        <v>108</v>
      </c>
      <c r="N261" s="33"/>
      <c r="O261" s="32">
        <v>55</v>
      </c>
      <c r="P261" s="6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63"/>
      <c r="R261" s="563"/>
      <c r="S261" s="563"/>
      <c r="T261" s="564"/>
      <c r="U261" s="34"/>
      <c r="V261" s="34"/>
      <c r="W261" s="35" t="s">
        <v>69</v>
      </c>
      <c r="X261" s="549">
        <v>0</v>
      </c>
      <c r="Y261" s="550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60">
        <v>4680115885851</v>
      </c>
      <c r="E262" s="561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106</v>
      </c>
      <c r="L262" s="32"/>
      <c r="M262" s="33" t="s">
        <v>108</v>
      </c>
      <c r="N262" s="33"/>
      <c r="O262" s="32">
        <v>55</v>
      </c>
      <c r="P262" s="85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63"/>
      <c r="R262" s="563"/>
      <c r="S262" s="563"/>
      <c r="T262" s="564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60">
        <v>4680115885806</v>
      </c>
      <c r="E263" s="561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63"/>
      <c r="R263" s="563"/>
      <c r="S263" s="563"/>
      <c r="T263" s="564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60">
        <v>4680115885844</v>
      </c>
      <c r="E264" s="561"/>
      <c r="F264" s="548">
        <v>0.4</v>
      </c>
      <c r="G264" s="32">
        <v>10</v>
      </c>
      <c r="H264" s="548">
        <v>4</v>
      </c>
      <c r="I264" s="548">
        <v>4.1900000000000004</v>
      </c>
      <c r="J264" s="32">
        <v>132</v>
      </c>
      <c r="K264" s="32" t="s">
        <v>112</v>
      </c>
      <c r="L264" s="32"/>
      <c r="M264" s="33" t="s">
        <v>108</v>
      </c>
      <c r="N264" s="33"/>
      <c r="O264" s="32">
        <v>55</v>
      </c>
      <c r="P264" s="71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63"/>
      <c r="R264" s="563"/>
      <c r="S264" s="563"/>
      <c r="T264" s="564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60">
        <v>4680115885820</v>
      </c>
      <c r="E265" s="561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112</v>
      </c>
      <c r="L265" s="32" t="s">
        <v>115</v>
      </c>
      <c r="M265" s="33" t="s">
        <v>108</v>
      </c>
      <c r="N265" s="33"/>
      <c r="O265" s="32">
        <v>55</v>
      </c>
      <c r="P265" s="64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63"/>
      <c r="R265" s="563"/>
      <c r="S265" s="563"/>
      <c r="T265" s="564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6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7"/>
      <c r="P266" s="555" t="s">
        <v>75</v>
      </c>
      <c r="Q266" s="556"/>
      <c r="R266" s="556"/>
      <c r="S266" s="556"/>
      <c r="T266" s="556"/>
      <c r="U266" s="556"/>
      <c r="V266" s="557"/>
      <c r="W266" s="37" t="s">
        <v>76</v>
      </c>
      <c r="X266" s="551">
        <f>IFERROR(X261/H261,"0")+IFERROR(X262/H262,"0")+IFERROR(X263/H263,"0")+IFERROR(X264/H264,"0")+IFERROR(X265/H265,"0")</f>
        <v>0</v>
      </c>
      <c r="Y266" s="551">
        <f>IFERROR(Y261/H261,"0")+IFERROR(Y262/H262,"0")+IFERROR(Y263/H263,"0")+IFERROR(Y264/H264,"0")+IFERROR(Y265/H265,"0")</f>
        <v>0</v>
      </c>
      <c r="Z266" s="551">
        <f>IFERROR(IF(Z261="",0,Z261),"0")+IFERROR(IF(Z262="",0,Z262),"0")+IFERROR(IF(Z263="",0,Z263),"0")+IFERROR(IF(Z264="",0,Z264),"0")+IFERROR(IF(Z265="",0,Z265),"0")</f>
        <v>0</v>
      </c>
      <c r="AA266" s="552"/>
      <c r="AB266" s="552"/>
      <c r="AC266" s="552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7"/>
      <c r="P267" s="555" t="s">
        <v>75</v>
      </c>
      <c r="Q267" s="556"/>
      <c r="R267" s="556"/>
      <c r="S267" s="556"/>
      <c r="T267" s="556"/>
      <c r="U267" s="556"/>
      <c r="V267" s="557"/>
      <c r="W267" s="37" t="s">
        <v>69</v>
      </c>
      <c r="X267" s="551">
        <f>IFERROR(SUM(X261:X265),"0")</f>
        <v>0</v>
      </c>
      <c r="Y267" s="551">
        <f>IFERROR(SUM(Y261:Y265),"0")</f>
        <v>0</v>
      </c>
      <c r="Z267" s="37"/>
      <c r="AA267" s="552"/>
      <c r="AB267" s="552"/>
      <c r="AC267" s="552"/>
    </row>
    <row r="268" spans="1:68" ht="16.5" hidden="1" customHeight="1" x14ac:dyDescent="0.25">
      <c r="A268" s="599" t="s">
        <v>439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4"/>
      <c r="AB268" s="544"/>
      <c r="AC268" s="544"/>
    </row>
    <row r="269" spans="1:68" ht="14.25" hidden="1" customHeight="1" x14ac:dyDescent="0.25">
      <c r="A269" s="558" t="s">
        <v>103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5"/>
      <c r="AB269" s="545"/>
      <c r="AC269" s="545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60">
        <v>4607091383423</v>
      </c>
      <c r="E270" s="561"/>
      <c r="F270" s="548">
        <v>1.35</v>
      </c>
      <c r="G270" s="32">
        <v>8</v>
      </c>
      <c r="H270" s="548">
        <v>10.8</v>
      </c>
      <c r="I270" s="548">
        <v>11.305999999999999</v>
      </c>
      <c r="J270" s="32">
        <v>64</v>
      </c>
      <c r="K270" s="32" t="s">
        <v>106</v>
      </c>
      <c r="L270" s="32"/>
      <c r="M270" s="33" t="s">
        <v>80</v>
      </c>
      <c r="N270" s="33"/>
      <c r="O270" s="32">
        <v>35</v>
      </c>
      <c r="P270" s="80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63"/>
      <c r="R270" s="563"/>
      <c r="S270" s="563"/>
      <c r="T270" s="564"/>
      <c r="U270" s="34"/>
      <c r="V270" s="34"/>
      <c r="W270" s="35" t="s">
        <v>69</v>
      </c>
      <c r="X270" s="549">
        <v>0</v>
      </c>
      <c r="Y270" s="550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109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60">
        <v>4680115886957</v>
      </c>
      <c r="E271" s="561"/>
      <c r="F271" s="548">
        <v>1.35</v>
      </c>
      <c r="G271" s="32">
        <v>8</v>
      </c>
      <c r="H271" s="548">
        <v>10.8</v>
      </c>
      <c r="I271" s="548">
        <v>11.21</v>
      </c>
      <c r="J271" s="32">
        <v>64</v>
      </c>
      <c r="K271" s="32" t="s">
        <v>106</v>
      </c>
      <c r="L271" s="32"/>
      <c r="M271" s="33" t="s">
        <v>80</v>
      </c>
      <c r="N271" s="33"/>
      <c r="O271" s="32">
        <v>30</v>
      </c>
      <c r="P271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63"/>
      <c r="R271" s="563"/>
      <c r="S271" s="563"/>
      <c r="T271" s="564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60">
        <v>4680115885660</v>
      </c>
      <c r="E272" s="561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22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63"/>
      <c r="R272" s="563"/>
      <c r="S272" s="563"/>
      <c r="T272" s="564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60">
        <v>4680115886773</v>
      </c>
      <c r="E273" s="561"/>
      <c r="F273" s="548">
        <v>0.9</v>
      </c>
      <c r="G273" s="32">
        <v>10</v>
      </c>
      <c r="H273" s="548">
        <v>9</v>
      </c>
      <c r="I273" s="548">
        <v>9.41</v>
      </c>
      <c r="J273" s="32">
        <v>64</v>
      </c>
      <c r="K273" s="32" t="s">
        <v>106</v>
      </c>
      <c r="L273" s="32"/>
      <c r="M273" s="33" t="s">
        <v>108</v>
      </c>
      <c r="N273" s="33"/>
      <c r="O273" s="32">
        <v>31</v>
      </c>
      <c r="P273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63"/>
      <c r="R273" s="563"/>
      <c r="S273" s="563"/>
      <c r="T273" s="564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6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7"/>
      <c r="P274" s="555" t="s">
        <v>75</v>
      </c>
      <c r="Q274" s="556"/>
      <c r="R274" s="556"/>
      <c r="S274" s="556"/>
      <c r="T274" s="556"/>
      <c r="U274" s="556"/>
      <c r="V274" s="557"/>
      <c r="W274" s="37" t="s">
        <v>76</v>
      </c>
      <c r="X274" s="551">
        <f>IFERROR(X270/H270,"0")+IFERROR(X271/H271,"0")+IFERROR(X272/H272,"0")+IFERROR(X273/H273,"0")</f>
        <v>0</v>
      </c>
      <c r="Y274" s="551">
        <f>IFERROR(Y270/H270,"0")+IFERROR(Y271/H271,"0")+IFERROR(Y272/H272,"0")+IFERROR(Y273/H273,"0")</f>
        <v>0</v>
      </c>
      <c r="Z274" s="551">
        <f>IFERROR(IF(Z270="",0,Z270),"0")+IFERROR(IF(Z271="",0,Z271),"0")+IFERROR(IF(Z272="",0,Z272),"0")+IFERROR(IF(Z273="",0,Z273),"0")</f>
        <v>0</v>
      </c>
      <c r="AA274" s="552"/>
      <c r="AB274" s="552"/>
      <c r="AC274" s="552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7"/>
      <c r="P275" s="555" t="s">
        <v>75</v>
      </c>
      <c r="Q275" s="556"/>
      <c r="R275" s="556"/>
      <c r="S275" s="556"/>
      <c r="T275" s="556"/>
      <c r="U275" s="556"/>
      <c r="V275" s="557"/>
      <c r="W275" s="37" t="s">
        <v>69</v>
      </c>
      <c r="X275" s="551">
        <f>IFERROR(SUM(X270:X273),"0")</f>
        <v>0</v>
      </c>
      <c r="Y275" s="551">
        <f>IFERROR(SUM(Y270:Y273),"0")</f>
        <v>0</v>
      </c>
      <c r="Z275" s="37"/>
      <c r="AA275" s="552"/>
      <c r="AB275" s="552"/>
      <c r="AC275" s="552"/>
    </row>
    <row r="276" spans="1:68" ht="16.5" hidden="1" customHeight="1" x14ac:dyDescent="0.25">
      <c r="A276" s="599" t="s">
        <v>450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4"/>
      <c r="AB276" s="544"/>
      <c r="AC276" s="544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5"/>
      <c r="AB277" s="545"/>
      <c r="AC277" s="545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60">
        <v>4680115886186</v>
      </c>
      <c r="E278" s="561"/>
      <c r="F278" s="548">
        <v>0.3</v>
      </c>
      <c r="G278" s="32">
        <v>6</v>
      </c>
      <c r="H278" s="548">
        <v>1.8</v>
      </c>
      <c r="I278" s="548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63"/>
      <c r="R278" s="563"/>
      <c r="S278" s="563"/>
      <c r="T278" s="564"/>
      <c r="U278" s="34"/>
      <c r="V278" s="34"/>
      <c r="W278" s="35" t="s">
        <v>69</v>
      </c>
      <c r="X278" s="549">
        <v>0</v>
      </c>
      <c r="Y278" s="550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60">
        <v>4680115881228</v>
      </c>
      <c r="E279" s="561"/>
      <c r="F279" s="548">
        <v>0.4</v>
      </c>
      <c r="G279" s="32">
        <v>6</v>
      </c>
      <c r="H279" s="548">
        <v>2.4</v>
      </c>
      <c r="I279" s="548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63"/>
      <c r="R279" s="563"/>
      <c r="S279" s="563"/>
      <c r="T279" s="564"/>
      <c r="U279" s="34"/>
      <c r="V279" s="34"/>
      <c r="W279" s="35" t="s">
        <v>69</v>
      </c>
      <c r="X279" s="549">
        <v>8</v>
      </c>
      <c r="Y279" s="550">
        <f>IFERROR(IF(X279="",0,CEILING((X279/$H279),1)*$H279),"")</f>
        <v>9.6</v>
      </c>
      <c r="Z279" s="36">
        <f>IFERROR(IF(Y279=0,"",ROUNDUP(Y279/H279,0)*0.00651),"")</f>
        <v>2.6040000000000001E-2</v>
      </c>
      <c r="AA279" s="56"/>
      <c r="AB279" s="57"/>
      <c r="AC279" s="333" t="s">
        <v>456</v>
      </c>
      <c r="AG279" s="64"/>
      <c r="AJ279" s="68"/>
      <c r="AK279" s="68">
        <v>0</v>
      </c>
      <c r="BB279" s="334" t="s">
        <v>1</v>
      </c>
      <c r="BM279" s="64">
        <f>IFERROR(X279*I279/H279,"0")</f>
        <v>8.8400000000000016</v>
      </c>
      <c r="BN279" s="64">
        <f>IFERROR(Y279*I279/H279,"0")</f>
        <v>10.608000000000001</v>
      </c>
      <c r="BO279" s="64">
        <f>IFERROR(1/J279*(X279/H279),"0")</f>
        <v>1.8315018315018316E-2</v>
      </c>
      <c r="BP279" s="64">
        <f>IFERROR(1/J279*(Y279/H279),"0")</f>
        <v>2.197802197802198E-2</v>
      </c>
    </row>
    <row r="280" spans="1:68" ht="27" hidden="1" customHeight="1" x14ac:dyDescent="0.25">
      <c r="A280" s="54" t="s">
        <v>457</v>
      </c>
      <c r="B280" s="54" t="s">
        <v>458</v>
      </c>
      <c r="C280" s="31">
        <v>4301051388</v>
      </c>
      <c r="D280" s="560">
        <v>4680115881211</v>
      </c>
      <c r="E280" s="561"/>
      <c r="F280" s="548">
        <v>0.4</v>
      </c>
      <c r="G280" s="32">
        <v>6</v>
      </c>
      <c r="H280" s="548">
        <v>2.4</v>
      </c>
      <c r="I280" s="548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9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63"/>
      <c r="R280" s="563"/>
      <c r="S280" s="563"/>
      <c r="T280" s="564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453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6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7"/>
      <c r="P281" s="555" t="s">
        <v>75</v>
      </c>
      <c r="Q281" s="556"/>
      <c r="R281" s="556"/>
      <c r="S281" s="556"/>
      <c r="T281" s="556"/>
      <c r="U281" s="556"/>
      <c r="V281" s="557"/>
      <c r="W281" s="37" t="s">
        <v>76</v>
      </c>
      <c r="X281" s="551">
        <f>IFERROR(X278/H278,"0")+IFERROR(X279/H279,"0")+IFERROR(X280/H280,"0")</f>
        <v>3.3333333333333335</v>
      </c>
      <c r="Y281" s="551">
        <f>IFERROR(Y278/H278,"0")+IFERROR(Y279/H279,"0")+IFERROR(Y280/H280,"0")</f>
        <v>4</v>
      </c>
      <c r="Z281" s="551">
        <f>IFERROR(IF(Z278="",0,Z278),"0")+IFERROR(IF(Z279="",0,Z279),"0")+IFERROR(IF(Z280="",0,Z280),"0")</f>
        <v>2.6040000000000001E-2</v>
      </c>
      <c r="AA281" s="552"/>
      <c r="AB281" s="552"/>
      <c r="AC281" s="552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7"/>
      <c r="P282" s="555" t="s">
        <v>75</v>
      </c>
      <c r="Q282" s="556"/>
      <c r="R282" s="556"/>
      <c r="S282" s="556"/>
      <c r="T282" s="556"/>
      <c r="U282" s="556"/>
      <c r="V282" s="557"/>
      <c r="W282" s="37" t="s">
        <v>69</v>
      </c>
      <c r="X282" s="551">
        <f>IFERROR(SUM(X278:X280),"0")</f>
        <v>8</v>
      </c>
      <c r="Y282" s="551">
        <f>IFERROR(SUM(Y278:Y280),"0")</f>
        <v>9.6</v>
      </c>
      <c r="Z282" s="37"/>
      <c r="AA282" s="552"/>
      <c r="AB282" s="552"/>
      <c r="AC282" s="552"/>
    </row>
    <row r="283" spans="1:68" ht="16.5" hidden="1" customHeight="1" x14ac:dyDescent="0.25">
      <c r="A283" s="599" t="s">
        <v>459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4"/>
      <c r="AB283" s="544"/>
      <c r="AC283" s="544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5"/>
      <c r="AB284" s="545"/>
      <c r="AC284" s="545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60">
        <v>4680115880344</v>
      </c>
      <c r="E285" s="561"/>
      <c r="F285" s="548">
        <v>0.28000000000000003</v>
      </c>
      <c r="G285" s="32">
        <v>6</v>
      </c>
      <c r="H285" s="548">
        <v>1.68</v>
      </c>
      <c r="I285" s="548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63"/>
      <c r="R285" s="563"/>
      <c r="S285" s="563"/>
      <c r="T285" s="564"/>
      <c r="U285" s="34"/>
      <c r="V285" s="34"/>
      <c r="W285" s="35" t="s">
        <v>69</v>
      </c>
      <c r="X285" s="549">
        <v>0</v>
      </c>
      <c r="Y285" s="550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60">
        <v>4680115886919</v>
      </c>
      <c r="E286" s="561"/>
      <c r="F286" s="548">
        <v>0.4</v>
      </c>
      <c r="G286" s="32">
        <v>6</v>
      </c>
      <c r="H286" s="548">
        <v>2.4</v>
      </c>
      <c r="I286" s="548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76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63"/>
      <c r="R286" s="563"/>
      <c r="S286" s="563"/>
      <c r="T286" s="564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6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7"/>
      <c r="P287" s="555" t="s">
        <v>75</v>
      </c>
      <c r="Q287" s="556"/>
      <c r="R287" s="556"/>
      <c r="S287" s="556"/>
      <c r="T287" s="556"/>
      <c r="U287" s="556"/>
      <c r="V287" s="557"/>
      <c r="W287" s="37" t="s">
        <v>76</v>
      </c>
      <c r="X287" s="551">
        <f>IFERROR(X285/H285,"0")+IFERROR(X286/H286,"0")</f>
        <v>0</v>
      </c>
      <c r="Y287" s="551">
        <f>IFERROR(Y285/H285,"0")+IFERROR(Y286/H286,"0")</f>
        <v>0</v>
      </c>
      <c r="Z287" s="551">
        <f>IFERROR(IF(Z285="",0,Z285),"0")+IFERROR(IF(Z286="",0,Z286),"0")</f>
        <v>0</v>
      </c>
      <c r="AA287" s="552"/>
      <c r="AB287" s="552"/>
      <c r="AC287" s="552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7"/>
      <c r="P288" s="555" t="s">
        <v>75</v>
      </c>
      <c r="Q288" s="556"/>
      <c r="R288" s="556"/>
      <c r="S288" s="556"/>
      <c r="T288" s="556"/>
      <c r="U288" s="556"/>
      <c r="V288" s="557"/>
      <c r="W288" s="37" t="s">
        <v>69</v>
      </c>
      <c r="X288" s="551">
        <f>IFERROR(SUM(X285:X286),"0")</f>
        <v>0</v>
      </c>
      <c r="Y288" s="551">
        <f>IFERROR(SUM(Y285:Y286),"0")</f>
        <v>0</v>
      </c>
      <c r="Z288" s="37"/>
      <c r="AA288" s="552"/>
      <c r="AB288" s="552"/>
      <c r="AC288" s="552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5"/>
      <c r="AB289" s="545"/>
      <c r="AC289" s="545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60">
        <v>4680115884618</v>
      </c>
      <c r="E290" s="561"/>
      <c r="F290" s="548">
        <v>0.6</v>
      </c>
      <c r="G290" s="32">
        <v>6</v>
      </c>
      <c r="H290" s="548">
        <v>3.6</v>
      </c>
      <c r="I290" s="548">
        <v>3.79</v>
      </c>
      <c r="J290" s="32">
        <v>132</v>
      </c>
      <c r="K290" s="32" t="s">
        <v>112</v>
      </c>
      <c r="L290" s="32" t="s">
        <v>115</v>
      </c>
      <c r="M290" s="33" t="s">
        <v>80</v>
      </c>
      <c r="N290" s="33"/>
      <c r="O290" s="32">
        <v>45</v>
      </c>
      <c r="P290" s="58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63"/>
      <c r="R290" s="563"/>
      <c r="S290" s="563"/>
      <c r="T290" s="564"/>
      <c r="U290" s="34"/>
      <c r="V290" s="34"/>
      <c r="W290" s="35" t="s">
        <v>69</v>
      </c>
      <c r="X290" s="549">
        <v>0</v>
      </c>
      <c r="Y290" s="550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60">
        <v>4680115887114</v>
      </c>
      <c r="E291" s="561"/>
      <c r="F291" s="548">
        <v>0.55000000000000004</v>
      </c>
      <c r="G291" s="32">
        <v>6</v>
      </c>
      <c r="H291" s="548">
        <v>3.3</v>
      </c>
      <c r="I291" s="548">
        <v>3.49</v>
      </c>
      <c r="J291" s="32">
        <v>132</v>
      </c>
      <c r="K291" s="32" t="s">
        <v>112</v>
      </c>
      <c r="L291" s="32"/>
      <c r="M291" s="33" t="s">
        <v>80</v>
      </c>
      <c r="N291" s="33"/>
      <c r="O291" s="32">
        <v>45</v>
      </c>
      <c r="P291" s="86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63"/>
      <c r="R291" s="563"/>
      <c r="S291" s="563"/>
      <c r="T291" s="564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6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7"/>
      <c r="P292" s="555" t="s">
        <v>75</v>
      </c>
      <c r="Q292" s="556"/>
      <c r="R292" s="556"/>
      <c r="S292" s="556"/>
      <c r="T292" s="556"/>
      <c r="U292" s="556"/>
      <c r="V292" s="557"/>
      <c r="W292" s="37" t="s">
        <v>76</v>
      </c>
      <c r="X292" s="551">
        <f>IFERROR(X290/H290,"0")+IFERROR(X291/H291,"0")</f>
        <v>0</v>
      </c>
      <c r="Y292" s="551">
        <f>IFERROR(Y290/H290,"0")+IFERROR(Y291/H291,"0")</f>
        <v>0</v>
      </c>
      <c r="Z292" s="551">
        <f>IFERROR(IF(Z290="",0,Z290),"0")+IFERROR(IF(Z291="",0,Z291),"0")</f>
        <v>0</v>
      </c>
      <c r="AA292" s="552"/>
      <c r="AB292" s="552"/>
      <c r="AC292" s="552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7"/>
      <c r="P293" s="555" t="s">
        <v>75</v>
      </c>
      <c r="Q293" s="556"/>
      <c r="R293" s="556"/>
      <c r="S293" s="556"/>
      <c r="T293" s="556"/>
      <c r="U293" s="556"/>
      <c r="V293" s="557"/>
      <c r="W293" s="37" t="s">
        <v>69</v>
      </c>
      <c r="X293" s="551">
        <f>IFERROR(SUM(X290:X291),"0")</f>
        <v>0</v>
      </c>
      <c r="Y293" s="551">
        <f>IFERROR(SUM(Y290:Y291),"0")</f>
        <v>0</v>
      </c>
      <c r="Z293" s="37"/>
      <c r="AA293" s="552"/>
      <c r="AB293" s="552"/>
      <c r="AC293" s="552"/>
    </row>
    <row r="294" spans="1:68" ht="16.5" hidden="1" customHeight="1" x14ac:dyDescent="0.25">
      <c r="A294" s="599" t="s">
        <v>472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4"/>
      <c r="AB294" s="544"/>
      <c r="AC294" s="544"/>
    </row>
    <row r="295" spans="1:68" ht="14.25" hidden="1" customHeight="1" x14ac:dyDescent="0.25">
      <c r="A295" s="558" t="s">
        <v>103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5"/>
      <c r="AB295" s="545"/>
      <c r="AC295" s="545"/>
    </row>
    <row r="296" spans="1:68" ht="27" hidden="1" customHeight="1" x14ac:dyDescent="0.25">
      <c r="A296" s="54" t="s">
        <v>473</v>
      </c>
      <c r="B296" s="54" t="s">
        <v>474</v>
      </c>
      <c r="C296" s="31">
        <v>4301012126</v>
      </c>
      <c r="D296" s="560">
        <v>4607091386004</v>
      </c>
      <c r="E296" s="561"/>
      <c r="F296" s="548">
        <v>1.35</v>
      </c>
      <c r="G296" s="32">
        <v>8</v>
      </c>
      <c r="H296" s="548">
        <v>10.8</v>
      </c>
      <c r="I296" s="548">
        <v>11.21</v>
      </c>
      <c r="J296" s="32">
        <v>64</v>
      </c>
      <c r="K296" s="32" t="s">
        <v>106</v>
      </c>
      <c r="L296" s="32"/>
      <c r="M296" s="33" t="s">
        <v>108</v>
      </c>
      <c r="N296" s="33"/>
      <c r="O296" s="32">
        <v>55</v>
      </c>
      <c r="P296" s="76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63"/>
      <c r="R296" s="563"/>
      <c r="S296" s="563"/>
      <c r="T296" s="564"/>
      <c r="U296" s="34"/>
      <c r="V296" s="34"/>
      <c r="W296" s="35" t="s">
        <v>69</v>
      </c>
      <c r="X296" s="549">
        <v>0</v>
      </c>
      <c r="Y296" s="550">
        <f t="shared" ref="Y296:Y301" si="31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 t="shared" ref="BM296:BM301" si="32">IFERROR(X296*I296/H296,"0")</f>
        <v>0</v>
      </c>
      <c r="BN296" s="64">
        <f t="shared" ref="BN296:BN301" si="33">IFERROR(Y296*I296/H296,"0")</f>
        <v>0</v>
      </c>
      <c r="BO296" s="64">
        <f t="shared" ref="BO296:BO301" si="34">IFERROR(1/J296*(X296/H296),"0")</f>
        <v>0</v>
      </c>
      <c r="BP296" s="64">
        <f t="shared" ref="BP296:BP301" si="35">IFERROR(1/J296*(Y296/H296),"0")</f>
        <v>0</v>
      </c>
    </row>
    <row r="297" spans="1:68" ht="27" hidden="1" customHeight="1" x14ac:dyDescent="0.25">
      <c r="A297" s="54" t="s">
        <v>476</v>
      </c>
      <c r="B297" s="54" t="s">
        <v>477</v>
      </c>
      <c r="C297" s="31">
        <v>4301012024</v>
      </c>
      <c r="D297" s="560">
        <v>4680115885615</v>
      </c>
      <c r="E297" s="561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106</v>
      </c>
      <c r="L297" s="32" t="s">
        <v>107</v>
      </c>
      <c r="M297" s="33" t="s">
        <v>80</v>
      </c>
      <c r="N297" s="33"/>
      <c r="O297" s="32">
        <v>55</v>
      </c>
      <c r="P297" s="8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3"/>
      <c r="R297" s="563"/>
      <c r="S297" s="563"/>
      <c r="T297" s="564"/>
      <c r="U297" s="34"/>
      <c r="V297" s="34"/>
      <c r="W297" s="35" t="s">
        <v>69</v>
      </c>
      <c r="X297" s="549">
        <v>0</v>
      </c>
      <c r="Y297" s="550">
        <f t="shared" si="31"/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 t="s">
        <v>92</v>
      </c>
      <c r="AK297" s="68">
        <v>86.4</v>
      </c>
      <c r="BB297" s="348" t="s">
        <v>1</v>
      </c>
      <c r="BM297" s="64">
        <f t="shared" si="32"/>
        <v>0</v>
      </c>
      <c r="BN297" s="64">
        <f t="shared" si="33"/>
        <v>0</v>
      </c>
      <c r="BO297" s="64">
        <f t="shared" si="34"/>
        <v>0</v>
      </c>
      <c r="BP297" s="64">
        <f t="shared" si="35"/>
        <v>0</v>
      </c>
    </row>
    <row r="298" spans="1:68" ht="37.5" hidden="1" customHeight="1" x14ac:dyDescent="0.25">
      <c r="A298" s="54" t="s">
        <v>479</v>
      </c>
      <c r="B298" s="54" t="s">
        <v>480</v>
      </c>
      <c r="C298" s="31">
        <v>4301011858</v>
      </c>
      <c r="D298" s="560">
        <v>4680115885646</v>
      </c>
      <c r="E298" s="561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106</v>
      </c>
      <c r="L298" s="32" t="s">
        <v>107</v>
      </c>
      <c r="M298" s="33" t="s">
        <v>108</v>
      </c>
      <c r="N298" s="33"/>
      <c r="O298" s="32">
        <v>55</v>
      </c>
      <c r="P298" s="83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3"/>
      <c r="R298" s="563"/>
      <c r="S298" s="563"/>
      <c r="T298" s="564"/>
      <c r="U298" s="34"/>
      <c r="V298" s="34"/>
      <c r="W298" s="35" t="s">
        <v>69</v>
      </c>
      <c r="X298" s="549">
        <v>0</v>
      </c>
      <c r="Y298" s="550">
        <f t="shared" si="31"/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 t="s">
        <v>92</v>
      </c>
      <c r="AK298" s="68">
        <v>86.4</v>
      </c>
      <c r="BB298" s="350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4301012016</v>
      </c>
      <c r="D299" s="560">
        <v>4680115885554</v>
      </c>
      <c r="E299" s="561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106</v>
      </c>
      <c r="L299" s="32"/>
      <c r="M299" s="33" t="s">
        <v>80</v>
      </c>
      <c r="N299" s="33"/>
      <c r="O299" s="32">
        <v>55</v>
      </c>
      <c r="P299" s="67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3"/>
      <c r="R299" s="563"/>
      <c r="S299" s="563"/>
      <c r="T299" s="564"/>
      <c r="U299" s="34"/>
      <c r="V299" s="34"/>
      <c r="W299" s="35" t="s">
        <v>69</v>
      </c>
      <c r="X299" s="549">
        <v>0</v>
      </c>
      <c r="Y299" s="550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484</v>
      </c>
      <c r="AG299" s="64"/>
      <c r="AJ299" s="68"/>
      <c r="AK299" s="68">
        <v>0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485</v>
      </c>
      <c r="B300" s="54" t="s">
        <v>486</v>
      </c>
      <c r="C300" s="31">
        <v>4301011857</v>
      </c>
      <c r="D300" s="560">
        <v>4680115885622</v>
      </c>
      <c r="E300" s="561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112</v>
      </c>
      <c r="L300" s="32" t="s">
        <v>115</v>
      </c>
      <c r="M300" s="33" t="s">
        <v>108</v>
      </c>
      <c r="N300" s="33"/>
      <c r="O300" s="32">
        <v>55</v>
      </c>
      <c r="P300" s="70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3"/>
      <c r="R300" s="563"/>
      <c r="S300" s="563"/>
      <c r="T300" s="564"/>
      <c r="U300" s="34"/>
      <c r="V300" s="34"/>
      <c r="W300" s="35" t="s">
        <v>69</v>
      </c>
      <c r="X300" s="549">
        <v>8</v>
      </c>
      <c r="Y300" s="550">
        <f t="shared" si="31"/>
        <v>8</v>
      </c>
      <c r="Z300" s="36">
        <f>IFERROR(IF(Y300=0,"",ROUNDUP(Y300/H300,0)*0.00902),"")</f>
        <v>1.804E-2</v>
      </c>
      <c r="AA300" s="56"/>
      <c r="AB300" s="57"/>
      <c r="AC300" s="353" t="s">
        <v>478</v>
      </c>
      <c r="AG300" s="64"/>
      <c r="AJ300" s="68" t="s">
        <v>92</v>
      </c>
      <c r="AK300" s="68">
        <v>48</v>
      </c>
      <c r="BB300" s="354" t="s">
        <v>1</v>
      </c>
      <c r="BM300" s="64">
        <f t="shared" si="32"/>
        <v>8.3800000000000008</v>
      </c>
      <c r="BN300" s="64">
        <f t="shared" si="33"/>
        <v>8.3800000000000008</v>
      </c>
      <c r="BO300" s="64">
        <f t="shared" si="34"/>
        <v>1.5151515151515152E-2</v>
      </c>
      <c r="BP300" s="64">
        <f t="shared" si="35"/>
        <v>1.5151515151515152E-2</v>
      </c>
    </row>
    <row r="301" spans="1:68" ht="27" customHeight="1" x14ac:dyDescent="0.25">
      <c r="A301" s="54" t="s">
        <v>487</v>
      </c>
      <c r="B301" s="54" t="s">
        <v>488</v>
      </c>
      <c r="C301" s="31">
        <v>4301011859</v>
      </c>
      <c r="D301" s="560">
        <v>4680115885608</v>
      </c>
      <c r="E301" s="561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112</v>
      </c>
      <c r="L301" s="32" t="s">
        <v>115</v>
      </c>
      <c r="M301" s="33" t="s">
        <v>108</v>
      </c>
      <c r="N301" s="33"/>
      <c r="O301" s="32">
        <v>55</v>
      </c>
      <c r="P301" s="8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3"/>
      <c r="R301" s="563"/>
      <c r="S301" s="563"/>
      <c r="T301" s="564"/>
      <c r="U301" s="34"/>
      <c r="V301" s="34"/>
      <c r="W301" s="35" t="s">
        <v>69</v>
      </c>
      <c r="X301" s="549">
        <v>4</v>
      </c>
      <c r="Y301" s="550">
        <f t="shared" si="31"/>
        <v>4</v>
      </c>
      <c r="Z301" s="36">
        <f>IFERROR(IF(Y301=0,"",ROUNDUP(Y301/H301,0)*0.00902),"")</f>
        <v>9.0200000000000002E-3</v>
      </c>
      <c r="AA301" s="56"/>
      <c r="AB301" s="57"/>
      <c r="AC301" s="355" t="s">
        <v>489</v>
      </c>
      <c r="AG301" s="64"/>
      <c r="AJ301" s="68" t="s">
        <v>92</v>
      </c>
      <c r="AK301" s="68">
        <v>48</v>
      </c>
      <c r="BB301" s="356" t="s">
        <v>1</v>
      </c>
      <c r="BM301" s="64">
        <f t="shared" si="32"/>
        <v>4.1900000000000004</v>
      </c>
      <c r="BN301" s="64">
        <f t="shared" si="33"/>
        <v>4.1900000000000004</v>
      </c>
      <c r="BO301" s="64">
        <f t="shared" si="34"/>
        <v>7.575757575757576E-3</v>
      </c>
      <c r="BP301" s="64">
        <f t="shared" si="35"/>
        <v>7.575757575757576E-3</v>
      </c>
    </row>
    <row r="302" spans="1:68" x14ac:dyDescent="0.2">
      <c r="A302" s="566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7"/>
      <c r="P302" s="555" t="s">
        <v>75</v>
      </c>
      <c r="Q302" s="556"/>
      <c r="R302" s="556"/>
      <c r="S302" s="556"/>
      <c r="T302" s="556"/>
      <c r="U302" s="556"/>
      <c r="V302" s="557"/>
      <c r="W302" s="37" t="s">
        <v>76</v>
      </c>
      <c r="X302" s="551">
        <f>IFERROR(X296/H296,"0")+IFERROR(X297/H297,"0")+IFERROR(X298/H298,"0")+IFERROR(X299/H299,"0")+IFERROR(X300/H300,"0")+IFERROR(X301/H301,"0")</f>
        <v>3</v>
      </c>
      <c r="Y302" s="551">
        <f>IFERROR(Y296/H296,"0")+IFERROR(Y297/H297,"0")+IFERROR(Y298/H298,"0")+IFERROR(Y299/H299,"0")+IFERROR(Y300/H300,"0")+IFERROR(Y301/H301,"0")</f>
        <v>3</v>
      </c>
      <c r="Z302" s="551">
        <f>IFERROR(IF(Z296="",0,Z296),"0")+IFERROR(IF(Z297="",0,Z297),"0")+IFERROR(IF(Z298="",0,Z298),"0")+IFERROR(IF(Z299="",0,Z299),"0")+IFERROR(IF(Z300="",0,Z300),"0")+IFERROR(IF(Z301="",0,Z301),"0")</f>
        <v>2.7060000000000001E-2</v>
      </c>
      <c r="AA302" s="552"/>
      <c r="AB302" s="552"/>
      <c r="AC302" s="552"/>
    </row>
    <row r="303" spans="1:68" x14ac:dyDescent="0.2">
      <c r="A303" s="559"/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67"/>
      <c r="P303" s="555" t="s">
        <v>75</v>
      </c>
      <c r="Q303" s="556"/>
      <c r="R303" s="556"/>
      <c r="S303" s="556"/>
      <c r="T303" s="556"/>
      <c r="U303" s="556"/>
      <c r="V303" s="557"/>
      <c r="W303" s="37" t="s">
        <v>69</v>
      </c>
      <c r="X303" s="551">
        <f>IFERROR(SUM(X296:X301),"0")</f>
        <v>12</v>
      </c>
      <c r="Y303" s="551">
        <f>IFERROR(SUM(Y296:Y301),"0")</f>
        <v>12</v>
      </c>
      <c r="Z303" s="37"/>
      <c r="AA303" s="552"/>
      <c r="AB303" s="552"/>
      <c r="AC303" s="552"/>
    </row>
    <row r="304" spans="1:68" ht="14.25" hidden="1" customHeight="1" x14ac:dyDescent="0.25">
      <c r="A304" s="558" t="s">
        <v>64</v>
      </c>
      <c r="B304" s="559"/>
      <c r="C304" s="559"/>
      <c r="D304" s="559"/>
      <c r="E304" s="559"/>
      <c r="F304" s="559"/>
      <c r="G304" s="559"/>
      <c r="H304" s="559"/>
      <c r="I304" s="559"/>
      <c r="J304" s="559"/>
      <c r="K304" s="559"/>
      <c r="L304" s="559"/>
      <c r="M304" s="559"/>
      <c r="N304" s="559"/>
      <c r="O304" s="559"/>
      <c r="P304" s="559"/>
      <c r="Q304" s="559"/>
      <c r="R304" s="559"/>
      <c r="S304" s="559"/>
      <c r="T304" s="559"/>
      <c r="U304" s="559"/>
      <c r="V304" s="559"/>
      <c r="W304" s="559"/>
      <c r="X304" s="559"/>
      <c r="Y304" s="559"/>
      <c r="Z304" s="559"/>
      <c r="AA304" s="545"/>
      <c r="AB304" s="545"/>
      <c r="AC304" s="545"/>
    </row>
    <row r="305" spans="1:68" ht="27" customHeight="1" x14ac:dyDescent="0.25">
      <c r="A305" s="54" t="s">
        <v>490</v>
      </c>
      <c r="B305" s="54" t="s">
        <v>491</v>
      </c>
      <c r="C305" s="31">
        <v>4301030878</v>
      </c>
      <c r="D305" s="560">
        <v>4607091387193</v>
      </c>
      <c r="E305" s="561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112</v>
      </c>
      <c r="L305" s="32" t="s">
        <v>115</v>
      </c>
      <c r="M305" s="33" t="s">
        <v>68</v>
      </c>
      <c r="N305" s="33"/>
      <c r="O305" s="32">
        <v>35</v>
      </c>
      <c r="P305" s="71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3"/>
      <c r="R305" s="563"/>
      <c r="S305" s="563"/>
      <c r="T305" s="564"/>
      <c r="U305" s="34"/>
      <c r="V305" s="34"/>
      <c r="W305" s="35" t="s">
        <v>69</v>
      </c>
      <c r="X305" s="549">
        <v>50</v>
      </c>
      <c r="Y305" s="550">
        <f t="shared" ref="Y305:Y310" si="36">IFERROR(IF(X305="",0,CEILING((X305/$H305),1)*$H305),"")</f>
        <v>50.400000000000006</v>
      </c>
      <c r="Z305" s="36">
        <f>IFERROR(IF(Y305=0,"",ROUNDUP(Y305/H305,0)*0.00902),"")</f>
        <v>0.10824</v>
      </c>
      <c r="AA305" s="56"/>
      <c r="AB305" s="57"/>
      <c r="AC305" s="357" t="s">
        <v>492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7">IFERROR(X305*I305/H305,"0")</f>
        <v>52.976190476190474</v>
      </c>
      <c r="BN305" s="64">
        <f t="shared" ref="BN305:BN310" si="38">IFERROR(Y305*I305/H305,"0")</f>
        <v>53.400000000000006</v>
      </c>
      <c r="BO305" s="64">
        <f t="shared" ref="BO305:BO310" si="39">IFERROR(1/J305*(X305/H305),"0")</f>
        <v>9.0187590187590191E-2</v>
      </c>
      <c r="BP305" s="64">
        <f t="shared" ref="BP305:BP310" si="40">IFERROR(1/J305*(Y305/H305),"0")</f>
        <v>9.0909090909090912E-2</v>
      </c>
    </row>
    <row r="306" spans="1:68" ht="27" customHeight="1" x14ac:dyDescent="0.25">
      <c r="A306" s="54" t="s">
        <v>493</v>
      </c>
      <c r="B306" s="54" t="s">
        <v>494</v>
      </c>
      <c r="C306" s="31">
        <v>4301031153</v>
      </c>
      <c r="D306" s="560">
        <v>4607091387230</v>
      </c>
      <c r="E306" s="561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112</v>
      </c>
      <c r="L306" s="32" t="s">
        <v>115</v>
      </c>
      <c r="M306" s="33" t="s">
        <v>68</v>
      </c>
      <c r="N306" s="33"/>
      <c r="O306" s="32">
        <v>40</v>
      </c>
      <c r="P306" s="68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3"/>
      <c r="R306" s="563"/>
      <c r="S306" s="563"/>
      <c r="T306" s="564"/>
      <c r="U306" s="34"/>
      <c r="V306" s="34"/>
      <c r="W306" s="35" t="s">
        <v>69</v>
      </c>
      <c r="X306" s="549">
        <v>100</v>
      </c>
      <c r="Y306" s="550">
        <f t="shared" si="36"/>
        <v>100.80000000000001</v>
      </c>
      <c r="Z306" s="36">
        <f>IFERROR(IF(Y306=0,"",ROUNDUP(Y306/H306,0)*0.00902),"")</f>
        <v>0.21648000000000001</v>
      </c>
      <c r="AA306" s="56"/>
      <c r="AB306" s="57"/>
      <c r="AC306" s="359" t="s">
        <v>495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7"/>
        <v>105.95238095238095</v>
      </c>
      <c r="BN306" s="64">
        <f t="shared" si="38"/>
        <v>106.80000000000001</v>
      </c>
      <c r="BO306" s="64">
        <f t="shared" si="39"/>
        <v>0.18037518037518038</v>
      </c>
      <c r="BP306" s="64">
        <f t="shared" si="40"/>
        <v>0.18181818181818182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4301031154</v>
      </c>
      <c r="D307" s="560">
        <v>4607091387292</v>
      </c>
      <c r="E307" s="561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112</v>
      </c>
      <c r="L307" s="32"/>
      <c r="M307" s="33" t="s">
        <v>68</v>
      </c>
      <c r="N307" s="33"/>
      <c r="O307" s="32">
        <v>45</v>
      </c>
      <c r="P307" s="8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3"/>
      <c r="R307" s="563"/>
      <c r="S307" s="563"/>
      <c r="T307" s="564"/>
      <c r="U307" s="34"/>
      <c r="V307" s="34"/>
      <c r="W307" s="35" t="s">
        <v>69</v>
      </c>
      <c r="X307" s="549">
        <v>0</v>
      </c>
      <c r="Y307" s="550">
        <f t="shared" si="36"/>
        <v>0</v>
      </c>
      <c r="Z307" s="36" t="str">
        <f>IFERROR(IF(Y307=0,"",ROUNDUP(Y307/H307,0)*0.00902),"")</f>
        <v/>
      </c>
      <c r="AA307" s="56"/>
      <c r="AB307" s="57"/>
      <c r="AC307" s="361" t="s">
        <v>498</v>
      </c>
      <c r="AG307" s="64"/>
      <c r="AJ307" s="68"/>
      <c r="AK307" s="68">
        <v>0</v>
      </c>
      <c r="BB307" s="362" t="s">
        <v>1</v>
      </c>
      <c r="BM307" s="64">
        <f t="shared" si="37"/>
        <v>0</v>
      </c>
      <c r="BN307" s="64">
        <f t="shared" si="38"/>
        <v>0</v>
      </c>
      <c r="BO307" s="64">
        <f t="shared" si="39"/>
        <v>0</v>
      </c>
      <c r="BP307" s="64">
        <f t="shared" si="40"/>
        <v>0</v>
      </c>
    </row>
    <row r="308" spans="1:68" ht="27" customHeight="1" x14ac:dyDescent="0.25">
      <c r="A308" s="54" t="s">
        <v>499</v>
      </c>
      <c r="B308" s="54" t="s">
        <v>500</v>
      </c>
      <c r="C308" s="31">
        <v>4301031152</v>
      </c>
      <c r="D308" s="560">
        <v>4607091387285</v>
      </c>
      <c r="E308" s="561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6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3"/>
      <c r="R308" s="563"/>
      <c r="S308" s="563"/>
      <c r="T308" s="564"/>
      <c r="U308" s="34"/>
      <c r="V308" s="34"/>
      <c r="W308" s="35" t="s">
        <v>69</v>
      </c>
      <c r="X308" s="549">
        <v>8.3999999999999986</v>
      </c>
      <c r="Y308" s="550">
        <f t="shared" si="36"/>
        <v>8.4</v>
      </c>
      <c r="Z308" s="36">
        <f>IFERROR(IF(Y308=0,"",ROUNDUP(Y308/H308,0)*0.00502),"")</f>
        <v>2.0080000000000001E-2</v>
      </c>
      <c r="AA308" s="56"/>
      <c r="AB308" s="57"/>
      <c r="AC308" s="363" t="s">
        <v>495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7"/>
        <v>8.9199999999999982</v>
      </c>
      <c r="BN308" s="64">
        <f t="shared" si="38"/>
        <v>8.92</v>
      </c>
      <c r="BO308" s="64">
        <f t="shared" si="39"/>
        <v>1.7094017094017092E-2</v>
      </c>
      <c r="BP308" s="64">
        <f t="shared" si="40"/>
        <v>1.7094017094017096E-2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4301031305</v>
      </c>
      <c r="D309" s="560">
        <v>4607091389845</v>
      </c>
      <c r="E309" s="561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 t="s">
        <v>292</v>
      </c>
      <c r="M309" s="33" t="s">
        <v>68</v>
      </c>
      <c r="N309" s="33"/>
      <c r="O309" s="32">
        <v>40</v>
      </c>
      <c r="P309" s="75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3"/>
      <c r="R309" s="563"/>
      <c r="S309" s="563"/>
      <c r="T309" s="564"/>
      <c r="U309" s="34"/>
      <c r="V309" s="34"/>
      <c r="W309" s="35" t="s">
        <v>69</v>
      </c>
      <c r="X309" s="549">
        <v>0</v>
      </c>
      <c r="Y309" s="550">
        <f t="shared" si="36"/>
        <v>0</v>
      </c>
      <c r="Z309" s="36" t="str">
        <f>IFERROR(IF(Y309=0,"",ROUNDUP(Y309/H309,0)*0.00502),"")</f>
        <v/>
      </c>
      <c r="AA309" s="56"/>
      <c r="AB309" s="57"/>
      <c r="AC309" s="365" t="s">
        <v>503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4301031066</v>
      </c>
      <c r="D310" s="560">
        <v>4607091383836</v>
      </c>
      <c r="E310" s="561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3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3"/>
      <c r="R310" s="563"/>
      <c r="S310" s="563"/>
      <c r="T310" s="564"/>
      <c r="U310" s="34"/>
      <c r="V310" s="34"/>
      <c r="W310" s="35" t="s">
        <v>69</v>
      </c>
      <c r="X310" s="549">
        <v>0</v>
      </c>
      <c r="Y310" s="550">
        <f t="shared" si="36"/>
        <v>0</v>
      </c>
      <c r="Z310" s="36" t="str">
        <f>IFERROR(IF(Y310=0,"",ROUNDUP(Y310/H310,0)*0.00651),"")</f>
        <v/>
      </c>
      <c r="AA310" s="56"/>
      <c r="AB310" s="57"/>
      <c r="AC310" s="367" t="s">
        <v>506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x14ac:dyDescent="0.2">
      <c r="A311" s="566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7"/>
      <c r="P311" s="555" t="s">
        <v>75</v>
      </c>
      <c r="Q311" s="556"/>
      <c r="R311" s="556"/>
      <c r="S311" s="556"/>
      <c r="T311" s="556"/>
      <c r="U311" s="556"/>
      <c r="V311" s="557"/>
      <c r="W311" s="37" t="s">
        <v>76</v>
      </c>
      <c r="X311" s="551">
        <f>IFERROR(X305/H305,"0")+IFERROR(X306/H306,"0")+IFERROR(X307/H307,"0")+IFERROR(X308/H308,"0")+IFERROR(X309/H309,"0")+IFERROR(X310/H310,"0")</f>
        <v>39.714285714285715</v>
      </c>
      <c r="Y311" s="551">
        <f>IFERROR(Y305/H305,"0")+IFERROR(Y306/H306,"0")+IFERROR(Y307/H307,"0")+IFERROR(Y308/H308,"0")+IFERROR(Y309/H309,"0")+IFERROR(Y310/H310,"0")</f>
        <v>40</v>
      </c>
      <c r="Z311" s="551">
        <f>IFERROR(IF(Z305="",0,Z305),"0")+IFERROR(IF(Z306="",0,Z306),"0")+IFERROR(IF(Z307="",0,Z307),"0")+IFERROR(IF(Z308="",0,Z308),"0")+IFERROR(IF(Z309="",0,Z309),"0")+IFERROR(IF(Z310="",0,Z310),"0")</f>
        <v>0.3448</v>
      </c>
      <c r="AA311" s="552"/>
      <c r="AB311" s="552"/>
      <c r="AC311" s="552"/>
    </row>
    <row r="312" spans="1:68" x14ac:dyDescent="0.2">
      <c r="A312" s="559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67"/>
      <c r="P312" s="555" t="s">
        <v>75</v>
      </c>
      <c r="Q312" s="556"/>
      <c r="R312" s="556"/>
      <c r="S312" s="556"/>
      <c r="T312" s="556"/>
      <c r="U312" s="556"/>
      <c r="V312" s="557"/>
      <c r="W312" s="37" t="s">
        <v>69</v>
      </c>
      <c r="X312" s="551">
        <f>IFERROR(SUM(X305:X310),"0")</f>
        <v>158.4</v>
      </c>
      <c r="Y312" s="551">
        <f>IFERROR(SUM(Y305:Y310),"0")</f>
        <v>159.60000000000002</v>
      </c>
      <c r="Z312" s="37"/>
      <c r="AA312" s="552"/>
      <c r="AB312" s="552"/>
      <c r="AC312" s="552"/>
    </row>
    <row r="313" spans="1:68" ht="14.25" hidden="1" customHeight="1" x14ac:dyDescent="0.25">
      <c r="A313" s="558" t="s">
        <v>77</v>
      </c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59"/>
      <c r="P313" s="559"/>
      <c r="Q313" s="559"/>
      <c r="R313" s="559"/>
      <c r="S313" s="559"/>
      <c r="T313" s="559"/>
      <c r="U313" s="559"/>
      <c r="V313" s="559"/>
      <c r="W313" s="559"/>
      <c r="X313" s="559"/>
      <c r="Y313" s="559"/>
      <c r="Z313" s="559"/>
      <c r="AA313" s="545"/>
      <c r="AB313" s="545"/>
      <c r="AC313" s="545"/>
    </row>
    <row r="314" spans="1:68" ht="27" customHeight="1" x14ac:dyDescent="0.25">
      <c r="A314" s="54" t="s">
        <v>507</v>
      </c>
      <c r="B314" s="54" t="s">
        <v>508</v>
      </c>
      <c r="C314" s="31">
        <v>4301051100</v>
      </c>
      <c r="D314" s="560">
        <v>4607091387766</v>
      </c>
      <c r="E314" s="561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106</v>
      </c>
      <c r="L314" s="32" t="s">
        <v>107</v>
      </c>
      <c r="M314" s="33" t="s">
        <v>80</v>
      </c>
      <c r="N314" s="33"/>
      <c r="O314" s="32">
        <v>40</v>
      </c>
      <c r="P314" s="78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3"/>
      <c r="R314" s="563"/>
      <c r="S314" s="563"/>
      <c r="T314" s="564"/>
      <c r="U314" s="34"/>
      <c r="V314" s="34"/>
      <c r="W314" s="35" t="s">
        <v>69</v>
      </c>
      <c r="X314" s="549">
        <v>400</v>
      </c>
      <c r="Y314" s="550">
        <f>IFERROR(IF(X314="",0,CEILING((X314/$H314),1)*$H314),"")</f>
        <v>405.59999999999997</v>
      </c>
      <c r="Z314" s="36">
        <f>IFERROR(IF(Y314=0,"",ROUNDUP(Y314/H314,0)*0.01898),"")</f>
        <v>0.98696000000000006</v>
      </c>
      <c r="AA314" s="56"/>
      <c r="AB314" s="57"/>
      <c r="AC314" s="369" t="s">
        <v>509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425.02564102564105</v>
      </c>
      <c r="BN314" s="64">
        <f>IFERROR(Y314*I314/H314,"0")</f>
        <v>430.976</v>
      </c>
      <c r="BO314" s="64">
        <f>IFERROR(1/J314*(X314/H314),"0")</f>
        <v>0.80128205128205132</v>
      </c>
      <c r="BP314" s="64">
        <f>IFERROR(1/J314*(Y314/H314),"0")</f>
        <v>0.8125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4301051818</v>
      </c>
      <c r="D315" s="560">
        <v>4607091387957</v>
      </c>
      <c r="E315" s="561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106</v>
      </c>
      <c r="L315" s="32"/>
      <c r="M315" s="33" t="s">
        <v>80</v>
      </c>
      <c r="N315" s="33"/>
      <c r="O315" s="32">
        <v>40</v>
      </c>
      <c r="P315" s="59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3"/>
      <c r="R315" s="563"/>
      <c r="S315" s="563"/>
      <c r="T315" s="564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4301051819</v>
      </c>
      <c r="D316" s="560">
        <v>4607091387964</v>
      </c>
      <c r="E316" s="561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106</v>
      </c>
      <c r="L316" s="32"/>
      <c r="M316" s="33" t="s">
        <v>80</v>
      </c>
      <c r="N316" s="33"/>
      <c r="O316" s="32">
        <v>40</v>
      </c>
      <c r="P316" s="59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3"/>
      <c r="R316" s="563"/>
      <c r="S316" s="563"/>
      <c r="T316" s="564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516</v>
      </c>
      <c r="B317" s="54" t="s">
        <v>517</v>
      </c>
      <c r="C317" s="31">
        <v>4301051734</v>
      </c>
      <c r="D317" s="560">
        <v>4680115884588</v>
      </c>
      <c r="E317" s="561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3"/>
      <c r="R317" s="563"/>
      <c r="S317" s="563"/>
      <c r="T317" s="564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518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6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7"/>
      <c r="P318" s="555" t="s">
        <v>75</v>
      </c>
      <c r="Q318" s="556"/>
      <c r="R318" s="556"/>
      <c r="S318" s="556"/>
      <c r="T318" s="556"/>
      <c r="U318" s="556"/>
      <c r="V318" s="557"/>
      <c r="W318" s="37" t="s">
        <v>76</v>
      </c>
      <c r="X318" s="551">
        <f>IFERROR(X314/H314,"0")+IFERROR(X315/H315,"0")+IFERROR(X316/H316,"0")+IFERROR(X317/H317,"0")</f>
        <v>51.282051282051285</v>
      </c>
      <c r="Y318" s="551">
        <f>IFERROR(Y314/H314,"0")+IFERROR(Y315/H315,"0")+IFERROR(Y316/H316,"0")+IFERROR(Y317/H317,"0")</f>
        <v>52</v>
      </c>
      <c r="Z318" s="551">
        <f>IFERROR(IF(Z314="",0,Z314),"0")+IFERROR(IF(Z315="",0,Z315),"0")+IFERROR(IF(Z316="",0,Z316),"0")+IFERROR(IF(Z317="",0,Z317),"0")</f>
        <v>0.98696000000000006</v>
      </c>
      <c r="AA318" s="552"/>
      <c r="AB318" s="552"/>
      <c r="AC318" s="552"/>
    </row>
    <row r="319" spans="1:68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67"/>
      <c r="P319" s="555" t="s">
        <v>75</v>
      </c>
      <c r="Q319" s="556"/>
      <c r="R319" s="556"/>
      <c r="S319" s="556"/>
      <c r="T319" s="556"/>
      <c r="U319" s="556"/>
      <c r="V319" s="557"/>
      <c r="W319" s="37" t="s">
        <v>69</v>
      </c>
      <c r="X319" s="551">
        <f>IFERROR(SUM(X314:X317),"0")</f>
        <v>400</v>
      </c>
      <c r="Y319" s="551">
        <f>IFERROR(SUM(Y314:Y317),"0")</f>
        <v>405.59999999999997</v>
      </c>
      <c r="Z319" s="37"/>
      <c r="AA319" s="552"/>
      <c r="AB319" s="552"/>
      <c r="AC319" s="552"/>
    </row>
    <row r="320" spans="1:68" ht="14.25" hidden="1" customHeight="1" x14ac:dyDescent="0.25">
      <c r="A320" s="558" t="s">
        <v>163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5"/>
      <c r="AB320" s="545"/>
      <c r="AC320" s="545"/>
    </row>
    <row r="321" spans="1:68" ht="27" hidden="1" customHeight="1" x14ac:dyDescent="0.25">
      <c r="A321" s="54" t="s">
        <v>519</v>
      </c>
      <c r="B321" s="54" t="s">
        <v>520</v>
      </c>
      <c r="C321" s="31">
        <v>4301060387</v>
      </c>
      <c r="D321" s="560">
        <v>4607091380880</v>
      </c>
      <c r="E321" s="561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106</v>
      </c>
      <c r="L321" s="32" t="s">
        <v>107</v>
      </c>
      <c r="M321" s="33" t="s">
        <v>80</v>
      </c>
      <c r="N321" s="33"/>
      <c r="O321" s="32">
        <v>30</v>
      </c>
      <c r="P321" s="81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3"/>
      <c r="R321" s="563"/>
      <c r="S321" s="563"/>
      <c r="T321" s="564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521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522</v>
      </c>
      <c r="B322" s="54" t="s">
        <v>523</v>
      </c>
      <c r="C322" s="31">
        <v>4301060406</v>
      </c>
      <c r="D322" s="560">
        <v>4607091384482</v>
      </c>
      <c r="E322" s="561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106</v>
      </c>
      <c r="L322" s="32" t="s">
        <v>107</v>
      </c>
      <c r="M322" s="33" t="s">
        <v>80</v>
      </c>
      <c r="N322" s="33"/>
      <c r="O322" s="32">
        <v>30</v>
      </c>
      <c r="P322" s="75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3"/>
      <c r="R322" s="563"/>
      <c r="S322" s="563"/>
      <c r="T322" s="564"/>
      <c r="U322" s="34"/>
      <c r="V322" s="34"/>
      <c r="W322" s="35" t="s">
        <v>69</v>
      </c>
      <c r="X322" s="549">
        <v>0</v>
      </c>
      <c r="Y322" s="55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524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16.5" hidden="1" customHeight="1" x14ac:dyDescent="0.25">
      <c r="A323" s="54" t="s">
        <v>525</v>
      </c>
      <c r="B323" s="54" t="s">
        <v>526</v>
      </c>
      <c r="C323" s="31">
        <v>4301060484</v>
      </c>
      <c r="D323" s="560">
        <v>4607091380897</v>
      </c>
      <c r="E323" s="561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106</v>
      </c>
      <c r="L323" s="32" t="s">
        <v>107</v>
      </c>
      <c r="M323" s="33" t="s">
        <v>86</v>
      </c>
      <c r="N323" s="33"/>
      <c r="O323" s="32">
        <v>30</v>
      </c>
      <c r="P323" s="81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3"/>
      <c r="R323" s="563"/>
      <c r="S323" s="563"/>
      <c r="T323" s="564"/>
      <c r="U323" s="34"/>
      <c r="V323" s="34"/>
      <c r="W323" s="35" t="s">
        <v>69</v>
      </c>
      <c r="X323" s="549">
        <v>0</v>
      </c>
      <c r="Y323" s="55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527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66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7"/>
      <c r="P324" s="555" t="s">
        <v>75</v>
      </c>
      <c r="Q324" s="556"/>
      <c r="R324" s="556"/>
      <c r="S324" s="556"/>
      <c r="T324" s="556"/>
      <c r="U324" s="556"/>
      <c r="V324" s="557"/>
      <c r="W324" s="37" t="s">
        <v>76</v>
      </c>
      <c r="X324" s="551">
        <f>IFERROR(X321/H321,"0")+IFERROR(X322/H322,"0")+IFERROR(X323/H323,"0")</f>
        <v>0</v>
      </c>
      <c r="Y324" s="551">
        <f>IFERROR(Y321/H321,"0")+IFERROR(Y322/H322,"0")+IFERROR(Y323/H323,"0")</f>
        <v>0</v>
      </c>
      <c r="Z324" s="551">
        <f>IFERROR(IF(Z321="",0,Z321),"0")+IFERROR(IF(Z322="",0,Z322),"0")+IFERROR(IF(Z323="",0,Z323),"0")</f>
        <v>0</v>
      </c>
      <c r="AA324" s="552"/>
      <c r="AB324" s="552"/>
      <c r="AC324" s="552"/>
    </row>
    <row r="325" spans="1:68" hidden="1" x14ac:dyDescent="0.2">
      <c r="A325" s="559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67"/>
      <c r="P325" s="555" t="s">
        <v>75</v>
      </c>
      <c r="Q325" s="556"/>
      <c r="R325" s="556"/>
      <c r="S325" s="556"/>
      <c r="T325" s="556"/>
      <c r="U325" s="556"/>
      <c r="V325" s="557"/>
      <c r="W325" s="37" t="s">
        <v>69</v>
      </c>
      <c r="X325" s="551">
        <f>IFERROR(SUM(X321:X323),"0")</f>
        <v>0</v>
      </c>
      <c r="Y325" s="551">
        <f>IFERROR(SUM(Y321:Y323),"0")</f>
        <v>0</v>
      </c>
      <c r="Z325" s="37"/>
      <c r="AA325" s="552"/>
      <c r="AB325" s="552"/>
      <c r="AC325" s="552"/>
    </row>
    <row r="326" spans="1:68" ht="14.25" hidden="1" customHeight="1" x14ac:dyDescent="0.25">
      <c r="A326" s="558" t="s">
        <v>95</v>
      </c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59"/>
      <c r="P326" s="559"/>
      <c r="Q326" s="559"/>
      <c r="R326" s="559"/>
      <c r="S326" s="559"/>
      <c r="T326" s="559"/>
      <c r="U326" s="559"/>
      <c r="V326" s="559"/>
      <c r="W326" s="559"/>
      <c r="X326" s="559"/>
      <c r="Y326" s="559"/>
      <c r="Z326" s="559"/>
      <c r="AA326" s="545"/>
      <c r="AB326" s="545"/>
      <c r="AC326" s="545"/>
    </row>
    <row r="327" spans="1:68" ht="27" hidden="1" customHeight="1" x14ac:dyDescent="0.25">
      <c r="A327" s="54" t="s">
        <v>528</v>
      </c>
      <c r="B327" s="54" t="s">
        <v>529</v>
      </c>
      <c r="C327" s="31">
        <v>4301030235</v>
      </c>
      <c r="D327" s="560">
        <v>4607091388381</v>
      </c>
      <c r="E327" s="561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112</v>
      </c>
      <c r="L327" s="32"/>
      <c r="M327" s="33" t="s">
        <v>98</v>
      </c>
      <c r="N327" s="33"/>
      <c r="O327" s="32">
        <v>180</v>
      </c>
      <c r="P327" s="75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3"/>
      <c r="R327" s="563"/>
      <c r="S327" s="563"/>
      <c r="T327" s="564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530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531</v>
      </c>
      <c r="B328" s="54" t="s">
        <v>532</v>
      </c>
      <c r="C328" s="31">
        <v>4301030232</v>
      </c>
      <c r="D328" s="560">
        <v>4607091388374</v>
      </c>
      <c r="E328" s="561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112</v>
      </c>
      <c r="L328" s="32"/>
      <c r="M328" s="33" t="s">
        <v>98</v>
      </c>
      <c r="N328" s="33"/>
      <c r="O328" s="32">
        <v>180</v>
      </c>
      <c r="P328" s="56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3"/>
      <c r="R328" s="563"/>
      <c r="S328" s="563"/>
      <c r="T328" s="564"/>
      <c r="U328" s="34"/>
      <c r="V328" s="34"/>
      <c r="W328" s="35" t="s">
        <v>69</v>
      </c>
      <c r="X328" s="549">
        <v>12</v>
      </c>
      <c r="Y328" s="550">
        <f>IFERROR(IF(X328="",0,CEILING((X328/$H328),1)*$H328),"")</f>
        <v>12.16</v>
      </c>
      <c r="Z328" s="36">
        <f>IFERROR(IF(Y328=0,"",ROUNDUP(Y328/H328,0)*0.00902),"")</f>
        <v>3.6080000000000001E-2</v>
      </c>
      <c r="AA328" s="56"/>
      <c r="AB328" s="57"/>
      <c r="AC328" s="385" t="s">
        <v>530</v>
      </c>
      <c r="AG328" s="64"/>
      <c r="AJ328" s="68"/>
      <c r="AK328" s="68">
        <v>0</v>
      </c>
      <c r="BB328" s="386" t="s">
        <v>1</v>
      </c>
      <c r="BM328" s="64">
        <f>IFERROR(X328*I328/H328,"0")</f>
        <v>12.907894736842106</v>
      </c>
      <c r="BN328" s="64">
        <f>IFERROR(Y328*I328/H328,"0")</f>
        <v>13.079999999999998</v>
      </c>
      <c r="BO328" s="64">
        <f>IFERROR(1/J328*(X328/H328),"0")</f>
        <v>2.9904306220095694E-2</v>
      </c>
      <c r="BP328" s="64">
        <f>IFERROR(1/J328*(Y328/H328),"0")</f>
        <v>3.0303030303030304E-2</v>
      </c>
    </row>
    <row r="329" spans="1:68" ht="27" customHeight="1" x14ac:dyDescent="0.25">
      <c r="A329" s="54" t="s">
        <v>533</v>
      </c>
      <c r="B329" s="54" t="s">
        <v>534</v>
      </c>
      <c r="C329" s="31">
        <v>4301032015</v>
      </c>
      <c r="D329" s="560">
        <v>4607091383102</v>
      </c>
      <c r="E329" s="561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98</v>
      </c>
      <c r="N329" s="33"/>
      <c r="O329" s="32">
        <v>180</v>
      </c>
      <c r="P329" s="61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3"/>
      <c r="R329" s="563"/>
      <c r="S329" s="563"/>
      <c r="T329" s="564"/>
      <c r="U329" s="34"/>
      <c r="V329" s="34"/>
      <c r="W329" s="35" t="s">
        <v>69</v>
      </c>
      <c r="X329" s="549">
        <v>7.65</v>
      </c>
      <c r="Y329" s="550">
        <f>IFERROR(IF(X329="",0,CEILING((X329/$H329),1)*$H329),"")</f>
        <v>7.6499999999999995</v>
      </c>
      <c r="Z329" s="36">
        <f>IFERROR(IF(Y329=0,"",ROUNDUP(Y329/H329,0)*0.00651),"")</f>
        <v>1.9529999999999999E-2</v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8.8650000000000002</v>
      </c>
      <c r="BN329" s="64">
        <f>IFERROR(Y329*I329/H329,"0")</f>
        <v>8.8650000000000002</v>
      </c>
      <c r="BO329" s="64">
        <f>IFERROR(1/J329*(X329/H329),"0")</f>
        <v>1.6483516483516487E-2</v>
      </c>
      <c r="BP329" s="64">
        <f>IFERROR(1/J329*(Y329/H329),"0")</f>
        <v>1.6483516483516484E-2</v>
      </c>
    </row>
    <row r="330" spans="1:68" ht="27" customHeight="1" x14ac:dyDescent="0.25">
      <c r="A330" s="54" t="s">
        <v>536</v>
      </c>
      <c r="B330" s="54" t="s">
        <v>537</v>
      </c>
      <c r="C330" s="31">
        <v>4301030233</v>
      </c>
      <c r="D330" s="560">
        <v>4607091388404</v>
      </c>
      <c r="E330" s="561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 t="s">
        <v>90</v>
      </c>
      <c r="M330" s="33" t="s">
        <v>98</v>
      </c>
      <c r="N330" s="33"/>
      <c r="O330" s="32">
        <v>180</v>
      </c>
      <c r="P330" s="66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3"/>
      <c r="R330" s="563"/>
      <c r="S330" s="563"/>
      <c r="T330" s="564"/>
      <c r="U330" s="34"/>
      <c r="V330" s="34"/>
      <c r="W330" s="35" t="s">
        <v>69</v>
      </c>
      <c r="X330" s="549">
        <v>7.65</v>
      </c>
      <c r="Y330" s="550">
        <f>IFERROR(IF(X330="",0,CEILING((X330/$H330),1)*$H330),"")</f>
        <v>7.6499999999999995</v>
      </c>
      <c r="Z330" s="36">
        <f>IFERROR(IF(Y330=0,"",ROUNDUP(Y330/H330,0)*0.00651),"")</f>
        <v>1.9529999999999999E-2</v>
      </c>
      <c r="AA330" s="56"/>
      <c r="AB330" s="57"/>
      <c r="AC330" s="389" t="s">
        <v>530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8.64</v>
      </c>
      <c r="BN330" s="64">
        <f>IFERROR(Y330*I330/H330,"0")</f>
        <v>8.6399999999999988</v>
      </c>
      <c r="BO330" s="64">
        <f>IFERROR(1/J330*(X330/H330),"0")</f>
        <v>1.6483516483516487E-2</v>
      </c>
      <c r="BP330" s="64">
        <f>IFERROR(1/J330*(Y330/H330),"0")</f>
        <v>1.6483516483516484E-2</v>
      </c>
    </row>
    <row r="331" spans="1:68" x14ac:dyDescent="0.2">
      <c r="A331" s="566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7"/>
      <c r="P331" s="555" t="s">
        <v>75</v>
      </c>
      <c r="Q331" s="556"/>
      <c r="R331" s="556"/>
      <c r="S331" s="556"/>
      <c r="T331" s="556"/>
      <c r="U331" s="556"/>
      <c r="V331" s="557"/>
      <c r="W331" s="37" t="s">
        <v>76</v>
      </c>
      <c r="X331" s="551">
        <f>IFERROR(X327/H327,"0")+IFERROR(X328/H328,"0")+IFERROR(X329/H329,"0")+IFERROR(X330/H330,"0")</f>
        <v>9.9473684210526319</v>
      </c>
      <c r="Y331" s="551">
        <f>IFERROR(Y327/H327,"0")+IFERROR(Y328/H328,"0")+IFERROR(Y329/H329,"0")+IFERROR(Y330/H330,"0")</f>
        <v>10</v>
      </c>
      <c r="Z331" s="551">
        <f>IFERROR(IF(Z327="",0,Z327),"0")+IFERROR(IF(Z328="",0,Z328),"0")+IFERROR(IF(Z329="",0,Z329),"0")+IFERROR(IF(Z330="",0,Z330),"0")</f>
        <v>7.5139999999999998E-2</v>
      </c>
      <c r="AA331" s="552"/>
      <c r="AB331" s="552"/>
      <c r="AC331" s="552"/>
    </row>
    <row r="332" spans="1:68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67"/>
      <c r="P332" s="555" t="s">
        <v>75</v>
      </c>
      <c r="Q332" s="556"/>
      <c r="R332" s="556"/>
      <c r="S332" s="556"/>
      <c r="T332" s="556"/>
      <c r="U332" s="556"/>
      <c r="V332" s="557"/>
      <c r="W332" s="37" t="s">
        <v>69</v>
      </c>
      <c r="X332" s="551">
        <f>IFERROR(SUM(X327:X330),"0")</f>
        <v>27.299999999999997</v>
      </c>
      <c r="Y332" s="551">
        <f>IFERROR(SUM(Y327:Y330),"0")</f>
        <v>27.459999999999997</v>
      </c>
      <c r="Z332" s="37"/>
      <c r="AA332" s="552"/>
      <c r="AB332" s="552"/>
      <c r="AC332" s="552"/>
    </row>
    <row r="333" spans="1:68" ht="14.25" hidden="1" customHeight="1" x14ac:dyDescent="0.25">
      <c r="A333" s="558" t="s">
        <v>538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5"/>
      <c r="AB333" s="545"/>
      <c r="AC333" s="545"/>
    </row>
    <row r="334" spans="1:68" ht="16.5" customHeight="1" x14ac:dyDescent="0.25">
      <c r="A334" s="54" t="s">
        <v>539</v>
      </c>
      <c r="B334" s="54" t="s">
        <v>540</v>
      </c>
      <c r="C334" s="31">
        <v>4301180007</v>
      </c>
      <c r="D334" s="560">
        <v>4680115881808</v>
      </c>
      <c r="E334" s="561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541</v>
      </c>
      <c r="N334" s="33"/>
      <c r="O334" s="32">
        <v>730</v>
      </c>
      <c r="P334" s="6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3"/>
      <c r="R334" s="563"/>
      <c r="S334" s="563"/>
      <c r="T334" s="564"/>
      <c r="U334" s="34"/>
      <c r="V334" s="34"/>
      <c r="W334" s="35" t="s">
        <v>69</v>
      </c>
      <c r="X334" s="549">
        <v>10</v>
      </c>
      <c r="Y334" s="550">
        <f>IFERROR(IF(X334="",0,CEILING((X334/$H334),1)*$H334),"")</f>
        <v>10</v>
      </c>
      <c r="Z334" s="36">
        <f>IFERROR(IF(Y334=0,"",ROUNDUP(Y334/H334,0)*0.00474),"")</f>
        <v>2.3700000000000002E-2</v>
      </c>
      <c r="AA334" s="56"/>
      <c r="AB334" s="57"/>
      <c r="AC334" s="391" t="s">
        <v>542</v>
      </c>
      <c r="AG334" s="64"/>
      <c r="AJ334" s="68"/>
      <c r="AK334" s="68">
        <v>0</v>
      </c>
      <c r="BB334" s="392" t="s">
        <v>1</v>
      </c>
      <c r="BM334" s="64">
        <f>IFERROR(X334*I334/H334,"0")</f>
        <v>11.200000000000001</v>
      </c>
      <c r="BN334" s="64">
        <f>IFERROR(Y334*I334/H334,"0")</f>
        <v>11.200000000000001</v>
      </c>
      <c r="BO334" s="64">
        <f>IFERROR(1/J334*(X334/H334),"0")</f>
        <v>2.1008403361344536E-2</v>
      </c>
      <c r="BP334" s="64">
        <f>IFERROR(1/J334*(Y334/H334),"0")</f>
        <v>2.1008403361344536E-2</v>
      </c>
    </row>
    <row r="335" spans="1:68" ht="27" customHeight="1" x14ac:dyDescent="0.25">
      <c r="A335" s="54" t="s">
        <v>543</v>
      </c>
      <c r="B335" s="54" t="s">
        <v>544</v>
      </c>
      <c r="C335" s="31">
        <v>4301180006</v>
      </c>
      <c r="D335" s="560">
        <v>4680115881822</v>
      </c>
      <c r="E335" s="561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541</v>
      </c>
      <c r="N335" s="33"/>
      <c r="O335" s="32">
        <v>730</v>
      </c>
      <c r="P335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3"/>
      <c r="R335" s="563"/>
      <c r="S335" s="563"/>
      <c r="T335" s="564"/>
      <c r="U335" s="34"/>
      <c r="V335" s="34"/>
      <c r="W335" s="35" t="s">
        <v>69</v>
      </c>
      <c r="X335" s="549">
        <v>10</v>
      </c>
      <c r="Y335" s="550">
        <f>IFERROR(IF(X335="",0,CEILING((X335/$H335),1)*$H335),"")</f>
        <v>10</v>
      </c>
      <c r="Z335" s="36">
        <f>IFERROR(IF(Y335=0,"",ROUNDUP(Y335/H335,0)*0.00474),"")</f>
        <v>2.3700000000000002E-2</v>
      </c>
      <c r="AA335" s="56"/>
      <c r="AB335" s="57"/>
      <c r="AC335" s="393" t="s">
        <v>542</v>
      </c>
      <c r="AG335" s="64"/>
      <c r="AJ335" s="68"/>
      <c r="AK335" s="68">
        <v>0</v>
      </c>
      <c r="BB335" s="394" t="s">
        <v>1</v>
      </c>
      <c r="BM335" s="64">
        <f>IFERROR(X335*I335/H335,"0")</f>
        <v>11.200000000000001</v>
      </c>
      <c r="BN335" s="64">
        <f>IFERROR(Y335*I335/H335,"0")</f>
        <v>11.200000000000001</v>
      </c>
      <c r="BO335" s="64">
        <f>IFERROR(1/J335*(X335/H335),"0")</f>
        <v>2.1008403361344536E-2</v>
      </c>
      <c r="BP335" s="64">
        <f>IFERROR(1/J335*(Y335/H335),"0")</f>
        <v>2.1008403361344536E-2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4301180001</v>
      </c>
      <c r="D336" s="560">
        <v>4680115880016</v>
      </c>
      <c r="E336" s="561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541</v>
      </c>
      <c r="N336" s="33"/>
      <c r="O336" s="32">
        <v>730</v>
      </c>
      <c r="P336" s="81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3"/>
      <c r="R336" s="563"/>
      <c r="S336" s="563"/>
      <c r="T336" s="564"/>
      <c r="U336" s="34"/>
      <c r="V336" s="34"/>
      <c r="W336" s="35" t="s">
        <v>69</v>
      </c>
      <c r="X336" s="549">
        <v>0</v>
      </c>
      <c r="Y336" s="550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542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6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7"/>
      <c r="P337" s="555" t="s">
        <v>75</v>
      </c>
      <c r="Q337" s="556"/>
      <c r="R337" s="556"/>
      <c r="S337" s="556"/>
      <c r="T337" s="556"/>
      <c r="U337" s="556"/>
      <c r="V337" s="557"/>
      <c r="W337" s="37" t="s">
        <v>76</v>
      </c>
      <c r="X337" s="551">
        <f>IFERROR(X334/H334,"0")+IFERROR(X335/H335,"0")+IFERROR(X336/H336,"0")</f>
        <v>10</v>
      </c>
      <c r="Y337" s="551">
        <f>IFERROR(Y334/H334,"0")+IFERROR(Y335/H335,"0")+IFERROR(Y336/H336,"0")</f>
        <v>10</v>
      </c>
      <c r="Z337" s="551">
        <f>IFERROR(IF(Z334="",0,Z334),"0")+IFERROR(IF(Z335="",0,Z335),"0")+IFERROR(IF(Z336="",0,Z336),"0")</f>
        <v>4.7400000000000005E-2</v>
      </c>
      <c r="AA337" s="552"/>
      <c r="AB337" s="552"/>
      <c r="AC337" s="552"/>
    </row>
    <row r="338" spans="1:68" x14ac:dyDescent="0.2">
      <c r="A338" s="559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67"/>
      <c r="P338" s="555" t="s">
        <v>75</v>
      </c>
      <c r="Q338" s="556"/>
      <c r="R338" s="556"/>
      <c r="S338" s="556"/>
      <c r="T338" s="556"/>
      <c r="U338" s="556"/>
      <c r="V338" s="557"/>
      <c r="W338" s="37" t="s">
        <v>69</v>
      </c>
      <c r="X338" s="551">
        <f>IFERROR(SUM(X334:X336),"0")</f>
        <v>20</v>
      </c>
      <c r="Y338" s="551">
        <f>IFERROR(SUM(Y334:Y336),"0")</f>
        <v>20</v>
      </c>
      <c r="Z338" s="37"/>
      <c r="AA338" s="552"/>
      <c r="AB338" s="552"/>
      <c r="AC338" s="552"/>
    </row>
    <row r="339" spans="1:68" ht="16.5" hidden="1" customHeight="1" x14ac:dyDescent="0.25">
      <c r="A339" s="599" t="s">
        <v>547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4"/>
      <c r="AB339" s="544"/>
      <c r="AC339" s="544"/>
    </row>
    <row r="340" spans="1:68" ht="14.25" hidden="1" customHeight="1" x14ac:dyDescent="0.25">
      <c r="A340" s="558" t="s">
        <v>77</v>
      </c>
      <c r="B340" s="559"/>
      <c r="C340" s="559"/>
      <c r="D340" s="559"/>
      <c r="E340" s="559"/>
      <c r="F340" s="559"/>
      <c r="G340" s="559"/>
      <c r="H340" s="559"/>
      <c r="I340" s="559"/>
      <c r="J340" s="559"/>
      <c r="K340" s="559"/>
      <c r="L340" s="559"/>
      <c r="M340" s="559"/>
      <c r="N340" s="559"/>
      <c r="O340" s="559"/>
      <c r="P340" s="559"/>
      <c r="Q340" s="559"/>
      <c r="R340" s="559"/>
      <c r="S340" s="559"/>
      <c r="T340" s="559"/>
      <c r="U340" s="559"/>
      <c r="V340" s="559"/>
      <c r="W340" s="559"/>
      <c r="X340" s="559"/>
      <c r="Y340" s="559"/>
      <c r="Z340" s="559"/>
      <c r="AA340" s="545"/>
      <c r="AB340" s="545"/>
      <c r="AC340" s="545"/>
    </row>
    <row r="341" spans="1:68" ht="27" hidden="1" customHeight="1" x14ac:dyDescent="0.25">
      <c r="A341" s="54" t="s">
        <v>548</v>
      </c>
      <c r="B341" s="54" t="s">
        <v>549</v>
      </c>
      <c r="C341" s="31">
        <v>4301051489</v>
      </c>
      <c r="D341" s="560">
        <v>4607091387919</v>
      </c>
      <c r="E341" s="561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106</v>
      </c>
      <c r="L341" s="32" t="s">
        <v>107</v>
      </c>
      <c r="M341" s="33" t="s">
        <v>86</v>
      </c>
      <c r="N341" s="33"/>
      <c r="O341" s="32">
        <v>45</v>
      </c>
      <c r="P341" s="79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3"/>
      <c r="R341" s="563"/>
      <c r="S341" s="563"/>
      <c r="T341" s="564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550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551</v>
      </c>
      <c r="B342" s="54" t="s">
        <v>552</v>
      </c>
      <c r="C342" s="31">
        <v>4301051461</v>
      </c>
      <c r="D342" s="560">
        <v>4680115883604</v>
      </c>
      <c r="E342" s="561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4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3"/>
      <c r="R342" s="563"/>
      <c r="S342" s="563"/>
      <c r="T342" s="564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553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554</v>
      </c>
      <c r="B343" s="54" t="s">
        <v>555</v>
      </c>
      <c r="C343" s="31">
        <v>4301051864</v>
      </c>
      <c r="D343" s="560">
        <v>4680115883567</v>
      </c>
      <c r="E343" s="561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3"/>
      <c r="R343" s="563"/>
      <c r="S343" s="563"/>
      <c r="T343" s="564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556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6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7"/>
      <c r="P344" s="555" t="s">
        <v>75</v>
      </c>
      <c r="Q344" s="556"/>
      <c r="R344" s="556"/>
      <c r="S344" s="556"/>
      <c r="T344" s="556"/>
      <c r="U344" s="556"/>
      <c r="V344" s="557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59"/>
      <c r="B345" s="559"/>
      <c r="C345" s="559"/>
      <c r="D345" s="559"/>
      <c r="E345" s="559"/>
      <c r="F345" s="559"/>
      <c r="G345" s="559"/>
      <c r="H345" s="559"/>
      <c r="I345" s="559"/>
      <c r="J345" s="559"/>
      <c r="K345" s="559"/>
      <c r="L345" s="559"/>
      <c r="M345" s="559"/>
      <c r="N345" s="559"/>
      <c r="O345" s="567"/>
      <c r="P345" s="555" t="s">
        <v>75</v>
      </c>
      <c r="Q345" s="556"/>
      <c r="R345" s="556"/>
      <c r="S345" s="556"/>
      <c r="T345" s="556"/>
      <c r="U345" s="556"/>
      <c r="V345" s="557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90" t="s">
        <v>557</v>
      </c>
      <c r="B346" s="691"/>
      <c r="C346" s="691"/>
      <c r="D346" s="691"/>
      <c r="E346" s="691"/>
      <c r="F346" s="691"/>
      <c r="G346" s="691"/>
      <c r="H346" s="691"/>
      <c r="I346" s="691"/>
      <c r="J346" s="691"/>
      <c r="K346" s="691"/>
      <c r="L346" s="691"/>
      <c r="M346" s="691"/>
      <c r="N346" s="691"/>
      <c r="O346" s="691"/>
      <c r="P346" s="691"/>
      <c r="Q346" s="691"/>
      <c r="R346" s="691"/>
      <c r="S346" s="691"/>
      <c r="T346" s="691"/>
      <c r="U346" s="691"/>
      <c r="V346" s="691"/>
      <c r="W346" s="691"/>
      <c r="X346" s="691"/>
      <c r="Y346" s="691"/>
      <c r="Z346" s="691"/>
      <c r="AA346" s="48"/>
      <c r="AB346" s="48"/>
      <c r="AC346" s="48"/>
    </row>
    <row r="347" spans="1:68" ht="16.5" hidden="1" customHeight="1" x14ac:dyDescent="0.25">
      <c r="A347" s="599" t="s">
        <v>558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4"/>
      <c r="AB347" s="544"/>
      <c r="AC347" s="544"/>
    </row>
    <row r="348" spans="1:68" ht="14.25" hidden="1" customHeight="1" x14ac:dyDescent="0.25">
      <c r="A348" s="558" t="s">
        <v>103</v>
      </c>
      <c r="B348" s="559"/>
      <c r="C348" s="559"/>
      <c r="D348" s="559"/>
      <c r="E348" s="559"/>
      <c r="F348" s="559"/>
      <c r="G348" s="559"/>
      <c r="H348" s="559"/>
      <c r="I348" s="559"/>
      <c r="J348" s="559"/>
      <c r="K348" s="559"/>
      <c r="L348" s="559"/>
      <c r="M348" s="559"/>
      <c r="N348" s="559"/>
      <c r="O348" s="559"/>
      <c r="P348" s="559"/>
      <c r="Q348" s="559"/>
      <c r="R348" s="559"/>
      <c r="S348" s="559"/>
      <c r="T348" s="559"/>
      <c r="U348" s="559"/>
      <c r="V348" s="559"/>
      <c r="W348" s="559"/>
      <c r="X348" s="559"/>
      <c r="Y348" s="559"/>
      <c r="Z348" s="559"/>
      <c r="AA348" s="545"/>
      <c r="AB348" s="545"/>
      <c r="AC348" s="545"/>
    </row>
    <row r="349" spans="1:68" ht="37.5" hidden="1" customHeight="1" x14ac:dyDescent="0.25">
      <c r="A349" s="54" t="s">
        <v>559</v>
      </c>
      <c r="B349" s="54" t="s">
        <v>560</v>
      </c>
      <c r="C349" s="31">
        <v>4301011869</v>
      </c>
      <c r="D349" s="560">
        <v>4680115884847</v>
      </c>
      <c r="E349" s="561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106</v>
      </c>
      <c r="L349" s="32"/>
      <c r="M349" s="33" t="s">
        <v>68</v>
      </c>
      <c r="N349" s="33"/>
      <c r="O349" s="32">
        <v>60</v>
      </c>
      <c r="P349" s="8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3"/>
      <c r="R349" s="563"/>
      <c r="S349" s="563"/>
      <c r="T349" s="564"/>
      <c r="U349" s="34"/>
      <c r="V349" s="34"/>
      <c r="W349" s="35" t="s">
        <v>69</v>
      </c>
      <c r="X349" s="549">
        <v>0</v>
      </c>
      <c r="Y349" s="550">
        <f t="shared" ref="Y349:Y355" si="41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ref="BM349:BM355" si="42">IFERROR(X349*I349/H349,"0")</f>
        <v>0</v>
      </c>
      <c r="BN349" s="64">
        <f t="shared" ref="BN349:BN355" si="43">IFERROR(Y349*I349/H349,"0")</f>
        <v>0</v>
      </c>
      <c r="BO349" s="64">
        <f t="shared" ref="BO349:BO355" si="44">IFERROR(1/J349*(X349/H349),"0")</f>
        <v>0</v>
      </c>
      <c r="BP349" s="64">
        <f t="shared" ref="BP349:BP355" si="45">IFERROR(1/J349*(Y349/H349),"0")</f>
        <v>0</v>
      </c>
    </row>
    <row r="350" spans="1:68" ht="27" hidden="1" customHeight="1" x14ac:dyDescent="0.25">
      <c r="A350" s="54" t="s">
        <v>562</v>
      </c>
      <c r="B350" s="54" t="s">
        <v>563</v>
      </c>
      <c r="C350" s="31">
        <v>4301011870</v>
      </c>
      <c r="D350" s="560">
        <v>4680115884854</v>
      </c>
      <c r="E350" s="561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106</v>
      </c>
      <c r="L350" s="32"/>
      <c r="M350" s="33" t="s">
        <v>68</v>
      </c>
      <c r="N350" s="33"/>
      <c r="O350" s="32">
        <v>60</v>
      </c>
      <c r="P350" s="65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3"/>
      <c r="R350" s="563"/>
      <c r="S350" s="563"/>
      <c r="T350" s="564"/>
      <c r="U350" s="34"/>
      <c r="V350" s="34"/>
      <c r="W350" s="35" t="s">
        <v>69</v>
      </c>
      <c r="X350" s="549">
        <v>0</v>
      </c>
      <c r="Y350" s="550">
        <f t="shared" si="41"/>
        <v>0</v>
      </c>
      <c r="Z350" s="36" t="str">
        <f>IFERROR(IF(Y350=0,"",ROUNDUP(Y350/H350,0)*0.02175),"")</f>
        <v/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42"/>
        <v>0</v>
      </c>
      <c r="BN350" s="64">
        <f t="shared" si="43"/>
        <v>0</v>
      </c>
      <c r="BO350" s="64">
        <f t="shared" si="44"/>
        <v>0</v>
      </c>
      <c r="BP350" s="64">
        <f t="shared" si="45"/>
        <v>0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60">
        <v>4680115887046</v>
      </c>
      <c r="E351" s="561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106</v>
      </c>
      <c r="L351" s="32"/>
      <c r="M351" s="33" t="s">
        <v>86</v>
      </c>
      <c r="N351" s="33"/>
      <c r="O351" s="32">
        <v>60</v>
      </c>
      <c r="P351" s="71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3"/>
      <c r="R351" s="563"/>
      <c r="S351" s="563"/>
      <c r="T351" s="564"/>
      <c r="U351" s="34"/>
      <c r="V351" s="34"/>
      <c r="W351" s="35" t="s">
        <v>69</v>
      </c>
      <c r="X351" s="549">
        <v>150</v>
      </c>
      <c r="Y351" s="550">
        <f t="shared" si="41"/>
        <v>150</v>
      </c>
      <c r="Z351" s="36">
        <f>IFERROR(IF(Y351=0,"",ROUNDUP(Y351/H351,0)*0.02175),"")</f>
        <v>0.21749999999999997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42"/>
        <v>154.69999999999999</v>
      </c>
      <c r="BN351" s="64">
        <f t="shared" si="43"/>
        <v>154.69999999999999</v>
      </c>
      <c r="BO351" s="64">
        <f t="shared" si="44"/>
        <v>0.20833333333333331</v>
      </c>
      <c r="BP351" s="64">
        <f t="shared" si="45"/>
        <v>0.20833333333333331</v>
      </c>
    </row>
    <row r="352" spans="1:68" ht="37.5" hidden="1" customHeight="1" x14ac:dyDescent="0.25">
      <c r="A352" s="54" t="s">
        <v>568</v>
      </c>
      <c r="B352" s="54" t="s">
        <v>569</v>
      </c>
      <c r="C352" s="31">
        <v>4301011867</v>
      </c>
      <c r="D352" s="560">
        <v>4680115884830</v>
      </c>
      <c r="E352" s="561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3"/>
      <c r="R352" s="563"/>
      <c r="S352" s="563"/>
      <c r="T352" s="564"/>
      <c r="U352" s="34"/>
      <c r="V352" s="34"/>
      <c r="W352" s="35" t="s">
        <v>69</v>
      </c>
      <c r="X352" s="549">
        <v>0</v>
      </c>
      <c r="Y352" s="550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4301011433</v>
      </c>
      <c r="D353" s="560">
        <v>4680115882638</v>
      </c>
      <c r="E353" s="561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112</v>
      </c>
      <c r="L353" s="32"/>
      <c r="M353" s="33" t="s">
        <v>108</v>
      </c>
      <c r="N353" s="33"/>
      <c r="O353" s="32">
        <v>90</v>
      </c>
      <c r="P353" s="7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3"/>
      <c r="R353" s="563"/>
      <c r="S353" s="563"/>
      <c r="T353" s="564"/>
      <c r="U353" s="34"/>
      <c r="V353" s="34"/>
      <c r="W353" s="35" t="s">
        <v>69</v>
      </c>
      <c r="X353" s="549">
        <v>0</v>
      </c>
      <c r="Y353" s="550">
        <f t="shared" si="41"/>
        <v>0</v>
      </c>
      <c r="Z353" s="36" t="str">
        <f>IFERROR(IF(Y353=0,"",ROUNDUP(Y353/H353,0)*0.00902),"")</f>
        <v/>
      </c>
      <c r="AA353" s="56"/>
      <c r="AB353" s="57"/>
      <c r="AC353" s="411" t="s">
        <v>573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574</v>
      </c>
      <c r="B354" s="54" t="s">
        <v>575</v>
      </c>
      <c r="C354" s="31">
        <v>4301011952</v>
      </c>
      <c r="D354" s="560">
        <v>4680115884922</v>
      </c>
      <c r="E354" s="561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112</v>
      </c>
      <c r="L354" s="32"/>
      <c r="M354" s="33" t="s">
        <v>68</v>
      </c>
      <c r="N354" s="33"/>
      <c r="O354" s="32">
        <v>60</v>
      </c>
      <c r="P354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3"/>
      <c r="R354" s="563"/>
      <c r="S354" s="563"/>
      <c r="T354" s="564"/>
      <c r="U354" s="34"/>
      <c r="V354" s="34"/>
      <c r="W354" s="35" t="s">
        <v>69</v>
      </c>
      <c r="X354" s="549">
        <v>0</v>
      </c>
      <c r="Y354" s="550">
        <f t="shared" si="41"/>
        <v>0</v>
      </c>
      <c r="Z354" s="36" t="str">
        <f>IFERROR(IF(Y354=0,"",ROUNDUP(Y354/H354,0)*0.00902),"")</f>
        <v/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37.5" hidden="1" customHeight="1" x14ac:dyDescent="0.25">
      <c r="A355" s="54" t="s">
        <v>576</v>
      </c>
      <c r="B355" s="54" t="s">
        <v>577</v>
      </c>
      <c r="C355" s="31">
        <v>4301011868</v>
      </c>
      <c r="D355" s="560">
        <v>4680115884861</v>
      </c>
      <c r="E355" s="561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112</v>
      </c>
      <c r="L355" s="32" t="s">
        <v>115</v>
      </c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3"/>
      <c r="R355" s="563"/>
      <c r="S355" s="563"/>
      <c r="T355" s="564"/>
      <c r="U355" s="34"/>
      <c r="V355" s="34"/>
      <c r="W355" s="35" t="s">
        <v>69</v>
      </c>
      <c r="X355" s="549">
        <v>0</v>
      </c>
      <c r="Y355" s="550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570</v>
      </c>
      <c r="AG355" s="64"/>
      <c r="AJ355" s="68" t="s">
        <v>92</v>
      </c>
      <c r="AK355" s="68">
        <v>60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x14ac:dyDescent="0.2">
      <c r="A356" s="566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7"/>
      <c r="P356" s="555" t="s">
        <v>75</v>
      </c>
      <c r="Q356" s="556"/>
      <c r="R356" s="556"/>
      <c r="S356" s="556"/>
      <c r="T356" s="556"/>
      <c r="U356" s="556"/>
      <c r="V356" s="557"/>
      <c r="W356" s="37" t="s">
        <v>76</v>
      </c>
      <c r="X356" s="551">
        <f>IFERROR(X349/H349,"0")+IFERROR(X350/H350,"0")+IFERROR(X351/H351,"0")+IFERROR(X352/H352,"0")+IFERROR(X353/H353,"0")+IFERROR(X354/H354,"0")+IFERROR(X355/H355,"0")</f>
        <v>10</v>
      </c>
      <c r="Y356" s="551">
        <f>IFERROR(Y349/H349,"0")+IFERROR(Y350/H350,"0")+IFERROR(Y351/H351,"0")+IFERROR(Y352/H352,"0")+IFERROR(Y353/H353,"0")+IFERROR(Y354/H354,"0")+IFERROR(Y355/H355,"0")</f>
        <v>10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0.21749999999999997</v>
      </c>
      <c r="AA356" s="552"/>
      <c r="AB356" s="552"/>
      <c r="AC356" s="552"/>
    </row>
    <row r="357" spans="1:68" x14ac:dyDescent="0.2">
      <c r="A357" s="559"/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67"/>
      <c r="P357" s="555" t="s">
        <v>75</v>
      </c>
      <c r="Q357" s="556"/>
      <c r="R357" s="556"/>
      <c r="S357" s="556"/>
      <c r="T357" s="556"/>
      <c r="U357" s="556"/>
      <c r="V357" s="557"/>
      <c r="W357" s="37" t="s">
        <v>69</v>
      </c>
      <c r="X357" s="551">
        <f>IFERROR(SUM(X349:X355),"0")</f>
        <v>150</v>
      </c>
      <c r="Y357" s="551">
        <f>IFERROR(SUM(Y349:Y355),"0")</f>
        <v>150</v>
      </c>
      <c r="Z357" s="37"/>
      <c r="AA357" s="552"/>
      <c r="AB357" s="552"/>
      <c r="AC357" s="552"/>
    </row>
    <row r="358" spans="1:68" ht="14.25" hidden="1" customHeight="1" x14ac:dyDescent="0.25">
      <c r="A358" s="558" t="s">
        <v>138</v>
      </c>
      <c r="B358" s="559"/>
      <c r="C358" s="559"/>
      <c r="D358" s="559"/>
      <c r="E358" s="559"/>
      <c r="F358" s="559"/>
      <c r="G358" s="559"/>
      <c r="H358" s="559"/>
      <c r="I358" s="559"/>
      <c r="J358" s="559"/>
      <c r="K358" s="559"/>
      <c r="L358" s="559"/>
      <c r="M358" s="559"/>
      <c r="N358" s="559"/>
      <c r="O358" s="559"/>
      <c r="P358" s="559"/>
      <c r="Q358" s="559"/>
      <c r="R358" s="559"/>
      <c r="S358" s="559"/>
      <c r="T358" s="559"/>
      <c r="U358" s="559"/>
      <c r="V358" s="559"/>
      <c r="W358" s="559"/>
      <c r="X358" s="559"/>
      <c r="Y358" s="559"/>
      <c r="Z358" s="559"/>
      <c r="AA358" s="545"/>
      <c r="AB358" s="545"/>
      <c r="AC358" s="545"/>
    </row>
    <row r="359" spans="1:68" ht="27" customHeight="1" x14ac:dyDescent="0.25">
      <c r="A359" s="54" t="s">
        <v>578</v>
      </c>
      <c r="B359" s="54" t="s">
        <v>579</v>
      </c>
      <c r="C359" s="31">
        <v>4301020178</v>
      </c>
      <c r="D359" s="560">
        <v>4607091383980</v>
      </c>
      <c r="E359" s="561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106</v>
      </c>
      <c r="L359" s="32"/>
      <c r="M359" s="33" t="s">
        <v>108</v>
      </c>
      <c r="N359" s="33"/>
      <c r="O359" s="32">
        <v>50</v>
      </c>
      <c r="P359" s="8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3"/>
      <c r="R359" s="563"/>
      <c r="S359" s="563"/>
      <c r="T359" s="564"/>
      <c r="U359" s="34"/>
      <c r="V359" s="34"/>
      <c r="W359" s="35" t="s">
        <v>69</v>
      </c>
      <c r="X359" s="549">
        <v>400</v>
      </c>
      <c r="Y359" s="550">
        <f>IFERROR(IF(X359="",0,CEILING((X359/$H359),1)*$H359),"")</f>
        <v>405</v>
      </c>
      <c r="Z359" s="36">
        <f>IFERROR(IF(Y359=0,"",ROUNDUP(Y359/H359,0)*0.02175),"")</f>
        <v>0.58724999999999994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412.53333333333336</v>
      </c>
      <c r="BN359" s="64">
        <f>IFERROR(Y359*I359/H359,"0")</f>
        <v>417.69</v>
      </c>
      <c r="BO359" s="64">
        <f>IFERROR(1/J359*(X359/H359),"0")</f>
        <v>0.55555555555555558</v>
      </c>
      <c r="BP359" s="64">
        <f>IFERROR(1/J359*(Y359/H359),"0")</f>
        <v>0.5625</v>
      </c>
    </row>
    <row r="360" spans="1:68" ht="27" hidden="1" customHeight="1" x14ac:dyDescent="0.25">
      <c r="A360" s="54" t="s">
        <v>581</v>
      </c>
      <c r="B360" s="54" t="s">
        <v>582</v>
      </c>
      <c r="C360" s="31">
        <v>4301020179</v>
      </c>
      <c r="D360" s="560">
        <v>4607091384178</v>
      </c>
      <c r="E360" s="561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112</v>
      </c>
      <c r="L360" s="32"/>
      <c r="M360" s="33" t="s">
        <v>108</v>
      </c>
      <c r="N360" s="33"/>
      <c r="O360" s="32">
        <v>50</v>
      </c>
      <c r="P360" s="8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3"/>
      <c r="R360" s="563"/>
      <c r="S360" s="563"/>
      <c r="T360" s="564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583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6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7"/>
      <c r="P361" s="555" t="s">
        <v>75</v>
      </c>
      <c r="Q361" s="556"/>
      <c r="R361" s="556"/>
      <c r="S361" s="556"/>
      <c r="T361" s="556"/>
      <c r="U361" s="556"/>
      <c r="V361" s="557"/>
      <c r="W361" s="37" t="s">
        <v>76</v>
      </c>
      <c r="X361" s="551">
        <f>IFERROR(X359/H359,"0")+IFERROR(X360/H360,"0")</f>
        <v>26.666666666666668</v>
      </c>
      <c r="Y361" s="551">
        <f>IFERROR(Y359/H359,"0")+IFERROR(Y360/H360,"0")</f>
        <v>27</v>
      </c>
      <c r="Z361" s="551">
        <f>IFERROR(IF(Z359="",0,Z359),"0")+IFERROR(IF(Z360="",0,Z360),"0")</f>
        <v>0.58724999999999994</v>
      </c>
      <c r="AA361" s="552"/>
      <c r="AB361" s="552"/>
      <c r="AC361" s="552"/>
    </row>
    <row r="362" spans="1:68" x14ac:dyDescent="0.2">
      <c r="A362" s="559"/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67"/>
      <c r="P362" s="555" t="s">
        <v>75</v>
      </c>
      <c r="Q362" s="556"/>
      <c r="R362" s="556"/>
      <c r="S362" s="556"/>
      <c r="T362" s="556"/>
      <c r="U362" s="556"/>
      <c r="V362" s="557"/>
      <c r="W362" s="37" t="s">
        <v>69</v>
      </c>
      <c r="X362" s="551">
        <f>IFERROR(SUM(X359:X360),"0")</f>
        <v>400</v>
      </c>
      <c r="Y362" s="551">
        <f>IFERROR(SUM(Y359:Y360),"0")</f>
        <v>405</v>
      </c>
      <c r="Z362" s="37"/>
      <c r="AA362" s="552"/>
      <c r="AB362" s="552"/>
      <c r="AC362" s="552"/>
    </row>
    <row r="363" spans="1:68" ht="14.25" hidden="1" customHeight="1" x14ac:dyDescent="0.25">
      <c r="A363" s="558" t="s">
        <v>77</v>
      </c>
      <c r="B363" s="559"/>
      <c r="C363" s="559"/>
      <c r="D363" s="559"/>
      <c r="E363" s="559"/>
      <c r="F363" s="559"/>
      <c r="G363" s="559"/>
      <c r="H363" s="559"/>
      <c r="I363" s="559"/>
      <c r="J363" s="559"/>
      <c r="K363" s="559"/>
      <c r="L363" s="559"/>
      <c r="M363" s="559"/>
      <c r="N363" s="559"/>
      <c r="O363" s="559"/>
      <c r="P363" s="559"/>
      <c r="Q363" s="559"/>
      <c r="R363" s="559"/>
      <c r="S363" s="559"/>
      <c r="T363" s="559"/>
      <c r="U363" s="559"/>
      <c r="V363" s="559"/>
      <c r="W363" s="559"/>
      <c r="X363" s="559"/>
      <c r="Y363" s="559"/>
      <c r="Z363" s="559"/>
      <c r="AA363" s="545"/>
      <c r="AB363" s="545"/>
      <c r="AC363" s="545"/>
    </row>
    <row r="364" spans="1:68" ht="27" hidden="1" customHeight="1" x14ac:dyDescent="0.25">
      <c r="A364" s="54" t="s">
        <v>584</v>
      </c>
      <c r="B364" s="54" t="s">
        <v>585</v>
      </c>
      <c r="C364" s="31">
        <v>4301051903</v>
      </c>
      <c r="D364" s="560">
        <v>4607091383928</v>
      </c>
      <c r="E364" s="561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106</v>
      </c>
      <c r="L364" s="32" t="s">
        <v>107</v>
      </c>
      <c r="M364" s="33" t="s">
        <v>80</v>
      </c>
      <c r="N364" s="33"/>
      <c r="O364" s="32">
        <v>40</v>
      </c>
      <c r="P364" s="8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3"/>
      <c r="R364" s="563"/>
      <c r="S364" s="563"/>
      <c r="T364" s="564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586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4301051897</v>
      </c>
      <c r="D365" s="560">
        <v>4607091384260</v>
      </c>
      <c r="E365" s="561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106</v>
      </c>
      <c r="L365" s="32" t="s">
        <v>107</v>
      </c>
      <c r="M365" s="33" t="s">
        <v>80</v>
      </c>
      <c r="N365" s="33"/>
      <c r="O365" s="32">
        <v>40</v>
      </c>
      <c r="P365" s="8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3"/>
      <c r="R365" s="563"/>
      <c r="S365" s="563"/>
      <c r="T365" s="564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589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6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7"/>
      <c r="P366" s="555" t="s">
        <v>75</v>
      </c>
      <c r="Q366" s="556"/>
      <c r="R366" s="556"/>
      <c r="S366" s="556"/>
      <c r="T366" s="556"/>
      <c r="U366" s="556"/>
      <c r="V366" s="557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59"/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67"/>
      <c r="P367" s="555" t="s">
        <v>75</v>
      </c>
      <c r="Q367" s="556"/>
      <c r="R367" s="556"/>
      <c r="S367" s="556"/>
      <c r="T367" s="556"/>
      <c r="U367" s="556"/>
      <c r="V367" s="557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58" t="s">
        <v>163</v>
      </c>
      <c r="B368" s="559"/>
      <c r="C368" s="559"/>
      <c r="D368" s="559"/>
      <c r="E368" s="559"/>
      <c r="F368" s="559"/>
      <c r="G368" s="559"/>
      <c r="H368" s="559"/>
      <c r="I368" s="559"/>
      <c r="J368" s="559"/>
      <c r="K368" s="559"/>
      <c r="L368" s="559"/>
      <c r="M368" s="559"/>
      <c r="N368" s="559"/>
      <c r="O368" s="559"/>
      <c r="P368" s="559"/>
      <c r="Q368" s="559"/>
      <c r="R368" s="559"/>
      <c r="S368" s="559"/>
      <c r="T368" s="559"/>
      <c r="U368" s="559"/>
      <c r="V368" s="559"/>
      <c r="W368" s="559"/>
      <c r="X368" s="559"/>
      <c r="Y368" s="559"/>
      <c r="Z368" s="559"/>
      <c r="AA368" s="545"/>
      <c r="AB368" s="545"/>
      <c r="AC368" s="545"/>
    </row>
    <row r="369" spans="1:68" ht="16.5" hidden="1" customHeight="1" x14ac:dyDescent="0.25">
      <c r="A369" s="54" t="s">
        <v>590</v>
      </c>
      <c r="B369" s="54" t="s">
        <v>591</v>
      </c>
      <c r="C369" s="31">
        <v>4301060524</v>
      </c>
      <c r="D369" s="560">
        <v>4607091384673</v>
      </c>
      <c r="E369" s="561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106</v>
      </c>
      <c r="L369" s="32"/>
      <c r="M369" s="33" t="s">
        <v>80</v>
      </c>
      <c r="N369" s="33"/>
      <c r="O369" s="32">
        <v>40</v>
      </c>
      <c r="P369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3"/>
      <c r="R369" s="563"/>
      <c r="S369" s="563"/>
      <c r="T369" s="564"/>
      <c r="U369" s="34"/>
      <c r="V369" s="34"/>
      <c r="W369" s="35" t="s">
        <v>69</v>
      </c>
      <c r="X369" s="549">
        <v>0</v>
      </c>
      <c r="Y369" s="550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592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66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7"/>
      <c r="P370" s="555" t="s">
        <v>75</v>
      </c>
      <c r="Q370" s="556"/>
      <c r="R370" s="556"/>
      <c r="S370" s="556"/>
      <c r="T370" s="556"/>
      <c r="U370" s="556"/>
      <c r="V370" s="557"/>
      <c r="W370" s="37" t="s">
        <v>76</v>
      </c>
      <c r="X370" s="551">
        <f>IFERROR(X369/H369,"0")</f>
        <v>0</v>
      </c>
      <c r="Y370" s="551">
        <f>IFERROR(Y369/H369,"0")</f>
        <v>0</v>
      </c>
      <c r="Z370" s="551">
        <f>IFERROR(IF(Z369="",0,Z369),"0")</f>
        <v>0</v>
      </c>
      <c r="AA370" s="552"/>
      <c r="AB370" s="552"/>
      <c r="AC370" s="552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67"/>
      <c r="P371" s="555" t="s">
        <v>75</v>
      </c>
      <c r="Q371" s="556"/>
      <c r="R371" s="556"/>
      <c r="S371" s="556"/>
      <c r="T371" s="556"/>
      <c r="U371" s="556"/>
      <c r="V371" s="557"/>
      <c r="W371" s="37" t="s">
        <v>69</v>
      </c>
      <c r="X371" s="551">
        <f>IFERROR(SUM(X369:X369),"0")</f>
        <v>0</v>
      </c>
      <c r="Y371" s="551">
        <f>IFERROR(SUM(Y369:Y369),"0")</f>
        <v>0</v>
      </c>
      <c r="Z371" s="37"/>
      <c r="AA371" s="552"/>
      <c r="AB371" s="552"/>
      <c r="AC371" s="552"/>
    </row>
    <row r="372" spans="1:68" ht="16.5" hidden="1" customHeight="1" x14ac:dyDescent="0.25">
      <c r="A372" s="599" t="s">
        <v>593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4"/>
      <c r="AB372" s="544"/>
      <c r="AC372" s="544"/>
    </row>
    <row r="373" spans="1:68" ht="14.25" hidden="1" customHeight="1" x14ac:dyDescent="0.25">
      <c r="A373" s="558" t="s">
        <v>103</v>
      </c>
      <c r="B373" s="559"/>
      <c r="C373" s="559"/>
      <c r="D373" s="559"/>
      <c r="E373" s="559"/>
      <c r="F373" s="559"/>
      <c r="G373" s="559"/>
      <c r="H373" s="559"/>
      <c r="I373" s="559"/>
      <c r="J373" s="559"/>
      <c r="K373" s="559"/>
      <c r="L373" s="559"/>
      <c r="M373" s="559"/>
      <c r="N373" s="559"/>
      <c r="O373" s="559"/>
      <c r="P373" s="559"/>
      <c r="Q373" s="559"/>
      <c r="R373" s="559"/>
      <c r="S373" s="559"/>
      <c r="T373" s="559"/>
      <c r="U373" s="559"/>
      <c r="V373" s="559"/>
      <c r="W373" s="559"/>
      <c r="X373" s="559"/>
      <c r="Y373" s="559"/>
      <c r="Z373" s="559"/>
      <c r="AA373" s="545"/>
      <c r="AB373" s="545"/>
      <c r="AC373" s="545"/>
    </row>
    <row r="374" spans="1:68" ht="37.5" hidden="1" customHeight="1" x14ac:dyDescent="0.25">
      <c r="A374" s="54" t="s">
        <v>594</v>
      </c>
      <c r="B374" s="54" t="s">
        <v>595</v>
      </c>
      <c r="C374" s="31">
        <v>4301011875</v>
      </c>
      <c r="D374" s="560">
        <v>4680115884885</v>
      </c>
      <c r="E374" s="561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106</v>
      </c>
      <c r="L374" s="32" t="s">
        <v>107</v>
      </c>
      <c r="M374" s="33" t="s">
        <v>68</v>
      </c>
      <c r="N374" s="33"/>
      <c r="O374" s="32">
        <v>60</v>
      </c>
      <c r="P374" s="73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3"/>
      <c r="R374" s="563"/>
      <c r="S374" s="563"/>
      <c r="T374" s="564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596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597</v>
      </c>
      <c r="B375" s="54" t="s">
        <v>598</v>
      </c>
      <c r="C375" s="31">
        <v>4301011871</v>
      </c>
      <c r="D375" s="560">
        <v>4680115884908</v>
      </c>
      <c r="E375" s="561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112</v>
      </c>
      <c r="L375" s="32" t="s">
        <v>115</v>
      </c>
      <c r="M375" s="33" t="s">
        <v>68</v>
      </c>
      <c r="N375" s="33"/>
      <c r="O375" s="32">
        <v>60</v>
      </c>
      <c r="P375" s="74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3"/>
      <c r="R375" s="563"/>
      <c r="S375" s="563"/>
      <c r="T375" s="564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596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6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7"/>
      <c r="P376" s="555" t="s">
        <v>75</v>
      </c>
      <c r="Q376" s="556"/>
      <c r="R376" s="556"/>
      <c r="S376" s="556"/>
      <c r="T376" s="556"/>
      <c r="U376" s="556"/>
      <c r="V376" s="557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59"/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67"/>
      <c r="P377" s="555" t="s">
        <v>75</v>
      </c>
      <c r="Q377" s="556"/>
      <c r="R377" s="556"/>
      <c r="S377" s="556"/>
      <c r="T377" s="556"/>
      <c r="U377" s="556"/>
      <c r="V377" s="557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58" t="s">
        <v>64</v>
      </c>
      <c r="B378" s="559"/>
      <c r="C378" s="559"/>
      <c r="D378" s="559"/>
      <c r="E378" s="559"/>
      <c r="F378" s="559"/>
      <c r="G378" s="559"/>
      <c r="H378" s="559"/>
      <c r="I378" s="559"/>
      <c r="J378" s="559"/>
      <c r="K378" s="559"/>
      <c r="L378" s="559"/>
      <c r="M378" s="559"/>
      <c r="N378" s="559"/>
      <c r="O378" s="559"/>
      <c r="P378" s="559"/>
      <c r="Q378" s="559"/>
      <c r="R378" s="559"/>
      <c r="S378" s="559"/>
      <c r="T378" s="559"/>
      <c r="U378" s="559"/>
      <c r="V378" s="559"/>
      <c r="W378" s="559"/>
      <c r="X378" s="559"/>
      <c r="Y378" s="559"/>
      <c r="Z378" s="559"/>
      <c r="AA378" s="545"/>
      <c r="AB378" s="545"/>
      <c r="AC378" s="545"/>
    </row>
    <row r="379" spans="1:68" ht="27" hidden="1" customHeight="1" x14ac:dyDescent="0.25">
      <c r="A379" s="54" t="s">
        <v>599</v>
      </c>
      <c r="B379" s="54" t="s">
        <v>600</v>
      </c>
      <c r="C379" s="31">
        <v>4301031457</v>
      </c>
      <c r="D379" s="560">
        <v>4607091384802</v>
      </c>
      <c r="E379" s="561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112</v>
      </c>
      <c r="L379" s="32"/>
      <c r="M379" s="33" t="s">
        <v>68</v>
      </c>
      <c r="N379" s="33"/>
      <c r="O379" s="32">
        <v>50</v>
      </c>
      <c r="P379" s="59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3"/>
      <c r="R379" s="563"/>
      <c r="S379" s="563"/>
      <c r="T379" s="564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601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599</v>
      </c>
      <c r="B380" s="54" t="s">
        <v>602</v>
      </c>
      <c r="C380" s="31">
        <v>4301031303</v>
      </c>
      <c r="D380" s="560">
        <v>4607091384802</v>
      </c>
      <c r="E380" s="561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112</v>
      </c>
      <c r="L380" s="32" t="s">
        <v>115</v>
      </c>
      <c r="M380" s="33" t="s">
        <v>68</v>
      </c>
      <c r="N380" s="33"/>
      <c r="O380" s="32">
        <v>35</v>
      </c>
      <c r="P380" s="75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3"/>
      <c r="R380" s="563"/>
      <c r="S380" s="563"/>
      <c r="T380" s="564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 t="s">
        <v>92</v>
      </c>
      <c r="AK380" s="68">
        <v>52.56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6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7"/>
      <c r="P381" s="555" t="s">
        <v>75</v>
      </c>
      <c r="Q381" s="556"/>
      <c r="R381" s="556"/>
      <c r="S381" s="556"/>
      <c r="T381" s="556"/>
      <c r="U381" s="556"/>
      <c r="V381" s="557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67"/>
      <c r="P382" s="555" t="s">
        <v>75</v>
      </c>
      <c r="Q382" s="556"/>
      <c r="R382" s="556"/>
      <c r="S382" s="556"/>
      <c r="T382" s="556"/>
      <c r="U382" s="556"/>
      <c r="V382" s="557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58" t="s">
        <v>77</v>
      </c>
      <c r="B383" s="559"/>
      <c r="C383" s="559"/>
      <c r="D383" s="559"/>
      <c r="E383" s="559"/>
      <c r="F383" s="559"/>
      <c r="G383" s="559"/>
      <c r="H383" s="559"/>
      <c r="I383" s="559"/>
      <c r="J383" s="559"/>
      <c r="K383" s="559"/>
      <c r="L383" s="559"/>
      <c r="M383" s="559"/>
      <c r="N383" s="559"/>
      <c r="O383" s="559"/>
      <c r="P383" s="559"/>
      <c r="Q383" s="559"/>
      <c r="R383" s="559"/>
      <c r="S383" s="559"/>
      <c r="T383" s="559"/>
      <c r="U383" s="559"/>
      <c r="V383" s="559"/>
      <c r="W383" s="559"/>
      <c r="X383" s="559"/>
      <c r="Y383" s="559"/>
      <c r="Z383" s="559"/>
      <c r="AA383" s="545"/>
      <c r="AB383" s="545"/>
      <c r="AC383" s="545"/>
    </row>
    <row r="384" spans="1:68" ht="27" customHeight="1" x14ac:dyDescent="0.25">
      <c r="A384" s="54" t="s">
        <v>604</v>
      </c>
      <c r="B384" s="54" t="s">
        <v>605</v>
      </c>
      <c r="C384" s="31">
        <v>4301051899</v>
      </c>
      <c r="D384" s="560">
        <v>4607091384246</v>
      </c>
      <c r="E384" s="561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106</v>
      </c>
      <c r="L384" s="32" t="s">
        <v>107</v>
      </c>
      <c r="M384" s="33" t="s">
        <v>80</v>
      </c>
      <c r="N384" s="33"/>
      <c r="O384" s="32">
        <v>40</v>
      </c>
      <c r="P384" s="6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3"/>
      <c r="R384" s="563"/>
      <c r="S384" s="563"/>
      <c r="T384" s="564"/>
      <c r="U384" s="34"/>
      <c r="V384" s="34"/>
      <c r="W384" s="35" t="s">
        <v>69</v>
      </c>
      <c r="X384" s="549">
        <v>400</v>
      </c>
      <c r="Y384" s="550">
        <f>IFERROR(IF(X384="",0,CEILING((X384/$H384),1)*$H384),"")</f>
        <v>405</v>
      </c>
      <c r="Z384" s="36">
        <f>IFERROR(IF(Y384=0,"",ROUNDUP(Y384/H384,0)*0.01898),"")</f>
        <v>0.85409999999999997</v>
      </c>
      <c r="AA384" s="56"/>
      <c r="AB384" s="57"/>
      <c r="AC384" s="435" t="s">
        <v>606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421.95555555555552</v>
      </c>
      <c r="BN384" s="64">
        <f>IFERROR(Y384*I384/H384,"0")</f>
        <v>427.22999999999996</v>
      </c>
      <c r="BO384" s="64">
        <f>IFERROR(1/J384*(X384/H384),"0")</f>
        <v>0.69444444444444442</v>
      </c>
      <c r="BP384" s="64">
        <f>IFERROR(1/J384*(Y384/H384),"0")</f>
        <v>0.703125</v>
      </c>
    </row>
    <row r="385" spans="1:68" ht="27" hidden="1" customHeight="1" x14ac:dyDescent="0.25">
      <c r="A385" s="54" t="s">
        <v>607</v>
      </c>
      <c r="B385" s="54" t="s">
        <v>608</v>
      </c>
      <c r="C385" s="31">
        <v>4301051660</v>
      </c>
      <c r="D385" s="560">
        <v>4607091384253</v>
      </c>
      <c r="E385" s="561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63"/>
      <c r="R385" s="563"/>
      <c r="S385" s="563"/>
      <c r="T385" s="564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606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607</v>
      </c>
      <c r="B386" s="54" t="s">
        <v>609</v>
      </c>
      <c r="C386" s="31">
        <v>4301052069</v>
      </c>
      <c r="D386" s="560">
        <v>4607091384253</v>
      </c>
      <c r="E386" s="561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76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63"/>
      <c r="R386" s="563"/>
      <c r="S386" s="563"/>
      <c r="T386" s="564"/>
      <c r="U386" s="34"/>
      <c r="V386" s="34"/>
      <c r="W386" s="35" t="s">
        <v>69</v>
      </c>
      <c r="X386" s="549">
        <v>0</v>
      </c>
      <c r="Y386" s="550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610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6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7"/>
      <c r="P387" s="555" t="s">
        <v>75</v>
      </c>
      <c r="Q387" s="556"/>
      <c r="R387" s="556"/>
      <c r="S387" s="556"/>
      <c r="T387" s="556"/>
      <c r="U387" s="556"/>
      <c r="V387" s="557"/>
      <c r="W387" s="37" t="s">
        <v>76</v>
      </c>
      <c r="X387" s="551">
        <f>IFERROR(X384/H384,"0")+IFERROR(X385/H385,"0")+IFERROR(X386/H386,"0")</f>
        <v>44.444444444444443</v>
      </c>
      <c r="Y387" s="551">
        <f>IFERROR(Y384/H384,"0")+IFERROR(Y385/H385,"0")+IFERROR(Y386/H386,"0")</f>
        <v>45</v>
      </c>
      <c r="Z387" s="551">
        <f>IFERROR(IF(Z384="",0,Z384),"0")+IFERROR(IF(Z385="",0,Z385),"0")+IFERROR(IF(Z386="",0,Z386),"0")</f>
        <v>0.85409999999999997</v>
      </c>
      <c r="AA387" s="552"/>
      <c r="AB387" s="552"/>
      <c r="AC387" s="552"/>
    </row>
    <row r="388" spans="1:68" x14ac:dyDescent="0.2">
      <c r="A388" s="559"/>
      <c r="B388" s="559"/>
      <c r="C388" s="559"/>
      <c r="D388" s="559"/>
      <c r="E388" s="559"/>
      <c r="F388" s="559"/>
      <c r="G388" s="559"/>
      <c r="H388" s="559"/>
      <c r="I388" s="559"/>
      <c r="J388" s="559"/>
      <c r="K388" s="559"/>
      <c r="L388" s="559"/>
      <c r="M388" s="559"/>
      <c r="N388" s="559"/>
      <c r="O388" s="567"/>
      <c r="P388" s="555" t="s">
        <v>75</v>
      </c>
      <c r="Q388" s="556"/>
      <c r="R388" s="556"/>
      <c r="S388" s="556"/>
      <c r="T388" s="556"/>
      <c r="U388" s="556"/>
      <c r="V388" s="557"/>
      <c r="W388" s="37" t="s">
        <v>69</v>
      </c>
      <c r="X388" s="551">
        <f>IFERROR(SUM(X384:X386),"0")</f>
        <v>400</v>
      </c>
      <c r="Y388" s="551">
        <f>IFERROR(SUM(Y384:Y386),"0")</f>
        <v>405</v>
      </c>
      <c r="Z388" s="37"/>
      <c r="AA388" s="552"/>
      <c r="AB388" s="552"/>
      <c r="AC388" s="552"/>
    </row>
    <row r="389" spans="1:68" ht="27.75" hidden="1" customHeight="1" x14ac:dyDescent="0.2">
      <c r="A389" s="690" t="s">
        <v>611</v>
      </c>
      <c r="B389" s="691"/>
      <c r="C389" s="691"/>
      <c r="D389" s="691"/>
      <c r="E389" s="691"/>
      <c r="F389" s="691"/>
      <c r="G389" s="691"/>
      <c r="H389" s="691"/>
      <c r="I389" s="691"/>
      <c r="J389" s="691"/>
      <c r="K389" s="691"/>
      <c r="L389" s="691"/>
      <c r="M389" s="691"/>
      <c r="N389" s="691"/>
      <c r="O389" s="691"/>
      <c r="P389" s="691"/>
      <c r="Q389" s="691"/>
      <c r="R389" s="691"/>
      <c r="S389" s="691"/>
      <c r="T389" s="691"/>
      <c r="U389" s="691"/>
      <c r="V389" s="691"/>
      <c r="W389" s="691"/>
      <c r="X389" s="691"/>
      <c r="Y389" s="691"/>
      <c r="Z389" s="691"/>
      <c r="AA389" s="48"/>
      <c r="AB389" s="48"/>
      <c r="AC389" s="48"/>
    </row>
    <row r="390" spans="1:68" ht="16.5" hidden="1" customHeight="1" x14ac:dyDescent="0.25">
      <c r="A390" s="599" t="s">
        <v>612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4"/>
      <c r="AB390" s="544"/>
      <c r="AC390" s="544"/>
    </row>
    <row r="391" spans="1:68" ht="14.25" hidden="1" customHeight="1" x14ac:dyDescent="0.25">
      <c r="A391" s="558" t="s">
        <v>64</v>
      </c>
      <c r="B391" s="559"/>
      <c r="C391" s="559"/>
      <c r="D391" s="559"/>
      <c r="E391" s="559"/>
      <c r="F391" s="559"/>
      <c r="G391" s="559"/>
      <c r="H391" s="559"/>
      <c r="I391" s="559"/>
      <c r="J391" s="559"/>
      <c r="K391" s="559"/>
      <c r="L391" s="559"/>
      <c r="M391" s="559"/>
      <c r="N391" s="559"/>
      <c r="O391" s="559"/>
      <c r="P391" s="559"/>
      <c r="Q391" s="559"/>
      <c r="R391" s="559"/>
      <c r="S391" s="559"/>
      <c r="T391" s="559"/>
      <c r="U391" s="559"/>
      <c r="V391" s="559"/>
      <c r="W391" s="559"/>
      <c r="X391" s="559"/>
      <c r="Y391" s="559"/>
      <c r="Z391" s="559"/>
      <c r="AA391" s="545"/>
      <c r="AB391" s="545"/>
      <c r="AC391" s="545"/>
    </row>
    <row r="392" spans="1:68" ht="27" customHeight="1" x14ac:dyDescent="0.25">
      <c r="A392" s="54" t="s">
        <v>613</v>
      </c>
      <c r="B392" s="54" t="s">
        <v>614</v>
      </c>
      <c r="C392" s="31">
        <v>4301031405</v>
      </c>
      <c r="D392" s="560">
        <v>4680115886100</v>
      </c>
      <c r="E392" s="561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112</v>
      </c>
      <c r="L392" s="32" t="s">
        <v>115</v>
      </c>
      <c r="M392" s="33" t="s">
        <v>68</v>
      </c>
      <c r="N392" s="33"/>
      <c r="O392" s="32">
        <v>50</v>
      </c>
      <c r="P392" s="59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3"/>
      <c r="R392" s="563"/>
      <c r="S392" s="563"/>
      <c r="T392" s="564"/>
      <c r="U392" s="34"/>
      <c r="V392" s="34"/>
      <c r="W392" s="35" t="s">
        <v>69</v>
      </c>
      <c r="X392" s="549">
        <v>8</v>
      </c>
      <c r="Y392" s="550">
        <f t="shared" ref="Y392:Y400" si="46">IFERROR(IF(X392="",0,CEILING((X392/$H392),1)*$H392),"")</f>
        <v>10.8</v>
      </c>
      <c r="Z392" s="36">
        <f>IFERROR(IF(Y392=0,"",ROUNDUP(Y392/H392,0)*0.00902),"")</f>
        <v>1.804E-2</v>
      </c>
      <c r="AA392" s="56"/>
      <c r="AB392" s="57"/>
      <c r="AC392" s="441" t="s">
        <v>615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7">IFERROR(X392*I392/H392,"0")</f>
        <v>8.2814814814814799</v>
      </c>
      <c r="BN392" s="64">
        <f t="shared" ref="BN392:BN400" si="48">IFERROR(Y392*I392/H392,"0")</f>
        <v>11.18</v>
      </c>
      <c r="BO392" s="64">
        <f t="shared" ref="BO392:BO400" si="49">IFERROR(1/J392*(X392/H392),"0")</f>
        <v>1.1223344556677889E-2</v>
      </c>
      <c r="BP392" s="64">
        <f t="shared" ref="BP392:BP400" si="50">IFERROR(1/J392*(Y392/H392),"0")</f>
        <v>1.5151515151515152E-2</v>
      </c>
    </row>
    <row r="393" spans="1:68" ht="27" customHeight="1" x14ac:dyDescent="0.25">
      <c r="A393" s="54" t="s">
        <v>616</v>
      </c>
      <c r="B393" s="54" t="s">
        <v>617</v>
      </c>
      <c r="C393" s="31">
        <v>4301031406</v>
      </c>
      <c r="D393" s="560">
        <v>4680115886117</v>
      </c>
      <c r="E393" s="561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112</v>
      </c>
      <c r="L393" s="32"/>
      <c r="M393" s="33" t="s">
        <v>68</v>
      </c>
      <c r="N393" s="33"/>
      <c r="O393" s="32">
        <v>50</v>
      </c>
      <c r="P393" s="6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3"/>
      <c r="R393" s="563"/>
      <c r="S393" s="563"/>
      <c r="T393" s="564"/>
      <c r="U393" s="34"/>
      <c r="V393" s="34"/>
      <c r="W393" s="35" t="s">
        <v>69</v>
      </c>
      <c r="X393" s="549">
        <v>8</v>
      </c>
      <c r="Y393" s="550">
        <f t="shared" si="46"/>
        <v>10.8</v>
      </c>
      <c r="Z393" s="36">
        <f>IFERROR(IF(Y393=0,"",ROUNDUP(Y393/H393,0)*0.00902),"")</f>
        <v>1.804E-2</v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7"/>
        <v>8.2814814814814799</v>
      </c>
      <c r="BN393" s="64">
        <f t="shared" si="48"/>
        <v>11.18</v>
      </c>
      <c r="BO393" s="64">
        <f t="shared" si="49"/>
        <v>1.1223344556677889E-2</v>
      </c>
      <c r="BP393" s="64">
        <f t="shared" si="50"/>
        <v>1.5151515151515152E-2</v>
      </c>
    </row>
    <row r="394" spans="1:68" ht="27" customHeight="1" x14ac:dyDescent="0.25">
      <c r="A394" s="54" t="s">
        <v>619</v>
      </c>
      <c r="B394" s="54" t="s">
        <v>620</v>
      </c>
      <c r="C394" s="31">
        <v>4301031402</v>
      </c>
      <c r="D394" s="560">
        <v>4680115886124</v>
      </c>
      <c r="E394" s="561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3"/>
      <c r="R394" s="563"/>
      <c r="S394" s="563"/>
      <c r="T394" s="564"/>
      <c r="U394" s="34"/>
      <c r="V394" s="34"/>
      <c r="W394" s="35" t="s">
        <v>69</v>
      </c>
      <c r="X394" s="549">
        <v>8</v>
      </c>
      <c r="Y394" s="550">
        <f t="shared" si="46"/>
        <v>10.8</v>
      </c>
      <c r="Z394" s="36">
        <f>IFERROR(IF(Y394=0,"",ROUNDUP(Y394/H394,0)*0.00902),"")</f>
        <v>1.804E-2</v>
      </c>
      <c r="AA394" s="56"/>
      <c r="AB394" s="57"/>
      <c r="AC394" s="445" t="s">
        <v>621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7"/>
        <v>8.2814814814814799</v>
      </c>
      <c r="BN394" s="64">
        <f t="shared" si="48"/>
        <v>11.18</v>
      </c>
      <c r="BO394" s="64">
        <f t="shared" si="49"/>
        <v>1.1223344556677889E-2</v>
      </c>
      <c r="BP394" s="64">
        <f t="shared" si="50"/>
        <v>1.5151515151515152E-2</v>
      </c>
    </row>
    <row r="395" spans="1:68" ht="27" hidden="1" customHeight="1" x14ac:dyDescent="0.25">
      <c r="A395" s="54" t="s">
        <v>622</v>
      </c>
      <c r="B395" s="54" t="s">
        <v>623</v>
      </c>
      <c r="C395" s="31">
        <v>4301031366</v>
      </c>
      <c r="D395" s="560">
        <v>4680115883147</v>
      </c>
      <c r="E395" s="561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3"/>
      <c r="R395" s="563"/>
      <c r="S395" s="563"/>
      <c r="T395" s="564"/>
      <c r="U395" s="34"/>
      <c r="V395" s="34"/>
      <c r="W395" s="35" t="s">
        <v>69</v>
      </c>
      <c r="X395" s="549">
        <v>0</v>
      </c>
      <c r="Y395" s="550">
        <f t="shared" si="46"/>
        <v>0</v>
      </c>
      <c r="Z395" s="36" t="str">
        <f t="shared" ref="Z395:Z400" si="51">IFERROR(IF(Y395=0,"",ROUNDUP(Y395/H395,0)*0.00502),"")</f>
        <v/>
      </c>
      <c r="AA395" s="56"/>
      <c r="AB395" s="57"/>
      <c r="AC395" s="447" t="s">
        <v>615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4301031362</v>
      </c>
      <c r="D396" s="560">
        <v>4607091384338</v>
      </c>
      <c r="E396" s="561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3"/>
      <c r="R396" s="563"/>
      <c r="S396" s="563"/>
      <c r="T396" s="564"/>
      <c r="U396" s="34"/>
      <c r="V396" s="34"/>
      <c r="W396" s="35" t="s">
        <v>69</v>
      </c>
      <c r="X396" s="549">
        <v>0</v>
      </c>
      <c r="Y396" s="550">
        <f t="shared" si="46"/>
        <v>0</v>
      </c>
      <c r="Z396" s="36" t="str">
        <f t="shared" si="51"/>
        <v/>
      </c>
      <c r="AA396" s="56"/>
      <c r="AB396" s="57"/>
      <c r="AC396" s="449" t="s">
        <v>615</v>
      </c>
      <c r="AG396" s="64"/>
      <c r="AJ396" s="68"/>
      <c r="AK396" s="68">
        <v>0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37.5" hidden="1" customHeight="1" x14ac:dyDescent="0.25">
      <c r="A397" s="54" t="s">
        <v>626</v>
      </c>
      <c r="B397" s="54" t="s">
        <v>627</v>
      </c>
      <c r="C397" s="31">
        <v>4301031361</v>
      </c>
      <c r="D397" s="560">
        <v>4607091389524</v>
      </c>
      <c r="E397" s="561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3"/>
      <c r="R397" s="563"/>
      <c r="S397" s="563"/>
      <c r="T397" s="564"/>
      <c r="U397" s="34"/>
      <c r="V397" s="34"/>
      <c r="W397" s="35" t="s">
        <v>69</v>
      </c>
      <c r="X397" s="549">
        <v>0</v>
      </c>
      <c r="Y397" s="550">
        <f t="shared" si="46"/>
        <v>0</v>
      </c>
      <c r="Z397" s="36" t="str">
        <f t="shared" si="51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4301031364</v>
      </c>
      <c r="D398" s="560">
        <v>4680115883161</v>
      </c>
      <c r="E398" s="561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3"/>
      <c r="R398" s="563"/>
      <c r="S398" s="563"/>
      <c r="T398" s="564"/>
      <c r="U398" s="34"/>
      <c r="V398" s="34"/>
      <c r="W398" s="35" t="s">
        <v>69</v>
      </c>
      <c r="X398" s="549">
        <v>0</v>
      </c>
      <c r="Y398" s="550">
        <f t="shared" si="46"/>
        <v>0</v>
      </c>
      <c r="Z398" s="36" t="str">
        <f t="shared" si="51"/>
        <v/>
      </c>
      <c r="AA398" s="56"/>
      <c r="AB398" s="57"/>
      <c r="AC398" s="453" t="s">
        <v>631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27" hidden="1" customHeight="1" x14ac:dyDescent="0.25">
      <c r="A399" s="54" t="s">
        <v>632</v>
      </c>
      <c r="B399" s="54" t="s">
        <v>633</v>
      </c>
      <c r="C399" s="31">
        <v>4301031358</v>
      </c>
      <c r="D399" s="560">
        <v>4607091389531</v>
      </c>
      <c r="E399" s="561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3"/>
      <c r="R399" s="563"/>
      <c r="S399" s="563"/>
      <c r="T399" s="564"/>
      <c r="U399" s="34"/>
      <c r="V399" s="34"/>
      <c r="W399" s="35" t="s">
        <v>69</v>
      </c>
      <c r="X399" s="549">
        <v>0</v>
      </c>
      <c r="Y399" s="550">
        <f t="shared" si="46"/>
        <v>0</v>
      </c>
      <c r="Z399" s="36" t="str">
        <f t="shared" si="51"/>
        <v/>
      </c>
      <c r="AA399" s="56"/>
      <c r="AB399" s="57"/>
      <c r="AC399" s="455" t="s">
        <v>634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37.5" hidden="1" customHeight="1" x14ac:dyDescent="0.25">
      <c r="A400" s="54" t="s">
        <v>635</v>
      </c>
      <c r="B400" s="54" t="s">
        <v>636</v>
      </c>
      <c r="C400" s="31">
        <v>4301031360</v>
      </c>
      <c r="D400" s="560">
        <v>4607091384345</v>
      </c>
      <c r="E400" s="561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3"/>
      <c r="R400" s="563"/>
      <c r="S400" s="563"/>
      <c r="T400" s="564"/>
      <c r="U400" s="34"/>
      <c r="V400" s="34"/>
      <c r="W400" s="35" t="s">
        <v>69</v>
      </c>
      <c r="X400" s="549">
        <v>0</v>
      </c>
      <c r="Y400" s="550">
        <f t="shared" si="46"/>
        <v>0</v>
      </c>
      <c r="Z400" s="36" t="str">
        <f t="shared" si="51"/>
        <v/>
      </c>
      <c r="AA400" s="56"/>
      <c r="AB400" s="57"/>
      <c r="AC400" s="457" t="s">
        <v>631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x14ac:dyDescent="0.2">
      <c r="A401" s="566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7"/>
      <c r="P401" s="555" t="s">
        <v>75</v>
      </c>
      <c r="Q401" s="556"/>
      <c r="R401" s="556"/>
      <c r="S401" s="556"/>
      <c r="T401" s="556"/>
      <c r="U401" s="556"/>
      <c r="V401" s="557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4.4444444444444446</v>
      </c>
      <c r="Y401" s="551">
        <f>IFERROR(Y392/H392,"0")+IFERROR(Y393/H393,"0")+IFERROR(Y394/H394,"0")+IFERROR(Y395/H395,"0")+IFERROR(Y396/H396,"0")+IFERROR(Y397/H397,"0")+IFERROR(Y398/H398,"0")+IFERROR(Y399/H399,"0")+IFERROR(Y400/H400,"0")</f>
        <v>6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5.4120000000000001E-2</v>
      </c>
      <c r="AA401" s="552"/>
      <c r="AB401" s="552"/>
      <c r="AC401" s="552"/>
    </row>
    <row r="402" spans="1:68" x14ac:dyDescent="0.2">
      <c r="A402" s="559"/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67"/>
      <c r="P402" s="555" t="s">
        <v>75</v>
      </c>
      <c r="Q402" s="556"/>
      <c r="R402" s="556"/>
      <c r="S402" s="556"/>
      <c r="T402" s="556"/>
      <c r="U402" s="556"/>
      <c r="V402" s="557"/>
      <c r="W402" s="37" t="s">
        <v>69</v>
      </c>
      <c r="X402" s="551">
        <f>IFERROR(SUM(X392:X400),"0")</f>
        <v>24</v>
      </c>
      <c r="Y402" s="551">
        <f>IFERROR(SUM(Y392:Y400),"0")</f>
        <v>32.400000000000006</v>
      </c>
      <c r="Z402" s="37"/>
      <c r="AA402" s="552"/>
      <c r="AB402" s="552"/>
      <c r="AC402" s="552"/>
    </row>
    <row r="403" spans="1:68" ht="14.25" hidden="1" customHeight="1" x14ac:dyDescent="0.25">
      <c r="A403" s="558" t="s">
        <v>77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5"/>
      <c r="AB403" s="545"/>
      <c r="AC403" s="545"/>
    </row>
    <row r="404" spans="1:68" ht="27" hidden="1" customHeight="1" x14ac:dyDescent="0.25">
      <c r="A404" s="54" t="s">
        <v>637</v>
      </c>
      <c r="B404" s="54" t="s">
        <v>638</v>
      </c>
      <c r="C404" s="31">
        <v>4301051284</v>
      </c>
      <c r="D404" s="560">
        <v>4607091384352</v>
      </c>
      <c r="E404" s="561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112</v>
      </c>
      <c r="L404" s="32" t="s">
        <v>115</v>
      </c>
      <c r="M404" s="33" t="s">
        <v>80</v>
      </c>
      <c r="N404" s="33"/>
      <c r="O404" s="32">
        <v>45</v>
      </c>
      <c r="P404" s="5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3"/>
      <c r="R404" s="563"/>
      <c r="S404" s="563"/>
      <c r="T404" s="564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639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640</v>
      </c>
      <c r="B405" s="54" t="s">
        <v>641</v>
      </c>
      <c r="C405" s="31">
        <v>4301051431</v>
      </c>
      <c r="D405" s="560">
        <v>4607091389654</v>
      </c>
      <c r="E405" s="561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1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3"/>
      <c r="R405" s="563"/>
      <c r="S405" s="563"/>
      <c r="T405" s="564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642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6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7"/>
      <c r="P406" s="555" t="s">
        <v>75</v>
      </c>
      <c r="Q406" s="556"/>
      <c r="R406" s="556"/>
      <c r="S406" s="556"/>
      <c r="T406" s="556"/>
      <c r="U406" s="556"/>
      <c r="V406" s="557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59"/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67"/>
      <c r="P407" s="555" t="s">
        <v>75</v>
      </c>
      <c r="Q407" s="556"/>
      <c r="R407" s="556"/>
      <c r="S407" s="556"/>
      <c r="T407" s="556"/>
      <c r="U407" s="556"/>
      <c r="V407" s="557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99" t="s">
        <v>643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4"/>
      <c r="AB408" s="544"/>
      <c r="AC408" s="544"/>
    </row>
    <row r="409" spans="1:68" ht="14.25" hidden="1" customHeight="1" x14ac:dyDescent="0.25">
      <c r="A409" s="558" t="s">
        <v>138</v>
      </c>
      <c r="B409" s="559"/>
      <c r="C409" s="559"/>
      <c r="D409" s="559"/>
      <c r="E409" s="559"/>
      <c r="F409" s="559"/>
      <c r="G409" s="559"/>
      <c r="H409" s="559"/>
      <c r="I409" s="559"/>
      <c r="J409" s="559"/>
      <c r="K409" s="559"/>
      <c r="L409" s="559"/>
      <c r="M409" s="559"/>
      <c r="N409" s="559"/>
      <c r="O409" s="559"/>
      <c r="P409" s="559"/>
      <c r="Q409" s="559"/>
      <c r="R409" s="559"/>
      <c r="S409" s="559"/>
      <c r="T409" s="559"/>
      <c r="U409" s="559"/>
      <c r="V409" s="559"/>
      <c r="W409" s="559"/>
      <c r="X409" s="559"/>
      <c r="Y409" s="559"/>
      <c r="Z409" s="559"/>
      <c r="AA409" s="545"/>
      <c r="AB409" s="545"/>
      <c r="AC409" s="545"/>
    </row>
    <row r="410" spans="1:68" ht="27" hidden="1" customHeight="1" x14ac:dyDescent="0.25">
      <c r="A410" s="54" t="s">
        <v>644</v>
      </c>
      <c r="B410" s="54" t="s">
        <v>645</v>
      </c>
      <c r="C410" s="31">
        <v>4301020319</v>
      </c>
      <c r="D410" s="560">
        <v>4680115885240</v>
      </c>
      <c r="E410" s="561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3"/>
      <c r="R410" s="563"/>
      <c r="S410" s="563"/>
      <c r="T410" s="564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646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6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7"/>
      <c r="P411" s="555" t="s">
        <v>75</v>
      </c>
      <c r="Q411" s="556"/>
      <c r="R411" s="556"/>
      <c r="S411" s="556"/>
      <c r="T411" s="556"/>
      <c r="U411" s="556"/>
      <c r="V411" s="557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59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67"/>
      <c r="P412" s="555" t="s">
        <v>75</v>
      </c>
      <c r="Q412" s="556"/>
      <c r="R412" s="556"/>
      <c r="S412" s="556"/>
      <c r="T412" s="556"/>
      <c r="U412" s="556"/>
      <c r="V412" s="557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58" t="s">
        <v>64</v>
      </c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59"/>
      <c r="P413" s="559"/>
      <c r="Q413" s="559"/>
      <c r="R413" s="559"/>
      <c r="S413" s="559"/>
      <c r="T413" s="559"/>
      <c r="U413" s="559"/>
      <c r="V413" s="559"/>
      <c r="W413" s="559"/>
      <c r="X413" s="559"/>
      <c r="Y413" s="559"/>
      <c r="Z413" s="559"/>
      <c r="AA413" s="545"/>
      <c r="AB413" s="545"/>
      <c r="AC413" s="545"/>
    </row>
    <row r="414" spans="1:68" ht="27" hidden="1" customHeight="1" x14ac:dyDescent="0.25">
      <c r="A414" s="54" t="s">
        <v>647</v>
      </c>
      <c r="B414" s="54" t="s">
        <v>648</v>
      </c>
      <c r="C414" s="31">
        <v>4301031403</v>
      </c>
      <c r="D414" s="560">
        <v>4680115886094</v>
      </c>
      <c r="E414" s="561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112</v>
      </c>
      <c r="L414" s="32" t="s">
        <v>115</v>
      </c>
      <c r="M414" s="33" t="s">
        <v>108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3"/>
      <c r="R414" s="563"/>
      <c r="S414" s="563"/>
      <c r="T414" s="564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649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4301031363</v>
      </c>
      <c r="D415" s="560">
        <v>4607091389425</v>
      </c>
      <c r="E415" s="561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5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3"/>
      <c r="R415" s="563"/>
      <c r="S415" s="563"/>
      <c r="T415" s="564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653</v>
      </c>
      <c r="B416" s="54" t="s">
        <v>654</v>
      </c>
      <c r="C416" s="31">
        <v>4301031373</v>
      </c>
      <c r="D416" s="560">
        <v>4680115880771</v>
      </c>
      <c r="E416" s="561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3"/>
      <c r="R416" s="563"/>
      <c r="S416" s="563"/>
      <c r="T416" s="564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655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656</v>
      </c>
      <c r="B417" s="54" t="s">
        <v>657</v>
      </c>
      <c r="C417" s="31">
        <v>4301031359</v>
      </c>
      <c r="D417" s="560">
        <v>4607091389500</v>
      </c>
      <c r="E417" s="561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3"/>
      <c r="R417" s="563"/>
      <c r="S417" s="563"/>
      <c r="T417" s="564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655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6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7"/>
      <c r="P418" s="555" t="s">
        <v>75</v>
      </c>
      <c r="Q418" s="556"/>
      <c r="R418" s="556"/>
      <c r="S418" s="556"/>
      <c r="T418" s="556"/>
      <c r="U418" s="556"/>
      <c r="V418" s="557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59"/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67"/>
      <c r="P419" s="555" t="s">
        <v>75</v>
      </c>
      <c r="Q419" s="556"/>
      <c r="R419" s="556"/>
      <c r="S419" s="556"/>
      <c r="T419" s="556"/>
      <c r="U419" s="556"/>
      <c r="V419" s="557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99" t="s">
        <v>658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4"/>
      <c r="AB420" s="544"/>
      <c r="AC420" s="544"/>
    </row>
    <row r="421" spans="1:68" ht="14.25" hidden="1" customHeight="1" x14ac:dyDescent="0.25">
      <c r="A421" s="558" t="s">
        <v>64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5"/>
      <c r="AB421" s="545"/>
      <c r="AC421" s="545"/>
    </row>
    <row r="422" spans="1:68" ht="27" hidden="1" customHeight="1" x14ac:dyDescent="0.25">
      <c r="A422" s="54" t="s">
        <v>659</v>
      </c>
      <c r="B422" s="54" t="s">
        <v>660</v>
      </c>
      <c r="C422" s="31">
        <v>4301031347</v>
      </c>
      <c r="D422" s="560">
        <v>4680115885110</v>
      </c>
      <c r="E422" s="561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1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3"/>
      <c r="R422" s="563"/>
      <c r="S422" s="563"/>
      <c r="T422" s="564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661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6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7"/>
      <c r="P423" s="555" t="s">
        <v>75</v>
      </c>
      <c r="Q423" s="556"/>
      <c r="R423" s="556"/>
      <c r="S423" s="556"/>
      <c r="T423" s="556"/>
      <c r="U423" s="556"/>
      <c r="V423" s="557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59"/>
      <c r="B424" s="559"/>
      <c r="C424" s="559"/>
      <c r="D424" s="559"/>
      <c r="E424" s="559"/>
      <c r="F424" s="559"/>
      <c r="G424" s="559"/>
      <c r="H424" s="559"/>
      <c r="I424" s="559"/>
      <c r="J424" s="559"/>
      <c r="K424" s="559"/>
      <c r="L424" s="559"/>
      <c r="M424" s="559"/>
      <c r="N424" s="559"/>
      <c r="O424" s="567"/>
      <c r="P424" s="555" t="s">
        <v>75</v>
      </c>
      <c r="Q424" s="556"/>
      <c r="R424" s="556"/>
      <c r="S424" s="556"/>
      <c r="T424" s="556"/>
      <c r="U424" s="556"/>
      <c r="V424" s="557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90" t="s">
        <v>662</v>
      </c>
      <c r="B425" s="691"/>
      <c r="C425" s="691"/>
      <c r="D425" s="691"/>
      <c r="E425" s="691"/>
      <c r="F425" s="691"/>
      <c r="G425" s="691"/>
      <c r="H425" s="691"/>
      <c r="I425" s="691"/>
      <c r="J425" s="691"/>
      <c r="K425" s="691"/>
      <c r="L425" s="691"/>
      <c r="M425" s="691"/>
      <c r="N425" s="691"/>
      <c r="O425" s="691"/>
      <c r="P425" s="691"/>
      <c r="Q425" s="691"/>
      <c r="R425" s="691"/>
      <c r="S425" s="691"/>
      <c r="T425" s="691"/>
      <c r="U425" s="691"/>
      <c r="V425" s="691"/>
      <c r="W425" s="691"/>
      <c r="X425" s="691"/>
      <c r="Y425" s="691"/>
      <c r="Z425" s="691"/>
      <c r="AA425" s="48"/>
      <c r="AB425" s="48"/>
      <c r="AC425" s="48"/>
    </row>
    <row r="426" spans="1:68" ht="16.5" hidden="1" customHeight="1" x14ac:dyDescent="0.25">
      <c r="A426" s="599" t="s">
        <v>662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4"/>
      <c r="AB426" s="544"/>
      <c r="AC426" s="544"/>
    </row>
    <row r="427" spans="1:68" ht="14.25" hidden="1" customHeight="1" x14ac:dyDescent="0.25">
      <c r="A427" s="558" t="s">
        <v>103</v>
      </c>
      <c r="B427" s="559"/>
      <c r="C427" s="559"/>
      <c r="D427" s="559"/>
      <c r="E427" s="559"/>
      <c r="F427" s="559"/>
      <c r="G427" s="559"/>
      <c r="H427" s="559"/>
      <c r="I427" s="559"/>
      <c r="J427" s="559"/>
      <c r="K427" s="559"/>
      <c r="L427" s="559"/>
      <c r="M427" s="559"/>
      <c r="N427" s="559"/>
      <c r="O427" s="559"/>
      <c r="P427" s="559"/>
      <c r="Q427" s="559"/>
      <c r="R427" s="559"/>
      <c r="S427" s="559"/>
      <c r="T427" s="559"/>
      <c r="U427" s="559"/>
      <c r="V427" s="559"/>
      <c r="W427" s="559"/>
      <c r="X427" s="559"/>
      <c r="Y427" s="559"/>
      <c r="Z427" s="559"/>
      <c r="AA427" s="545"/>
      <c r="AB427" s="545"/>
      <c r="AC427" s="545"/>
    </row>
    <row r="428" spans="1:68" ht="27" hidden="1" customHeight="1" x14ac:dyDescent="0.25">
      <c r="A428" s="54" t="s">
        <v>663</v>
      </c>
      <c r="B428" s="54" t="s">
        <v>664</v>
      </c>
      <c r="C428" s="31">
        <v>4301011795</v>
      </c>
      <c r="D428" s="560">
        <v>4607091389067</v>
      </c>
      <c r="E428" s="561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106</v>
      </c>
      <c r="L428" s="32" t="s">
        <v>107</v>
      </c>
      <c r="M428" s="33" t="s">
        <v>108</v>
      </c>
      <c r="N428" s="33"/>
      <c r="O428" s="32">
        <v>60</v>
      </c>
      <c r="P428" s="64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3"/>
      <c r="R428" s="563"/>
      <c r="S428" s="563"/>
      <c r="T428" s="564"/>
      <c r="U428" s="34"/>
      <c r="V428" s="34"/>
      <c r="W428" s="35" t="s">
        <v>69</v>
      </c>
      <c r="X428" s="549">
        <v>0</v>
      </c>
      <c r="Y428" s="550">
        <f t="shared" ref="Y428:Y439" si="52">IFERROR(IF(X428="",0,CEILING((X428/$H428),1)*$H428),"")</f>
        <v>0</v>
      </c>
      <c r="Z428" s="36" t="str">
        <f t="shared" ref="Z428:Z434" si="53">IFERROR(IF(Y428=0,"",ROUNDUP(Y428/H428,0)*0.01196),"")</f>
        <v/>
      </c>
      <c r="AA428" s="56"/>
      <c r="AB428" s="57"/>
      <c r="AC428" s="475" t="s">
        <v>109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54">IFERROR(X428*I428/H428,"0")</f>
        <v>0</v>
      </c>
      <c r="BN428" s="64">
        <f t="shared" ref="BN428:BN439" si="55">IFERROR(Y428*I428/H428,"0")</f>
        <v>0</v>
      </c>
      <c r="BO428" s="64">
        <f t="shared" ref="BO428:BO439" si="56">IFERROR(1/J428*(X428/H428),"0")</f>
        <v>0</v>
      </c>
      <c r="BP428" s="64">
        <f t="shared" ref="BP428:BP439" si="57">IFERROR(1/J428*(Y428/H428),"0")</f>
        <v>0</v>
      </c>
    </row>
    <row r="429" spans="1:68" ht="27" hidden="1" customHeight="1" x14ac:dyDescent="0.25">
      <c r="A429" s="54" t="s">
        <v>665</v>
      </c>
      <c r="B429" s="54" t="s">
        <v>666</v>
      </c>
      <c r="C429" s="31">
        <v>4301012145</v>
      </c>
      <c r="D429" s="560">
        <v>4607091383522</v>
      </c>
      <c r="E429" s="561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106</v>
      </c>
      <c r="L429" s="32"/>
      <c r="M429" s="33" t="s">
        <v>108</v>
      </c>
      <c r="N429" s="33"/>
      <c r="O429" s="32">
        <v>60</v>
      </c>
      <c r="P429" s="65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63"/>
      <c r="R429" s="563"/>
      <c r="S429" s="563"/>
      <c r="T429" s="564"/>
      <c r="U429" s="34"/>
      <c r="V429" s="34"/>
      <c r="W429" s="35" t="s">
        <v>69</v>
      </c>
      <c r="X429" s="549">
        <v>0</v>
      </c>
      <c r="Y429" s="550">
        <f t="shared" si="52"/>
        <v>0</v>
      </c>
      <c r="Z429" s="36" t="str">
        <f t="shared" si="53"/>
        <v/>
      </c>
      <c r="AA429" s="56"/>
      <c r="AB429" s="57"/>
      <c r="AC429" s="477" t="s">
        <v>667</v>
      </c>
      <c r="AG429" s="64"/>
      <c r="AJ429" s="68"/>
      <c r="AK429" s="68">
        <v>0</v>
      </c>
      <c r="BB429" s="478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665</v>
      </c>
      <c r="B430" s="54" t="s">
        <v>668</v>
      </c>
      <c r="C430" s="31">
        <v>4301012210</v>
      </c>
      <c r="D430" s="560">
        <v>4607091383522</v>
      </c>
      <c r="E430" s="561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106</v>
      </c>
      <c r="L430" s="32"/>
      <c r="M430" s="33" t="s">
        <v>108</v>
      </c>
      <c r="N430" s="33"/>
      <c r="O430" s="32">
        <v>60</v>
      </c>
      <c r="P430" s="822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3"/>
      <c r="R430" s="563"/>
      <c r="S430" s="563"/>
      <c r="T430" s="564"/>
      <c r="U430" s="34"/>
      <c r="V430" s="34"/>
      <c r="W430" s="35" t="s">
        <v>69</v>
      </c>
      <c r="X430" s="549">
        <v>0</v>
      </c>
      <c r="Y430" s="550">
        <f t="shared" si="52"/>
        <v>0</v>
      </c>
      <c r="Z430" s="36" t="str">
        <f t="shared" si="53"/>
        <v/>
      </c>
      <c r="AA430" s="56"/>
      <c r="AB430" s="57"/>
      <c r="AC430" s="479" t="s">
        <v>667</v>
      </c>
      <c r="AG430" s="64"/>
      <c r="AJ430" s="68"/>
      <c r="AK430" s="68">
        <v>0</v>
      </c>
      <c r="BB430" s="480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669</v>
      </c>
      <c r="B431" s="54" t="s">
        <v>670</v>
      </c>
      <c r="C431" s="31">
        <v>4301011961</v>
      </c>
      <c r="D431" s="560">
        <v>4680115885271</v>
      </c>
      <c r="E431" s="561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106</v>
      </c>
      <c r="L431" s="32" t="s">
        <v>107</v>
      </c>
      <c r="M431" s="33" t="s">
        <v>108</v>
      </c>
      <c r="N431" s="33"/>
      <c r="O431" s="32">
        <v>60</v>
      </c>
      <c r="P431" s="7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3"/>
      <c r="R431" s="563"/>
      <c r="S431" s="563"/>
      <c r="T431" s="564"/>
      <c r="U431" s="34"/>
      <c r="V431" s="34"/>
      <c r="W431" s="35" t="s">
        <v>69</v>
      </c>
      <c r="X431" s="549">
        <v>0</v>
      </c>
      <c r="Y431" s="550">
        <f t="shared" si="52"/>
        <v>0</v>
      </c>
      <c r="Z431" s="36" t="str">
        <f t="shared" si="53"/>
        <v/>
      </c>
      <c r="AA431" s="56"/>
      <c r="AB431" s="57"/>
      <c r="AC431" s="481" t="s">
        <v>671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customHeight="1" x14ac:dyDescent="0.25">
      <c r="A432" s="54" t="s">
        <v>672</v>
      </c>
      <c r="B432" s="54" t="s">
        <v>673</v>
      </c>
      <c r="C432" s="31">
        <v>4301011376</v>
      </c>
      <c r="D432" s="560">
        <v>4680115885226</v>
      </c>
      <c r="E432" s="561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106</v>
      </c>
      <c r="L432" s="32" t="s">
        <v>107</v>
      </c>
      <c r="M432" s="33" t="s">
        <v>80</v>
      </c>
      <c r="N432" s="33"/>
      <c r="O432" s="32">
        <v>60</v>
      </c>
      <c r="P432" s="60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3"/>
      <c r="R432" s="563"/>
      <c r="S432" s="563"/>
      <c r="T432" s="564"/>
      <c r="U432" s="34"/>
      <c r="V432" s="34"/>
      <c r="W432" s="35" t="s">
        <v>69</v>
      </c>
      <c r="X432" s="549">
        <v>20</v>
      </c>
      <c r="Y432" s="550">
        <f t="shared" si="52"/>
        <v>21.12</v>
      </c>
      <c r="Z432" s="36">
        <f t="shared" si="53"/>
        <v>4.7840000000000001E-2</v>
      </c>
      <c r="AA432" s="56"/>
      <c r="AB432" s="57"/>
      <c r="AC432" s="483" t="s">
        <v>674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54"/>
        <v>21.325757575757574</v>
      </c>
      <c r="BN432" s="64">
        <f t="shared" si="55"/>
        <v>22.52</v>
      </c>
      <c r="BO432" s="64">
        <f t="shared" si="56"/>
        <v>3.6421911421911424E-2</v>
      </c>
      <c r="BP432" s="64">
        <f t="shared" si="57"/>
        <v>3.8461538461538464E-2</v>
      </c>
    </row>
    <row r="433" spans="1:68" ht="16.5" hidden="1" customHeight="1" x14ac:dyDescent="0.25">
      <c r="A433" s="54" t="s">
        <v>675</v>
      </c>
      <c r="B433" s="54" t="s">
        <v>676</v>
      </c>
      <c r="C433" s="31">
        <v>4301011774</v>
      </c>
      <c r="D433" s="560">
        <v>4680115884502</v>
      </c>
      <c r="E433" s="561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106</v>
      </c>
      <c r="L433" s="32"/>
      <c r="M433" s="33" t="s">
        <v>108</v>
      </c>
      <c r="N433" s="33"/>
      <c r="O433" s="32">
        <v>60</v>
      </c>
      <c r="P433" s="85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3"/>
      <c r="R433" s="563"/>
      <c r="S433" s="563"/>
      <c r="T433" s="564"/>
      <c r="U433" s="34"/>
      <c r="V433" s="34"/>
      <c r="W433" s="35" t="s">
        <v>69</v>
      </c>
      <c r="X433" s="549">
        <v>0</v>
      </c>
      <c r="Y433" s="550">
        <f t="shared" si="52"/>
        <v>0</v>
      </c>
      <c r="Z433" s="36" t="str">
        <f t="shared" si="53"/>
        <v/>
      </c>
      <c r="AA433" s="56"/>
      <c r="AB433" s="57"/>
      <c r="AC433" s="485" t="s">
        <v>677</v>
      </c>
      <c r="AG433" s="64"/>
      <c r="AJ433" s="68"/>
      <c r="AK433" s="68">
        <v>0</v>
      </c>
      <c r="BB433" s="486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ht="27" customHeight="1" x14ac:dyDescent="0.25">
      <c r="A434" s="54" t="s">
        <v>678</v>
      </c>
      <c r="B434" s="54" t="s">
        <v>679</v>
      </c>
      <c r="C434" s="31">
        <v>4301011771</v>
      </c>
      <c r="D434" s="560">
        <v>4607091389104</v>
      </c>
      <c r="E434" s="561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106</v>
      </c>
      <c r="L434" s="32" t="s">
        <v>107</v>
      </c>
      <c r="M434" s="33" t="s">
        <v>108</v>
      </c>
      <c r="N434" s="33"/>
      <c r="O434" s="32">
        <v>60</v>
      </c>
      <c r="P434" s="8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3"/>
      <c r="R434" s="563"/>
      <c r="S434" s="563"/>
      <c r="T434" s="564"/>
      <c r="U434" s="34"/>
      <c r="V434" s="34"/>
      <c r="W434" s="35" t="s">
        <v>69</v>
      </c>
      <c r="X434" s="549">
        <v>100</v>
      </c>
      <c r="Y434" s="550">
        <f t="shared" si="52"/>
        <v>100.32000000000001</v>
      </c>
      <c r="Z434" s="36">
        <f t="shared" si="53"/>
        <v>0.22724</v>
      </c>
      <c r="AA434" s="56"/>
      <c r="AB434" s="57"/>
      <c r="AC434" s="487" t="s">
        <v>680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106.62878787878788</v>
      </c>
      <c r="BN434" s="64">
        <f t="shared" si="55"/>
        <v>106.97</v>
      </c>
      <c r="BO434" s="64">
        <f t="shared" si="56"/>
        <v>0.18210955710955709</v>
      </c>
      <c r="BP434" s="64">
        <f t="shared" si="57"/>
        <v>0.18269230769230771</v>
      </c>
    </row>
    <row r="435" spans="1:68" ht="27" hidden="1" customHeight="1" x14ac:dyDescent="0.25">
      <c r="A435" s="54" t="s">
        <v>681</v>
      </c>
      <c r="B435" s="54" t="s">
        <v>682</v>
      </c>
      <c r="C435" s="31">
        <v>4301012125</v>
      </c>
      <c r="D435" s="560">
        <v>4680115886391</v>
      </c>
      <c r="E435" s="561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3"/>
      <c r="R435" s="563"/>
      <c r="S435" s="563"/>
      <c r="T435" s="564"/>
      <c r="U435" s="34"/>
      <c r="V435" s="34"/>
      <c r="W435" s="35" t="s">
        <v>69</v>
      </c>
      <c r="X435" s="549">
        <v>0</v>
      </c>
      <c r="Y435" s="550">
        <f t="shared" si="52"/>
        <v>0</v>
      </c>
      <c r="Z435" s="36" t="str">
        <f>IFERROR(IF(Y435=0,"",ROUNDUP(Y435/H435,0)*0.00651),"")</f>
        <v/>
      </c>
      <c r="AA435" s="56"/>
      <c r="AB435" s="57"/>
      <c r="AC435" s="489" t="s">
        <v>109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4301012035</v>
      </c>
      <c r="D436" s="560">
        <v>4680115880603</v>
      </c>
      <c r="E436" s="561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112</v>
      </c>
      <c r="L436" s="32"/>
      <c r="M436" s="33" t="s">
        <v>108</v>
      </c>
      <c r="N436" s="33"/>
      <c r="O436" s="32">
        <v>60</v>
      </c>
      <c r="P436" s="8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3"/>
      <c r="R436" s="563"/>
      <c r="S436" s="563"/>
      <c r="T436" s="564"/>
      <c r="U436" s="34"/>
      <c r="V436" s="34"/>
      <c r="W436" s="35" t="s">
        <v>69</v>
      </c>
      <c r="X436" s="549">
        <v>0</v>
      </c>
      <c r="Y436" s="550">
        <f t="shared" si="52"/>
        <v>0</v>
      </c>
      <c r="Z436" s="36" t="str">
        <f>IFERROR(IF(Y436=0,"",ROUNDUP(Y436/H436,0)*0.00902),"")</f>
        <v/>
      </c>
      <c r="AA436" s="56"/>
      <c r="AB436" s="57"/>
      <c r="AC436" s="491" t="s">
        <v>109</v>
      </c>
      <c r="AG436" s="64"/>
      <c r="AJ436" s="68"/>
      <c r="AK436" s="68">
        <v>0</v>
      </c>
      <c r="BB436" s="492" t="s">
        <v>1</v>
      </c>
      <c r="BM436" s="64">
        <f t="shared" si="54"/>
        <v>0</v>
      </c>
      <c r="BN436" s="64">
        <f t="shared" si="55"/>
        <v>0</v>
      </c>
      <c r="BO436" s="64">
        <f t="shared" si="56"/>
        <v>0</v>
      </c>
      <c r="BP436" s="64">
        <f t="shared" si="57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4301012036</v>
      </c>
      <c r="D437" s="560">
        <v>4680115882782</v>
      </c>
      <c r="E437" s="561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112</v>
      </c>
      <c r="L437" s="32"/>
      <c r="M437" s="33" t="s">
        <v>108</v>
      </c>
      <c r="N437" s="33"/>
      <c r="O437" s="32">
        <v>60</v>
      </c>
      <c r="P437" s="59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3"/>
      <c r="R437" s="563"/>
      <c r="S437" s="563"/>
      <c r="T437" s="564"/>
      <c r="U437" s="34"/>
      <c r="V437" s="34"/>
      <c r="W437" s="35" t="s">
        <v>69</v>
      </c>
      <c r="X437" s="549">
        <v>0</v>
      </c>
      <c r="Y437" s="550">
        <f t="shared" si="52"/>
        <v>0</v>
      </c>
      <c r="Z437" s="36" t="str">
        <f>IFERROR(IF(Y437=0,"",ROUNDUP(Y437/H437,0)*0.00937),"")</f>
        <v/>
      </c>
      <c r="AA437" s="56"/>
      <c r="AB437" s="57"/>
      <c r="AC437" s="493" t="s">
        <v>671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4301012050</v>
      </c>
      <c r="D438" s="560">
        <v>4680115885479</v>
      </c>
      <c r="E438" s="561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108</v>
      </c>
      <c r="N438" s="33"/>
      <c r="O438" s="32">
        <v>60</v>
      </c>
      <c r="P438" s="7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3"/>
      <c r="R438" s="563"/>
      <c r="S438" s="563"/>
      <c r="T438" s="564"/>
      <c r="U438" s="34"/>
      <c r="V438" s="34"/>
      <c r="W438" s="35" t="s">
        <v>69</v>
      </c>
      <c r="X438" s="549">
        <v>4.8000000000000007</v>
      </c>
      <c r="Y438" s="550">
        <f t="shared" si="52"/>
        <v>4.8</v>
      </c>
      <c r="Z438" s="36">
        <f>IFERROR(IF(Y438=0,"",ROUNDUP(Y438/H438,0)*0.00651),"")</f>
        <v>1.302E-2</v>
      </c>
      <c r="AA438" s="56"/>
      <c r="AB438" s="57"/>
      <c r="AC438" s="495" t="s">
        <v>689</v>
      </c>
      <c r="AG438" s="64"/>
      <c r="AJ438" s="68"/>
      <c r="AK438" s="68">
        <v>0</v>
      </c>
      <c r="BB438" s="496" t="s">
        <v>1</v>
      </c>
      <c r="BM438" s="64">
        <f t="shared" si="54"/>
        <v>5.160000000000001</v>
      </c>
      <c r="BN438" s="64">
        <f t="shared" si="55"/>
        <v>5.16</v>
      </c>
      <c r="BO438" s="64">
        <f t="shared" si="56"/>
        <v>1.0989010989010992E-2</v>
      </c>
      <c r="BP438" s="64">
        <f t="shared" si="57"/>
        <v>1.098901098901099E-2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4301012034</v>
      </c>
      <c r="D439" s="560">
        <v>4607091389982</v>
      </c>
      <c r="E439" s="561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112</v>
      </c>
      <c r="L439" s="32"/>
      <c r="M439" s="33" t="s">
        <v>108</v>
      </c>
      <c r="N439" s="33"/>
      <c r="O439" s="32">
        <v>60</v>
      </c>
      <c r="P439" s="8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3"/>
      <c r="R439" s="563"/>
      <c r="S439" s="563"/>
      <c r="T439" s="564"/>
      <c r="U439" s="34"/>
      <c r="V439" s="34"/>
      <c r="W439" s="35" t="s">
        <v>69</v>
      </c>
      <c r="X439" s="549">
        <v>0</v>
      </c>
      <c r="Y439" s="550">
        <f t="shared" si="52"/>
        <v>0</v>
      </c>
      <c r="Z439" s="36" t="str">
        <f>IFERROR(IF(Y439=0,"",ROUNDUP(Y439/H439,0)*0.00902),"")</f>
        <v/>
      </c>
      <c r="AA439" s="56"/>
      <c r="AB439" s="57"/>
      <c r="AC439" s="497" t="s">
        <v>680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x14ac:dyDescent="0.2">
      <c r="A440" s="566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7"/>
      <c r="P440" s="555" t="s">
        <v>75</v>
      </c>
      <c r="Q440" s="556"/>
      <c r="R440" s="556"/>
      <c r="S440" s="556"/>
      <c r="T440" s="556"/>
      <c r="U440" s="556"/>
      <c r="V440" s="557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24.727272727272727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25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0.28809999999999997</v>
      </c>
      <c r="AA440" s="552"/>
      <c r="AB440" s="552"/>
      <c r="AC440" s="552"/>
    </row>
    <row r="441" spans="1:68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67"/>
      <c r="P441" s="555" t="s">
        <v>75</v>
      </c>
      <c r="Q441" s="556"/>
      <c r="R441" s="556"/>
      <c r="S441" s="556"/>
      <c r="T441" s="556"/>
      <c r="U441" s="556"/>
      <c r="V441" s="557"/>
      <c r="W441" s="37" t="s">
        <v>69</v>
      </c>
      <c r="X441" s="551">
        <f>IFERROR(SUM(X428:X439),"0")</f>
        <v>124.8</v>
      </c>
      <c r="Y441" s="551">
        <f>IFERROR(SUM(Y428:Y439),"0")</f>
        <v>126.24000000000001</v>
      </c>
      <c r="Z441" s="37"/>
      <c r="AA441" s="552"/>
      <c r="AB441" s="552"/>
      <c r="AC441" s="552"/>
    </row>
    <row r="442" spans="1:68" ht="14.25" hidden="1" customHeight="1" x14ac:dyDescent="0.25">
      <c r="A442" s="558" t="s">
        <v>138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5"/>
      <c r="AB442" s="545"/>
      <c r="AC442" s="545"/>
    </row>
    <row r="443" spans="1:68" ht="16.5" hidden="1" customHeight="1" x14ac:dyDescent="0.25">
      <c r="A443" s="54" t="s">
        <v>692</v>
      </c>
      <c r="B443" s="54" t="s">
        <v>693</v>
      </c>
      <c r="C443" s="31">
        <v>4301020334</v>
      </c>
      <c r="D443" s="560">
        <v>4607091388930</v>
      </c>
      <c r="E443" s="561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106</v>
      </c>
      <c r="L443" s="32" t="s">
        <v>107</v>
      </c>
      <c r="M443" s="33" t="s">
        <v>80</v>
      </c>
      <c r="N443" s="33"/>
      <c r="O443" s="32">
        <v>70</v>
      </c>
      <c r="P443" s="60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3"/>
      <c r="R443" s="563"/>
      <c r="S443" s="563"/>
      <c r="T443" s="564"/>
      <c r="U443" s="34"/>
      <c r="V443" s="34"/>
      <c r="W443" s="35" t="s">
        <v>69</v>
      </c>
      <c r="X443" s="549">
        <v>0</v>
      </c>
      <c r="Y443" s="55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9" t="s">
        <v>694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695</v>
      </c>
      <c r="B444" s="54" t="s">
        <v>696</v>
      </c>
      <c r="C444" s="31">
        <v>4301020384</v>
      </c>
      <c r="D444" s="560">
        <v>4680115886407</v>
      </c>
      <c r="E444" s="561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3"/>
      <c r="R444" s="563"/>
      <c r="S444" s="563"/>
      <c r="T444" s="564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694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4301020385</v>
      </c>
      <c r="D445" s="560">
        <v>4680115880054</v>
      </c>
      <c r="E445" s="561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112</v>
      </c>
      <c r="L445" s="32"/>
      <c r="M445" s="33" t="s">
        <v>108</v>
      </c>
      <c r="N445" s="33"/>
      <c r="O445" s="32">
        <v>70</v>
      </c>
      <c r="P445" s="61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3"/>
      <c r="R445" s="563"/>
      <c r="S445" s="563"/>
      <c r="T445" s="564"/>
      <c r="U445" s="34"/>
      <c r="V445" s="34"/>
      <c r="W445" s="35" t="s">
        <v>69</v>
      </c>
      <c r="X445" s="549">
        <v>0</v>
      </c>
      <c r="Y445" s="550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694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566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7"/>
      <c r="P446" s="555" t="s">
        <v>75</v>
      </c>
      <c r="Q446" s="556"/>
      <c r="R446" s="556"/>
      <c r="S446" s="556"/>
      <c r="T446" s="556"/>
      <c r="U446" s="556"/>
      <c r="V446" s="557"/>
      <c r="W446" s="37" t="s">
        <v>76</v>
      </c>
      <c r="X446" s="551">
        <f>IFERROR(X443/H443,"0")+IFERROR(X444/H444,"0")+IFERROR(X445/H445,"0")</f>
        <v>0</v>
      </c>
      <c r="Y446" s="551">
        <f>IFERROR(Y443/H443,"0")+IFERROR(Y444/H444,"0")+IFERROR(Y445/H445,"0")</f>
        <v>0</v>
      </c>
      <c r="Z446" s="551">
        <f>IFERROR(IF(Z443="",0,Z443),"0")+IFERROR(IF(Z444="",0,Z444),"0")+IFERROR(IF(Z445="",0,Z445),"0")</f>
        <v>0</v>
      </c>
      <c r="AA446" s="552"/>
      <c r="AB446" s="552"/>
      <c r="AC446" s="552"/>
    </row>
    <row r="447" spans="1:68" hidden="1" x14ac:dyDescent="0.2">
      <c r="A447" s="559"/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67"/>
      <c r="P447" s="555" t="s">
        <v>75</v>
      </c>
      <c r="Q447" s="556"/>
      <c r="R447" s="556"/>
      <c r="S447" s="556"/>
      <c r="T447" s="556"/>
      <c r="U447" s="556"/>
      <c r="V447" s="557"/>
      <c r="W447" s="37" t="s">
        <v>69</v>
      </c>
      <c r="X447" s="551">
        <f>IFERROR(SUM(X443:X445),"0")</f>
        <v>0</v>
      </c>
      <c r="Y447" s="551">
        <f>IFERROR(SUM(Y443:Y445),"0")</f>
        <v>0</v>
      </c>
      <c r="Z447" s="37"/>
      <c r="AA447" s="552"/>
      <c r="AB447" s="552"/>
      <c r="AC447" s="552"/>
    </row>
    <row r="448" spans="1:68" ht="14.25" hidden="1" customHeight="1" x14ac:dyDescent="0.25">
      <c r="A448" s="558" t="s">
        <v>64</v>
      </c>
      <c r="B448" s="559"/>
      <c r="C448" s="559"/>
      <c r="D448" s="559"/>
      <c r="E448" s="559"/>
      <c r="F448" s="559"/>
      <c r="G448" s="559"/>
      <c r="H448" s="559"/>
      <c r="I448" s="559"/>
      <c r="J448" s="559"/>
      <c r="K448" s="559"/>
      <c r="L448" s="559"/>
      <c r="M448" s="559"/>
      <c r="N448" s="559"/>
      <c r="O448" s="559"/>
      <c r="P448" s="559"/>
      <c r="Q448" s="559"/>
      <c r="R448" s="559"/>
      <c r="S448" s="559"/>
      <c r="T448" s="559"/>
      <c r="U448" s="559"/>
      <c r="V448" s="559"/>
      <c r="W448" s="559"/>
      <c r="X448" s="559"/>
      <c r="Y448" s="559"/>
      <c r="Z448" s="559"/>
      <c r="AA448" s="545"/>
      <c r="AB448" s="545"/>
      <c r="AC448" s="545"/>
    </row>
    <row r="449" spans="1:68" ht="27" customHeight="1" x14ac:dyDescent="0.25">
      <c r="A449" s="54" t="s">
        <v>699</v>
      </c>
      <c r="B449" s="54" t="s">
        <v>700</v>
      </c>
      <c r="C449" s="31">
        <v>4301031349</v>
      </c>
      <c r="D449" s="560">
        <v>4680115883116</v>
      </c>
      <c r="E449" s="561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106</v>
      </c>
      <c r="L449" s="32" t="s">
        <v>107</v>
      </c>
      <c r="M449" s="33" t="s">
        <v>108</v>
      </c>
      <c r="N449" s="33"/>
      <c r="O449" s="32">
        <v>70</v>
      </c>
      <c r="P449" s="8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3"/>
      <c r="R449" s="563"/>
      <c r="S449" s="563"/>
      <c r="T449" s="564"/>
      <c r="U449" s="34"/>
      <c r="V449" s="34"/>
      <c r="W449" s="35" t="s">
        <v>69</v>
      </c>
      <c r="X449" s="549">
        <v>50</v>
      </c>
      <c r="Y449" s="550">
        <f t="shared" ref="Y449:Y454" si="58">IFERROR(IF(X449="",0,CEILING((X449/$H449),1)*$H449),"")</f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9">IFERROR(X449*I449/H449,"0")</f>
        <v>53.314393939393938</v>
      </c>
      <c r="BN449" s="64">
        <f t="shared" ref="BN449:BN454" si="60">IFERROR(Y449*I449/H449,"0")</f>
        <v>56.3</v>
      </c>
      <c r="BO449" s="64">
        <f t="shared" ref="BO449:BO454" si="61">IFERROR(1/J449*(X449/H449),"0")</f>
        <v>9.1054778554778545E-2</v>
      </c>
      <c r="BP449" s="64">
        <f t="shared" ref="BP449:BP454" si="62">IFERROR(1/J449*(Y449/H449),"0")</f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4301031350</v>
      </c>
      <c r="D450" s="560">
        <v>4680115883093</v>
      </c>
      <c r="E450" s="561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106</v>
      </c>
      <c r="L450" s="32" t="s">
        <v>107</v>
      </c>
      <c r="M450" s="33" t="s">
        <v>68</v>
      </c>
      <c r="N450" s="33"/>
      <c r="O450" s="32">
        <v>70</v>
      </c>
      <c r="P450" s="72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3"/>
      <c r="R450" s="563"/>
      <c r="S450" s="563"/>
      <c r="T450" s="564"/>
      <c r="U450" s="34"/>
      <c r="V450" s="34"/>
      <c r="W450" s="35" t="s">
        <v>69</v>
      </c>
      <c r="X450" s="549">
        <v>60</v>
      </c>
      <c r="Y450" s="550">
        <f t="shared" si="58"/>
        <v>63.36</v>
      </c>
      <c r="Z450" s="36">
        <f>IFERROR(IF(Y450=0,"",ROUNDUP(Y450/H450,0)*0.01196),"")</f>
        <v>0.14352000000000001</v>
      </c>
      <c r="AA450" s="56"/>
      <c r="AB450" s="57"/>
      <c r="AC450" s="507" t="s">
        <v>704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9"/>
        <v>63.977272727272727</v>
      </c>
      <c r="BN450" s="64">
        <f t="shared" si="60"/>
        <v>67.559999999999988</v>
      </c>
      <c r="BO450" s="64">
        <f t="shared" si="61"/>
        <v>0.10926573426573427</v>
      </c>
      <c r="BP450" s="64">
        <f t="shared" si="62"/>
        <v>0.11538461538461539</v>
      </c>
    </row>
    <row r="451" spans="1:68" ht="27" customHeight="1" x14ac:dyDescent="0.25">
      <c r="A451" s="54" t="s">
        <v>705</v>
      </c>
      <c r="B451" s="54" t="s">
        <v>706</v>
      </c>
      <c r="C451" s="31">
        <v>4301031353</v>
      </c>
      <c r="D451" s="560">
        <v>4680115883109</v>
      </c>
      <c r="E451" s="561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106</v>
      </c>
      <c r="L451" s="32" t="s">
        <v>107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3"/>
      <c r="R451" s="563"/>
      <c r="S451" s="563"/>
      <c r="T451" s="564"/>
      <c r="U451" s="34"/>
      <c r="V451" s="34"/>
      <c r="W451" s="35" t="s">
        <v>69</v>
      </c>
      <c r="X451" s="549">
        <v>40</v>
      </c>
      <c r="Y451" s="550">
        <f t="shared" si="58"/>
        <v>42.24</v>
      </c>
      <c r="Z451" s="36">
        <f>IFERROR(IF(Y451=0,"",ROUNDUP(Y451/H451,0)*0.01196),"")</f>
        <v>9.5680000000000001E-2</v>
      </c>
      <c r="AA451" s="56"/>
      <c r="AB451" s="57"/>
      <c r="AC451" s="509" t="s">
        <v>707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9"/>
        <v>42.651515151515149</v>
      </c>
      <c r="BN451" s="64">
        <f t="shared" si="60"/>
        <v>45.04</v>
      </c>
      <c r="BO451" s="64">
        <f t="shared" si="61"/>
        <v>7.2843822843822847E-2</v>
      </c>
      <c r="BP451" s="64">
        <f t="shared" si="62"/>
        <v>7.6923076923076927E-2</v>
      </c>
    </row>
    <row r="452" spans="1:68" ht="27" hidden="1" customHeight="1" x14ac:dyDescent="0.25">
      <c r="A452" s="54" t="s">
        <v>708</v>
      </c>
      <c r="B452" s="54" t="s">
        <v>709</v>
      </c>
      <c r="C452" s="31">
        <v>4301031419</v>
      </c>
      <c r="D452" s="560">
        <v>4680115882072</v>
      </c>
      <c r="E452" s="561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112</v>
      </c>
      <c r="L452" s="32"/>
      <c r="M452" s="33" t="s">
        <v>108</v>
      </c>
      <c r="N452" s="33"/>
      <c r="O452" s="32">
        <v>70</v>
      </c>
      <c r="P452" s="6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3"/>
      <c r="R452" s="563"/>
      <c r="S452" s="563"/>
      <c r="T452" s="564"/>
      <c r="U452" s="34"/>
      <c r="V452" s="34"/>
      <c r="W452" s="35" t="s">
        <v>69</v>
      </c>
      <c r="X452" s="549">
        <v>0</v>
      </c>
      <c r="Y452" s="550">
        <f t="shared" si="58"/>
        <v>0</v>
      </c>
      <c r="Z452" s="36" t="str">
        <f>IFERROR(IF(Y452=0,"",ROUNDUP(Y452/H452,0)*0.00902),"")</f>
        <v/>
      </c>
      <c r="AA452" s="56"/>
      <c r="AB452" s="57"/>
      <c r="AC452" s="511" t="s">
        <v>701</v>
      </c>
      <c r="AG452" s="64"/>
      <c r="AJ452" s="68"/>
      <c r="AK452" s="68">
        <v>0</v>
      </c>
      <c r="BB452" s="512" t="s">
        <v>1</v>
      </c>
      <c r="BM452" s="64">
        <f t="shared" si="59"/>
        <v>0</v>
      </c>
      <c r="BN452" s="64">
        <f t="shared" si="60"/>
        <v>0</v>
      </c>
      <c r="BO452" s="64">
        <f t="shared" si="61"/>
        <v>0</v>
      </c>
      <c r="BP452" s="64">
        <f t="shared" si="62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4301031418</v>
      </c>
      <c r="D453" s="560">
        <v>4680115882102</v>
      </c>
      <c r="E453" s="561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112</v>
      </c>
      <c r="L453" s="32"/>
      <c r="M453" s="33" t="s">
        <v>68</v>
      </c>
      <c r="N453" s="33"/>
      <c r="O453" s="32">
        <v>70</v>
      </c>
      <c r="P453" s="62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3"/>
      <c r="R453" s="563"/>
      <c r="S453" s="563"/>
      <c r="T453" s="564"/>
      <c r="U453" s="34"/>
      <c r="V453" s="34"/>
      <c r="W453" s="35" t="s">
        <v>69</v>
      </c>
      <c r="X453" s="549">
        <v>0</v>
      </c>
      <c r="Y453" s="550">
        <f t="shared" si="58"/>
        <v>0</v>
      </c>
      <c r="Z453" s="36" t="str">
        <f>IFERROR(IF(Y453=0,"",ROUNDUP(Y453/H453,0)*0.00902),"")</f>
        <v/>
      </c>
      <c r="AA453" s="56"/>
      <c r="AB453" s="57"/>
      <c r="AC453" s="513" t="s">
        <v>704</v>
      </c>
      <c r="AG453" s="64"/>
      <c r="AJ453" s="68"/>
      <c r="AK453" s="68">
        <v>0</v>
      </c>
      <c r="BB453" s="514" t="s">
        <v>1</v>
      </c>
      <c r="BM453" s="64">
        <f t="shared" si="59"/>
        <v>0</v>
      </c>
      <c r="BN453" s="64">
        <f t="shared" si="60"/>
        <v>0</v>
      </c>
      <c r="BO453" s="64">
        <f t="shared" si="61"/>
        <v>0</v>
      </c>
      <c r="BP453" s="64">
        <f t="shared" si="62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4301031417</v>
      </c>
      <c r="D454" s="560">
        <v>4680115882096</v>
      </c>
      <c r="E454" s="561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112</v>
      </c>
      <c r="L454" s="32"/>
      <c r="M454" s="33" t="s">
        <v>68</v>
      </c>
      <c r="N454" s="33"/>
      <c r="O454" s="32">
        <v>70</v>
      </c>
      <c r="P454" s="6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3"/>
      <c r="R454" s="563"/>
      <c r="S454" s="563"/>
      <c r="T454" s="564"/>
      <c r="U454" s="34"/>
      <c r="V454" s="34"/>
      <c r="W454" s="35" t="s">
        <v>69</v>
      </c>
      <c r="X454" s="549">
        <v>0</v>
      </c>
      <c r="Y454" s="550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707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x14ac:dyDescent="0.2">
      <c r="A455" s="566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7"/>
      <c r="P455" s="555" t="s">
        <v>75</v>
      </c>
      <c r="Q455" s="556"/>
      <c r="R455" s="556"/>
      <c r="S455" s="556"/>
      <c r="T455" s="556"/>
      <c r="U455" s="556"/>
      <c r="V455" s="557"/>
      <c r="W455" s="37" t="s">
        <v>76</v>
      </c>
      <c r="X455" s="551">
        <f>IFERROR(X449/H449,"0")+IFERROR(X450/H450,"0")+IFERROR(X451/H451,"0")+IFERROR(X452/H452,"0")+IFERROR(X453/H453,"0")+IFERROR(X454/H454,"0")</f>
        <v>28.409090909090907</v>
      </c>
      <c r="Y455" s="551">
        <f>IFERROR(Y449/H449,"0")+IFERROR(Y450/H450,"0")+IFERROR(Y451/H451,"0")+IFERROR(Y452/H452,"0")+IFERROR(Y453/H453,"0")+IFERROR(Y454/H454,"0")</f>
        <v>30</v>
      </c>
      <c r="Z455" s="551">
        <f>IFERROR(IF(Z449="",0,Z449),"0")+IFERROR(IF(Z450="",0,Z450),"0")+IFERROR(IF(Z451="",0,Z451),"0")+IFERROR(IF(Z452="",0,Z452),"0")+IFERROR(IF(Z453="",0,Z453),"0")+IFERROR(IF(Z454="",0,Z454),"0")</f>
        <v>0.35880000000000001</v>
      </c>
      <c r="AA455" s="552"/>
      <c r="AB455" s="552"/>
      <c r="AC455" s="552"/>
    </row>
    <row r="456" spans="1:68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67"/>
      <c r="P456" s="555" t="s">
        <v>75</v>
      </c>
      <c r="Q456" s="556"/>
      <c r="R456" s="556"/>
      <c r="S456" s="556"/>
      <c r="T456" s="556"/>
      <c r="U456" s="556"/>
      <c r="V456" s="557"/>
      <c r="W456" s="37" t="s">
        <v>69</v>
      </c>
      <c r="X456" s="551">
        <f>IFERROR(SUM(X449:X454),"0")</f>
        <v>150</v>
      </c>
      <c r="Y456" s="551">
        <f>IFERROR(SUM(Y449:Y454),"0")</f>
        <v>158.4</v>
      </c>
      <c r="Z456" s="37"/>
      <c r="AA456" s="552"/>
      <c r="AB456" s="552"/>
      <c r="AC456" s="552"/>
    </row>
    <row r="457" spans="1:68" ht="14.25" hidden="1" customHeight="1" x14ac:dyDescent="0.25">
      <c r="A457" s="558" t="s">
        <v>77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5"/>
      <c r="AB457" s="545"/>
      <c r="AC457" s="545"/>
    </row>
    <row r="458" spans="1:68" ht="27" hidden="1" customHeight="1" x14ac:dyDescent="0.25">
      <c r="A458" s="54" t="s">
        <v>714</v>
      </c>
      <c r="B458" s="54" t="s">
        <v>715</v>
      </c>
      <c r="C458" s="31">
        <v>4301051064</v>
      </c>
      <c r="D458" s="560">
        <v>4680115883536</v>
      </c>
      <c r="E458" s="561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641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3"/>
      <c r="R458" s="563"/>
      <c r="S458" s="563"/>
      <c r="T458" s="564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716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6"/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67"/>
      <c r="P459" s="555" t="s">
        <v>75</v>
      </c>
      <c r="Q459" s="556"/>
      <c r="R459" s="556"/>
      <c r="S459" s="556"/>
      <c r="T459" s="556"/>
      <c r="U459" s="556"/>
      <c r="V459" s="557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59"/>
      <c r="B460" s="559"/>
      <c r="C460" s="559"/>
      <c r="D460" s="559"/>
      <c r="E460" s="559"/>
      <c r="F460" s="559"/>
      <c r="G460" s="559"/>
      <c r="H460" s="559"/>
      <c r="I460" s="559"/>
      <c r="J460" s="559"/>
      <c r="K460" s="559"/>
      <c r="L460" s="559"/>
      <c r="M460" s="559"/>
      <c r="N460" s="559"/>
      <c r="O460" s="567"/>
      <c r="P460" s="555" t="s">
        <v>75</v>
      </c>
      <c r="Q460" s="556"/>
      <c r="R460" s="556"/>
      <c r="S460" s="556"/>
      <c r="T460" s="556"/>
      <c r="U460" s="556"/>
      <c r="V460" s="557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90" t="s">
        <v>717</v>
      </c>
      <c r="B461" s="691"/>
      <c r="C461" s="691"/>
      <c r="D461" s="691"/>
      <c r="E461" s="691"/>
      <c r="F461" s="691"/>
      <c r="G461" s="691"/>
      <c r="H461" s="691"/>
      <c r="I461" s="691"/>
      <c r="J461" s="691"/>
      <c r="K461" s="691"/>
      <c r="L461" s="691"/>
      <c r="M461" s="691"/>
      <c r="N461" s="691"/>
      <c r="O461" s="691"/>
      <c r="P461" s="691"/>
      <c r="Q461" s="691"/>
      <c r="R461" s="691"/>
      <c r="S461" s="691"/>
      <c r="T461" s="691"/>
      <c r="U461" s="691"/>
      <c r="V461" s="691"/>
      <c r="W461" s="691"/>
      <c r="X461" s="691"/>
      <c r="Y461" s="691"/>
      <c r="Z461" s="691"/>
      <c r="AA461" s="48"/>
      <c r="AB461" s="48"/>
      <c r="AC461" s="48"/>
    </row>
    <row r="462" spans="1:68" ht="16.5" hidden="1" customHeight="1" x14ac:dyDescent="0.25">
      <c r="A462" s="599" t="s">
        <v>717</v>
      </c>
      <c r="B462" s="559"/>
      <c r="C462" s="559"/>
      <c r="D462" s="559"/>
      <c r="E462" s="559"/>
      <c r="F462" s="559"/>
      <c r="G462" s="559"/>
      <c r="H462" s="559"/>
      <c r="I462" s="559"/>
      <c r="J462" s="559"/>
      <c r="K462" s="559"/>
      <c r="L462" s="559"/>
      <c r="M462" s="559"/>
      <c r="N462" s="559"/>
      <c r="O462" s="559"/>
      <c r="P462" s="559"/>
      <c r="Q462" s="559"/>
      <c r="R462" s="559"/>
      <c r="S462" s="559"/>
      <c r="T462" s="559"/>
      <c r="U462" s="559"/>
      <c r="V462" s="559"/>
      <c r="W462" s="559"/>
      <c r="X462" s="559"/>
      <c r="Y462" s="559"/>
      <c r="Z462" s="559"/>
      <c r="AA462" s="544"/>
      <c r="AB462" s="544"/>
      <c r="AC462" s="544"/>
    </row>
    <row r="463" spans="1:68" ht="14.25" hidden="1" customHeight="1" x14ac:dyDescent="0.25">
      <c r="A463" s="558" t="s">
        <v>103</v>
      </c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59"/>
      <c r="P463" s="559"/>
      <c r="Q463" s="559"/>
      <c r="R463" s="559"/>
      <c r="S463" s="559"/>
      <c r="T463" s="559"/>
      <c r="U463" s="559"/>
      <c r="V463" s="559"/>
      <c r="W463" s="559"/>
      <c r="X463" s="559"/>
      <c r="Y463" s="559"/>
      <c r="Z463" s="559"/>
      <c r="AA463" s="545"/>
      <c r="AB463" s="545"/>
      <c r="AC463" s="545"/>
    </row>
    <row r="464" spans="1:68" ht="27" hidden="1" customHeight="1" x14ac:dyDescent="0.25">
      <c r="A464" s="54" t="s">
        <v>718</v>
      </c>
      <c r="B464" s="54" t="s">
        <v>719</v>
      </c>
      <c r="C464" s="31">
        <v>4301011763</v>
      </c>
      <c r="D464" s="560">
        <v>4640242181011</v>
      </c>
      <c r="E464" s="561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106</v>
      </c>
      <c r="L464" s="32"/>
      <c r="M464" s="33" t="s">
        <v>80</v>
      </c>
      <c r="N464" s="33"/>
      <c r="O464" s="32">
        <v>55</v>
      </c>
      <c r="P464" s="632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3"/>
      <c r="R464" s="563"/>
      <c r="S464" s="563"/>
      <c r="T464" s="564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4301011585</v>
      </c>
      <c r="D465" s="560">
        <v>4640242180441</v>
      </c>
      <c r="E465" s="561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106</v>
      </c>
      <c r="L465" s="32"/>
      <c r="M465" s="33" t="s">
        <v>108</v>
      </c>
      <c r="N465" s="33"/>
      <c r="O465" s="32">
        <v>50</v>
      </c>
      <c r="P465" s="7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3"/>
      <c r="R465" s="563"/>
      <c r="S465" s="563"/>
      <c r="T465" s="564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724</v>
      </c>
      <c r="B466" s="54" t="s">
        <v>725</v>
      </c>
      <c r="C466" s="31">
        <v>4301011584</v>
      </c>
      <c r="D466" s="560">
        <v>4640242180564</v>
      </c>
      <c r="E466" s="561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106</v>
      </c>
      <c r="L466" s="32" t="s">
        <v>107</v>
      </c>
      <c r="M466" s="33" t="s">
        <v>108</v>
      </c>
      <c r="N466" s="33"/>
      <c r="O466" s="32">
        <v>50</v>
      </c>
      <c r="P466" s="64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3"/>
      <c r="R466" s="563"/>
      <c r="S466" s="563"/>
      <c r="T466" s="564"/>
      <c r="U466" s="34"/>
      <c r="V466" s="34"/>
      <c r="W466" s="35" t="s">
        <v>69</v>
      </c>
      <c r="X466" s="549">
        <v>60</v>
      </c>
      <c r="Y466" s="550">
        <f>IFERROR(IF(X466="",0,CEILING((X466/$H466),1)*$H466),"")</f>
        <v>60</v>
      </c>
      <c r="Z466" s="36">
        <f>IFERROR(IF(Y466=0,"",ROUNDUP(Y466/H466,0)*0.01898),"")</f>
        <v>9.4899999999999998E-2</v>
      </c>
      <c r="AA466" s="56"/>
      <c r="AB466" s="57"/>
      <c r="AC466" s="523" t="s">
        <v>726</v>
      </c>
      <c r="AG466" s="64"/>
      <c r="AJ466" s="68" t="s">
        <v>92</v>
      </c>
      <c r="AK466" s="68">
        <v>96</v>
      </c>
      <c r="BB466" s="524" t="s">
        <v>1</v>
      </c>
      <c r="BM466" s="64">
        <f>IFERROR(X466*I466/H466,"0")</f>
        <v>62.050000000000004</v>
      </c>
      <c r="BN466" s="64">
        <f>IFERROR(Y466*I466/H466,"0")</f>
        <v>62.050000000000004</v>
      </c>
      <c r="BO466" s="64">
        <f>IFERROR(1/J466*(X466/H466),"0")</f>
        <v>7.8125E-2</v>
      </c>
      <c r="BP466" s="64">
        <f>IFERROR(1/J466*(Y466/H466),"0")</f>
        <v>7.8125E-2</v>
      </c>
    </row>
    <row r="467" spans="1:68" ht="27" hidden="1" customHeight="1" x14ac:dyDescent="0.25">
      <c r="A467" s="54" t="s">
        <v>727</v>
      </c>
      <c r="B467" s="54" t="s">
        <v>728</v>
      </c>
      <c r="C467" s="31">
        <v>4301011764</v>
      </c>
      <c r="D467" s="560">
        <v>4640242181189</v>
      </c>
      <c r="E467" s="561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112</v>
      </c>
      <c r="L467" s="32"/>
      <c r="M467" s="33" t="s">
        <v>80</v>
      </c>
      <c r="N467" s="33"/>
      <c r="O467" s="32">
        <v>55</v>
      </c>
      <c r="P467" s="69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3"/>
      <c r="R467" s="563"/>
      <c r="S467" s="563"/>
      <c r="T467" s="564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720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66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7"/>
      <c r="P468" s="555" t="s">
        <v>75</v>
      </c>
      <c r="Q468" s="556"/>
      <c r="R468" s="556"/>
      <c r="S468" s="556"/>
      <c r="T468" s="556"/>
      <c r="U468" s="556"/>
      <c r="V468" s="557"/>
      <c r="W468" s="37" t="s">
        <v>76</v>
      </c>
      <c r="X468" s="551">
        <f>IFERROR(X464/H464,"0")+IFERROR(X465/H465,"0")+IFERROR(X466/H466,"0")+IFERROR(X467/H467,"0")</f>
        <v>5</v>
      </c>
      <c r="Y468" s="551">
        <f>IFERROR(Y464/H464,"0")+IFERROR(Y465/H465,"0")+IFERROR(Y466/H466,"0")+IFERROR(Y467/H467,"0")</f>
        <v>5</v>
      </c>
      <c r="Z468" s="551">
        <f>IFERROR(IF(Z464="",0,Z464),"0")+IFERROR(IF(Z465="",0,Z465),"0")+IFERROR(IF(Z466="",0,Z466),"0")+IFERROR(IF(Z467="",0,Z467),"0")</f>
        <v>9.4899999999999998E-2</v>
      </c>
      <c r="AA468" s="552"/>
      <c r="AB468" s="552"/>
      <c r="AC468" s="552"/>
    </row>
    <row r="469" spans="1:68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7"/>
      <c r="P469" s="555" t="s">
        <v>75</v>
      </c>
      <c r="Q469" s="556"/>
      <c r="R469" s="556"/>
      <c r="S469" s="556"/>
      <c r="T469" s="556"/>
      <c r="U469" s="556"/>
      <c r="V469" s="557"/>
      <c r="W469" s="37" t="s">
        <v>69</v>
      </c>
      <c r="X469" s="551">
        <f>IFERROR(SUM(X464:X467),"0")</f>
        <v>60</v>
      </c>
      <c r="Y469" s="551">
        <f>IFERROR(SUM(Y464:Y467),"0")</f>
        <v>60</v>
      </c>
      <c r="Z469" s="37"/>
      <c r="AA469" s="552"/>
      <c r="AB469" s="552"/>
      <c r="AC469" s="552"/>
    </row>
    <row r="470" spans="1:68" ht="14.25" hidden="1" customHeight="1" x14ac:dyDescent="0.25">
      <c r="A470" s="558" t="s">
        <v>138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5"/>
      <c r="AB470" s="545"/>
      <c r="AC470" s="545"/>
    </row>
    <row r="471" spans="1:68" ht="27" hidden="1" customHeight="1" x14ac:dyDescent="0.25">
      <c r="A471" s="54" t="s">
        <v>729</v>
      </c>
      <c r="B471" s="54" t="s">
        <v>730</v>
      </c>
      <c r="C471" s="31">
        <v>4301020400</v>
      </c>
      <c r="D471" s="560">
        <v>4640242180519</v>
      </c>
      <c r="E471" s="561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106</v>
      </c>
      <c r="L471" s="32"/>
      <c r="M471" s="33" t="s">
        <v>108</v>
      </c>
      <c r="N471" s="33"/>
      <c r="O471" s="32">
        <v>50</v>
      </c>
      <c r="P471" s="62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3"/>
      <c r="R471" s="563"/>
      <c r="S471" s="563"/>
      <c r="T471" s="564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732</v>
      </c>
      <c r="B472" s="54" t="s">
        <v>733</v>
      </c>
      <c r="C472" s="31">
        <v>4301020260</v>
      </c>
      <c r="D472" s="560">
        <v>4640242180526</v>
      </c>
      <c r="E472" s="561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106</v>
      </c>
      <c r="L472" s="32"/>
      <c r="M472" s="33" t="s">
        <v>108</v>
      </c>
      <c r="N472" s="33"/>
      <c r="O472" s="32">
        <v>50</v>
      </c>
      <c r="P472" s="76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3"/>
      <c r="R472" s="563"/>
      <c r="S472" s="563"/>
      <c r="T472" s="564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734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6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7"/>
      <c r="P473" s="555" t="s">
        <v>75</v>
      </c>
      <c r="Q473" s="556"/>
      <c r="R473" s="556"/>
      <c r="S473" s="556"/>
      <c r="T473" s="556"/>
      <c r="U473" s="556"/>
      <c r="V473" s="557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59"/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67"/>
      <c r="P474" s="555" t="s">
        <v>75</v>
      </c>
      <c r="Q474" s="556"/>
      <c r="R474" s="556"/>
      <c r="S474" s="556"/>
      <c r="T474" s="556"/>
      <c r="U474" s="556"/>
      <c r="V474" s="557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58" t="s">
        <v>64</v>
      </c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59"/>
      <c r="P475" s="559"/>
      <c r="Q475" s="559"/>
      <c r="R475" s="559"/>
      <c r="S475" s="559"/>
      <c r="T475" s="559"/>
      <c r="U475" s="559"/>
      <c r="V475" s="559"/>
      <c r="W475" s="559"/>
      <c r="X475" s="559"/>
      <c r="Y475" s="559"/>
      <c r="Z475" s="559"/>
      <c r="AA475" s="545"/>
      <c r="AB475" s="545"/>
      <c r="AC475" s="545"/>
    </row>
    <row r="476" spans="1:68" ht="27" customHeight="1" x14ac:dyDescent="0.25">
      <c r="A476" s="54" t="s">
        <v>735</v>
      </c>
      <c r="B476" s="54" t="s">
        <v>736</v>
      </c>
      <c r="C476" s="31">
        <v>4301031244</v>
      </c>
      <c r="D476" s="560">
        <v>4640242180595</v>
      </c>
      <c r="E476" s="561"/>
      <c r="F476" s="548">
        <v>0.7</v>
      </c>
      <c r="G476" s="32">
        <v>6</v>
      </c>
      <c r="H476" s="548">
        <v>4.2</v>
      </c>
      <c r="I476" s="548">
        <v>4.45</v>
      </c>
      <c r="J476" s="32">
        <v>132</v>
      </c>
      <c r="K476" s="32" t="s">
        <v>112</v>
      </c>
      <c r="L476" s="32" t="s">
        <v>115</v>
      </c>
      <c r="M476" s="33" t="s">
        <v>68</v>
      </c>
      <c r="N476" s="33"/>
      <c r="O476" s="32">
        <v>40</v>
      </c>
      <c r="P476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6" s="563"/>
      <c r="R476" s="563"/>
      <c r="S476" s="563"/>
      <c r="T476" s="564"/>
      <c r="U476" s="34"/>
      <c r="V476" s="34"/>
      <c r="W476" s="35" t="s">
        <v>69</v>
      </c>
      <c r="X476" s="549">
        <v>50</v>
      </c>
      <c r="Y476" s="550">
        <f>IFERROR(IF(X476="",0,CEILING((X476/$H476),1)*$H476),"")</f>
        <v>50.400000000000006</v>
      </c>
      <c r="Z476" s="36">
        <f>IFERROR(IF(Y476=0,"",ROUNDUP(Y476/H476,0)*0.00902),"")</f>
        <v>0.10824</v>
      </c>
      <c r="AA476" s="56"/>
      <c r="AB476" s="57"/>
      <c r="AC476" s="531" t="s">
        <v>737</v>
      </c>
      <c r="AG476" s="64"/>
      <c r="AJ476" s="68" t="s">
        <v>92</v>
      </c>
      <c r="AK476" s="68">
        <v>50.4</v>
      </c>
      <c r="BB476" s="532" t="s">
        <v>1</v>
      </c>
      <c r="BM476" s="64">
        <f>IFERROR(X476*I476/H476,"0")</f>
        <v>52.976190476190474</v>
      </c>
      <c r="BN476" s="64">
        <f>IFERROR(Y476*I476/H476,"0")</f>
        <v>53.400000000000006</v>
      </c>
      <c r="BO476" s="64">
        <f>IFERROR(1/J476*(X476/H476),"0")</f>
        <v>9.0187590187590191E-2</v>
      </c>
      <c r="BP476" s="64">
        <f>IFERROR(1/J476*(Y476/H476),"0")</f>
        <v>9.0909090909090912E-2</v>
      </c>
    </row>
    <row r="477" spans="1:68" x14ac:dyDescent="0.2">
      <c r="A477" s="566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7"/>
      <c r="P477" s="555" t="s">
        <v>75</v>
      </c>
      <c r="Q477" s="556"/>
      <c r="R477" s="556"/>
      <c r="S477" s="556"/>
      <c r="T477" s="556"/>
      <c r="U477" s="556"/>
      <c r="V477" s="557"/>
      <c r="W477" s="37" t="s">
        <v>76</v>
      </c>
      <c r="X477" s="551">
        <f>IFERROR(X476/H476,"0")</f>
        <v>11.904761904761905</v>
      </c>
      <c r="Y477" s="551">
        <f>IFERROR(Y476/H476,"0")</f>
        <v>12</v>
      </c>
      <c r="Z477" s="551">
        <f>IFERROR(IF(Z476="",0,Z476),"0")</f>
        <v>0.10824</v>
      </c>
      <c r="AA477" s="552"/>
      <c r="AB477" s="552"/>
      <c r="AC477" s="552"/>
    </row>
    <row r="478" spans="1:68" x14ac:dyDescent="0.2">
      <c r="A478" s="559"/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67"/>
      <c r="P478" s="555" t="s">
        <v>75</v>
      </c>
      <c r="Q478" s="556"/>
      <c r="R478" s="556"/>
      <c r="S478" s="556"/>
      <c r="T478" s="556"/>
      <c r="U478" s="556"/>
      <c r="V478" s="557"/>
      <c r="W478" s="37" t="s">
        <v>69</v>
      </c>
      <c r="X478" s="551">
        <f>IFERROR(SUM(X476:X476),"0")</f>
        <v>50</v>
      </c>
      <c r="Y478" s="551">
        <f>IFERROR(SUM(Y476:Y476),"0")</f>
        <v>50.400000000000006</v>
      </c>
      <c r="Z478" s="37"/>
      <c r="AA478" s="552"/>
      <c r="AB478" s="552"/>
      <c r="AC478" s="552"/>
    </row>
    <row r="479" spans="1:68" ht="14.25" hidden="1" customHeight="1" x14ac:dyDescent="0.25">
      <c r="A479" s="558" t="s">
        <v>77</v>
      </c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59"/>
      <c r="P479" s="559"/>
      <c r="Q479" s="559"/>
      <c r="R479" s="559"/>
      <c r="S479" s="559"/>
      <c r="T479" s="559"/>
      <c r="U479" s="559"/>
      <c r="V479" s="559"/>
      <c r="W479" s="559"/>
      <c r="X479" s="559"/>
      <c r="Y479" s="559"/>
      <c r="Z479" s="559"/>
      <c r="AA479" s="545"/>
      <c r="AB479" s="545"/>
      <c r="AC479" s="545"/>
    </row>
    <row r="480" spans="1:68" ht="27" hidden="1" customHeight="1" x14ac:dyDescent="0.25">
      <c r="A480" s="54" t="s">
        <v>738</v>
      </c>
      <c r="B480" s="54" t="s">
        <v>739</v>
      </c>
      <c r="C480" s="31">
        <v>4301052046</v>
      </c>
      <c r="D480" s="560">
        <v>4640242180533</v>
      </c>
      <c r="E480" s="561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106</v>
      </c>
      <c r="L480" s="32" t="s">
        <v>107</v>
      </c>
      <c r="M480" s="33" t="s">
        <v>86</v>
      </c>
      <c r="N480" s="33"/>
      <c r="O480" s="32">
        <v>45</v>
      </c>
      <c r="P480" s="6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3"/>
      <c r="R480" s="563"/>
      <c r="S480" s="563"/>
      <c r="T480" s="564"/>
      <c r="U480" s="34"/>
      <c r="V480" s="34"/>
      <c r="W480" s="35" t="s">
        <v>69</v>
      </c>
      <c r="X480" s="549">
        <v>0</v>
      </c>
      <c r="Y480" s="55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740</v>
      </c>
      <c r="AG480" s="64"/>
      <c r="AJ480" s="68" t="s">
        <v>92</v>
      </c>
      <c r="AK480" s="68">
        <v>72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6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7"/>
      <c r="P481" s="555" t="s">
        <v>75</v>
      </c>
      <c r="Q481" s="556"/>
      <c r="R481" s="556"/>
      <c r="S481" s="556"/>
      <c r="T481" s="556"/>
      <c r="U481" s="556"/>
      <c r="V481" s="557"/>
      <c r="W481" s="37" t="s">
        <v>76</v>
      </c>
      <c r="X481" s="551">
        <f>IFERROR(X480/H480,"0")</f>
        <v>0</v>
      </c>
      <c r="Y481" s="551">
        <f>IFERROR(Y480/H480,"0")</f>
        <v>0</v>
      </c>
      <c r="Z481" s="551">
        <f>IFERROR(IF(Z480="",0,Z480),"0")</f>
        <v>0</v>
      </c>
      <c r="AA481" s="552"/>
      <c r="AB481" s="552"/>
      <c r="AC481" s="552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7"/>
      <c r="P482" s="555" t="s">
        <v>75</v>
      </c>
      <c r="Q482" s="556"/>
      <c r="R482" s="556"/>
      <c r="S482" s="556"/>
      <c r="T482" s="556"/>
      <c r="U482" s="556"/>
      <c r="V482" s="557"/>
      <c r="W482" s="37" t="s">
        <v>69</v>
      </c>
      <c r="X482" s="551">
        <f>IFERROR(SUM(X480:X480),"0")</f>
        <v>0</v>
      </c>
      <c r="Y482" s="551">
        <f>IFERROR(SUM(Y480:Y480),"0")</f>
        <v>0</v>
      </c>
      <c r="Z482" s="37"/>
      <c r="AA482" s="552"/>
      <c r="AB482" s="552"/>
      <c r="AC482" s="552"/>
    </row>
    <row r="483" spans="1:68" ht="14.25" hidden="1" customHeight="1" x14ac:dyDescent="0.25">
      <c r="A483" s="558" t="s">
        <v>163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5"/>
      <c r="AB483" s="545"/>
      <c r="AC483" s="545"/>
    </row>
    <row r="484" spans="1:68" ht="27" hidden="1" customHeight="1" x14ac:dyDescent="0.25">
      <c r="A484" s="54" t="s">
        <v>741</v>
      </c>
      <c r="B484" s="54" t="s">
        <v>742</v>
      </c>
      <c r="C484" s="31">
        <v>4301060491</v>
      </c>
      <c r="D484" s="560">
        <v>4640242180120</v>
      </c>
      <c r="E484" s="561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106</v>
      </c>
      <c r="L484" s="32"/>
      <c r="M484" s="33" t="s">
        <v>80</v>
      </c>
      <c r="N484" s="33"/>
      <c r="O484" s="32">
        <v>40</v>
      </c>
      <c r="P484" s="86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3"/>
      <c r="R484" s="563"/>
      <c r="S484" s="563"/>
      <c r="T484" s="564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744</v>
      </c>
      <c r="B485" s="54" t="s">
        <v>745</v>
      </c>
      <c r="C485" s="31">
        <v>4301060493</v>
      </c>
      <c r="D485" s="560">
        <v>4640242180137</v>
      </c>
      <c r="E485" s="561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106</v>
      </c>
      <c r="L485" s="32"/>
      <c r="M485" s="33" t="s">
        <v>80</v>
      </c>
      <c r="N485" s="33"/>
      <c r="O485" s="32">
        <v>40</v>
      </c>
      <c r="P485" s="76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3"/>
      <c r="R485" s="563"/>
      <c r="S485" s="563"/>
      <c r="T485" s="564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746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6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7"/>
      <c r="P486" s="555" t="s">
        <v>75</v>
      </c>
      <c r="Q486" s="556"/>
      <c r="R486" s="556"/>
      <c r="S486" s="556"/>
      <c r="T486" s="556"/>
      <c r="U486" s="556"/>
      <c r="V486" s="557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7"/>
      <c r="P487" s="555" t="s">
        <v>75</v>
      </c>
      <c r="Q487" s="556"/>
      <c r="R487" s="556"/>
      <c r="S487" s="556"/>
      <c r="T487" s="556"/>
      <c r="U487" s="556"/>
      <c r="V487" s="557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99" t="s">
        <v>747</v>
      </c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559"/>
      <c r="P488" s="559"/>
      <c r="Q488" s="559"/>
      <c r="R488" s="559"/>
      <c r="S488" s="559"/>
      <c r="T488" s="559"/>
      <c r="U488" s="559"/>
      <c r="V488" s="559"/>
      <c r="W488" s="559"/>
      <c r="X488" s="559"/>
      <c r="Y488" s="559"/>
      <c r="Z488" s="559"/>
      <c r="AA488" s="544"/>
      <c r="AB488" s="544"/>
      <c r="AC488" s="544"/>
    </row>
    <row r="489" spans="1:68" ht="14.25" hidden="1" customHeight="1" x14ac:dyDescent="0.25">
      <c r="A489" s="558" t="s">
        <v>138</v>
      </c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59"/>
      <c r="P489" s="559"/>
      <c r="Q489" s="559"/>
      <c r="R489" s="559"/>
      <c r="S489" s="559"/>
      <c r="T489" s="559"/>
      <c r="U489" s="559"/>
      <c r="V489" s="559"/>
      <c r="W489" s="559"/>
      <c r="X489" s="559"/>
      <c r="Y489" s="559"/>
      <c r="Z489" s="559"/>
      <c r="AA489" s="545"/>
      <c r="AB489" s="545"/>
      <c r="AC489" s="545"/>
    </row>
    <row r="490" spans="1:68" ht="27" hidden="1" customHeight="1" x14ac:dyDescent="0.25">
      <c r="A490" s="54" t="s">
        <v>748</v>
      </c>
      <c r="B490" s="54" t="s">
        <v>749</v>
      </c>
      <c r="C490" s="31">
        <v>4301020314</v>
      </c>
      <c r="D490" s="560">
        <v>4640242180090</v>
      </c>
      <c r="E490" s="561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106</v>
      </c>
      <c r="L490" s="32"/>
      <c r="M490" s="33" t="s">
        <v>108</v>
      </c>
      <c r="N490" s="33"/>
      <c r="O490" s="32">
        <v>50</v>
      </c>
      <c r="P490" s="815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3"/>
      <c r="R490" s="563"/>
      <c r="S490" s="563"/>
      <c r="T490" s="564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750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6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567"/>
      <c r="P491" s="555" t="s">
        <v>75</v>
      </c>
      <c r="Q491" s="556"/>
      <c r="R491" s="556"/>
      <c r="S491" s="556"/>
      <c r="T491" s="556"/>
      <c r="U491" s="556"/>
      <c r="V491" s="557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567"/>
      <c r="P492" s="555" t="s">
        <v>75</v>
      </c>
      <c r="Q492" s="556"/>
      <c r="R492" s="556"/>
      <c r="S492" s="556"/>
      <c r="T492" s="556"/>
      <c r="U492" s="556"/>
      <c r="V492" s="557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802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32"/>
      <c r="P493" s="724" t="s">
        <v>751</v>
      </c>
      <c r="Q493" s="678"/>
      <c r="R493" s="678"/>
      <c r="S493" s="678"/>
      <c r="T493" s="678"/>
      <c r="U493" s="678"/>
      <c r="V493" s="679"/>
      <c r="W493" s="37" t="s">
        <v>69</v>
      </c>
      <c r="X493" s="551">
        <f>IFERROR(X25+X33+X37+X45+X49+X59+X65+X70+X77+X82+X90+X97+X106+X113+X120+X124+X130+X135+X140+X146+X155+X159+X165+X180+X186+X190+X196+X201+X212+X224+X229+X242+X246+X250+X258+X267+X275+X282+X288+X293+X303+X312+X319+X325+X332+X338+X345+X357+X362+X367+X371+X377+X382+X388+X402+X407+X412+X419+X424+X441+X447+X456+X460+X469+X474+X478+X482+X487+X492,"0")</f>
        <v>2214.1899999999996</v>
      </c>
      <c r="Y493" s="551">
        <f>IFERROR(Y25+Y33+Y37+Y45+Y49+Y59+Y65+Y70+Y77+Y82+Y90+Y97+Y106+Y113+Y120+Y124+Y130+Y135+Y140+Y146+Y155+Y159+Y165+Y180+Y186+Y190+Y196+Y201+Y212+Y224+Y229+Y242+Y246+Y250+Y258+Y267+Y275+Y282+Y288+Y293+Y303+Y312+Y319+Y325+Y332+Y338+Y345+Y357+Y362+Y367+Y371+Y377+Y382+Y388+Y402+Y407+Y412+Y419+Y424+Y441+Y447+Y456+Y460+Y469+Y474+Y478+Y482+Y487+Y492,"0")</f>
        <v>2269.3000000000002</v>
      </c>
      <c r="Z493" s="37"/>
      <c r="AA493" s="552"/>
      <c r="AB493" s="552"/>
      <c r="AC493" s="552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32"/>
      <c r="P494" s="724" t="s">
        <v>752</v>
      </c>
      <c r="Q494" s="678"/>
      <c r="R494" s="678"/>
      <c r="S494" s="678"/>
      <c r="T494" s="678"/>
      <c r="U494" s="678"/>
      <c r="V494" s="679"/>
      <c r="W494" s="37" t="s">
        <v>69</v>
      </c>
      <c r="X494" s="551">
        <f>IFERROR(SUM(BM22:BM490),"0")</f>
        <v>2332.6020619770088</v>
      </c>
      <c r="Y494" s="551">
        <f>IFERROR(SUM(BN22:BN490),"0")</f>
        <v>2390.6870000000004</v>
      </c>
      <c r="Z494" s="37"/>
      <c r="AA494" s="552"/>
      <c r="AB494" s="552"/>
      <c r="AC494" s="552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32"/>
      <c r="P495" s="724" t="s">
        <v>753</v>
      </c>
      <c r="Q495" s="678"/>
      <c r="R495" s="678"/>
      <c r="S495" s="678"/>
      <c r="T495" s="678"/>
      <c r="U495" s="678"/>
      <c r="V495" s="679"/>
      <c r="W495" s="37" t="s">
        <v>754</v>
      </c>
      <c r="X495" s="38">
        <f>ROUNDUP(SUM(BO22:BO490),0)</f>
        <v>4</v>
      </c>
      <c r="Y495" s="38">
        <f>ROUNDUP(SUM(BP22:BP490),0)</f>
        <v>4</v>
      </c>
      <c r="Z495" s="37"/>
      <c r="AA495" s="552"/>
      <c r="AB495" s="552"/>
      <c r="AC495" s="552"/>
    </row>
    <row r="496" spans="1:68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32"/>
      <c r="P496" s="724" t="s">
        <v>755</v>
      </c>
      <c r="Q496" s="678"/>
      <c r="R496" s="678"/>
      <c r="S496" s="678"/>
      <c r="T496" s="678"/>
      <c r="U496" s="678"/>
      <c r="V496" s="679"/>
      <c r="W496" s="37" t="s">
        <v>69</v>
      </c>
      <c r="X496" s="551">
        <f>GrossWeightTotal+PalletQtyTotal*25</f>
        <v>2432.6020619770088</v>
      </c>
      <c r="Y496" s="551">
        <f>GrossWeightTotalR+PalletQtyTotalR*25</f>
        <v>2490.6870000000004</v>
      </c>
      <c r="Z496" s="37"/>
      <c r="AA496" s="552"/>
      <c r="AB496" s="552"/>
      <c r="AC496" s="552"/>
    </row>
    <row r="497" spans="1:32" x14ac:dyDescent="0.2">
      <c r="A497" s="559"/>
      <c r="B497" s="559"/>
      <c r="C497" s="559"/>
      <c r="D497" s="559"/>
      <c r="E497" s="559"/>
      <c r="F497" s="559"/>
      <c r="G497" s="559"/>
      <c r="H497" s="559"/>
      <c r="I497" s="559"/>
      <c r="J497" s="559"/>
      <c r="K497" s="559"/>
      <c r="L497" s="559"/>
      <c r="M497" s="559"/>
      <c r="N497" s="559"/>
      <c r="O497" s="732"/>
      <c r="P497" s="724" t="s">
        <v>756</v>
      </c>
      <c r="Q497" s="678"/>
      <c r="R497" s="678"/>
      <c r="S497" s="678"/>
      <c r="T497" s="678"/>
      <c r="U497" s="678"/>
      <c r="V497" s="679"/>
      <c r="W497" s="37" t="s">
        <v>754</v>
      </c>
      <c r="X497" s="551">
        <f>IFERROR(X24+X32+X36+X44+X48+X58+X64+X69+X76+X81+X89+X96+X105+X112+X119+X123+X129+X134+X139+X145+X154+X158+X164+X179+X185+X189+X195+X200+X211+X223+X228+X241+X245+X249+X257+X266+X274+X281+X287+X292+X302+X311+X318+X324+X331+X337+X344+X356+X361+X366+X370+X376+X381+X387+X401+X406+X411+X418+X423+X440+X446+X455+X459+X468+X473+X477+X481+X486+X491,"0")</f>
        <v>330.84594206962629</v>
      </c>
      <c r="Y497" s="551">
        <f>IFERROR(Y24+Y32+Y36+Y44+Y48+Y58+Y64+Y69+Y76+Y81+Y89+Y96+Y105+Y112+Y119+Y123+Y129+Y134+Y139+Y145+Y154+Y158+Y164+Y179+Y185+Y189+Y195+Y200+Y211+Y223+Y228+Y241+Y245+Y249+Y257+Y266+Y274+Y281+Y287+Y292+Y302+Y311+Y318+Y324+Y331+Y337+Y344+Y356+Y361+Y366+Y370+Y376+Y381+Y387+Y401+Y406+Y411+Y418+Y423+Y440+Y446+Y455+Y459+Y468+Y473+Y477+Y481+Y486+Y491,"0")</f>
        <v>341</v>
      </c>
      <c r="Z497" s="37"/>
      <c r="AA497" s="552"/>
      <c r="AB497" s="552"/>
      <c r="AC497" s="552"/>
    </row>
    <row r="498" spans="1:32" ht="14.25" hidden="1" customHeight="1" x14ac:dyDescent="0.2">
      <c r="A498" s="559"/>
      <c r="B498" s="559"/>
      <c r="C498" s="559"/>
      <c r="D498" s="559"/>
      <c r="E498" s="559"/>
      <c r="F498" s="559"/>
      <c r="G498" s="559"/>
      <c r="H498" s="559"/>
      <c r="I498" s="559"/>
      <c r="J498" s="559"/>
      <c r="K498" s="559"/>
      <c r="L498" s="559"/>
      <c r="M498" s="559"/>
      <c r="N498" s="559"/>
      <c r="O498" s="732"/>
      <c r="P498" s="724" t="s">
        <v>757</v>
      </c>
      <c r="Q498" s="678"/>
      <c r="R498" s="678"/>
      <c r="S498" s="678"/>
      <c r="T498" s="678"/>
      <c r="U498" s="678"/>
      <c r="V498" s="679"/>
      <c r="W498" s="39" t="s">
        <v>758</v>
      </c>
      <c r="X498" s="37"/>
      <c r="Y498" s="37"/>
      <c r="Z498" s="37">
        <f>IFERROR(Z24+Z32+Z36+Z44+Z48+Z58+Z64+Z69+Z76+Z81+Z89+Z96+Z105+Z112+Z119+Z123+Z129+Z134+Z139+Z145+Z154+Z158+Z164+Z179+Z185+Z189+Z195+Z200+Z211+Z223+Z228+Z241+Z245+Z249+Z257+Z266+Z274+Z281+Z287+Z292+Z302+Z311+Z318+Z324+Z331+Z337+Z344+Z356+Z361+Z366+Z370+Z376+Z381+Z387+Z401+Z406+Z411+Z418+Z423+Z440+Z446+Z455+Z459+Z468+Z473+Z477+Z481+Z486+Z491,"0")</f>
        <v>4.6203600000000007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759</v>
      </c>
      <c r="B500" s="546" t="s">
        <v>63</v>
      </c>
      <c r="C500" s="585" t="s">
        <v>101</v>
      </c>
      <c r="D500" s="751"/>
      <c r="E500" s="751"/>
      <c r="F500" s="751"/>
      <c r="G500" s="751"/>
      <c r="H500" s="752"/>
      <c r="I500" s="585" t="s">
        <v>273</v>
      </c>
      <c r="J500" s="751"/>
      <c r="K500" s="751"/>
      <c r="L500" s="751"/>
      <c r="M500" s="751"/>
      <c r="N500" s="751"/>
      <c r="O500" s="751"/>
      <c r="P500" s="751"/>
      <c r="Q500" s="751"/>
      <c r="R500" s="752"/>
      <c r="S500" s="585" t="s">
        <v>557</v>
      </c>
      <c r="T500" s="752"/>
      <c r="U500" s="585" t="s">
        <v>611</v>
      </c>
      <c r="V500" s="751"/>
      <c r="W500" s="752"/>
      <c r="X500" s="546" t="s">
        <v>662</v>
      </c>
      <c r="Y500" s="585" t="s">
        <v>717</v>
      </c>
      <c r="Z500" s="752"/>
      <c r="AB500" s="52"/>
      <c r="AC500" s="52"/>
      <c r="AF500" s="547"/>
    </row>
    <row r="501" spans="1:32" ht="14.25" customHeight="1" thickTop="1" x14ac:dyDescent="0.2">
      <c r="A501" s="808" t="s">
        <v>760</v>
      </c>
      <c r="B501" s="585" t="s">
        <v>63</v>
      </c>
      <c r="C501" s="585" t="s">
        <v>102</v>
      </c>
      <c r="D501" s="585" t="s">
        <v>119</v>
      </c>
      <c r="E501" s="585" t="s">
        <v>170</v>
      </c>
      <c r="F501" s="585" t="s">
        <v>193</v>
      </c>
      <c r="G501" s="585" t="s">
        <v>230</v>
      </c>
      <c r="H501" s="585" t="s">
        <v>101</v>
      </c>
      <c r="I501" s="585" t="s">
        <v>274</v>
      </c>
      <c r="J501" s="585" t="s">
        <v>324</v>
      </c>
      <c r="K501" s="585" t="s">
        <v>383</v>
      </c>
      <c r="L501" s="585" t="s">
        <v>423</v>
      </c>
      <c r="M501" s="585" t="s">
        <v>439</v>
      </c>
      <c r="N501" s="547"/>
      <c r="O501" s="585" t="s">
        <v>450</v>
      </c>
      <c r="P501" s="585" t="s">
        <v>459</v>
      </c>
      <c r="Q501" s="585" t="s">
        <v>472</v>
      </c>
      <c r="R501" s="585" t="s">
        <v>547</v>
      </c>
      <c r="S501" s="585" t="s">
        <v>558</v>
      </c>
      <c r="T501" s="585" t="s">
        <v>593</v>
      </c>
      <c r="U501" s="585" t="s">
        <v>612</v>
      </c>
      <c r="V501" s="585" t="s">
        <v>643</v>
      </c>
      <c r="W501" s="585" t="s">
        <v>658</v>
      </c>
      <c r="X501" s="585" t="s">
        <v>662</v>
      </c>
      <c r="Y501" s="585" t="s">
        <v>717</v>
      </c>
      <c r="Z501" s="585" t="s">
        <v>747</v>
      </c>
      <c r="AB501" s="52"/>
      <c r="AC501" s="52"/>
      <c r="AF501" s="547"/>
    </row>
    <row r="502" spans="1:32" ht="13.5" customHeight="1" thickBot="1" x14ac:dyDescent="0.25">
      <c r="A502" s="809"/>
      <c r="B502" s="586"/>
      <c r="C502" s="586"/>
      <c r="D502" s="586"/>
      <c r="E502" s="586"/>
      <c r="F502" s="586"/>
      <c r="G502" s="586"/>
      <c r="H502" s="586"/>
      <c r="I502" s="586"/>
      <c r="J502" s="586"/>
      <c r="K502" s="586"/>
      <c r="L502" s="586"/>
      <c r="M502" s="586"/>
      <c r="N502" s="547"/>
      <c r="O502" s="586"/>
      <c r="P502" s="586"/>
      <c r="Q502" s="586"/>
      <c r="R502" s="586"/>
      <c r="S502" s="586"/>
      <c r="T502" s="586"/>
      <c r="U502" s="586"/>
      <c r="V502" s="586"/>
      <c r="W502" s="586"/>
      <c r="X502" s="586"/>
      <c r="Y502" s="586"/>
      <c r="Z502" s="586"/>
      <c r="AB502" s="52"/>
      <c r="AC502" s="52"/>
      <c r="AF502" s="547"/>
    </row>
    <row r="503" spans="1:32" ht="18" customHeight="1" thickTop="1" thickBot="1" x14ac:dyDescent="0.25">
      <c r="A503" s="40" t="s">
        <v>761</v>
      </c>
      <c r="B503" s="46">
        <f>IFERROR(Y22*1,"0")+IFERROR(Y23*1,"0")+IFERROR(Y27*1,"0")+IFERROR(Y28*1,"0")+IFERROR(Y29*1,"0")+IFERROR(Y30*1,"0")+IFERROR(Y31*1,"0")+IFERROR(Y35*1,"0")</f>
        <v>0</v>
      </c>
      <c r="C503" s="46">
        <f>IFERROR(Y41*1,"0")+IFERROR(Y42*1,"0")+IFERROR(Y43*1,"0")+IFERROR(Y47*1,"0")</f>
        <v>0</v>
      </c>
      <c r="D503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132.30000000000001</v>
      </c>
      <c r="E503" s="46">
        <f>IFERROR(Y85*1,"0")+IFERROR(Y86*1,"0")+IFERROR(Y87*1,"0")+IFERROR(Y88*1,"0")+IFERROR(Y92*1,"0")+IFERROR(Y93*1,"0")+IFERROR(Y94*1,"0")+IFERROR(Y95*1,"0")</f>
        <v>0</v>
      </c>
      <c r="F503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4.8</v>
      </c>
      <c r="G503" s="46">
        <f>IFERROR(Y127*1,"0")+IFERROR(Y128*1,"0")+IFERROR(Y132*1,"0")+IFERROR(Y133*1,"0")+IFERROR(Y137*1,"0")+IFERROR(Y138*1,"0")</f>
        <v>41.92</v>
      </c>
      <c r="H503" s="46">
        <f>IFERROR(Y143*1,"0")+IFERROR(Y144*1,"0")+IFERROR(Y148*1,"0")+IFERROR(Y149*1,"0")+IFERROR(Y150*1,"0")+IFERROR(Y151*1,"0")+IFERROR(Y152*1,"0")+IFERROR(Y153*1,"0")+IFERROR(Y157*1,"0")</f>
        <v>27</v>
      </c>
      <c r="I503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1.26</v>
      </c>
      <c r="J503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19.8</v>
      </c>
      <c r="K503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20.519999999999996</v>
      </c>
      <c r="L503" s="46">
        <f>IFERROR(Y261*1,"0")+IFERROR(Y262*1,"0")+IFERROR(Y263*1,"0")+IFERROR(Y264*1,"0")+IFERROR(Y265*1,"0")</f>
        <v>0</v>
      </c>
      <c r="M503" s="46">
        <f>IFERROR(Y270*1,"0")+IFERROR(Y271*1,"0")+IFERROR(Y272*1,"0")+IFERROR(Y273*1,"0")</f>
        <v>0</v>
      </c>
      <c r="N503" s="547"/>
      <c r="O503" s="46">
        <f>IFERROR(Y278*1,"0")+IFERROR(Y279*1,"0")+IFERROR(Y280*1,"0")</f>
        <v>9.6</v>
      </c>
      <c r="P503" s="46">
        <f>IFERROR(Y285*1,"0")+IFERROR(Y286*1,"0")+IFERROR(Y290*1,"0")+IFERROR(Y291*1,"0")</f>
        <v>0</v>
      </c>
      <c r="Q503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624.66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555</v>
      </c>
      <c r="T503" s="46">
        <f>IFERROR(Y374*1,"0")+IFERROR(Y375*1,"0")+IFERROR(Y379*1,"0")+IFERROR(Y380*1,"0")+IFERROR(Y384*1,"0")+IFERROR(Y385*1,"0")+IFERROR(Y386*1,"0")</f>
        <v>405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32.400000000000006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284.64000000000004</v>
      </c>
      <c r="Y503" s="46">
        <f>IFERROR(Y464*1,"0")+IFERROR(Y465*1,"0")+IFERROR(Y466*1,"0")+IFERROR(Y467*1,"0")+IFERROR(Y471*1,"0")+IFERROR(Y472*1,"0")+IFERROR(Y476*1,"0")+IFERROR(Y480*1,"0")+IFERROR(Y484*1,"0")+IFERROR(Y485*1,"0")</f>
        <v>110.4</v>
      </c>
      <c r="Z503" s="46">
        <f>IFERROR(Y490*1,"0")</f>
        <v>0</v>
      </c>
      <c r="AB503" s="52"/>
      <c r="AC503" s="52"/>
      <c r="AF503" s="547"/>
    </row>
  </sheetData>
  <sheetProtection algorithmName="SHA-512" hashValue="DM0emxmGB/S4cUMNHveKYiIjZ+h0gFY2VrpA6OGP73z3gk+yu9QmZ87Pd3vaU3/wDNHV4kTR+WN59vVtdnLmuw==" saltValue="XoxdV1O4nFrtHfW2gDdoaQ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0,99"/>
        <filter val="1,05"/>
        <filter val="1,25"/>
        <filter val="1,50"/>
        <filter val="10,00"/>
        <filter val="100,00"/>
        <filter val="11,90"/>
        <filter val="12,00"/>
        <filter val="12,67"/>
        <filter val="122,50"/>
        <filter val="124,80"/>
        <filter val="14,82"/>
        <filter val="150,00"/>
        <filter val="158,40"/>
        <filter val="17,59"/>
        <filter val="19,00"/>
        <filter val="2 214,19"/>
        <filter val="2 332,60"/>
        <filter val="2 432,60"/>
        <filter val="2,50"/>
        <filter val="2,78"/>
        <filter val="2,97"/>
        <filter val="20,00"/>
        <filter val="22,50"/>
        <filter val="24,00"/>
        <filter val="24,73"/>
        <filter val="25,00"/>
        <filter val="26,67"/>
        <filter val="27,30"/>
        <filter val="28,41"/>
        <filter val="3,00"/>
        <filter val="3,33"/>
        <filter val="3,96"/>
        <filter val="330,85"/>
        <filter val="39,71"/>
        <filter val="4"/>
        <filter val="4,00"/>
        <filter val="4,44"/>
        <filter val="4,80"/>
        <filter val="40,00"/>
        <filter val="400,00"/>
        <filter val="44,44"/>
        <filter val="5,00"/>
        <filter val="5,40"/>
        <filter val="50,00"/>
        <filter val="51,28"/>
        <filter val="6,85"/>
        <filter val="60,00"/>
        <filter val="7,00"/>
        <filter val="7,50"/>
        <filter val="7,65"/>
        <filter val="7,92"/>
        <filter val="8,00"/>
        <filter val="8,40"/>
        <filter val="9,00"/>
        <filter val="9,95"/>
      </filters>
    </filterColumn>
    <filterColumn colId="29" showButton="0"/>
    <filterColumn colId="30" showButton="0"/>
  </autoFilter>
  <mergeCells count="882">
    <mergeCell ref="A8:C8"/>
    <mergeCell ref="P360:T360"/>
    <mergeCell ref="A477:O47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76:V76"/>
    <mergeCell ref="A10:C10"/>
    <mergeCell ref="P361:V361"/>
    <mergeCell ref="A413:Z413"/>
    <mergeCell ref="P218:T218"/>
    <mergeCell ref="P69:V69"/>
    <mergeCell ref="P311:V311"/>
    <mergeCell ref="P140:V140"/>
    <mergeCell ref="A192:Z192"/>
    <mergeCell ref="A136:Z136"/>
    <mergeCell ref="A21:Z21"/>
    <mergeCell ref="D184:E184"/>
    <mergeCell ref="A366:O367"/>
    <mergeCell ref="V12:W12"/>
    <mergeCell ref="A200:O201"/>
    <mergeCell ref="D458:E458"/>
    <mergeCell ref="D433:E433"/>
    <mergeCell ref="D262:E262"/>
    <mergeCell ref="D237:E237"/>
    <mergeCell ref="A39:Z39"/>
    <mergeCell ref="A44:O45"/>
    <mergeCell ref="P85:T85"/>
    <mergeCell ref="D291:E291"/>
    <mergeCell ref="D239:E239"/>
    <mergeCell ref="P174:T174"/>
    <mergeCell ref="P149:T149"/>
    <mergeCell ref="A339:Z339"/>
    <mergeCell ref="D95:E95"/>
    <mergeCell ref="U17:V17"/>
    <mergeCell ref="P410:T410"/>
    <mergeCell ref="P385:T385"/>
    <mergeCell ref="A266:O267"/>
    <mergeCell ref="D57:E57"/>
    <mergeCell ref="Y17:Y18"/>
    <mergeCell ref="D355:E355"/>
    <mergeCell ref="P356:V356"/>
    <mergeCell ref="A181:Z181"/>
    <mergeCell ref="Q5:R5"/>
    <mergeCell ref="P297:T297"/>
    <mergeCell ref="P435:T435"/>
    <mergeCell ref="D278:E278"/>
    <mergeCell ref="P291:T291"/>
    <mergeCell ref="D163:E163"/>
    <mergeCell ref="P484:T484"/>
    <mergeCell ref="D405:E405"/>
    <mergeCell ref="D234:E234"/>
    <mergeCell ref="A24:O25"/>
    <mergeCell ref="P434:T434"/>
    <mergeCell ref="P263:T263"/>
    <mergeCell ref="D244:E244"/>
    <mergeCell ref="D342:E342"/>
    <mergeCell ref="P355:T355"/>
    <mergeCell ref="D171:E171"/>
    <mergeCell ref="D336:E336"/>
    <mergeCell ref="Q6:R6"/>
    <mergeCell ref="P436:T436"/>
    <mergeCell ref="A425:Z425"/>
    <mergeCell ref="A189:O190"/>
    <mergeCell ref="D102:E102"/>
    <mergeCell ref="P81:V81"/>
    <mergeCell ref="A269:Z269"/>
    <mergeCell ref="P495:V495"/>
    <mergeCell ref="A320:Z320"/>
    <mergeCell ref="A347:Z347"/>
    <mergeCell ref="A114:Z114"/>
    <mergeCell ref="P439:T439"/>
    <mergeCell ref="A191:Z191"/>
    <mergeCell ref="P433:T433"/>
    <mergeCell ref="P262:T262"/>
    <mergeCell ref="A107:Z107"/>
    <mergeCell ref="D341:E341"/>
    <mergeCell ref="D170:E170"/>
    <mergeCell ref="P303:V303"/>
    <mergeCell ref="P199:T199"/>
    <mergeCell ref="P419:V419"/>
    <mergeCell ref="P145:V145"/>
    <mergeCell ref="D133:E133"/>
    <mergeCell ref="P381:V381"/>
    <mergeCell ref="A231:Z231"/>
    <mergeCell ref="A333:Z333"/>
    <mergeCell ref="P185:V185"/>
    <mergeCell ref="D271:E271"/>
    <mergeCell ref="A468:O469"/>
    <mergeCell ref="A479:Z479"/>
    <mergeCell ref="D173:E173"/>
    <mergeCell ref="P493:V493"/>
    <mergeCell ref="D452:E452"/>
    <mergeCell ref="P371:V371"/>
    <mergeCell ref="D252:E252"/>
    <mergeCell ref="A20:Z20"/>
    <mergeCell ref="A411:O412"/>
    <mergeCell ref="A348:Z348"/>
    <mergeCell ref="P110:T110"/>
    <mergeCell ref="D218:E218"/>
    <mergeCell ref="A51:Z51"/>
    <mergeCell ref="P72:T72"/>
    <mergeCell ref="A58:O59"/>
    <mergeCell ref="D54:E54"/>
    <mergeCell ref="D42:E42"/>
    <mergeCell ref="D471:E471"/>
    <mergeCell ref="A131:Z131"/>
    <mergeCell ref="P307:T307"/>
    <mergeCell ref="P444:T444"/>
    <mergeCell ref="D110:E110"/>
    <mergeCell ref="D286:E286"/>
    <mergeCell ref="P387:V387"/>
    <mergeCell ref="P492:V492"/>
    <mergeCell ref="P415:T415"/>
    <mergeCell ref="A489:Z489"/>
    <mergeCell ref="AD17:AF18"/>
    <mergeCell ref="A481:O482"/>
    <mergeCell ref="D101:E101"/>
    <mergeCell ref="A337:O338"/>
    <mergeCell ref="F5:G5"/>
    <mergeCell ref="A488:Z488"/>
    <mergeCell ref="P411:V411"/>
    <mergeCell ref="A463:Z463"/>
    <mergeCell ref="P67:T67"/>
    <mergeCell ref="D430:E430"/>
    <mergeCell ref="P119:V119"/>
    <mergeCell ref="D175:E175"/>
    <mergeCell ref="A36:O37"/>
    <mergeCell ref="P253:T253"/>
    <mergeCell ref="D392:E392"/>
    <mergeCell ref="P469:V469"/>
    <mergeCell ref="A294:Z294"/>
    <mergeCell ref="D221:E221"/>
    <mergeCell ref="A370:O371"/>
    <mergeCell ref="V11:W11"/>
    <mergeCell ref="P57:T57"/>
    <mergeCell ref="P75:T75"/>
    <mergeCell ref="P342:T342"/>
    <mergeCell ref="P406:V406"/>
    <mergeCell ref="U500:W500"/>
    <mergeCell ref="I501:I502"/>
    <mergeCell ref="K501:K502"/>
    <mergeCell ref="D323:E323"/>
    <mergeCell ref="D394:E394"/>
    <mergeCell ref="D450:E450"/>
    <mergeCell ref="P2:W3"/>
    <mergeCell ref="P498:V498"/>
    <mergeCell ref="P133:T133"/>
    <mergeCell ref="P298:T298"/>
    <mergeCell ref="D437:E437"/>
    <mergeCell ref="P369:T369"/>
    <mergeCell ref="P198:T198"/>
    <mergeCell ref="P127:T127"/>
    <mergeCell ref="P54:T54"/>
    <mergeCell ref="D35:E35"/>
    <mergeCell ref="D404:E404"/>
    <mergeCell ref="P312:V312"/>
    <mergeCell ref="A289:Z289"/>
    <mergeCell ref="D10:E10"/>
    <mergeCell ref="F10:G10"/>
    <mergeCell ref="D305:E305"/>
    <mergeCell ref="P349:T349"/>
    <mergeCell ref="D270:E270"/>
    <mergeCell ref="D29:E29"/>
    <mergeCell ref="D23:E23"/>
    <mergeCell ref="D265:E265"/>
    <mergeCell ref="D216:E216"/>
    <mergeCell ref="P195:V195"/>
    <mergeCell ref="A134:O135"/>
    <mergeCell ref="A125:Z125"/>
    <mergeCell ref="N17:N18"/>
    <mergeCell ref="F17:F18"/>
    <mergeCell ref="D17:E18"/>
    <mergeCell ref="X17:X18"/>
    <mergeCell ref="P102:T102"/>
    <mergeCell ref="A247:Z247"/>
    <mergeCell ref="P189:V189"/>
    <mergeCell ref="D177:E177"/>
    <mergeCell ref="D226:E226"/>
    <mergeCell ref="P183:T183"/>
    <mergeCell ref="A245:O246"/>
    <mergeCell ref="P128:T128"/>
    <mergeCell ref="A9:C9"/>
    <mergeCell ref="P323:T323"/>
    <mergeCell ref="A91:Z91"/>
    <mergeCell ref="P337:V337"/>
    <mergeCell ref="P70:V70"/>
    <mergeCell ref="A389:Z389"/>
    <mergeCell ref="A156:Z156"/>
    <mergeCell ref="P32:V32"/>
    <mergeCell ref="P474:V474"/>
    <mergeCell ref="P134:V134"/>
    <mergeCell ref="P401:V401"/>
    <mergeCell ref="P97:V97"/>
    <mergeCell ref="Q13:R13"/>
    <mergeCell ref="A391:Z391"/>
    <mergeCell ref="A318:O319"/>
    <mergeCell ref="M17:M18"/>
    <mergeCell ref="A409:Z409"/>
    <mergeCell ref="O17:O18"/>
    <mergeCell ref="P336:T336"/>
    <mergeCell ref="P258:V258"/>
    <mergeCell ref="P423:V423"/>
    <mergeCell ref="P223:V223"/>
    <mergeCell ref="P62:T62"/>
    <mergeCell ref="P317:T317"/>
    <mergeCell ref="D434:E434"/>
    <mergeCell ref="P482:V482"/>
    <mergeCell ref="A241:O242"/>
    <mergeCell ref="P111:T111"/>
    <mergeCell ref="V501:V502"/>
    <mergeCell ref="P359:T359"/>
    <mergeCell ref="X501:X502"/>
    <mergeCell ref="P490:T490"/>
    <mergeCell ref="D436:E436"/>
    <mergeCell ref="D227:E227"/>
    <mergeCell ref="P321:T321"/>
    <mergeCell ref="I500:R500"/>
    <mergeCell ref="D279:E279"/>
    <mergeCell ref="D152:E152"/>
    <mergeCell ref="D296:E296"/>
    <mergeCell ref="P275:V275"/>
    <mergeCell ref="P494:V494"/>
    <mergeCell ref="P430:T430"/>
    <mergeCell ref="P481:V481"/>
    <mergeCell ref="P417:T417"/>
    <mergeCell ref="B501:B502"/>
    <mergeCell ref="P456:V456"/>
    <mergeCell ref="A483:Z483"/>
    <mergeCell ref="P287:V287"/>
    <mergeCell ref="P35:T35"/>
    <mergeCell ref="P399:T399"/>
    <mergeCell ref="A295:Z295"/>
    <mergeCell ref="A81:O82"/>
    <mergeCell ref="D314:E314"/>
    <mergeCell ref="P242:V242"/>
    <mergeCell ref="P407:V407"/>
    <mergeCell ref="A403:Z403"/>
    <mergeCell ref="D80:E80"/>
    <mergeCell ref="P382:V382"/>
    <mergeCell ref="P357:V357"/>
    <mergeCell ref="P188:T188"/>
    <mergeCell ref="A225:Z225"/>
    <mergeCell ref="P123:V123"/>
    <mergeCell ref="A105:O106"/>
    <mergeCell ref="P281:V281"/>
    <mergeCell ref="P354:T354"/>
    <mergeCell ref="P365:T365"/>
    <mergeCell ref="D397:E397"/>
    <mergeCell ref="P376:V376"/>
    <mergeCell ref="A344:O345"/>
    <mergeCell ref="D310:E310"/>
    <mergeCell ref="P364:T364"/>
    <mergeCell ref="H5:M5"/>
    <mergeCell ref="P473:V473"/>
    <mergeCell ref="A228:O229"/>
    <mergeCell ref="P158:V158"/>
    <mergeCell ref="D439:E439"/>
    <mergeCell ref="P396:T396"/>
    <mergeCell ref="A390:Z390"/>
    <mergeCell ref="D317:E317"/>
    <mergeCell ref="D6:M6"/>
    <mergeCell ref="P93:T93"/>
    <mergeCell ref="P120:V120"/>
    <mergeCell ref="D85:E85"/>
    <mergeCell ref="G17:G18"/>
    <mergeCell ref="P61:T61"/>
    <mergeCell ref="P41:T41"/>
    <mergeCell ref="D22:E22"/>
    <mergeCell ref="D86:E86"/>
    <mergeCell ref="D384:E384"/>
    <mergeCell ref="P341:T341"/>
    <mergeCell ref="A457:Z457"/>
    <mergeCell ref="A387:O388"/>
    <mergeCell ref="D151:E151"/>
    <mergeCell ref="D449:E449"/>
    <mergeCell ref="A64:O65"/>
    <mergeCell ref="V6:W9"/>
    <mergeCell ref="D364:E364"/>
    <mergeCell ref="P109:T109"/>
    <mergeCell ref="D435:E435"/>
    <mergeCell ref="D217:E217"/>
    <mergeCell ref="D484:E484"/>
    <mergeCell ref="P222:T222"/>
    <mergeCell ref="P193:T193"/>
    <mergeCell ref="P22:T22"/>
    <mergeCell ref="P314:T314"/>
    <mergeCell ref="D428:E428"/>
    <mergeCell ref="D415:E415"/>
    <mergeCell ref="A455:O456"/>
    <mergeCell ref="A346:Z346"/>
    <mergeCell ref="P80:T80"/>
    <mergeCell ref="D194:E194"/>
    <mergeCell ref="Z17:Z18"/>
    <mergeCell ref="A283:Z283"/>
    <mergeCell ref="A448:Z448"/>
    <mergeCell ref="A277:Z277"/>
    <mergeCell ref="P44:V44"/>
    <mergeCell ref="D321:E321"/>
    <mergeCell ref="P278:T278"/>
    <mergeCell ref="D150:E150"/>
    <mergeCell ref="AA17:AA18"/>
    <mergeCell ref="H10:M10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P343:T343"/>
    <mergeCell ref="D153:E153"/>
    <mergeCell ref="P256:T256"/>
    <mergeCell ref="D128:E128"/>
    <mergeCell ref="D199:E199"/>
    <mergeCell ref="A112:O113"/>
    <mergeCell ref="AB17:AB18"/>
    <mergeCell ref="D465:E465"/>
    <mergeCell ref="P175:T175"/>
    <mergeCell ref="P266:V266"/>
    <mergeCell ref="A292:O293"/>
    <mergeCell ref="P331:V331"/>
    <mergeCell ref="D143:E143"/>
    <mergeCell ref="P398:T398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58:V58"/>
    <mergeCell ref="D74:E74"/>
    <mergeCell ref="P87:T87"/>
    <mergeCell ref="P88:T88"/>
    <mergeCell ref="D41:E41"/>
    <mergeCell ref="P296:T296"/>
    <mergeCell ref="D280:E280"/>
    <mergeCell ref="P286:T286"/>
    <mergeCell ref="A46:Z46"/>
    <mergeCell ref="P45:V45"/>
    <mergeCell ref="P29:T29"/>
    <mergeCell ref="P37:V37"/>
    <mergeCell ref="A160:Z160"/>
    <mergeCell ref="A141:Z141"/>
    <mergeCell ref="P227:T227"/>
    <mergeCell ref="D188:E188"/>
    <mergeCell ref="A440:O441"/>
    <mergeCell ref="P322:T322"/>
    <mergeCell ref="D132:E132"/>
    <mergeCell ref="D399:E399"/>
    <mergeCell ref="P309:T309"/>
    <mergeCell ref="D178:E178"/>
    <mergeCell ref="D172:E172"/>
    <mergeCell ref="P153:T153"/>
    <mergeCell ref="P177:T177"/>
    <mergeCell ref="A223:O224"/>
    <mergeCell ref="P226:T226"/>
    <mergeCell ref="P335:T335"/>
    <mergeCell ref="D256:E256"/>
    <mergeCell ref="D207:E207"/>
    <mergeCell ref="P176:T176"/>
    <mergeCell ref="A284:Z284"/>
    <mergeCell ref="D149:E149"/>
    <mergeCell ref="D385:E385"/>
    <mergeCell ref="P301:T301"/>
    <mergeCell ref="P178:T178"/>
    <mergeCell ref="P214:T214"/>
    <mergeCell ref="P270:T270"/>
    <mergeCell ref="D299:E299"/>
    <mergeCell ref="P465:T465"/>
    <mergeCell ref="D386:E386"/>
    <mergeCell ref="D215:E215"/>
    <mergeCell ref="P250:V250"/>
    <mergeCell ref="M501:M502"/>
    <mergeCell ref="O501:O502"/>
    <mergeCell ref="P380:T380"/>
    <mergeCell ref="Q501:Q502"/>
    <mergeCell ref="C500:H500"/>
    <mergeCell ref="P451:T451"/>
    <mergeCell ref="A470:Z470"/>
    <mergeCell ref="D335:E335"/>
    <mergeCell ref="P468:V468"/>
    <mergeCell ref="W501:W502"/>
    <mergeCell ref="F501:F502"/>
    <mergeCell ref="H501:H502"/>
    <mergeCell ref="S500:T500"/>
    <mergeCell ref="A493:O498"/>
    <mergeCell ref="Y500:Z500"/>
    <mergeCell ref="Y501:Y502"/>
    <mergeCell ref="A501:A502"/>
    <mergeCell ref="A230:Z230"/>
    <mergeCell ref="D222:E222"/>
    <mergeCell ref="A461:Z461"/>
    <mergeCell ref="A427:Z427"/>
    <mergeCell ref="D254:E254"/>
    <mergeCell ref="P302:V302"/>
    <mergeCell ref="P238:T238"/>
    <mergeCell ref="A15:M15"/>
    <mergeCell ref="D490:E490"/>
    <mergeCell ref="P375:T375"/>
    <mergeCell ref="P204:T204"/>
    <mergeCell ref="D62:E62"/>
    <mergeCell ref="D56:E56"/>
    <mergeCell ref="D193:E193"/>
    <mergeCell ref="P206:T206"/>
    <mergeCell ref="D127:E127"/>
    <mergeCell ref="P233:T233"/>
    <mergeCell ref="D176:E176"/>
    <mergeCell ref="D485:E485"/>
    <mergeCell ref="P447:V447"/>
    <mergeCell ref="P216:T216"/>
    <mergeCell ref="D137:E137"/>
    <mergeCell ref="P124:V124"/>
    <mergeCell ref="D422:E422"/>
    <mergeCell ref="P366:V366"/>
    <mergeCell ref="P129:V129"/>
    <mergeCell ref="P101:T101"/>
    <mergeCell ref="T5:U5"/>
    <mergeCell ref="V5:W5"/>
    <mergeCell ref="P374:T374"/>
    <mergeCell ref="P203:T203"/>
    <mergeCell ref="A491:O492"/>
    <mergeCell ref="D233:E233"/>
    <mergeCell ref="D111:E111"/>
    <mergeCell ref="P212:V212"/>
    <mergeCell ref="A142:Z142"/>
    <mergeCell ref="Q8:R8"/>
    <mergeCell ref="D183:E183"/>
    <mergeCell ref="P438:T438"/>
    <mergeCell ref="D444:E444"/>
    <mergeCell ref="A257:O258"/>
    <mergeCell ref="D248:E248"/>
    <mergeCell ref="D219:E219"/>
    <mergeCell ref="D104:E104"/>
    <mergeCell ref="T6:U9"/>
    <mergeCell ref="P319:V319"/>
    <mergeCell ref="Q10:R10"/>
    <mergeCell ref="A442:Z442"/>
    <mergeCell ref="A13:M13"/>
    <mergeCell ref="D61:E61"/>
    <mergeCell ref="P115:T115"/>
    <mergeCell ref="A486:O487"/>
    <mergeCell ref="G501:G502"/>
    <mergeCell ref="P370:V370"/>
    <mergeCell ref="A251:Z251"/>
    <mergeCell ref="P497:V497"/>
    <mergeCell ref="P122:T122"/>
    <mergeCell ref="P288:V288"/>
    <mergeCell ref="P43:T43"/>
    <mergeCell ref="D328:E328"/>
    <mergeCell ref="P285:T285"/>
    <mergeCell ref="D157:E157"/>
    <mergeCell ref="P65:V65"/>
    <mergeCell ref="A259:Z259"/>
    <mergeCell ref="A126:Z126"/>
    <mergeCell ref="P228:V228"/>
    <mergeCell ref="P293:V293"/>
    <mergeCell ref="D343:E343"/>
    <mergeCell ref="P397:T397"/>
    <mergeCell ref="P200:V200"/>
    <mergeCell ref="P74:T74"/>
    <mergeCell ref="P310:T310"/>
    <mergeCell ref="P292:V292"/>
    <mergeCell ref="D182:E182"/>
    <mergeCell ref="D480:E480"/>
    <mergeCell ref="Z501:Z502"/>
    <mergeCell ref="P486:V486"/>
    <mergeCell ref="P146:V146"/>
    <mergeCell ref="D63:E63"/>
    <mergeCell ref="D330:E330"/>
    <mergeCell ref="P305:T305"/>
    <mergeCell ref="A421:Z421"/>
    <mergeCell ref="A304:Z304"/>
    <mergeCell ref="A98:Z98"/>
    <mergeCell ref="P344:V344"/>
    <mergeCell ref="D350:E350"/>
    <mergeCell ref="A162:Z162"/>
    <mergeCell ref="P208:T208"/>
    <mergeCell ref="D396:E396"/>
    <mergeCell ref="P450:T450"/>
    <mergeCell ref="D116:E116"/>
    <mergeCell ref="D414:E414"/>
    <mergeCell ref="D352:E352"/>
    <mergeCell ref="P219:T219"/>
    <mergeCell ref="P501:P502"/>
    <mergeCell ref="P272:T272"/>
    <mergeCell ref="D327:E327"/>
    <mergeCell ref="P210:T210"/>
    <mergeCell ref="D398:E398"/>
    <mergeCell ref="E501:E502"/>
    <mergeCell ref="A17:A18"/>
    <mergeCell ref="P300:T300"/>
    <mergeCell ref="K17:K18"/>
    <mergeCell ref="C17:C18"/>
    <mergeCell ref="P431:T431"/>
    <mergeCell ref="D103:E103"/>
    <mergeCell ref="D168:E168"/>
    <mergeCell ref="D466:E466"/>
    <mergeCell ref="P137:T137"/>
    <mergeCell ref="D118:E118"/>
    <mergeCell ref="P53:T53"/>
    <mergeCell ref="D167:E167"/>
    <mergeCell ref="P351:T351"/>
    <mergeCell ref="P422:T422"/>
    <mergeCell ref="D232:E232"/>
    <mergeCell ref="A406:O407"/>
    <mergeCell ref="P264:T264"/>
    <mergeCell ref="P239:T239"/>
    <mergeCell ref="P68:T68"/>
    <mergeCell ref="A418:O419"/>
    <mergeCell ref="P186:V186"/>
    <mergeCell ref="A356:O357"/>
    <mergeCell ref="A185:O186"/>
    <mergeCell ref="A5:C5"/>
    <mergeCell ref="P418:V418"/>
    <mergeCell ref="P412:V412"/>
    <mergeCell ref="A408:Z408"/>
    <mergeCell ref="P64:V64"/>
    <mergeCell ref="P135:V135"/>
    <mergeCell ref="P362:V362"/>
    <mergeCell ref="A187:Z187"/>
    <mergeCell ref="D464:E464"/>
    <mergeCell ref="D9:E9"/>
    <mergeCell ref="F9:G9"/>
    <mergeCell ref="D169:E169"/>
    <mergeCell ref="P353:T353"/>
    <mergeCell ref="P82:V82"/>
    <mergeCell ref="P440:V440"/>
    <mergeCell ref="P132:T132"/>
    <mergeCell ref="A121:Z121"/>
    <mergeCell ref="P367:V367"/>
    <mergeCell ref="A249:O250"/>
    <mergeCell ref="D52:E52"/>
    <mergeCell ref="D27:E27"/>
    <mergeCell ref="P15:T16"/>
    <mergeCell ref="P23:T23"/>
    <mergeCell ref="D454:E454"/>
    <mergeCell ref="P480:T480"/>
    <mergeCell ref="P280:T280"/>
    <mergeCell ref="Q12:R12"/>
    <mergeCell ref="A274:O275"/>
    <mergeCell ref="D261:E261"/>
    <mergeCell ref="P169:T169"/>
    <mergeCell ref="P467:T467"/>
    <mergeCell ref="P196:V196"/>
    <mergeCell ref="P491:V491"/>
    <mergeCell ref="A69:O70"/>
    <mergeCell ref="P308:T308"/>
    <mergeCell ref="D416:E416"/>
    <mergeCell ref="D264:E264"/>
    <mergeCell ref="D93:E93"/>
    <mergeCell ref="D220:E220"/>
    <mergeCell ref="A12:M12"/>
    <mergeCell ref="A19:Z19"/>
    <mergeCell ref="P163:T163"/>
    <mergeCell ref="D109:E109"/>
    <mergeCell ref="A14:M14"/>
    <mergeCell ref="D467:E467"/>
    <mergeCell ref="P138:T138"/>
    <mergeCell ref="P318:V318"/>
    <mergeCell ref="P25:V25"/>
    <mergeCell ref="A6:C6"/>
    <mergeCell ref="D309:E309"/>
    <mergeCell ref="P118:T118"/>
    <mergeCell ref="P416:T416"/>
    <mergeCell ref="P167:T167"/>
    <mergeCell ref="D88:E88"/>
    <mergeCell ref="A161:Z161"/>
    <mergeCell ref="D148:E148"/>
    <mergeCell ref="P117:T117"/>
    <mergeCell ref="A324:O325"/>
    <mergeCell ref="D115:E115"/>
    <mergeCell ref="P55:T55"/>
    <mergeCell ref="P182:T182"/>
    <mergeCell ref="D43:E43"/>
    <mergeCell ref="D68:E68"/>
    <mergeCell ref="J9:M9"/>
    <mergeCell ref="A154:O155"/>
    <mergeCell ref="P143:T143"/>
    <mergeCell ref="P248:T248"/>
    <mergeCell ref="A129:O130"/>
    <mergeCell ref="P235:T235"/>
    <mergeCell ref="D349:E349"/>
    <mergeCell ref="P306:T306"/>
    <mergeCell ref="A38:Z38"/>
    <mergeCell ref="Q9:R9"/>
    <mergeCell ref="P267:V267"/>
    <mergeCell ref="D451:E451"/>
    <mergeCell ref="D255:E255"/>
    <mergeCell ref="P49:V49"/>
    <mergeCell ref="P36:V36"/>
    <mergeCell ref="P478:V478"/>
    <mergeCell ref="Q11:R11"/>
    <mergeCell ref="D322:E322"/>
    <mergeCell ref="P205:T205"/>
    <mergeCell ref="A195:O196"/>
    <mergeCell ref="D453:E453"/>
    <mergeCell ref="D476:E476"/>
    <mergeCell ref="P455:V455"/>
    <mergeCell ref="A147:Z147"/>
    <mergeCell ref="P249:V249"/>
    <mergeCell ref="P207:T207"/>
    <mergeCell ref="A302:O303"/>
    <mergeCell ref="A372:Z372"/>
    <mergeCell ref="P299:T299"/>
    <mergeCell ref="D138:E138"/>
    <mergeCell ref="A40:Z40"/>
    <mergeCell ref="P393:T393"/>
    <mergeCell ref="D374:E374"/>
    <mergeCell ref="I17:I18"/>
    <mergeCell ref="A48:O49"/>
    <mergeCell ref="D306:E306"/>
    <mergeCell ref="A119:O120"/>
    <mergeCell ref="P424:V424"/>
    <mergeCell ref="P414:T414"/>
    <mergeCell ref="P352:T352"/>
    <mergeCell ref="D72:E72"/>
    <mergeCell ref="A326:Z326"/>
    <mergeCell ref="D235:E235"/>
    <mergeCell ref="D203:E203"/>
    <mergeCell ref="P165:V165"/>
    <mergeCell ref="P232:T232"/>
    <mergeCell ref="P330:T330"/>
    <mergeCell ref="P395:T395"/>
    <mergeCell ref="A340:Z340"/>
    <mergeCell ref="D359:E359"/>
    <mergeCell ref="H17:H18"/>
    <mergeCell ref="P261:T261"/>
    <mergeCell ref="D204:E204"/>
    <mergeCell ref="P217:T217"/>
    <mergeCell ref="D198:E198"/>
    <mergeCell ref="D31:E31"/>
    <mergeCell ref="D329:E329"/>
    <mergeCell ref="P429:T429"/>
    <mergeCell ref="D369:E369"/>
    <mergeCell ref="P52:T52"/>
    <mergeCell ref="P350:T350"/>
    <mergeCell ref="P201:V201"/>
    <mergeCell ref="P139:V139"/>
    <mergeCell ref="D210:E210"/>
    <mergeCell ref="A123:O124"/>
    <mergeCell ref="D308:E308"/>
    <mergeCell ref="D380:E380"/>
    <mergeCell ref="D209:E209"/>
    <mergeCell ref="D87:E87"/>
    <mergeCell ref="D79:E79"/>
    <mergeCell ref="P92:T92"/>
    <mergeCell ref="P100:T100"/>
    <mergeCell ref="P94:T94"/>
    <mergeCell ref="P104:T104"/>
    <mergeCell ref="A83:Z83"/>
    <mergeCell ref="A158:O159"/>
    <mergeCell ref="P150:T150"/>
    <mergeCell ref="A84:Z84"/>
    <mergeCell ref="P338:V338"/>
    <mergeCell ref="D285:E285"/>
    <mergeCell ref="P155:V155"/>
    <mergeCell ref="P130:V130"/>
    <mergeCell ref="P190:V190"/>
    <mergeCell ref="P466:T466"/>
    <mergeCell ref="A71:Z71"/>
    <mergeCell ref="D1:F1"/>
    <mergeCell ref="A313:Z313"/>
    <mergeCell ref="P47:T47"/>
    <mergeCell ref="P282:V282"/>
    <mergeCell ref="A164:O165"/>
    <mergeCell ref="J17:J18"/>
    <mergeCell ref="L17:L18"/>
    <mergeCell ref="D240:E240"/>
    <mergeCell ref="P48:V48"/>
    <mergeCell ref="P255:T255"/>
    <mergeCell ref="D334:E334"/>
    <mergeCell ref="P112:V112"/>
    <mergeCell ref="P428:T428"/>
    <mergeCell ref="D100:E100"/>
    <mergeCell ref="P17:T18"/>
    <mergeCell ref="P63:T63"/>
    <mergeCell ref="P194:T194"/>
    <mergeCell ref="D400:E400"/>
    <mergeCell ref="D108:E108"/>
    <mergeCell ref="D375:E375"/>
    <mergeCell ref="P464:T464"/>
    <mergeCell ref="D445:E445"/>
    <mergeCell ref="D301:E301"/>
    <mergeCell ref="A423:O424"/>
    <mergeCell ref="D122:E122"/>
    <mergeCell ref="P116:T116"/>
    <mergeCell ref="P103:T103"/>
    <mergeCell ref="A166:Z166"/>
    <mergeCell ref="D438:E438"/>
    <mergeCell ref="A373:Z373"/>
    <mergeCell ref="D365:E365"/>
    <mergeCell ref="P236:T236"/>
    <mergeCell ref="P334:T334"/>
    <mergeCell ref="P394:T394"/>
    <mergeCell ref="D315:E315"/>
    <mergeCell ref="D144:E144"/>
    <mergeCell ref="P173:T173"/>
    <mergeCell ref="P271:T271"/>
    <mergeCell ref="P265:T265"/>
    <mergeCell ref="D379:E379"/>
    <mergeCell ref="D208:E208"/>
    <mergeCell ref="A211:O212"/>
    <mergeCell ref="P458:T458"/>
    <mergeCell ref="A459:O460"/>
    <mergeCell ref="S501:S502"/>
    <mergeCell ref="D432:E432"/>
    <mergeCell ref="D236:E236"/>
    <mergeCell ref="U501:U502"/>
    <mergeCell ref="A179:O180"/>
    <mergeCell ref="P171:T171"/>
    <mergeCell ref="D117:E117"/>
    <mergeCell ref="D353:E353"/>
    <mergeCell ref="D92:E92"/>
    <mergeCell ref="P453:T453"/>
    <mergeCell ref="D290:E290"/>
    <mergeCell ref="D94:E94"/>
    <mergeCell ref="D417:E417"/>
    <mergeCell ref="P471:T471"/>
    <mergeCell ref="A401:O402"/>
    <mergeCell ref="P148:T148"/>
    <mergeCell ref="P240:T240"/>
    <mergeCell ref="A96:O97"/>
    <mergeCell ref="D354:E354"/>
    <mergeCell ref="A475:Z475"/>
    <mergeCell ref="P460:V460"/>
    <mergeCell ref="P106:V106"/>
    <mergeCell ref="P164:V164"/>
    <mergeCell ref="D316:E316"/>
    <mergeCell ref="P95:T95"/>
    <mergeCell ref="H1:Q1"/>
    <mergeCell ref="A268:Z268"/>
    <mergeCell ref="A243:Z243"/>
    <mergeCell ref="P274:V274"/>
    <mergeCell ref="A99:Z99"/>
    <mergeCell ref="P345:V345"/>
    <mergeCell ref="D214:E214"/>
    <mergeCell ref="P246:V246"/>
    <mergeCell ref="D28:E28"/>
    <mergeCell ref="P257:V257"/>
    <mergeCell ref="P184:T184"/>
    <mergeCell ref="D55:E55"/>
    <mergeCell ref="D30:E30"/>
    <mergeCell ref="D67:E67"/>
    <mergeCell ref="D5:E5"/>
    <mergeCell ref="P42:T42"/>
    <mergeCell ref="A32:O33"/>
    <mergeCell ref="P33:V33"/>
    <mergeCell ref="P273:T273"/>
    <mergeCell ref="D7:M7"/>
    <mergeCell ref="A26:Z26"/>
    <mergeCell ref="P59:V59"/>
    <mergeCell ref="P168:T168"/>
    <mergeCell ref="D8:M8"/>
    <mergeCell ref="D300:E300"/>
    <mergeCell ref="P237:T237"/>
    <mergeCell ref="P31:T31"/>
    <mergeCell ref="P329:T329"/>
    <mergeCell ref="A473:O474"/>
    <mergeCell ref="P159:V159"/>
    <mergeCell ref="D47:E47"/>
    <mergeCell ref="P209:T209"/>
    <mergeCell ref="P445:T445"/>
    <mergeCell ref="A50:Z50"/>
    <mergeCell ref="W17:W18"/>
    <mergeCell ref="P96:V96"/>
    <mergeCell ref="P90:V90"/>
    <mergeCell ref="P332:V332"/>
    <mergeCell ref="P388:V388"/>
    <mergeCell ref="A331:O332"/>
    <mergeCell ref="P459:V459"/>
    <mergeCell ref="A213:Z213"/>
    <mergeCell ref="A376:O377"/>
    <mergeCell ref="P234:T234"/>
    <mergeCell ref="P325:V325"/>
    <mergeCell ref="P154:V154"/>
    <mergeCell ref="D429:E429"/>
    <mergeCell ref="A462:Z462"/>
    <mergeCell ref="P180:V180"/>
    <mergeCell ref="A446:O447"/>
    <mergeCell ref="R501:R502"/>
    <mergeCell ref="A311:O312"/>
    <mergeCell ref="P452:T452"/>
    <mergeCell ref="T501:T502"/>
    <mergeCell ref="P377:V377"/>
    <mergeCell ref="A202:Z202"/>
    <mergeCell ref="D472:E472"/>
    <mergeCell ref="D410:E410"/>
    <mergeCell ref="A276:Z276"/>
    <mergeCell ref="P454:T454"/>
    <mergeCell ref="P384:T384"/>
    <mergeCell ref="P432:T432"/>
    <mergeCell ref="P446:V446"/>
    <mergeCell ref="P402:V402"/>
    <mergeCell ref="P443:T443"/>
    <mergeCell ref="D443:E443"/>
    <mergeCell ref="P400:T400"/>
    <mergeCell ref="D272:E272"/>
    <mergeCell ref="P487:V487"/>
    <mergeCell ref="P405:T405"/>
    <mergeCell ref="P476:T476"/>
    <mergeCell ref="B17:B18"/>
    <mergeCell ref="P441:V441"/>
    <mergeCell ref="A260:Z260"/>
    <mergeCell ref="A60:Z60"/>
    <mergeCell ref="P477:V477"/>
    <mergeCell ref="C501:C502"/>
    <mergeCell ref="A358:Z358"/>
    <mergeCell ref="P404:T404"/>
    <mergeCell ref="P252:T252"/>
    <mergeCell ref="P56:T56"/>
    <mergeCell ref="A197:Z197"/>
    <mergeCell ref="P379:T379"/>
    <mergeCell ref="D360:E360"/>
    <mergeCell ref="D431:E431"/>
    <mergeCell ref="P170:T170"/>
    <mergeCell ref="P316:T316"/>
    <mergeCell ref="P28:T28"/>
    <mergeCell ref="P392:T392"/>
    <mergeCell ref="P221:T221"/>
    <mergeCell ref="P437:T437"/>
    <mergeCell ref="P315:T315"/>
    <mergeCell ref="P144:T144"/>
    <mergeCell ref="A361:O362"/>
    <mergeCell ref="D174:E174"/>
    <mergeCell ref="R1:T1"/>
    <mergeCell ref="P386:T386"/>
    <mergeCell ref="D307:E307"/>
    <mergeCell ref="P215:T215"/>
    <mergeCell ref="A145:O146"/>
    <mergeCell ref="A139:O140"/>
    <mergeCell ref="A381:O382"/>
    <mergeCell ref="P229:V229"/>
    <mergeCell ref="A89:O90"/>
    <mergeCell ref="P152:T152"/>
    <mergeCell ref="P77:V77"/>
    <mergeCell ref="D73:E73"/>
    <mergeCell ref="A76:O77"/>
    <mergeCell ref="P30:T30"/>
    <mergeCell ref="P179:V179"/>
    <mergeCell ref="P290:T290"/>
    <mergeCell ref="V10:W10"/>
    <mergeCell ref="P113:V113"/>
    <mergeCell ref="D253:E253"/>
    <mergeCell ref="D53:E53"/>
    <mergeCell ref="D351:E351"/>
    <mergeCell ref="A34:Z34"/>
    <mergeCell ref="P245:V245"/>
    <mergeCell ref="A368:Z368"/>
    <mergeCell ref="H9:I9"/>
    <mergeCell ref="P224:V224"/>
    <mergeCell ref="P24:V24"/>
    <mergeCell ref="P211:V211"/>
    <mergeCell ref="P89:V89"/>
    <mergeCell ref="A383:Z383"/>
    <mergeCell ref="D297:E297"/>
    <mergeCell ref="A78:Z78"/>
    <mergeCell ref="P324:V324"/>
    <mergeCell ref="D263:E263"/>
    <mergeCell ref="P220:T220"/>
    <mergeCell ref="A363:Z363"/>
    <mergeCell ref="D238:E238"/>
    <mergeCell ref="P86:T86"/>
    <mergeCell ref="A287:O288"/>
    <mergeCell ref="P328:T328"/>
    <mergeCell ref="A281:O282"/>
    <mergeCell ref="A378:Z378"/>
    <mergeCell ref="D205:E205"/>
    <mergeCell ref="P157:T157"/>
    <mergeCell ref="P172:T172"/>
    <mergeCell ref="P79:T79"/>
    <mergeCell ref="P244:T244"/>
    <mergeCell ref="P73:T73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51 X153 X167 X169 X171 X173 X176 X194 X203:X208 X210 X216:X222 X226 X235 X239 X261 X263 X265 X280 X290 X297:X298 X300:X301 X305:X306 X308:X310 X314 X317 X321:X323 X330 X341:X343 X355 X364:X365 X374:X375 X380 X384:X385 X392 X394 X404:X405 X414 X428 X431:X432 X434 X443 X449:X451 X466 X476 X480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762</v>
      </c>
      <c r="H1" s="52"/>
    </row>
    <row r="3" spans="2:8" x14ac:dyDescent="0.2">
      <c r="B3" s="47" t="s">
        <v>763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764</v>
      </c>
      <c r="D6" s="47" t="s">
        <v>765</v>
      </c>
      <c r="E6" s="47"/>
    </row>
    <row r="8" spans="2:8" x14ac:dyDescent="0.2">
      <c r="B8" s="47" t="s">
        <v>19</v>
      </c>
      <c r="C8" s="47" t="s">
        <v>764</v>
      </c>
      <c r="D8" s="47"/>
      <c r="E8" s="47"/>
    </row>
    <row r="10" spans="2:8" x14ac:dyDescent="0.2">
      <c r="B10" s="47" t="s">
        <v>766</v>
      </c>
      <c r="C10" s="47"/>
      <c r="D10" s="47"/>
      <c r="E10" s="47"/>
    </row>
    <row r="11" spans="2:8" x14ac:dyDescent="0.2">
      <c r="B11" s="47" t="s">
        <v>767</v>
      </c>
      <c r="C11" s="47"/>
      <c r="D11" s="47"/>
      <c r="E11" s="47"/>
    </row>
    <row r="12" spans="2:8" x14ac:dyDescent="0.2">
      <c r="B12" s="47" t="s">
        <v>768</v>
      </c>
      <c r="C12" s="47"/>
      <c r="D12" s="47"/>
      <c r="E12" s="47"/>
    </row>
    <row r="13" spans="2:8" x14ac:dyDescent="0.2">
      <c r="B13" s="47" t="s">
        <v>769</v>
      </c>
      <c r="C13" s="47"/>
      <c r="D13" s="47"/>
      <c r="E13" s="47"/>
    </row>
    <row r="14" spans="2:8" x14ac:dyDescent="0.2">
      <c r="B14" s="47" t="s">
        <v>770</v>
      </c>
      <c r="C14" s="47"/>
      <c r="D14" s="47"/>
      <c r="E14" s="47"/>
    </row>
    <row r="15" spans="2:8" x14ac:dyDescent="0.2">
      <c r="B15" s="47" t="s">
        <v>771</v>
      </c>
      <c r="C15" s="47"/>
      <c r="D15" s="47"/>
      <c r="E15" s="47"/>
    </row>
    <row r="16" spans="2:8" x14ac:dyDescent="0.2">
      <c r="B16" s="47" t="s">
        <v>772</v>
      </c>
      <c r="C16" s="47"/>
      <c r="D16" s="47"/>
      <c r="E16" s="47"/>
    </row>
    <row r="17" spans="2:5" x14ac:dyDescent="0.2">
      <c r="B17" s="47" t="s">
        <v>773</v>
      </c>
      <c r="C17" s="47"/>
      <c r="D17" s="47"/>
      <c r="E17" s="47"/>
    </row>
    <row r="18" spans="2:5" x14ac:dyDescent="0.2">
      <c r="B18" s="47" t="s">
        <v>774</v>
      </c>
      <c r="C18" s="47"/>
      <c r="D18" s="47"/>
      <c r="E18" s="47"/>
    </row>
    <row r="19" spans="2:5" x14ac:dyDescent="0.2">
      <c r="B19" s="47" t="s">
        <v>775</v>
      </c>
      <c r="C19" s="47"/>
      <c r="D19" s="47"/>
      <c r="E19" s="47"/>
    </row>
    <row r="20" spans="2:5" x14ac:dyDescent="0.2">
      <c r="B20" s="47" t="s">
        <v>776</v>
      </c>
      <c r="C20" s="47"/>
      <c r="D20" s="47"/>
      <c r="E20" s="47"/>
    </row>
  </sheetData>
  <sheetProtection algorithmName="SHA-512" hashValue="u6bdAkUNxgUmFswo/XKxloMUJZAXQTm0YSPZNxoiFS6c/diHEQnSHAToAXtJ8NmxY833/kXBIaJJGsPfgCfukg==" saltValue="7FOVmPpP0WgW6e5zblyHQ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2025-12-23T12:31:36Z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