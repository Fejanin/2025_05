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9CE51A3-C00D-405D-B4A6-7B713FE022F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Z198" i="1"/>
  <c r="Z200" i="1" s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3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37" i="1" l="1"/>
  <c r="BN137" i="1"/>
  <c r="Z137" i="1"/>
  <c r="BP171" i="1"/>
  <c r="BN171" i="1"/>
  <c r="Z171" i="1"/>
  <c r="BP207" i="1"/>
  <c r="BN207" i="1"/>
  <c r="Z207" i="1"/>
  <c r="BP236" i="1"/>
  <c r="BN236" i="1"/>
  <c r="Z236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Z22" i="1"/>
  <c r="BN22" i="1"/>
  <c r="Y32" i="1"/>
  <c r="Z53" i="1"/>
  <c r="BN53" i="1"/>
  <c r="Z68" i="1"/>
  <c r="BN68" i="1"/>
  <c r="Z72" i="1"/>
  <c r="BN72" i="1"/>
  <c r="Z95" i="1"/>
  <c r="BN95" i="1"/>
  <c r="BP102" i="1"/>
  <c r="BN102" i="1"/>
  <c r="BP116" i="1"/>
  <c r="BN116" i="1"/>
  <c r="Z116" i="1"/>
  <c r="BP151" i="1"/>
  <c r="BN151" i="1"/>
  <c r="Z151" i="1"/>
  <c r="BP183" i="1"/>
  <c r="BN183" i="1"/>
  <c r="Z183" i="1"/>
  <c r="BP219" i="1"/>
  <c r="BN219" i="1"/>
  <c r="Z219" i="1"/>
  <c r="BP254" i="1"/>
  <c r="BN254" i="1"/>
  <c r="Z254" i="1"/>
  <c r="BP290" i="1"/>
  <c r="BN290" i="1"/>
  <c r="Z290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Y312" i="1"/>
  <c r="BP100" i="1"/>
  <c r="BN100" i="1"/>
  <c r="Z100" i="1"/>
  <c r="BP110" i="1"/>
  <c r="BN110" i="1"/>
  <c r="Z110" i="1"/>
  <c r="BP133" i="1"/>
  <c r="BN133" i="1"/>
  <c r="Z133" i="1"/>
  <c r="BP169" i="1"/>
  <c r="BN169" i="1"/>
  <c r="Z169" i="1"/>
  <c r="BP177" i="1"/>
  <c r="BN177" i="1"/>
  <c r="Z177" i="1"/>
  <c r="BP205" i="1"/>
  <c r="BN205" i="1"/>
  <c r="Z205" i="1"/>
  <c r="BP217" i="1"/>
  <c r="BN217" i="1"/>
  <c r="Z217" i="1"/>
  <c r="BP234" i="1"/>
  <c r="BN234" i="1"/>
  <c r="Z234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63" i="1"/>
  <c r="BN263" i="1"/>
  <c r="Z263" i="1"/>
  <c r="BP279" i="1"/>
  <c r="BN279" i="1"/>
  <c r="Z279" i="1"/>
  <c r="J9" i="1"/>
  <c r="X497" i="1"/>
  <c r="Z28" i="1"/>
  <c r="BN28" i="1"/>
  <c r="Z42" i="1"/>
  <c r="BN42" i="1"/>
  <c r="Y59" i="1"/>
  <c r="Z55" i="1"/>
  <c r="BN55" i="1"/>
  <c r="Z62" i="1"/>
  <c r="BN62" i="1"/>
  <c r="Z74" i="1"/>
  <c r="BN74" i="1"/>
  <c r="Z87" i="1"/>
  <c r="BN87" i="1"/>
  <c r="BP93" i="1"/>
  <c r="BN93" i="1"/>
  <c r="Z93" i="1"/>
  <c r="BP104" i="1"/>
  <c r="BN104" i="1"/>
  <c r="Z104" i="1"/>
  <c r="BP118" i="1"/>
  <c r="BN118" i="1"/>
  <c r="Z118" i="1"/>
  <c r="BP144" i="1"/>
  <c r="BN144" i="1"/>
  <c r="Z144" i="1"/>
  <c r="BP153" i="1"/>
  <c r="BN153" i="1"/>
  <c r="Z153" i="1"/>
  <c r="BP173" i="1"/>
  <c r="BN173" i="1"/>
  <c r="Z173" i="1"/>
  <c r="BP194" i="1"/>
  <c r="BN194" i="1"/>
  <c r="Z194" i="1"/>
  <c r="BP209" i="1"/>
  <c r="BN209" i="1"/>
  <c r="Z209" i="1"/>
  <c r="BP221" i="1"/>
  <c r="BN221" i="1"/>
  <c r="Z221" i="1"/>
  <c r="BP238" i="1"/>
  <c r="BN238" i="1"/>
  <c r="Z238" i="1"/>
  <c r="BP256" i="1"/>
  <c r="BN256" i="1"/>
  <c r="Z256" i="1"/>
  <c r="BP270" i="1"/>
  <c r="BN270" i="1"/>
  <c r="Z270" i="1"/>
  <c r="BP297" i="1"/>
  <c r="BN297" i="1"/>
  <c r="Z297" i="1"/>
  <c r="BP307" i="1"/>
  <c r="BN307" i="1"/>
  <c r="Z307" i="1"/>
  <c r="BP321" i="1"/>
  <c r="BN321" i="1"/>
  <c r="Z321" i="1"/>
  <c r="Z324" i="1" s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12" i="1"/>
  <c r="Y139" i="1"/>
  <c r="BP286" i="1"/>
  <c r="BN286" i="1"/>
  <c r="Z2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292" i="1"/>
  <c r="Y388" i="1"/>
  <c r="Y387" i="1"/>
  <c r="Y486" i="1"/>
  <c r="Y25" i="1"/>
  <c r="Y49" i="1"/>
  <c r="BP111" i="1"/>
  <c r="BN111" i="1"/>
  <c r="Z111" i="1"/>
  <c r="Y120" i="1"/>
  <c r="BP115" i="1"/>
  <c r="BN115" i="1"/>
  <c r="Z115" i="1"/>
  <c r="BP128" i="1"/>
  <c r="BN128" i="1"/>
  <c r="Z128" i="1"/>
  <c r="Z129" i="1" s="1"/>
  <c r="Y130" i="1"/>
  <c r="Y155" i="1"/>
  <c r="BP148" i="1"/>
  <c r="BN148" i="1"/>
  <c r="Z148" i="1"/>
  <c r="BP150" i="1"/>
  <c r="BN150" i="1"/>
  <c r="Z150" i="1"/>
  <c r="Y154" i="1"/>
  <c r="BP176" i="1"/>
  <c r="BN176" i="1"/>
  <c r="Z176" i="1"/>
  <c r="BP184" i="1"/>
  <c r="BN184" i="1"/>
  <c r="Z184" i="1"/>
  <c r="Y186" i="1"/>
  <c r="Y33" i="1"/>
  <c r="Y37" i="1"/>
  <c r="Y45" i="1"/>
  <c r="D503" i="1"/>
  <c r="Y58" i="1"/>
  <c r="Y64" i="1"/>
  <c r="BP61" i="1"/>
  <c r="BN61" i="1"/>
  <c r="Z61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3" i="1"/>
  <c r="Y119" i="1"/>
  <c r="Y135" i="1"/>
  <c r="BP132" i="1"/>
  <c r="BN132" i="1"/>
  <c r="Z132" i="1"/>
  <c r="Z134" i="1" s="1"/>
  <c r="BP168" i="1"/>
  <c r="BN168" i="1"/>
  <c r="Z168" i="1"/>
  <c r="BP172" i="1"/>
  <c r="BN172" i="1"/>
  <c r="Z172" i="1"/>
  <c r="Y189" i="1"/>
  <c r="BP188" i="1"/>
  <c r="BN188" i="1"/>
  <c r="Z188" i="1"/>
  <c r="Z189" i="1" s="1"/>
  <c r="J503" i="1"/>
  <c r="Y196" i="1"/>
  <c r="BP193" i="1"/>
  <c r="BN193" i="1"/>
  <c r="Z193" i="1"/>
  <c r="BP298" i="1"/>
  <c r="BN298" i="1"/>
  <c r="Z298" i="1"/>
  <c r="Y302" i="1"/>
  <c r="BP306" i="1"/>
  <c r="BN306" i="1"/>
  <c r="Z306" i="1"/>
  <c r="BP310" i="1"/>
  <c r="BN310" i="1"/>
  <c r="Z310" i="1"/>
  <c r="Y319" i="1"/>
  <c r="BP314" i="1"/>
  <c r="BN314" i="1"/>
  <c r="Z314" i="1"/>
  <c r="Y318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BP57" i="1"/>
  <c r="BN57" i="1"/>
  <c r="BP63" i="1"/>
  <c r="BN63" i="1"/>
  <c r="Z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Y105" i="1"/>
  <c r="BP109" i="1"/>
  <c r="BN109" i="1"/>
  <c r="Z109" i="1"/>
  <c r="BP117" i="1"/>
  <c r="BN117" i="1"/>
  <c r="Z117" i="1"/>
  <c r="Y134" i="1"/>
  <c r="BP138" i="1"/>
  <c r="BN138" i="1"/>
  <c r="Z138" i="1"/>
  <c r="Z139" i="1" s="1"/>
  <c r="Y140" i="1"/>
  <c r="Y146" i="1"/>
  <c r="BP143" i="1"/>
  <c r="BN143" i="1"/>
  <c r="Z143" i="1"/>
  <c r="Z145" i="1" s="1"/>
  <c r="BP149" i="1"/>
  <c r="BN149" i="1"/>
  <c r="Z149" i="1"/>
  <c r="BP152" i="1"/>
  <c r="BN152" i="1"/>
  <c r="Z152" i="1"/>
  <c r="Y179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Y195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503" i="1"/>
  <c r="Y288" i="1"/>
  <c r="BP285" i="1"/>
  <c r="BN285" i="1"/>
  <c r="Z285" i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BP273" i="1"/>
  <c r="BN273" i="1"/>
  <c r="Z273" i="1"/>
  <c r="O503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86" i="1" l="1"/>
  <c r="Z331" i="1"/>
  <c r="Z302" i="1"/>
  <c r="Z281" i="1"/>
  <c r="Z266" i="1"/>
  <c r="Z406" i="1"/>
  <c r="Z112" i="1"/>
  <c r="Z105" i="1"/>
  <c r="Z96" i="1"/>
  <c r="Z195" i="1"/>
  <c r="Z76" i="1"/>
  <c r="Z241" i="1"/>
  <c r="Y495" i="1"/>
  <c r="Z179" i="1"/>
  <c r="Z446" i="1"/>
  <c r="Z440" i="1"/>
  <c r="Z401" i="1"/>
  <c r="Z387" i="1"/>
  <c r="Z381" i="1"/>
  <c r="Z344" i="1"/>
  <c r="Z356" i="1"/>
  <c r="Z287" i="1"/>
  <c r="Z274" i="1"/>
  <c r="Z257" i="1"/>
  <c r="Z211" i="1"/>
  <c r="Z58" i="1"/>
  <c r="Y494" i="1"/>
  <c r="Y496" i="1" s="1"/>
  <c r="Z311" i="1"/>
  <c r="Z89" i="1"/>
  <c r="Z455" i="1"/>
  <c r="Z418" i="1"/>
  <c r="Z337" i="1"/>
  <c r="Z318" i="1"/>
  <c r="Z223" i="1"/>
  <c r="Z44" i="1"/>
  <c r="Z32" i="1"/>
  <c r="Y497" i="1"/>
  <c r="X496" i="1"/>
  <c r="Z64" i="1"/>
  <c r="Z154" i="1"/>
  <c r="Z119" i="1"/>
  <c r="Y493" i="1"/>
  <c r="Z498" i="1" l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<sst xmlns="http://schemas.openxmlformats.org/spreadsheetml/2006/main" count="2367" uniqueCount="778">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</sst>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349" sqref="AA34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16" t="s">
        <v>0</v>
      </c>
      <c r="E1" s="575"/>
      <c r="F1" s="575"/>
      <c r="G1" s="12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58"/>
      <c r="P5" s="24" t="s">
        <v>10</v>
      </c>
      <c r="Q5" s="858">
        <v>46016</v>
      </c>
      <c r="R5" s="672"/>
      <c r="T5" s="731" t="s">
        <v>11</v>
      </c>
      <c r="U5" s="732"/>
      <c r="V5" s="733" t="s">
        <v>12</v>
      </c>
      <c r="W5" s="672"/>
      <c r="AB5" s="51"/>
      <c r="AC5" s="51"/>
      <c r="AD5" s="51"/>
      <c r="AE5" s="51"/>
    </row>
    <row r="6" spans="1:32" s="543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59"/>
      <c r="P6" s="24" t="s">
        <v>15</v>
      </c>
      <c r="Q6" s="866" t="str">
        <f>IF(Q5=0," ",CHOOSE(WEEKDAY(Q5,2),"Понедельник","Вторник","Среда","Четверг","Пятница","Суббота","Воскресенье"))</f>
        <v>Четверг</v>
      </c>
      <c r="R6" s="561"/>
      <c r="T6" s="737" t="s">
        <v>16</v>
      </c>
      <c r="U6" s="732"/>
      <c r="V6" s="774" t="s">
        <v>17</v>
      </c>
      <c r="W6" s="5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60"/>
      <c r="P7" s="24"/>
      <c r="Q7" s="42"/>
      <c r="R7" s="42"/>
      <c r="T7" s="559"/>
      <c r="U7" s="732"/>
      <c r="V7" s="775"/>
      <c r="W7" s="776"/>
      <c r="AB7" s="51"/>
      <c r="AC7" s="51"/>
      <c r="AD7" s="51"/>
      <c r="AE7" s="51"/>
    </row>
    <row r="8" spans="1:32" s="543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4">
        <v>0.45833333333333331</v>
      </c>
      <c r="R8" s="626"/>
      <c r="T8" s="559"/>
      <c r="U8" s="732"/>
      <c r="V8" s="775"/>
      <c r="W8" s="776"/>
      <c r="AB8" s="51"/>
      <c r="AC8" s="51"/>
      <c r="AD8" s="51"/>
      <c r="AE8" s="51"/>
    </row>
    <row r="9" spans="1:32" s="543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1"/>
      <c r="P9" s="26" t="s">
        <v>21</v>
      </c>
      <c r="Q9" s="669"/>
      <c r="R9" s="670"/>
      <c r="T9" s="559"/>
      <c r="U9" s="732"/>
      <c r="V9" s="777"/>
      <c r="W9" s="77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542"/>
      <c r="P10" s="26" t="s">
        <v>22</v>
      </c>
      <c r="Q10" s="738"/>
      <c r="R10" s="739"/>
      <c r="U10" s="24" t="s">
        <v>23</v>
      </c>
      <c r="V10" s="581" t="s">
        <v>24</v>
      </c>
      <c r="W10" s="5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1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94"/>
      <c r="R12" s="626"/>
      <c r="S12" s="23"/>
      <c r="U12" s="24"/>
      <c r="V12" s="575"/>
      <c r="W12" s="559"/>
      <c r="AB12" s="51"/>
      <c r="AC12" s="51"/>
      <c r="AD12" s="51"/>
      <c r="AE12" s="51"/>
    </row>
    <row r="13" spans="1:32" s="543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1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5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66"/>
      <c r="BD18" s="65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48"/>
      <c r="AB19" s="48"/>
      <c r="AC19" s="48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4"/>
      <c r="AB20" s="544"/>
      <c r="AC20" s="544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0">
        <v>4607091388244</v>
      </c>
      <c r="E31" s="561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0">
        <v>4607091388503</v>
      </c>
      <c r="E35" s="561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48"/>
      <c r="AB38" s="48"/>
      <c r="AC38" s="48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4"/>
      <c r="AB39" s="544"/>
      <c r="AC39" s="544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5"/>
      <c r="AB40" s="545"/>
      <c r="AC40" s="545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0">
        <v>4607091385670</v>
      </c>
      <c r="E41" s="561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0">
        <v>4680115882539</v>
      </c>
      <c r="E42" s="561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37" t="s">
        <v>76</v>
      </c>
      <c r="X44" s="551">
        <f>IFERROR(X41/H41,"0")+IFERROR(X42/H42,"0")+IFERROR(X43/H43,"0")</f>
        <v>0</v>
      </c>
      <c r="Y44" s="551">
        <f>IFERROR(Y41/H41,"0")+IFERROR(Y42/H42,"0")+IFERROR(Y43/H43,"0")</f>
        <v>0</v>
      </c>
      <c r="Z44" s="551">
        <f>IFERROR(IF(Z41="",0,Z41),"0")+IFERROR(IF(Z42="",0,Z42),"0")+IFERROR(IF(Z43="",0,Z43),"0")</f>
        <v>0</v>
      </c>
      <c r="AA44" s="552"/>
      <c r="AB44" s="552"/>
      <c r="AC44" s="552"/>
    </row>
    <row r="45" spans="1:68" hidden="1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37" t="s">
        <v>69</v>
      </c>
      <c r="X45" s="551">
        <f>IFERROR(SUM(X41:X43),"0")</f>
        <v>0</v>
      </c>
      <c r="Y45" s="551">
        <f>IFERROR(SUM(Y41:Y43),"0")</f>
        <v>0</v>
      </c>
      <c r="Z45" s="37"/>
      <c r="AA45" s="552"/>
      <c r="AB45" s="552"/>
      <c r="AC45" s="552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0">
        <v>4680115884915</v>
      </c>
      <c r="E47" s="561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4"/>
      <c r="AB50" s="544"/>
      <c r="AC50" s="544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0">
        <v>4680115885882</v>
      </c>
      <c r="E52" s="561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0">
        <v>4680115881426</v>
      </c>
      <c r="E53" s="561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0">
        <v>4680115880283</v>
      </c>
      <c r="E54" s="561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0">
        <v>4680115881525</v>
      </c>
      <c r="E55" s="561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0">
        <v>4680115885899</v>
      </c>
      <c r="E56" s="561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0">
        <v>4680115881419</v>
      </c>
      <c r="E57" s="561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5"/>
      <c r="AB60" s="545"/>
      <c r="AC60" s="545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0">
        <v>4680115881440</v>
      </c>
      <c r="E61" s="561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0">
        <v>4680115885950</v>
      </c>
      <c r="E62" s="561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0">
        <v>4680115881433</v>
      </c>
      <c r="E63" s="561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37" t="s">
        <v>76</v>
      </c>
      <c r="X64" s="551">
        <f>IFERROR(X61/H61,"0")+IFERROR(X62/H62,"0")+IFERROR(X63/H63,"0")</f>
        <v>0</v>
      </c>
      <c r="Y64" s="551">
        <f>IFERROR(Y61/H61,"0")+IFERROR(Y62/H62,"0")+IFERROR(Y63/H63,"0")</f>
        <v>0</v>
      </c>
      <c r="Z64" s="551">
        <f>IFERROR(IF(Z61="",0,Z61),"0")+IFERROR(IF(Z62="",0,Z62),"0")+IFERROR(IF(Z63="",0,Z63),"0")</f>
        <v>0</v>
      </c>
      <c r="AA64" s="552"/>
      <c r="AB64" s="552"/>
      <c r="AC64" s="552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37" t="s">
        <v>69</v>
      </c>
      <c r="X65" s="551">
        <f>IFERROR(SUM(X61:X63),"0")</f>
        <v>0</v>
      </c>
      <c r="Y65" s="551">
        <f>IFERROR(SUM(Y61:Y63),"0")</f>
        <v>0</v>
      </c>
      <c r="Z65" s="37"/>
      <c r="AA65" s="552"/>
      <c r="AB65" s="552"/>
      <c r="AC65" s="552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0">
        <v>4680115885073</v>
      </c>
      <c r="E67" s="561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0">
        <v>4680115885097</v>
      </c>
      <c r="E68" s="561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0">
        <v>4680115885769</v>
      </c>
      <c r="E72" s="561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0">
        <v>4680115884311</v>
      </c>
      <c r="E73" s="561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0">
        <v>4680115885929</v>
      </c>
      <c r="E74" s="561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0">
        <v>4680115884403</v>
      </c>
      <c r="E75" s="561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0">
        <v>4680115881532</v>
      </c>
      <c r="E79" s="561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0">
        <v>4680115881464</v>
      </c>
      <c r="E80" s="561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4"/>
      <c r="AB83" s="544"/>
      <c r="AC83" s="544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5"/>
      <c r="AB84" s="545"/>
      <c r="AC84" s="54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0">
        <v>4680115881327</v>
      </c>
      <c r="E85" s="561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0">
        <v>4680115887732</v>
      </c>
      <c r="E86" s="561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0">
        <v>4680115881518</v>
      </c>
      <c r="E87" s="561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0">
        <v>4680115881303</v>
      </c>
      <c r="E88" s="561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37" t="s">
        <v>76</v>
      </c>
      <c r="X89" s="551">
        <f>IFERROR(X85/H85,"0")+IFERROR(X86/H86,"0")+IFERROR(X87/H87,"0")+IFERROR(X88/H88,"0")</f>
        <v>0</v>
      </c>
      <c r="Y89" s="551">
        <f>IFERROR(Y85/H85,"0")+IFERROR(Y86/H86,"0")+IFERROR(Y87/H87,"0")+IFERROR(Y88/H88,"0")</f>
        <v>0</v>
      </c>
      <c r="Z89" s="551">
        <f>IFERROR(IF(Z85="",0,Z85),"0")+IFERROR(IF(Z86="",0,Z86),"0")+IFERROR(IF(Z87="",0,Z87),"0")+IFERROR(IF(Z88="",0,Z88),"0")</f>
        <v>0</v>
      </c>
      <c r="AA89" s="552"/>
      <c r="AB89" s="552"/>
      <c r="AC89" s="552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37" t="s">
        <v>69</v>
      </c>
      <c r="X90" s="551">
        <f>IFERROR(SUM(X85:X88),"0")</f>
        <v>0</v>
      </c>
      <c r="Y90" s="551">
        <f>IFERROR(SUM(Y85:Y88),"0")</f>
        <v>0</v>
      </c>
      <c r="Z90" s="37"/>
      <c r="AA90" s="552"/>
      <c r="AB90" s="552"/>
      <c r="AC90" s="552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5"/>
      <c r="AB91" s="545"/>
      <c r="AC91" s="545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0">
        <v>4607091386967</v>
      </c>
      <c r="E92" s="561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0">
        <v>4680115884953</v>
      </c>
      <c r="E93" s="561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0">
        <v>4607091385731</v>
      </c>
      <c r="E94" s="561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0">
        <v>4680115880894</v>
      </c>
      <c r="E95" s="561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4"/>
      <c r="AB98" s="544"/>
      <c r="AC98" s="544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5"/>
      <c r="AB99" s="545"/>
      <c r="AC99" s="545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60">
        <v>4680115882133</v>
      </c>
      <c r="E100" s="561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0">
        <v>4680115887718</v>
      </c>
      <c r="E101" s="561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60">
        <v>4680115880269</v>
      </c>
      <c r="E102" s="561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0">
        <v>4680115880429</v>
      </c>
      <c r="E103" s="561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0">
        <v>4680115881457</v>
      </c>
      <c r="E104" s="561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hidden="1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0">
        <v>4680115881488</v>
      </c>
      <c r="E108" s="561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0">
        <v>4680115887664</v>
      </c>
      <c r="E109" s="561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0">
        <v>4680115882775</v>
      </c>
      <c r="E110" s="561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0">
        <v>4680115880658</v>
      </c>
      <c r="E111" s="561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45"/>
      <c r="AB114" s="545"/>
      <c r="AC114" s="545"/>
    </row>
    <row r="115" spans="1:68" ht="27" hidden="1" customHeight="1" x14ac:dyDescent="0.25">
      <c r="A115" s="54" t="s">
        <v>217</v>
      </c>
      <c r="B115" s="54" t="s">
        <v>218</v>
      </c>
      <c r="C115" s="31">
        <v>4301051724</v>
      </c>
      <c r="D115" s="560">
        <v>4607091385168</v>
      </c>
      <c r="E115" s="561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0">
        <v>4607091383256</v>
      </c>
      <c r="E116" s="561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60">
        <v>4607091385748</v>
      </c>
      <c r="E117" s="561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0">
        <v>4680115884533</v>
      </c>
      <c r="E118" s="561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37" t="s">
        <v>76</v>
      </c>
      <c r="X119" s="551">
        <f>IFERROR(X115/H115,"0")+IFERROR(X116/H116,"0")+IFERROR(X117/H117,"0")+IFERROR(X118/H118,"0")</f>
        <v>0</v>
      </c>
      <c r="Y119" s="551">
        <f>IFERROR(Y115/H115,"0")+IFERROR(Y116/H116,"0")+IFERROR(Y117/H117,"0")+IFERROR(Y118/H118,"0")</f>
        <v>0</v>
      </c>
      <c r="Z119" s="551">
        <f>IFERROR(IF(Z115="",0,Z115),"0")+IFERROR(IF(Z116="",0,Z116),"0")+IFERROR(IF(Z117="",0,Z117),"0")+IFERROR(IF(Z118="",0,Z118),"0")</f>
        <v>0</v>
      </c>
      <c r="AA119" s="552"/>
      <c r="AB119" s="552"/>
      <c r="AC119" s="552"/>
    </row>
    <row r="120" spans="1:68" hidden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37" t="s">
        <v>69</v>
      </c>
      <c r="X120" s="551">
        <f>IFERROR(SUM(X115:X118),"0")</f>
        <v>0</v>
      </c>
      <c r="Y120" s="551">
        <f>IFERROR(SUM(Y115:Y118),"0")</f>
        <v>0</v>
      </c>
      <c r="Z120" s="37"/>
      <c r="AA120" s="552"/>
      <c r="AB120" s="552"/>
      <c r="AC120" s="552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0">
        <v>4680115880238</v>
      </c>
      <c r="E122" s="561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4"/>
      <c r="AB125" s="544"/>
      <c r="AC125" s="544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45"/>
      <c r="AB126" s="545"/>
      <c r="AC126" s="545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60">
        <v>4680115882577</v>
      </c>
      <c r="E127" s="561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0">
        <v>4680115882577</v>
      </c>
      <c r="E128" s="561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0">
        <v>4680115883444</v>
      </c>
      <c r="E132" s="561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0">
        <v>4680115883444</v>
      </c>
      <c r="E133" s="561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0">
        <v>4680115882584</v>
      </c>
      <c r="E137" s="561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0">
        <v>4680115882584</v>
      </c>
      <c r="E138" s="561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4"/>
      <c r="AB141" s="544"/>
      <c r="AC141" s="544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0">
        <v>4680115887374</v>
      </c>
      <c r="E143" s="561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0">
        <v>4607091384604</v>
      </c>
      <c r="E144" s="561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0">
        <v>4680115887428</v>
      </c>
      <c r="E148" s="561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0" t="s">
        <v>250</v>
      </c>
      <c r="Q148" s="563"/>
      <c r="R148" s="563"/>
      <c r="S148" s="563"/>
      <c r="T148" s="564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0">
        <v>4680115887336</v>
      </c>
      <c r="E149" s="561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63"/>
      <c r="R149" s="563"/>
      <c r="S149" s="563"/>
      <c r="T149" s="564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0">
        <v>4680115887398</v>
      </c>
      <c r="E150" s="561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661" t="s">
        <v>259</v>
      </c>
      <c r="Q150" s="563"/>
      <c r="R150" s="563"/>
      <c r="S150" s="563"/>
      <c r="T150" s="564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60">
        <v>4607091387667</v>
      </c>
      <c r="E151" s="561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0">
        <v>4607091387636</v>
      </c>
      <c r="E152" s="561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60">
        <v>4607091382426</v>
      </c>
      <c r="E153" s="561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hidden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0">
        <v>4680115887459</v>
      </c>
      <c r="E157" s="561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48"/>
      <c r="AB160" s="48"/>
      <c r="AC160" s="48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4"/>
      <c r="AB161" s="544"/>
      <c r="AC161" s="544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0">
        <v>4680115886223</v>
      </c>
      <c r="E163" s="561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45"/>
      <c r="AB166" s="545"/>
      <c r="AC166" s="545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60">
        <v>4680115880993</v>
      </c>
      <c r="E167" s="561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0">
        <v>4680115881761</v>
      </c>
      <c r="E168" s="561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0">
        <v>4680115881563</v>
      </c>
      <c r="E169" s="561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0">
        <v>4680115887565</v>
      </c>
      <c r="E170" s="561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0">
        <v>4680115880986</v>
      </c>
      <c r="E171" s="561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0">
        <v>4680115887213</v>
      </c>
      <c r="E172" s="561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0">
        <v>4680115881785</v>
      </c>
      <c r="E173" s="561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0">
        <v>4680115886537</v>
      </c>
      <c r="E174" s="561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0">
        <v>4680115887596</v>
      </c>
      <c r="E175" s="561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0">
        <v>4680115881679</v>
      </c>
      <c r="E176" s="561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0">
        <v>4680115880191</v>
      </c>
      <c r="E177" s="561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0">
        <v>4680115883963</v>
      </c>
      <c r="E178" s="561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0">
        <v>4680115886780</v>
      </c>
      <c r="E182" s="561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0">
        <v>4680115886742</v>
      </c>
      <c r="E183" s="561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0">
        <v>4680115886766</v>
      </c>
      <c r="E184" s="561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0">
        <v>4680115886797</v>
      </c>
      <c r="E188" s="561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4"/>
      <c r="AB191" s="544"/>
      <c r="AC191" s="544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0">
        <v>4680115881402</v>
      </c>
      <c r="E193" s="561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0">
        <v>4680115881396</v>
      </c>
      <c r="E194" s="561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0">
        <v>4680115882935</v>
      </c>
      <c r="E198" s="561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0">
        <v>4680115880764</v>
      </c>
      <c r="E199" s="561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5"/>
      <c r="AB202" s="545"/>
      <c r="AC202" s="545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60">
        <v>4680115882683</v>
      </c>
      <c r="E203" s="561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60">
        <v>4680115882690</v>
      </c>
      <c r="E204" s="561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60">
        <v>4680115882669</v>
      </c>
      <c r="E205" s="561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60">
        <v>4680115882676</v>
      </c>
      <c r="E206" s="561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0">
        <v>4680115884014</v>
      </c>
      <c r="E207" s="561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0">
        <v>4680115884007</v>
      </c>
      <c r="E208" s="561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0">
        <v>4680115884038</v>
      </c>
      <c r="E209" s="561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0">
        <v>4680115884021</v>
      </c>
      <c r="E210" s="561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0">
        <v>4680115881594</v>
      </c>
      <c r="E214" s="561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0">
        <v>4680115881617</v>
      </c>
      <c r="E215" s="561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60">
        <v>4680115880573</v>
      </c>
      <c r="E216" s="561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60">
        <v>4680115882195</v>
      </c>
      <c r="E217" s="561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0">
        <v>4680115882607</v>
      </c>
      <c r="E218" s="561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60">
        <v>4680115880092</v>
      </c>
      <c r="E219" s="561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60">
        <v>4680115880221</v>
      </c>
      <c r="E220" s="561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0">
        <v>4680115880504</v>
      </c>
      <c r="E221" s="561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60">
        <v>4680115882164</v>
      </c>
      <c r="E222" s="561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idden="1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hidden="1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0">
        <v>4680115880818</v>
      </c>
      <c r="E226" s="561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0">
        <v>4680115880801</v>
      </c>
      <c r="E227" s="561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4"/>
      <c r="AB230" s="544"/>
      <c r="AC230" s="544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0">
        <v>4680115884137</v>
      </c>
      <c r="E232" s="561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0">
        <v>4680115884236</v>
      </c>
      <c r="E233" s="561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0">
        <v>4680115884175</v>
      </c>
      <c r="E234" s="561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0">
        <v>4680115884144</v>
      </c>
      <c r="E235" s="561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0">
        <v>4680115884144</v>
      </c>
      <c r="E236" s="561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0">
        <v>4680115886551</v>
      </c>
      <c r="E237" s="561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0">
        <v>4680115887282</v>
      </c>
      <c r="E238" s="561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0">
        <v>4680115884205</v>
      </c>
      <c r="E239" s="561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0">
        <v>4680115884205</v>
      </c>
      <c r="E240" s="561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0">
        <v>4680115885981</v>
      </c>
      <c r="E244" s="561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0">
        <v>4680115886803</v>
      </c>
      <c r="E248" s="561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0">
        <v>4680115886704</v>
      </c>
      <c r="E252" s="561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0">
        <v>4680115886681</v>
      </c>
      <c r="E253" s="561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0">
        <v>4680115886735</v>
      </c>
      <c r="E254" s="561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0">
        <v>4680115886728</v>
      </c>
      <c r="E255" s="561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0">
        <v>4680115886711</v>
      </c>
      <c r="E256" s="561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4"/>
      <c r="AB259" s="544"/>
      <c r="AC259" s="544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5"/>
      <c r="AB260" s="545"/>
      <c r="AC260" s="545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60">
        <v>4680115885837</v>
      </c>
      <c r="E261" s="561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0">
        <v>4680115885851</v>
      </c>
      <c r="E262" s="561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60">
        <v>4680115885806</v>
      </c>
      <c r="E263" s="561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0">
        <v>4680115885844</v>
      </c>
      <c r="E264" s="561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60">
        <v>4680115885820</v>
      </c>
      <c r="E265" s="561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4"/>
      <c r="AB268" s="544"/>
      <c r="AC268" s="544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0">
        <v>4607091383423</v>
      </c>
      <c r="E270" s="561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0">
        <v>4680115886957</v>
      </c>
      <c r="E271" s="561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0">
        <v>4680115885660</v>
      </c>
      <c r="E272" s="561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0">
        <v>4680115886773</v>
      </c>
      <c r="E273" s="561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4"/>
      <c r="AB276" s="544"/>
      <c r="AC276" s="544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0">
        <v>4680115886186</v>
      </c>
      <c r="E278" s="561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60">
        <v>4680115881228</v>
      </c>
      <c r="E279" s="561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0">
        <v>4680115881211</v>
      </c>
      <c r="E280" s="561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4"/>
      <c r="AB283" s="544"/>
      <c r="AC283" s="544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0">
        <v>4680115880344</v>
      </c>
      <c r="E285" s="561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0">
        <v>4680115886919</v>
      </c>
      <c r="E286" s="561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0">
        <v>4680115884618</v>
      </c>
      <c r="E290" s="561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0">
        <v>4680115887114</v>
      </c>
      <c r="E291" s="561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4"/>
      <c r="AB294" s="544"/>
      <c r="AC294" s="544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0">
        <v>4607091386004</v>
      </c>
      <c r="E296" s="561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hidden="1" customHeight="1" x14ac:dyDescent="0.25">
      <c r="A297" s="54" t="s">
        <v>476</v>
      </c>
      <c r="B297" s="54" t="s">
        <v>477</v>
      </c>
      <c r="C297" s="31">
        <v>4301012024</v>
      </c>
      <c r="D297" s="560">
        <v>4680115885615</v>
      </c>
      <c r="E297" s="561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60">
        <v>4680115885646</v>
      </c>
      <c r="E298" s="561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60">
        <v>4680115885554</v>
      </c>
      <c r="E299" s="561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485</v>
      </c>
      <c r="B300" s="54" t="s">
        <v>486</v>
      </c>
      <c r="C300" s="31">
        <v>4301011857</v>
      </c>
      <c r="D300" s="560">
        <v>4680115885622</v>
      </c>
      <c r="E300" s="561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4301011859</v>
      </c>
      <c r="D301" s="560">
        <v>4680115885608</v>
      </c>
      <c r="E301" s="561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idden="1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45"/>
      <c r="AB304" s="545"/>
      <c r="AC304" s="545"/>
    </row>
    <row r="305" spans="1:68" ht="27" hidden="1" customHeight="1" x14ac:dyDescent="0.25">
      <c r="A305" s="54" t="s">
        <v>490</v>
      </c>
      <c r="B305" s="54" t="s">
        <v>491</v>
      </c>
      <c r="C305" s="31">
        <v>4301030878</v>
      </c>
      <c r="D305" s="560">
        <v>4607091387193</v>
      </c>
      <c r="E305" s="561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4301031153</v>
      </c>
      <c r="D306" s="560">
        <v>4607091387230</v>
      </c>
      <c r="E306" s="561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0">
        <v>4607091387292</v>
      </c>
      <c r="E307" s="561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499</v>
      </c>
      <c r="B308" s="54" t="s">
        <v>500</v>
      </c>
      <c r="C308" s="31">
        <v>4301031152</v>
      </c>
      <c r="D308" s="560">
        <v>4607091387285</v>
      </c>
      <c r="E308" s="561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60">
        <v>4607091389845</v>
      </c>
      <c r="E309" s="561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0">
        <v>4607091383836</v>
      </c>
      <c r="E310" s="561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idden="1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45"/>
      <c r="AB313" s="545"/>
      <c r="AC313" s="545"/>
    </row>
    <row r="314" spans="1:68" ht="27" hidden="1" customHeight="1" x14ac:dyDescent="0.25">
      <c r="A314" s="54" t="s">
        <v>507</v>
      </c>
      <c r="B314" s="54" t="s">
        <v>508</v>
      </c>
      <c r="C314" s="31">
        <v>4301051100</v>
      </c>
      <c r="D314" s="560">
        <v>4607091387766</v>
      </c>
      <c r="E314" s="561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0">
        <v>4607091387957</v>
      </c>
      <c r="E315" s="561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0">
        <v>4607091387964</v>
      </c>
      <c r="E316" s="561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0">
        <v>4680115884588</v>
      </c>
      <c r="E317" s="561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0">
        <v>4607091380880</v>
      </c>
      <c r="E321" s="561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522</v>
      </c>
      <c r="B322" s="54" t="s">
        <v>523</v>
      </c>
      <c r="C322" s="31">
        <v>4301060406</v>
      </c>
      <c r="D322" s="560">
        <v>4607091384482</v>
      </c>
      <c r="E322" s="561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525</v>
      </c>
      <c r="B323" s="54" t="s">
        <v>526</v>
      </c>
      <c r="C323" s="31">
        <v>4301060484</v>
      </c>
      <c r="D323" s="560">
        <v>4607091380897</v>
      </c>
      <c r="E323" s="561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0">
        <v>4607091388381</v>
      </c>
      <c r="E327" s="561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60">
        <v>4607091388374</v>
      </c>
      <c r="E328" s="561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0">
        <v>4607091383102</v>
      </c>
      <c r="E329" s="561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4301030233</v>
      </c>
      <c r="D330" s="560">
        <v>4607091388404</v>
      </c>
      <c r="E330" s="561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0">
        <v>4680115881808</v>
      </c>
      <c r="E334" s="561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0">
        <v>4680115881822</v>
      </c>
      <c r="E335" s="561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0">
        <v>4680115880016</v>
      </c>
      <c r="E336" s="561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4"/>
      <c r="AB339" s="544"/>
      <c r="AC339" s="544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0">
        <v>4607091387919</v>
      </c>
      <c r="E341" s="561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4301051461</v>
      </c>
      <c r="D342" s="560">
        <v>4680115883604</v>
      </c>
      <c r="E342" s="561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554</v>
      </c>
      <c r="B343" s="54" t="s">
        <v>555</v>
      </c>
      <c r="C343" s="31">
        <v>4301051864</v>
      </c>
      <c r="D343" s="560">
        <v>4680115883567</v>
      </c>
      <c r="E343" s="561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48"/>
      <c r="AB346" s="48"/>
      <c r="AC346" s="48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4"/>
      <c r="AB347" s="544"/>
      <c r="AC347" s="544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0">
        <v>4680115884847</v>
      </c>
      <c r="E349" s="561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4"/>
      <c r="V349" s="34"/>
      <c r="W349" s="35" t="s">
        <v>69</v>
      </c>
      <c r="X349" s="549">
        <v>1500</v>
      </c>
      <c r="Y349" s="550">
        <f t="shared" ref="Y349:Y355" si="41">IFERROR(IF(X349="",0,CEILING((X349/$H349),1)*$H349),"")</f>
        <v>1500</v>
      </c>
      <c r="Z349" s="36">
        <f>IFERROR(IF(Y349=0,"",ROUNDUP(Y349/H349,0)*0.02175),"")</f>
        <v>2.1749999999999998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1547</v>
      </c>
      <c r="BN349" s="64">
        <f t="shared" ref="BN349:BN355" si="43">IFERROR(Y349*I349/H349,"0")</f>
        <v>1547</v>
      </c>
      <c r="BO349" s="64">
        <f t="shared" ref="BO349:BO355" si="44">IFERROR(1/J349*(X349/H349),"0")</f>
        <v>2.083333333333333</v>
      </c>
      <c r="BP349" s="64">
        <f t="shared" ref="BP349:BP355" si="45">IFERROR(1/J349*(Y349/H349),"0")</f>
        <v>2.083333333333333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0">
        <v>4680115884854</v>
      </c>
      <c r="E350" s="561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4"/>
      <c r="V350" s="34"/>
      <c r="W350" s="35" t="s">
        <v>69</v>
      </c>
      <c r="X350" s="549">
        <v>800</v>
      </c>
      <c r="Y350" s="550">
        <f t="shared" si="41"/>
        <v>810</v>
      </c>
      <c r="Z350" s="36">
        <f>IFERROR(IF(Y350=0,"",ROUNDUP(Y350/H350,0)*0.02175),"")</f>
        <v>1.1744999999999999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825.06666666666672</v>
      </c>
      <c r="BN350" s="64">
        <f t="shared" si="43"/>
        <v>835.38</v>
      </c>
      <c r="BO350" s="64">
        <f t="shared" si="44"/>
        <v>1.1111111111111112</v>
      </c>
      <c r="BP350" s="64">
        <f t="shared" si="45"/>
        <v>1.125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0">
        <v>4680115887046</v>
      </c>
      <c r="E351" s="561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4"/>
      <c r="V351" s="34"/>
      <c r="W351" s="35" t="s">
        <v>69</v>
      </c>
      <c r="X351" s="549">
        <v>1500</v>
      </c>
      <c r="Y351" s="550">
        <f t="shared" si="41"/>
        <v>1500</v>
      </c>
      <c r="Z351" s="36">
        <f>IFERROR(IF(Y351=0,"",ROUNDUP(Y351/H351,0)*0.02175),"")</f>
        <v>2.1749999999999998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1547</v>
      </c>
      <c r="BN351" s="64">
        <f t="shared" si="43"/>
        <v>1547</v>
      </c>
      <c r="BO351" s="64">
        <f t="shared" si="44"/>
        <v>2.083333333333333</v>
      </c>
      <c r="BP351" s="64">
        <f t="shared" si="45"/>
        <v>2.083333333333333</v>
      </c>
    </row>
    <row r="352" spans="1:68" ht="37.5" hidden="1" customHeight="1" x14ac:dyDescent="0.25">
      <c r="A352" s="54" t="s">
        <v>568</v>
      </c>
      <c r="B352" s="54" t="s">
        <v>569</v>
      </c>
      <c r="C352" s="31">
        <v>4301011867</v>
      </c>
      <c r="D352" s="560">
        <v>4680115884830</v>
      </c>
      <c r="E352" s="561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0">
        <v>4680115882638</v>
      </c>
      <c r="E353" s="561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0">
        <v>4680115884922</v>
      </c>
      <c r="E354" s="561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hidden="1" customHeight="1" x14ac:dyDescent="0.25">
      <c r="A355" s="54" t="s">
        <v>576</v>
      </c>
      <c r="B355" s="54" t="s">
        <v>577</v>
      </c>
      <c r="C355" s="31">
        <v>4301011868</v>
      </c>
      <c r="D355" s="560">
        <v>4680115884861</v>
      </c>
      <c r="E355" s="561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253.33333333333334</v>
      </c>
      <c r="Y356" s="551">
        <f>IFERROR(Y349/H349,"0")+IFERROR(Y350/H350,"0")+IFERROR(Y351/H351,"0")+IFERROR(Y352/H352,"0")+IFERROR(Y353/H353,"0")+IFERROR(Y354/H354,"0")+IFERROR(Y355/H355,"0")</f>
        <v>254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5.5244999999999997</v>
      </c>
      <c r="AA356" s="552"/>
      <c r="AB356" s="552"/>
      <c r="AC356" s="552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37" t="s">
        <v>69</v>
      </c>
      <c r="X357" s="551">
        <f>IFERROR(SUM(X349:X355),"0")</f>
        <v>3800</v>
      </c>
      <c r="Y357" s="551">
        <f>IFERROR(SUM(Y349:Y355),"0")</f>
        <v>3810</v>
      </c>
      <c r="Z357" s="37"/>
      <c r="AA357" s="552"/>
      <c r="AB357" s="552"/>
      <c r="AC357" s="552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0">
        <v>4607091383980</v>
      </c>
      <c r="E359" s="561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4"/>
      <c r="V359" s="34"/>
      <c r="W359" s="35" t="s">
        <v>69</v>
      </c>
      <c r="X359" s="549">
        <v>1500</v>
      </c>
      <c r="Y359" s="550">
        <f>IFERROR(IF(X359="",0,CEILING((X359/$H359),1)*$H359),"")</f>
        <v>1500</v>
      </c>
      <c r="Z359" s="36">
        <f>IFERROR(IF(Y359=0,"",ROUNDUP(Y359/H359,0)*0.02175),"")</f>
        <v>2.1749999999999998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1547</v>
      </c>
      <c r="BN359" s="64">
        <f>IFERROR(Y359*I359/H359,"0")</f>
        <v>1547</v>
      </c>
      <c r="BO359" s="64">
        <f>IFERROR(1/J359*(X359/H359),"0")</f>
        <v>2.083333333333333</v>
      </c>
      <c r="BP359" s="64">
        <f>IFERROR(1/J359*(Y359/H359),"0")</f>
        <v>2.083333333333333</v>
      </c>
    </row>
    <row r="360" spans="1:68" ht="27" hidden="1" customHeight="1" x14ac:dyDescent="0.25">
      <c r="A360" s="54" t="s">
        <v>581</v>
      </c>
      <c r="B360" s="54" t="s">
        <v>582</v>
      </c>
      <c r="C360" s="31">
        <v>4301020179</v>
      </c>
      <c r="D360" s="560">
        <v>4607091384178</v>
      </c>
      <c r="E360" s="561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37" t="s">
        <v>76</v>
      </c>
      <c r="X361" s="551">
        <f>IFERROR(X359/H359,"0")+IFERROR(X360/H360,"0")</f>
        <v>100</v>
      </c>
      <c r="Y361" s="551">
        <f>IFERROR(Y359/H359,"0")+IFERROR(Y360/H360,"0")</f>
        <v>100</v>
      </c>
      <c r="Z361" s="551">
        <f>IFERROR(IF(Z359="",0,Z359),"0")+IFERROR(IF(Z360="",0,Z360),"0")</f>
        <v>2.1749999999999998</v>
      </c>
      <c r="AA361" s="552"/>
      <c r="AB361" s="552"/>
      <c r="AC361" s="552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37" t="s">
        <v>69</v>
      </c>
      <c r="X362" s="551">
        <f>IFERROR(SUM(X359:X360),"0")</f>
        <v>1500</v>
      </c>
      <c r="Y362" s="551">
        <f>IFERROR(SUM(Y359:Y360),"0")</f>
        <v>1500</v>
      </c>
      <c r="Z362" s="37"/>
      <c r="AA362" s="552"/>
      <c r="AB362" s="552"/>
      <c r="AC362" s="552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0">
        <v>4607091383928</v>
      </c>
      <c r="E364" s="561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0">
        <v>4607091384260</v>
      </c>
      <c r="E365" s="561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45"/>
      <c r="AB368" s="545"/>
      <c r="AC368" s="545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60">
        <v>4607091384673</v>
      </c>
      <c r="E369" s="561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4"/>
      <c r="AB372" s="544"/>
      <c r="AC372" s="544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0">
        <v>4680115884885</v>
      </c>
      <c r="E374" s="561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0">
        <v>4680115884908</v>
      </c>
      <c r="E375" s="561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0">
        <v>4607091384802</v>
      </c>
      <c r="E379" s="561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0">
        <v>4607091384802</v>
      </c>
      <c r="E380" s="561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45"/>
      <c r="AB383" s="545"/>
      <c r="AC383" s="545"/>
    </row>
    <row r="384" spans="1:68" ht="27" hidden="1" customHeight="1" x14ac:dyDescent="0.25">
      <c r="A384" s="54" t="s">
        <v>604</v>
      </c>
      <c r="B384" s="54" t="s">
        <v>605</v>
      </c>
      <c r="C384" s="31">
        <v>4301051899</v>
      </c>
      <c r="D384" s="560">
        <v>4607091384246</v>
      </c>
      <c r="E384" s="561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0">
        <v>4607091384253</v>
      </c>
      <c r="E385" s="561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0">
        <v>4607091384253</v>
      </c>
      <c r="E386" s="561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48"/>
      <c r="AB389" s="48"/>
      <c r="AC389" s="48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4"/>
      <c r="AB390" s="544"/>
      <c r="AC390" s="544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45"/>
      <c r="AB391" s="545"/>
      <c r="AC391" s="545"/>
    </row>
    <row r="392" spans="1:68" ht="27" hidden="1" customHeight="1" x14ac:dyDescent="0.25">
      <c r="A392" s="54" t="s">
        <v>613</v>
      </c>
      <c r="B392" s="54" t="s">
        <v>614</v>
      </c>
      <c r="C392" s="31">
        <v>4301031405</v>
      </c>
      <c r="D392" s="560">
        <v>4680115886100</v>
      </c>
      <c r="E392" s="561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0">
        <v>4680115886117</v>
      </c>
      <c r="E393" s="561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0">
        <v>4680115886124</v>
      </c>
      <c r="E394" s="561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0">
        <v>4680115883147</v>
      </c>
      <c r="E395" s="561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60">
        <v>4607091384338</v>
      </c>
      <c r="E396" s="561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60">
        <v>4607091389524</v>
      </c>
      <c r="E397" s="561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0">
        <v>4680115883161</v>
      </c>
      <c r="E398" s="561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60">
        <v>4607091389531</v>
      </c>
      <c r="E399" s="561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60">
        <v>4607091384345</v>
      </c>
      <c r="E400" s="561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idden="1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0">
        <v>4607091384352</v>
      </c>
      <c r="E404" s="561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0">
        <v>4607091389654</v>
      </c>
      <c r="E405" s="561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4"/>
      <c r="AB408" s="544"/>
      <c r="AC408" s="544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0">
        <v>4680115885240</v>
      </c>
      <c r="E410" s="561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0">
        <v>4680115886094</v>
      </c>
      <c r="E414" s="561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0">
        <v>4607091389425</v>
      </c>
      <c r="E415" s="561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0">
        <v>4680115880771</v>
      </c>
      <c r="E416" s="561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0">
        <v>4607091389500</v>
      </c>
      <c r="E417" s="561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4"/>
      <c r="AB420" s="544"/>
      <c r="AC420" s="544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0">
        <v>4680115885110</v>
      </c>
      <c r="E422" s="561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48"/>
      <c r="AB425" s="48"/>
      <c r="AC425" s="48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4"/>
      <c r="AB426" s="544"/>
      <c r="AC426" s="544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45"/>
      <c r="AB427" s="545"/>
      <c r="AC427" s="545"/>
    </row>
    <row r="428" spans="1:68" ht="27" hidden="1" customHeight="1" x14ac:dyDescent="0.25">
      <c r="A428" s="54" t="s">
        <v>663</v>
      </c>
      <c r="B428" s="54" t="s">
        <v>664</v>
      </c>
      <c r="C428" s="31">
        <v>4301011795</v>
      </c>
      <c r="D428" s="560">
        <v>4607091389067</v>
      </c>
      <c r="E428" s="561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0">
        <v>4607091383522</v>
      </c>
      <c r="E429" s="561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0">
        <v>4607091383522</v>
      </c>
      <c r="E430" s="561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60">
        <v>4680115885271</v>
      </c>
      <c r="E431" s="561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672</v>
      </c>
      <c r="B432" s="54" t="s">
        <v>673</v>
      </c>
      <c r="C432" s="31">
        <v>4301011376</v>
      </c>
      <c r="D432" s="560">
        <v>4680115885226</v>
      </c>
      <c r="E432" s="561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0">
        <v>4680115884502</v>
      </c>
      <c r="E433" s="561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4301011771</v>
      </c>
      <c r="D434" s="560">
        <v>4607091389104</v>
      </c>
      <c r="E434" s="561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4"/>
      <c r="V434" s="34"/>
      <c r="W434" s="35" t="s">
        <v>69</v>
      </c>
      <c r="X434" s="549">
        <v>0</v>
      </c>
      <c r="Y434" s="550">
        <f t="shared" si="52"/>
        <v>0</v>
      </c>
      <c r="Z434" s="36" t="str">
        <f t="shared" si="53"/>
        <v/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0">
        <v>4680115886391</v>
      </c>
      <c r="E435" s="561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0">
        <v>4680115880603</v>
      </c>
      <c r="E436" s="561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0">
        <v>4680115882782</v>
      </c>
      <c r="E437" s="561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0">
        <v>4680115885479</v>
      </c>
      <c r="E438" s="561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60">
        <v>4607091389982</v>
      </c>
      <c r="E439" s="561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idden="1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hidden="1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5"/>
      <c r="AB442" s="545"/>
      <c r="AC442" s="545"/>
    </row>
    <row r="443" spans="1:68" ht="16.5" hidden="1" customHeight="1" x14ac:dyDescent="0.25">
      <c r="A443" s="54" t="s">
        <v>692</v>
      </c>
      <c r="B443" s="54" t="s">
        <v>693</v>
      </c>
      <c r="C443" s="31">
        <v>4301020334</v>
      </c>
      <c r="D443" s="560">
        <v>4607091388930</v>
      </c>
      <c r="E443" s="561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0">
        <v>4680115886407</v>
      </c>
      <c r="E444" s="561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0">
        <v>4680115880054</v>
      </c>
      <c r="E445" s="561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45"/>
      <c r="AB448" s="545"/>
      <c r="AC448" s="545"/>
    </row>
    <row r="449" spans="1:68" ht="27" hidden="1" customHeight="1" x14ac:dyDescent="0.25">
      <c r="A449" s="54" t="s">
        <v>699</v>
      </c>
      <c r="B449" s="54" t="s">
        <v>700</v>
      </c>
      <c r="C449" s="31">
        <v>4301031349</v>
      </c>
      <c r="D449" s="560">
        <v>4680115883116</v>
      </c>
      <c r="E449" s="561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hidden="1" customHeight="1" x14ac:dyDescent="0.25">
      <c r="A450" s="54" t="s">
        <v>702</v>
      </c>
      <c r="B450" s="54" t="s">
        <v>703</v>
      </c>
      <c r="C450" s="31">
        <v>4301031350</v>
      </c>
      <c r="D450" s="560">
        <v>4680115883093</v>
      </c>
      <c r="E450" s="561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4301031353</v>
      </c>
      <c r="D451" s="560">
        <v>4680115883109</v>
      </c>
      <c r="E451" s="561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4"/>
      <c r="V451" s="34"/>
      <c r="W451" s="35" t="s">
        <v>69</v>
      </c>
      <c r="X451" s="549">
        <v>0</v>
      </c>
      <c r="Y451" s="550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0">
        <v>4680115882072</v>
      </c>
      <c r="E452" s="561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0">
        <v>4680115882102</v>
      </c>
      <c r="E453" s="561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0">
        <v>4680115882096</v>
      </c>
      <c r="E454" s="561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idden="1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0">
        <v>4680115883536</v>
      </c>
      <c r="E458" s="561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48"/>
      <c r="AB461" s="48"/>
      <c r="AC461" s="48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44"/>
      <c r="AB462" s="544"/>
      <c r="AC462" s="544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0">
        <v>4640242181011</v>
      </c>
      <c r="E464" s="561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0">
        <v>4640242180441</v>
      </c>
      <c r="E465" s="561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0">
        <v>4640242180564</v>
      </c>
      <c r="E466" s="561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0">
        <v>4640242181189</v>
      </c>
      <c r="E467" s="561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0">
        <v>4640242180519</v>
      </c>
      <c r="E471" s="561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0">
        <v>4640242180526</v>
      </c>
      <c r="E472" s="561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45"/>
      <c r="AB475" s="545"/>
      <c r="AC475" s="545"/>
    </row>
    <row r="476" spans="1:68" ht="27" hidden="1" customHeight="1" x14ac:dyDescent="0.25">
      <c r="A476" s="54" t="s">
        <v>735</v>
      </c>
      <c r="B476" s="54" t="s">
        <v>736</v>
      </c>
      <c r="C476" s="31">
        <v>4301031244</v>
      </c>
      <c r="D476" s="560">
        <v>4640242180595</v>
      </c>
      <c r="E476" s="561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45"/>
      <c r="AB479" s="545"/>
      <c r="AC479" s="545"/>
    </row>
    <row r="480" spans="1:68" ht="27" hidden="1" customHeight="1" x14ac:dyDescent="0.25">
      <c r="A480" s="54" t="s">
        <v>738</v>
      </c>
      <c r="B480" s="54" t="s">
        <v>739</v>
      </c>
      <c r="C480" s="31">
        <v>4301052046</v>
      </c>
      <c r="D480" s="560">
        <v>4640242180533</v>
      </c>
      <c r="E480" s="561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0">
        <v>4640242180120</v>
      </c>
      <c r="E484" s="561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0">
        <v>4640242180137</v>
      </c>
      <c r="E485" s="561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44"/>
      <c r="AB488" s="544"/>
      <c r="AC488" s="544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0">
        <v>4640242180090</v>
      </c>
      <c r="E490" s="561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5300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5310</v>
      </c>
      <c r="Z493" s="37"/>
      <c r="AA493" s="552"/>
      <c r="AB493" s="552"/>
      <c r="AC493" s="552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37" t="s">
        <v>69</v>
      </c>
      <c r="X494" s="551">
        <f>IFERROR(SUM(BM22:BM490),"0")</f>
        <v>5466.0666666666666</v>
      </c>
      <c r="Y494" s="551">
        <f>IFERROR(SUM(BN22:BN490),"0")</f>
        <v>5476.38</v>
      </c>
      <c r="Z494" s="37"/>
      <c r="AA494" s="552"/>
      <c r="AB494" s="552"/>
      <c r="AC494" s="552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37" t="s">
        <v>754</v>
      </c>
      <c r="X495" s="38">
        <f>ROUNDUP(SUM(BO22:BO490),0)</f>
        <v>8</v>
      </c>
      <c r="Y495" s="38">
        <f>ROUNDUP(SUM(BP22:BP490),0)</f>
        <v>8</v>
      </c>
      <c r="Z495" s="37"/>
      <c r="AA495" s="552"/>
      <c r="AB495" s="552"/>
      <c r="AC495" s="552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37" t="s">
        <v>69</v>
      </c>
      <c r="X496" s="551">
        <f>GrossWeightTotal+PalletQtyTotal*25</f>
        <v>5666.0666666666666</v>
      </c>
      <c r="Y496" s="551">
        <f>GrossWeightTotalR+PalletQtyTotalR*25</f>
        <v>5676.38</v>
      </c>
      <c r="Z496" s="37"/>
      <c r="AA496" s="552"/>
      <c r="AB496" s="552"/>
      <c r="AC496" s="552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353.33333333333337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354</v>
      </c>
      <c r="Z497" s="37"/>
      <c r="AA497" s="552"/>
      <c r="AB497" s="552"/>
      <c r="AC497" s="552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7.6994999999999996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546" t="s">
        <v>662</v>
      </c>
      <c r="Y500" s="585" t="s">
        <v>717</v>
      </c>
      <c r="Z500" s="752"/>
      <c r="AB500" s="52"/>
      <c r="AC500" s="52"/>
      <c r="AF500" s="547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547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52"/>
      <c r="AC501" s="52"/>
      <c r="AF501" s="547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47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46">
        <f>IFERROR(Y85*1,"0")+IFERROR(Y86*1,"0")+IFERROR(Y87*1,"0")+IFERROR(Y88*1,"0")+IFERROR(Y92*1,"0")+IFERROR(Y93*1,"0")+IFERROR(Y94*1,"0")+IFERROR(Y95*1,"0")</f>
        <v>0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5310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253,33"/>
        <filter val="3 800,00"/>
        <filter val="353,33"/>
        <filter val="5 300,00"/>
        <filter val="5 466,07"/>
        <filter val="5 666,07"/>
        <filter val="8"/>
        <filter val="800,00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2025-12-23T12:32:37Z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