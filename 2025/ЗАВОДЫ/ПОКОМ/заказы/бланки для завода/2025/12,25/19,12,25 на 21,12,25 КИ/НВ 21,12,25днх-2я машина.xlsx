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617187-4EC1-4714-BF19-3DA6EFC3E1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BP226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Z203" i="1" s="1"/>
  <c r="P203" i="1"/>
  <c r="X201" i="1"/>
  <c r="X200" i="1"/>
  <c r="BO199" i="1"/>
  <c r="BM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BM22" i="1"/>
  <c r="X493" i="1" s="1"/>
  <c r="Y22" i="1"/>
  <c r="P22" i="1"/>
  <c r="H10" i="1"/>
  <c r="A9" i="1"/>
  <c r="F10" i="1" s="1"/>
  <c r="D7" i="1"/>
  <c r="Q6" i="1"/>
  <c r="P2" i="1"/>
  <c r="BP109" i="1" l="1"/>
  <c r="BN109" i="1"/>
  <c r="Z109" i="1"/>
  <c r="BP168" i="1"/>
  <c r="BN168" i="1"/>
  <c r="Z168" i="1"/>
  <c r="BP199" i="1"/>
  <c r="BN199" i="1"/>
  <c r="Z199" i="1"/>
  <c r="BP218" i="1"/>
  <c r="BN218" i="1"/>
  <c r="Z218" i="1"/>
  <c r="BP253" i="1"/>
  <c r="BN253" i="1"/>
  <c r="Z253" i="1"/>
  <c r="BP285" i="1"/>
  <c r="BN285" i="1"/>
  <c r="Z285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9" i="1"/>
  <c r="BN29" i="1"/>
  <c r="Z47" i="1"/>
  <c r="Z48" i="1" s="1"/>
  <c r="Z57" i="1"/>
  <c r="BN57" i="1"/>
  <c r="Z67" i="1"/>
  <c r="BN67" i="1"/>
  <c r="Z86" i="1"/>
  <c r="BN86" i="1"/>
  <c r="BP92" i="1"/>
  <c r="BN92" i="1"/>
  <c r="Z92" i="1"/>
  <c r="BP128" i="1"/>
  <c r="BN128" i="1"/>
  <c r="Z128" i="1"/>
  <c r="BP176" i="1"/>
  <c r="BN176" i="1"/>
  <c r="Z176" i="1"/>
  <c r="BP208" i="1"/>
  <c r="BN208" i="1"/>
  <c r="Z208" i="1"/>
  <c r="BP233" i="1"/>
  <c r="BN233" i="1"/>
  <c r="Z233" i="1"/>
  <c r="BP271" i="1"/>
  <c r="BN271" i="1"/>
  <c r="Z271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64" i="1"/>
  <c r="BP88" i="1"/>
  <c r="BN88" i="1"/>
  <c r="Z88" i="1"/>
  <c r="BP103" i="1"/>
  <c r="BN103" i="1"/>
  <c r="Z103" i="1"/>
  <c r="B502" i="1"/>
  <c r="X494" i="1"/>
  <c r="X495" i="1" s="1"/>
  <c r="Z27" i="1"/>
  <c r="BN27" i="1"/>
  <c r="BP27" i="1"/>
  <c r="Z31" i="1"/>
  <c r="BN31" i="1"/>
  <c r="Z43" i="1"/>
  <c r="BN43" i="1"/>
  <c r="Z55" i="1"/>
  <c r="BN55" i="1"/>
  <c r="Z61" i="1"/>
  <c r="BN61" i="1"/>
  <c r="BP61" i="1"/>
  <c r="Z73" i="1"/>
  <c r="BN73" i="1"/>
  <c r="BP79" i="1"/>
  <c r="BN79" i="1"/>
  <c r="Z79" i="1"/>
  <c r="BP94" i="1"/>
  <c r="BN94" i="1"/>
  <c r="Z94" i="1"/>
  <c r="BP111" i="1"/>
  <c r="BN111" i="1"/>
  <c r="Z111" i="1"/>
  <c r="Y119" i="1"/>
  <c r="Z117" i="1"/>
  <c r="BN117" i="1"/>
  <c r="Z132" i="1"/>
  <c r="BN132" i="1"/>
  <c r="BP132" i="1"/>
  <c r="Z152" i="1"/>
  <c r="BN152" i="1"/>
  <c r="Z170" i="1"/>
  <c r="BN170" i="1"/>
  <c r="Z174" i="1"/>
  <c r="BN174" i="1"/>
  <c r="Z178" i="1"/>
  <c r="BN178" i="1"/>
  <c r="Y186" i="1"/>
  <c r="Z184" i="1"/>
  <c r="BN184" i="1"/>
  <c r="Y185" i="1"/>
  <c r="Z188" i="1"/>
  <c r="Z189" i="1" s="1"/>
  <c r="BN188" i="1"/>
  <c r="BP188" i="1"/>
  <c r="Y189" i="1"/>
  <c r="Z193" i="1"/>
  <c r="BN193" i="1"/>
  <c r="Z206" i="1"/>
  <c r="BN206" i="1"/>
  <c r="Z210" i="1"/>
  <c r="BN210" i="1"/>
  <c r="Z216" i="1"/>
  <c r="BN216" i="1"/>
  <c r="Z220" i="1"/>
  <c r="BN220" i="1"/>
  <c r="Z226" i="1"/>
  <c r="BN226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387" i="1"/>
  <c r="Y386" i="1"/>
  <c r="Y485" i="1"/>
  <c r="H9" i="1"/>
  <c r="A10" i="1"/>
  <c r="Y24" i="1"/>
  <c r="Y32" i="1"/>
  <c r="Y44" i="1"/>
  <c r="D502" i="1"/>
  <c r="Y59" i="1"/>
  <c r="BP52" i="1"/>
  <c r="BN52" i="1"/>
  <c r="Z52" i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502" i="1"/>
  <c r="F9" i="1"/>
  <c r="J9" i="1"/>
  <c r="Z22" i="1"/>
  <c r="Z24" i="1" s="1"/>
  <c r="BN22" i="1"/>
  <c r="BP22" i="1"/>
  <c r="X496" i="1"/>
  <c r="Y25" i="1"/>
  <c r="Z28" i="1"/>
  <c r="BN28" i="1"/>
  <c r="Z30" i="1"/>
  <c r="BN30" i="1"/>
  <c r="C502" i="1"/>
  <c r="Z42" i="1"/>
  <c r="Z44" i="1" s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Y129" i="1"/>
  <c r="BP133" i="1"/>
  <c r="BN133" i="1"/>
  <c r="Z133" i="1"/>
  <c r="Y135" i="1"/>
  <c r="Y140" i="1"/>
  <c r="BP137" i="1"/>
  <c r="BN137" i="1"/>
  <c r="Z137" i="1"/>
  <c r="Z139" i="1" s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67" i="1" l="1"/>
  <c r="Z330" i="1"/>
  <c r="Z287" i="1"/>
  <c r="Z185" i="1"/>
  <c r="Z134" i="1"/>
  <c r="Z119" i="1"/>
  <c r="Z112" i="1"/>
  <c r="Z96" i="1"/>
  <c r="Z355" i="1"/>
  <c r="Z266" i="1"/>
  <c r="Z223" i="1"/>
  <c r="Z105" i="1"/>
  <c r="Z317" i="1"/>
  <c r="Z310" i="1"/>
  <c r="Z439" i="1"/>
  <c r="Z32" i="1"/>
  <c r="Z154" i="1"/>
  <c r="Z58" i="1"/>
  <c r="Z454" i="1"/>
  <c r="Z417" i="1"/>
  <c r="Z336" i="1"/>
  <c r="Y493" i="1"/>
  <c r="Z241" i="1"/>
  <c r="Z179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<sst xmlns="http://schemas.openxmlformats.org/spreadsheetml/2006/main" count="2302" uniqueCount="775">
  <si>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</si>
  <si>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</si>
  <si>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</si>
  <si>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</si>
  <si>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</si>
  <si>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</si>
  <si>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</si>
  <si>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</si>
  <si>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</si>
  <si>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</si>
  <si>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</si>
  <si>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</si>
  <si>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</si>
  <si>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</si>
  <si>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</si>
  <si>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</si>
  <si>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</si>
  <si>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</si>
  <si>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</si>
  <si>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</si>
  <si>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</si>
  <si>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</si>
  <si>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</si>
  <si>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</si>
  <si>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</si>
  <si>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</si>
  <si>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</si>
  <si>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</si>
  <si>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</si>
  <si>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</si>
  <si>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</si>
  <si>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</si>
  <si>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</si>
  <si>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</si>
  <si>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</si>
  <si>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</si>
  <si>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</si>
  <si>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</si>
  <si>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</si>
  <si>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</si>
  <si>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</si>
  <si>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</si>
  <si>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</si>
  <si>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</si>
  <si>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</si>
  <si>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</si>
  <si>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</si>
  <si>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</si>
  <si>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</si>
  <si>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</si>
  <si>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</si>
  <si>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</si>
  <si>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</si>
  <si>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</si>
  <si>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</si>
  <si>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</si>
  <si>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</si>
  <si>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</si>
  <si>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</si>
  <si>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</si>
  <si>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</si>
  <si>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</si>
  <si>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</si>
  <si>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</si>
  <si>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</si>
  <si>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</si>
  <si>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</si>
  <si>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</si>
  <si>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</si>
  <si>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</si>
  <si>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</si>
  <si>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</si>
  <si>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</si>
  <si>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</si>
  <si>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</si>
  <si>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</si>
  <si>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</si>
  <si>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</si>
  <si>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</si>
  <si>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</si>
  <si>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</si>
  <si>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</si>
  <si>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</si>
  <si>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</si>
  <si>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</si>
  <si>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</si>
  <si>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</si>
  <si>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</si>
  <si>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</si>
  <si>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</si>
  <si>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</si>
  <si>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</si>
  <si>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</si>
  <si>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</si>
  <si>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</si>
  <si>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</si>
  <si>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</si>
  <si>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</si>
  <si>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</si>
  <si>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</si>
  <si>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</si>
  <si>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</si>
  <si>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</si>
  <si>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</si>
  <si>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</si>
  <si>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</si>
  <si>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</si>
  <si>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</si>
  <si>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</si>
  <si>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</si>
  <si>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</si>
  <si>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</si>
  <si>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</si>
  <si>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</si>
  <si>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</si>
  <si>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</si>
  <si>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</si>
  <si>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</si>
  <si>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</si>
  <si>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</si>
  <si>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</si>
  <si>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</si>
  <si>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</si>
  <si>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</si>
  <si>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</si>
  <si>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</si>
  <si>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</si>
  <si>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</si>
  <si>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</si>
  <si>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</si>
  <si>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</si>
  <si>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</si>
  <si>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</si>
  <si>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</si>
  <si>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</si>
  <si>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</si>
  <si>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</si>
  <si>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</si>
  <si>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</si>
  <si>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</si>
  <si>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</si>
  <si>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</si>
  <si>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</si>
  <si>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</si>
  <si>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</si>
  <si>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</si>
  <si>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</si>
  <si>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</si>
  <si>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</si>
  <si>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</si>
  <si>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</si>
  <si>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</si>
  <si>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</si>
  <si>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</si>
  <si>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</si>
  <si>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</si>
  <si>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</si>
  <si>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</si>
  <si>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</si>
  <si>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</si>
  <si>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</si>
  <si>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</si>
  <si>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</si>
  <si>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</si>
  <si>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</si>
  <si>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</si>
  <si>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</si>
  <si>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</si>
  <si>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</si>
  <si>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</si>
  <si>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</si>
  <si>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</si>
  <si>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</si>
  <si>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</si>
  <si>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</si>
  <si>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</si>
  <si>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</si>
  <si>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</si>
  <si>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</si>
  <si>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</si>
  <si>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</si>
  <si>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</si>
  <si>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</si>
  <si>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</si>
  <si>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</si>
  <si>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</si>
  <si>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</si>
  <si>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</si>
  <si>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</si>
  <si>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</si>
  <si>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</si>
  <si>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</si>
  <si>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</si>
  <si>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</si>
  <si>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</si>
  <si>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</si>
  <si>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</si>
  <si>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</si>
  <si>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</si>
  <si>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</si>
  <si>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</si>
  <si>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</si>
  <si>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</si>
  <si>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</si>
  <si>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</si>
  <si>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</si>
  <si>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</si>
  <si>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</si>
  <si>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</si>
  <si>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</si>
  <si>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</si>
  <si>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</si>
  <si>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</si>
  <si>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</si>
  <si>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</si>
  <si>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</si>
  <si>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</si>
  <si>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</si>
  <si>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</si>
  <si>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</si>
  <si>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</si>
  <si>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</si>
  <si>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</si>
  <si>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</si>
  <si>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</si>
  <si>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</si>
  <si>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</si>
  <si>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</si>
  <si>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</si>
  <si>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</si>
  <si>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</si>
  <si>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</si>
  <si>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</si>
  <si>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</si>
  <si>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</si>
  <si>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</si>
  <si>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</si>
  <si>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</si>
  <si>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</si>
  <si>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</si>
  <si>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</si>
  <si>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</si>
  <si>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</si>
  <si>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</si>
  <si>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</si>
  <si>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</si>
  <si>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</si>
  <si>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</si>
  <si>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</si>
  <si>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</si>
  <si>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</si>
  <si>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</si>
  <si>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</si>
  <si>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</si>
  <si>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</si>
  <si>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</si>
  <si>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</si>
  <si>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</si>
  <si>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</si>
  <si>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</si>
  <si>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</si>
  <si>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</si>
  <si>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</si>
  <si>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</si>
  <si>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</si>
  <si>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</si>
  <si>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</si>
  <si>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</si>
  <si>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</si>
  <si>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</si>
  <si>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</si>
  <si>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</si>
  <si>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</si>
  <si>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</si>
  <si>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</si>
  <si>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</si>
  <si>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</si>
  <si>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</si>
  <si>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</si>
  <si>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</si>
  <si>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</si>
  <si>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</si>
  <si>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</si>
  <si>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</si>
  <si>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</si>
  <si>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</si>
  <si>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</si>
  <si>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</si>
  <si>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</si>
  <si>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</si>
  <si>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</si>
  <si>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</si>
  <si>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</si>
  <si>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</si>
  <si>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</si>
  <si>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</si>
  <si>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</si>
  <si>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</si>
  <si>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</si>
  <si>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</si>
  <si>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</si>
  <si>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</si>
  <si>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</si>
  <si>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</si>
  <si>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</si>
  <si>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</si>
  <si>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</si>
  <si>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</si>
  <si>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</si>
  <si>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</si>
  <si>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</si>
  <si>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</si>
  <si>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</si>
  <si>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</si>
  <si>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</si>
  <si>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</si>
  <si>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</si>
  <si>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</si>
  <si>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</si>
  <si>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</si>
  <si>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</si>
  <si>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</si>
  <si>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</si>
  <si>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</si>
  <si>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</si>
  <si>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</si>
  <si>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</si>
  <si>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</si>
  <si>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</si>
  <si>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</si>
  <si>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</si>
  <si>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</si>
  <si>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</si>
  <si>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</si>
  <si>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</si>
  <si>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</si>
  <si>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</si>
  <si>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</si>
  <si>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</si>
  <si>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</si>
  <si>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</si>
  <si>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</si>
  <si>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</si>
  <si>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</si>
  <si>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</si>
  <si>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</si>
  <si>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</si>
  <si>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</si>
  <si>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</si>
  <si>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</si>
  <si>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</si>
  <si>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</si>
  <si>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</si>
  <si>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</si>
  <si>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</si>
  <si>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</si>
  <si>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</si>
  <si>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</si>
  <si>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</si>
  <si>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</si>
  <si>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</si>
  <si>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</si>
  <si>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</si>
  <si>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</si>
  <si>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</si>
  <si>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</si>
  <si>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</si>
  <si>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</si>
  <si>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</si>
  <si>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</si>
  <si>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</si>
  <si>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</si>
  <si>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</si>
  <si>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</si>
  <si>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</si>
  <si>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</si>
  <si>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</si>
  <si>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</si>
  <si>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</si>
  <si>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</si>
  <si>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</si>
  <si>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</si>
  <si>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</si>
  <si>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</si>
  <si>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</si>
  <si>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</si>
  <si>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</si>
  <si>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</si>
  <si>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</si>
  <si>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</si>
  <si>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</si>
  <si>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</si>
  <si>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</si>
  <si>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</si>
  <si>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</si>
  <si>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</si>
  <si>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</si>
  <si>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</si>
  <si>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</si>
  <si>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</si>
  <si>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</si>
  <si>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</si>
  <si>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</si>
  <si>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</si>
  <si>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</si>
  <si>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</si>
  <si>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</si>
  <si>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</si>
  <si>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</si>
  <si>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</si>
  <si>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</si>
  <si>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</si>
  <si>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</si>
  <si>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</si>
  <si>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</si>
  <si>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</si>
  <si>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</si>
  <si>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</si>
  <si>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</si>
  <si>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</si>
  <si>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</si>
  <si>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</si>
  <si>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</si>
  <si>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</si>
  <si>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</si>
  <si>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</si>
  <si>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</si>
  <si>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</si>
  <si>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</si>
  <si>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</si>
  <si>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</si>
  <si>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</si>
  <si>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</si>
  <si>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</si>
  <si>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</si>
  <si>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</si>
  <si>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</si>
  <si>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</si>
  <si>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</si>
  <si>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</si>
  <si>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</si>
  <si>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</si>
  <si>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</si>
  <si>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</si>
  <si>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</si>
  <si>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</si>
  <si>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</si>
  <si>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</si>
  <si>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</si>
  <si>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</si>
  <si>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</si>
  <si>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</si>
  <si>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</si>
  <si>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</si>
  <si>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</si>
  <si>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</si>
  <si>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</si>
  <si>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</si>
  <si>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</si>
  <si>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</si>
  <si>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</si>
  <si>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</si>
  <si>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</si>
  <si>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</si>
  <si>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</si>
  <si>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</si>
  <si>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</si>
  <si>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</si>
  <si>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</si>
  <si>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</si>
  <si>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</si>
  <si>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</si>
  <si>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</si>
  <si>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</si>
  <si>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</si>
  <si>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</si>
  <si>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</si>
  <si>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</si>
  <si>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</si>
  <si>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</si>
  <si>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</si>
  <si>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</si>
  <si>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</si>
  <si>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</si>
  <si>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</si>
  <si>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</si>
  <si>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</si>
  <si>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</si>
  <si>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</si>
  <si>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</si>
  <si>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</si>
  <si>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</si>
  <si>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</si>
  <si>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</si>
  <si>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</si>
  <si>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</si>
  <si>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</si>
  <si>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</si>
  <si>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</si>
  <si>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</si>
  <si>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</si>
  <si>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</si>
  <si>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</si>
  <si>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</si>
  <si>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</si>
  <si>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</si>
  <si>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</si>
  <si>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</si>
  <si>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</si>
  <si>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</si>
  <si>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</si>
  <si>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</si>
  <si>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</si>
  <si>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</si>
  <si>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</si>
  <si>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</si>
  <si>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</si>
  <si>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</si>
  <si>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</si>
  <si>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</si>
  <si>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</si>
  <si>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</si>
  <si>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</si>
  <si>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</si>
  <si>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</si>
  <si>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</si>
  <si>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</si>
  <si>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</si>
  <si>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</si>
  <si>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</si>
  <si>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</si>
  <si>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</si>
  <si>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</si>
  <si>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</si>
  <si>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</si>
  <si>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</si>
  <si>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</si>
  <si>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</si>
  <si>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</si>
  <si>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</si>
  <si>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</si>
  <si>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</si>
  <si>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</si>
  <si>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</si>
  <si>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</si>
  <si>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</si>
  <si>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</si>
  <si>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</si>
  <si>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</si>
  <si>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</si>
  <si>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</si>
  <si>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</si>
  <si>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</si>
  <si>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</si>
  <si>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</si>
  <si>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</si>
  <si>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</si>
  <si>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</si>
  <si>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</si>
  <si>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</si>
  <si>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</si>
  <si>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</si>
  <si>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</si>
  <si>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</si>
  <si>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</si>
  <si>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</si>
  <si>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</si>
  <si>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</si>
  <si>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</si>
  <si>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</si>
  <si>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</si>
  <si>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</si>
  <si>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</si>
  <si>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</si>
  <si>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</si>
  <si>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</si>
  <si>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</si>
  <si>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</si>
  <si>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</si>
  <si>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</si>
  <si>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</si>
  <si>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</si>
  <si>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</si>
  <si>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</si>
  <si>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</si>
  <si>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</si>
  <si>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</si>
  <si>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</si>
  <si>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</si>
  <si>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</si>
  <si>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</si>
  <si>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</si>
  <si>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</si>
  <si>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</si>
  <si>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</si>
  <si>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</si>
  <si>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</si>
  <si>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</si>
  <si>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</si>
  <si>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</si>
  <si>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</si>
  <si>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</si>
  <si>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</si>
  <si>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</si>
  <si>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</si>
  <si>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</si>
  <si>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</si>
  <si>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</si>
  <si>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</si>
  <si>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</si>
  <si>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</si>
  <si>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</si>
  <si>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</si>
  <si>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</si>
  <si>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</si>
  <si>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</si>
  <si>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</si>
  <si>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</si>
  <si>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</si>
  <si>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</si>
  <si>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</si>
  <si>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</si>
  <si>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</si>
  <si>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</si>
  <si>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</si>
  <si>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</si>
  <si>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</si>
  <si>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</si>
  <si>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</si>
  <si>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</si>
  <si>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</si>
  <si>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</si>
  <si>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</si>
  <si>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</si>
  <si>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</si>
  <si>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</si>
  <si>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</si>
  <si>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</si>
  <si>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</si>
  <si>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</si>
  <si>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</si>
  <si>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</si>
  <si>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</si>
  <si>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</si>
  <si>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</si>
  <si>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</si>
  <si>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</si>
  <si>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</si>
  <si>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</si>
  <si>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</si>
  <si>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</si>
  <si>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</si>
  <si>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</si>
  <si>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</si>
  <si>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</si>
  <si>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</si>
  <si>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</si>
  <si>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</si>
  <si>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</si>
  <si>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</si>
  <si>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</si>
  <si>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</si>
  <si>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</si>
  <si>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</si>
  <si>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</si>
  <si>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</si>
  <si>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</si>
  <si>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</si>
  <si>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</si>
  <si>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</si>
  <si>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</si>
  <si>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</si>
  <si>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</si>
  <si>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</si>
  <si>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</si>
  <si>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</si>
  <si>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</si>
  <si>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</si>
  <si>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</si>
  <si>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</si>
  <si>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</si>
  <si>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</si>
  <si>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</si>
  <si>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</si>
  <si>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</si>
  <si>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</si>
  <si>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</si>
  <si>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</si>
  <si>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</si>
  <si>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</si>
  <si>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</si>
  <si>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</si>
  <si>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</si>
  <si>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</si>
  <si>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</si>
  <si>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</si>
  <si>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</si>
  <si>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</si>
  <si>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</si>
  <si>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</si>
  <si>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</si>
  <si>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</si>
  <si>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</si>
  <si>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</si>
  <si>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</si>
  <si>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</si>
  <si>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</si>
  <si>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</si>
  <si>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</si>
  <si>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</si>
  <si>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</si>
  <si>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</si>
  <si>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</si>
  <si>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</si>
  <si>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</si>
  <si>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</si>
  <si>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</si>
  <si>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</si>
  <si>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</si>
  <si>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</si>
  <si>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</si>
  <si>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</si>
  <si>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</si>
  <si>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</si>
  <si>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</si>
  <si>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</si>
  <si>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</si>
  <si>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</si>
  <si>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</si>
  <si>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</si>
  <si>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</si>
  <si>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</si>
  <si>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</si>
  <si>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</si>
  <si>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</si>
  <si>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</si>
  <si>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</si>
  <si>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</si>
  <si>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</si>
  <si>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</si>
  <si>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</si>
  <si>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</si>
  <si>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</si>
  <si>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</si>
  <si>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</si>
  <si>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</si>
  <si>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</si>
  <si>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</si>
  <si>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</si>
  <si>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</si>
  <si>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</si>
  <si>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</si>
  <si>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</si>
  <si>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</si>
  <si>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</si>
  <si>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</si>
  <si>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</si>
  <si>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</si>
  <si>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</si>
  <si>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</si>
  <si>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</si>
  <si>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</si>
  <si>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</si>
  <si>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</si>
  <si>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</si>
  <si>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</si>
  <si>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</si>
  <si>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</si>
  <si>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</si>
  <si>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</si>
  <si>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</si>
  <si>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</si>
  <si>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</si>
  <si>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</si>
  <si>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17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</si>
</sst>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46012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Воскресенье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0.5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242</v>
      </c>
      <c r="Y41" s="548">
        <f>IFERROR(IF(X41="",0,CEILING((X41/$H41),1)*$H41),"")</f>
        <v>248.4</v>
      </c>
      <c r="Z41" s="36">
        <f>IFERROR(IF(Y41=0,"",ROUNDUP(Y41/H41,0)*0.01898),"")</f>
        <v>0.43653999999999998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251.18703703703704</v>
      </c>
      <c r="BN41" s="64">
        <f>IFERROR(Y41*I41/H41,"0")</f>
        <v>257.83</v>
      </c>
      <c r="BO41" s="64">
        <f>IFERROR(1/J41*(X41/H41),"0")</f>
        <v>0.3501157407407407</v>
      </c>
      <c r="BP41" s="64">
        <f>IFERROR(1/J41*(Y41/H41),"0")</f>
        <v>0.359375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22.407407407407405</v>
      </c>
      <c r="Y44" s="549">
        <f>IFERROR(Y41/H41,"0")+IFERROR(Y42/H42,"0")+IFERROR(Y43/H43,"0")</f>
        <v>23</v>
      </c>
      <c r="Z44" s="549">
        <f>IFERROR(IF(Z41="",0,Z41),"0")+IFERROR(IF(Z42="",0,Z42),"0")+IFERROR(IF(Z43="",0,Z43),"0")</f>
        <v>0.43653999999999998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242</v>
      </c>
      <c r="Y45" s="549">
        <f>IFERROR(SUM(Y41:Y43),"0")</f>
        <v>248.4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42</v>
      </c>
      <c r="Y52" s="548">
        <f t="shared" ref="Y52:Y57" si="0">IFERROR(IF(X52="",0,CEILING((X52/$H52),1)*$H52),"")</f>
        <v>44.8</v>
      </c>
      <c r="Z52" s="36">
        <f>IFERROR(IF(Y52=0,"",ROUNDUP(Y52/H52,0)*0.01898),"")</f>
        <v>7.5920000000000001E-2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43.537500000000001</v>
      </c>
      <c r="BN52" s="64">
        <f t="shared" ref="BN52:BN57" si="2">IFERROR(Y52*I52/H52,"0")</f>
        <v>46.44</v>
      </c>
      <c r="BO52" s="64">
        <f t="shared" ref="BO52:BO57" si="3">IFERROR(1/J52*(X52/H52),"0")</f>
        <v>5.8593750000000007E-2</v>
      </c>
      <c r="BP52" s="64">
        <f t="shared" ref="BP52:BP57" si="4">IFERROR(1/J52*(Y52/H52),"0")</f>
        <v>6.25E-2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26</v>
      </c>
      <c r="Y55" s="548">
        <f t="shared" si="0"/>
        <v>28</v>
      </c>
      <c r="Z55" s="36">
        <f>IFERROR(IF(Y55=0,"",ROUNDUP(Y55/H55,0)*0.00902),"")</f>
        <v>6.3140000000000002E-2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27.235000000000003</v>
      </c>
      <c r="BN55" s="64">
        <f t="shared" si="2"/>
        <v>29.330000000000002</v>
      </c>
      <c r="BO55" s="64">
        <f t="shared" si="3"/>
        <v>4.924242424242424E-2</v>
      </c>
      <c r="BP55" s="64">
        <f t="shared" si="4"/>
        <v>5.3030303030303032E-2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10.25</v>
      </c>
      <c r="Y58" s="549">
        <f>IFERROR(Y52/H52,"0")+IFERROR(Y53/H53,"0")+IFERROR(Y54/H54,"0")+IFERROR(Y55/H55,"0")+IFERROR(Y56/H56,"0")+IFERROR(Y57/H57,"0")</f>
        <v>11</v>
      </c>
      <c r="Z58" s="549">
        <f>IFERROR(IF(Z52="",0,Z52),"0")+IFERROR(IF(Z53="",0,Z53),"0")+IFERROR(IF(Z54="",0,Z54),"0")+IFERROR(IF(Z55="",0,Z55),"0")+IFERROR(IF(Z56="",0,Z56),"0")+IFERROR(IF(Z57="",0,Z57),"0")</f>
        <v>0.13906000000000002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68</v>
      </c>
      <c r="Y59" s="549">
        <f>IFERROR(SUM(Y52:Y57),"0")</f>
        <v>72.8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206</v>
      </c>
      <c r="Y61" s="548">
        <f>IFERROR(IF(X61="",0,CEILING((X61/$H61),1)*$H61),"")</f>
        <v>216</v>
      </c>
      <c r="Z61" s="36">
        <f>IFERROR(IF(Y61=0,"",ROUNDUP(Y61/H61,0)*0.01898),"")</f>
        <v>0.37959999999999999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213.82037037037037</v>
      </c>
      <c r="BN61" s="64">
        <f>IFERROR(Y61*I61/H61,"0")</f>
        <v>224.2</v>
      </c>
      <c r="BO61" s="64">
        <f>IFERROR(1/J61*(X61/H61),"0")</f>
        <v>0.29803240740740738</v>
      </c>
      <c r="BP61" s="64">
        <f>IFERROR(1/J61*(Y61/H61),"0")</f>
        <v>0.3125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19.074074074074073</v>
      </c>
      <c r="Y64" s="549">
        <f>IFERROR(Y61/H61,"0")+IFERROR(Y62/H62,"0")+IFERROR(Y63/H63,"0")</f>
        <v>20</v>
      </c>
      <c r="Z64" s="549">
        <f>IFERROR(IF(Z61="",0,Z61),"0")+IFERROR(IF(Z62="",0,Z62),"0")+IFERROR(IF(Z63="",0,Z63),"0")</f>
        <v>0.37959999999999999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206</v>
      </c>
      <c r="Y65" s="549">
        <f>IFERROR(SUM(Y61:Y63),"0")</f>
        <v>216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55</v>
      </c>
      <c r="Y79" s="548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57.891025641025649</v>
      </c>
      <c r="BN79" s="64">
        <f>IFERROR(Y79*I79/H79,"0")</f>
        <v>65.680000000000007</v>
      </c>
      <c r="BO79" s="64">
        <f>IFERROR(1/J79*(X79/H79),"0")</f>
        <v>0.11017628205128205</v>
      </c>
      <c r="BP79" s="64">
        <f>IFERROR(1/J79*(Y79/H79),"0")</f>
        <v>0.125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7.0512820512820511</v>
      </c>
      <c r="Y81" s="549">
        <f>IFERROR(Y79/H79,"0")+IFERROR(Y80/H80,"0")</f>
        <v>8</v>
      </c>
      <c r="Z81" s="549">
        <f>IFERROR(IF(Z79="",0,Z79),"0")+IFERROR(IF(Z80="",0,Z80),"0")</f>
        <v>0.15184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55</v>
      </c>
      <c r="Y82" s="549">
        <f>IFERROR(SUM(Y79:Y80),"0")</f>
        <v>62.4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178</v>
      </c>
      <c r="Y85" s="548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184.75740740740741</v>
      </c>
      <c r="BN85" s="64">
        <f>IFERROR(Y85*I85/H85,"0")</f>
        <v>190.57000000000002</v>
      </c>
      <c r="BO85" s="64">
        <f>IFERROR(1/J85*(X85/H85),"0")</f>
        <v>0.25752314814814814</v>
      </c>
      <c r="BP85" s="64">
        <f>IFERROR(1/J85*(Y85/H85),"0")</f>
        <v>0.265625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16.481481481481481</v>
      </c>
      <c r="Y89" s="549">
        <f>IFERROR(Y85/H85,"0")+IFERROR(Y86/H86,"0")+IFERROR(Y87/H87,"0")+IFERROR(Y88/H88,"0")</f>
        <v>17</v>
      </c>
      <c r="Z89" s="549">
        <f>IFERROR(IF(Z85="",0,Z85),"0")+IFERROR(IF(Z86="",0,Z86),"0")+IFERROR(IF(Z87="",0,Z87),"0")+IFERROR(IF(Z88="",0,Z88),"0")</f>
        <v>0.32266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178</v>
      </c>
      <c r="Y90" s="549">
        <f>IFERROR(SUM(Y85:Y88),"0")</f>
        <v>183.60000000000002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28</v>
      </c>
      <c r="Y92" s="548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29.707654320987654</v>
      </c>
      <c r="BN92" s="64">
        <f>IFERROR(Y92*I92/H92,"0")</f>
        <v>34.375999999999998</v>
      </c>
      <c r="BO92" s="64">
        <f>IFERROR(1/J92*(X92/H92),"0")</f>
        <v>5.401234567901235E-2</v>
      </c>
      <c r="BP92" s="64">
        <f>IFERROR(1/J92*(Y92/H92),"0")</f>
        <v>6.25E-2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113</v>
      </c>
      <c r="Y94" s="548">
        <f>IFERROR(IF(X94="",0,CEILING((X94/$H94),1)*$H94),"")</f>
        <v>113.4</v>
      </c>
      <c r="Z94" s="36">
        <f>IFERROR(IF(Y94=0,"",ROUNDUP(Y94/H94,0)*0.00651),"")</f>
        <v>0.27342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123.54666666666667</v>
      </c>
      <c r="BN94" s="64">
        <f>IFERROR(Y94*I94/H94,"0")</f>
        <v>123.98399999999999</v>
      </c>
      <c r="BO94" s="64">
        <f>IFERROR(1/J94*(X94/H94),"0")</f>
        <v>0.22995522995522996</v>
      </c>
      <c r="BP94" s="64">
        <f>IFERROR(1/J94*(Y94/H94),"0")</f>
        <v>0.23076923076923078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45.308641975308639</v>
      </c>
      <c r="Y96" s="549">
        <f>IFERROR(Y92/H92,"0")+IFERROR(Y93/H93,"0")+IFERROR(Y94/H94,"0")+IFERROR(Y95/H95,"0")</f>
        <v>46</v>
      </c>
      <c r="Z96" s="549">
        <f>IFERROR(IF(Z92="",0,Z92),"0")+IFERROR(IF(Z93="",0,Z93),"0")+IFERROR(IF(Z94="",0,Z94),"0")+IFERROR(IF(Z95="",0,Z95),"0")</f>
        <v>0.34933999999999998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141</v>
      </c>
      <c r="Y97" s="549">
        <f>IFERROR(SUM(Y92:Y95),"0")</f>
        <v>145.80000000000001</v>
      </c>
      <c r="Z97" s="37"/>
      <c r="AA97" s="550"/>
      <c r="AB97" s="550"/>
      <c r="AC97" s="550"/>
    </row>
    <row r="98" spans="1:68" ht="16.5" hidden="1" customHeight="1" x14ac:dyDescent="0.25">
      <c r="A98" s="556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375</v>
      </c>
      <c r="Y100" s="548">
        <f>IFERROR(IF(X100="",0,CEILING((X100/$H100),1)*$H100),"")</f>
        <v>378</v>
      </c>
      <c r="Z100" s="36">
        <f>IFERROR(IF(Y100=0,"",ROUNDUP(Y100/H100,0)*0.01898),"")</f>
        <v>0.6643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389.23611111111109</v>
      </c>
      <c r="BN100" s="64">
        <f>IFERROR(Y100*I100/H100,"0")</f>
        <v>392.34999999999997</v>
      </c>
      <c r="BO100" s="64">
        <f>IFERROR(1/J100*(X100/H100),"0")</f>
        <v>0.54253472222222221</v>
      </c>
      <c r="BP100" s="64">
        <f>IFERROR(1/J100*(Y100/H100),"0")</f>
        <v>0.546875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76</v>
      </c>
      <c r="Y103" s="548">
        <f>IFERROR(IF(X103="",0,CEILING((X103/$H103),1)*$H103),"")</f>
        <v>76.5</v>
      </c>
      <c r="Z103" s="36">
        <f>IFERROR(IF(Y103=0,"",ROUNDUP(Y103/H103,0)*0.00902),"")</f>
        <v>0.15334</v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79.208888888888907</v>
      </c>
      <c r="BN103" s="64">
        <f>IFERROR(Y103*I103/H103,"0")</f>
        <v>79.73</v>
      </c>
      <c r="BO103" s="64">
        <f>IFERROR(1/J103*(X103/H103),"0")</f>
        <v>0.12794612794612795</v>
      </c>
      <c r="BP103" s="64">
        <f>IFERROR(1/J103*(Y103/H103),"0")</f>
        <v>0.12878787878787878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51.611111111111114</v>
      </c>
      <c r="Y105" s="549">
        <f>IFERROR(Y100/H100,"0")+IFERROR(Y101/H101,"0")+IFERROR(Y102/H102,"0")+IFERROR(Y103/H103,"0")+IFERROR(Y104/H104,"0")</f>
        <v>52</v>
      </c>
      <c r="Z105" s="549">
        <f>IFERROR(IF(Z100="",0,Z100),"0")+IFERROR(IF(Z101="",0,Z101),"0")+IFERROR(IF(Z102="",0,Z102),"0")+IFERROR(IF(Z103="",0,Z103),"0")+IFERROR(IF(Z104="",0,Z104),"0")</f>
        <v>0.81764000000000003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451</v>
      </c>
      <c r="Y106" s="549">
        <f>IFERROR(SUM(Y100:Y104),"0")</f>
        <v>454.5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19</v>
      </c>
      <c r="Y108" s="548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19.721296296296295</v>
      </c>
      <c r="BN108" s="64">
        <f>IFERROR(Y108*I108/H108,"0")</f>
        <v>22.42</v>
      </c>
      <c r="BO108" s="64">
        <f>IFERROR(1/J108*(X108/H108),"0")</f>
        <v>2.7488425925925923E-2</v>
      </c>
      <c r="BP108" s="64">
        <f>IFERROR(1/J108*(Y108/H108),"0")</f>
        <v>3.125E-2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10</v>
      </c>
      <c r="Y111" s="548">
        <f>IFERROR(IF(X111="",0,CEILING((X111/$H111),1)*$H111),"")</f>
        <v>12</v>
      </c>
      <c r="Z111" s="36">
        <f>IFERROR(IF(Y111=0,"",ROUNDUP(Y111/H111,0)*0.00651),"")</f>
        <v>3.2550000000000003E-2</v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10.75</v>
      </c>
      <c r="BN111" s="64">
        <f>IFERROR(Y111*I111/H111,"0")</f>
        <v>12.9</v>
      </c>
      <c r="BO111" s="64">
        <f>IFERROR(1/J111*(X111/H111),"0")</f>
        <v>2.2893772893772896E-2</v>
      </c>
      <c r="BP111" s="64">
        <f>IFERROR(1/J111*(Y111/H111),"0")</f>
        <v>2.7472527472527476E-2</v>
      </c>
    </row>
    <row r="112" spans="1:68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5.9259259259259256</v>
      </c>
      <c r="Y112" s="549">
        <f>IFERROR(Y108/H108,"0")+IFERROR(Y109/H109,"0")+IFERROR(Y110/H110,"0")+IFERROR(Y111/H111,"0")</f>
        <v>7</v>
      </c>
      <c r="Z112" s="549">
        <f>IFERROR(IF(Z108="",0,Z108),"0")+IFERROR(IF(Z109="",0,Z109),"0")+IFERROR(IF(Z110="",0,Z110),"0")+IFERROR(IF(Z111="",0,Z111),"0")</f>
        <v>7.0510000000000003E-2</v>
      </c>
      <c r="AA112" s="550"/>
      <c r="AB112" s="550"/>
      <c r="AC112" s="550"/>
    </row>
    <row r="113" spans="1:68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29</v>
      </c>
      <c r="Y113" s="549">
        <f>IFERROR(SUM(Y108:Y111),"0")</f>
        <v>33.6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347</v>
      </c>
      <c r="Y115" s="548">
        <f>IFERROR(IF(X115="",0,CEILING((X115/$H115),1)*$H115),"")</f>
        <v>348.3</v>
      </c>
      <c r="Z115" s="36">
        <f>IFERROR(IF(Y115=0,"",ROUNDUP(Y115/H115,0)*0.01898),"")</f>
        <v>0.81613999999999998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367.90567901234567</v>
      </c>
      <c r="BN115" s="64">
        <f>IFERROR(Y115*I115/H115,"0")</f>
        <v>369.28399999999999</v>
      </c>
      <c r="BO115" s="64">
        <f>IFERROR(1/J115*(X115/H115),"0")</f>
        <v>0.66936728395061729</v>
      </c>
      <c r="BP115" s="64">
        <f>IFERROR(1/J115*(Y115/H115),"0")</f>
        <v>0.671875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334</v>
      </c>
      <c r="Y117" s="548">
        <f>IFERROR(IF(X117="",0,CEILING((X117/$H117),1)*$H117),"")</f>
        <v>334.8</v>
      </c>
      <c r="Z117" s="36">
        <f>IFERROR(IF(Y117=0,"",ROUNDUP(Y117/H117,0)*0.00651),"")</f>
        <v>0.80724000000000007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365.17333333333329</v>
      </c>
      <c r="BN117" s="64">
        <f>IFERROR(Y117*I117/H117,"0")</f>
        <v>366.048</v>
      </c>
      <c r="BO117" s="64">
        <f>IFERROR(1/J117*(X117/H117),"0")</f>
        <v>0.67969067969067964</v>
      </c>
      <c r="BP117" s="64">
        <f>IFERROR(1/J117*(Y117/H117),"0")</f>
        <v>0.68131868131868134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166.54320987654319</v>
      </c>
      <c r="Y119" s="549">
        <f>IFERROR(Y115/H115,"0")+IFERROR(Y116/H116,"0")+IFERROR(Y117/H117,"0")+IFERROR(Y118/H118,"0")</f>
        <v>167</v>
      </c>
      <c r="Z119" s="549">
        <f>IFERROR(IF(Z115="",0,Z115),"0")+IFERROR(IF(Z116="",0,Z116),"0")+IFERROR(IF(Z117="",0,Z117),"0")+IFERROR(IF(Z118="",0,Z118),"0")</f>
        <v>1.62338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681</v>
      </c>
      <c r="Y120" s="549">
        <f>IFERROR(SUM(Y115:Y118),"0")</f>
        <v>683.1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/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/>
      <c r="AK167" s="68">
        <v>0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27</v>
      </c>
      <c r="Y169" s="548">
        <f t="shared" si="10"/>
        <v>29.400000000000002</v>
      </c>
      <c r="Z169" s="36">
        <f>IFERROR(IF(Y169=0,"",ROUNDUP(Y169/H169,0)*0.00902),"")</f>
        <v>6.3140000000000002E-2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28.221428571428568</v>
      </c>
      <c r="BN169" s="64">
        <f t="shared" si="12"/>
        <v>30.73</v>
      </c>
      <c r="BO169" s="64">
        <f t="shared" si="13"/>
        <v>4.8701298701298697E-2</v>
      </c>
      <c r="BP169" s="64">
        <f t="shared" si="14"/>
        <v>5.3030303030303032E-2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1</v>
      </c>
      <c r="Y174" s="548">
        <f t="shared" si="10"/>
        <v>1.8</v>
      </c>
      <c r="Z174" s="36">
        <f>IFERROR(IF(Y174=0,"",ROUNDUP(Y174/H174,0)*0.00502),"")</f>
        <v>5.0200000000000002E-3</v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1.0722222222222222</v>
      </c>
      <c r="BN174" s="64">
        <f t="shared" si="12"/>
        <v>1.9299999999999997</v>
      </c>
      <c r="BO174" s="64">
        <f t="shared" si="13"/>
        <v>2.3741690408357078E-3</v>
      </c>
      <c r="BP174" s="64">
        <f t="shared" si="14"/>
        <v>4.2735042735042739E-3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48</v>
      </c>
      <c r="Y176" s="548">
        <f t="shared" si="10"/>
        <v>48.300000000000004</v>
      </c>
      <c r="Z176" s="36">
        <f>IFERROR(IF(Y176=0,"",ROUNDUP(Y176/H176,0)*0.00502),"")</f>
        <v>0.11546000000000001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50.285714285714285</v>
      </c>
      <c r="BN176" s="64">
        <f t="shared" si="12"/>
        <v>50.600000000000009</v>
      </c>
      <c r="BO176" s="64">
        <f t="shared" si="13"/>
        <v>9.7680097680097694E-2</v>
      </c>
      <c r="BP176" s="64">
        <f t="shared" si="14"/>
        <v>9.8290598290598302E-2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29.841269841269842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31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0.18362000000000001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76</v>
      </c>
      <c r="Y180" s="549">
        <f>IFERROR(SUM(Y167:Y178),"0")</f>
        <v>79.5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3</v>
      </c>
      <c r="Y183" s="548">
        <f>IFERROR(IF(X183="",0,CEILING((X183/$H183),1)*$H183),"")</f>
        <v>3.7800000000000002</v>
      </c>
      <c r="Z183" s="36">
        <f>IFERROR(IF(Y183=0,"",ROUNDUP(Y183/H183,0)*0.0059),"")</f>
        <v>1.77E-2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3.4523809523809521</v>
      </c>
      <c r="BN183" s="64">
        <f>IFERROR(Y183*I183/H183,"0")</f>
        <v>4.3499999999999996</v>
      </c>
      <c r="BO183" s="64">
        <f>IFERROR(1/J183*(X183/H183),"0")</f>
        <v>1.1022927689594356E-2</v>
      </c>
      <c r="BP183" s="64">
        <f>IFERROR(1/J183*(Y183/H183),"0")</f>
        <v>1.3888888888888888E-2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4</v>
      </c>
      <c r="Y184" s="548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4.6031746031746028</v>
      </c>
      <c r="BN184" s="64">
        <f>IFERROR(Y184*I184/H184,"0")</f>
        <v>5.8</v>
      </c>
      <c r="BO184" s="64">
        <f>IFERROR(1/J184*(X184/H184),"0")</f>
        <v>1.469723691945914E-2</v>
      </c>
      <c r="BP184" s="64">
        <f>IFERROR(1/J184*(Y184/H184),"0")</f>
        <v>1.8518518518518517E-2</v>
      </c>
    </row>
    <row r="185" spans="1:68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5.5555555555555554</v>
      </c>
      <c r="Y185" s="549">
        <f>IFERROR(Y182/H182,"0")+IFERROR(Y183/H183,"0")+IFERROR(Y184/H184,"0")</f>
        <v>7</v>
      </c>
      <c r="Z185" s="549">
        <f>IFERROR(IF(Z182="",0,Z182),"0")+IFERROR(IF(Z183="",0,Z183),"0")+IFERROR(IF(Z184="",0,Z184),"0")</f>
        <v>4.1300000000000003E-2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7</v>
      </c>
      <c r="Y186" s="549">
        <f>IFERROR(SUM(Y182:Y184),"0")</f>
        <v>8.82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6</v>
      </c>
      <c r="Y188" s="548">
        <f>IFERROR(IF(X188="",0,CEILING((X188/$H188),1)*$H188),"")</f>
        <v>6.3</v>
      </c>
      <c r="Z188" s="36">
        <f>IFERROR(IF(Y188=0,"",ROUNDUP(Y188/H188,0)*0.0059),"")</f>
        <v>2.9499999999999998E-2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6.9047619047619042</v>
      </c>
      <c r="BN188" s="64">
        <f>IFERROR(Y188*I188/H188,"0")</f>
        <v>7.25</v>
      </c>
      <c r="BO188" s="64">
        <f>IFERROR(1/J188*(X188/H188),"0")</f>
        <v>2.2045855379188711E-2</v>
      </c>
      <c r="BP188" s="64">
        <f>IFERROR(1/J188*(Y188/H188),"0")</f>
        <v>2.3148148148148147E-2</v>
      </c>
    </row>
    <row r="189" spans="1:68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4.7619047619047619</v>
      </c>
      <c r="Y189" s="549">
        <f>IFERROR(Y188/H188,"0")</f>
        <v>5</v>
      </c>
      <c r="Z189" s="549">
        <f>IFERROR(IF(Z188="",0,Z188),"0")</f>
        <v>2.9499999999999998E-2</v>
      </c>
      <c r="AA189" s="550"/>
      <c r="AB189" s="550"/>
      <c r="AC189" s="550"/>
    </row>
    <row r="190" spans="1:68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6</v>
      </c>
      <c r="Y190" s="549">
        <f>IFERROR(SUM(Y188:Y188),"0")</f>
        <v>6.3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189</v>
      </c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108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158</v>
      </c>
      <c r="Y204" s="548">
        <f t="shared" si="15"/>
        <v>162</v>
      </c>
      <c r="Z204" s="36">
        <f>IFERROR(IF(Y204=0,"",ROUNDUP(Y204/H204,0)*0.00902),"")</f>
        <v>0.27060000000000001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163.55925925925925</v>
      </c>
      <c r="BN204" s="64">
        <f t="shared" si="17"/>
        <v>167.7</v>
      </c>
      <c r="BO204" s="64">
        <f t="shared" si="18"/>
        <v>0.22166105499438832</v>
      </c>
      <c r="BP204" s="64">
        <f t="shared" si="19"/>
        <v>0.22727272727272727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187</v>
      </c>
      <c r="Y206" s="548">
        <f t="shared" si="15"/>
        <v>189</v>
      </c>
      <c r="Z206" s="36">
        <f>IFERROR(IF(Y206=0,"",ROUNDUP(Y206/H206,0)*0.00902),"")</f>
        <v>0.31569999999999998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193.57962962962961</v>
      </c>
      <c r="BN206" s="64">
        <f t="shared" si="17"/>
        <v>195.64999999999998</v>
      </c>
      <c r="BO206" s="64">
        <f t="shared" si="18"/>
        <v>0.26234567901234568</v>
      </c>
      <c r="BP206" s="64">
        <f t="shared" si="19"/>
        <v>0.26515151515151514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33</v>
      </c>
      <c r="Y207" s="548">
        <f t="shared" si="15"/>
        <v>34.200000000000003</v>
      </c>
      <c r="Z207" s="36">
        <f>IFERROR(IF(Y207=0,"",ROUNDUP(Y207/H207,0)*0.00502),"")</f>
        <v>9.5380000000000006E-2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35.383333333333333</v>
      </c>
      <c r="BN207" s="64">
        <f t="shared" si="17"/>
        <v>36.67</v>
      </c>
      <c r="BO207" s="64">
        <f t="shared" si="18"/>
        <v>7.8347578347578356E-2</v>
      </c>
      <c r="BP207" s="64">
        <f t="shared" si="19"/>
        <v>8.11965811965812E-2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6</v>
      </c>
      <c r="Y208" s="548">
        <f t="shared" si="15"/>
        <v>7.2</v>
      </c>
      <c r="Z208" s="36">
        <f>IFERROR(IF(Y208=0,"",ROUNDUP(Y208/H208,0)*0.00502),"")</f>
        <v>2.0080000000000001E-2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6.3333333333333321</v>
      </c>
      <c r="BN208" s="64">
        <f t="shared" si="17"/>
        <v>7.6</v>
      </c>
      <c r="BO208" s="64">
        <f t="shared" si="18"/>
        <v>1.4245014245014245E-2</v>
      </c>
      <c r="BP208" s="64">
        <f t="shared" si="19"/>
        <v>1.7094017094017096E-2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26</v>
      </c>
      <c r="Y210" s="548">
        <f t="shared" si="15"/>
        <v>27</v>
      </c>
      <c r="Z210" s="36">
        <f>IFERROR(IF(Y210=0,"",ROUNDUP(Y210/H210,0)*0.00502),"")</f>
        <v>7.5300000000000006E-2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27.444444444444443</v>
      </c>
      <c r="BN210" s="64">
        <f t="shared" si="17"/>
        <v>28.499999999999996</v>
      </c>
      <c r="BO210" s="64">
        <f t="shared" si="18"/>
        <v>6.1728395061728406E-2</v>
      </c>
      <c r="BP210" s="64">
        <f t="shared" si="19"/>
        <v>6.4102564102564111E-2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99.999999999999986</v>
      </c>
      <c r="Y211" s="549">
        <f>IFERROR(Y203/H203,"0")+IFERROR(Y204/H204,"0")+IFERROR(Y205/H205,"0")+IFERROR(Y206/H206,"0")+IFERROR(Y207/H207,"0")+IFERROR(Y208/H208,"0")+IFERROR(Y209/H209,"0")+IFERROR(Y210/H210,"0")</f>
        <v>103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0.77706000000000008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410</v>
      </c>
      <c r="Y212" s="549">
        <f>IFERROR(SUM(Y203:Y210),"0")</f>
        <v>419.4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257</v>
      </c>
      <c r="Y216" s="548">
        <f t="shared" si="20"/>
        <v>261</v>
      </c>
      <c r="Z216" s="36">
        <f>IFERROR(IF(Y216=0,"",ROUNDUP(Y216/H216,0)*0.01898),"")</f>
        <v>0.56940000000000002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271.59287356321846</v>
      </c>
      <c r="BN216" s="64">
        <f t="shared" si="22"/>
        <v>275.82000000000005</v>
      </c>
      <c r="BO216" s="64">
        <f t="shared" si="23"/>
        <v>0.46156609195402304</v>
      </c>
      <c r="BP216" s="64">
        <f t="shared" si="24"/>
        <v>0.46875000000000006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90</v>
      </c>
      <c r="Y217" s="548">
        <f t="shared" si="20"/>
        <v>91.2</v>
      </c>
      <c r="Z217" s="36">
        <f t="shared" ref="Z217:Z222" si="25">IFERROR(IF(Y217=0,"",ROUNDUP(Y217/H217,0)*0.00651),"")</f>
        <v>0.24738000000000002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100.125</v>
      </c>
      <c r="BN217" s="64">
        <f t="shared" si="22"/>
        <v>101.46</v>
      </c>
      <c r="BO217" s="64">
        <f t="shared" si="23"/>
        <v>0.20604395604395606</v>
      </c>
      <c r="BP217" s="64">
        <f t="shared" si="24"/>
        <v>0.2087912087912088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183</v>
      </c>
      <c r="Y219" s="548">
        <f t="shared" si="20"/>
        <v>184.79999999999998</v>
      </c>
      <c r="Z219" s="36">
        <f t="shared" si="25"/>
        <v>0.50126999999999999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202.21500000000003</v>
      </c>
      <c r="BN219" s="64">
        <f t="shared" si="22"/>
        <v>204.20399999999998</v>
      </c>
      <c r="BO219" s="64">
        <f t="shared" si="23"/>
        <v>0.41895604395604397</v>
      </c>
      <c r="BP219" s="64">
        <f t="shared" si="24"/>
        <v>0.42307692307692313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138</v>
      </c>
      <c r="Y220" s="548">
        <f t="shared" si="20"/>
        <v>139.19999999999999</v>
      </c>
      <c r="Z220" s="36">
        <f t="shared" si="25"/>
        <v>0.37758000000000003</v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152.49</v>
      </c>
      <c r="BN220" s="64">
        <f t="shared" si="22"/>
        <v>153.816</v>
      </c>
      <c r="BO220" s="64">
        <f t="shared" si="23"/>
        <v>0.31593406593406598</v>
      </c>
      <c r="BP220" s="64">
        <f t="shared" si="24"/>
        <v>0.31868131868131871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129</v>
      </c>
      <c r="Y221" s="548">
        <f t="shared" si="20"/>
        <v>129.6</v>
      </c>
      <c r="Z221" s="36">
        <f t="shared" si="25"/>
        <v>0.35154000000000002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142.54500000000002</v>
      </c>
      <c r="BN221" s="64">
        <f t="shared" si="22"/>
        <v>143.20800000000003</v>
      </c>
      <c r="BO221" s="64">
        <f t="shared" si="23"/>
        <v>0.29532967032967034</v>
      </c>
      <c r="BP221" s="64">
        <f t="shared" si="24"/>
        <v>0.2967032967032967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48</v>
      </c>
      <c r="Y222" s="548">
        <f t="shared" si="20"/>
        <v>48</v>
      </c>
      <c r="Z222" s="36">
        <f t="shared" si="25"/>
        <v>0.13020000000000001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53.160000000000004</v>
      </c>
      <c r="BN222" s="64">
        <f t="shared" si="22"/>
        <v>53.160000000000004</v>
      </c>
      <c r="BO222" s="64">
        <f t="shared" si="23"/>
        <v>0.1098901098901099</v>
      </c>
      <c r="BP222" s="64">
        <f t="shared" si="24"/>
        <v>0.1098901098901099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274.54022988505744</v>
      </c>
      <c r="Y223" s="549">
        <f>IFERROR(Y214/H214,"0")+IFERROR(Y215/H215,"0")+IFERROR(Y216/H216,"0")+IFERROR(Y217/H217,"0")+IFERROR(Y218/H218,"0")+IFERROR(Y219/H219,"0")+IFERROR(Y220/H220,"0")+IFERROR(Y221/H221,"0")+IFERROR(Y222/H222,"0")</f>
        <v>277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2.1773699999999998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845</v>
      </c>
      <c r="Y224" s="549">
        <f>IFERROR(SUM(Y214:Y222),"0")</f>
        <v>853.80000000000007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18</v>
      </c>
      <c r="Y226" s="548">
        <f>IFERROR(IF(X226="",0,CEILING((X226/$H226),1)*$H226),"")</f>
        <v>19.2</v>
      </c>
      <c r="Z226" s="36">
        <f>IFERROR(IF(Y226=0,"",ROUNDUP(Y226/H226,0)*0.00651),"")</f>
        <v>5.2080000000000001E-2</v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19.890000000000004</v>
      </c>
      <c r="BN226" s="64">
        <f>IFERROR(Y226*I226/H226,"0")</f>
        <v>21.216000000000001</v>
      </c>
      <c r="BO226" s="64">
        <f>IFERROR(1/J226*(X226/H226),"0")</f>
        <v>4.1208791208791215E-2</v>
      </c>
      <c r="BP226" s="64">
        <f>IFERROR(1/J226*(Y226/H226),"0")</f>
        <v>4.3956043956043959E-2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26</v>
      </c>
      <c r="Y227" s="548">
        <f>IFERROR(IF(X227="",0,CEILING((X227/$H227),1)*$H227),"")</f>
        <v>26.4</v>
      </c>
      <c r="Z227" s="36">
        <f>IFERROR(IF(Y227=0,"",ROUNDUP(Y227/H227,0)*0.00651),"")</f>
        <v>7.1610000000000007E-2</v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28.73</v>
      </c>
      <c r="BN227" s="64">
        <f>IFERROR(Y227*I227/H227,"0")</f>
        <v>29.172000000000001</v>
      </c>
      <c r="BO227" s="64">
        <f>IFERROR(1/J227*(X227/H227),"0")</f>
        <v>5.9523809523809534E-2</v>
      </c>
      <c r="BP227" s="64">
        <f>IFERROR(1/J227*(Y227/H227),"0")</f>
        <v>6.0439560439560447E-2</v>
      </c>
    </row>
    <row r="228" spans="1:68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18.333333333333336</v>
      </c>
      <c r="Y228" s="549">
        <f>IFERROR(Y226/H226,"0")+IFERROR(Y227/H227,"0")</f>
        <v>19</v>
      </c>
      <c r="Z228" s="549">
        <f>IFERROR(IF(Z226="",0,Z226),"0")+IFERROR(IF(Z227="",0,Z227),"0")</f>
        <v>0.12369000000000001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44</v>
      </c>
      <c r="Y229" s="549">
        <f>IFERROR(SUM(Y226:Y227),"0")</f>
        <v>45.599999999999994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2</v>
      </c>
      <c r="Y248" s="548">
        <f>IFERROR(IF(X248="",0,CEILING((X248/$H248),1)*$H248),"")</f>
        <v>3.6</v>
      </c>
      <c r="Z248" s="36">
        <f>IFERROR(IF(Y248=0,"",ROUNDUP(Y248/H248,0)*0.0059),"")</f>
        <v>1.18E-2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2.1944444444444446</v>
      </c>
      <c r="BN248" s="64">
        <f>IFERROR(Y248*I248/H248,"0")</f>
        <v>3.95</v>
      </c>
      <c r="BO248" s="64">
        <f>IFERROR(1/J248*(X248/H248),"0")</f>
        <v>5.1440329218106996E-3</v>
      </c>
      <c r="BP248" s="64">
        <f>IFERROR(1/J248*(Y248/H248),"0")</f>
        <v>9.2592592592592587E-3</v>
      </c>
    </row>
    <row r="249" spans="1:68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1.1111111111111112</v>
      </c>
      <c r="Y249" s="549">
        <f>IFERROR(Y248/H248,"0")</f>
        <v>2</v>
      </c>
      <c r="Z249" s="549">
        <f>IFERROR(IF(Z248="",0,Z248),"0")</f>
        <v>1.18E-2</v>
      </c>
      <c r="AA249" s="550"/>
      <c r="AB249" s="550"/>
      <c r="AC249" s="550"/>
    </row>
    <row r="250" spans="1:68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2</v>
      </c>
      <c r="Y250" s="549">
        <f>IFERROR(SUM(Y248:Y248),"0")</f>
        <v>3.6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2</v>
      </c>
      <c r="Y254" s="548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2.4222222222222225</v>
      </c>
      <c r="BN254" s="64">
        <f>IFERROR(Y254*I254/H254,"0")</f>
        <v>3.2700000000000005</v>
      </c>
      <c r="BO254" s="64">
        <f>IFERROR(1/J254*(X254/H254),"0")</f>
        <v>1.0288065843621399E-2</v>
      </c>
      <c r="BP254" s="64">
        <f>IFERROR(1/J254*(Y254/H254),"0")</f>
        <v>1.3888888888888888E-2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2</v>
      </c>
      <c r="Y255" s="548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2.3838383838383836</v>
      </c>
      <c r="BN255" s="64">
        <f>IFERROR(Y255*I255/H255,"0")</f>
        <v>3.5399999999999996</v>
      </c>
      <c r="BO255" s="64">
        <f>IFERROR(1/J255*(X255/H255),"0")</f>
        <v>9.3527871305649091E-3</v>
      </c>
      <c r="BP255" s="64">
        <f>IFERROR(1/J255*(Y255/H255),"0")</f>
        <v>1.3888888888888886E-2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2</v>
      </c>
      <c r="Y256" s="548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6.262626262626263</v>
      </c>
      <c r="Y257" s="549">
        <f>IFERROR(Y252/H252,"0")+IFERROR(Y253/H253,"0")+IFERROR(Y254/H254,"0")+IFERROR(Y255/H255,"0")+IFERROR(Y256/H256,"0")</f>
        <v>9</v>
      </c>
      <c r="Z257" s="549">
        <f>IFERROR(IF(Z252="",0,Z252),"0")+IFERROR(IF(Z253="",0,Z253),"0")+IFERROR(IF(Z254="",0,Z254),"0")+IFERROR(IF(Z255="",0,Z255),"0")+IFERROR(IF(Z256="",0,Z256),"0")</f>
        <v>5.3100000000000001E-2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6</v>
      </c>
      <c r="Y258" s="549">
        <f>IFERROR(SUM(Y252:Y256),"0")</f>
        <v>8.64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80</v>
      </c>
      <c r="Y279" s="548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30</v>
      </c>
      <c r="Y280" s="548">
        <f>IFERROR(IF(X280="",0,CEILING((X280/$H280),1)*$H280),"")</f>
        <v>31.2</v>
      </c>
      <c r="Z280" s="36">
        <f>IFERROR(IF(Y280=0,"",ROUNDUP(Y280/H280,0)*0.00651),"")</f>
        <v>8.4629999999999997E-2</v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32.250000000000007</v>
      </c>
      <c r="BN280" s="64">
        <f>IFERROR(Y280*I280/H280,"0")</f>
        <v>33.54</v>
      </c>
      <c r="BO280" s="64">
        <f>IFERROR(1/J280*(X280/H280),"0")</f>
        <v>6.8681318681318687E-2</v>
      </c>
      <c r="BP280" s="64">
        <f>IFERROR(1/J280*(Y280/H280),"0")</f>
        <v>7.1428571428571438E-2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45.833333333333336</v>
      </c>
      <c r="Y281" s="549">
        <f>IFERROR(Y278/H278,"0")+IFERROR(Y279/H279,"0")+IFERROR(Y280/H280,"0")</f>
        <v>47</v>
      </c>
      <c r="Z281" s="549">
        <f>IFERROR(IF(Z278="",0,Z278),"0")+IFERROR(IF(Z279="",0,Z279),"0")+IFERROR(IF(Z280="",0,Z280),"0")</f>
        <v>0.30597000000000002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110</v>
      </c>
      <c r="Y282" s="549">
        <f>IFERROR(SUM(Y278:Y280),"0")</f>
        <v>112.8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114</v>
      </c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hidden="1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hidden="1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hidden="1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6</v>
      </c>
      <c r="Y326" s="548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6.5328947368421053</v>
      </c>
      <c r="BN326" s="64">
        <f>IFERROR(Y326*I326/H326,"0")</f>
        <v>6.62</v>
      </c>
      <c r="BO326" s="64">
        <f>IFERROR(1/J326*(X326/H326),"0")</f>
        <v>1.4952153110047847E-2</v>
      </c>
      <c r="BP326" s="64">
        <f>IFERROR(1/J326*(Y326/H326),"0")</f>
        <v>1.5151515151515152E-2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12</v>
      </c>
      <c r="Y328" s="548">
        <f>IFERROR(IF(X328="",0,CEILING((X328/$H328),1)*$H328),"")</f>
        <v>12.75</v>
      </c>
      <c r="Z328" s="36">
        <f>IFERROR(IF(Y328=0,"",ROUNDUP(Y328/H328,0)*0.00651),"")</f>
        <v>3.2550000000000003E-2</v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13.905882352941179</v>
      </c>
      <c r="BN328" s="64">
        <f>IFERROR(Y328*I328/H328,"0")</f>
        <v>14.775000000000002</v>
      </c>
      <c r="BO328" s="64">
        <f>IFERROR(1/J328*(X328/H328),"0")</f>
        <v>2.5856496444731741E-2</v>
      </c>
      <c r="BP328" s="64">
        <f>IFERROR(1/J328*(Y328/H328),"0")</f>
        <v>2.7472527472527476E-2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6.6795665634674926</v>
      </c>
      <c r="Y330" s="549">
        <f>IFERROR(Y326/H326,"0")+IFERROR(Y327/H327,"0")+IFERROR(Y328/H328,"0")+IFERROR(Y329/H329,"0")</f>
        <v>7</v>
      </c>
      <c r="Z330" s="549">
        <f>IFERROR(IF(Z326="",0,Z326),"0")+IFERROR(IF(Z327="",0,Z327),"0")+IFERROR(IF(Z328="",0,Z328),"0")+IFERROR(IF(Z329="",0,Z329),"0")</f>
        <v>5.0590000000000003E-2</v>
      </c>
      <c r="AA330" s="550"/>
      <c r="AB330" s="550"/>
      <c r="AC330" s="550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18</v>
      </c>
      <c r="Y331" s="549">
        <f>IFERROR(SUM(Y326:Y329),"0")</f>
        <v>18.829999999999998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5</v>
      </c>
      <c r="Y333" s="548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5</v>
      </c>
      <c r="Y334" s="548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5.6000000000000005</v>
      </c>
      <c r="BN334" s="64">
        <f>IFERROR(Y334*I334/H334,"0")</f>
        <v>6.7200000000000006</v>
      </c>
      <c r="BO334" s="64">
        <f>IFERROR(1/J334*(X334/H334),"0")</f>
        <v>1.0504201680672268E-2</v>
      </c>
      <c r="BP334" s="64">
        <f>IFERROR(1/J334*(Y334/H334),"0")</f>
        <v>1.2605042016806723E-2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6</v>
      </c>
      <c r="Y335" s="548">
        <f>IFERROR(IF(X335="",0,CEILING((X335/$H335),1)*$H335),"")</f>
        <v>6</v>
      </c>
      <c r="Z335" s="36">
        <f>IFERROR(IF(Y335=0,"",ROUNDUP(Y335/H335,0)*0.00474),"")</f>
        <v>1.422E-2</v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6.7200000000000006</v>
      </c>
      <c r="BN335" s="64">
        <f>IFERROR(Y335*I335/H335,"0")</f>
        <v>6.7200000000000006</v>
      </c>
      <c r="BO335" s="64">
        <f>IFERROR(1/J335*(X335/H335),"0")</f>
        <v>1.2605042016806723E-2</v>
      </c>
      <c r="BP335" s="64">
        <f>IFERROR(1/J335*(Y335/H335),"0")</f>
        <v>1.2605042016806723E-2</v>
      </c>
    </row>
    <row r="336" spans="1:68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8</v>
      </c>
      <c r="Y336" s="549">
        <f>IFERROR(Y333/H333,"0")+IFERROR(Y334/H334,"0")+IFERROR(Y335/H335,"0")</f>
        <v>9</v>
      </c>
      <c r="Z336" s="549">
        <f>IFERROR(IF(Z333="",0,Z333),"0")+IFERROR(IF(Z334="",0,Z334),"0")+IFERROR(IF(Z335="",0,Z335),"0")</f>
        <v>4.2660000000000003E-2</v>
      </c>
      <c r="AA336" s="550"/>
      <c r="AB336" s="550"/>
      <c r="AC336" s="550"/>
    </row>
    <row r="337" spans="1:68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16</v>
      </c>
      <c r="Y337" s="549">
        <f>IFERROR(SUM(Y333:Y335),"0")</f>
        <v>18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417</v>
      </c>
      <c r="Y348" s="548">
        <f t="shared" ref="Y348:Y354" si="36">IFERROR(IF(X348="",0,CEILING((X348/$H348),1)*$H348),"")</f>
        <v>420</v>
      </c>
      <c r="Z348" s="36">
        <f>IFERROR(IF(Y348=0,"",ROUNDUP(Y348/H348,0)*0.02175),"")</f>
        <v>0.60899999999999999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430.06600000000003</v>
      </c>
      <c r="BN348" s="64">
        <f t="shared" ref="BN348:BN354" si="38">IFERROR(Y348*I348/H348,"0")</f>
        <v>433.16</v>
      </c>
      <c r="BO348" s="64">
        <f t="shared" ref="BO348:BO354" si="39">IFERROR(1/J348*(X348/H348),"0")</f>
        <v>0.57916666666666661</v>
      </c>
      <c r="BP348" s="64">
        <f t="shared" ref="BP348:BP354" si="40">IFERROR(1/J348*(Y348/H348),"0")</f>
        <v>0.58333333333333326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257</v>
      </c>
      <c r="Y349" s="548">
        <f t="shared" si="36"/>
        <v>270</v>
      </c>
      <c r="Z349" s="36">
        <f>IFERROR(IF(Y349=0,"",ROUNDUP(Y349/H349,0)*0.02175),"")</f>
        <v>0.39149999999999996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265.05266666666665</v>
      </c>
      <c r="BN349" s="64">
        <f t="shared" si="38"/>
        <v>278.46000000000004</v>
      </c>
      <c r="BO349" s="64">
        <f t="shared" si="39"/>
        <v>0.3569444444444444</v>
      </c>
      <c r="BP349" s="64">
        <f t="shared" si="40"/>
        <v>0.375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4">
        <v>4680115884830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904</v>
      </c>
      <c r="Y350" s="548">
        <f t="shared" si="36"/>
        <v>915</v>
      </c>
      <c r="Z350" s="36">
        <f>IFERROR(IF(Y350=0,"",ROUNDUP(Y350/H350,0)*0.02175),"")</f>
        <v>1.3267499999999999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932.32533333333345</v>
      </c>
      <c r="BN350" s="64">
        <f t="shared" si="38"/>
        <v>943.67000000000007</v>
      </c>
      <c r="BO350" s="64">
        <f t="shared" si="39"/>
        <v>1.2555555555555555</v>
      </c>
      <c r="BP350" s="64">
        <f t="shared" si="40"/>
        <v>1.2708333333333333</v>
      </c>
    </row>
    <row r="351" spans="1:68" ht="27" hidden="1" customHeight="1" x14ac:dyDescent="0.25">
      <c r="A351" s="54" t="s">
        <v>565</v>
      </c>
      <c r="B351" s="54" t="s">
        <v>566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5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105.2</v>
      </c>
      <c r="Y355" s="549">
        <f>IFERROR(Y348/H348,"0")+IFERROR(Y349/H349,"0")+IFERROR(Y350/H350,"0")+IFERROR(Y351/H351,"0")+IFERROR(Y352/H352,"0")+IFERROR(Y353/H353,"0")+IFERROR(Y354/H354,"0")</f>
        <v>107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2.3272499999999998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1578</v>
      </c>
      <c r="Y356" s="549">
        <f>IFERROR(SUM(Y348:Y354),"0")</f>
        <v>1605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319</v>
      </c>
      <c r="Y358" s="548">
        <f>IFERROR(IF(X358="",0,CEILING((X358/$H358),1)*$H358),"")</f>
        <v>330</v>
      </c>
      <c r="Z358" s="36">
        <f>IFERROR(IF(Y358=0,"",ROUNDUP(Y358/H358,0)*0.02175),"")</f>
        <v>0.47849999999999998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328.99533333333335</v>
      </c>
      <c r="BN358" s="64">
        <f>IFERROR(Y358*I358/H358,"0")</f>
        <v>340.34000000000003</v>
      </c>
      <c r="BO358" s="64">
        <f>IFERROR(1/J358*(X358/H358),"0")</f>
        <v>0.44305555555555554</v>
      </c>
      <c r="BP358" s="64">
        <f>IFERROR(1/J358*(Y358/H358),"0")</f>
        <v>0.45833333333333331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21.266666666666666</v>
      </c>
      <c r="Y360" s="549">
        <f>IFERROR(Y358/H358,"0")+IFERROR(Y359/H359,"0")</f>
        <v>22</v>
      </c>
      <c r="Z360" s="549">
        <f>IFERROR(IF(Z358="",0,Z358),"0")+IFERROR(IF(Z359="",0,Z359),"0")</f>
        <v>0.47849999999999998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319</v>
      </c>
      <c r="Y361" s="549">
        <f>IFERROR(SUM(Y358:Y359),"0")</f>
        <v>330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4">
        <v>4607091384802</v>
      </c>
      <c r="E378" s="555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114</v>
      </c>
      <c r="M378" s="33" t="s">
        <v>68</v>
      </c>
      <c r="N378" s="33"/>
      <c r="O378" s="32">
        <v>35</v>
      </c>
      <c r="P378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511</v>
      </c>
      <c r="Y383" s="548">
        <f>IFERROR(IF(X383="",0,CEILING((X383/$H383),1)*$H383),"")</f>
        <v>513</v>
      </c>
      <c r="Z383" s="36">
        <f>IFERROR(IF(Y383=0,"",ROUNDUP(Y383/H383,0)*0.01898),"")</f>
        <v>1.08186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539.04822222222219</v>
      </c>
      <c r="BN383" s="64">
        <f>IFERROR(Y383*I383/H383,"0")</f>
        <v>541.1579999999999</v>
      </c>
      <c r="BO383" s="64">
        <f>IFERROR(1/J383*(X383/H383),"0")</f>
        <v>0.88715277777777779</v>
      </c>
      <c r="BP383" s="64">
        <f>IFERROR(1/J383*(Y383/H383),"0")</f>
        <v>0.890625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56.777777777777779</v>
      </c>
      <c r="Y386" s="549">
        <f>IFERROR(Y383/H383,"0")+IFERROR(Y384/H384,"0")+IFERROR(Y385/H385,"0")</f>
        <v>57</v>
      </c>
      <c r="Z386" s="549">
        <f>IFERROR(IF(Z383="",0,Z383),"0")+IFERROR(IF(Z384="",0,Z384),"0")+IFERROR(IF(Z385="",0,Z385),"0")</f>
        <v>1.08186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511</v>
      </c>
      <c r="Y387" s="549">
        <f>IFERROR(SUM(Y383:Y385),"0")</f>
        <v>513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114</v>
      </c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80</v>
      </c>
      <c r="Y427" s="548">
        <f t="shared" ref="Y427:Y438" si="47">IFERROR(IF(X427="",0,CEILING((X427/$H427),1)*$H427),"")</f>
        <v>84.48</v>
      </c>
      <c r="Z427" s="36">
        <f t="shared" ref="Z427:Z433" si="48">IFERROR(IF(Y427=0,"",ROUNDUP(Y427/H427,0)*0.01196),"")</f>
        <v>0.19136</v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85.303030303030297</v>
      </c>
      <c r="BN427" s="64">
        <f t="shared" ref="BN427:BN438" si="50">IFERROR(Y427*I427/H427,"0")</f>
        <v>90.08</v>
      </c>
      <c r="BO427" s="64">
        <f t="shared" ref="BO427:BO438" si="51">IFERROR(1/J427*(X427/H427),"0")</f>
        <v>0.14568764568764569</v>
      </c>
      <c r="BP427" s="64">
        <f t="shared" ref="BP427:BP438" si="52">IFERROR(1/J427*(Y427/H427),"0")</f>
        <v>0.15384615384615385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573</v>
      </c>
      <c r="Y431" s="548">
        <f t="shared" si="47"/>
        <v>575.52</v>
      </c>
      <c r="Z431" s="36">
        <f t="shared" si="48"/>
        <v>1.3036399999999999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610.9829545454545</v>
      </c>
      <c r="BN431" s="64">
        <f t="shared" si="50"/>
        <v>613.66999999999996</v>
      </c>
      <c r="BO431" s="64">
        <f t="shared" si="51"/>
        <v>1.0434877622377623</v>
      </c>
      <c r="BP431" s="64">
        <f t="shared" si="52"/>
        <v>1.0480769230769229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808</v>
      </c>
      <c r="Y433" s="548">
        <f t="shared" si="47"/>
        <v>813.12</v>
      </c>
      <c r="Z433" s="36">
        <f t="shared" si="48"/>
        <v>1.8418399999999999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861.56060606060601</v>
      </c>
      <c r="BN433" s="64">
        <f t="shared" si="50"/>
        <v>867.02</v>
      </c>
      <c r="BO433" s="64">
        <f t="shared" si="51"/>
        <v>1.4714452214452216</v>
      </c>
      <c r="BP433" s="64">
        <f t="shared" si="52"/>
        <v>1.4807692307692308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133</v>
      </c>
      <c r="Y435" s="548">
        <f t="shared" si="47"/>
        <v>134.4</v>
      </c>
      <c r="Z435" s="36">
        <f>IFERROR(IF(Y435=0,"",ROUNDUP(Y435/H435,0)*0.00902),"")</f>
        <v>0.25256000000000001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191.46458333333334</v>
      </c>
      <c r="BN435" s="64">
        <f t="shared" si="50"/>
        <v>193.48000000000002</v>
      </c>
      <c r="BO435" s="64">
        <f t="shared" si="51"/>
        <v>0.20991161616161619</v>
      </c>
      <c r="BP435" s="64">
        <f t="shared" si="52"/>
        <v>0.21212121212121215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108</v>
      </c>
      <c r="Y438" s="548">
        <f t="shared" si="47"/>
        <v>110.39999999999999</v>
      </c>
      <c r="Z438" s="36">
        <f>IFERROR(IF(Y438=0,"",ROUNDUP(Y438/H438,0)*0.00902),"")</f>
        <v>0.20746000000000001</v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155.47499999999999</v>
      </c>
      <c r="BN438" s="64">
        <f t="shared" si="50"/>
        <v>158.92999999999998</v>
      </c>
      <c r="BO438" s="64">
        <f t="shared" si="51"/>
        <v>0.17045454545454547</v>
      </c>
      <c r="BP438" s="64">
        <f t="shared" si="52"/>
        <v>0.17424242424242425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326.91287878787875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330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3.7968599999999997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1702</v>
      </c>
      <c r="Y440" s="549">
        <f>IFERROR(SUM(Y427:Y438),"0")</f>
        <v>1717.92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431</v>
      </c>
      <c r="Y442" s="548">
        <f>IFERROR(IF(X442="",0,CEILING((X442/$H442),1)*$H442),"")</f>
        <v>432.96000000000004</v>
      </c>
      <c r="Z442" s="36">
        <f>IFERROR(IF(Y442=0,"",ROUNDUP(Y442/H442,0)*0.01196),"")</f>
        <v>0.98072000000000004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459.57007575757569</v>
      </c>
      <c r="BN442" s="64">
        <f>IFERROR(Y442*I442/H442,"0")</f>
        <v>461.66</v>
      </c>
      <c r="BO442" s="64">
        <f>IFERROR(1/J442*(X442/H442),"0")</f>
        <v>0.78489219114219111</v>
      </c>
      <c r="BP442" s="64">
        <f>IFERROR(1/J442*(Y442/H442),"0")</f>
        <v>0.78846153846153855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180</v>
      </c>
      <c r="Y444" s="548">
        <f>IFERROR(IF(X444="",0,CEILING((X444/$H444),1)*$H444),"")</f>
        <v>182.4</v>
      </c>
      <c r="Z444" s="36">
        <f>IFERROR(IF(Y444=0,"",ROUNDUP(Y444/H444,0)*0.00902),"")</f>
        <v>0.34276000000000001</v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259.125</v>
      </c>
      <c r="BN444" s="64">
        <f>IFERROR(Y444*I444/H444,"0")</f>
        <v>262.58000000000004</v>
      </c>
      <c r="BO444" s="64">
        <f>IFERROR(1/J444*(X444/H444),"0")</f>
        <v>0.28409090909090912</v>
      </c>
      <c r="BP444" s="64">
        <f>IFERROR(1/J444*(Y444/H444),"0")</f>
        <v>0.2878787878787879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119.12878787878788</v>
      </c>
      <c r="Y445" s="549">
        <f>IFERROR(Y442/H442,"0")+IFERROR(Y443/H443,"0")+IFERROR(Y444/H444,"0")</f>
        <v>120</v>
      </c>
      <c r="Z445" s="549">
        <f>IFERROR(IF(Z442="",0,Z442),"0")+IFERROR(IF(Z443="",0,Z443),"0")+IFERROR(IF(Z444="",0,Z444),"0")</f>
        <v>1.32348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611</v>
      </c>
      <c r="Y446" s="549">
        <f>IFERROR(SUM(Y442:Y444),"0")</f>
        <v>615.36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250</v>
      </c>
      <c r="Y448" s="548">
        <f t="shared" ref="Y448:Y453" si="53">IFERROR(IF(X448="",0,CEILING((X448/$H448),1)*$H448),"")</f>
        <v>253.44</v>
      </c>
      <c r="Z448" s="36">
        <f>IFERROR(IF(Y448=0,"",ROUNDUP(Y448/H448,0)*0.01196),"")</f>
        <v>0.57408000000000003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266.57196969696969</v>
      </c>
      <c r="BN448" s="64">
        <f t="shared" ref="BN448:BN453" si="55">IFERROR(Y448*I448/H448,"0")</f>
        <v>270.23999999999995</v>
      </c>
      <c r="BO448" s="64">
        <f t="shared" ref="BO448:BO453" si="56">IFERROR(1/J448*(X448/H448),"0")</f>
        <v>0.45527389277389274</v>
      </c>
      <c r="BP448" s="64">
        <f t="shared" ref="BP448:BP453" si="57">IFERROR(1/J448*(Y448/H448),"0")</f>
        <v>0.46153846153846156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144</v>
      </c>
      <c r="Y449" s="548">
        <f t="shared" si="53"/>
        <v>147.84</v>
      </c>
      <c r="Z449" s="36">
        <f>IFERROR(IF(Y449=0,"",ROUNDUP(Y449/H449,0)*0.01196),"")</f>
        <v>0.33488000000000001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153.54545454545453</v>
      </c>
      <c r="BN449" s="64">
        <f t="shared" si="55"/>
        <v>157.63999999999999</v>
      </c>
      <c r="BO449" s="64">
        <f t="shared" si="56"/>
        <v>0.26223776223776224</v>
      </c>
      <c r="BP449" s="64">
        <f t="shared" si="57"/>
        <v>0.26923076923076927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299</v>
      </c>
      <c r="Y450" s="548">
        <f t="shared" si="53"/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318.82007575757569</v>
      </c>
      <c r="BN450" s="64">
        <f t="shared" si="55"/>
        <v>320.91000000000003</v>
      </c>
      <c r="BO450" s="64">
        <f t="shared" si="56"/>
        <v>0.5445075757575758</v>
      </c>
      <c r="BP450" s="64">
        <f t="shared" si="57"/>
        <v>0.54807692307692313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131.25</v>
      </c>
      <c r="Y454" s="549">
        <f>IFERROR(Y448/H448,"0")+IFERROR(Y449/H449,"0")+IFERROR(Y450/H450,"0")+IFERROR(Y451/H451,"0")+IFERROR(Y452/H452,"0")+IFERROR(Y453/H453,"0")</f>
        <v>133</v>
      </c>
      <c r="Z454" s="549">
        <f>IFERROR(IF(Z448="",0,Z448),"0")+IFERROR(IF(Z449="",0,Z449),"0")+IFERROR(IF(Z450="",0,Z450),"0")+IFERROR(IF(Z451="",0,Z451),"0")+IFERROR(IF(Z452="",0,Z452),"0")+IFERROR(IF(Z453="",0,Z453),"0")</f>
        <v>1.5906799999999999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693</v>
      </c>
      <c r="Y455" s="549">
        <f>IFERROR(SUM(Y448:Y453),"0")</f>
        <v>702.24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9005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9159.01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9681.5649522680505</v>
      </c>
      <c r="Y493" s="549">
        <f>IFERROR(SUM(BN22:BN489),"0")</f>
        <v>9846.5389999999989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16</v>
      </c>
      <c r="Y494" s="38">
        <f>ROUNDUP(SUM(BP22:BP489),0)</f>
        <v>16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10081.564952268051</v>
      </c>
      <c r="Y495" s="549">
        <f>GrossWeightTotalR+PalletQtyTotalR*25</f>
        <v>10246.538999999999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1606.1081756619042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1636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18.685859999999998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193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248.4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351.2</v>
      </c>
      <c r="E502" s="46">
        <f>IFERROR(Y85*1,"0")+IFERROR(Y86*1,"0")+IFERROR(Y87*1,"0")+IFERROR(Y88*1,"0")+IFERROR(Y92*1,"0")+IFERROR(Y93*1,"0")+IFERROR(Y94*1,"0")+IFERROR(Y95*1,"0")</f>
        <v>329.40000000000003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1171.2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94.62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1318.8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12.239999999999998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112.8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36.83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1935</v>
      </c>
      <c r="T502" s="46">
        <f>IFERROR(Y373*1,"0")+IFERROR(Y374*1,"0")+IFERROR(Y378*1,"0")+IFERROR(Y379*1,"0")+IFERROR(Y383*1,"0")+IFERROR(Y384*1,"0")+IFERROR(Y385*1,"0")</f>
        <v>513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3035.5200000000004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U01iM9xRYqNWWWM9DJf+f4AvNKcnmF9fJyX5yE1qC09FEjf01NhjPt2iAYdbpjAlkceOpqhGHy5YV4XcoUIL4w==" saltValue="sT5Q0aC1kk/fJfivtTXM/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78,00"/>
        <filter val="1 606,11"/>
        <filter val="1 702,00"/>
        <filter val="1,00"/>
        <filter val="1,11"/>
        <filter val="10 081,56"/>
        <filter val="10,00"/>
        <filter val="10,25"/>
        <filter val="100,00"/>
        <filter val="105,20"/>
        <filter val="108,00"/>
        <filter val="110,00"/>
        <filter val="113,00"/>
        <filter val="119,13"/>
        <filter val="12,00"/>
        <filter val="129,00"/>
        <filter val="131,25"/>
        <filter val="133,00"/>
        <filter val="138,00"/>
        <filter val="141,00"/>
        <filter val="144,00"/>
        <filter val="158,00"/>
        <filter val="16"/>
        <filter val="16,00"/>
        <filter val="16,48"/>
        <filter val="166,54"/>
        <filter val="178,00"/>
        <filter val="18,00"/>
        <filter val="18,33"/>
        <filter val="180,00"/>
        <filter val="183,00"/>
        <filter val="187,00"/>
        <filter val="19,00"/>
        <filter val="19,07"/>
        <filter val="2,00"/>
        <filter val="206,00"/>
        <filter val="21,27"/>
        <filter val="22,41"/>
        <filter val="242,00"/>
        <filter val="250,00"/>
        <filter val="257,00"/>
        <filter val="26,00"/>
        <filter val="27,00"/>
        <filter val="274,54"/>
        <filter val="28,00"/>
        <filter val="29,00"/>
        <filter val="29,84"/>
        <filter val="299,00"/>
        <filter val="3,00"/>
        <filter val="30,00"/>
        <filter val="319,00"/>
        <filter val="326,91"/>
        <filter val="33,00"/>
        <filter val="334,00"/>
        <filter val="347,00"/>
        <filter val="375,00"/>
        <filter val="4,00"/>
        <filter val="4,76"/>
        <filter val="410,00"/>
        <filter val="417,00"/>
        <filter val="42,00"/>
        <filter val="431,00"/>
        <filter val="44,00"/>
        <filter val="45,31"/>
        <filter val="45,83"/>
        <filter val="451,00"/>
        <filter val="48,00"/>
        <filter val="5,00"/>
        <filter val="5,56"/>
        <filter val="5,93"/>
        <filter val="51,61"/>
        <filter val="511,00"/>
        <filter val="55,00"/>
        <filter val="56,78"/>
        <filter val="573,00"/>
        <filter val="6,00"/>
        <filter val="6,26"/>
        <filter val="6,68"/>
        <filter val="611,00"/>
        <filter val="68,00"/>
        <filter val="681,00"/>
        <filter val="693,00"/>
        <filter val="7,00"/>
        <filter val="7,05"/>
        <filter val="76,00"/>
        <filter val="8,00"/>
        <filter val="80,00"/>
        <filter val="808,00"/>
        <filter val="845,00"/>
        <filter val="9 005,00"/>
        <filter val="9 681,56"/>
        <filter val="90,00"/>
        <filter val="904,0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69 X171 X176 X194 X203:X208 X210 X214:X217 X219:X222 X239 X261 X263 X279:X280 X305 X313 X321 X328:X329 X341:X342 X348:X350 X358 X373 X378 X383:X384 X393 X427 X430:X431 X433 X442 X444 X448:X450 X46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I8qPdIK8Jg6kmX8HSbDxws9WoiU1jQ7pHTt+d3QXRZybGGnKHdfYdn3y6WMGK8jUKEM/QwVW3q4keIcfp7DeQ==" saltValue="VzygxUSxri78WFZ5n2+p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