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081B23-F3EB-4321-B1CA-1E592BC104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Z502" i="1" s="1"/>
  <c r="P489" i="1"/>
  <c r="X486" i="1"/>
  <c r="X485" i="1"/>
  <c r="BO484" i="1"/>
  <c r="BM484" i="1"/>
  <c r="Y484" i="1"/>
  <c r="BP484" i="1" s="1"/>
  <c r="P484" i="1"/>
  <c r="BO483" i="1"/>
  <c r="BM483" i="1"/>
  <c r="Y483" i="1"/>
  <c r="Y485" i="1" s="1"/>
  <c r="P483" i="1"/>
  <c r="X481" i="1"/>
  <c r="X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BO463" i="1"/>
  <c r="BM463" i="1"/>
  <c r="Y463" i="1"/>
  <c r="Y467" i="1" s="1"/>
  <c r="P463" i="1"/>
  <c r="X459" i="1"/>
  <c r="X458" i="1"/>
  <c r="BO457" i="1"/>
  <c r="BM457" i="1"/>
  <c r="Y457" i="1"/>
  <c r="Y459" i="1" s="1"/>
  <c r="P457" i="1"/>
  <c r="X455" i="1"/>
  <c r="X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BP449" i="1" s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Y445" i="1" s="1"/>
  <c r="P443" i="1"/>
  <c r="BP442" i="1"/>
  <c r="BO442" i="1"/>
  <c r="BN442" i="1"/>
  <c r="BM442" i="1"/>
  <c r="Z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BN421" i="1" s="1"/>
  <c r="P421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O404" i="1"/>
  <c r="BM404" i="1"/>
  <c r="Y404" i="1"/>
  <c r="P404" i="1"/>
  <c r="BO403" i="1"/>
  <c r="BM403" i="1"/>
  <c r="Y403" i="1"/>
  <c r="Y405" i="1" s="1"/>
  <c r="P403" i="1"/>
  <c r="X401" i="1"/>
  <c r="X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Y370" i="1" s="1"/>
  <c r="P368" i="1"/>
  <c r="X366" i="1"/>
  <c r="X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Y317" i="1" s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7" i="1" s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Y64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Z28" i="1"/>
  <c r="Y28" i="1"/>
  <c r="BP28" i="1" s="1"/>
  <c r="P28" i="1"/>
  <c r="BO27" i="1"/>
  <c r="BM27" i="1"/>
  <c r="Y27" i="1"/>
  <c r="P27" i="1"/>
  <c r="X25" i="1"/>
  <c r="X24" i="1"/>
  <c r="X496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55" i="1" l="1"/>
  <c r="BN55" i="1"/>
  <c r="Z55" i="1"/>
  <c r="BP86" i="1"/>
  <c r="BN86" i="1"/>
  <c r="Z86" i="1"/>
  <c r="BP115" i="1"/>
  <c r="BN115" i="1"/>
  <c r="Z115" i="1"/>
  <c r="BP152" i="1"/>
  <c r="BN152" i="1"/>
  <c r="Z152" i="1"/>
  <c r="BP184" i="1"/>
  <c r="BN184" i="1"/>
  <c r="Z184" i="1"/>
  <c r="BP217" i="1"/>
  <c r="BN217" i="1"/>
  <c r="Z217" i="1"/>
  <c r="BP240" i="1"/>
  <c r="BN240" i="1"/>
  <c r="Z240" i="1"/>
  <c r="BP280" i="1"/>
  <c r="BN280" i="1"/>
  <c r="Z280" i="1"/>
  <c r="BP308" i="1"/>
  <c r="BN308" i="1"/>
  <c r="Z308" i="1"/>
  <c r="BP341" i="1"/>
  <c r="BN341" i="1"/>
  <c r="Z341" i="1"/>
  <c r="BP384" i="1"/>
  <c r="BN384" i="1"/>
  <c r="Z384" i="1"/>
  <c r="BP428" i="1"/>
  <c r="BN428" i="1"/>
  <c r="Z428" i="1"/>
  <c r="BP448" i="1"/>
  <c r="BN448" i="1"/>
  <c r="Z448" i="1"/>
  <c r="BP67" i="1"/>
  <c r="BN67" i="1"/>
  <c r="Z67" i="1"/>
  <c r="BP101" i="1"/>
  <c r="BN101" i="1"/>
  <c r="Z101" i="1"/>
  <c r="BP138" i="1"/>
  <c r="BN138" i="1"/>
  <c r="Z138" i="1"/>
  <c r="BP174" i="1"/>
  <c r="BN174" i="1"/>
  <c r="Z174" i="1"/>
  <c r="BP205" i="1"/>
  <c r="BN205" i="1"/>
  <c r="Z205" i="1"/>
  <c r="BP232" i="1"/>
  <c r="BN232" i="1"/>
  <c r="Z232" i="1"/>
  <c r="BP264" i="1"/>
  <c r="BN264" i="1"/>
  <c r="Z264" i="1"/>
  <c r="BP298" i="1"/>
  <c r="BN298" i="1"/>
  <c r="Z298" i="1"/>
  <c r="BP322" i="1"/>
  <c r="BN322" i="1"/>
  <c r="Z322" i="1"/>
  <c r="BP359" i="1"/>
  <c r="BN359" i="1"/>
  <c r="Z359" i="1"/>
  <c r="BP398" i="1"/>
  <c r="BN398" i="1"/>
  <c r="Z398" i="1"/>
  <c r="BP436" i="1"/>
  <c r="BN436" i="1"/>
  <c r="Z436" i="1"/>
  <c r="BP466" i="1"/>
  <c r="BN466" i="1"/>
  <c r="Z466" i="1"/>
  <c r="Y70" i="1"/>
  <c r="Y120" i="1"/>
  <c r="I502" i="1"/>
  <c r="Y179" i="1"/>
  <c r="S502" i="1"/>
  <c r="U502" i="1"/>
  <c r="Z22" i="1"/>
  <c r="BN22" i="1"/>
  <c r="Y25" i="1"/>
  <c r="X492" i="1"/>
  <c r="Y33" i="1"/>
  <c r="Z30" i="1"/>
  <c r="BN30" i="1"/>
  <c r="C502" i="1"/>
  <c r="Z53" i="1"/>
  <c r="BN53" i="1"/>
  <c r="Z57" i="1"/>
  <c r="BN57" i="1"/>
  <c r="Y65" i="1"/>
  <c r="Z63" i="1"/>
  <c r="BN63" i="1"/>
  <c r="Y69" i="1"/>
  <c r="Z73" i="1"/>
  <c r="BN73" i="1"/>
  <c r="Z79" i="1"/>
  <c r="BN79" i="1"/>
  <c r="BP79" i="1"/>
  <c r="Y82" i="1"/>
  <c r="E502" i="1"/>
  <c r="Z88" i="1"/>
  <c r="BN88" i="1"/>
  <c r="Y96" i="1"/>
  <c r="Z94" i="1"/>
  <c r="BN94" i="1"/>
  <c r="F502" i="1"/>
  <c r="Z103" i="1"/>
  <c r="BN103" i="1"/>
  <c r="Y112" i="1"/>
  <c r="Z111" i="1"/>
  <c r="BN111" i="1"/>
  <c r="Y119" i="1"/>
  <c r="Z117" i="1"/>
  <c r="BN117" i="1"/>
  <c r="Y134" i="1"/>
  <c r="BP132" i="1"/>
  <c r="BN132" i="1"/>
  <c r="Z132" i="1"/>
  <c r="Y154" i="1"/>
  <c r="BP148" i="1"/>
  <c r="BN148" i="1"/>
  <c r="Z148" i="1"/>
  <c r="BP150" i="1"/>
  <c r="BN150" i="1"/>
  <c r="Z150" i="1"/>
  <c r="BP172" i="1"/>
  <c r="BN172" i="1"/>
  <c r="Z172" i="1"/>
  <c r="Y186" i="1"/>
  <c r="BP182" i="1"/>
  <c r="BN182" i="1"/>
  <c r="Z182" i="1"/>
  <c r="Y212" i="1"/>
  <c r="BP203" i="1"/>
  <c r="BN203" i="1"/>
  <c r="Z203" i="1"/>
  <c r="Y224" i="1"/>
  <c r="BP215" i="1"/>
  <c r="BN215" i="1"/>
  <c r="Z215" i="1"/>
  <c r="BP227" i="1"/>
  <c r="BN227" i="1"/>
  <c r="Z227" i="1"/>
  <c r="BP238" i="1"/>
  <c r="BN238" i="1"/>
  <c r="Z238" i="1"/>
  <c r="BP262" i="1"/>
  <c r="BN262" i="1"/>
  <c r="Z262" i="1"/>
  <c r="BP278" i="1"/>
  <c r="BN278" i="1"/>
  <c r="Z278" i="1"/>
  <c r="BP143" i="1"/>
  <c r="BN143" i="1"/>
  <c r="Z143" i="1"/>
  <c r="BP149" i="1"/>
  <c r="BN149" i="1"/>
  <c r="Z149" i="1"/>
  <c r="BP168" i="1"/>
  <c r="BN168" i="1"/>
  <c r="Z168" i="1"/>
  <c r="BP176" i="1"/>
  <c r="BN176" i="1"/>
  <c r="Z176" i="1"/>
  <c r="Y190" i="1"/>
  <c r="Y189" i="1"/>
  <c r="BP188" i="1"/>
  <c r="BN188" i="1"/>
  <c r="Z188" i="1"/>
  <c r="Z189" i="1" s="1"/>
  <c r="BP193" i="1"/>
  <c r="BN193" i="1"/>
  <c r="Z193" i="1"/>
  <c r="BP207" i="1"/>
  <c r="BN207" i="1"/>
  <c r="Z207" i="1"/>
  <c r="BP219" i="1"/>
  <c r="BN219" i="1"/>
  <c r="Z219" i="1"/>
  <c r="BP234" i="1"/>
  <c r="BN234" i="1"/>
  <c r="Z234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1" i="1"/>
  <c r="BN271" i="1"/>
  <c r="Z271" i="1"/>
  <c r="BP285" i="1"/>
  <c r="BN285" i="1"/>
  <c r="Z285" i="1"/>
  <c r="BP300" i="1"/>
  <c r="BN300" i="1"/>
  <c r="Z300" i="1"/>
  <c r="G502" i="1"/>
  <c r="Y135" i="1"/>
  <c r="Y146" i="1"/>
  <c r="Y155" i="1"/>
  <c r="Y185" i="1"/>
  <c r="Y196" i="1"/>
  <c r="BP296" i="1"/>
  <c r="BN296" i="1"/>
  <c r="Z296" i="1"/>
  <c r="Y311" i="1"/>
  <c r="BP306" i="1"/>
  <c r="BN306" i="1"/>
  <c r="Z306" i="1"/>
  <c r="Y324" i="1"/>
  <c r="BP320" i="1"/>
  <c r="BN320" i="1"/>
  <c r="Z320" i="1"/>
  <c r="BP334" i="1"/>
  <c r="BN334" i="1"/>
  <c r="Z334" i="1"/>
  <c r="BP353" i="1"/>
  <c r="BN353" i="1"/>
  <c r="Z353" i="1"/>
  <c r="Y380" i="1"/>
  <c r="BP378" i="1"/>
  <c r="BN378" i="1"/>
  <c r="Z378" i="1"/>
  <c r="BP396" i="1"/>
  <c r="BN396" i="1"/>
  <c r="Z396" i="1"/>
  <c r="BP415" i="1"/>
  <c r="BN415" i="1"/>
  <c r="Z415" i="1"/>
  <c r="BP434" i="1"/>
  <c r="BN434" i="1"/>
  <c r="Z434" i="1"/>
  <c r="BP444" i="1"/>
  <c r="BN444" i="1"/>
  <c r="Z444" i="1"/>
  <c r="BP464" i="1"/>
  <c r="BN464" i="1"/>
  <c r="Z464" i="1"/>
  <c r="BP314" i="1"/>
  <c r="BN314" i="1"/>
  <c r="Z314" i="1"/>
  <c r="Y330" i="1"/>
  <c r="BP326" i="1"/>
  <c r="BN326" i="1"/>
  <c r="Z326" i="1"/>
  <c r="BP349" i="1"/>
  <c r="BN349" i="1"/>
  <c r="Z349" i="1"/>
  <c r="Y365" i="1"/>
  <c r="BP363" i="1"/>
  <c r="BN363" i="1"/>
  <c r="Z363" i="1"/>
  <c r="BP392" i="1"/>
  <c r="BN392" i="1"/>
  <c r="Z392" i="1"/>
  <c r="BP404" i="1"/>
  <c r="BN404" i="1"/>
  <c r="Z404" i="1"/>
  <c r="BP430" i="1"/>
  <c r="BN430" i="1"/>
  <c r="Z430" i="1"/>
  <c r="BP438" i="1"/>
  <c r="BN438" i="1"/>
  <c r="Z438" i="1"/>
  <c r="BP450" i="1"/>
  <c r="BN450" i="1"/>
  <c r="Z450" i="1"/>
  <c r="Y473" i="1"/>
  <c r="BP470" i="1"/>
  <c r="BN470" i="1"/>
  <c r="Z470" i="1"/>
  <c r="Y288" i="1"/>
  <c r="Y301" i="1"/>
  <c r="Y310" i="1"/>
  <c r="Y323" i="1"/>
  <c r="Y331" i="1"/>
  <c r="R502" i="1"/>
  <c r="Y366" i="1"/>
  <c r="T502" i="1"/>
  <c r="Y381" i="1"/>
  <c r="Y387" i="1"/>
  <c r="V502" i="1"/>
  <c r="Y418" i="1"/>
  <c r="Y446" i="1"/>
  <c r="Y455" i="1"/>
  <c r="H9" i="1"/>
  <c r="A10" i="1"/>
  <c r="B502" i="1"/>
  <c r="X493" i="1"/>
  <c r="X494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BN62" i="1"/>
  <c r="BP62" i="1"/>
  <c r="Z68" i="1"/>
  <c r="Z69" i="1" s="1"/>
  <c r="BN68" i="1"/>
  <c r="BP68" i="1"/>
  <c r="Z72" i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90" i="1"/>
  <c r="Z93" i="1"/>
  <c r="Z96" i="1" s="1"/>
  <c r="BN93" i="1"/>
  <c r="BP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Y113" i="1"/>
  <c r="Z116" i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BN137" i="1"/>
  <c r="BP137" i="1"/>
  <c r="Y140" i="1"/>
  <c r="H502" i="1"/>
  <c r="Z144" i="1"/>
  <c r="Z145" i="1" s="1"/>
  <c r="BN144" i="1"/>
  <c r="BP144" i="1"/>
  <c r="Y145" i="1"/>
  <c r="Z151" i="1"/>
  <c r="Z154" i="1" s="1"/>
  <c r="BN151" i="1"/>
  <c r="BP151" i="1"/>
  <c r="Z153" i="1"/>
  <c r="BN153" i="1"/>
  <c r="Z157" i="1"/>
  <c r="Z158" i="1" s="1"/>
  <c r="BN157" i="1"/>
  <c r="BP157" i="1"/>
  <c r="Y158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502" i="1"/>
  <c r="Z194" i="1"/>
  <c r="Z195" i="1" s="1"/>
  <c r="BN194" i="1"/>
  <c r="BP194" i="1"/>
  <c r="Y195" i="1"/>
  <c r="Z198" i="1"/>
  <c r="Z200" i="1" s="1"/>
  <c r="BN198" i="1"/>
  <c r="BP198" i="1"/>
  <c r="Y201" i="1"/>
  <c r="Z204" i="1"/>
  <c r="BN204" i="1"/>
  <c r="Z206" i="1"/>
  <c r="BN206" i="1"/>
  <c r="Z208" i="1"/>
  <c r="BN208" i="1"/>
  <c r="Z210" i="1"/>
  <c r="BN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Y223" i="1"/>
  <c r="Z226" i="1"/>
  <c r="Z228" i="1" s="1"/>
  <c r="BN226" i="1"/>
  <c r="BP226" i="1"/>
  <c r="Y229" i="1"/>
  <c r="K502" i="1"/>
  <c r="Z233" i="1"/>
  <c r="BN233" i="1"/>
  <c r="Z235" i="1"/>
  <c r="BN235" i="1"/>
  <c r="Z237" i="1"/>
  <c r="BN237" i="1"/>
  <c r="Z239" i="1"/>
  <c r="BN239" i="1"/>
  <c r="Y242" i="1"/>
  <c r="Y257" i="1"/>
  <c r="Z253" i="1"/>
  <c r="BN253" i="1"/>
  <c r="BP254" i="1"/>
  <c r="BN254" i="1"/>
  <c r="Z254" i="1"/>
  <c r="BP263" i="1"/>
  <c r="BN263" i="1"/>
  <c r="Z263" i="1"/>
  <c r="BP272" i="1"/>
  <c r="BN272" i="1"/>
  <c r="Z272" i="1"/>
  <c r="F9" i="1"/>
  <c r="J9" i="1"/>
  <c r="Y45" i="1"/>
  <c r="Y58" i="1"/>
  <c r="Y89" i="1"/>
  <c r="Y106" i="1"/>
  <c r="Y129" i="1"/>
  <c r="Y165" i="1"/>
  <c r="Y241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Z274" i="1" s="1"/>
  <c r="Y274" i="1"/>
  <c r="Y281" i="1"/>
  <c r="BP279" i="1"/>
  <c r="BN279" i="1"/>
  <c r="Z279" i="1"/>
  <c r="O502" i="1"/>
  <c r="Y282" i="1"/>
  <c r="P502" i="1"/>
  <c r="Z286" i="1"/>
  <c r="Z287" i="1" s="1"/>
  <c r="BN286" i="1"/>
  <c r="BP286" i="1"/>
  <c r="Y287" i="1"/>
  <c r="Z290" i="1"/>
  <c r="Z292" i="1" s="1"/>
  <c r="BN290" i="1"/>
  <c r="BP290" i="1"/>
  <c r="Y293" i="1"/>
  <c r="Q502" i="1"/>
  <c r="Z297" i="1"/>
  <c r="BN297" i="1"/>
  <c r="BP297" i="1"/>
  <c r="Z299" i="1"/>
  <c r="BN299" i="1"/>
  <c r="Y302" i="1"/>
  <c r="Z305" i="1"/>
  <c r="BN305" i="1"/>
  <c r="BP305" i="1"/>
  <c r="Z307" i="1"/>
  <c r="BN307" i="1"/>
  <c r="Z309" i="1"/>
  <c r="BN309" i="1"/>
  <c r="Z313" i="1"/>
  <c r="BN313" i="1"/>
  <c r="BP313" i="1"/>
  <c r="Z315" i="1"/>
  <c r="BN315" i="1"/>
  <c r="Y318" i="1"/>
  <c r="Z321" i="1"/>
  <c r="BN321" i="1"/>
  <c r="BP321" i="1"/>
  <c r="Z327" i="1"/>
  <c r="BN327" i="1"/>
  <c r="BP327" i="1"/>
  <c r="Z329" i="1"/>
  <c r="BN329" i="1"/>
  <c r="Z333" i="1"/>
  <c r="BN333" i="1"/>
  <c r="BP333" i="1"/>
  <c r="Z335" i="1"/>
  <c r="BN335" i="1"/>
  <c r="Y336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Y355" i="1"/>
  <c r="Z358" i="1"/>
  <c r="Z360" i="1" s="1"/>
  <c r="BN358" i="1"/>
  <c r="BP358" i="1"/>
  <c r="Y361" i="1"/>
  <c r="Z364" i="1"/>
  <c r="BN364" i="1"/>
  <c r="BP364" i="1"/>
  <c r="Z368" i="1"/>
  <c r="Z369" i="1" s="1"/>
  <c r="BN368" i="1"/>
  <c r="BP368" i="1"/>
  <c r="Y369" i="1"/>
  <c r="Z373" i="1"/>
  <c r="Z375" i="1" s="1"/>
  <c r="BN373" i="1"/>
  <c r="BP373" i="1"/>
  <c r="Y376" i="1"/>
  <c r="Z379" i="1"/>
  <c r="Z380" i="1" s="1"/>
  <c r="BN379" i="1"/>
  <c r="BP379" i="1"/>
  <c r="Z383" i="1"/>
  <c r="BN383" i="1"/>
  <c r="BP383" i="1"/>
  <c r="Z385" i="1"/>
  <c r="BN385" i="1"/>
  <c r="Y386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BN403" i="1"/>
  <c r="BP403" i="1"/>
  <c r="Y406" i="1"/>
  <c r="Y411" i="1"/>
  <c r="Z414" i="1"/>
  <c r="BN414" i="1"/>
  <c r="Z416" i="1"/>
  <c r="BN416" i="1"/>
  <c r="Y417" i="1"/>
  <c r="Z421" i="1"/>
  <c r="Z422" i="1" s="1"/>
  <c r="BP429" i="1"/>
  <c r="BN429" i="1"/>
  <c r="Z429" i="1"/>
  <c r="BP433" i="1"/>
  <c r="BN433" i="1"/>
  <c r="Z433" i="1"/>
  <c r="Y344" i="1"/>
  <c r="Y356" i="1"/>
  <c r="Y375" i="1"/>
  <c r="Y401" i="1"/>
  <c r="W502" i="1"/>
  <c r="Y422" i="1"/>
  <c r="BP421" i="1"/>
  <c r="Y423" i="1"/>
  <c r="X502" i="1"/>
  <c r="Y439" i="1"/>
  <c r="Y440" i="1"/>
  <c r="BP427" i="1"/>
  <c r="BN427" i="1"/>
  <c r="Z427" i="1"/>
  <c r="BP431" i="1"/>
  <c r="BN431" i="1"/>
  <c r="Z431" i="1"/>
  <c r="BP435" i="1"/>
  <c r="BN435" i="1"/>
  <c r="Z435" i="1"/>
  <c r="Z437" i="1"/>
  <c r="BN437" i="1"/>
  <c r="Z443" i="1"/>
  <c r="Z445" i="1" s="1"/>
  <c r="BN443" i="1"/>
  <c r="BP443" i="1"/>
  <c r="Z449" i="1"/>
  <c r="BN449" i="1"/>
  <c r="Z451" i="1"/>
  <c r="BN451" i="1"/>
  <c r="Z453" i="1"/>
  <c r="BN453" i="1"/>
  <c r="Y454" i="1"/>
  <c r="Z457" i="1"/>
  <c r="Z458" i="1" s="1"/>
  <c r="BN457" i="1"/>
  <c r="BP457" i="1"/>
  <c r="Y458" i="1"/>
  <c r="Z463" i="1"/>
  <c r="BN463" i="1"/>
  <c r="BP463" i="1"/>
  <c r="Z465" i="1"/>
  <c r="BN465" i="1"/>
  <c r="Y468" i="1"/>
  <c r="Z471" i="1"/>
  <c r="Z472" i="1" s="1"/>
  <c r="BN471" i="1"/>
  <c r="Y472" i="1"/>
  <c r="Z475" i="1"/>
  <c r="Z476" i="1" s="1"/>
  <c r="BN475" i="1"/>
  <c r="BP475" i="1"/>
  <c r="Y476" i="1"/>
  <c r="Z479" i="1"/>
  <c r="Z480" i="1" s="1"/>
  <c r="BN479" i="1"/>
  <c r="BP479" i="1"/>
  <c r="Y480" i="1"/>
  <c r="Z483" i="1"/>
  <c r="BN483" i="1"/>
  <c r="BP483" i="1"/>
  <c r="Y486" i="1"/>
  <c r="Y491" i="1"/>
  <c r="Y502" i="1"/>
  <c r="Z484" i="1"/>
  <c r="BN484" i="1"/>
  <c r="Z489" i="1"/>
  <c r="Z490" i="1" s="1"/>
  <c r="BN489" i="1"/>
  <c r="BP489" i="1"/>
  <c r="Y490" i="1"/>
  <c r="Z405" i="1" l="1"/>
  <c r="Z365" i="1"/>
  <c r="Z323" i="1"/>
  <c r="Z281" i="1"/>
  <c r="Z266" i="1"/>
  <c r="Z139" i="1"/>
  <c r="Z64" i="1"/>
  <c r="Z417" i="1"/>
  <c r="Z330" i="1"/>
  <c r="Z310" i="1"/>
  <c r="Z301" i="1"/>
  <c r="Y492" i="1"/>
  <c r="Z454" i="1"/>
  <c r="Y494" i="1"/>
  <c r="Z257" i="1"/>
  <c r="Z241" i="1"/>
  <c r="Y493" i="1"/>
  <c r="Z211" i="1"/>
  <c r="Z179" i="1"/>
  <c r="Z119" i="1"/>
  <c r="Z112" i="1"/>
  <c r="Z105" i="1"/>
  <c r="Z76" i="1"/>
  <c r="Z58" i="1"/>
  <c r="Z44" i="1"/>
  <c r="Y495" i="1"/>
  <c r="Z485" i="1"/>
  <c r="Z467" i="1"/>
  <c r="Z439" i="1"/>
  <c r="Z400" i="1"/>
  <c r="Z386" i="1"/>
  <c r="Z355" i="1"/>
  <c r="Z343" i="1"/>
  <c r="Z336" i="1"/>
  <c r="Z317" i="1"/>
  <c r="Z223" i="1"/>
  <c r="Z497" i="1" s="1"/>
  <c r="Z89" i="1"/>
  <c r="Y496" i="1"/>
  <c r="Z32" i="1"/>
  <c r="X495" i="1"/>
</calcChain>
</file>

<file path=xl/sharedStrings.xml><?xml version="1.0" encoding="utf-8"?>
<sst xmlns="http://schemas.openxmlformats.org/spreadsheetml/2006/main" count="2276" uniqueCount="775">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</sst>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46017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Пятница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0.41666666666666669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518.4</v>
      </c>
      <c r="Y41" s="548">
        <f>IFERROR(IF(X41="",0,CEILING((X41/$H41),1)*$H41),"")</f>
        <v>518.40000000000009</v>
      </c>
      <c r="Z41" s="36">
        <f>IFERROR(IF(Y41=0,"",ROUNDUP(Y41/H41,0)*0.01898),"")</f>
        <v>0.91104000000000007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538.07999999999993</v>
      </c>
      <c r="BN41" s="64">
        <f>IFERROR(Y41*I41/H41,"0")</f>
        <v>538.08000000000004</v>
      </c>
      <c r="BO41" s="64">
        <f>IFERROR(1/J41*(X41/H41),"0")</f>
        <v>0.74999999999999989</v>
      </c>
      <c r="BP41" s="64">
        <f>IFERROR(1/J41*(Y41/H41),"0")</f>
        <v>0.75000000000000011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4301011565</v>
      </c>
      <c r="D43" s="554">
        <v>4680115882539</v>
      </c>
      <c r="E43" s="555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47.999999999999993</v>
      </c>
      <c r="Y44" s="549">
        <f>IFERROR(Y41/H41,"0")+IFERROR(Y42/H42,"0")+IFERROR(Y43/H43,"0")</f>
        <v>48.000000000000007</v>
      </c>
      <c r="Z44" s="549">
        <f>IFERROR(IF(Z41="",0,Z41),"0")+IFERROR(IF(Z42="",0,Z42),"0")+IFERROR(IF(Z43="",0,Z43),"0")</f>
        <v>0.91104000000000007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518.4</v>
      </c>
      <c r="Y45" s="549">
        <f>IFERROR(SUM(Y41:Y43),"0")</f>
        <v>518.40000000000009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179.2</v>
      </c>
      <c r="Y52" s="548">
        <f t="shared" ref="Y52:Y57" si="0">IFERROR(IF(X52="",0,CEILING((X52/$H52),1)*$H52),"")</f>
        <v>179.2</v>
      </c>
      <c r="Z52" s="36">
        <f>IFERROR(IF(Y52=0,"",ROUNDUP(Y52/H52,0)*0.01898),"")</f>
        <v>0.30368000000000001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185.76</v>
      </c>
      <c r="BN52" s="64">
        <f t="shared" ref="BN52:BN57" si="2">IFERROR(Y52*I52/H52,"0")</f>
        <v>185.76</v>
      </c>
      <c r="BO52" s="64">
        <f t="shared" ref="BO52:BO57" si="3">IFERROR(1/J52*(X52/H52),"0")</f>
        <v>0.25</v>
      </c>
      <c r="BP52" s="64">
        <f t="shared" ref="BP52:BP57" si="4">IFERROR(1/J52*(Y52/H52),"0")</f>
        <v>0.25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259.2</v>
      </c>
      <c r="Y53" s="548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269.03999999999996</v>
      </c>
      <c r="BN53" s="64">
        <f t="shared" si="2"/>
        <v>269.04000000000002</v>
      </c>
      <c r="BO53" s="64">
        <f t="shared" si="3"/>
        <v>0.37499999999999994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40</v>
      </c>
      <c r="Y58" s="549">
        <f>IFERROR(Y52/H52,"0")+IFERROR(Y53/H53,"0")+IFERROR(Y54/H54,"0")+IFERROR(Y55/H55,"0")+IFERROR(Y56/H56,"0")+IFERROR(Y57/H57,"0")</f>
        <v>40</v>
      </c>
      <c r="Z58" s="549">
        <f>IFERROR(IF(Z52="",0,Z52),"0")+IFERROR(IF(Z53="",0,Z53),"0")+IFERROR(IF(Z54="",0,Z54),"0")+IFERROR(IF(Z55="",0,Z55),"0")+IFERROR(IF(Z56="",0,Z56),"0")+IFERROR(IF(Z57="",0,Z57),"0")</f>
        <v>0.7592000000000001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438.4</v>
      </c>
      <c r="Y59" s="549">
        <f>IFERROR(SUM(Y52:Y57),"0")</f>
        <v>438.40000000000003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259.2</v>
      </c>
      <c r="Y61" s="548">
        <f>IFERROR(IF(X61="",0,CEILING((X61/$H61),1)*$H61),"")</f>
        <v>259.20000000000005</v>
      </c>
      <c r="Z61" s="36">
        <f>IFERROR(IF(Y61=0,"",ROUNDUP(Y61/H61,0)*0.01898),"")</f>
        <v>0.45552000000000004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269.03999999999996</v>
      </c>
      <c r="BN61" s="64">
        <f>IFERROR(Y61*I61/H61,"0")</f>
        <v>269.04000000000002</v>
      </c>
      <c r="BO61" s="64">
        <f>IFERROR(1/J61*(X61/H61),"0")</f>
        <v>0.37499999999999994</v>
      </c>
      <c r="BP61" s="64">
        <f>IFERROR(1/J61*(Y61/H61),"0")</f>
        <v>0.37500000000000006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23.999999999999996</v>
      </c>
      <c r="Y64" s="549">
        <f>IFERROR(Y61/H61,"0")+IFERROR(Y62/H62,"0")+IFERROR(Y63/H63,"0")</f>
        <v>24.000000000000004</v>
      </c>
      <c r="Z64" s="549">
        <f>IFERROR(IF(Z61="",0,Z61),"0")+IFERROR(IF(Z62="",0,Z62),"0")+IFERROR(IF(Z63="",0,Z63),"0")</f>
        <v>0.45552000000000004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259.2</v>
      </c>
      <c r="Y65" s="549">
        <f>IFERROR(SUM(Y61:Y63),"0")</f>
        <v>259.20000000000005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124.8</v>
      </c>
      <c r="Y79" s="548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131.36000000000001</v>
      </c>
      <c r="BN79" s="64">
        <f>IFERROR(Y79*I79/H79,"0")</f>
        <v>131.36000000000001</v>
      </c>
      <c r="BO79" s="64">
        <f>IFERROR(1/J79*(X79/H79),"0")</f>
        <v>0.25</v>
      </c>
      <c r="BP79" s="64">
        <f>IFERROR(1/J79*(Y79/H79),"0")</f>
        <v>0.25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16</v>
      </c>
      <c r="Y81" s="549">
        <f>IFERROR(Y79/H79,"0")+IFERROR(Y80/H80,"0")</f>
        <v>16</v>
      </c>
      <c r="Z81" s="549">
        <f>IFERROR(IF(Z79="",0,Z79),"0")+IFERROR(IF(Z80="",0,Z80),"0")</f>
        <v>0.30368000000000001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124.8</v>
      </c>
      <c r="Y82" s="549">
        <f>IFERROR(SUM(Y79:Y80),"0")</f>
        <v>124.8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hidden="1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388.8</v>
      </c>
      <c r="Y92" s="548">
        <f>IFERROR(IF(X92="",0,CEILING((X92/$H92),1)*$H92),"")</f>
        <v>388.79999999999995</v>
      </c>
      <c r="Z92" s="36">
        <f>IFERROR(IF(Y92=0,"",ROUNDUP(Y92/H92,0)*0.01898),"")</f>
        <v>0.91104000000000007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412.512</v>
      </c>
      <c r="BN92" s="64">
        <f>IFERROR(Y92*I92/H92,"0")</f>
        <v>412.51199999999994</v>
      </c>
      <c r="BO92" s="64">
        <f>IFERROR(1/J92*(X92/H92),"0")</f>
        <v>0.75</v>
      </c>
      <c r="BP92" s="64">
        <f>IFERROR(1/J92*(Y92/H92),"0")</f>
        <v>0.75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75.599999999999994</v>
      </c>
      <c r="Y94" s="548">
        <f>IFERROR(IF(X94="",0,CEILING((X94/$H94),1)*$H94),"")</f>
        <v>75.600000000000009</v>
      </c>
      <c r="Z94" s="36">
        <f>IFERROR(IF(Y94=0,"",ROUNDUP(Y94/H94,0)*0.00651),"")</f>
        <v>0.18228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82.655999999999977</v>
      </c>
      <c r="BN94" s="64">
        <f>IFERROR(Y94*I94/H94,"0")</f>
        <v>82.656000000000006</v>
      </c>
      <c r="BO94" s="64">
        <f>IFERROR(1/J94*(X94/H94),"0")</f>
        <v>0.15384615384615383</v>
      </c>
      <c r="BP94" s="64">
        <f>IFERROR(1/J94*(Y94/H94),"0")</f>
        <v>0.15384615384615385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76</v>
      </c>
      <c r="Y96" s="549">
        <f>IFERROR(Y92/H92,"0")+IFERROR(Y93/H93,"0")+IFERROR(Y94/H94,"0")+IFERROR(Y95/H95,"0")</f>
        <v>76</v>
      </c>
      <c r="Z96" s="549">
        <f>IFERROR(IF(Z92="",0,Z92),"0")+IFERROR(IF(Z93="",0,Z93),"0")+IFERROR(IF(Z94="",0,Z94),"0")+IFERROR(IF(Z95="",0,Z95),"0")</f>
        <v>1.0933200000000001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464.4</v>
      </c>
      <c r="Y97" s="549">
        <f>IFERROR(SUM(Y92:Y95),"0")</f>
        <v>464.4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172.8</v>
      </c>
      <c r="Y100" s="548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179.36</v>
      </c>
      <c r="BN100" s="64">
        <f>IFERROR(Y100*I100/H100,"0")</f>
        <v>179.36</v>
      </c>
      <c r="BO100" s="64">
        <f>IFERROR(1/J100*(X100/H100),"0")</f>
        <v>0.25</v>
      </c>
      <c r="BP100" s="64">
        <f>IFERROR(1/J100*(Y100/H100),"0")</f>
        <v>0.25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16</v>
      </c>
      <c r="Y105" s="549">
        <f>IFERROR(Y100/H100,"0")+IFERROR(Y101/H101,"0")+IFERROR(Y102/H102,"0")+IFERROR(Y103/H103,"0")+IFERROR(Y104/H104,"0")</f>
        <v>16</v>
      </c>
      <c r="Z105" s="549">
        <f>IFERROR(IF(Z100="",0,Z100),"0")+IFERROR(IF(Z101="",0,Z101),"0")+IFERROR(IF(Z102="",0,Z102),"0")+IFERROR(IF(Z103="",0,Z103),"0")+IFERROR(IF(Z104="",0,Z104),"0")</f>
        <v>0.30368000000000001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172.8</v>
      </c>
      <c r="Y106" s="549">
        <f>IFERROR(SUM(Y100:Y104),"0")</f>
        <v>172.8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583.20000000000005</v>
      </c>
      <c r="Y115" s="548">
        <f>IFERROR(IF(X115="",0,CEILING((X115/$H115),1)*$H115),"")</f>
        <v>583.19999999999993</v>
      </c>
      <c r="Z115" s="36">
        <f>IFERROR(IF(Y115=0,"",ROUNDUP(Y115/H115,0)*0.01898),"")</f>
        <v>1.36656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618.33600000000001</v>
      </c>
      <c r="BN115" s="64">
        <f>IFERROR(Y115*I115/H115,"0")</f>
        <v>618.3359999999999</v>
      </c>
      <c r="BO115" s="64">
        <f>IFERROR(1/J115*(X115/H115),"0")</f>
        <v>1.1250000000000002</v>
      </c>
      <c r="BP115" s="64">
        <f>IFERROR(1/J115*(Y115/H115),"0")</f>
        <v>1.125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97.2</v>
      </c>
      <c r="Y117" s="548">
        <f>IFERROR(IF(X117="",0,CEILING((X117/$H117),1)*$H117),"")</f>
        <v>97.2</v>
      </c>
      <c r="Z117" s="36">
        <f>IFERROR(IF(Y117=0,"",ROUNDUP(Y117/H117,0)*0.00651),"")</f>
        <v>0.23436000000000001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106.27199999999999</v>
      </c>
      <c r="BN117" s="64">
        <f>IFERROR(Y117*I117/H117,"0")</f>
        <v>106.27199999999999</v>
      </c>
      <c r="BO117" s="64">
        <f>IFERROR(1/J117*(X117/H117),"0")</f>
        <v>0.19780219780219782</v>
      </c>
      <c r="BP117" s="64">
        <f>IFERROR(1/J117*(Y117/H117),"0")</f>
        <v>0.19780219780219782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108.00000000000001</v>
      </c>
      <c r="Y119" s="549">
        <f>IFERROR(Y115/H115,"0")+IFERROR(Y116/H116,"0")+IFERROR(Y117/H117,"0")+IFERROR(Y118/H118,"0")</f>
        <v>108</v>
      </c>
      <c r="Z119" s="549">
        <f>IFERROR(IF(Z115="",0,Z115),"0")+IFERROR(IF(Z116="",0,Z116),"0")+IFERROR(IF(Z117="",0,Z117),"0")+IFERROR(IF(Z118="",0,Z118),"0")</f>
        <v>1.6009199999999999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680.40000000000009</v>
      </c>
      <c r="Y120" s="549">
        <f>IFERROR(SUM(Y115:Y118),"0")</f>
        <v>680.4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50.4</v>
      </c>
      <c r="Y167" s="548">
        <f t="shared" ref="Y167:Y178" si="10">IFERROR(IF(X167="",0,CEILING((X167/$H167),1)*$H167),"")</f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53.4</v>
      </c>
      <c r="BN167" s="64">
        <f t="shared" ref="BN167:BN178" si="12">IFERROR(Y167*I167/H167,"0")</f>
        <v>53.400000000000006</v>
      </c>
      <c r="BO167" s="64">
        <f t="shared" ref="BO167:BO178" si="13">IFERROR(1/J167*(X167/H167),"0")</f>
        <v>9.0909090909090912E-2</v>
      </c>
      <c r="BP167" s="64">
        <f t="shared" ref="BP167:BP178" si="14">IFERROR(1/J167*(Y167/H167),"0")</f>
        <v>9.0909090909090912E-2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75.599999999999994</v>
      </c>
      <c r="Y171" s="548">
        <f t="shared" si="10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80.279999999999987</v>
      </c>
      <c r="BN171" s="64">
        <f t="shared" si="12"/>
        <v>80.28</v>
      </c>
      <c r="BO171" s="64">
        <f t="shared" si="13"/>
        <v>0.15384615384615383</v>
      </c>
      <c r="BP171" s="64">
        <f t="shared" si="14"/>
        <v>0.15384615384615385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47.999999999999993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48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0.28895999999999999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126</v>
      </c>
      <c r="Y180" s="549">
        <f>IFERROR(SUM(Y167:Y178),"0")</f>
        <v>126.00000000000001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1183.2</v>
      </c>
      <c r="Y216" s="548">
        <f t="shared" si="20"/>
        <v>1183.1999999999998</v>
      </c>
      <c r="Z216" s="36">
        <f>IFERROR(IF(Y216=0,"",ROUNDUP(Y216/H216,0)*0.01898),"")</f>
        <v>2.58128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1250.3840000000002</v>
      </c>
      <c r="BN216" s="64">
        <f t="shared" si="22"/>
        <v>1250.384</v>
      </c>
      <c r="BO216" s="64">
        <f t="shared" si="23"/>
        <v>2.1250000000000004</v>
      </c>
      <c r="BP216" s="64">
        <f t="shared" si="24"/>
        <v>2.125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230.4</v>
      </c>
      <c r="Y217" s="548">
        <f t="shared" si="20"/>
        <v>230.39999999999998</v>
      </c>
      <c r="Z217" s="36">
        <f t="shared" ref="Z217:Z222" si="25">IFERROR(IF(Y217=0,"",ROUNDUP(Y217/H217,0)*0.00651),"")</f>
        <v>0.62495999999999996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256.32</v>
      </c>
      <c r="BN217" s="64">
        <f t="shared" si="22"/>
        <v>256.31999999999994</v>
      </c>
      <c r="BO217" s="64">
        <f t="shared" si="23"/>
        <v>0.52747252747252749</v>
      </c>
      <c r="BP217" s="64">
        <f t="shared" si="24"/>
        <v>0.52747252747252749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115.2</v>
      </c>
      <c r="Y219" s="548">
        <f t="shared" si="20"/>
        <v>115.19999999999999</v>
      </c>
      <c r="Z219" s="36">
        <f t="shared" si="25"/>
        <v>0.31247999999999998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127.29600000000001</v>
      </c>
      <c r="BN219" s="64">
        <f t="shared" si="22"/>
        <v>127.29600000000001</v>
      </c>
      <c r="BO219" s="64">
        <f t="shared" si="23"/>
        <v>0.26373626373626374</v>
      </c>
      <c r="BP219" s="64">
        <f t="shared" si="24"/>
        <v>0.26373626373626374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172.8</v>
      </c>
      <c r="Y222" s="548">
        <f t="shared" si="20"/>
        <v>172.79999999999998</v>
      </c>
      <c r="Z222" s="36">
        <f t="shared" si="25"/>
        <v>0.46872000000000003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191.37600000000003</v>
      </c>
      <c r="BN222" s="64">
        <f t="shared" si="22"/>
        <v>191.37599999999998</v>
      </c>
      <c r="BO222" s="64">
        <f t="shared" si="23"/>
        <v>0.3956043956043957</v>
      </c>
      <c r="BP222" s="64">
        <f t="shared" si="24"/>
        <v>0.39560439560439564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352</v>
      </c>
      <c r="Y223" s="549">
        <f>IFERROR(Y214/H214,"0")+IFERROR(Y215/H215,"0")+IFERROR(Y216/H216,"0")+IFERROR(Y217/H217,"0")+IFERROR(Y218/H218,"0")+IFERROR(Y219/H219,"0")+IFERROR(Y220/H220,"0")+IFERROR(Y221/H221,"0")+IFERROR(Y222/H222,"0")</f>
        <v>352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3.9874400000000003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1701.6000000000001</v>
      </c>
      <c r="Y224" s="549">
        <f>IFERROR(SUM(Y214:Y222),"0")</f>
        <v>1701.6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4301012196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4301011824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4301012195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4301011722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115.2</v>
      </c>
      <c r="Y279" s="548">
        <f>IFERROR(IF(X279="",0,CEILING((X279/$H279),1)*$H279),"")</f>
        <v>115.19999999999999</v>
      </c>
      <c r="Z279" s="36">
        <f>IFERROR(IF(Y279=0,"",ROUNDUP(Y279/H279,0)*0.00651),"")</f>
        <v>0.31247999999999998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127.29600000000001</v>
      </c>
      <c r="BN279" s="64">
        <f>IFERROR(Y279*I279/H279,"0")</f>
        <v>127.29600000000001</v>
      </c>
      <c r="BO279" s="64">
        <f>IFERROR(1/J279*(X279/H279),"0")</f>
        <v>0.26373626373626374</v>
      </c>
      <c r="BP279" s="64">
        <f>IFERROR(1/J279*(Y279/H279),"0")</f>
        <v>0.26373626373626374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115.2</v>
      </c>
      <c r="Y280" s="548">
        <f>IFERROR(IF(X280="",0,CEILING((X280/$H280),1)*$H280),"")</f>
        <v>115.19999999999999</v>
      </c>
      <c r="Z280" s="36">
        <f>IFERROR(IF(Y280=0,"",ROUNDUP(Y280/H280,0)*0.00651),"")</f>
        <v>0.31247999999999998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123.84</v>
      </c>
      <c r="BN280" s="64">
        <f>IFERROR(Y280*I280/H280,"0")</f>
        <v>123.83999999999999</v>
      </c>
      <c r="BO280" s="64">
        <f>IFERROR(1/J280*(X280/H280),"0")</f>
        <v>0.26373626373626374</v>
      </c>
      <c r="BP280" s="64">
        <f>IFERROR(1/J280*(Y280/H280),"0")</f>
        <v>0.26373626373626374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96</v>
      </c>
      <c r="Y281" s="549">
        <f>IFERROR(Y278/H278,"0")+IFERROR(Y279/H279,"0")+IFERROR(Y280/H280,"0")</f>
        <v>96</v>
      </c>
      <c r="Z281" s="549">
        <f>IFERROR(IF(Z278="",0,Z278),"0")+IFERROR(IF(Z279="",0,Z279),"0")+IFERROR(IF(Z280="",0,Z280),"0")</f>
        <v>0.62495999999999996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230.4</v>
      </c>
      <c r="Y282" s="549">
        <f>IFERROR(SUM(Y278:Y280),"0")</f>
        <v>230.39999999999998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369.6</v>
      </c>
      <c r="Y320" s="548">
        <f>IFERROR(IF(X320="",0,CEILING((X320/$H320),1)*$H320),"")</f>
        <v>369.6</v>
      </c>
      <c r="Z320" s="36">
        <f>IFERROR(IF(Y320=0,"",ROUNDUP(Y320/H320,0)*0.01898),"")</f>
        <v>0.83511999999999997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391.33600000000001</v>
      </c>
      <c r="BN320" s="64">
        <f>IFERROR(Y320*I320/H320,"0")</f>
        <v>391.33600000000001</v>
      </c>
      <c r="BO320" s="64">
        <f>IFERROR(1/J320*(X320/H320),"0")</f>
        <v>0.6875</v>
      </c>
      <c r="BP320" s="64">
        <f>IFERROR(1/J320*(Y320/H320),"0")</f>
        <v>0.6875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374.4</v>
      </c>
      <c r="Y321" s="548">
        <f>IFERROR(IF(X321="",0,CEILING((X321/$H321),1)*$H321),"")</f>
        <v>374.4</v>
      </c>
      <c r="Z321" s="36">
        <f>IFERROR(IF(Y321=0,"",ROUNDUP(Y321/H321,0)*0.01898),"")</f>
        <v>0.91104000000000007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398.11200000000002</v>
      </c>
      <c r="BN321" s="64">
        <f>IFERROR(Y321*I321/H321,"0")</f>
        <v>398.11200000000002</v>
      </c>
      <c r="BO321" s="64">
        <f>IFERROR(1/J321*(X321/H321),"0")</f>
        <v>0.75</v>
      </c>
      <c r="BP321" s="64">
        <f>IFERROR(1/J321*(Y321/H321),"0")</f>
        <v>0.75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201.6</v>
      </c>
      <c r="Y322" s="548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213.45599999999999</v>
      </c>
      <c r="BN322" s="64">
        <f>IFERROR(Y322*I322/H322,"0")</f>
        <v>213.45600000000002</v>
      </c>
      <c r="BO322" s="64">
        <f>IFERROR(1/J322*(X322/H322),"0")</f>
        <v>0.375</v>
      </c>
      <c r="BP322" s="64">
        <f>IFERROR(1/J322*(Y322/H322),"0")</f>
        <v>0.375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116</v>
      </c>
      <c r="Y323" s="549">
        <f>IFERROR(Y320/H320,"0")+IFERROR(Y321/H321,"0")+IFERROR(Y322/H322,"0")</f>
        <v>116</v>
      </c>
      <c r="Z323" s="549">
        <f>IFERROR(IF(Z320="",0,Z320),"0")+IFERROR(IF(Z321="",0,Z321),"0")+IFERROR(IF(Z322="",0,Z322),"0")</f>
        <v>2.2016800000000001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945.6</v>
      </c>
      <c r="Y324" s="549">
        <f>IFERROR(SUM(Y320:Y322),"0")</f>
        <v>945.6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hidden="1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ref="Y348:Y354" si="36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0</v>
      </c>
      <c r="BN348" s="64">
        <f t="shared" ref="BN348:BN354" si="38">IFERROR(Y348*I348/H348,"0")</f>
        <v>0</v>
      </c>
      <c r="BO348" s="64">
        <f t="shared" ref="BO348:BO354" si="39">IFERROR(1/J348*(X348/H348),"0")</f>
        <v>0</v>
      </c>
      <c r="BP348" s="64">
        <f t="shared" ref="BP348:BP354" si="40">IFERROR(1/J348*(Y348/H348),"0")</f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360</v>
      </c>
      <c r="Y349" s="548">
        <f t="shared" si="36"/>
        <v>360</v>
      </c>
      <c r="Z349" s="36">
        <f>IFERROR(IF(Y349=0,"",ROUNDUP(Y349/H349,0)*0.02175),"")</f>
        <v>0.52200000000000002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371.28</v>
      </c>
      <c r="BN349" s="64">
        <f t="shared" si="38"/>
        <v>371.28</v>
      </c>
      <c r="BO349" s="64">
        <f t="shared" si="39"/>
        <v>0.5</v>
      </c>
      <c r="BP349" s="64">
        <f t="shared" si="40"/>
        <v>0.5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4301012215</v>
      </c>
      <c r="D350" s="554">
        <v>4680115887046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7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5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135</v>
      </c>
      <c r="Y351" s="548">
        <f t="shared" si="36"/>
        <v>135</v>
      </c>
      <c r="Z351" s="36">
        <f>IFERROR(IF(Y351=0,"",ROUNDUP(Y351/H351,0)*0.02175),"")</f>
        <v>0.19574999999999998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139.23000000000002</v>
      </c>
      <c r="BN351" s="64">
        <f t="shared" si="38"/>
        <v>139.23000000000002</v>
      </c>
      <c r="BO351" s="64">
        <f t="shared" si="39"/>
        <v>0.1875</v>
      </c>
      <c r="BP351" s="64">
        <f t="shared" si="40"/>
        <v>0.1875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33</v>
      </c>
      <c r="Y355" s="549">
        <f>IFERROR(Y348/H348,"0")+IFERROR(Y349/H349,"0")+IFERROR(Y350/H350,"0")+IFERROR(Y351/H351,"0")+IFERROR(Y352/H352,"0")+IFERROR(Y353/H353,"0")+IFERROR(Y354/H354,"0")</f>
        <v>33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0.71775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495</v>
      </c>
      <c r="Y356" s="549">
        <f>IFERROR(SUM(Y348:Y354),"0")</f>
        <v>495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hidden="1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0</v>
      </c>
      <c r="Y360" s="549">
        <f>IFERROR(Y358/H358,"0")+IFERROR(Y359/H359,"0")</f>
        <v>0</v>
      </c>
      <c r="Z360" s="549">
        <f>IFERROR(IF(Z358="",0,Z358),"0")+IFERROR(IF(Z359="",0,Z359),"0")</f>
        <v>0</v>
      </c>
      <c r="AA360" s="550"/>
      <c r="AB360" s="550"/>
      <c r="AC360" s="550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0</v>
      </c>
      <c r="Y361" s="549">
        <f>IFERROR(SUM(Y358:Y359),"0")</f>
        <v>0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216</v>
      </c>
      <c r="Y368" s="548">
        <f>IFERROR(IF(X368="",0,CEILING((X368/$H368),1)*$H368),"")</f>
        <v>216</v>
      </c>
      <c r="Z368" s="36">
        <f>IFERROR(IF(Y368=0,"",ROUNDUP(Y368/H368,0)*0.01898),"")</f>
        <v>0.45552000000000004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227.85599999999997</v>
      </c>
      <c r="BN368" s="64">
        <f>IFERROR(Y368*I368/H368,"0")</f>
        <v>227.85599999999997</v>
      </c>
      <c r="BO368" s="64">
        <f>IFERROR(1/J368*(X368/H368),"0")</f>
        <v>0.375</v>
      </c>
      <c r="BP368" s="64">
        <f>IFERROR(1/J368*(Y368/H368),"0")</f>
        <v>0.375</v>
      </c>
    </row>
    <row r="369" spans="1:68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24</v>
      </c>
      <c r="Y369" s="549">
        <f>IFERROR(Y368/H368,"0")</f>
        <v>24</v>
      </c>
      <c r="Z369" s="549">
        <f>IFERROR(IF(Z368="",0,Z368),"0")</f>
        <v>0.45552000000000004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216</v>
      </c>
      <c r="Y370" s="549">
        <f>IFERROR(SUM(Y368:Y368),"0")</f>
        <v>216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240</v>
      </c>
      <c r="Y373" s="548">
        <f>IFERROR(IF(X373="",0,CEILING((X373/$H373),1)*$H373),"")</f>
        <v>240</v>
      </c>
      <c r="Z373" s="36">
        <f>IFERROR(IF(Y373=0,"",ROUNDUP(Y373/H373,0)*0.01898),"")</f>
        <v>0.37959999999999999</v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248.20000000000002</v>
      </c>
      <c r="BN373" s="64">
        <f>IFERROR(Y373*I373/H373,"0")</f>
        <v>248.20000000000002</v>
      </c>
      <c r="BO373" s="64">
        <f>IFERROR(1/J373*(X373/H373),"0")</f>
        <v>0.3125</v>
      </c>
      <c r="BP373" s="64">
        <f>IFERROR(1/J373*(Y373/H373),"0")</f>
        <v>0.3125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20</v>
      </c>
      <c r="Y375" s="549">
        <f>IFERROR(Y373/H373,"0")+IFERROR(Y374/H374,"0")</f>
        <v>20</v>
      </c>
      <c r="Z375" s="549">
        <f>IFERROR(IF(Z373="",0,Z373),"0")+IFERROR(IF(Z374="",0,Z374),"0")</f>
        <v>0.37959999999999999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240</v>
      </c>
      <c r="Y376" s="549">
        <f>IFERROR(SUM(Y373:Y374),"0")</f>
        <v>240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4301031457</v>
      </c>
      <c r="D378" s="554">
        <v>4607091384802</v>
      </c>
      <c r="E378" s="555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504</v>
      </c>
      <c r="Y383" s="548">
        <f>IFERROR(IF(X383="",0,CEILING((X383/$H383),1)*$H383),"")</f>
        <v>504</v>
      </c>
      <c r="Z383" s="36">
        <f>IFERROR(IF(Y383=0,"",ROUNDUP(Y383/H383,0)*0.01898),"")</f>
        <v>1.06288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531.66399999999999</v>
      </c>
      <c r="BN383" s="64">
        <f>IFERROR(Y383*I383/H383,"0")</f>
        <v>531.66399999999999</v>
      </c>
      <c r="BO383" s="64">
        <f>IFERROR(1/J383*(X383/H383),"0")</f>
        <v>0.875</v>
      </c>
      <c r="BP383" s="64">
        <f>IFERROR(1/J383*(Y383/H383),"0")</f>
        <v>0.875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4301052069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115.2</v>
      </c>
      <c r="Y385" s="548">
        <f>IFERROR(IF(X385="",0,CEILING((X385/$H385),1)*$H385),"")</f>
        <v>115.19999999999999</v>
      </c>
      <c r="Z385" s="36">
        <f>IFERROR(IF(Y385=0,"",ROUNDUP(Y385/H385,0)*0.00651),"")</f>
        <v>0.31247999999999998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127.87200000000001</v>
      </c>
      <c r="BN385" s="64">
        <f>IFERROR(Y385*I385/H385,"0")</f>
        <v>127.87199999999999</v>
      </c>
      <c r="BO385" s="64">
        <f>IFERROR(1/J385*(X385/H385),"0")</f>
        <v>0.26373626373626374</v>
      </c>
      <c r="BP385" s="64">
        <f>IFERROR(1/J385*(Y385/H385),"0")</f>
        <v>0.26373626373626374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104</v>
      </c>
      <c r="Y386" s="549">
        <f>IFERROR(Y383/H383,"0")+IFERROR(Y384/H384,"0")+IFERROR(Y385/H385,"0")</f>
        <v>104</v>
      </c>
      <c r="Z386" s="549">
        <f>IFERROR(IF(Z383="",0,Z383),"0")+IFERROR(IF(Z384="",0,Z384),"0")+IFERROR(IF(Z385="",0,Z385),"0")</f>
        <v>1.3753600000000001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619.20000000000005</v>
      </c>
      <c r="Y387" s="549">
        <f>IFERROR(SUM(Y383:Y385),"0")</f>
        <v>619.20000000000005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4301012145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211.2</v>
      </c>
      <c r="Y431" s="548">
        <f t="shared" si="47"/>
        <v>211.20000000000002</v>
      </c>
      <c r="Z431" s="36">
        <f t="shared" si="48"/>
        <v>0.47839999999999999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225.19999999999996</v>
      </c>
      <c r="BN431" s="64">
        <f t="shared" si="50"/>
        <v>225.2</v>
      </c>
      <c r="BO431" s="64">
        <f t="shared" si="51"/>
        <v>0.38461538461538458</v>
      </c>
      <c r="BP431" s="64">
        <f t="shared" si="52"/>
        <v>0.38461538461538464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39.999999999999993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0.47839999999999999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211.2</v>
      </c>
      <c r="Y440" s="549">
        <f>IFERROR(SUM(Y427:Y438),"0")</f>
        <v>211.20000000000002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hidden="1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0</v>
      </c>
      <c r="Y445" s="549">
        <f>IFERROR(Y442/H442,"0")+IFERROR(Y443/H443,"0")+IFERROR(Y444/H444,"0")</f>
        <v>0</v>
      </c>
      <c r="Z445" s="549">
        <f>IFERROR(IF(Z442="",0,Z442),"0")+IFERROR(IF(Z443="",0,Z443),"0")+IFERROR(IF(Z444="",0,Z444),"0")</f>
        <v>0</v>
      </c>
      <c r="AA445" s="550"/>
      <c r="AB445" s="550"/>
      <c r="AC445" s="550"/>
    </row>
    <row r="446" spans="1:68" hidden="1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0</v>
      </c>
      <c r="Y446" s="549">
        <f>IFERROR(SUM(Y442:Y444),"0")</f>
        <v>0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hidden="1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84.48</v>
      </c>
      <c r="Y449" s="548">
        <f t="shared" si="53"/>
        <v>84.48</v>
      </c>
      <c r="Z449" s="36">
        <f>IFERROR(IF(Y449=0,"",ROUNDUP(Y449/H449,0)*0.01196),"")</f>
        <v>0.19136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90.08</v>
      </c>
      <c r="BN449" s="64">
        <f t="shared" si="55"/>
        <v>90.08</v>
      </c>
      <c r="BO449" s="64">
        <f t="shared" si="56"/>
        <v>0.15384615384615385</v>
      </c>
      <c r="BP449" s="64">
        <f t="shared" si="57"/>
        <v>0.15384615384615385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84.48</v>
      </c>
      <c r="Y450" s="548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90.08</v>
      </c>
      <c r="BN450" s="64">
        <f t="shared" si="55"/>
        <v>90.08</v>
      </c>
      <c r="BO450" s="64">
        <f t="shared" si="56"/>
        <v>0.15384615384615385</v>
      </c>
      <c r="BP450" s="64">
        <f t="shared" si="57"/>
        <v>0.15384615384615385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32</v>
      </c>
      <c r="Y454" s="549">
        <f>IFERROR(Y448/H448,"0")+IFERROR(Y449/H449,"0")+IFERROR(Y450/H450,"0")+IFERROR(Y451/H451,"0")+IFERROR(Y452/H452,"0")+IFERROR(Y453/H453,"0")</f>
        <v>32</v>
      </c>
      <c r="Z454" s="549">
        <f>IFERROR(IF(Z448="",0,Z448),"0")+IFERROR(IF(Z449="",0,Z449),"0")+IFERROR(IF(Z450="",0,Z450),"0")+IFERROR(IF(Z451="",0,Z451),"0")+IFERROR(IF(Z452="",0,Z452),"0")+IFERROR(IF(Z453="",0,Z453),"0")</f>
        <v>0.38272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168.96</v>
      </c>
      <c r="Y455" s="549">
        <f>IFERROR(SUM(Y448:Y453),"0")</f>
        <v>168.96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7612.36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7612.36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8056.9740000000002</v>
      </c>
      <c r="Y493" s="549">
        <f>IFERROR(SUM(BN22:BN489),"0")</f>
        <v>8056.9740000000002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14</v>
      </c>
      <c r="Y494" s="38">
        <f>ROUNDUP(SUM(BP22:BP489),0)</f>
        <v>14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8406.9740000000002</v>
      </c>
      <c r="Y495" s="549">
        <f>GrossWeightTotalR+PalletQtyTotalR*25</f>
        <v>8406.9740000000002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1193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1193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16.319750000000003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518.40000000000009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822.40000000000009</v>
      </c>
      <c r="E502" s="46">
        <f>IFERROR(Y85*1,"0")+IFERROR(Y86*1,"0")+IFERROR(Y87*1,"0")+IFERROR(Y88*1,"0")+IFERROR(Y92*1,"0")+IFERROR(Y93*1,"0")+IFERROR(Y94*1,"0")+IFERROR(Y95*1,"0")</f>
        <v>464.4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853.2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126.00000000000001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1701.6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230.39999999999998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945.6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711</v>
      </c>
      <c r="T502" s="46">
        <f>IFERROR(Y373*1,"0")+IFERROR(Y374*1,"0")+IFERROR(Y378*1,"0")+IFERROR(Y379*1,"0")+IFERROR(Y383*1,"0")+IFERROR(Y384*1,"0")+IFERROR(Y385*1,"0")</f>
        <v>859.2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380.16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3,20"/>
        <filter val="1 193,00"/>
        <filter val="1 701,60"/>
        <filter val="104,00"/>
        <filter val="108,00"/>
        <filter val="115,20"/>
        <filter val="116,00"/>
        <filter val="124,80"/>
        <filter val="126,00"/>
        <filter val="135,00"/>
        <filter val="14"/>
        <filter val="16,00"/>
        <filter val="168,96"/>
        <filter val="172,80"/>
        <filter val="179,20"/>
        <filter val="20,00"/>
        <filter val="201,60"/>
        <filter val="211,20"/>
        <filter val="216,00"/>
        <filter val="230,40"/>
        <filter val="24,00"/>
        <filter val="240,00"/>
        <filter val="259,20"/>
        <filter val="32,00"/>
        <filter val="33,00"/>
        <filter val="352,00"/>
        <filter val="360,00"/>
        <filter val="369,60"/>
        <filter val="374,40"/>
        <filter val="388,80"/>
        <filter val="40,00"/>
        <filter val="438,40"/>
        <filter val="464,40"/>
        <filter val="48,00"/>
        <filter val="495,00"/>
        <filter val="50,40"/>
        <filter val="504,00"/>
        <filter val="518,40"/>
        <filter val="583,20"/>
        <filter val="619,20"/>
        <filter val="680,40"/>
        <filter val="7 612,36"/>
        <filter val="75,60"/>
        <filter val="76,00"/>
        <filter val="8 056,97"/>
        <filter val="8 406,97"/>
        <filter val="84,48"/>
        <filter val="945,60"/>
        <filter val="96,00"/>
        <filter val="97,2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2025-12-24T09:25:22Z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