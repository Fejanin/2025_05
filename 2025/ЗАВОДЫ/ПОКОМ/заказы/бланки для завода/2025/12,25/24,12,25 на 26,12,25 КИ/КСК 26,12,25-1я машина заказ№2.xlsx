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5EEE7EB-7DFB-446F-91C2-1AD7AE8F51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BO475" i="1"/>
  <c r="BM475" i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Y380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Y25" i="1" s="1"/>
  <c r="P22" i="1"/>
  <c r="H10" i="1"/>
  <c r="A9" i="1"/>
  <c r="F10" i="1" s="1"/>
  <c r="D7" i="1"/>
  <c r="Q6" i="1"/>
  <c r="P2" i="1"/>
  <c r="BP176" i="1" l="1"/>
  <c r="BN176" i="1"/>
  <c r="Z176" i="1"/>
  <c r="BP207" i="1"/>
  <c r="BN207" i="1"/>
  <c r="Z207" i="1"/>
  <c r="BP234" i="1"/>
  <c r="BN234" i="1"/>
  <c r="Z234" i="1"/>
  <c r="BP263" i="1"/>
  <c r="BN263" i="1"/>
  <c r="Z263" i="1"/>
  <c r="BP305" i="1"/>
  <c r="BN305" i="1"/>
  <c r="Z305" i="1"/>
  <c r="BP333" i="1"/>
  <c r="BN333" i="1"/>
  <c r="Z333" i="1"/>
  <c r="Z336" i="1" s="1"/>
  <c r="BP364" i="1"/>
  <c r="BN364" i="1"/>
  <c r="Z364" i="1"/>
  <c r="BP399" i="1"/>
  <c r="BN399" i="1"/>
  <c r="Z399" i="1"/>
  <c r="BP432" i="1"/>
  <c r="BN432" i="1"/>
  <c r="Z432" i="1"/>
  <c r="BP452" i="1"/>
  <c r="BN452" i="1"/>
  <c r="Z452" i="1"/>
  <c r="X494" i="1"/>
  <c r="Z23" i="1"/>
  <c r="BN23" i="1"/>
  <c r="X493" i="1"/>
  <c r="Y33" i="1"/>
  <c r="Z35" i="1"/>
  <c r="Z36" i="1" s="1"/>
  <c r="BN35" i="1"/>
  <c r="BP35" i="1"/>
  <c r="Y36" i="1"/>
  <c r="Z41" i="1"/>
  <c r="BN41" i="1"/>
  <c r="Z56" i="1"/>
  <c r="BN56" i="1"/>
  <c r="Z74" i="1"/>
  <c r="BN74" i="1"/>
  <c r="Z93" i="1"/>
  <c r="BN93" i="1"/>
  <c r="Z104" i="1"/>
  <c r="BN104" i="1"/>
  <c r="Y112" i="1"/>
  <c r="Z118" i="1"/>
  <c r="BN118" i="1"/>
  <c r="Z144" i="1"/>
  <c r="BN144" i="1"/>
  <c r="BP168" i="1"/>
  <c r="BN168" i="1"/>
  <c r="Z168" i="1"/>
  <c r="Y190" i="1"/>
  <c r="Y189" i="1"/>
  <c r="BP188" i="1"/>
  <c r="BN188" i="1"/>
  <c r="Z188" i="1"/>
  <c r="Z189" i="1" s="1"/>
  <c r="BP193" i="1"/>
  <c r="BN193" i="1"/>
  <c r="Z193" i="1"/>
  <c r="BP219" i="1"/>
  <c r="BN219" i="1"/>
  <c r="Z219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9" i="1"/>
  <c r="BN279" i="1"/>
  <c r="Z279" i="1"/>
  <c r="BP315" i="1"/>
  <c r="BN315" i="1"/>
  <c r="Z315" i="1"/>
  <c r="BP350" i="1"/>
  <c r="BN350" i="1"/>
  <c r="Z350" i="1"/>
  <c r="BP391" i="1"/>
  <c r="BN391" i="1"/>
  <c r="Z391" i="1"/>
  <c r="Y422" i="1"/>
  <c r="BP421" i="1"/>
  <c r="BN421" i="1"/>
  <c r="Z421" i="1"/>
  <c r="Z422" i="1" s="1"/>
  <c r="BP442" i="1"/>
  <c r="BN442" i="1"/>
  <c r="Z442" i="1"/>
  <c r="BP476" i="1"/>
  <c r="BN476" i="1"/>
  <c r="Z476" i="1"/>
  <c r="Y482" i="1"/>
  <c r="Y481" i="1"/>
  <c r="BP480" i="1"/>
  <c r="BN480" i="1"/>
  <c r="Z480" i="1"/>
  <c r="Z481" i="1" s="1"/>
  <c r="BP484" i="1"/>
  <c r="BN484" i="1"/>
  <c r="Z484" i="1"/>
  <c r="Y154" i="1"/>
  <c r="BP286" i="1"/>
  <c r="BN286" i="1"/>
  <c r="BP299" i="1"/>
  <c r="BN299" i="1"/>
  <c r="Z299" i="1"/>
  <c r="Y317" i="1"/>
  <c r="BP313" i="1"/>
  <c r="BN313" i="1"/>
  <c r="Z313" i="1"/>
  <c r="BP329" i="1"/>
  <c r="BN329" i="1"/>
  <c r="Z329" i="1"/>
  <c r="Y356" i="1"/>
  <c r="BP348" i="1"/>
  <c r="BN348" i="1"/>
  <c r="Z348" i="1"/>
  <c r="BP358" i="1"/>
  <c r="BN358" i="1"/>
  <c r="Z358" i="1"/>
  <c r="BP385" i="1"/>
  <c r="BN385" i="1"/>
  <c r="Z385" i="1"/>
  <c r="BP397" i="1"/>
  <c r="BN397" i="1"/>
  <c r="Z397" i="1"/>
  <c r="BP416" i="1"/>
  <c r="BN416" i="1"/>
  <c r="Z416" i="1"/>
  <c r="BP430" i="1"/>
  <c r="BN430" i="1"/>
  <c r="Z430" i="1"/>
  <c r="BP438" i="1"/>
  <c r="BN438" i="1"/>
  <c r="Z438" i="1"/>
  <c r="BP450" i="1"/>
  <c r="BN450" i="1"/>
  <c r="Z450" i="1"/>
  <c r="Y472" i="1"/>
  <c r="BP470" i="1"/>
  <c r="BN470" i="1"/>
  <c r="Z470" i="1"/>
  <c r="X495" i="1"/>
  <c r="X496" i="1" s="1"/>
  <c r="Z27" i="1"/>
  <c r="BN27" i="1"/>
  <c r="BP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3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3" i="1"/>
  <c r="Z148" i="1"/>
  <c r="BN148" i="1"/>
  <c r="BP148" i="1"/>
  <c r="Z152" i="1"/>
  <c r="BN152" i="1"/>
  <c r="I503" i="1"/>
  <c r="Y180" i="1"/>
  <c r="Z170" i="1"/>
  <c r="BN170" i="1"/>
  <c r="Z174" i="1"/>
  <c r="BN174" i="1"/>
  <c r="Z178" i="1"/>
  <c r="BN178" i="1"/>
  <c r="Y186" i="1"/>
  <c r="Z184" i="1"/>
  <c r="BN184" i="1"/>
  <c r="Y195" i="1"/>
  <c r="Z199" i="1"/>
  <c r="BN199" i="1"/>
  <c r="Y211" i="1"/>
  <c r="Z205" i="1"/>
  <c r="BN205" i="1"/>
  <c r="Z209" i="1"/>
  <c r="BN209" i="1"/>
  <c r="Y223" i="1"/>
  <c r="Z217" i="1"/>
  <c r="BN217" i="1"/>
  <c r="Z221" i="1"/>
  <c r="BN221" i="1"/>
  <c r="Z232" i="1"/>
  <c r="BN232" i="1"/>
  <c r="Z236" i="1"/>
  <c r="BN236" i="1"/>
  <c r="Z240" i="1"/>
  <c r="BN240" i="1"/>
  <c r="Y258" i="1"/>
  <c r="Z254" i="1"/>
  <c r="BN254" i="1"/>
  <c r="Z261" i="1"/>
  <c r="BN261" i="1"/>
  <c r="Z265" i="1"/>
  <c r="BN265" i="1"/>
  <c r="Z272" i="1"/>
  <c r="BN272" i="1"/>
  <c r="Y275" i="1"/>
  <c r="Z286" i="1"/>
  <c r="BP290" i="1"/>
  <c r="BN290" i="1"/>
  <c r="Z290" i="1"/>
  <c r="BP307" i="1"/>
  <c r="BN307" i="1"/>
  <c r="Z307" i="1"/>
  <c r="BP321" i="1"/>
  <c r="BN321" i="1"/>
  <c r="Z321" i="1"/>
  <c r="BP335" i="1"/>
  <c r="BN335" i="1"/>
  <c r="Z335" i="1"/>
  <c r="BP340" i="1"/>
  <c r="BN340" i="1"/>
  <c r="Z340" i="1"/>
  <c r="BP352" i="1"/>
  <c r="BN352" i="1"/>
  <c r="Z352" i="1"/>
  <c r="Y370" i="1"/>
  <c r="Y369" i="1"/>
  <c r="BP368" i="1"/>
  <c r="BN368" i="1"/>
  <c r="Z368" i="1"/>
  <c r="Z369" i="1" s="1"/>
  <c r="BP373" i="1"/>
  <c r="BN373" i="1"/>
  <c r="Z373" i="1"/>
  <c r="BP393" i="1"/>
  <c r="BN393" i="1"/>
  <c r="Z393" i="1"/>
  <c r="Y405" i="1"/>
  <c r="BP403" i="1"/>
  <c r="BN403" i="1"/>
  <c r="Z403" i="1"/>
  <c r="BP434" i="1"/>
  <c r="BN434" i="1"/>
  <c r="Z434" i="1"/>
  <c r="BP444" i="1"/>
  <c r="BN444" i="1"/>
  <c r="Z444" i="1"/>
  <c r="BP464" i="1"/>
  <c r="BN464" i="1"/>
  <c r="Z464" i="1"/>
  <c r="Y337" i="1"/>
  <c r="Y336" i="1"/>
  <c r="U503" i="1"/>
  <c r="Y423" i="1"/>
  <c r="Y454" i="1"/>
  <c r="W503" i="1"/>
  <c r="H9" i="1"/>
  <c r="A10" i="1"/>
  <c r="Y77" i="1"/>
  <c r="Y81" i="1"/>
  <c r="Y90" i="1"/>
  <c r="Y96" i="1"/>
  <c r="Y119" i="1"/>
  <c r="Y130" i="1"/>
  <c r="Y134" i="1"/>
  <c r="Y145" i="1"/>
  <c r="Y155" i="1"/>
  <c r="Y159" i="1"/>
  <c r="Y165" i="1"/>
  <c r="Y179" i="1"/>
  <c r="Y185" i="1"/>
  <c r="Y196" i="1"/>
  <c r="Y224" i="1"/>
  <c r="Y228" i="1"/>
  <c r="Y257" i="1"/>
  <c r="BP291" i="1"/>
  <c r="BN291" i="1"/>
  <c r="Z291" i="1"/>
  <c r="Z292" i="1" s="1"/>
  <c r="Q503" i="1"/>
  <c r="Y301" i="1"/>
  <c r="BP296" i="1"/>
  <c r="BN296" i="1"/>
  <c r="Z296" i="1"/>
  <c r="Y302" i="1"/>
  <c r="BP308" i="1"/>
  <c r="BN308" i="1"/>
  <c r="Z308" i="1"/>
  <c r="BP316" i="1"/>
  <c r="BN316" i="1"/>
  <c r="Z316" i="1"/>
  <c r="Y323" i="1"/>
  <c r="BP320" i="1"/>
  <c r="BN320" i="1"/>
  <c r="Z320" i="1"/>
  <c r="BP328" i="1"/>
  <c r="BN328" i="1"/>
  <c r="Z328" i="1"/>
  <c r="BP351" i="1"/>
  <c r="BN351" i="1"/>
  <c r="Z351" i="1"/>
  <c r="Y355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BP394" i="1"/>
  <c r="BN394" i="1"/>
  <c r="Z394" i="1"/>
  <c r="BP398" i="1"/>
  <c r="BN398" i="1"/>
  <c r="Z398" i="1"/>
  <c r="BP415" i="1"/>
  <c r="BN415" i="1"/>
  <c r="Z415" i="1"/>
  <c r="BP451" i="1"/>
  <c r="BN451" i="1"/>
  <c r="Z451" i="1"/>
  <c r="BP465" i="1"/>
  <c r="BN465" i="1"/>
  <c r="Z465" i="1"/>
  <c r="B503" i="1"/>
  <c r="J503" i="1"/>
  <c r="S503" i="1"/>
  <c r="Y24" i="1"/>
  <c r="Y32" i="1"/>
  <c r="Y44" i="1"/>
  <c r="Y59" i="1"/>
  <c r="Y65" i="1"/>
  <c r="Y69" i="1"/>
  <c r="Y105" i="1"/>
  <c r="Y113" i="1"/>
  <c r="Y140" i="1"/>
  <c r="Y200" i="1"/>
  <c r="Y212" i="1"/>
  <c r="Y241" i="1"/>
  <c r="BP273" i="1"/>
  <c r="BN273" i="1"/>
  <c r="Z273" i="1"/>
  <c r="Y281" i="1"/>
  <c r="BP278" i="1"/>
  <c r="BN278" i="1"/>
  <c r="Z278" i="1"/>
  <c r="Y293" i="1"/>
  <c r="BP300" i="1"/>
  <c r="BN300" i="1"/>
  <c r="Z300" i="1"/>
  <c r="Y311" i="1"/>
  <c r="BP304" i="1"/>
  <c r="BN304" i="1"/>
  <c r="Z304" i="1"/>
  <c r="Y318" i="1"/>
  <c r="BP341" i="1"/>
  <c r="BN341" i="1"/>
  <c r="Z341" i="1"/>
  <c r="F9" i="1"/>
  <c r="J9" i="1"/>
  <c r="Z22" i="1"/>
  <c r="Z24" i="1" s="1"/>
  <c r="BN22" i="1"/>
  <c r="BP22" i="1"/>
  <c r="X497" i="1"/>
  <c r="Z28" i="1"/>
  <c r="BN28" i="1"/>
  <c r="Z30" i="1"/>
  <c r="BN30" i="1"/>
  <c r="C503" i="1"/>
  <c r="Z42" i="1"/>
  <c r="BN42" i="1"/>
  <c r="Y45" i="1"/>
  <c r="D503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BN79" i="1"/>
  <c r="BP79" i="1"/>
  <c r="E503" i="1"/>
  <c r="Z86" i="1"/>
  <c r="BN86" i="1"/>
  <c r="Z88" i="1"/>
  <c r="BN88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3" i="1"/>
  <c r="Z128" i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3" i="1"/>
  <c r="BN183" i="1"/>
  <c r="Z194" i="1"/>
  <c r="Z195" i="1" s="1"/>
  <c r="BN194" i="1"/>
  <c r="Z198" i="1"/>
  <c r="Z200" i="1" s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503" i="1"/>
  <c r="Z233" i="1"/>
  <c r="BN233" i="1"/>
  <c r="Z235" i="1"/>
  <c r="BN235" i="1"/>
  <c r="Z237" i="1"/>
  <c r="BN237" i="1"/>
  <c r="Z239" i="1"/>
  <c r="BN239" i="1"/>
  <c r="Y242" i="1"/>
  <c r="Z253" i="1"/>
  <c r="Z257" i="1" s="1"/>
  <c r="BN253" i="1"/>
  <c r="Z255" i="1"/>
  <c r="BN255" i="1"/>
  <c r="L503" i="1"/>
  <c r="Y267" i="1"/>
  <c r="Z262" i="1"/>
  <c r="BN262" i="1"/>
  <c r="Z264" i="1"/>
  <c r="BN264" i="1"/>
  <c r="Y266" i="1"/>
  <c r="BP271" i="1"/>
  <c r="BN271" i="1"/>
  <c r="Z271" i="1"/>
  <c r="BP280" i="1"/>
  <c r="BN280" i="1"/>
  <c r="Z280" i="1"/>
  <c r="Y282" i="1"/>
  <c r="P503" i="1"/>
  <c r="Y288" i="1"/>
  <c r="BP285" i="1"/>
  <c r="BN285" i="1"/>
  <c r="Z285" i="1"/>
  <c r="Y292" i="1"/>
  <c r="BP298" i="1"/>
  <c r="BN298" i="1"/>
  <c r="Z298" i="1"/>
  <c r="BP306" i="1"/>
  <c r="BN306" i="1"/>
  <c r="Z306" i="1"/>
  <c r="Y310" i="1"/>
  <c r="BP314" i="1"/>
  <c r="BN314" i="1"/>
  <c r="Z314" i="1"/>
  <c r="BP322" i="1"/>
  <c r="BN322" i="1"/>
  <c r="Z322" i="1"/>
  <c r="Y324" i="1"/>
  <c r="Y331" i="1"/>
  <c r="BP326" i="1"/>
  <c r="BN326" i="1"/>
  <c r="Z326" i="1"/>
  <c r="Y330" i="1"/>
  <c r="BP334" i="1"/>
  <c r="BN334" i="1"/>
  <c r="Z334" i="1"/>
  <c r="Y343" i="1"/>
  <c r="BP349" i="1"/>
  <c r="BN349" i="1"/>
  <c r="Z349" i="1"/>
  <c r="BP353" i="1"/>
  <c r="BN353" i="1"/>
  <c r="Z353" i="1"/>
  <c r="Y360" i="1"/>
  <c r="Y365" i="1"/>
  <c r="BP374" i="1"/>
  <c r="BN374" i="1"/>
  <c r="Z374" i="1"/>
  <c r="Y376" i="1"/>
  <c r="Y381" i="1"/>
  <c r="BP378" i="1"/>
  <c r="BN378" i="1"/>
  <c r="Z378" i="1"/>
  <c r="Z380" i="1" s="1"/>
  <c r="Y387" i="1"/>
  <c r="Y386" i="1"/>
  <c r="BP392" i="1"/>
  <c r="BN392" i="1"/>
  <c r="Z392" i="1"/>
  <c r="BP396" i="1"/>
  <c r="BN396" i="1"/>
  <c r="Z396" i="1"/>
  <c r="Y400" i="1"/>
  <c r="BP404" i="1"/>
  <c r="BN404" i="1"/>
  <c r="Z404" i="1"/>
  <c r="Y406" i="1"/>
  <c r="V503" i="1"/>
  <c r="Y410" i="1"/>
  <c r="BP409" i="1"/>
  <c r="BN409" i="1"/>
  <c r="Z409" i="1"/>
  <c r="Z410" i="1" s="1"/>
  <c r="Y411" i="1"/>
  <c r="Y418" i="1"/>
  <c r="BP413" i="1"/>
  <c r="BN413" i="1"/>
  <c r="Z413" i="1"/>
  <c r="Z417" i="1" s="1"/>
  <c r="Y417" i="1"/>
  <c r="X503" i="1"/>
  <c r="Y440" i="1"/>
  <c r="BP427" i="1"/>
  <c r="BN427" i="1"/>
  <c r="Z427" i="1"/>
  <c r="BP431" i="1"/>
  <c r="BN431" i="1"/>
  <c r="Z431" i="1"/>
  <c r="BP435" i="1"/>
  <c r="BN435" i="1"/>
  <c r="Z435" i="1"/>
  <c r="Y439" i="1"/>
  <c r="BP443" i="1"/>
  <c r="BN443" i="1"/>
  <c r="Z443" i="1"/>
  <c r="Z445" i="1" s="1"/>
  <c r="Y44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M503" i="1"/>
  <c r="Y274" i="1"/>
  <c r="R503" i="1"/>
  <c r="Y344" i="1"/>
  <c r="T503" i="1"/>
  <c r="Y375" i="1"/>
  <c r="Y401" i="1"/>
  <c r="BP429" i="1"/>
  <c r="BN429" i="1"/>
  <c r="Z429" i="1"/>
  <c r="BP433" i="1"/>
  <c r="BN433" i="1"/>
  <c r="Z433" i="1"/>
  <c r="BP437" i="1"/>
  <c r="BN437" i="1"/>
  <c r="Z437" i="1"/>
  <c r="Y446" i="1"/>
  <c r="BP449" i="1"/>
  <c r="BN449" i="1"/>
  <c r="Z449" i="1"/>
  <c r="BP453" i="1"/>
  <c r="BN453" i="1"/>
  <c r="Z453" i="1"/>
  <c r="Y455" i="1"/>
  <c r="Y458" i="1"/>
  <c r="BP457" i="1"/>
  <c r="BN457" i="1"/>
  <c r="Z457" i="1"/>
  <c r="Z458" i="1" s="1"/>
  <c r="Y459" i="1"/>
  <c r="Y468" i="1"/>
  <c r="BP463" i="1"/>
  <c r="BN463" i="1"/>
  <c r="Z463" i="1"/>
  <c r="Z467" i="1" s="1"/>
  <c r="Y467" i="1"/>
  <c r="BP471" i="1"/>
  <c r="BN471" i="1"/>
  <c r="Z471" i="1"/>
  <c r="Z472" i="1" s="1"/>
  <c r="Y473" i="1"/>
  <c r="Y478" i="1"/>
  <c r="BP475" i="1"/>
  <c r="BN475" i="1"/>
  <c r="Z475" i="1"/>
  <c r="Z477" i="1" s="1"/>
  <c r="Y486" i="1"/>
  <c r="Y503" i="1"/>
  <c r="Z266" i="1" l="1"/>
  <c r="Z105" i="1"/>
  <c r="Z76" i="1"/>
  <c r="Z454" i="1"/>
  <c r="Z405" i="1"/>
  <c r="Z400" i="1"/>
  <c r="Z330" i="1"/>
  <c r="Z317" i="1"/>
  <c r="Z274" i="1"/>
  <c r="Z185" i="1"/>
  <c r="Z139" i="1"/>
  <c r="Z129" i="1"/>
  <c r="Z119" i="1"/>
  <c r="Z96" i="1"/>
  <c r="Z44" i="1"/>
  <c r="Z343" i="1"/>
  <c r="Z241" i="1"/>
  <c r="Z154" i="1"/>
  <c r="Z112" i="1"/>
  <c r="Z58" i="1"/>
  <c r="Y493" i="1"/>
  <c r="Z375" i="1"/>
  <c r="Z355" i="1"/>
  <c r="Z287" i="1"/>
  <c r="Z211" i="1"/>
  <c r="Z89" i="1"/>
  <c r="Z81" i="1"/>
  <c r="Z32" i="1"/>
  <c r="Z301" i="1"/>
  <c r="Y494" i="1"/>
  <c r="Y497" i="1"/>
  <c r="Z439" i="1"/>
  <c r="Z223" i="1"/>
  <c r="Z179" i="1"/>
  <c r="Z64" i="1"/>
  <c r="Y495" i="1"/>
  <c r="Z310" i="1"/>
  <c r="Z281" i="1"/>
  <c r="Z323" i="1"/>
  <c r="Z498" i="1" l="1"/>
  <c r="Y496" i="1"/>
</calcChain>
</file>

<file path=xl/sharedStrings.xml><?xml version="1.0" encoding="utf-8"?>
<sst xmlns="http://schemas.openxmlformats.org/spreadsheetml/2006/main" count="2305" uniqueCount="776">
  <si>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</si>
  <si>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</si>
  <si>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</si>
  <si>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</si>
  <si>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</si>
  <si>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23.12.2025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</si>
  <si>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</si>
  <si>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</si>
  <si>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</si>
  <si>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</si>
  <si>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</si>
  <si>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</si>
  <si>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</si>
  <si>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</si>
  <si>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</si>
  <si>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</si>
  <si>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</si>
  <si>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</si>
  <si>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</si>
  <si>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</si>
  <si>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</si>
  <si>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</si>
  <si>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</si>
  <si>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</si>
  <si>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</si>
  <si>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</si>
  <si>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</si>
  <si>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</si>
  <si>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</si>
  <si>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</si>
  <si>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</si>
  <si>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</si>
  <si>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</si>
  <si>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</si>
  <si>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</si>
  <si>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</si>
  <si>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</si>
  <si>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</si>
  <si>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</si>
  <si>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</si>
  <si>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</si>
  <si>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</si>
  <si>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</si>
  <si>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</si>
  <si>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</si>
  <si>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</si>
  <si>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</si>
  <si>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</si>
  <si>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</si>
  <si>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</si>
  <si>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</si>
  <si>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</si>
  <si>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</si>
  <si>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</si>
  <si>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</si>
  <si>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</si>
  <si>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</si>
  <si>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</si>
  <si>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</si>
  <si>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</si>
  <si>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</si>
  <si>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</si>
  <si>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</si>
  <si>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</si>
  <si>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</si>
  <si>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</si>
  <si>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</si>
  <si>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</si>
  <si>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</si>
  <si>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</si>
  <si>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</si>
  <si>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</si>
  <si>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</si>
  <si>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</si>
  <si>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</si>
  <si>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</si>
  <si>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</si>
  <si>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</si>
  <si>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</si>
  <si>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</si>
  <si>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</si>
  <si>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</si>
  <si>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</si>
  <si>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</si>
  <si>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</si>
  <si>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</si>
  <si>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</si>
  <si>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</si>
  <si>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</si>
  <si>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</si>
  <si>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</si>
  <si>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</si>
  <si>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</si>
  <si>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</si>
  <si>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</si>
  <si>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</si>
  <si>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</si>
  <si>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</si>
  <si>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</si>
  <si>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</si>
  <si>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</si>
  <si>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</si>
  <si>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</si>
  <si>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</si>
  <si>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</si>
  <si>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</si>
  <si>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</si>
  <si>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</si>
  <si>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</si>
  <si>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</si>
  <si>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</si>
  <si>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</si>
  <si>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</si>
  <si>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</si>
  <si>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</si>
  <si>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</si>
  <si>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</si>
  <si>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</si>
  <si>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</si>
  <si>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</si>
  <si>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</si>
  <si>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</si>
  <si>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</si>
  <si>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</si>
  <si>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</si>
  <si>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</si>
  <si>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</si>
  <si>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</si>
  <si>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</si>
  <si>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</si>
  <si>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</si>
  <si>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</si>
  <si>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</si>
  <si>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</si>
  <si>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</si>
  <si>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</si>
  <si>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</si>
  <si>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</si>
  <si>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</si>
  <si>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</si>
  <si>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</si>
  <si>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</si>
  <si>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</si>
  <si>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</si>
  <si>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</si>
  <si>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</si>
  <si>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</si>
  <si>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</si>
  <si>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</si>
  <si>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</si>
  <si>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</si>
  <si>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</si>
  <si>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</si>
  <si>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</si>
  <si>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</si>
  <si>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</si>
  <si>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</si>
  <si>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</si>
  <si>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</si>
  <si>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</si>
  <si>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</si>
  <si>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</si>
  <si>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</si>
  <si>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</si>
  <si>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</si>
  <si>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</si>
  <si>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</si>
  <si>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</si>
  <si>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</si>
  <si>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</si>
  <si>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</si>
  <si>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</si>
  <si>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</si>
  <si>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</si>
  <si>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</si>
  <si>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</si>
  <si>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</si>
  <si>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</si>
  <si>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</si>
  <si>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</si>
  <si>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</si>
  <si>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</si>
  <si>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</si>
  <si>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</si>
  <si>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</si>
  <si>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</si>
  <si>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</si>
  <si>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</si>
  <si>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</si>
  <si>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</si>
  <si>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</si>
  <si>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</si>
  <si>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</si>
  <si>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</si>
  <si>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</si>
  <si>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</si>
  <si>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</si>
  <si>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</si>
  <si>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</si>
  <si>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</si>
  <si>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</si>
  <si>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</si>
  <si>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</si>
  <si>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</si>
  <si>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</si>
  <si>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</si>
  <si>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</si>
  <si>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</si>
  <si>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</si>
  <si>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</si>
  <si>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</si>
  <si>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</si>
  <si>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</si>
  <si>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</si>
  <si>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</si>
  <si>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</si>
  <si>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</si>
  <si>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</si>
  <si>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</si>
  <si>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</si>
  <si>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</si>
  <si>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</si>
  <si>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</si>
  <si>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</si>
  <si>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</si>
  <si>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</si>
  <si>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</si>
  <si>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</si>
  <si>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</si>
  <si>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</si>
  <si>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</si>
  <si>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</si>
  <si>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</si>
  <si>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</si>
  <si>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</si>
  <si>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</si>
  <si>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</si>
  <si>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</si>
  <si>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</si>
  <si>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</si>
  <si>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</si>
  <si>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</si>
  <si>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</si>
  <si>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</si>
  <si>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</si>
  <si>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</si>
  <si>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</si>
  <si>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</si>
  <si>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</si>
  <si>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Новинка</t>
  </si>
  <si>
    <t>ЕАЭС N RU Д-RU.РА11.В.18556/25</t>
  </si>
  <si>
    <t>SU004044</t>
  </si>
  <si>
    <t>P005168</t>
  </si>
  <si>
    <t>ЕАЭС N RU Д-RU.РА11.В.22922/25</t>
  </si>
  <si>
    <t>SU004047</t>
  </si>
  <si>
    <t>P005171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</si>
  <si>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</si>
  <si>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</si>
  <si>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</si>
  <si>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</si>
  <si>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</si>
  <si>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</si>
  <si>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</si>
  <si>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</si>
  <si>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</si>
  <si>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</si>
  <si>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</si>
  <si>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</si>
  <si>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</si>
  <si>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</si>
  <si>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</si>
  <si>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</si>
  <si>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</si>
  <si>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</si>
  <si>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</si>
  <si>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</si>
  <si>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</si>
  <si>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</si>
  <si>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</si>
  <si>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</si>
  <si>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</si>
  <si>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</si>
  <si>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</si>
  <si>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</si>
  <si>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</si>
  <si>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</si>
  <si>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</si>
  <si>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</si>
  <si>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</si>
  <si>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</si>
  <si>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</si>
  <si>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</si>
  <si>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</si>
  <si>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</si>
  <si>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</si>
  <si>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</si>
  <si>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</si>
  <si>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</si>
  <si>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</si>
  <si>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</si>
  <si>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</si>
  <si>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</si>
  <si>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</si>
  <si>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</si>
  <si>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</si>
  <si>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</si>
  <si>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</si>
  <si>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</si>
  <si>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</si>
  <si>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</si>
  <si>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</si>
  <si>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</si>
  <si>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</si>
  <si>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</si>
  <si>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</si>
  <si>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</si>
  <si>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</si>
  <si>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</si>
  <si>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</si>
  <si>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</si>
  <si>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</si>
  <si>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</si>
  <si>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</si>
  <si>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</si>
  <si>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</si>
  <si>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</si>
  <si>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</si>
  <si>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</si>
  <si>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</si>
  <si>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</si>
  <si>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</si>
  <si>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</si>
  <si>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</si>
  <si>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</si>
  <si>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</si>
  <si>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</si>
  <si>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</si>
  <si>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</si>
  <si>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</si>
  <si>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</si>
  <si>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</si>
  <si>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</si>
  <si>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</si>
  <si>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</si>
  <si>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</si>
  <si>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</si>
  <si>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</si>
  <si>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</si>
  <si>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</si>
  <si>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</si>
  <si>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</si>
  <si>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</si>
  <si>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</si>
  <si>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</si>
  <si>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</si>
  <si>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</si>
  <si>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</si>
  <si>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</si>
  <si>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</si>
  <si>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</si>
  <si>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</si>
  <si>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</si>
  <si>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</si>
  <si>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</si>
  <si>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</si>
  <si>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</si>
  <si>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</si>
  <si>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</si>
  <si>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</si>
  <si>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</si>
  <si>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</si>
  <si>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</si>
  <si>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</si>
  <si>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</si>
  <si>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</si>
  <si>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</si>
  <si>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</si>
  <si>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</si>
  <si>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</si>
  <si>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</si>
  <si>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</si>
  <si>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</si>
  <si>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</si>
  <si>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</si>
  <si>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</si>
  <si>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</si>
  <si>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</si>
  <si>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</si>
  <si>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</si>
  <si>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</si>
  <si>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</si>
  <si>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</si>
  <si>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</si>
  <si>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</si>
  <si>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</si>
  <si>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</si>
  <si>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</si>
  <si>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</si>
  <si>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</si>
  <si>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</si>
  <si>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</si>
  <si>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</si>
  <si>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</si>
  <si>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</si>
  <si>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</si>
  <si>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</si>
  <si>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</si>
  <si>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</si>
  <si>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</si>
  <si>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</si>
  <si>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</si>
  <si>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</si>
  <si>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</si>
  <si>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</si>
  <si>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</si>
  <si>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</si>
  <si>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</si>
  <si>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</si>
  <si>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</si>
  <si>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</si>
  <si>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</si>
  <si>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</si>
  <si>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</si>
  <si>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</si>
  <si>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</si>
  <si>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</si>
  <si>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</si>
  <si>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</si>
  <si>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</si>
  <si>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</si>
  <si>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</si>
  <si>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</si>
  <si>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</si>
  <si>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</si>
  <si>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</si>
  <si>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</si>
  <si>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</si>
  <si>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</si>
  <si>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</si>
  <si>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</si>
  <si>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</si>
  <si>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</si>
  <si>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</si>
  <si>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</si>
  <si>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</si>
  <si>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</si>
  <si>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</si>
  <si>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</si>
  <si>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</si>
  <si>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</si>
  <si>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</si>
  <si>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</si>
  <si>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</si>
  <si>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</si>
  <si>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</si>
  <si>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</si>
  <si>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</si>
  <si>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</si>
  <si>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</si>
  <si>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</si>
  <si>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</si>
  <si>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</si>
  <si>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</si>
  <si>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</si>
  <si>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</si>
  <si>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</si>
  <si>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</si>
  <si>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</si>
  <si>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</si>
  <si>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</si>
  <si>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</si>
  <si>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</si>
  <si>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</si>
  <si>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</si>
  <si>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</si>
  <si>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</si>
  <si>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</si>
  <si>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</si>
  <si>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</si>
  <si>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</si>
  <si>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</si>
  <si>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</si>
  <si>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</si>
  <si>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</si>
  <si>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</si>
  <si>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</si>
  <si>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</si>
  <si>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</si>
  <si>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</si>
  <si>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</si>
  <si>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</si>
  <si>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</si>
  <si>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</si>
  <si>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</si>
  <si>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</si>
  <si>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</si>
  <si>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</si>
  <si>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</si>
  <si>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</si>
  <si>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</si>
  <si>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</si>
  <si>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</si>
  <si>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</si>
  <si>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</si>
  <si>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</si>
  <si>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</si>
  <si>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</si>
  <si>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</si>
  <si>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</si>
  <si>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</si>
  <si>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</si>
  <si>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</si>
  <si>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</si>
  <si>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</si>
  <si>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</si>
  <si>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</si>
  <si>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</si>
  <si>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</si>
  <si>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</si>
  <si>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</si>
  <si>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</si>
  <si>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</si>
  <si>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</si>
  <si>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</si>
  <si>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</si>
  <si>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</si>
  <si>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</si>
  <si>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</si>
  <si>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</si>
  <si>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</si>
  <si>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</si>
  <si>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</si>
  <si>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</si>
  <si>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</si>
  <si>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</si>
  <si>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</si>
  <si>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</si>
  <si>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</si>
  <si>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</si>
  <si>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</si>
  <si>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</si>
  <si>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</si>
  <si>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</si>
  <si>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</si>
  <si>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</si>
  <si>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</si>
  <si>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</si>
  <si>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</si>
  <si>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</si>
  <si>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</si>
  <si>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</si>
  <si>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</si>
  <si>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</si>
  <si>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</si>
  <si>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</si>
  <si>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</si>
  <si>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</si>
  <si>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</si>
  <si>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</si>
  <si>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</si>
  <si>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</si>
  <si>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</si>
  <si>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</si>
  <si>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</si>
  <si>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</si>
  <si>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</si>
  <si>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</si>
  <si>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</si>
  <si>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</si>
  <si>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</si>
  <si>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</si>
  <si>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</si>
  <si>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</si>
  <si>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</si>
  <si>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</si>
  <si>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</si>
  <si>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</si>
  <si>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</si>
  <si>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</si>
  <si>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</si>
  <si>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</si>
  <si>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</si>
  <si>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</si>
  <si>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</si>
  <si>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</si>
  <si>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</si>
  <si>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</si>
  <si>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</si>
  <si>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</si>
  <si>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</si>
  <si>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</si>
  <si>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</si>
  <si>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</si>
  <si>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</si>
  <si>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</si>
  <si>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</si>
  <si>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</si>
  <si>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</si>
  <si>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</si>
  <si>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</si>
  <si>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</si>
  <si>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</si>
  <si>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</si>
  <si>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</si>
  <si>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</si>
  <si>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</si>
  <si>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</si>
  <si>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</si>
  <si>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</si>
  <si>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</si>
  <si>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</si>
  <si>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</si>
  <si>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</si>
  <si>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</si>
  <si>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</si>
  <si>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</si>
  <si>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</si>
  <si>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</si>
  <si>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</si>
  <si>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</si>
  <si>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</si>
  <si>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</si>
  <si>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</si>
  <si>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</si>
  <si>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</si>
  <si>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</si>
  <si>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</si>
  <si>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</si>
  <si>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</si>
  <si>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</si>
  <si>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</si>
  <si>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</si>
  <si>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</si>
  <si>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</si>
  <si>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</si>
  <si>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</si>
  <si>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</si>
  <si>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</si>
  <si>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</si>
  <si>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</si>
  <si>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</si>
  <si>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</si>
  <si>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</si>
  <si>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</si>
  <si>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</si>
  <si>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</si>
  <si>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</si>
  <si>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</si>
  <si>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</si>
  <si>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</si>
  <si>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</si>
  <si>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</si>
  <si>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</si>
  <si>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</si>
  <si>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</si>
  <si>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</si>
  <si>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</si>
  <si>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</si>
  <si>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</si>
  <si>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</si>
  <si>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</si>
  <si>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</si>
  <si>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</si>
  <si>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</si>
  <si>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</si>
  <si>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</si>
  <si>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</si>
  <si>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</si>
  <si>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</si>
  <si>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</si>
  <si>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</si>
  <si>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</si>
  <si>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</si>
  <si>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</si>
  <si>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</si>
  <si>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</si>
  <si>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</si>
  <si>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</si>
  <si>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</si>
  <si>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</si>
  <si>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</si>
  <si>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</si>
  <si>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</si>
  <si>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</si>
  <si>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</si>
  <si>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</si>
  <si>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</si>
  <si>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</si>
  <si>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</si>
  <si>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</si>
  <si>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</si>
  <si>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</si>
  <si>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</si>
  <si>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</si>
  <si>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</si>
  <si>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</si>
  <si>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</si>
  <si>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</si>
  <si>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</si>
  <si>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</si>
  <si>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</si>
  <si>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</si>
  <si>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</si>
  <si>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</si>
  <si>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</si>
  <si>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</si>
  <si>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</si>
  <si>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</si>
  <si>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</si>
  <si>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</si>
  <si>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</si>
  <si>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</si>
  <si>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</si>
  <si>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</si>
  <si>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</si>
  <si>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</si>
  <si>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</si>
  <si>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</si>
  <si>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</si>
  <si>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</si>
  <si>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</si>
  <si>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</si>
  <si>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</si>
  <si>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</si>
  <si>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</si>
  <si>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</si>
  <si>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</si>
  <si>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</si>
  <si>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</si>
  <si>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</si>
  <si>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</si>
  <si>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</si>
  <si>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</si>
  <si>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</si>
  <si>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27.12.2025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</si>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</sst>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7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5" t="s">
        <v>0</v>
      </c>
      <c r="E1" s="626"/>
      <c r="F1" s="626"/>
      <c r="G1" s="12" t="s">
        <v>1</v>
      </c>
      <c r="H1" s="62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749" t="s">
        <v>3</v>
      </c>
      <c r="S1" s="626"/>
      <c r="T1" s="62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80" t="s">
        <v>8</v>
      </c>
      <c r="B5" s="681"/>
      <c r="C5" s="682"/>
      <c r="D5" s="627"/>
      <c r="E5" s="628"/>
      <c r="F5" s="851" t="s">
        <v>9</v>
      </c>
      <c r="G5" s="682"/>
      <c r="H5" s="627" t="s">
        <v>775</v>
      </c>
      <c r="I5" s="783"/>
      <c r="J5" s="783"/>
      <c r="K5" s="783"/>
      <c r="L5" s="783"/>
      <c r="M5" s="628"/>
      <c r="N5" s="58"/>
      <c r="P5" s="24" t="s">
        <v>10</v>
      </c>
      <c r="Q5" s="842">
        <v>46017</v>
      </c>
      <c r="R5" s="673"/>
      <c r="T5" s="733" t="s">
        <v>11</v>
      </c>
      <c r="U5" s="734"/>
      <c r="V5" s="735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80" t="s">
        <v>13</v>
      </c>
      <c r="B6" s="681"/>
      <c r="C6" s="682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8" t="str">
        <f>IF(Q5=0," ",CHOOSE(WEEKDAY(Q5,2),"Понедельник","Вторник","Среда","Четверг","Пятница","Суббота","Воскресенье"))</f>
        <v>Пятница</v>
      </c>
      <c r="R6" s="554"/>
      <c r="T6" s="739" t="s">
        <v>16</v>
      </c>
      <c r="U6" s="734"/>
      <c r="V6" s="769" t="s">
        <v>17</v>
      </c>
      <c r="W6" s="600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34"/>
      <c r="V7" s="770"/>
      <c r="W7" s="771"/>
      <c r="AB7" s="51"/>
      <c r="AC7" s="51"/>
      <c r="AD7" s="51"/>
      <c r="AE7" s="51"/>
    </row>
    <row r="8" spans="1:32" s="543" customFormat="1" ht="25.5" customHeight="1" x14ac:dyDescent="0.2">
      <c r="A8" s="870" t="s">
        <v>18</v>
      </c>
      <c r="B8" s="569"/>
      <c r="C8" s="570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94">
        <v>0.375</v>
      </c>
      <c r="R8" s="608"/>
      <c r="T8" s="556"/>
      <c r="U8" s="734"/>
      <c r="V8" s="770"/>
      <c r="W8" s="771"/>
      <c r="AB8" s="51"/>
      <c r="AC8" s="51"/>
      <c r="AD8" s="51"/>
      <c r="AE8" s="51"/>
    </row>
    <row r="9" spans="1:32" s="543" customFormat="1" ht="39.950000000000003" customHeight="1" x14ac:dyDescent="0.2">
      <c r="A9" s="7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704"/>
      <c r="E9" s="567"/>
      <c r="F9" s="7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6" t="str">
        <f>IF(AND($A$9="Тип доверенности/получателя при получении в адресе перегруза:",$D$9="Разовая доверенность"),"Введите ФИО","")</f>
        <v/>
      </c>
      <c r="I9" s="567"/>
      <c r="J9" s="5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7"/>
      <c r="L9" s="567"/>
      <c r="M9" s="567"/>
      <c r="N9" s="541"/>
      <c r="P9" s="26" t="s">
        <v>21</v>
      </c>
      <c r="Q9" s="670"/>
      <c r="R9" s="671"/>
      <c r="T9" s="556"/>
      <c r="U9" s="734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704"/>
      <c r="E10" s="567"/>
      <c r="F10" s="7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63" t="str">
        <f>IFERROR(VLOOKUP($D$10,Proxy,2,FALSE),"")</f>
        <v/>
      </c>
      <c r="I10" s="556"/>
      <c r="J10" s="556"/>
      <c r="K10" s="556"/>
      <c r="L10" s="556"/>
      <c r="M10" s="556"/>
      <c r="N10" s="542"/>
      <c r="P10" s="26" t="s">
        <v>22</v>
      </c>
      <c r="Q10" s="740"/>
      <c r="R10" s="741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3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9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4"/>
      <c r="R12" s="608"/>
      <c r="S12" s="23"/>
      <c r="U12" s="24"/>
      <c r="V12" s="626"/>
      <c r="W12" s="556"/>
      <c r="AB12" s="51"/>
      <c r="AC12" s="51"/>
      <c r="AD12" s="51"/>
      <c r="AE12" s="51"/>
    </row>
    <row r="13" spans="1:32" s="543" customFormat="1" ht="23.25" customHeight="1" x14ac:dyDescent="0.2">
      <c r="A13" s="699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3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9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52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8" t="s">
        <v>35</v>
      </c>
      <c r="Q15" s="626"/>
      <c r="R15" s="626"/>
      <c r="S15" s="626"/>
      <c r="T15" s="62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9"/>
      <c r="Q16" s="709"/>
      <c r="R16" s="709"/>
      <c r="S16" s="709"/>
      <c r="T16" s="7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3" t="s">
        <v>36</v>
      </c>
      <c r="B17" s="593" t="s">
        <v>37</v>
      </c>
      <c r="C17" s="712" t="s">
        <v>38</v>
      </c>
      <c r="D17" s="593" t="s">
        <v>39</v>
      </c>
      <c r="E17" s="656"/>
      <c r="F17" s="593" t="s">
        <v>40</v>
      </c>
      <c r="G17" s="593" t="s">
        <v>41</v>
      </c>
      <c r="H17" s="593" t="s">
        <v>42</v>
      </c>
      <c r="I17" s="593" t="s">
        <v>43</v>
      </c>
      <c r="J17" s="593" t="s">
        <v>44</v>
      </c>
      <c r="K17" s="593" t="s">
        <v>45</v>
      </c>
      <c r="L17" s="593" t="s">
        <v>46</v>
      </c>
      <c r="M17" s="593" t="s">
        <v>47</v>
      </c>
      <c r="N17" s="593" t="s">
        <v>48</v>
      </c>
      <c r="O17" s="593" t="s">
        <v>49</v>
      </c>
      <c r="P17" s="593" t="s">
        <v>50</v>
      </c>
      <c r="Q17" s="655"/>
      <c r="R17" s="655"/>
      <c r="S17" s="655"/>
      <c r="T17" s="656"/>
      <c r="U17" s="865" t="s">
        <v>51</v>
      </c>
      <c r="V17" s="682"/>
      <c r="W17" s="593" t="s">
        <v>52</v>
      </c>
      <c r="X17" s="593" t="s">
        <v>53</v>
      </c>
      <c r="Y17" s="866" t="s">
        <v>54</v>
      </c>
      <c r="Z17" s="781" t="s">
        <v>55</v>
      </c>
      <c r="AA17" s="761" t="s">
        <v>56</v>
      </c>
      <c r="AB17" s="761" t="s">
        <v>57</v>
      </c>
      <c r="AC17" s="761" t="s">
        <v>58</v>
      </c>
      <c r="AD17" s="761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4"/>
      <c r="B18" s="594"/>
      <c r="C18" s="594"/>
      <c r="D18" s="657"/>
      <c r="E18" s="659"/>
      <c r="F18" s="594"/>
      <c r="G18" s="594"/>
      <c r="H18" s="594"/>
      <c r="I18" s="594"/>
      <c r="J18" s="594"/>
      <c r="K18" s="594"/>
      <c r="L18" s="594"/>
      <c r="M18" s="594"/>
      <c r="N18" s="594"/>
      <c r="O18" s="594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94"/>
      <c r="X18" s="594"/>
      <c r="Y18" s="867"/>
      <c r="Z18" s="782"/>
      <c r="AA18" s="762"/>
      <c r="AB18" s="762"/>
      <c r="AC18" s="762"/>
      <c r="AD18" s="848"/>
      <c r="AE18" s="849"/>
      <c r="AF18" s="850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2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44"/>
      <c r="AB20" s="544"/>
      <c r="AC20" s="544"/>
    </row>
    <row r="21" spans="1:68" ht="14.25" hidden="1" customHeight="1" x14ac:dyDescent="0.25">
      <c r="A21" s="555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3">
        <v>4680115887510</v>
      </c>
      <c r="E22" s="554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3">
        <v>4680115886643</v>
      </c>
      <c r="E23" s="554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7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8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8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5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3">
        <v>4680115885912</v>
      </c>
      <c r="E27" s="554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3">
        <v>4607091388237</v>
      </c>
      <c r="E28" s="554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3">
        <v>4680115887350</v>
      </c>
      <c r="E29" s="554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3">
        <v>4680115885905</v>
      </c>
      <c r="E30" s="554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3">
        <v>4607091388244</v>
      </c>
      <c r="E31" s="554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7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8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8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5" t="s">
        <v>93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45"/>
      <c r="AB34" s="545"/>
      <c r="AC34" s="545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3">
        <v>4607091388503</v>
      </c>
      <c r="E35" s="554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7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8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58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31" t="s">
        <v>99</v>
      </c>
      <c r="B38" s="632"/>
      <c r="C38" s="632"/>
      <c r="D38" s="632"/>
      <c r="E38" s="632"/>
      <c r="F38" s="632"/>
      <c r="G38" s="632"/>
      <c r="H38" s="632"/>
      <c r="I38" s="632"/>
      <c r="J38" s="632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2"/>
      <c r="Y38" s="632"/>
      <c r="Z38" s="632"/>
      <c r="AA38" s="48"/>
      <c r="AB38" s="48"/>
      <c r="AC38" s="48"/>
    </row>
    <row r="39" spans="1:68" ht="16.5" hidden="1" customHeight="1" x14ac:dyDescent="0.25">
      <c r="A39" s="562" t="s">
        <v>100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44"/>
      <c r="AB39" s="544"/>
      <c r="AC39" s="544"/>
    </row>
    <row r="40" spans="1:68" ht="14.25" hidden="1" customHeight="1" x14ac:dyDescent="0.25">
      <c r="A40" s="555" t="s">
        <v>101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45"/>
      <c r="AB40" s="545"/>
      <c r="AC40" s="545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3">
        <v>4607091385670</v>
      </c>
      <c r="E41" s="554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220</v>
      </c>
      <c r="Y41" s="550">
        <f>IFERROR(IF(X41="",0,CEILING((X41/$H41),1)*$H41),"")</f>
        <v>226.8</v>
      </c>
      <c r="Z41" s="36">
        <f>IFERROR(IF(Y41=0,"",ROUNDUP(Y41/H41,0)*0.01898),"")</f>
        <v>0.39857999999999999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228.35185185185188</v>
      </c>
      <c r="BN41" s="64">
        <f>IFERROR(Y41*I41/H41,"0")</f>
        <v>235.41000000000003</v>
      </c>
      <c r="BO41" s="64">
        <f>IFERROR(1/J41*(X41/H41),"0")</f>
        <v>0.31828703703703703</v>
      </c>
      <c r="BP41" s="64">
        <f>IFERROR(1/J41*(Y41/H41),"0")</f>
        <v>0.328125</v>
      </c>
    </row>
    <row r="42" spans="1:68" ht="27" customHeight="1" x14ac:dyDescent="0.25">
      <c r="A42" s="54" t="s">
        <v>109</v>
      </c>
      <c r="B42" s="54" t="s">
        <v>110</v>
      </c>
      <c r="C42" s="31">
        <v>4301011382</v>
      </c>
      <c r="D42" s="553">
        <v>4607091385687</v>
      </c>
      <c r="E42" s="554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0"/>
      <c r="R42" s="560"/>
      <c r="S42" s="560"/>
      <c r="T42" s="561"/>
      <c r="U42" s="34"/>
      <c r="V42" s="34"/>
      <c r="W42" s="35" t="s">
        <v>69</v>
      </c>
      <c r="X42" s="549">
        <v>160</v>
      </c>
      <c r="Y42" s="550">
        <f>IFERROR(IF(X42="",0,CEILING((X42/$H42),1)*$H42),"")</f>
        <v>160</v>
      </c>
      <c r="Z42" s="36">
        <f>IFERROR(IF(Y42=0,"",ROUNDUP(Y42/H42,0)*0.00902),"")</f>
        <v>0.36080000000000001</v>
      </c>
      <c r="AA42" s="56"/>
      <c r="AB42" s="57"/>
      <c r="AC42" s="87" t="s">
        <v>107</v>
      </c>
      <c r="AG42" s="64"/>
      <c r="AJ42" s="68" t="s">
        <v>108</v>
      </c>
      <c r="AK42" s="68">
        <v>48</v>
      </c>
      <c r="BB42" s="88" t="s">
        <v>1</v>
      </c>
      <c r="BM42" s="64">
        <f>IFERROR(X42*I42/H42,"0")</f>
        <v>167.60000000000002</v>
      </c>
      <c r="BN42" s="64">
        <f>IFERROR(Y42*I42/H42,"0")</f>
        <v>167.60000000000002</v>
      </c>
      <c r="BO42" s="64">
        <f>IFERROR(1/J42*(X42/H42),"0")</f>
        <v>0.30303030303030304</v>
      </c>
      <c r="BP42" s="64">
        <f>IFERROR(1/J42*(Y42/H42),"0")</f>
        <v>0.30303030303030304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4301011565</v>
      </c>
      <c r="D43" s="553">
        <v>4680115882539</v>
      </c>
      <c r="E43" s="554"/>
      <c r="F43" s="548">
        <v>0.37</v>
      </c>
      <c r="G43" s="32">
        <v>10</v>
      </c>
      <c r="H43" s="548">
        <v>3.7</v>
      </c>
      <c r="I43" s="548">
        <v>3.89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0"/>
      <c r="R43" s="560"/>
      <c r="S43" s="560"/>
      <c r="T43" s="561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7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8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60.370370370370367</v>
      </c>
      <c r="Y44" s="551">
        <f>IFERROR(Y41/H41,"0")+IFERROR(Y42/H42,"0")+IFERROR(Y43/H43,"0")</f>
        <v>61</v>
      </c>
      <c r="Z44" s="551">
        <f>IFERROR(IF(Z41="",0,Z41),"0")+IFERROR(IF(Z42="",0,Z42),"0")+IFERROR(IF(Z43="",0,Z43),"0")</f>
        <v>0.75937999999999994</v>
      </c>
      <c r="AA44" s="552"/>
      <c r="AB44" s="552"/>
      <c r="AC44" s="552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8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380</v>
      </c>
      <c r="Y45" s="551">
        <f>IFERROR(SUM(Y41:Y43),"0")</f>
        <v>386.8</v>
      </c>
      <c r="Z45" s="37"/>
      <c r="AA45" s="552"/>
      <c r="AB45" s="552"/>
      <c r="AC45" s="552"/>
    </row>
    <row r="46" spans="1:68" ht="14.25" hidden="1" customHeight="1" x14ac:dyDescent="0.25">
      <c r="A46" s="555" t="s">
        <v>77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45"/>
      <c r="AB46" s="545"/>
      <c r="AC46" s="545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3">
        <v>4680115884915</v>
      </c>
      <c r="E47" s="554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7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8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8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62" t="s">
        <v>118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44"/>
      <c r="AB50" s="544"/>
      <c r="AC50" s="544"/>
    </row>
    <row r="51" spans="1:68" ht="14.25" hidden="1" customHeight="1" x14ac:dyDescent="0.25">
      <c r="A51" s="555" t="s">
        <v>101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45"/>
      <c r="AB51" s="545"/>
      <c r="AC51" s="545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3">
        <v>4680115885882</v>
      </c>
      <c r="E52" s="554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3">
        <v>4680115881426</v>
      </c>
      <c r="E53" s="554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49">
        <v>350</v>
      </c>
      <c r="Y53" s="550">
        <f t="shared" si="0"/>
        <v>356.40000000000003</v>
      </c>
      <c r="Z53" s="36">
        <f>IFERROR(IF(Y53=0,"",ROUNDUP(Y53/H53,0)*0.01898),"")</f>
        <v>0.62634000000000001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363.28703703703707</v>
      </c>
      <c r="BN53" s="64">
        <f t="shared" si="2"/>
        <v>369.93</v>
      </c>
      <c r="BO53" s="64">
        <f t="shared" si="3"/>
        <v>0.5063657407407407</v>
      </c>
      <c r="BP53" s="64">
        <f t="shared" si="4"/>
        <v>0.515625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3">
        <v>4680115880283</v>
      </c>
      <c r="E54" s="554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3">
        <v>4680115881525</v>
      </c>
      <c r="E55" s="554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3">
        <v>4680115885899</v>
      </c>
      <c r="E56" s="554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3">
        <v>4680115881419</v>
      </c>
      <c r="E57" s="554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49">
        <v>360</v>
      </c>
      <c r="Y57" s="550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57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8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112.4074074074074</v>
      </c>
      <c r="Y58" s="551">
        <f>IFERROR(Y52/H52,"0")+IFERROR(Y53/H53,"0")+IFERROR(Y54/H54,"0")+IFERROR(Y55/H55,"0")+IFERROR(Y56/H56,"0")+IFERROR(Y57/H57,"0")</f>
        <v>113</v>
      </c>
      <c r="Z58" s="551">
        <f>IFERROR(IF(Z52="",0,Z52),"0")+IFERROR(IF(Z53="",0,Z53),"0")+IFERROR(IF(Z54="",0,Z54),"0")+IFERROR(IF(Z55="",0,Z55),"0")+IFERROR(IF(Z56="",0,Z56),"0")+IFERROR(IF(Z57="",0,Z57),"0")</f>
        <v>1.3479399999999999</v>
      </c>
      <c r="AA58" s="552"/>
      <c r="AB58" s="552"/>
      <c r="AC58" s="552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8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710</v>
      </c>
      <c r="Y59" s="551">
        <f>IFERROR(SUM(Y52:Y57),"0")</f>
        <v>716.40000000000009</v>
      </c>
      <c r="Z59" s="37"/>
      <c r="AA59" s="552"/>
      <c r="AB59" s="552"/>
      <c r="AC59" s="552"/>
    </row>
    <row r="60" spans="1:68" ht="14.25" hidden="1" customHeight="1" x14ac:dyDescent="0.25">
      <c r="A60" s="555" t="s">
        <v>137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45"/>
      <c r="AB60" s="545"/>
      <c r="AC60" s="545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3">
        <v>4680115881440</v>
      </c>
      <c r="E61" s="554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100</v>
      </c>
      <c r="Y61" s="550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3">
        <v>4680115885950</v>
      </c>
      <c r="E62" s="554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3">
        <v>4680115881433</v>
      </c>
      <c r="E63" s="554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49">
        <v>180</v>
      </c>
      <c r="Y63" s="550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57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8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75.925925925925924</v>
      </c>
      <c r="Y64" s="551">
        <f>IFERROR(Y61/H61,"0")+IFERROR(Y62/H62,"0")+IFERROR(Y63/H63,"0")</f>
        <v>77</v>
      </c>
      <c r="Z64" s="551">
        <f>IFERROR(IF(Z61="",0,Z61),"0")+IFERROR(IF(Z62="",0,Z62),"0")+IFERROR(IF(Z63="",0,Z63),"0")</f>
        <v>0.62597000000000003</v>
      </c>
      <c r="AA64" s="552"/>
      <c r="AB64" s="552"/>
      <c r="AC64" s="552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8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280</v>
      </c>
      <c r="Y65" s="551">
        <f>IFERROR(SUM(Y61:Y63),"0")</f>
        <v>288.89999999999998</v>
      </c>
      <c r="Z65" s="37"/>
      <c r="AA65" s="552"/>
      <c r="AB65" s="552"/>
      <c r="AC65" s="552"/>
    </row>
    <row r="66" spans="1:68" ht="14.25" hidden="1" customHeight="1" x14ac:dyDescent="0.25">
      <c r="A66" s="555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45"/>
      <c r="AB66" s="545"/>
      <c r="AC66" s="545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3">
        <v>4680115885073</v>
      </c>
      <c r="E67" s="554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3">
        <v>4680115885097</v>
      </c>
      <c r="E68" s="554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7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8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8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5" t="s">
        <v>77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45"/>
      <c r="AB71" s="545"/>
      <c r="AC71" s="54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3">
        <v>4680115885769</v>
      </c>
      <c r="E72" s="554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3">
        <v>4680115884311</v>
      </c>
      <c r="E73" s="554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3">
        <v>4680115885929</v>
      </c>
      <c r="E74" s="554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3">
        <v>4680115884403</v>
      </c>
      <c r="E75" s="554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7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8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8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5" t="s">
        <v>162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45"/>
      <c r="AB78" s="545"/>
      <c r="AC78" s="54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3">
        <v>4680115881532</v>
      </c>
      <c r="E79" s="554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30</v>
      </c>
      <c r="Y79" s="55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3">
        <v>4680115881464</v>
      </c>
      <c r="E80" s="554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7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8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3.8461538461538463</v>
      </c>
      <c r="Y81" s="551">
        <f>IFERROR(Y79/H79,"0")+IFERROR(Y80/H80,"0")</f>
        <v>4</v>
      </c>
      <c r="Z81" s="551">
        <f>IFERROR(IF(Z79="",0,Z79),"0")+IFERROR(IF(Z80="",0,Z80),"0")</f>
        <v>7.5920000000000001E-2</v>
      </c>
      <c r="AA81" s="552"/>
      <c r="AB81" s="552"/>
      <c r="AC81" s="552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8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30</v>
      </c>
      <c r="Y82" s="551">
        <f>IFERROR(SUM(Y79:Y80),"0")</f>
        <v>31.2</v>
      </c>
      <c r="Z82" s="37"/>
      <c r="AA82" s="552"/>
      <c r="AB82" s="552"/>
      <c r="AC82" s="552"/>
    </row>
    <row r="83" spans="1:68" ht="16.5" hidden="1" customHeight="1" x14ac:dyDescent="0.25">
      <c r="A83" s="562" t="s">
        <v>169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44"/>
      <c r="AB83" s="544"/>
      <c r="AC83" s="544"/>
    </row>
    <row r="84" spans="1:68" ht="14.25" hidden="1" customHeight="1" x14ac:dyDescent="0.25">
      <c r="A84" s="555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45"/>
      <c r="AB84" s="545"/>
      <c r="AC84" s="54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3">
        <v>4680115881327</v>
      </c>
      <c r="E85" s="554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49">
        <v>150</v>
      </c>
      <c r="Y85" s="550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3">
        <v>4680115887732</v>
      </c>
      <c r="E86" s="554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3">
        <v>4680115881518</v>
      </c>
      <c r="E87" s="554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3">
        <v>4680115881303</v>
      </c>
      <c r="E88" s="554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49">
        <v>225</v>
      </c>
      <c r="Y88" s="550">
        <f>IFERROR(IF(X88="",0,CEILING((X88/$H88),1)*$H88),"")</f>
        <v>225</v>
      </c>
      <c r="Z88" s="36">
        <f>IFERROR(IF(Y88=0,"",ROUNDUP(Y88/H88,0)*0.00902),"")</f>
        <v>0.45100000000000001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234.5</v>
      </c>
      <c r="BN88" s="64">
        <f>IFERROR(Y88*I88/H88,"0")</f>
        <v>234.5</v>
      </c>
      <c r="BO88" s="64">
        <f>IFERROR(1/J88*(X88/H88),"0")</f>
        <v>0.37878787878787878</v>
      </c>
      <c r="BP88" s="64">
        <f>IFERROR(1/J88*(Y88/H88),"0")</f>
        <v>0.37878787878787878</v>
      </c>
    </row>
    <row r="89" spans="1:68" x14ac:dyDescent="0.2">
      <c r="A89" s="557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8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63.888888888888886</v>
      </c>
      <c r="Y89" s="551">
        <f>IFERROR(Y85/H85,"0")+IFERROR(Y86/H86,"0")+IFERROR(Y87/H87,"0")+IFERROR(Y88/H88,"0")</f>
        <v>64</v>
      </c>
      <c r="Z89" s="551">
        <f>IFERROR(IF(Z85="",0,Z85),"0")+IFERROR(IF(Z86="",0,Z86),"0")+IFERROR(IF(Z87="",0,Z87),"0")+IFERROR(IF(Z88="",0,Z88),"0")</f>
        <v>0.71672000000000002</v>
      </c>
      <c r="AA89" s="552"/>
      <c r="AB89" s="552"/>
      <c r="AC89" s="552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8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375</v>
      </c>
      <c r="Y90" s="551">
        <f>IFERROR(SUM(Y85:Y88),"0")</f>
        <v>376.20000000000005</v>
      </c>
      <c r="Z90" s="37"/>
      <c r="AA90" s="552"/>
      <c r="AB90" s="552"/>
      <c r="AC90" s="552"/>
    </row>
    <row r="91" spans="1:68" ht="14.25" hidden="1" customHeight="1" x14ac:dyDescent="0.25">
      <c r="A91" s="555" t="s">
        <v>77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45"/>
      <c r="AB91" s="545"/>
      <c r="AC91" s="545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3">
        <v>4607091386967</v>
      </c>
      <c r="E92" s="554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100</v>
      </c>
      <c r="Y92" s="550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3">
        <v>4680115884953</v>
      </c>
      <c r="E93" s="554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53">
        <v>4607091385731</v>
      </c>
      <c r="E94" s="554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49">
        <v>225</v>
      </c>
      <c r="Y94" s="550">
        <f>IFERROR(IF(X94="",0,CEILING((X94/$H94),1)*$H94),"")</f>
        <v>226.8</v>
      </c>
      <c r="Z94" s="36">
        <f>IFERROR(IF(Y94=0,"",ROUNDUP(Y94/H94,0)*0.00651),"")</f>
        <v>0.54683999999999999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246</v>
      </c>
      <c r="BN94" s="64">
        <f>IFERROR(Y94*I94/H94,"0")</f>
        <v>247.96799999999999</v>
      </c>
      <c r="BO94" s="64">
        <f>IFERROR(1/J94*(X94/H94),"0")</f>
        <v>0.45787545787545786</v>
      </c>
      <c r="BP94" s="64">
        <f>IFERROR(1/J94*(Y94/H94),"0")</f>
        <v>0.46153846153846156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53">
        <v>4680115880894</v>
      </c>
      <c r="E95" s="554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5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7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8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95.679012345679013</v>
      </c>
      <c r="Y96" s="551">
        <f>IFERROR(Y92/H92,"0")+IFERROR(Y93/H93,"0")+IFERROR(Y94/H94,"0")+IFERROR(Y95/H95,"0")</f>
        <v>97</v>
      </c>
      <c r="Z96" s="551">
        <f>IFERROR(IF(Z92="",0,Z92),"0")+IFERROR(IF(Z93="",0,Z93),"0")+IFERROR(IF(Z94="",0,Z94),"0")+IFERROR(IF(Z95="",0,Z95),"0")</f>
        <v>0.79357999999999995</v>
      </c>
      <c r="AA96" s="552"/>
      <c r="AB96" s="552"/>
      <c r="AC96" s="552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8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325</v>
      </c>
      <c r="Y97" s="551">
        <f>IFERROR(SUM(Y92:Y95),"0")</f>
        <v>332.1</v>
      </c>
      <c r="Z97" s="37"/>
      <c r="AA97" s="552"/>
      <c r="AB97" s="552"/>
      <c r="AC97" s="552"/>
    </row>
    <row r="98" spans="1:68" ht="16.5" hidden="1" customHeight="1" x14ac:dyDescent="0.25">
      <c r="A98" s="562" t="s">
        <v>191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44"/>
      <c r="AB98" s="544"/>
      <c r="AC98" s="544"/>
    </row>
    <row r="99" spans="1:68" ht="14.25" hidden="1" customHeight="1" x14ac:dyDescent="0.25">
      <c r="A99" s="555" t="s">
        <v>101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45"/>
      <c r="AB99" s="545"/>
      <c r="AC99" s="545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53">
        <v>4680115882133</v>
      </c>
      <c r="E100" s="554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50</v>
      </c>
      <c r="Y100" s="550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53">
        <v>4680115887718</v>
      </c>
      <c r="E101" s="554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53">
        <v>4680115880269</v>
      </c>
      <c r="E102" s="554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53">
        <v>4680115880429</v>
      </c>
      <c r="E103" s="554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180</v>
      </c>
      <c r="Y103" s="550">
        <f>IFERROR(IF(X103="",0,CEILING((X103/$H103),1)*$H103),"")</f>
        <v>180</v>
      </c>
      <c r="Z103" s="36">
        <f>IFERROR(IF(Y103=0,"",ROUNDUP(Y103/H103,0)*0.00902),"")</f>
        <v>0.36080000000000001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187.60000000000002</v>
      </c>
      <c r="BN103" s="64">
        <f>IFERROR(Y103*I103/H103,"0")</f>
        <v>187.60000000000002</v>
      </c>
      <c r="BO103" s="64">
        <f>IFERROR(1/J103*(X103/H103),"0")</f>
        <v>0.30303030303030304</v>
      </c>
      <c r="BP103" s="64">
        <f>IFERROR(1/J103*(Y103/H103),"0")</f>
        <v>0.30303030303030304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53">
        <v>4680115881457</v>
      </c>
      <c r="E104" s="554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57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8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44.629629629629633</v>
      </c>
      <c r="Y105" s="551">
        <f>IFERROR(Y100/H100,"0")+IFERROR(Y101/H101,"0")+IFERROR(Y102/H102,"0")+IFERROR(Y103/H103,"0")+IFERROR(Y104/H104,"0")</f>
        <v>45</v>
      </c>
      <c r="Z105" s="551">
        <f>IFERROR(IF(Z100="",0,Z100),"0")+IFERROR(IF(Z101="",0,Z101),"0")+IFERROR(IF(Z102="",0,Z102),"0")+IFERROR(IF(Z103="",0,Z103),"0")+IFERROR(IF(Z104="",0,Z104),"0")</f>
        <v>0.45569999999999999</v>
      </c>
      <c r="AA105" s="552"/>
      <c r="AB105" s="552"/>
      <c r="AC105" s="552"/>
    </row>
    <row r="106" spans="1:68" x14ac:dyDescent="0.2">
      <c r="A106" s="556"/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8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230</v>
      </c>
      <c r="Y106" s="551">
        <f>IFERROR(SUM(Y100:Y104),"0")</f>
        <v>234</v>
      </c>
      <c r="Z106" s="37"/>
      <c r="AA106" s="552"/>
      <c r="AB106" s="552"/>
      <c r="AC106" s="552"/>
    </row>
    <row r="107" spans="1:68" ht="14.25" hidden="1" customHeight="1" x14ac:dyDescent="0.25">
      <c r="A107" s="555" t="s">
        <v>137</v>
      </c>
      <c r="B107" s="556"/>
      <c r="C107" s="556"/>
      <c r="D107" s="556"/>
      <c r="E107" s="556"/>
      <c r="F107" s="556"/>
      <c r="G107" s="556"/>
      <c r="H107" s="556"/>
      <c r="I107" s="556"/>
      <c r="J107" s="556"/>
      <c r="K107" s="556"/>
      <c r="L107" s="556"/>
      <c r="M107" s="556"/>
      <c r="N107" s="556"/>
      <c r="O107" s="556"/>
      <c r="P107" s="556"/>
      <c r="Q107" s="556"/>
      <c r="R107" s="556"/>
      <c r="S107" s="556"/>
      <c r="T107" s="556"/>
      <c r="U107" s="556"/>
      <c r="V107" s="556"/>
      <c r="W107" s="556"/>
      <c r="X107" s="556"/>
      <c r="Y107" s="556"/>
      <c r="Z107" s="556"/>
      <c r="AA107" s="545"/>
      <c r="AB107" s="545"/>
      <c r="AC107" s="545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53">
        <v>4680115881488</v>
      </c>
      <c r="E108" s="554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53">
        <v>4680115887664</v>
      </c>
      <c r="E109" s="554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53">
        <v>4680115882775</v>
      </c>
      <c r="E110" s="554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2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53">
        <v>4680115880658</v>
      </c>
      <c r="E111" s="554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0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57"/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8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6"/>
      <c r="B113" s="556"/>
      <c r="C113" s="556"/>
      <c r="D113" s="556"/>
      <c r="E113" s="556"/>
      <c r="F113" s="556"/>
      <c r="G113" s="556"/>
      <c r="H113" s="556"/>
      <c r="I113" s="556"/>
      <c r="J113" s="556"/>
      <c r="K113" s="556"/>
      <c r="L113" s="556"/>
      <c r="M113" s="556"/>
      <c r="N113" s="556"/>
      <c r="O113" s="558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5" t="s">
        <v>77</v>
      </c>
      <c r="B114" s="556"/>
      <c r="C114" s="556"/>
      <c r="D114" s="556"/>
      <c r="E114" s="556"/>
      <c r="F114" s="556"/>
      <c r="G114" s="556"/>
      <c r="H114" s="556"/>
      <c r="I114" s="556"/>
      <c r="J114" s="556"/>
      <c r="K114" s="556"/>
      <c r="L114" s="556"/>
      <c r="M114" s="556"/>
      <c r="N114" s="556"/>
      <c r="O114" s="556"/>
      <c r="P114" s="556"/>
      <c r="Q114" s="556"/>
      <c r="R114" s="556"/>
      <c r="S114" s="556"/>
      <c r="T114" s="556"/>
      <c r="U114" s="556"/>
      <c r="V114" s="556"/>
      <c r="W114" s="556"/>
      <c r="X114" s="556"/>
      <c r="Y114" s="556"/>
      <c r="Z114" s="556"/>
      <c r="AA114" s="545"/>
      <c r="AB114" s="545"/>
      <c r="AC114" s="545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53">
        <v>4607091385168</v>
      </c>
      <c r="E115" s="554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330</v>
      </c>
      <c r="Y115" s="550">
        <f>IFERROR(IF(X115="",0,CEILING((X115/$H115),1)*$H115),"")</f>
        <v>332.09999999999997</v>
      </c>
      <c r="Z115" s="36">
        <f>IFERROR(IF(Y115=0,"",ROUNDUP(Y115/H115,0)*0.01898),"")</f>
        <v>0.77817999999999998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349.88148148148144</v>
      </c>
      <c r="BN115" s="64">
        <f>IFERROR(Y115*I115/H115,"0")</f>
        <v>352.10799999999995</v>
      </c>
      <c r="BO115" s="64">
        <f>IFERROR(1/J115*(X115/H115),"0")</f>
        <v>0.63657407407407407</v>
      </c>
      <c r="BP115" s="64">
        <f>IFERROR(1/J115*(Y115/H115),"0")</f>
        <v>0.640625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53">
        <v>4607091383256</v>
      </c>
      <c r="E116" s="554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53">
        <v>4607091385748</v>
      </c>
      <c r="E117" s="554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450</v>
      </c>
      <c r="Y117" s="550">
        <f>IFERROR(IF(X117="",0,CEILING((X117/$H117),1)*$H117),"")</f>
        <v>450.90000000000003</v>
      </c>
      <c r="Z117" s="36">
        <f>IFERROR(IF(Y117=0,"",ROUNDUP(Y117/H117,0)*0.00651),"")</f>
        <v>1.08717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492</v>
      </c>
      <c r="BN117" s="64">
        <f>IFERROR(Y117*I117/H117,"0")</f>
        <v>492.98399999999998</v>
      </c>
      <c r="BO117" s="64">
        <f>IFERROR(1/J117*(X117/H117),"0")</f>
        <v>0.91575091575091572</v>
      </c>
      <c r="BP117" s="64">
        <f>IFERROR(1/J117*(Y117/H117),"0")</f>
        <v>0.91758241758241765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53">
        <v>4680115884533</v>
      </c>
      <c r="E118" s="554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49">
        <v>9</v>
      </c>
      <c r="Y118" s="550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57"/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8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212.40740740740739</v>
      </c>
      <c r="Y119" s="551">
        <f>IFERROR(Y115/H115,"0")+IFERROR(Y116/H116,"0")+IFERROR(Y117/H117,"0")+IFERROR(Y118/H118,"0")</f>
        <v>213</v>
      </c>
      <c r="Z119" s="551">
        <f>IFERROR(IF(Z115="",0,Z115),"0")+IFERROR(IF(Z116="",0,Z116),"0")+IFERROR(IF(Z117="",0,Z117),"0")+IFERROR(IF(Z118="",0,Z118),"0")</f>
        <v>1.8978999999999999</v>
      </c>
      <c r="AA119" s="552"/>
      <c r="AB119" s="552"/>
      <c r="AC119" s="552"/>
    </row>
    <row r="120" spans="1:68" x14ac:dyDescent="0.2">
      <c r="A120" s="556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8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789</v>
      </c>
      <c r="Y120" s="551">
        <f>IFERROR(SUM(Y115:Y118),"0")</f>
        <v>792</v>
      </c>
      <c r="Z120" s="37"/>
      <c r="AA120" s="552"/>
      <c r="AB120" s="552"/>
      <c r="AC120" s="552"/>
    </row>
    <row r="121" spans="1:68" ht="14.25" hidden="1" customHeight="1" x14ac:dyDescent="0.25">
      <c r="A121" s="555" t="s">
        <v>162</v>
      </c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6"/>
      <c r="P121" s="556"/>
      <c r="Q121" s="556"/>
      <c r="R121" s="556"/>
      <c r="S121" s="556"/>
      <c r="T121" s="556"/>
      <c r="U121" s="556"/>
      <c r="V121" s="556"/>
      <c r="W121" s="556"/>
      <c r="X121" s="556"/>
      <c r="Y121" s="556"/>
      <c r="Z121" s="556"/>
      <c r="AA121" s="545"/>
      <c r="AB121" s="545"/>
      <c r="AC121" s="545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53">
        <v>4680115880238</v>
      </c>
      <c r="E122" s="554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49">
        <v>19.8</v>
      </c>
      <c r="Y122" s="550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57"/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8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10</v>
      </c>
      <c r="Y123" s="551">
        <f>IFERROR(Y122/H122,"0")</f>
        <v>10</v>
      </c>
      <c r="Z123" s="551">
        <f>IFERROR(IF(Z122="",0,Z122),"0")</f>
        <v>6.5100000000000005E-2</v>
      </c>
      <c r="AA123" s="552"/>
      <c r="AB123" s="552"/>
      <c r="AC123" s="552"/>
    </row>
    <row r="124" spans="1:68" x14ac:dyDescent="0.2">
      <c r="A124" s="556"/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8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19.8</v>
      </c>
      <c r="Y124" s="551">
        <f>IFERROR(SUM(Y122:Y122),"0")</f>
        <v>19.8</v>
      </c>
      <c r="Z124" s="37"/>
      <c r="AA124" s="552"/>
      <c r="AB124" s="552"/>
      <c r="AC124" s="552"/>
    </row>
    <row r="125" spans="1:68" ht="16.5" hidden="1" customHeight="1" x14ac:dyDescent="0.25">
      <c r="A125" s="562" t="s">
        <v>229</v>
      </c>
      <c r="B125" s="556"/>
      <c r="C125" s="556"/>
      <c r="D125" s="556"/>
      <c r="E125" s="556"/>
      <c r="F125" s="556"/>
      <c r="G125" s="556"/>
      <c r="H125" s="556"/>
      <c r="I125" s="556"/>
      <c r="J125" s="556"/>
      <c r="K125" s="556"/>
      <c r="L125" s="556"/>
      <c r="M125" s="556"/>
      <c r="N125" s="556"/>
      <c r="O125" s="556"/>
      <c r="P125" s="556"/>
      <c r="Q125" s="556"/>
      <c r="R125" s="556"/>
      <c r="S125" s="556"/>
      <c r="T125" s="556"/>
      <c r="U125" s="556"/>
      <c r="V125" s="556"/>
      <c r="W125" s="556"/>
      <c r="X125" s="556"/>
      <c r="Y125" s="556"/>
      <c r="Z125" s="556"/>
      <c r="AA125" s="544"/>
      <c r="AB125" s="544"/>
      <c r="AC125" s="544"/>
    </row>
    <row r="126" spans="1:68" ht="14.25" hidden="1" customHeight="1" x14ac:dyDescent="0.25">
      <c r="A126" s="555" t="s">
        <v>101</v>
      </c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6"/>
      <c r="P126" s="556"/>
      <c r="Q126" s="556"/>
      <c r="R126" s="556"/>
      <c r="S126" s="556"/>
      <c r="T126" s="556"/>
      <c r="U126" s="556"/>
      <c r="V126" s="556"/>
      <c r="W126" s="556"/>
      <c r="X126" s="556"/>
      <c r="Y126" s="556"/>
      <c r="Z126" s="556"/>
      <c r="AA126" s="545"/>
      <c r="AB126" s="545"/>
      <c r="AC126" s="545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53">
        <v>4680115882577</v>
      </c>
      <c r="E127" s="554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53">
        <v>4680115882577</v>
      </c>
      <c r="E128" s="554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57"/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8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6"/>
      <c r="B130" s="556"/>
      <c r="C130" s="556"/>
      <c r="D130" s="556"/>
      <c r="E130" s="556"/>
      <c r="F130" s="556"/>
      <c r="G130" s="556"/>
      <c r="H130" s="556"/>
      <c r="I130" s="556"/>
      <c r="J130" s="556"/>
      <c r="K130" s="556"/>
      <c r="L130" s="556"/>
      <c r="M130" s="556"/>
      <c r="N130" s="556"/>
      <c r="O130" s="558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5" t="s">
        <v>64</v>
      </c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6"/>
      <c r="P131" s="556"/>
      <c r="Q131" s="556"/>
      <c r="R131" s="556"/>
      <c r="S131" s="556"/>
      <c r="T131" s="556"/>
      <c r="U131" s="556"/>
      <c r="V131" s="556"/>
      <c r="W131" s="556"/>
      <c r="X131" s="556"/>
      <c r="Y131" s="556"/>
      <c r="Z131" s="556"/>
      <c r="AA131" s="545"/>
      <c r="AB131" s="545"/>
      <c r="AC131" s="545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53">
        <v>4680115883444</v>
      </c>
      <c r="E132" s="554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53">
        <v>4680115883444</v>
      </c>
      <c r="E133" s="554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2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57"/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8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6"/>
      <c r="B135" s="556"/>
      <c r="C135" s="556"/>
      <c r="D135" s="556"/>
      <c r="E135" s="556"/>
      <c r="F135" s="556"/>
      <c r="G135" s="556"/>
      <c r="H135" s="556"/>
      <c r="I135" s="556"/>
      <c r="J135" s="556"/>
      <c r="K135" s="556"/>
      <c r="L135" s="556"/>
      <c r="M135" s="556"/>
      <c r="N135" s="556"/>
      <c r="O135" s="558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5" t="s">
        <v>77</v>
      </c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6"/>
      <c r="P136" s="556"/>
      <c r="Q136" s="556"/>
      <c r="R136" s="556"/>
      <c r="S136" s="556"/>
      <c r="T136" s="556"/>
      <c r="U136" s="556"/>
      <c r="V136" s="556"/>
      <c r="W136" s="556"/>
      <c r="X136" s="556"/>
      <c r="Y136" s="556"/>
      <c r="Z136" s="556"/>
      <c r="AA136" s="545"/>
      <c r="AB136" s="545"/>
      <c r="AC136" s="545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53">
        <v>4680115882584</v>
      </c>
      <c r="E137" s="554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53">
        <v>4680115882584</v>
      </c>
      <c r="E138" s="554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57"/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8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6"/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8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62" t="s">
        <v>99</v>
      </c>
      <c r="B141" s="556"/>
      <c r="C141" s="556"/>
      <c r="D141" s="556"/>
      <c r="E141" s="556"/>
      <c r="F141" s="556"/>
      <c r="G141" s="556"/>
      <c r="H141" s="556"/>
      <c r="I141" s="556"/>
      <c r="J141" s="556"/>
      <c r="K141" s="556"/>
      <c r="L141" s="556"/>
      <c r="M141" s="556"/>
      <c r="N141" s="556"/>
      <c r="O141" s="556"/>
      <c r="P141" s="556"/>
      <c r="Q141" s="556"/>
      <c r="R141" s="556"/>
      <c r="S141" s="556"/>
      <c r="T141" s="556"/>
      <c r="U141" s="556"/>
      <c r="V141" s="556"/>
      <c r="W141" s="556"/>
      <c r="X141" s="556"/>
      <c r="Y141" s="556"/>
      <c r="Z141" s="556"/>
      <c r="AA141" s="544"/>
      <c r="AB141" s="544"/>
      <c r="AC141" s="544"/>
    </row>
    <row r="142" spans="1:68" ht="14.25" hidden="1" customHeight="1" x14ac:dyDescent="0.25">
      <c r="A142" s="555" t="s">
        <v>101</v>
      </c>
      <c r="B142" s="556"/>
      <c r="C142" s="556"/>
      <c r="D142" s="556"/>
      <c r="E142" s="556"/>
      <c r="F142" s="556"/>
      <c r="G142" s="556"/>
      <c r="H142" s="556"/>
      <c r="I142" s="556"/>
      <c r="J142" s="556"/>
      <c r="K142" s="556"/>
      <c r="L142" s="556"/>
      <c r="M142" s="556"/>
      <c r="N142" s="556"/>
      <c r="O142" s="556"/>
      <c r="P142" s="556"/>
      <c r="Q142" s="556"/>
      <c r="R142" s="556"/>
      <c r="S142" s="556"/>
      <c r="T142" s="556"/>
      <c r="U142" s="556"/>
      <c r="V142" s="556"/>
      <c r="W142" s="556"/>
      <c r="X142" s="556"/>
      <c r="Y142" s="556"/>
      <c r="Z142" s="556"/>
      <c r="AA142" s="545"/>
      <c r="AB142" s="545"/>
      <c r="AC142" s="545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53">
        <v>4680115887374</v>
      </c>
      <c r="E143" s="554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67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53">
        <v>4607091384604</v>
      </c>
      <c r="E144" s="554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57"/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8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6"/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58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5" t="s">
        <v>64</v>
      </c>
      <c r="B147" s="556"/>
      <c r="C147" s="556"/>
      <c r="D147" s="556"/>
      <c r="E147" s="556"/>
      <c r="F147" s="556"/>
      <c r="G147" s="556"/>
      <c r="H147" s="556"/>
      <c r="I147" s="556"/>
      <c r="J147" s="556"/>
      <c r="K147" s="556"/>
      <c r="L147" s="556"/>
      <c r="M147" s="556"/>
      <c r="N147" s="556"/>
      <c r="O147" s="556"/>
      <c r="P147" s="556"/>
      <c r="Q147" s="556"/>
      <c r="R147" s="556"/>
      <c r="S147" s="556"/>
      <c r="T147" s="556"/>
      <c r="U147" s="556"/>
      <c r="V147" s="556"/>
      <c r="W147" s="556"/>
      <c r="X147" s="556"/>
      <c r="Y147" s="556"/>
      <c r="Z147" s="556"/>
      <c r="AA147" s="545"/>
      <c r="AB147" s="545"/>
      <c r="AC147" s="545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53">
        <v>4680115887428</v>
      </c>
      <c r="E148" s="554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249</v>
      </c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3">
        <v>4680115887336</v>
      </c>
      <c r="E149" s="554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249</v>
      </c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4301031456</v>
      </c>
      <c r="D150" s="553">
        <v>4680115887398</v>
      </c>
      <c r="E150" s="554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249</v>
      </c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257</v>
      </c>
      <c r="B151" s="54" t="s">
        <v>258</v>
      </c>
      <c r="C151" s="31">
        <v>4301030895</v>
      </c>
      <c r="D151" s="553">
        <v>4607091387667</v>
      </c>
      <c r="E151" s="554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7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260</v>
      </c>
      <c r="B152" s="54" t="s">
        <v>261</v>
      </c>
      <c r="C152" s="31">
        <v>4301030961</v>
      </c>
      <c r="D152" s="553">
        <v>4607091387636</v>
      </c>
      <c r="E152" s="554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263</v>
      </c>
      <c r="B153" s="54" t="s">
        <v>264</v>
      </c>
      <c r="C153" s="31">
        <v>4301030963</v>
      </c>
      <c r="D153" s="553">
        <v>4607091382426</v>
      </c>
      <c r="E153" s="554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0"/>
      <c r="R153" s="560"/>
      <c r="S153" s="560"/>
      <c r="T153" s="561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265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57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8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6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58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55" t="s">
        <v>77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45"/>
      <c r="AB156" s="545"/>
      <c r="AC156" s="545"/>
    </row>
    <row r="157" spans="1:68" ht="27" hidden="1" customHeight="1" x14ac:dyDescent="0.25">
      <c r="A157" s="54" t="s">
        <v>266</v>
      </c>
      <c r="B157" s="54" t="s">
        <v>267</v>
      </c>
      <c r="C157" s="31">
        <v>4301052064</v>
      </c>
      <c r="D157" s="553">
        <v>4680115887459</v>
      </c>
      <c r="E157" s="554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268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7"/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8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6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8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31" t="s">
        <v>269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48"/>
      <c r="AB160" s="48"/>
      <c r="AC160" s="48"/>
    </row>
    <row r="161" spans="1:68" ht="16.5" hidden="1" customHeight="1" x14ac:dyDescent="0.25">
      <c r="A161" s="562" t="s">
        <v>270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44"/>
      <c r="AB161" s="544"/>
      <c r="AC161" s="544"/>
    </row>
    <row r="162" spans="1:68" ht="14.25" hidden="1" customHeight="1" x14ac:dyDescent="0.25">
      <c r="A162" s="555" t="s">
        <v>137</v>
      </c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56"/>
      <c r="P162" s="556"/>
      <c r="Q162" s="556"/>
      <c r="R162" s="556"/>
      <c r="S162" s="556"/>
      <c r="T162" s="556"/>
      <c r="U162" s="556"/>
      <c r="V162" s="556"/>
      <c r="W162" s="556"/>
      <c r="X162" s="556"/>
      <c r="Y162" s="556"/>
      <c r="Z162" s="556"/>
      <c r="AA162" s="545"/>
      <c r="AB162" s="545"/>
      <c r="AC162" s="545"/>
    </row>
    <row r="163" spans="1:68" ht="27" hidden="1" customHeight="1" x14ac:dyDescent="0.25">
      <c r="A163" s="54" t="s">
        <v>271</v>
      </c>
      <c r="B163" s="54" t="s">
        <v>272</v>
      </c>
      <c r="C163" s="31">
        <v>4301020323</v>
      </c>
      <c r="D163" s="553">
        <v>4680115886223</v>
      </c>
      <c r="E163" s="554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273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57"/>
      <c r="B164" s="556"/>
      <c r="C164" s="556"/>
      <c r="D164" s="556"/>
      <c r="E164" s="556"/>
      <c r="F164" s="556"/>
      <c r="G164" s="556"/>
      <c r="H164" s="556"/>
      <c r="I164" s="556"/>
      <c r="J164" s="556"/>
      <c r="K164" s="556"/>
      <c r="L164" s="556"/>
      <c r="M164" s="556"/>
      <c r="N164" s="556"/>
      <c r="O164" s="558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6"/>
      <c r="B165" s="556"/>
      <c r="C165" s="556"/>
      <c r="D165" s="556"/>
      <c r="E165" s="556"/>
      <c r="F165" s="556"/>
      <c r="G165" s="556"/>
      <c r="H165" s="556"/>
      <c r="I165" s="556"/>
      <c r="J165" s="556"/>
      <c r="K165" s="556"/>
      <c r="L165" s="556"/>
      <c r="M165" s="556"/>
      <c r="N165" s="556"/>
      <c r="O165" s="558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5" t="s">
        <v>64</v>
      </c>
      <c r="B166" s="556"/>
      <c r="C166" s="556"/>
      <c r="D166" s="556"/>
      <c r="E166" s="556"/>
      <c r="F166" s="556"/>
      <c r="G166" s="556"/>
      <c r="H166" s="556"/>
      <c r="I166" s="556"/>
      <c r="J166" s="556"/>
      <c r="K166" s="556"/>
      <c r="L166" s="556"/>
      <c r="M166" s="556"/>
      <c r="N166" s="556"/>
      <c r="O166" s="556"/>
      <c r="P166" s="556"/>
      <c r="Q166" s="556"/>
      <c r="R166" s="556"/>
      <c r="S166" s="556"/>
      <c r="T166" s="556"/>
      <c r="U166" s="556"/>
      <c r="V166" s="556"/>
      <c r="W166" s="556"/>
      <c r="X166" s="556"/>
      <c r="Y166" s="556"/>
      <c r="Z166" s="556"/>
      <c r="AA166" s="545"/>
      <c r="AB166" s="545"/>
      <c r="AC166" s="545"/>
    </row>
    <row r="167" spans="1:68" ht="27" customHeight="1" x14ac:dyDescent="0.25">
      <c r="A167" s="54" t="s">
        <v>274</v>
      </c>
      <c r="B167" s="54" t="s">
        <v>275</v>
      </c>
      <c r="C167" s="31">
        <v>4301031191</v>
      </c>
      <c r="D167" s="553">
        <v>4680115880993</v>
      </c>
      <c r="E167" s="554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6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50</v>
      </c>
      <c r="Y167" s="550">
        <f t="shared" ref="Y167:Y178" si="10">IFERROR(IF(X167="",0,CEILING((X167/$H167),1)*$H167),"")</f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52.976190476190474</v>
      </c>
      <c r="BN167" s="64">
        <f t="shared" ref="BN167:BN178" si="12">IFERROR(Y167*I167/H167,"0")</f>
        <v>53.400000000000006</v>
      </c>
      <c r="BO167" s="64">
        <f t="shared" ref="BO167:BO178" si="13">IFERROR(1/J167*(X167/H167),"0")</f>
        <v>9.0187590187590191E-2</v>
      </c>
      <c r="BP167" s="64">
        <f t="shared" ref="BP167:BP178" si="14">IFERROR(1/J167*(Y167/H167),"0")</f>
        <v>9.0909090909090912E-2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4301031204</v>
      </c>
      <c r="D168" s="553">
        <v>4680115881761</v>
      </c>
      <c r="E168" s="554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111</v>
      </c>
      <c r="L168" s="32" t="s">
        <v>112</v>
      </c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4301031201</v>
      </c>
      <c r="D169" s="553">
        <v>4680115881563</v>
      </c>
      <c r="E169" s="554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282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283</v>
      </c>
      <c r="B170" s="54" t="s">
        <v>284</v>
      </c>
      <c r="C170" s="31">
        <v>4301031447</v>
      </c>
      <c r="D170" s="553">
        <v>4680115887565</v>
      </c>
      <c r="E170" s="554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4301031199</v>
      </c>
      <c r="D171" s="553">
        <v>4680115880986</v>
      </c>
      <c r="E171" s="554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276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4301031443</v>
      </c>
      <c r="D172" s="553">
        <v>4680115887213</v>
      </c>
      <c r="E172" s="554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4301031205</v>
      </c>
      <c r="D173" s="553">
        <v>4680115881785</v>
      </c>
      <c r="E173" s="554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288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35</v>
      </c>
      <c r="Y173" s="550">
        <f t="shared" si="10"/>
        <v>35.700000000000003</v>
      </c>
      <c r="Z173" s="36">
        <f>IFERROR(IF(Y173=0,"",ROUNDUP(Y173/H173,0)*0.00502),"")</f>
        <v>8.5339999999999999E-2</v>
      </c>
      <c r="AA173" s="56"/>
      <c r="AB173" s="57"/>
      <c r="AC173" s="215" t="s">
        <v>279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37.166666666666664</v>
      </c>
      <c r="BN173" s="64">
        <f t="shared" si="12"/>
        <v>37.910000000000004</v>
      </c>
      <c r="BO173" s="64">
        <f t="shared" si="13"/>
        <v>7.1225071225071226E-2</v>
      </c>
      <c r="BP173" s="64">
        <f t="shared" si="14"/>
        <v>7.2649572649572655E-2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3">
        <v>4680115886537</v>
      </c>
      <c r="E174" s="554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3">
        <v>4680115887596</v>
      </c>
      <c r="E175" s="554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3">
        <v>4680115881679</v>
      </c>
      <c r="E176" s="554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288</v>
      </c>
      <c r="M176" s="33" t="s">
        <v>68</v>
      </c>
      <c r="N176" s="33"/>
      <c r="O176" s="32">
        <v>40</v>
      </c>
      <c r="P176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105</v>
      </c>
      <c r="Y176" s="550">
        <f t="shared" si="10"/>
        <v>105</v>
      </c>
      <c r="Z176" s="36">
        <f>IFERROR(IF(Y176=0,"",ROUNDUP(Y176/H176,0)*0.00502),"")</f>
        <v>0.251</v>
      </c>
      <c r="AA176" s="56"/>
      <c r="AB176" s="57"/>
      <c r="AC176" s="221" t="s">
        <v>282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110.00000000000001</v>
      </c>
      <c r="BN176" s="64">
        <f t="shared" si="12"/>
        <v>110.00000000000001</v>
      </c>
      <c r="BO176" s="64">
        <f t="shared" si="13"/>
        <v>0.21367521367521369</v>
      </c>
      <c r="BP176" s="64">
        <f t="shared" si="14"/>
        <v>0.21367521367521369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3">
        <v>4680115880191</v>
      </c>
      <c r="E177" s="554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282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3">
        <v>4680115883963</v>
      </c>
      <c r="E178" s="554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57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8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78.571428571428569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79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0.44457999999999998</v>
      </c>
      <c r="AA179" s="552"/>
      <c r="AB179" s="552"/>
      <c r="AC179" s="552"/>
    </row>
    <row r="180" spans="1:68" x14ac:dyDescent="0.2">
      <c r="A180" s="556"/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8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190</v>
      </c>
      <c r="Y180" s="551">
        <f>IFERROR(SUM(Y167:Y178),"0")</f>
        <v>191.10000000000002</v>
      </c>
      <c r="Z180" s="37"/>
      <c r="AA180" s="552"/>
      <c r="AB180" s="552"/>
      <c r="AC180" s="552"/>
    </row>
    <row r="181" spans="1:68" ht="14.25" hidden="1" customHeight="1" x14ac:dyDescent="0.25">
      <c r="A181" s="555" t="s">
        <v>93</v>
      </c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6"/>
      <c r="P181" s="556"/>
      <c r="Q181" s="556"/>
      <c r="R181" s="556"/>
      <c r="S181" s="556"/>
      <c r="T181" s="556"/>
      <c r="U181" s="556"/>
      <c r="V181" s="556"/>
      <c r="W181" s="556"/>
      <c r="X181" s="556"/>
      <c r="Y181" s="556"/>
      <c r="Z181" s="556"/>
      <c r="AA181" s="545"/>
      <c r="AB181" s="545"/>
      <c r="AC181" s="545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3">
        <v>4680115886780</v>
      </c>
      <c r="E182" s="554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309</v>
      </c>
      <c r="L182" s="32"/>
      <c r="M182" s="33" t="s">
        <v>310</v>
      </c>
      <c r="N182" s="33"/>
      <c r="O182" s="32">
        <v>60</v>
      </c>
      <c r="P182" s="69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0"/>
      <c r="R182" s="560"/>
      <c r="S182" s="560"/>
      <c r="T182" s="561"/>
      <c r="U182" s="34"/>
      <c r="V182" s="34"/>
      <c r="W182" s="35" t="s">
        <v>69</v>
      </c>
      <c r="X182" s="549">
        <v>7.0000000000000009</v>
      </c>
      <c r="Y182" s="550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311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ht="27" customHeight="1" x14ac:dyDescent="0.25">
      <c r="A183" s="54" t="s">
        <v>312</v>
      </c>
      <c r="B183" s="54" t="s">
        <v>313</v>
      </c>
      <c r="C183" s="31">
        <v>4301032051</v>
      </c>
      <c r="D183" s="553">
        <v>4680115886742</v>
      </c>
      <c r="E183" s="554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309</v>
      </c>
      <c r="L183" s="32"/>
      <c r="M183" s="33" t="s">
        <v>310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10.5</v>
      </c>
      <c r="Y183" s="550">
        <f>IFERROR(IF(X183="",0,CEILING((X183/$H183),1)*$H183),"")</f>
        <v>11.34</v>
      </c>
      <c r="Z183" s="36">
        <f>IFERROR(IF(Y183=0,"",ROUNDUP(Y183/H183,0)*0.0059),"")</f>
        <v>5.3100000000000001E-2</v>
      </c>
      <c r="AA183" s="56"/>
      <c r="AB183" s="57"/>
      <c r="AC183" s="229" t="s">
        <v>314</v>
      </c>
      <c r="AG183" s="64"/>
      <c r="AJ183" s="68"/>
      <c r="AK183" s="68">
        <v>0</v>
      </c>
      <c r="BB183" s="230" t="s">
        <v>1</v>
      </c>
      <c r="BM183" s="64">
        <f>IFERROR(X183*I183/H183,"0")</f>
        <v>12.083333333333332</v>
      </c>
      <c r="BN183" s="64">
        <f>IFERROR(Y183*I183/H183,"0")</f>
        <v>13.049999999999999</v>
      </c>
      <c r="BO183" s="64">
        <f>IFERROR(1/J183*(X183/H183),"0")</f>
        <v>3.8580246913580245E-2</v>
      </c>
      <c r="BP183" s="64">
        <f>IFERROR(1/J183*(Y183/H183),"0")</f>
        <v>4.1666666666666664E-2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553">
        <v>4680115886766</v>
      </c>
      <c r="E184" s="554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309</v>
      </c>
      <c r="L184" s="32"/>
      <c r="M184" s="33" t="s">
        <v>310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14</v>
      </c>
      <c r="Y184" s="550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314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x14ac:dyDescent="0.2">
      <c r="A185" s="557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8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25</v>
      </c>
      <c r="Y185" s="551">
        <f>IFERROR(Y182/H182,"0")+IFERROR(Y183/H183,"0")+IFERROR(Y184/H184,"0")</f>
        <v>27</v>
      </c>
      <c r="Z185" s="551">
        <f>IFERROR(IF(Z182="",0,Z182),"0")+IFERROR(IF(Z183="",0,Z183),"0")+IFERROR(IF(Z184="",0,Z184),"0")</f>
        <v>0.1593</v>
      </c>
      <c r="AA185" s="552"/>
      <c r="AB185" s="552"/>
      <c r="AC185" s="552"/>
    </row>
    <row r="186" spans="1:68" x14ac:dyDescent="0.2">
      <c r="A186" s="556"/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8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31.5</v>
      </c>
      <c r="Y186" s="551">
        <f>IFERROR(SUM(Y182:Y184),"0")</f>
        <v>34.019999999999996</v>
      </c>
      <c r="Z186" s="37"/>
      <c r="AA186" s="552"/>
      <c r="AB186" s="552"/>
      <c r="AC186" s="552"/>
    </row>
    <row r="187" spans="1:68" ht="14.25" hidden="1" customHeight="1" x14ac:dyDescent="0.25">
      <c r="A187" s="555" t="s">
        <v>317</v>
      </c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6"/>
      <c r="P187" s="556"/>
      <c r="Q187" s="556"/>
      <c r="R187" s="556"/>
      <c r="S187" s="556"/>
      <c r="T187" s="556"/>
      <c r="U187" s="556"/>
      <c r="V187" s="556"/>
      <c r="W187" s="556"/>
      <c r="X187" s="556"/>
      <c r="Y187" s="556"/>
      <c r="Z187" s="556"/>
      <c r="AA187" s="545"/>
      <c r="AB187" s="545"/>
      <c r="AC187" s="545"/>
    </row>
    <row r="188" spans="1:68" ht="27" customHeight="1" x14ac:dyDescent="0.25">
      <c r="A188" s="54" t="s">
        <v>318</v>
      </c>
      <c r="B188" s="54" t="s">
        <v>319</v>
      </c>
      <c r="C188" s="31">
        <v>4301170013</v>
      </c>
      <c r="D188" s="553">
        <v>4680115886797</v>
      </c>
      <c r="E188" s="554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309</v>
      </c>
      <c r="L188" s="32"/>
      <c r="M188" s="33" t="s">
        <v>310</v>
      </c>
      <c r="N188" s="33"/>
      <c r="O188" s="32">
        <v>90</v>
      </c>
      <c r="P188" s="88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0"/>
      <c r="R188" s="560"/>
      <c r="S188" s="560"/>
      <c r="T188" s="561"/>
      <c r="U188" s="34"/>
      <c r="V188" s="34"/>
      <c r="W188" s="35" t="s">
        <v>69</v>
      </c>
      <c r="X188" s="549">
        <v>7.0000000000000009</v>
      </c>
      <c r="Y188" s="550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314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57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8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5.5555555555555562</v>
      </c>
      <c r="Y189" s="551">
        <f>IFERROR(Y188/H188,"0")</f>
        <v>6</v>
      </c>
      <c r="Z189" s="551">
        <f>IFERROR(IF(Z188="",0,Z188),"0")</f>
        <v>3.5400000000000001E-2</v>
      </c>
      <c r="AA189" s="552"/>
      <c r="AB189" s="552"/>
      <c r="AC189" s="552"/>
    </row>
    <row r="190" spans="1:68" x14ac:dyDescent="0.2">
      <c r="A190" s="556"/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8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7.0000000000000009</v>
      </c>
      <c r="Y190" s="551">
        <f>IFERROR(SUM(Y188:Y188),"0")</f>
        <v>7.5600000000000005</v>
      </c>
      <c r="Z190" s="37"/>
      <c r="AA190" s="552"/>
      <c r="AB190" s="552"/>
      <c r="AC190" s="552"/>
    </row>
    <row r="191" spans="1:68" ht="16.5" hidden="1" customHeight="1" x14ac:dyDescent="0.25">
      <c r="A191" s="562" t="s">
        <v>320</v>
      </c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44"/>
      <c r="AB191" s="544"/>
      <c r="AC191" s="544"/>
    </row>
    <row r="192" spans="1:68" ht="14.25" hidden="1" customHeight="1" x14ac:dyDescent="0.25">
      <c r="A192" s="555" t="s">
        <v>101</v>
      </c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6"/>
      <c r="P192" s="556"/>
      <c r="Q192" s="556"/>
      <c r="R192" s="556"/>
      <c r="S192" s="556"/>
      <c r="T192" s="556"/>
      <c r="U192" s="556"/>
      <c r="V192" s="556"/>
      <c r="W192" s="556"/>
      <c r="X192" s="556"/>
      <c r="Y192" s="556"/>
      <c r="Z192" s="556"/>
      <c r="AA192" s="545"/>
      <c r="AB192" s="545"/>
      <c r="AC192" s="545"/>
    </row>
    <row r="193" spans="1:68" ht="27" hidden="1" customHeight="1" x14ac:dyDescent="0.25">
      <c r="A193" s="54" t="s">
        <v>321</v>
      </c>
      <c r="B193" s="54" t="s">
        <v>322</v>
      </c>
      <c r="C193" s="31">
        <v>4301011450</v>
      </c>
      <c r="D193" s="553">
        <v>4680115881402</v>
      </c>
      <c r="E193" s="554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0"/>
      <c r="R193" s="560"/>
      <c r="S193" s="560"/>
      <c r="T193" s="561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323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324</v>
      </c>
      <c r="B194" s="54" t="s">
        <v>325</v>
      </c>
      <c r="C194" s="31">
        <v>4301011768</v>
      </c>
      <c r="D194" s="553">
        <v>4680115881396</v>
      </c>
      <c r="E194" s="554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323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7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8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6"/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8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5" t="s">
        <v>137</v>
      </c>
      <c r="B197" s="556"/>
      <c r="C197" s="556"/>
      <c r="D197" s="556"/>
      <c r="E197" s="556"/>
      <c r="F197" s="556"/>
      <c r="G197" s="556"/>
      <c r="H197" s="556"/>
      <c r="I197" s="556"/>
      <c r="J197" s="556"/>
      <c r="K197" s="556"/>
      <c r="L197" s="556"/>
      <c r="M197" s="556"/>
      <c r="N197" s="556"/>
      <c r="O197" s="556"/>
      <c r="P197" s="556"/>
      <c r="Q197" s="556"/>
      <c r="R197" s="556"/>
      <c r="S197" s="556"/>
      <c r="T197" s="556"/>
      <c r="U197" s="556"/>
      <c r="V197" s="556"/>
      <c r="W197" s="556"/>
      <c r="X197" s="556"/>
      <c r="Y197" s="556"/>
      <c r="Z197" s="556"/>
      <c r="AA197" s="545"/>
      <c r="AB197" s="545"/>
      <c r="AC197" s="545"/>
    </row>
    <row r="198" spans="1:68" ht="16.5" hidden="1" customHeight="1" x14ac:dyDescent="0.25">
      <c r="A198" s="54" t="s">
        <v>326</v>
      </c>
      <c r="B198" s="54" t="s">
        <v>327</v>
      </c>
      <c r="C198" s="31">
        <v>4301020261</v>
      </c>
      <c r="D198" s="553">
        <v>4680115882935</v>
      </c>
      <c r="E198" s="554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0"/>
      <c r="R198" s="560"/>
      <c r="S198" s="560"/>
      <c r="T198" s="561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328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329</v>
      </c>
      <c r="B199" s="54" t="s">
        <v>330</v>
      </c>
      <c r="C199" s="31">
        <v>4301020220</v>
      </c>
      <c r="D199" s="553">
        <v>4680115880764</v>
      </c>
      <c r="E199" s="554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328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7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58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6"/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8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5" t="s">
        <v>64</v>
      </c>
      <c r="B202" s="556"/>
      <c r="C202" s="556"/>
      <c r="D202" s="556"/>
      <c r="E202" s="556"/>
      <c r="F202" s="556"/>
      <c r="G202" s="556"/>
      <c r="H202" s="556"/>
      <c r="I202" s="556"/>
      <c r="J202" s="556"/>
      <c r="K202" s="556"/>
      <c r="L202" s="556"/>
      <c r="M202" s="556"/>
      <c r="N202" s="556"/>
      <c r="O202" s="556"/>
      <c r="P202" s="556"/>
      <c r="Q202" s="556"/>
      <c r="R202" s="556"/>
      <c r="S202" s="556"/>
      <c r="T202" s="556"/>
      <c r="U202" s="556"/>
      <c r="V202" s="556"/>
      <c r="W202" s="556"/>
      <c r="X202" s="556"/>
      <c r="Y202" s="556"/>
      <c r="Z202" s="556"/>
      <c r="AA202" s="545"/>
      <c r="AB202" s="545"/>
      <c r="AC202" s="545"/>
    </row>
    <row r="203" spans="1:68" ht="27" hidden="1" customHeight="1" x14ac:dyDescent="0.25">
      <c r="A203" s="54" t="s">
        <v>331</v>
      </c>
      <c r="B203" s="54" t="s">
        <v>332</v>
      </c>
      <c r="C203" s="31">
        <v>4301031224</v>
      </c>
      <c r="D203" s="553">
        <v>4680115882683</v>
      </c>
      <c r="E203" s="554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3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0"/>
      <c r="R203" s="560"/>
      <c r="S203" s="560"/>
      <c r="T203" s="561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333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334</v>
      </c>
      <c r="B204" s="54" t="s">
        <v>335</v>
      </c>
      <c r="C204" s="31">
        <v>4301031230</v>
      </c>
      <c r="D204" s="553">
        <v>4680115882690</v>
      </c>
      <c r="E204" s="554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336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337</v>
      </c>
      <c r="B205" s="54" t="s">
        <v>338</v>
      </c>
      <c r="C205" s="31">
        <v>4301031220</v>
      </c>
      <c r="D205" s="553">
        <v>4680115882669</v>
      </c>
      <c r="E205" s="554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339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340</v>
      </c>
      <c r="B206" s="54" t="s">
        <v>341</v>
      </c>
      <c r="C206" s="31">
        <v>4301031221</v>
      </c>
      <c r="D206" s="553">
        <v>4680115882676</v>
      </c>
      <c r="E206" s="554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6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342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343</v>
      </c>
      <c r="B207" s="54" t="s">
        <v>344</v>
      </c>
      <c r="C207" s="31">
        <v>4301031223</v>
      </c>
      <c r="D207" s="553">
        <v>4680115884014</v>
      </c>
      <c r="E207" s="554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66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15</v>
      </c>
      <c r="Y207" s="550">
        <f t="shared" si="15"/>
        <v>16.2</v>
      </c>
      <c r="Z207" s="36">
        <f>IFERROR(IF(Y207=0,"",ROUNDUP(Y207/H207,0)*0.00502),"")</f>
        <v>4.5179999999999998E-2</v>
      </c>
      <c r="AA207" s="56"/>
      <c r="AB207" s="57"/>
      <c r="AC207" s="251" t="s">
        <v>333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16.083333333333332</v>
      </c>
      <c r="BN207" s="64">
        <f t="shared" si="17"/>
        <v>17.369999999999997</v>
      </c>
      <c r="BO207" s="64">
        <f t="shared" si="18"/>
        <v>3.561253561253562E-2</v>
      </c>
      <c r="BP207" s="64">
        <f t="shared" si="19"/>
        <v>3.8461538461538464E-2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4301031222</v>
      </c>
      <c r="D208" s="553">
        <v>4680115884007</v>
      </c>
      <c r="E208" s="554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336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4301031229</v>
      </c>
      <c r="D209" s="553">
        <v>4680115884038</v>
      </c>
      <c r="E209" s="554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288</v>
      </c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30</v>
      </c>
      <c r="Y209" s="550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339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31.666666666666664</v>
      </c>
      <c r="BN209" s="64">
        <f t="shared" si="17"/>
        <v>32.299999999999997</v>
      </c>
      <c r="BO209" s="64">
        <f t="shared" si="18"/>
        <v>7.122507122507124E-2</v>
      </c>
      <c r="BP209" s="64">
        <f t="shared" si="19"/>
        <v>7.2649572649572655E-2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4301031225</v>
      </c>
      <c r="D210" s="553">
        <v>4680115884021</v>
      </c>
      <c r="E210" s="554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288</v>
      </c>
      <c r="M210" s="33" t="s">
        <v>68</v>
      </c>
      <c r="N210" s="33"/>
      <c r="O210" s="32">
        <v>40</v>
      </c>
      <c r="P210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342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57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58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25</v>
      </c>
      <c r="Y211" s="551">
        <f>IFERROR(Y203/H203,"0")+IFERROR(Y204/H204,"0")+IFERROR(Y205/H205,"0")+IFERROR(Y206/H206,"0")+IFERROR(Y207/H207,"0")+IFERROR(Y208/H208,"0")+IFERROR(Y209/H209,"0")+IFERROR(Y210/H210,"0")</f>
        <v>26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0.13052</v>
      </c>
      <c r="AA211" s="552"/>
      <c r="AB211" s="552"/>
      <c r="AC211" s="552"/>
    </row>
    <row r="212" spans="1:68" x14ac:dyDescent="0.2">
      <c r="A212" s="556"/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8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45</v>
      </c>
      <c r="Y212" s="551">
        <f>IFERROR(SUM(Y203:Y210),"0")</f>
        <v>46.8</v>
      </c>
      <c r="Z212" s="37"/>
      <c r="AA212" s="552"/>
      <c r="AB212" s="552"/>
      <c r="AC212" s="552"/>
    </row>
    <row r="213" spans="1:68" ht="14.25" hidden="1" customHeight="1" x14ac:dyDescent="0.25">
      <c r="A213" s="555" t="s">
        <v>77</v>
      </c>
      <c r="B213" s="556"/>
      <c r="C213" s="556"/>
      <c r="D213" s="556"/>
      <c r="E213" s="556"/>
      <c r="F213" s="556"/>
      <c r="G213" s="556"/>
      <c r="H213" s="556"/>
      <c r="I213" s="556"/>
      <c r="J213" s="556"/>
      <c r="K213" s="556"/>
      <c r="L213" s="556"/>
      <c r="M213" s="556"/>
      <c r="N213" s="556"/>
      <c r="O213" s="556"/>
      <c r="P213" s="556"/>
      <c r="Q213" s="556"/>
      <c r="R213" s="556"/>
      <c r="S213" s="556"/>
      <c r="T213" s="556"/>
      <c r="U213" s="556"/>
      <c r="V213" s="556"/>
      <c r="W213" s="556"/>
      <c r="X213" s="556"/>
      <c r="Y213" s="556"/>
      <c r="Z213" s="556"/>
      <c r="AA213" s="545"/>
      <c r="AB213" s="545"/>
      <c r="AC213" s="545"/>
    </row>
    <row r="214" spans="1:68" ht="27" hidden="1" customHeight="1" x14ac:dyDescent="0.25">
      <c r="A214" s="54" t="s">
        <v>351</v>
      </c>
      <c r="B214" s="54" t="s">
        <v>352</v>
      </c>
      <c r="C214" s="31">
        <v>4301051408</v>
      </c>
      <c r="D214" s="553">
        <v>4680115881594</v>
      </c>
      <c r="E214" s="554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0"/>
      <c r="R214" s="560"/>
      <c r="S214" s="560"/>
      <c r="T214" s="561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353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354</v>
      </c>
      <c r="B215" s="54" t="s">
        <v>355</v>
      </c>
      <c r="C215" s="31">
        <v>4301051411</v>
      </c>
      <c r="D215" s="553">
        <v>4680115881617</v>
      </c>
      <c r="E215" s="554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356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357</v>
      </c>
      <c r="B216" s="54" t="s">
        <v>358</v>
      </c>
      <c r="C216" s="31">
        <v>4301051656</v>
      </c>
      <c r="D216" s="553">
        <v>4680115880573</v>
      </c>
      <c r="E216" s="554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4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37.5" customHeight="1" x14ac:dyDescent="0.25">
      <c r="A217" s="54" t="s">
        <v>360</v>
      </c>
      <c r="B217" s="54" t="s">
        <v>361</v>
      </c>
      <c r="C217" s="31">
        <v>4301051407</v>
      </c>
      <c r="D217" s="553">
        <v>4680115882195</v>
      </c>
      <c r="E217" s="554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222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120</v>
      </c>
      <c r="Y217" s="550">
        <f t="shared" si="20"/>
        <v>120</v>
      </c>
      <c r="Z217" s="36">
        <f t="shared" ref="Z217:Z222" si="25">IFERROR(IF(Y217=0,"",ROUNDUP(Y217/H217,0)*0.00651),"")</f>
        <v>0.32550000000000001</v>
      </c>
      <c r="AA217" s="56"/>
      <c r="AB217" s="57"/>
      <c r="AC217" s="265" t="s">
        <v>362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133.5</v>
      </c>
      <c r="BN217" s="64">
        <f t="shared" si="22"/>
        <v>133.5</v>
      </c>
      <c r="BO217" s="64">
        <f t="shared" si="23"/>
        <v>0.27472527472527475</v>
      </c>
      <c r="BP217" s="64">
        <f t="shared" si="24"/>
        <v>0.27472527472527475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4301051752</v>
      </c>
      <c r="D218" s="553">
        <v>4680115882607</v>
      </c>
      <c r="E218" s="554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359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4301051666</v>
      </c>
      <c r="D219" s="553">
        <v>4680115880092</v>
      </c>
      <c r="E219" s="554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45</v>
      </c>
      <c r="P219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80</v>
      </c>
      <c r="Y219" s="550">
        <f t="shared" si="20"/>
        <v>81.599999999999994</v>
      </c>
      <c r="Z219" s="36">
        <f t="shared" si="25"/>
        <v>0.22134000000000001</v>
      </c>
      <c r="AA219" s="56"/>
      <c r="AB219" s="57"/>
      <c r="AC219" s="269" t="s">
        <v>359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88.40000000000002</v>
      </c>
      <c r="BN219" s="64">
        <f t="shared" si="22"/>
        <v>90.168000000000006</v>
      </c>
      <c r="BO219" s="64">
        <f t="shared" si="23"/>
        <v>0.18315018315018317</v>
      </c>
      <c r="BP219" s="64">
        <f t="shared" si="24"/>
        <v>0.18681318681318682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4301051668</v>
      </c>
      <c r="D220" s="553">
        <v>4680115880221</v>
      </c>
      <c r="E220" s="554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359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4301051945</v>
      </c>
      <c r="D221" s="553">
        <v>4680115880504</v>
      </c>
      <c r="E221" s="554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222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371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372</v>
      </c>
      <c r="B222" s="54" t="s">
        <v>373</v>
      </c>
      <c r="C222" s="31">
        <v>4301051410</v>
      </c>
      <c r="D222" s="553">
        <v>4680115882164</v>
      </c>
      <c r="E222" s="554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80</v>
      </c>
      <c r="Y222" s="550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356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88.6</v>
      </c>
      <c r="BN222" s="64">
        <f t="shared" si="22"/>
        <v>90.371999999999986</v>
      </c>
      <c r="BO222" s="64">
        <f t="shared" si="23"/>
        <v>0.18315018315018317</v>
      </c>
      <c r="BP222" s="64">
        <f t="shared" si="24"/>
        <v>0.18681318681318682</v>
      </c>
    </row>
    <row r="223" spans="1:68" x14ac:dyDescent="0.2">
      <c r="A223" s="557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8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116.66666666666669</v>
      </c>
      <c r="Y223" s="551">
        <f>IFERROR(Y214/H214,"0")+IFERROR(Y215/H215,"0")+IFERROR(Y216/H216,"0")+IFERROR(Y217/H217,"0")+IFERROR(Y218/H218,"0")+IFERROR(Y219/H219,"0")+IFERROR(Y220/H220,"0")+IFERROR(Y221/H221,"0")+IFERROR(Y222/H222,"0")</f>
        <v>118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0.76817999999999997</v>
      </c>
      <c r="AA223" s="552"/>
      <c r="AB223" s="552"/>
      <c r="AC223" s="552"/>
    </row>
    <row r="224" spans="1:68" x14ac:dyDescent="0.2">
      <c r="A224" s="556"/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8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280</v>
      </c>
      <c r="Y224" s="551">
        <f>IFERROR(SUM(Y214:Y222),"0")</f>
        <v>283.2</v>
      </c>
      <c r="Z224" s="37"/>
      <c r="AA224" s="552"/>
      <c r="AB224" s="552"/>
      <c r="AC224" s="552"/>
    </row>
    <row r="225" spans="1:68" ht="14.25" hidden="1" customHeight="1" x14ac:dyDescent="0.25">
      <c r="A225" s="555" t="s">
        <v>162</v>
      </c>
      <c r="B225" s="556"/>
      <c r="C225" s="556"/>
      <c r="D225" s="556"/>
      <c r="E225" s="556"/>
      <c r="F225" s="556"/>
      <c r="G225" s="556"/>
      <c r="H225" s="556"/>
      <c r="I225" s="556"/>
      <c r="J225" s="556"/>
      <c r="K225" s="556"/>
      <c r="L225" s="556"/>
      <c r="M225" s="556"/>
      <c r="N225" s="556"/>
      <c r="O225" s="556"/>
      <c r="P225" s="556"/>
      <c r="Q225" s="556"/>
      <c r="R225" s="556"/>
      <c r="S225" s="556"/>
      <c r="T225" s="556"/>
      <c r="U225" s="556"/>
      <c r="V225" s="556"/>
      <c r="W225" s="556"/>
      <c r="X225" s="556"/>
      <c r="Y225" s="556"/>
      <c r="Z225" s="556"/>
      <c r="AA225" s="545"/>
      <c r="AB225" s="545"/>
      <c r="AC225" s="545"/>
    </row>
    <row r="226" spans="1:68" ht="27" customHeight="1" x14ac:dyDescent="0.25">
      <c r="A226" s="54" t="s">
        <v>374</v>
      </c>
      <c r="B226" s="54" t="s">
        <v>375</v>
      </c>
      <c r="C226" s="31">
        <v>4301060463</v>
      </c>
      <c r="D226" s="553">
        <v>4680115880818</v>
      </c>
      <c r="E226" s="554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222</v>
      </c>
      <c r="M226" s="33" t="s">
        <v>86</v>
      </c>
      <c r="N226" s="33"/>
      <c r="O226" s="32">
        <v>40</v>
      </c>
      <c r="P226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0"/>
      <c r="R226" s="560"/>
      <c r="S226" s="560"/>
      <c r="T226" s="561"/>
      <c r="U226" s="34"/>
      <c r="V226" s="34"/>
      <c r="W226" s="35" t="s">
        <v>69</v>
      </c>
      <c r="X226" s="549">
        <v>40</v>
      </c>
      <c r="Y226" s="550">
        <f>IFERROR(IF(X226="",0,CEILING((X226/$H226),1)*$H226),"")</f>
        <v>40.799999999999997</v>
      </c>
      <c r="Z226" s="36">
        <f>IFERROR(IF(Y226=0,"",ROUNDUP(Y226/H226,0)*0.00651),"")</f>
        <v>0.11067</v>
      </c>
      <c r="AA226" s="56"/>
      <c r="AB226" s="57"/>
      <c r="AC226" s="277" t="s">
        <v>376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44.20000000000001</v>
      </c>
      <c r="BN226" s="64">
        <f>IFERROR(Y226*I226/H226,"0")</f>
        <v>45.084000000000003</v>
      </c>
      <c r="BO226" s="64">
        <f>IFERROR(1/J226*(X226/H226),"0")</f>
        <v>9.1575091575091583E-2</v>
      </c>
      <c r="BP226" s="64">
        <f>IFERROR(1/J226*(Y226/H226),"0")</f>
        <v>9.3406593406593408E-2</v>
      </c>
    </row>
    <row r="227" spans="1:68" ht="37.5" customHeight="1" x14ac:dyDescent="0.25">
      <c r="A227" s="54" t="s">
        <v>377</v>
      </c>
      <c r="B227" s="54" t="s">
        <v>378</v>
      </c>
      <c r="C227" s="31">
        <v>4301060389</v>
      </c>
      <c r="D227" s="553">
        <v>4680115880801</v>
      </c>
      <c r="E227" s="554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222</v>
      </c>
      <c r="M227" s="33" t="s">
        <v>80</v>
      </c>
      <c r="N227" s="33"/>
      <c r="O227" s="32">
        <v>40</v>
      </c>
      <c r="P227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24</v>
      </c>
      <c r="Y227" s="550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79" t="s">
        <v>379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x14ac:dyDescent="0.2">
      <c r="A228" s="557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58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26.666666666666668</v>
      </c>
      <c r="Y228" s="551">
        <f>IFERROR(Y226/H226,"0")+IFERROR(Y227/H227,"0")</f>
        <v>27</v>
      </c>
      <c r="Z228" s="551">
        <f>IFERROR(IF(Z226="",0,Z226),"0")+IFERROR(IF(Z227="",0,Z227),"0")</f>
        <v>0.17577000000000001</v>
      </c>
      <c r="AA228" s="552"/>
      <c r="AB228" s="552"/>
      <c r="AC228" s="552"/>
    </row>
    <row r="229" spans="1:68" x14ac:dyDescent="0.2">
      <c r="A229" s="556"/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8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64</v>
      </c>
      <c r="Y229" s="551">
        <f>IFERROR(SUM(Y226:Y227),"0")</f>
        <v>64.8</v>
      </c>
      <c r="Z229" s="37"/>
      <c r="AA229" s="552"/>
      <c r="AB229" s="552"/>
      <c r="AC229" s="552"/>
    </row>
    <row r="230" spans="1:68" ht="16.5" hidden="1" customHeight="1" x14ac:dyDescent="0.25">
      <c r="A230" s="562" t="s">
        <v>380</v>
      </c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44"/>
      <c r="AB230" s="544"/>
      <c r="AC230" s="544"/>
    </row>
    <row r="231" spans="1:68" ht="14.25" hidden="1" customHeight="1" x14ac:dyDescent="0.25">
      <c r="A231" s="555" t="s">
        <v>101</v>
      </c>
      <c r="B231" s="556"/>
      <c r="C231" s="556"/>
      <c r="D231" s="556"/>
      <c r="E231" s="556"/>
      <c r="F231" s="556"/>
      <c r="G231" s="556"/>
      <c r="H231" s="556"/>
      <c r="I231" s="556"/>
      <c r="J231" s="556"/>
      <c r="K231" s="556"/>
      <c r="L231" s="556"/>
      <c r="M231" s="556"/>
      <c r="N231" s="556"/>
      <c r="O231" s="556"/>
      <c r="P231" s="556"/>
      <c r="Q231" s="556"/>
      <c r="R231" s="556"/>
      <c r="S231" s="556"/>
      <c r="T231" s="556"/>
      <c r="U231" s="556"/>
      <c r="V231" s="556"/>
      <c r="W231" s="556"/>
      <c r="X231" s="556"/>
      <c r="Y231" s="556"/>
      <c r="Z231" s="556"/>
      <c r="AA231" s="545"/>
      <c r="AB231" s="545"/>
      <c r="AC231" s="545"/>
    </row>
    <row r="232" spans="1:68" ht="27" hidden="1" customHeight="1" x14ac:dyDescent="0.25">
      <c r="A232" s="54" t="s">
        <v>381</v>
      </c>
      <c r="B232" s="54" t="s">
        <v>382</v>
      </c>
      <c r="C232" s="31">
        <v>4301011826</v>
      </c>
      <c r="D232" s="553">
        <v>4680115884137</v>
      </c>
      <c r="E232" s="554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6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0"/>
      <c r="R232" s="560"/>
      <c r="S232" s="560"/>
      <c r="T232" s="561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383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384</v>
      </c>
      <c r="B233" s="54" t="s">
        <v>385</v>
      </c>
      <c r="C233" s="31">
        <v>4301011724</v>
      </c>
      <c r="D233" s="553">
        <v>4680115884236</v>
      </c>
      <c r="E233" s="554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386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387</v>
      </c>
      <c r="B234" s="54" t="s">
        <v>388</v>
      </c>
      <c r="C234" s="31">
        <v>4301011721</v>
      </c>
      <c r="D234" s="553">
        <v>4680115884175</v>
      </c>
      <c r="E234" s="554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80</v>
      </c>
      <c r="Y234" s="550">
        <f t="shared" si="26"/>
        <v>81.2</v>
      </c>
      <c r="Z234" s="36">
        <f>IFERROR(IF(Y234=0,"",ROUNDUP(Y234/H234,0)*0.01898),"")</f>
        <v>0.13286000000000001</v>
      </c>
      <c r="AA234" s="56"/>
      <c r="AB234" s="57"/>
      <c r="AC234" s="285" t="s">
        <v>389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82.827586206896555</v>
      </c>
      <c r="BN234" s="64">
        <f t="shared" si="28"/>
        <v>84.070000000000007</v>
      </c>
      <c r="BO234" s="64">
        <f t="shared" si="29"/>
        <v>0.10775862068965518</v>
      </c>
      <c r="BP234" s="64">
        <f t="shared" si="30"/>
        <v>0.10937500000000001</v>
      </c>
    </row>
    <row r="235" spans="1:68" ht="27" hidden="1" customHeight="1" x14ac:dyDescent="0.25">
      <c r="A235" s="54" t="s">
        <v>390</v>
      </c>
      <c r="B235" s="54" t="s">
        <v>391</v>
      </c>
      <c r="C235" s="31">
        <v>4301011824</v>
      </c>
      <c r="D235" s="553">
        <v>4680115884144</v>
      </c>
      <c r="E235" s="554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111</v>
      </c>
      <c r="L235" s="32" t="s">
        <v>112</v>
      </c>
      <c r="M235" s="33" t="s">
        <v>106</v>
      </c>
      <c r="N235" s="33"/>
      <c r="O235" s="32">
        <v>55</v>
      </c>
      <c r="P235" s="67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383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390</v>
      </c>
      <c r="B236" s="54" t="s">
        <v>392</v>
      </c>
      <c r="C236" s="31">
        <v>4301012196</v>
      </c>
      <c r="D236" s="553">
        <v>4680115884144</v>
      </c>
      <c r="E236" s="554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383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393</v>
      </c>
      <c r="B237" s="54" t="s">
        <v>394</v>
      </c>
      <c r="C237" s="31">
        <v>4301012149</v>
      </c>
      <c r="D237" s="553">
        <v>4680115886551</v>
      </c>
      <c r="E237" s="554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396</v>
      </c>
      <c r="B238" s="54" t="s">
        <v>397</v>
      </c>
      <c r="C238" s="31">
        <v>4301012228</v>
      </c>
      <c r="D238" s="553">
        <v>4680115887282</v>
      </c>
      <c r="E238" s="554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398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399</v>
      </c>
      <c r="B239" s="54" t="s">
        <v>400</v>
      </c>
      <c r="C239" s="31">
        <v>4301011722</v>
      </c>
      <c r="D239" s="553">
        <v>4680115884205</v>
      </c>
      <c r="E239" s="554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111</v>
      </c>
      <c r="L239" s="32" t="s">
        <v>112</v>
      </c>
      <c r="M239" s="33" t="s">
        <v>106</v>
      </c>
      <c r="N239" s="33"/>
      <c r="O239" s="32">
        <v>55</v>
      </c>
      <c r="P239" s="7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20</v>
      </c>
      <c r="Y239" s="550">
        <f t="shared" si="26"/>
        <v>20</v>
      </c>
      <c r="Z239" s="36">
        <f>IFERROR(IF(Y239=0,"",ROUNDUP(Y239/H239,0)*0.00902),"")</f>
        <v>4.5100000000000001E-2</v>
      </c>
      <c r="AA239" s="56"/>
      <c r="AB239" s="57"/>
      <c r="AC239" s="295" t="s">
        <v>389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20.950000000000003</v>
      </c>
      <c r="BN239" s="64">
        <f t="shared" si="28"/>
        <v>20.950000000000003</v>
      </c>
      <c r="BO239" s="64">
        <f t="shared" si="29"/>
        <v>3.787878787878788E-2</v>
      </c>
      <c r="BP239" s="64">
        <f t="shared" si="30"/>
        <v>3.787878787878788E-2</v>
      </c>
    </row>
    <row r="240" spans="1:68" ht="27" hidden="1" customHeight="1" x14ac:dyDescent="0.25">
      <c r="A240" s="54" t="s">
        <v>399</v>
      </c>
      <c r="B240" s="54" t="s">
        <v>401</v>
      </c>
      <c r="C240" s="31">
        <v>4301012195</v>
      </c>
      <c r="D240" s="553">
        <v>4680115884205</v>
      </c>
      <c r="E240" s="554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389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57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8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11.896551724137932</v>
      </c>
      <c r="Y241" s="551">
        <f>IFERROR(Y232/H232,"0")+IFERROR(Y233/H233,"0")+IFERROR(Y234/H234,"0")+IFERROR(Y235/H235,"0")+IFERROR(Y236/H236,"0")+IFERROR(Y237/H237,"0")+IFERROR(Y238/H238,"0")+IFERROR(Y239/H239,"0")+IFERROR(Y240/H240,"0")</f>
        <v>12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0.17796000000000001</v>
      </c>
      <c r="AA241" s="552"/>
      <c r="AB241" s="552"/>
      <c r="AC241" s="552"/>
    </row>
    <row r="242" spans="1:68" x14ac:dyDescent="0.2">
      <c r="A242" s="556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8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100</v>
      </c>
      <c r="Y242" s="551">
        <f>IFERROR(SUM(Y232:Y240),"0")</f>
        <v>101.2</v>
      </c>
      <c r="Z242" s="37"/>
      <c r="AA242" s="552"/>
      <c r="AB242" s="552"/>
      <c r="AC242" s="552"/>
    </row>
    <row r="243" spans="1:68" ht="14.25" hidden="1" customHeight="1" x14ac:dyDescent="0.25">
      <c r="A243" s="555" t="s">
        <v>137</v>
      </c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6"/>
      <c r="P243" s="556"/>
      <c r="Q243" s="556"/>
      <c r="R243" s="556"/>
      <c r="S243" s="556"/>
      <c r="T243" s="556"/>
      <c r="U243" s="556"/>
      <c r="V243" s="556"/>
      <c r="W243" s="556"/>
      <c r="X243" s="556"/>
      <c r="Y243" s="556"/>
      <c r="Z243" s="556"/>
      <c r="AA243" s="545"/>
      <c r="AB243" s="545"/>
      <c r="AC243" s="545"/>
    </row>
    <row r="244" spans="1:68" ht="27" hidden="1" customHeight="1" x14ac:dyDescent="0.25">
      <c r="A244" s="54" t="s">
        <v>402</v>
      </c>
      <c r="B244" s="54" t="s">
        <v>403</v>
      </c>
      <c r="C244" s="31">
        <v>4301020377</v>
      </c>
      <c r="D244" s="553">
        <v>4680115885981</v>
      </c>
      <c r="E244" s="554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0"/>
      <c r="R244" s="560"/>
      <c r="S244" s="560"/>
      <c r="T244" s="561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404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7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8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6"/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8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5" t="s">
        <v>405</v>
      </c>
      <c r="B247" s="556"/>
      <c r="C247" s="556"/>
      <c r="D247" s="556"/>
      <c r="E247" s="556"/>
      <c r="F247" s="556"/>
      <c r="G247" s="556"/>
      <c r="H247" s="556"/>
      <c r="I247" s="556"/>
      <c r="J247" s="556"/>
      <c r="K247" s="556"/>
      <c r="L247" s="556"/>
      <c r="M247" s="556"/>
      <c r="N247" s="556"/>
      <c r="O247" s="556"/>
      <c r="P247" s="556"/>
      <c r="Q247" s="556"/>
      <c r="R247" s="556"/>
      <c r="S247" s="556"/>
      <c r="T247" s="556"/>
      <c r="U247" s="556"/>
      <c r="V247" s="556"/>
      <c r="W247" s="556"/>
      <c r="X247" s="556"/>
      <c r="Y247" s="556"/>
      <c r="Z247" s="556"/>
      <c r="AA247" s="545"/>
      <c r="AB247" s="545"/>
      <c r="AC247" s="545"/>
    </row>
    <row r="248" spans="1:68" ht="27" hidden="1" customHeight="1" x14ac:dyDescent="0.25">
      <c r="A248" s="54" t="s">
        <v>406</v>
      </c>
      <c r="B248" s="54" t="s">
        <v>407</v>
      </c>
      <c r="C248" s="31">
        <v>4301040362</v>
      </c>
      <c r="D248" s="553">
        <v>4680115886803</v>
      </c>
      <c r="E248" s="554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309</v>
      </c>
      <c r="L248" s="32"/>
      <c r="M248" s="33" t="s">
        <v>310</v>
      </c>
      <c r="N248" s="33"/>
      <c r="O248" s="32">
        <v>45</v>
      </c>
      <c r="P248" s="6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0"/>
      <c r="R248" s="560"/>
      <c r="S248" s="560"/>
      <c r="T248" s="561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408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7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58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6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8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5" t="s">
        <v>409</v>
      </c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6"/>
      <c r="P251" s="556"/>
      <c r="Q251" s="556"/>
      <c r="R251" s="556"/>
      <c r="S251" s="556"/>
      <c r="T251" s="556"/>
      <c r="U251" s="556"/>
      <c r="V251" s="556"/>
      <c r="W251" s="556"/>
      <c r="X251" s="556"/>
      <c r="Y251" s="556"/>
      <c r="Z251" s="556"/>
      <c r="AA251" s="545"/>
      <c r="AB251" s="545"/>
      <c r="AC251" s="545"/>
    </row>
    <row r="252" spans="1:68" ht="27" hidden="1" customHeight="1" x14ac:dyDescent="0.25">
      <c r="A252" s="54" t="s">
        <v>410</v>
      </c>
      <c r="B252" s="54" t="s">
        <v>411</v>
      </c>
      <c r="C252" s="31">
        <v>4301041004</v>
      </c>
      <c r="D252" s="553">
        <v>4680115886704</v>
      </c>
      <c r="E252" s="554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309</v>
      </c>
      <c r="L252" s="32"/>
      <c r="M252" s="33" t="s">
        <v>310</v>
      </c>
      <c r="N252" s="33"/>
      <c r="O252" s="32">
        <v>90</v>
      </c>
      <c r="P252" s="5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0"/>
      <c r="R252" s="560"/>
      <c r="S252" s="560"/>
      <c r="T252" s="561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412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413</v>
      </c>
      <c r="B253" s="54" t="s">
        <v>414</v>
      </c>
      <c r="C253" s="31">
        <v>4301041008</v>
      </c>
      <c r="D253" s="553">
        <v>4680115886681</v>
      </c>
      <c r="E253" s="554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309</v>
      </c>
      <c r="L253" s="32"/>
      <c r="M253" s="33" t="s">
        <v>310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412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4301041007</v>
      </c>
      <c r="D254" s="553">
        <v>4680115886735</v>
      </c>
      <c r="E254" s="554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309</v>
      </c>
      <c r="L254" s="32"/>
      <c r="M254" s="33" t="s">
        <v>310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5</v>
      </c>
      <c r="Y254" s="550">
        <f>IFERROR(IF(X254="",0,CEILING((X254/$H254),1)*$H254),"")</f>
        <v>5.4</v>
      </c>
      <c r="Z254" s="36">
        <f>IFERROR(IF(Y254=0,"",ROUNDUP(Y254/H254,0)*0.0059),"")</f>
        <v>3.5400000000000001E-2</v>
      </c>
      <c r="AA254" s="56"/>
      <c r="AB254" s="57"/>
      <c r="AC254" s="307" t="s">
        <v>412</v>
      </c>
      <c r="AG254" s="64"/>
      <c r="AJ254" s="68"/>
      <c r="AK254" s="68">
        <v>0</v>
      </c>
      <c r="BB254" s="308" t="s">
        <v>1</v>
      </c>
      <c r="BM254" s="64">
        <f>IFERROR(X254*I254/H254,"0")</f>
        <v>6.0555555555555554</v>
      </c>
      <c r="BN254" s="64">
        <f>IFERROR(Y254*I254/H254,"0")</f>
        <v>6.5400000000000009</v>
      </c>
      <c r="BO254" s="64">
        <f>IFERROR(1/J254*(X254/H254),"0")</f>
        <v>2.5720164609053495E-2</v>
      </c>
      <c r="BP254" s="64">
        <f>IFERROR(1/J254*(Y254/H254),"0")</f>
        <v>2.7777777777777776E-2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4301041006</v>
      </c>
      <c r="D255" s="553">
        <v>4680115886728</v>
      </c>
      <c r="E255" s="554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309</v>
      </c>
      <c r="L255" s="32"/>
      <c r="M255" s="33" t="s">
        <v>310</v>
      </c>
      <c r="N255" s="33"/>
      <c r="O255" s="32">
        <v>90</v>
      </c>
      <c r="P255" s="65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412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4301041005</v>
      </c>
      <c r="D256" s="553">
        <v>4680115886711</v>
      </c>
      <c r="E256" s="554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309</v>
      </c>
      <c r="L256" s="32"/>
      <c r="M256" s="33" t="s">
        <v>310</v>
      </c>
      <c r="N256" s="33"/>
      <c r="O256" s="32">
        <v>90</v>
      </c>
      <c r="P256" s="7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412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57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58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5.5555555555555554</v>
      </c>
      <c r="Y257" s="551">
        <f>IFERROR(Y252/H252,"0")+IFERROR(Y253/H253,"0")+IFERROR(Y254/H254,"0")+IFERROR(Y255/H255,"0")+IFERROR(Y256/H256,"0")</f>
        <v>6</v>
      </c>
      <c r="Z257" s="551">
        <f>IFERROR(IF(Z252="",0,Z252),"0")+IFERROR(IF(Z253="",0,Z253),"0")+IFERROR(IF(Z254="",0,Z254),"0")+IFERROR(IF(Z255="",0,Z255),"0")+IFERROR(IF(Z256="",0,Z256),"0")</f>
        <v>3.5400000000000001E-2</v>
      </c>
      <c r="AA257" s="552"/>
      <c r="AB257" s="552"/>
      <c r="AC257" s="552"/>
    </row>
    <row r="258" spans="1:68" x14ac:dyDescent="0.2">
      <c r="A258" s="556"/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8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5</v>
      </c>
      <c r="Y258" s="551">
        <f>IFERROR(SUM(Y252:Y256),"0")</f>
        <v>5.4</v>
      </c>
      <c r="Z258" s="37"/>
      <c r="AA258" s="552"/>
      <c r="AB258" s="552"/>
      <c r="AC258" s="552"/>
    </row>
    <row r="259" spans="1:68" ht="16.5" hidden="1" customHeight="1" x14ac:dyDescent="0.25">
      <c r="A259" s="562" t="s">
        <v>421</v>
      </c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44"/>
      <c r="AB259" s="544"/>
      <c r="AC259" s="544"/>
    </row>
    <row r="260" spans="1:68" ht="14.25" hidden="1" customHeight="1" x14ac:dyDescent="0.25">
      <c r="A260" s="555" t="s">
        <v>101</v>
      </c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6"/>
      <c r="P260" s="556"/>
      <c r="Q260" s="556"/>
      <c r="R260" s="556"/>
      <c r="S260" s="556"/>
      <c r="T260" s="556"/>
      <c r="U260" s="556"/>
      <c r="V260" s="556"/>
      <c r="W260" s="556"/>
      <c r="X260" s="556"/>
      <c r="Y260" s="556"/>
      <c r="Z260" s="556"/>
      <c r="AA260" s="545"/>
      <c r="AB260" s="545"/>
      <c r="AC260" s="545"/>
    </row>
    <row r="261" spans="1:68" ht="27" hidden="1" customHeight="1" x14ac:dyDescent="0.25">
      <c r="A261" s="54" t="s">
        <v>422</v>
      </c>
      <c r="B261" s="54" t="s">
        <v>423</v>
      </c>
      <c r="C261" s="31">
        <v>4301011855</v>
      </c>
      <c r="D261" s="553">
        <v>4680115885837</v>
      </c>
      <c r="E261" s="554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0"/>
      <c r="R261" s="560"/>
      <c r="S261" s="560"/>
      <c r="T261" s="561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424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425</v>
      </c>
      <c r="B262" s="54" t="s">
        <v>426</v>
      </c>
      <c r="C262" s="31">
        <v>4301011853</v>
      </c>
      <c r="D262" s="553">
        <v>4680115885851</v>
      </c>
      <c r="E262" s="554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427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428</v>
      </c>
      <c r="B263" s="54" t="s">
        <v>429</v>
      </c>
      <c r="C263" s="31">
        <v>4301011850</v>
      </c>
      <c r="D263" s="553">
        <v>4680115885806</v>
      </c>
      <c r="E263" s="554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431</v>
      </c>
      <c r="B264" s="54" t="s">
        <v>432</v>
      </c>
      <c r="C264" s="31">
        <v>4301011852</v>
      </c>
      <c r="D264" s="553">
        <v>4680115885844</v>
      </c>
      <c r="E264" s="554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7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434</v>
      </c>
      <c r="B265" s="54" t="s">
        <v>435</v>
      </c>
      <c r="C265" s="31">
        <v>4301011851</v>
      </c>
      <c r="D265" s="553">
        <v>4680115885820</v>
      </c>
      <c r="E265" s="554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57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58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6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8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62" t="s">
        <v>437</v>
      </c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44"/>
      <c r="AB268" s="544"/>
      <c r="AC268" s="544"/>
    </row>
    <row r="269" spans="1:68" ht="14.25" hidden="1" customHeight="1" x14ac:dyDescent="0.25">
      <c r="A269" s="555" t="s">
        <v>101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45"/>
      <c r="AB269" s="545"/>
      <c r="AC269" s="545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553">
        <v>4607091383423</v>
      </c>
      <c r="E270" s="554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0"/>
      <c r="R270" s="560"/>
      <c r="S270" s="560"/>
      <c r="T270" s="561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4301012199</v>
      </c>
      <c r="D271" s="553">
        <v>4680115886957</v>
      </c>
      <c r="E271" s="554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442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553">
        <v>4680115885660</v>
      </c>
      <c r="E272" s="554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445</v>
      </c>
      <c r="B273" s="54" t="s">
        <v>446</v>
      </c>
      <c r="C273" s="31">
        <v>4301012176</v>
      </c>
      <c r="D273" s="553">
        <v>4680115886773</v>
      </c>
      <c r="E273" s="554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447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7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8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8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62" t="s">
        <v>448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44"/>
      <c r="AB276" s="544"/>
      <c r="AC276" s="544"/>
    </row>
    <row r="277" spans="1:68" ht="14.25" hidden="1" customHeight="1" x14ac:dyDescent="0.25">
      <c r="A277" s="555" t="s">
        <v>77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45"/>
      <c r="AB277" s="545"/>
      <c r="AC277" s="545"/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553">
        <v>4680115886186</v>
      </c>
      <c r="E278" s="554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4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0"/>
      <c r="R278" s="560"/>
      <c r="S278" s="560"/>
      <c r="T278" s="561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451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452</v>
      </c>
      <c r="B279" s="54" t="s">
        <v>453</v>
      </c>
      <c r="C279" s="31">
        <v>4301051795</v>
      </c>
      <c r="D279" s="553">
        <v>4680115881228</v>
      </c>
      <c r="E279" s="554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 t="s">
        <v>222</v>
      </c>
      <c r="M279" s="33" t="s">
        <v>86</v>
      </c>
      <c r="N279" s="33"/>
      <c r="O279" s="32">
        <v>40</v>
      </c>
      <c r="P279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454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455</v>
      </c>
      <c r="B280" s="54" t="s">
        <v>456</v>
      </c>
      <c r="C280" s="31">
        <v>4301051388</v>
      </c>
      <c r="D280" s="553">
        <v>4680115881211</v>
      </c>
      <c r="E280" s="554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80</v>
      </c>
      <c r="Y280" s="550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35" t="s">
        <v>451</v>
      </c>
      <c r="AG280" s="64"/>
      <c r="AJ280" s="68"/>
      <c r="AK280" s="68">
        <v>0</v>
      </c>
      <c r="BB280" s="336" t="s">
        <v>1</v>
      </c>
      <c r="BM280" s="64">
        <f>IFERROR(X280*I280/H280,"0")</f>
        <v>86</v>
      </c>
      <c r="BN280" s="64">
        <f>IFERROR(Y280*I280/H280,"0")</f>
        <v>87.72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x14ac:dyDescent="0.2">
      <c r="A281" s="557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8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33.333333333333336</v>
      </c>
      <c r="Y281" s="551">
        <f>IFERROR(Y278/H278,"0")+IFERROR(Y279/H279,"0")+IFERROR(Y280/H280,"0")</f>
        <v>34</v>
      </c>
      <c r="Z281" s="551">
        <f>IFERROR(IF(Z278="",0,Z278),"0")+IFERROR(IF(Z279="",0,Z279),"0")+IFERROR(IF(Z280="",0,Z280),"0")</f>
        <v>0.22134000000000001</v>
      </c>
      <c r="AA281" s="552"/>
      <c r="AB281" s="552"/>
      <c r="AC281" s="552"/>
    </row>
    <row r="282" spans="1:68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8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80</v>
      </c>
      <c r="Y282" s="551">
        <f>IFERROR(SUM(Y278:Y280),"0")</f>
        <v>81.599999999999994</v>
      </c>
      <c r="Z282" s="37"/>
      <c r="AA282" s="552"/>
      <c r="AB282" s="552"/>
      <c r="AC282" s="552"/>
    </row>
    <row r="283" spans="1:68" ht="16.5" hidden="1" customHeight="1" x14ac:dyDescent="0.25">
      <c r="A283" s="562" t="s">
        <v>457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44"/>
      <c r="AB283" s="544"/>
      <c r="AC283" s="544"/>
    </row>
    <row r="284" spans="1:68" ht="14.25" hidden="1" customHeight="1" x14ac:dyDescent="0.25">
      <c r="A284" s="555" t="s">
        <v>64</v>
      </c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6"/>
      <c r="P284" s="556"/>
      <c r="Q284" s="556"/>
      <c r="R284" s="556"/>
      <c r="S284" s="556"/>
      <c r="T284" s="556"/>
      <c r="U284" s="556"/>
      <c r="V284" s="556"/>
      <c r="W284" s="556"/>
      <c r="X284" s="556"/>
      <c r="Y284" s="556"/>
      <c r="Z284" s="556"/>
      <c r="AA284" s="545"/>
      <c r="AB284" s="545"/>
      <c r="AC284" s="545"/>
    </row>
    <row r="285" spans="1:68" ht="27" hidden="1" customHeight="1" x14ac:dyDescent="0.25">
      <c r="A285" s="54" t="s">
        <v>458</v>
      </c>
      <c r="B285" s="54" t="s">
        <v>459</v>
      </c>
      <c r="C285" s="31">
        <v>4301031307</v>
      </c>
      <c r="D285" s="553">
        <v>4680115880344</v>
      </c>
      <c r="E285" s="554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3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0"/>
      <c r="R285" s="560"/>
      <c r="S285" s="560"/>
      <c r="T285" s="561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460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461</v>
      </c>
      <c r="B286" s="54" t="s">
        <v>462</v>
      </c>
      <c r="C286" s="31">
        <v>4301031429</v>
      </c>
      <c r="D286" s="553">
        <v>4680115886919</v>
      </c>
      <c r="E286" s="554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463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7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8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6"/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8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5" t="s">
        <v>77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45"/>
      <c r="AB289" s="545"/>
      <c r="AC289" s="545"/>
    </row>
    <row r="290" spans="1:68" ht="37.5" hidden="1" customHeight="1" x14ac:dyDescent="0.25">
      <c r="A290" s="54" t="s">
        <v>464</v>
      </c>
      <c r="B290" s="54" t="s">
        <v>465</v>
      </c>
      <c r="C290" s="31">
        <v>4301051782</v>
      </c>
      <c r="D290" s="553">
        <v>4680115884618</v>
      </c>
      <c r="E290" s="554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0"/>
      <c r="R290" s="560"/>
      <c r="S290" s="560"/>
      <c r="T290" s="561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466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467</v>
      </c>
      <c r="B291" s="54" t="s">
        <v>468</v>
      </c>
      <c r="C291" s="31">
        <v>4301052057</v>
      </c>
      <c r="D291" s="553">
        <v>4680115887114</v>
      </c>
      <c r="E291" s="554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4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469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7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58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6"/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8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62" t="s">
        <v>470</v>
      </c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44"/>
      <c r="AB294" s="544"/>
      <c r="AC294" s="544"/>
    </row>
    <row r="295" spans="1:68" ht="14.25" hidden="1" customHeight="1" x14ac:dyDescent="0.25">
      <c r="A295" s="555" t="s">
        <v>101</v>
      </c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6"/>
      <c r="P295" s="556"/>
      <c r="Q295" s="556"/>
      <c r="R295" s="556"/>
      <c r="S295" s="556"/>
      <c r="T295" s="556"/>
      <c r="U295" s="556"/>
      <c r="V295" s="556"/>
      <c r="W295" s="556"/>
      <c r="X295" s="556"/>
      <c r="Y295" s="556"/>
      <c r="Z295" s="556"/>
      <c r="AA295" s="545"/>
      <c r="AB295" s="545"/>
      <c r="AC295" s="545"/>
    </row>
    <row r="296" spans="1:68" ht="27" hidden="1" customHeight="1" x14ac:dyDescent="0.25">
      <c r="A296" s="54" t="s">
        <v>471</v>
      </c>
      <c r="B296" s="54" t="s">
        <v>472</v>
      </c>
      <c r="C296" s="31">
        <v>4301012024</v>
      </c>
      <c r="D296" s="553">
        <v>4680115885615</v>
      </c>
      <c r="E296" s="554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4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60"/>
      <c r="R296" s="560"/>
      <c r="S296" s="560"/>
      <c r="T296" s="561"/>
      <c r="U296" s="34"/>
      <c r="V296" s="34"/>
      <c r="W296" s="35" t="s">
        <v>69</v>
      </c>
      <c r="X296" s="549">
        <v>0</v>
      </c>
      <c r="Y296" s="550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473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474</v>
      </c>
      <c r="B297" s="54" t="s">
        <v>475</v>
      </c>
      <c r="C297" s="31">
        <v>4301011858</v>
      </c>
      <c r="D297" s="553">
        <v>4680115885646</v>
      </c>
      <c r="E297" s="554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476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477</v>
      </c>
      <c r="B298" s="54" t="s">
        <v>478</v>
      </c>
      <c r="C298" s="31">
        <v>4301012016</v>
      </c>
      <c r="D298" s="553">
        <v>4680115885554</v>
      </c>
      <c r="E298" s="554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480</v>
      </c>
      <c r="B299" s="54" t="s">
        <v>481</v>
      </c>
      <c r="C299" s="31">
        <v>4301011857</v>
      </c>
      <c r="D299" s="553">
        <v>4680115885622</v>
      </c>
      <c r="E299" s="554"/>
      <c r="F299" s="548">
        <v>0.4</v>
      </c>
      <c r="G299" s="32">
        <v>10</v>
      </c>
      <c r="H299" s="548">
        <v>4</v>
      </c>
      <c r="I299" s="548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6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4301011859</v>
      </c>
      <c r="D300" s="553">
        <v>4680115885608</v>
      </c>
      <c r="E300" s="554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7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57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58"/>
      <c r="P301" s="568" t="s">
        <v>75</v>
      </c>
      <c r="Q301" s="569"/>
      <c r="R301" s="569"/>
      <c r="S301" s="569"/>
      <c r="T301" s="569"/>
      <c r="U301" s="569"/>
      <c r="V301" s="570"/>
      <c r="W301" s="37" t="s">
        <v>76</v>
      </c>
      <c r="X301" s="551">
        <f>IFERROR(X296/H296,"0")+IFERROR(X297/H297,"0")+IFERROR(X298/H298,"0")+IFERROR(X299/H299,"0")+IFERROR(X300/H300,"0")</f>
        <v>0</v>
      </c>
      <c r="Y301" s="551">
        <f>IFERROR(Y296/H296,"0")+IFERROR(Y297/H297,"0")+IFERROR(Y298/H298,"0")+IFERROR(Y299/H299,"0")+IFERROR(Y300/H300,"0")</f>
        <v>0</v>
      </c>
      <c r="Z301" s="551">
        <f>IFERROR(IF(Z296="",0,Z296),"0")+IFERROR(IF(Z297="",0,Z297),"0")+IFERROR(IF(Z298="",0,Z298),"0")+IFERROR(IF(Z299="",0,Z299),"0")+IFERROR(IF(Z300="",0,Z300),"0")</f>
        <v>0</v>
      </c>
      <c r="AA301" s="552"/>
      <c r="AB301" s="552"/>
      <c r="AC301" s="552"/>
    </row>
    <row r="302" spans="1:68" hidden="1" x14ac:dyDescent="0.2">
      <c r="A302" s="556"/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58"/>
      <c r="P302" s="568" t="s">
        <v>75</v>
      </c>
      <c r="Q302" s="569"/>
      <c r="R302" s="569"/>
      <c r="S302" s="569"/>
      <c r="T302" s="569"/>
      <c r="U302" s="569"/>
      <c r="V302" s="570"/>
      <c r="W302" s="37" t="s">
        <v>69</v>
      </c>
      <c r="X302" s="551">
        <f>IFERROR(SUM(X296:X300),"0")</f>
        <v>0</v>
      </c>
      <c r="Y302" s="551">
        <f>IFERROR(SUM(Y296:Y300),"0")</f>
        <v>0</v>
      </c>
      <c r="Z302" s="37"/>
      <c r="AA302" s="552"/>
      <c r="AB302" s="552"/>
      <c r="AC302" s="552"/>
    </row>
    <row r="303" spans="1:68" ht="14.25" hidden="1" customHeight="1" x14ac:dyDescent="0.25">
      <c r="A303" s="555" t="s">
        <v>64</v>
      </c>
      <c r="B303" s="556"/>
      <c r="C303" s="556"/>
      <c r="D303" s="556"/>
      <c r="E303" s="556"/>
      <c r="F303" s="556"/>
      <c r="G303" s="556"/>
      <c r="H303" s="556"/>
      <c r="I303" s="556"/>
      <c r="J303" s="556"/>
      <c r="K303" s="556"/>
      <c r="L303" s="556"/>
      <c r="M303" s="556"/>
      <c r="N303" s="556"/>
      <c r="O303" s="556"/>
      <c r="P303" s="556"/>
      <c r="Q303" s="556"/>
      <c r="R303" s="556"/>
      <c r="S303" s="556"/>
      <c r="T303" s="556"/>
      <c r="U303" s="556"/>
      <c r="V303" s="556"/>
      <c r="W303" s="556"/>
      <c r="X303" s="556"/>
      <c r="Y303" s="556"/>
      <c r="Z303" s="556"/>
      <c r="AA303" s="545"/>
      <c r="AB303" s="545"/>
      <c r="AC303" s="545"/>
    </row>
    <row r="304" spans="1:68" ht="27" hidden="1" customHeight="1" x14ac:dyDescent="0.25">
      <c r="A304" s="54" t="s">
        <v>485</v>
      </c>
      <c r="B304" s="54" t="s">
        <v>486</v>
      </c>
      <c r="C304" s="31">
        <v>4301030878</v>
      </c>
      <c r="D304" s="553">
        <v>4607091387193</v>
      </c>
      <c r="E304" s="554"/>
      <c r="F304" s="548">
        <v>0.7</v>
      </c>
      <c r="G304" s="32">
        <v>6</v>
      </c>
      <c r="H304" s="548">
        <v>4.2</v>
      </c>
      <c r="I304" s="548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60"/>
      <c r="R304" s="560"/>
      <c r="S304" s="560"/>
      <c r="T304" s="561"/>
      <c r="U304" s="34"/>
      <c r="V304" s="34"/>
      <c r="W304" s="35" t="s">
        <v>69</v>
      </c>
      <c r="X304" s="549">
        <v>0</v>
      </c>
      <c r="Y304" s="550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487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488</v>
      </c>
      <c r="B305" s="54" t="s">
        <v>489</v>
      </c>
      <c r="C305" s="31">
        <v>4301031153</v>
      </c>
      <c r="D305" s="553">
        <v>4607091387230</v>
      </c>
      <c r="E305" s="554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490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491</v>
      </c>
      <c r="B306" s="54" t="s">
        <v>492</v>
      </c>
      <c r="C306" s="31">
        <v>4301031154</v>
      </c>
      <c r="D306" s="553">
        <v>4607091387292</v>
      </c>
      <c r="E306" s="554"/>
      <c r="F306" s="548">
        <v>0.73</v>
      </c>
      <c r="G306" s="32">
        <v>6</v>
      </c>
      <c r="H306" s="548">
        <v>4.38</v>
      </c>
      <c r="I306" s="548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6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494</v>
      </c>
      <c r="B307" s="54" t="s">
        <v>495</v>
      </c>
      <c r="C307" s="31">
        <v>4301031152</v>
      </c>
      <c r="D307" s="553">
        <v>4607091387285</v>
      </c>
      <c r="E307" s="554"/>
      <c r="F307" s="548">
        <v>0.35</v>
      </c>
      <c r="G307" s="32">
        <v>6</v>
      </c>
      <c r="H307" s="548">
        <v>2.1</v>
      </c>
      <c r="I307" s="548">
        <v>2.23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490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4301031305</v>
      </c>
      <c r="D308" s="553">
        <v>4607091389845</v>
      </c>
      <c r="E308" s="554"/>
      <c r="F308" s="548">
        <v>0.35</v>
      </c>
      <c r="G308" s="32">
        <v>6</v>
      </c>
      <c r="H308" s="548">
        <v>2.1</v>
      </c>
      <c r="I308" s="548">
        <v>2.2000000000000002</v>
      </c>
      <c r="J308" s="32">
        <v>234</v>
      </c>
      <c r="K308" s="32" t="s">
        <v>73</v>
      </c>
      <c r="L308" s="32" t="s">
        <v>288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70</v>
      </c>
      <c r="Y308" s="550">
        <f t="shared" si="31"/>
        <v>71.400000000000006</v>
      </c>
      <c r="Z308" s="36">
        <f>IFERROR(IF(Y308=0,"",ROUNDUP(Y308/H308,0)*0.00502),"")</f>
        <v>0.17068</v>
      </c>
      <c r="AA308" s="56"/>
      <c r="AB308" s="57"/>
      <c r="AC308" s="363" t="s">
        <v>498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73.333333333333329</v>
      </c>
      <c r="BN308" s="64">
        <f t="shared" si="33"/>
        <v>74.8</v>
      </c>
      <c r="BO308" s="64">
        <f t="shared" si="34"/>
        <v>0.14245014245014245</v>
      </c>
      <c r="BP308" s="64">
        <f t="shared" si="35"/>
        <v>0.14529914529914531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4301031066</v>
      </c>
      <c r="D309" s="553">
        <v>4607091383836</v>
      </c>
      <c r="E309" s="554"/>
      <c r="F309" s="548">
        <v>0.3</v>
      </c>
      <c r="G309" s="32">
        <v>6</v>
      </c>
      <c r="H309" s="548">
        <v>1.8</v>
      </c>
      <c r="I309" s="548">
        <v>2.028</v>
      </c>
      <c r="J309" s="32">
        <v>182</v>
      </c>
      <c r="K309" s="32" t="s">
        <v>67</v>
      </c>
      <c r="L309" s="32" t="s">
        <v>222</v>
      </c>
      <c r="M309" s="33" t="s">
        <v>68</v>
      </c>
      <c r="N309" s="33"/>
      <c r="O309" s="32">
        <v>40</v>
      </c>
      <c r="P309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501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57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58"/>
      <c r="P310" s="568" t="s">
        <v>75</v>
      </c>
      <c r="Q310" s="569"/>
      <c r="R310" s="569"/>
      <c r="S310" s="569"/>
      <c r="T310" s="569"/>
      <c r="U310" s="569"/>
      <c r="V310" s="570"/>
      <c r="W310" s="37" t="s">
        <v>76</v>
      </c>
      <c r="X310" s="551">
        <f>IFERROR(X304/H304,"0")+IFERROR(X305/H305,"0")+IFERROR(X306/H306,"0")+IFERROR(X307/H307,"0")+IFERROR(X308/H308,"0")+IFERROR(X309/H309,"0")</f>
        <v>33.333333333333329</v>
      </c>
      <c r="Y310" s="551">
        <f>IFERROR(Y304/H304,"0")+IFERROR(Y305/H305,"0")+IFERROR(Y306/H306,"0")+IFERROR(Y307/H307,"0")+IFERROR(Y308/H308,"0")+IFERROR(Y309/H309,"0")</f>
        <v>34</v>
      </c>
      <c r="Z310" s="551">
        <f>IFERROR(IF(Z304="",0,Z304),"0")+IFERROR(IF(Z305="",0,Z305),"0")+IFERROR(IF(Z306="",0,Z306),"0")+IFERROR(IF(Z307="",0,Z307),"0")+IFERROR(IF(Z308="",0,Z308),"0")+IFERROR(IF(Z309="",0,Z309),"0")</f>
        <v>0.17068</v>
      </c>
      <c r="AA310" s="552"/>
      <c r="AB310" s="552"/>
      <c r="AC310" s="552"/>
    </row>
    <row r="311" spans="1:68" x14ac:dyDescent="0.2">
      <c r="A311" s="556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58"/>
      <c r="P311" s="568" t="s">
        <v>75</v>
      </c>
      <c r="Q311" s="569"/>
      <c r="R311" s="569"/>
      <c r="S311" s="569"/>
      <c r="T311" s="569"/>
      <c r="U311" s="569"/>
      <c r="V311" s="570"/>
      <c r="W311" s="37" t="s">
        <v>69</v>
      </c>
      <c r="X311" s="551">
        <f>IFERROR(SUM(X304:X309),"0")</f>
        <v>70</v>
      </c>
      <c r="Y311" s="551">
        <f>IFERROR(SUM(Y304:Y309),"0")</f>
        <v>71.400000000000006</v>
      </c>
      <c r="Z311" s="37"/>
      <c r="AA311" s="552"/>
      <c r="AB311" s="552"/>
      <c r="AC311" s="552"/>
    </row>
    <row r="312" spans="1:68" ht="14.25" hidden="1" customHeight="1" x14ac:dyDescent="0.25">
      <c r="A312" s="555" t="s">
        <v>77</v>
      </c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6"/>
      <c r="P312" s="556"/>
      <c r="Q312" s="556"/>
      <c r="R312" s="556"/>
      <c r="S312" s="556"/>
      <c r="T312" s="556"/>
      <c r="U312" s="556"/>
      <c r="V312" s="556"/>
      <c r="W312" s="556"/>
      <c r="X312" s="556"/>
      <c r="Y312" s="556"/>
      <c r="Z312" s="556"/>
      <c r="AA312" s="545"/>
      <c r="AB312" s="545"/>
      <c r="AC312" s="545"/>
    </row>
    <row r="313" spans="1:68" ht="27" hidden="1" customHeight="1" x14ac:dyDescent="0.25">
      <c r="A313" s="54" t="s">
        <v>502</v>
      </c>
      <c r="B313" s="54" t="s">
        <v>503</v>
      </c>
      <c r="C313" s="31">
        <v>4301051100</v>
      </c>
      <c r="D313" s="553">
        <v>4607091387766</v>
      </c>
      <c r="E313" s="554"/>
      <c r="F313" s="548">
        <v>1.3</v>
      </c>
      <c r="G313" s="32">
        <v>6</v>
      </c>
      <c r="H313" s="548">
        <v>7.8</v>
      </c>
      <c r="I313" s="548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60"/>
      <c r="R313" s="560"/>
      <c r="S313" s="560"/>
      <c r="T313" s="561"/>
      <c r="U313" s="34"/>
      <c r="V313" s="34"/>
      <c r="W313" s="35" t="s">
        <v>69</v>
      </c>
      <c r="X313" s="549">
        <v>0</v>
      </c>
      <c r="Y313" s="55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504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505</v>
      </c>
      <c r="B314" s="54" t="s">
        <v>506</v>
      </c>
      <c r="C314" s="31">
        <v>4301051818</v>
      </c>
      <c r="D314" s="553">
        <v>4607091387957</v>
      </c>
      <c r="E314" s="554"/>
      <c r="F314" s="548">
        <v>1.3</v>
      </c>
      <c r="G314" s="32">
        <v>6</v>
      </c>
      <c r="H314" s="548">
        <v>7.8</v>
      </c>
      <c r="I314" s="548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507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508</v>
      </c>
      <c r="B315" s="54" t="s">
        <v>509</v>
      </c>
      <c r="C315" s="31">
        <v>4301051819</v>
      </c>
      <c r="D315" s="553">
        <v>4607091387964</v>
      </c>
      <c r="E315" s="554"/>
      <c r="F315" s="548">
        <v>1.35</v>
      </c>
      <c r="G315" s="32">
        <v>6</v>
      </c>
      <c r="H315" s="548">
        <v>8.1</v>
      </c>
      <c r="I315" s="548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6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511</v>
      </c>
      <c r="B316" s="54" t="s">
        <v>512</v>
      </c>
      <c r="C316" s="31">
        <v>4301051734</v>
      </c>
      <c r="D316" s="553">
        <v>4680115884588</v>
      </c>
      <c r="E316" s="554"/>
      <c r="F316" s="548">
        <v>0.5</v>
      </c>
      <c r="G316" s="32">
        <v>6</v>
      </c>
      <c r="H316" s="548">
        <v>3</v>
      </c>
      <c r="I316" s="548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7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58"/>
      <c r="P317" s="568" t="s">
        <v>75</v>
      </c>
      <c r="Q317" s="569"/>
      <c r="R317" s="569"/>
      <c r="S317" s="569"/>
      <c r="T317" s="569"/>
      <c r="U317" s="569"/>
      <c r="V317" s="570"/>
      <c r="W317" s="37" t="s">
        <v>76</v>
      </c>
      <c r="X317" s="551">
        <f>IFERROR(X313/H313,"0")+IFERROR(X314/H314,"0")+IFERROR(X315/H315,"0")+IFERROR(X316/H316,"0")</f>
        <v>0</v>
      </c>
      <c r="Y317" s="551">
        <f>IFERROR(Y313/H313,"0")+IFERROR(Y314/H314,"0")+IFERROR(Y315/H315,"0")+IFERROR(Y316/H316,"0")</f>
        <v>0</v>
      </c>
      <c r="Z317" s="551">
        <f>IFERROR(IF(Z313="",0,Z313),"0")+IFERROR(IF(Z314="",0,Z314),"0")+IFERROR(IF(Z315="",0,Z315),"0")+IFERROR(IF(Z316="",0,Z316),"0")</f>
        <v>0</v>
      </c>
      <c r="AA317" s="552"/>
      <c r="AB317" s="552"/>
      <c r="AC317" s="552"/>
    </row>
    <row r="318" spans="1:68" hidden="1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8"/>
      <c r="P318" s="568" t="s">
        <v>75</v>
      </c>
      <c r="Q318" s="569"/>
      <c r="R318" s="569"/>
      <c r="S318" s="569"/>
      <c r="T318" s="569"/>
      <c r="U318" s="569"/>
      <c r="V318" s="570"/>
      <c r="W318" s="37" t="s">
        <v>69</v>
      </c>
      <c r="X318" s="551">
        <f>IFERROR(SUM(X313:X316),"0")</f>
        <v>0</v>
      </c>
      <c r="Y318" s="551">
        <f>IFERROR(SUM(Y313:Y316),"0")</f>
        <v>0</v>
      </c>
      <c r="Z318" s="37"/>
      <c r="AA318" s="552"/>
      <c r="AB318" s="552"/>
      <c r="AC318" s="552"/>
    </row>
    <row r="319" spans="1:68" ht="14.25" hidden="1" customHeight="1" x14ac:dyDescent="0.25">
      <c r="A319" s="555" t="s">
        <v>162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45"/>
      <c r="AB319" s="545"/>
      <c r="AC319" s="545"/>
    </row>
    <row r="320" spans="1:68" ht="27" customHeight="1" x14ac:dyDescent="0.25">
      <c r="A320" s="54" t="s">
        <v>514</v>
      </c>
      <c r="B320" s="54" t="s">
        <v>515</v>
      </c>
      <c r="C320" s="31">
        <v>4301060387</v>
      </c>
      <c r="D320" s="553">
        <v>4607091380880</v>
      </c>
      <c r="E320" s="554"/>
      <c r="F320" s="548">
        <v>1.4</v>
      </c>
      <c r="G320" s="32">
        <v>6</v>
      </c>
      <c r="H320" s="548">
        <v>8.4</v>
      </c>
      <c r="I320" s="548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60"/>
      <c r="R320" s="560"/>
      <c r="S320" s="560"/>
      <c r="T320" s="561"/>
      <c r="U320" s="34"/>
      <c r="V320" s="34"/>
      <c r="W320" s="35" t="s">
        <v>69</v>
      </c>
      <c r="X320" s="549">
        <v>20</v>
      </c>
      <c r="Y320" s="550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516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517</v>
      </c>
      <c r="B321" s="54" t="s">
        <v>518</v>
      </c>
      <c r="C321" s="31">
        <v>4301060406</v>
      </c>
      <c r="D321" s="553">
        <v>4607091384482</v>
      </c>
      <c r="E321" s="554"/>
      <c r="F321" s="548">
        <v>1.3</v>
      </c>
      <c r="G321" s="32">
        <v>6</v>
      </c>
      <c r="H321" s="548">
        <v>7.8</v>
      </c>
      <c r="I321" s="548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100</v>
      </c>
      <c r="Y321" s="550">
        <f>IFERROR(IF(X321="",0,CEILING((X321/$H321),1)*$H321),"")</f>
        <v>101.39999999999999</v>
      </c>
      <c r="Z321" s="36">
        <f>IFERROR(IF(Y321=0,"",ROUNDUP(Y321/H321,0)*0.01898),"")</f>
        <v>0.24674000000000001</v>
      </c>
      <c r="AA321" s="56"/>
      <c r="AB321" s="57"/>
      <c r="AC321" s="377" t="s">
        <v>519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106.33333333333334</v>
      </c>
      <c r="BN321" s="64">
        <f>IFERROR(Y321*I321/H321,"0")</f>
        <v>107.82199999999999</v>
      </c>
      <c r="BO321" s="64">
        <f>IFERROR(1/J321*(X321/H321),"0")</f>
        <v>0.20032051282051283</v>
      </c>
      <c r="BP321" s="64">
        <f>IFERROR(1/J321*(Y321/H321),"0")</f>
        <v>0.203125</v>
      </c>
    </row>
    <row r="322" spans="1:68" ht="16.5" hidden="1" customHeight="1" x14ac:dyDescent="0.25">
      <c r="A322" s="54" t="s">
        <v>520</v>
      </c>
      <c r="B322" s="54" t="s">
        <v>521</v>
      </c>
      <c r="C322" s="31">
        <v>4301060484</v>
      </c>
      <c r="D322" s="553">
        <v>4607091380897</v>
      </c>
      <c r="E322" s="554"/>
      <c r="F322" s="548">
        <v>1.4</v>
      </c>
      <c r="G322" s="32">
        <v>6</v>
      </c>
      <c r="H322" s="548">
        <v>8.4</v>
      </c>
      <c r="I322" s="548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57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58"/>
      <c r="P323" s="568" t="s">
        <v>75</v>
      </c>
      <c r="Q323" s="569"/>
      <c r="R323" s="569"/>
      <c r="S323" s="569"/>
      <c r="T323" s="569"/>
      <c r="U323" s="569"/>
      <c r="V323" s="570"/>
      <c r="W323" s="37" t="s">
        <v>76</v>
      </c>
      <c r="X323" s="551">
        <f>IFERROR(X320/H320,"0")+IFERROR(X321/H321,"0")+IFERROR(X322/H322,"0")</f>
        <v>15.201465201465203</v>
      </c>
      <c r="Y323" s="551">
        <f>IFERROR(Y320/H320,"0")+IFERROR(Y321/H321,"0")+IFERROR(Y322/H322,"0")</f>
        <v>16</v>
      </c>
      <c r="Z323" s="551">
        <f>IFERROR(IF(Z320="",0,Z320),"0")+IFERROR(IF(Z321="",0,Z321),"0")+IFERROR(IF(Z322="",0,Z322),"0")</f>
        <v>0.30368000000000001</v>
      </c>
      <c r="AA323" s="552"/>
      <c r="AB323" s="552"/>
      <c r="AC323" s="552"/>
    </row>
    <row r="324" spans="1:68" x14ac:dyDescent="0.2">
      <c r="A324" s="556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58"/>
      <c r="P324" s="568" t="s">
        <v>75</v>
      </c>
      <c r="Q324" s="569"/>
      <c r="R324" s="569"/>
      <c r="S324" s="569"/>
      <c r="T324" s="569"/>
      <c r="U324" s="569"/>
      <c r="V324" s="570"/>
      <c r="W324" s="37" t="s">
        <v>69</v>
      </c>
      <c r="X324" s="551">
        <f>IFERROR(SUM(X320:X322),"0")</f>
        <v>120</v>
      </c>
      <c r="Y324" s="551">
        <f>IFERROR(SUM(Y320:Y322),"0")</f>
        <v>126.6</v>
      </c>
      <c r="Z324" s="37"/>
      <c r="AA324" s="552"/>
      <c r="AB324" s="552"/>
      <c r="AC324" s="552"/>
    </row>
    <row r="325" spans="1:68" ht="14.25" hidden="1" customHeight="1" x14ac:dyDescent="0.25">
      <c r="A325" s="555" t="s">
        <v>93</v>
      </c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6"/>
      <c r="P325" s="556"/>
      <c r="Q325" s="556"/>
      <c r="R325" s="556"/>
      <c r="S325" s="556"/>
      <c r="T325" s="556"/>
      <c r="U325" s="556"/>
      <c r="V325" s="556"/>
      <c r="W325" s="556"/>
      <c r="X325" s="556"/>
      <c r="Y325" s="556"/>
      <c r="Z325" s="556"/>
      <c r="AA325" s="545"/>
      <c r="AB325" s="545"/>
      <c r="AC325" s="545"/>
    </row>
    <row r="326" spans="1:68" ht="27" hidden="1" customHeight="1" x14ac:dyDescent="0.25">
      <c r="A326" s="54" t="s">
        <v>523</v>
      </c>
      <c r="B326" s="54" t="s">
        <v>524</v>
      </c>
      <c r="C326" s="31">
        <v>4301030235</v>
      </c>
      <c r="D326" s="553">
        <v>4607091388381</v>
      </c>
      <c r="E326" s="554"/>
      <c r="F326" s="548">
        <v>0.38</v>
      </c>
      <c r="G326" s="32">
        <v>8</v>
      </c>
      <c r="H326" s="548">
        <v>3.04</v>
      </c>
      <c r="I326" s="548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60"/>
      <c r="R326" s="560"/>
      <c r="S326" s="560"/>
      <c r="T326" s="561"/>
      <c r="U326" s="34"/>
      <c r="V326" s="34"/>
      <c r="W326" s="35" t="s">
        <v>69</v>
      </c>
      <c r="X326" s="549">
        <v>0</v>
      </c>
      <c r="Y326" s="55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525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526</v>
      </c>
      <c r="B327" s="54" t="s">
        <v>527</v>
      </c>
      <c r="C327" s="31">
        <v>4301030232</v>
      </c>
      <c r="D327" s="553">
        <v>4607091388374</v>
      </c>
      <c r="E327" s="554"/>
      <c r="F327" s="548">
        <v>0.38</v>
      </c>
      <c r="G327" s="32">
        <v>8</v>
      </c>
      <c r="H327" s="548">
        <v>3.04</v>
      </c>
      <c r="I327" s="548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525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4301032015</v>
      </c>
      <c r="D328" s="553">
        <v>4607091383102</v>
      </c>
      <c r="E328" s="554"/>
      <c r="F328" s="548">
        <v>0.17</v>
      </c>
      <c r="G328" s="32">
        <v>15</v>
      </c>
      <c r="H328" s="548">
        <v>2.5499999999999998</v>
      </c>
      <c r="I328" s="548">
        <v>2.9550000000000001</v>
      </c>
      <c r="J328" s="32">
        <v>182</v>
      </c>
      <c r="K328" s="32" t="s">
        <v>67</v>
      </c>
      <c r="L328" s="32" t="s">
        <v>222</v>
      </c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530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4301030233</v>
      </c>
      <c r="D329" s="553">
        <v>4607091388404</v>
      </c>
      <c r="E329" s="554"/>
      <c r="F329" s="548">
        <v>0.17</v>
      </c>
      <c r="G329" s="32">
        <v>15</v>
      </c>
      <c r="H329" s="548">
        <v>2.5499999999999998</v>
      </c>
      <c r="I329" s="548">
        <v>2.88</v>
      </c>
      <c r="J329" s="32">
        <v>182</v>
      </c>
      <c r="K329" s="32" t="s">
        <v>67</v>
      </c>
      <c r="L329" s="32" t="s">
        <v>222</v>
      </c>
      <c r="M329" s="33" t="s">
        <v>96</v>
      </c>
      <c r="N329" s="33"/>
      <c r="O329" s="32">
        <v>180</v>
      </c>
      <c r="P329" s="6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525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7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58"/>
      <c r="P330" s="568" t="s">
        <v>75</v>
      </c>
      <c r="Q330" s="569"/>
      <c r="R330" s="569"/>
      <c r="S330" s="569"/>
      <c r="T330" s="569"/>
      <c r="U330" s="569"/>
      <c r="V330" s="570"/>
      <c r="W330" s="37" t="s">
        <v>76</v>
      </c>
      <c r="X330" s="551">
        <f>IFERROR(X326/H326,"0")+IFERROR(X327/H327,"0")+IFERROR(X328/H328,"0")+IFERROR(X329/H329,"0")</f>
        <v>0</v>
      </c>
      <c r="Y330" s="551">
        <f>IFERROR(Y326/H326,"0")+IFERROR(Y327/H327,"0")+IFERROR(Y328/H328,"0")+IFERROR(Y329/H329,"0")</f>
        <v>0</v>
      </c>
      <c r="Z330" s="551">
        <f>IFERROR(IF(Z326="",0,Z326),"0")+IFERROR(IF(Z327="",0,Z327),"0")+IFERROR(IF(Z328="",0,Z328),"0")+IFERROR(IF(Z329="",0,Z329),"0")</f>
        <v>0</v>
      </c>
      <c r="AA330" s="552"/>
      <c r="AB330" s="552"/>
      <c r="AC330" s="552"/>
    </row>
    <row r="331" spans="1:68" hidden="1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8"/>
      <c r="P331" s="568" t="s">
        <v>75</v>
      </c>
      <c r="Q331" s="569"/>
      <c r="R331" s="569"/>
      <c r="S331" s="569"/>
      <c r="T331" s="569"/>
      <c r="U331" s="569"/>
      <c r="V331" s="570"/>
      <c r="W331" s="37" t="s">
        <v>69</v>
      </c>
      <c r="X331" s="551">
        <f>IFERROR(SUM(X326:X329),"0")</f>
        <v>0</v>
      </c>
      <c r="Y331" s="551">
        <f>IFERROR(SUM(Y326:Y329),"0")</f>
        <v>0</v>
      </c>
      <c r="Z331" s="37"/>
      <c r="AA331" s="552"/>
      <c r="AB331" s="552"/>
      <c r="AC331" s="552"/>
    </row>
    <row r="332" spans="1:68" ht="14.25" hidden="1" customHeight="1" x14ac:dyDescent="0.25">
      <c r="A332" s="555" t="s">
        <v>533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45"/>
      <c r="AB332" s="545"/>
      <c r="AC332" s="545"/>
    </row>
    <row r="333" spans="1:68" ht="16.5" hidden="1" customHeight="1" x14ac:dyDescent="0.25">
      <c r="A333" s="54" t="s">
        <v>534</v>
      </c>
      <c r="B333" s="54" t="s">
        <v>535</v>
      </c>
      <c r="C333" s="31">
        <v>4301180007</v>
      </c>
      <c r="D333" s="553">
        <v>4680115881808</v>
      </c>
      <c r="E333" s="554"/>
      <c r="F333" s="548">
        <v>0.1</v>
      </c>
      <c r="G333" s="32">
        <v>20</v>
      </c>
      <c r="H333" s="548">
        <v>2</v>
      </c>
      <c r="I333" s="548">
        <v>2.2400000000000002</v>
      </c>
      <c r="J333" s="32">
        <v>238</v>
      </c>
      <c r="K333" s="32" t="s">
        <v>67</v>
      </c>
      <c r="L333" s="32" t="s">
        <v>222</v>
      </c>
      <c r="M333" s="33" t="s">
        <v>536</v>
      </c>
      <c r="N333" s="33"/>
      <c r="O333" s="32">
        <v>730</v>
      </c>
      <c r="P333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60"/>
      <c r="R333" s="560"/>
      <c r="S333" s="560"/>
      <c r="T333" s="561"/>
      <c r="U333" s="34"/>
      <c r="V333" s="34"/>
      <c r="W333" s="35" t="s">
        <v>69</v>
      </c>
      <c r="X333" s="549">
        <v>0</v>
      </c>
      <c r="Y333" s="550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537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538</v>
      </c>
      <c r="B334" s="54" t="s">
        <v>539</v>
      </c>
      <c r="C334" s="31">
        <v>4301180006</v>
      </c>
      <c r="D334" s="553">
        <v>4680115881822</v>
      </c>
      <c r="E334" s="554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536</v>
      </c>
      <c r="N334" s="33"/>
      <c r="O334" s="32">
        <v>730</v>
      </c>
      <c r="P334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537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540</v>
      </c>
      <c r="B335" s="54" t="s">
        <v>541</v>
      </c>
      <c r="C335" s="31">
        <v>4301180001</v>
      </c>
      <c r="D335" s="553">
        <v>4680115880016</v>
      </c>
      <c r="E335" s="554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222</v>
      </c>
      <c r="M335" s="33" t="s">
        <v>536</v>
      </c>
      <c r="N335" s="33"/>
      <c r="O335" s="32">
        <v>730</v>
      </c>
      <c r="P335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537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57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58"/>
      <c r="P336" s="568" t="s">
        <v>75</v>
      </c>
      <c r="Q336" s="569"/>
      <c r="R336" s="569"/>
      <c r="S336" s="569"/>
      <c r="T336" s="569"/>
      <c r="U336" s="569"/>
      <c r="V336" s="570"/>
      <c r="W336" s="37" t="s">
        <v>76</v>
      </c>
      <c r="X336" s="551">
        <f>IFERROR(X333/H333,"0")+IFERROR(X334/H334,"0")+IFERROR(X335/H335,"0")</f>
        <v>0</v>
      </c>
      <c r="Y336" s="551">
        <f>IFERROR(Y333/H333,"0")+IFERROR(Y334/H334,"0")+IFERROR(Y335/H335,"0")</f>
        <v>0</v>
      </c>
      <c r="Z336" s="551">
        <f>IFERROR(IF(Z333="",0,Z333),"0")+IFERROR(IF(Z334="",0,Z334),"0")+IFERROR(IF(Z335="",0,Z335),"0")</f>
        <v>0</v>
      </c>
      <c r="AA336" s="552"/>
      <c r="AB336" s="552"/>
      <c r="AC336" s="552"/>
    </row>
    <row r="337" spans="1:68" hidden="1" x14ac:dyDescent="0.2">
      <c r="A337" s="556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58"/>
      <c r="P337" s="568" t="s">
        <v>75</v>
      </c>
      <c r="Q337" s="569"/>
      <c r="R337" s="569"/>
      <c r="S337" s="569"/>
      <c r="T337" s="569"/>
      <c r="U337" s="569"/>
      <c r="V337" s="570"/>
      <c r="W337" s="37" t="s">
        <v>69</v>
      </c>
      <c r="X337" s="551">
        <f>IFERROR(SUM(X333:X335),"0")</f>
        <v>0</v>
      </c>
      <c r="Y337" s="551">
        <f>IFERROR(SUM(Y333:Y335),"0")</f>
        <v>0</v>
      </c>
      <c r="Z337" s="37"/>
      <c r="AA337" s="552"/>
      <c r="AB337" s="552"/>
      <c r="AC337" s="552"/>
    </row>
    <row r="338" spans="1:68" ht="16.5" hidden="1" customHeight="1" x14ac:dyDescent="0.25">
      <c r="A338" s="562" t="s">
        <v>542</v>
      </c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44"/>
      <c r="AB338" s="544"/>
      <c r="AC338" s="544"/>
    </row>
    <row r="339" spans="1:68" ht="14.25" hidden="1" customHeight="1" x14ac:dyDescent="0.25">
      <c r="A339" s="555" t="s">
        <v>77</v>
      </c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6"/>
      <c r="P339" s="556"/>
      <c r="Q339" s="556"/>
      <c r="R339" s="556"/>
      <c r="S339" s="556"/>
      <c r="T339" s="556"/>
      <c r="U339" s="556"/>
      <c r="V339" s="556"/>
      <c r="W339" s="556"/>
      <c r="X339" s="556"/>
      <c r="Y339" s="556"/>
      <c r="Z339" s="556"/>
      <c r="AA339" s="545"/>
      <c r="AB339" s="545"/>
      <c r="AC339" s="545"/>
    </row>
    <row r="340" spans="1:68" ht="27" hidden="1" customHeight="1" x14ac:dyDescent="0.25">
      <c r="A340" s="54" t="s">
        <v>543</v>
      </c>
      <c r="B340" s="54" t="s">
        <v>544</v>
      </c>
      <c r="C340" s="31">
        <v>4301051489</v>
      </c>
      <c r="D340" s="553">
        <v>4607091387919</v>
      </c>
      <c r="E340" s="554"/>
      <c r="F340" s="548">
        <v>1.35</v>
      </c>
      <c r="G340" s="32">
        <v>6</v>
      </c>
      <c r="H340" s="548">
        <v>8.1</v>
      </c>
      <c r="I340" s="548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60"/>
      <c r="R340" s="560"/>
      <c r="S340" s="560"/>
      <c r="T340" s="561"/>
      <c r="U340" s="34"/>
      <c r="V340" s="34"/>
      <c r="W340" s="35" t="s">
        <v>69</v>
      </c>
      <c r="X340" s="549">
        <v>0</v>
      </c>
      <c r="Y340" s="550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545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546</v>
      </c>
      <c r="B341" s="54" t="s">
        <v>547</v>
      </c>
      <c r="C341" s="31">
        <v>4301051461</v>
      </c>
      <c r="D341" s="553">
        <v>4680115883604</v>
      </c>
      <c r="E341" s="554"/>
      <c r="F341" s="548">
        <v>0.35</v>
      </c>
      <c r="G341" s="32">
        <v>6</v>
      </c>
      <c r="H341" s="548">
        <v>2.1</v>
      </c>
      <c r="I341" s="548">
        <v>2.3519999999999999</v>
      </c>
      <c r="J341" s="32">
        <v>182</v>
      </c>
      <c r="K341" s="32" t="s">
        <v>67</v>
      </c>
      <c r="L341" s="32" t="s">
        <v>222</v>
      </c>
      <c r="M341" s="33" t="s">
        <v>80</v>
      </c>
      <c r="N341" s="33"/>
      <c r="O341" s="32">
        <v>45</v>
      </c>
      <c r="P341" s="8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175</v>
      </c>
      <c r="Y341" s="550">
        <f>IFERROR(IF(X341="",0,CEILING((X341/$H341),1)*$H341),"")</f>
        <v>176.4</v>
      </c>
      <c r="Z341" s="36">
        <f>IFERROR(IF(Y341=0,"",ROUNDUP(Y341/H341,0)*0.00651),"")</f>
        <v>0.54683999999999999</v>
      </c>
      <c r="AA341" s="56"/>
      <c r="AB341" s="57"/>
      <c r="AC341" s="397" t="s">
        <v>548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195.99999999999997</v>
      </c>
      <c r="BN341" s="64">
        <f>IFERROR(Y341*I341/H341,"0")</f>
        <v>197.56799999999998</v>
      </c>
      <c r="BO341" s="64">
        <f>IFERROR(1/J341*(X341/H341),"0")</f>
        <v>0.45787545787545786</v>
      </c>
      <c r="BP341" s="64">
        <f>IFERROR(1/J341*(Y341/H341),"0")</f>
        <v>0.46153846153846156</v>
      </c>
    </row>
    <row r="342" spans="1:68" ht="27" customHeight="1" x14ac:dyDescent="0.25">
      <c r="A342" s="54" t="s">
        <v>549</v>
      </c>
      <c r="B342" s="54" t="s">
        <v>550</v>
      </c>
      <c r="C342" s="31">
        <v>4301051864</v>
      </c>
      <c r="D342" s="553">
        <v>4680115883567</v>
      </c>
      <c r="E342" s="554"/>
      <c r="F342" s="548">
        <v>0.35</v>
      </c>
      <c r="G342" s="32">
        <v>6</v>
      </c>
      <c r="H342" s="548">
        <v>2.1</v>
      </c>
      <c r="I342" s="548">
        <v>2.34</v>
      </c>
      <c r="J342" s="32">
        <v>182</v>
      </c>
      <c r="K342" s="32" t="s">
        <v>67</v>
      </c>
      <c r="L342" s="32" t="s">
        <v>222</v>
      </c>
      <c r="M342" s="33" t="s">
        <v>86</v>
      </c>
      <c r="N342" s="33"/>
      <c r="O342" s="32">
        <v>40</v>
      </c>
      <c r="P342" s="8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175</v>
      </c>
      <c r="Y342" s="550">
        <f>IFERROR(IF(X342="",0,CEILING((X342/$H342),1)*$H342),"")</f>
        <v>176.4</v>
      </c>
      <c r="Z342" s="36">
        <f>IFERROR(IF(Y342=0,"",ROUNDUP(Y342/H342,0)*0.00651),"")</f>
        <v>0.54683999999999999</v>
      </c>
      <c r="AA342" s="56"/>
      <c r="AB342" s="57"/>
      <c r="AC342" s="399" t="s">
        <v>551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195</v>
      </c>
      <c r="BN342" s="64">
        <f>IFERROR(Y342*I342/H342,"0")</f>
        <v>196.56</v>
      </c>
      <c r="BO342" s="64">
        <f>IFERROR(1/J342*(X342/H342),"0")</f>
        <v>0.45787545787545786</v>
      </c>
      <c r="BP342" s="64">
        <f>IFERROR(1/J342*(Y342/H342),"0")</f>
        <v>0.46153846153846156</v>
      </c>
    </row>
    <row r="343" spans="1:68" x14ac:dyDescent="0.2">
      <c r="A343" s="557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58"/>
      <c r="P343" s="568" t="s">
        <v>75</v>
      </c>
      <c r="Q343" s="569"/>
      <c r="R343" s="569"/>
      <c r="S343" s="569"/>
      <c r="T343" s="569"/>
      <c r="U343" s="569"/>
      <c r="V343" s="570"/>
      <c r="W343" s="37" t="s">
        <v>76</v>
      </c>
      <c r="X343" s="551">
        <f>IFERROR(X340/H340,"0")+IFERROR(X341/H341,"0")+IFERROR(X342/H342,"0")</f>
        <v>166.66666666666666</v>
      </c>
      <c r="Y343" s="551">
        <f>IFERROR(Y340/H340,"0")+IFERROR(Y341/H341,"0")+IFERROR(Y342/H342,"0")</f>
        <v>168</v>
      </c>
      <c r="Z343" s="551">
        <f>IFERROR(IF(Z340="",0,Z340),"0")+IFERROR(IF(Z341="",0,Z341),"0")+IFERROR(IF(Z342="",0,Z342),"0")</f>
        <v>1.09368</v>
      </c>
      <c r="AA343" s="552"/>
      <c r="AB343" s="552"/>
      <c r="AC343" s="552"/>
    </row>
    <row r="344" spans="1:68" x14ac:dyDescent="0.2">
      <c r="A344" s="556"/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58"/>
      <c r="P344" s="568" t="s">
        <v>75</v>
      </c>
      <c r="Q344" s="569"/>
      <c r="R344" s="569"/>
      <c r="S344" s="569"/>
      <c r="T344" s="569"/>
      <c r="U344" s="569"/>
      <c r="V344" s="570"/>
      <c r="W344" s="37" t="s">
        <v>69</v>
      </c>
      <c r="X344" s="551">
        <f>IFERROR(SUM(X340:X342),"0")</f>
        <v>350</v>
      </c>
      <c r="Y344" s="551">
        <f>IFERROR(SUM(Y340:Y342),"0")</f>
        <v>352.8</v>
      </c>
      <c r="Z344" s="37"/>
      <c r="AA344" s="552"/>
      <c r="AB344" s="552"/>
      <c r="AC344" s="552"/>
    </row>
    <row r="345" spans="1:68" ht="27.75" hidden="1" customHeight="1" x14ac:dyDescent="0.2">
      <c r="A345" s="631" t="s">
        <v>552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48"/>
      <c r="AB345" s="48"/>
      <c r="AC345" s="48"/>
    </row>
    <row r="346" spans="1:68" ht="16.5" hidden="1" customHeight="1" x14ac:dyDescent="0.25">
      <c r="A346" s="562" t="s">
        <v>553</v>
      </c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44"/>
      <c r="AB346" s="544"/>
      <c r="AC346" s="544"/>
    </row>
    <row r="347" spans="1:68" ht="14.25" hidden="1" customHeight="1" x14ac:dyDescent="0.25">
      <c r="A347" s="555" t="s">
        <v>101</v>
      </c>
      <c r="B347" s="556"/>
      <c r="C347" s="556"/>
      <c r="D347" s="556"/>
      <c r="E347" s="556"/>
      <c r="F347" s="556"/>
      <c r="G347" s="556"/>
      <c r="H347" s="556"/>
      <c r="I347" s="556"/>
      <c r="J347" s="556"/>
      <c r="K347" s="556"/>
      <c r="L347" s="556"/>
      <c r="M347" s="556"/>
      <c r="N347" s="556"/>
      <c r="O347" s="556"/>
      <c r="P347" s="556"/>
      <c r="Q347" s="556"/>
      <c r="R347" s="556"/>
      <c r="S347" s="556"/>
      <c r="T347" s="556"/>
      <c r="U347" s="556"/>
      <c r="V347" s="556"/>
      <c r="W347" s="556"/>
      <c r="X347" s="556"/>
      <c r="Y347" s="556"/>
      <c r="Z347" s="556"/>
      <c r="AA347" s="545"/>
      <c r="AB347" s="545"/>
      <c r="AC347" s="545"/>
    </row>
    <row r="348" spans="1:68" ht="37.5" customHeight="1" x14ac:dyDescent="0.25">
      <c r="A348" s="54" t="s">
        <v>554</v>
      </c>
      <c r="B348" s="54" t="s">
        <v>555</v>
      </c>
      <c r="C348" s="31">
        <v>4301011869</v>
      </c>
      <c r="D348" s="553">
        <v>4680115884847</v>
      </c>
      <c r="E348" s="554"/>
      <c r="F348" s="548">
        <v>2.5</v>
      </c>
      <c r="G348" s="32">
        <v>6</v>
      </c>
      <c r="H348" s="548">
        <v>15</v>
      </c>
      <c r="I348" s="548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60"/>
      <c r="R348" s="560"/>
      <c r="S348" s="560"/>
      <c r="T348" s="561"/>
      <c r="U348" s="34"/>
      <c r="V348" s="34"/>
      <c r="W348" s="35" t="s">
        <v>69</v>
      </c>
      <c r="X348" s="549">
        <v>1100</v>
      </c>
      <c r="Y348" s="550">
        <f t="shared" ref="Y348:Y354" si="36">IFERROR(IF(X348="",0,CEILING((X348/$H348),1)*$H348),"")</f>
        <v>1110</v>
      </c>
      <c r="Z348" s="36">
        <f>IFERROR(IF(Y348=0,"",ROUNDUP(Y348/H348,0)*0.02175),"")</f>
        <v>1.6094999999999999</v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1134.4666666666667</v>
      </c>
      <c r="BN348" s="64">
        <f t="shared" ref="BN348:BN354" si="38">IFERROR(Y348*I348/H348,"0")</f>
        <v>1144.78</v>
      </c>
      <c r="BO348" s="64">
        <f t="shared" ref="BO348:BO354" si="39">IFERROR(1/J348*(X348/H348),"0")</f>
        <v>1.5277777777777777</v>
      </c>
      <c r="BP348" s="64">
        <f t="shared" ref="BP348:BP354" si="40">IFERROR(1/J348*(Y348/H348),"0")</f>
        <v>1.5416666666666665</v>
      </c>
    </row>
    <row r="349" spans="1:68" ht="27" customHeight="1" x14ac:dyDescent="0.25">
      <c r="A349" s="54" t="s">
        <v>557</v>
      </c>
      <c r="B349" s="54" t="s">
        <v>558</v>
      </c>
      <c r="C349" s="31">
        <v>4301011870</v>
      </c>
      <c r="D349" s="553">
        <v>4680115884854</v>
      </c>
      <c r="E349" s="554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700</v>
      </c>
      <c r="Y349" s="550">
        <f t="shared" si="36"/>
        <v>705</v>
      </c>
      <c r="Z349" s="36">
        <f>IFERROR(IF(Y349=0,"",ROUNDUP(Y349/H349,0)*0.02175),"")</f>
        <v>1.0222499999999999</v>
      </c>
      <c r="AA349" s="56"/>
      <c r="AB349" s="57"/>
      <c r="AC349" s="403" t="s">
        <v>559</v>
      </c>
      <c r="AG349" s="64"/>
      <c r="AJ349" s="68"/>
      <c r="AK349" s="68">
        <v>0</v>
      </c>
      <c r="BB349" s="404" t="s">
        <v>1</v>
      </c>
      <c r="BM349" s="64">
        <f t="shared" si="37"/>
        <v>721.93333333333328</v>
      </c>
      <c r="BN349" s="64">
        <f t="shared" si="38"/>
        <v>727.09</v>
      </c>
      <c r="BO349" s="64">
        <f t="shared" si="39"/>
        <v>0.9722222222222221</v>
      </c>
      <c r="BP349" s="64">
        <f t="shared" si="40"/>
        <v>0.97916666666666663</v>
      </c>
    </row>
    <row r="350" spans="1:68" ht="37.5" customHeight="1" x14ac:dyDescent="0.25">
      <c r="A350" s="54" t="s">
        <v>560</v>
      </c>
      <c r="B350" s="54" t="s">
        <v>561</v>
      </c>
      <c r="C350" s="31">
        <v>4301011867</v>
      </c>
      <c r="D350" s="553">
        <v>4680115884830</v>
      </c>
      <c r="E350" s="554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2200</v>
      </c>
      <c r="Y350" s="550">
        <f t="shared" si="36"/>
        <v>2205</v>
      </c>
      <c r="Z350" s="36">
        <f>IFERROR(IF(Y350=0,"",ROUNDUP(Y350/H350,0)*0.02175),"")</f>
        <v>3.1972499999999999</v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si="37"/>
        <v>2268.9333333333334</v>
      </c>
      <c r="BN350" s="64">
        <f t="shared" si="38"/>
        <v>2274.0899999999997</v>
      </c>
      <c r="BO350" s="64">
        <f t="shared" si="39"/>
        <v>3.0555555555555554</v>
      </c>
      <c r="BP350" s="64">
        <f t="shared" si="40"/>
        <v>3.0625</v>
      </c>
    </row>
    <row r="351" spans="1:68" ht="27" customHeight="1" x14ac:dyDescent="0.25">
      <c r="A351" s="54" t="s">
        <v>563</v>
      </c>
      <c r="B351" s="54" t="s">
        <v>564</v>
      </c>
      <c r="C351" s="31">
        <v>4301012215</v>
      </c>
      <c r="D351" s="553">
        <v>4680115887046</v>
      </c>
      <c r="E351" s="554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71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450</v>
      </c>
      <c r="Y351" s="550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464.1</v>
      </c>
      <c r="BN351" s="64">
        <f t="shared" si="38"/>
        <v>464.1</v>
      </c>
      <c r="BO351" s="64">
        <f t="shared" si="39"/>
        <v>0.625</v>
      </c>
      <c r="BP351" s="64">
        <f t="shared" si="40"/>
        <v>0.625</v>
      </c>
    </row>
    <row r="352" spans="1:68" ht="27" hidden="1" customHeight="1" x14ac:dyDescent="0.25">
      <c r="A352" s="54" t="s">
        <v>566</v>
      </c>
      <c r="B352" s="54" t="s">
        <v>567</v>
      </c>
      <c r="C352" s="31">
        <v>4301011433</v>
      </c>
      <c r="D352" s="553">
        <v>4680115882638</v>
      </c>
      <c r="E352" s="554"/>
      <c r="F352" s="548">
        <v>0.4</v>
      </c>
      <c r="G352" s="32">
        <v>10</v>
      </c>
      <c r="H352" s="548">
        <v>4</v>
      </c>
      <c r="I352" s="548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569</v>
      </c>
      <c r="B353" s="54" t="s">
        <v>570</v>
      </c>
      <c r="C353" s="31">
        <v>4301011952</v>
      </c>
      <c r="D353" s="553">
        <v>4680115884922</v>
      </c>
      <c r="E353" s="554"/>
      <c r="F353" s="548">
        <v>0.5</v>
      </c>
      <c r="G353" s="32">
        <v>10</v>
      </c>
      <c r="H353" s="548">
        <v>5</v>
      </c>
      <c r="I353" s="548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559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571</v>
      </c>
      <c r="B354" s="54" t="s">
        <v>572</v>
      </c>
      <c r="C354" s="31">
        <v>4301011868</v>
      </c>
      <c r="D354" s="553">
        <v>4680115884861</v>
      </c>
      <c r="E354" s="554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562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57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8"/>
      <c r="P355" s="568" t="s">
        <v>75</v>
      </c>
      <c r="Q355" s="569"/>
      <c r="R355" s="569"/>
      <c r="S355" s="569"/>
      <c r="T355" s="569"/>
      <c r="U355" s="569"/>
      <c r="V355" s="570"/>
      <c r="W355" s="37" t="s">
        <v>76</v>
      </c>
      <c r="X355" s="551">
        <f>IFERROR(X348/H348,"0")+IFERROR(X349/H349,"0")+IFERROR(X350/H350,"0")+IFERROR(X351/H351,"0")+IFERROR(X352/H352,"0")+IFERROR(X353/H353,"0")+IFERROR(X354/H354,"0")</f>
        <v>296.66666666666663</v>
      </c>
      <c r="Y355" s="551">
        <f>IFERROR(Y348/H348,"0")+IFERROR(Y349/H349,"0")+IFERROR(Y350/H350,"0")+IFERROR(Y351/H351,"0")+IFERROR(Y352/H352,"0")+IFERROR(Y353/H353,"0")+IFERROR(Y354/H354,"0")</f>
        <v>298</v>
      </c>
      <c r="Z355" s="551">
        <f>IFERROR(IF(Z348="",0,Z348),"0")+IFERROR(IF(Z349="",0,Z349),"0")+IFERROR(IF(Z350="",0,Z350),"0")+IFERROR(IF(Z351="",0,Z351),"0")+IFERROR(IF(Z352="",0,Z352),"0")+IFERROR(IF(Z353="",0,Z353),"0")+IFERROR(IF(Z354="",0,Z354),"0")</f>
        <v>6.4814999999999996</v>
      </c>
      <c r="AA355" s="552"/>
      <c r="AB355" s="552"/>
      <c r="AC355" s="552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8"/>
      <c r="P356" s="568" t="s">
        <v>75</v>
      </c>
      <c r="Q356" s="569"/>
      <c r="R356" s="569"/>
      <c r="S356" s="569"/>
      <c r="T356" s="569"/>
      <c r="U356" s="569"/>
      <c r="V356" s="570"/>
      <c r="W356" s="37" t="s">
        <v>69</v>
      </c>
      <c r="X356" s="551">
        <f>IFERROR(SUM(X348:X354),"0")</f>
        <v>4450</v>
      </c>
      <c r="Y356" s="551">
        <f>IFERROR(SUM(Y348:Y354),"0")</f>
        <v>4470</v>
      </c>
      <c r="Z356" s="37"/>
      <c r="AA356" s="552"/>
      <c r="AB356" s="552"/>
      <c r="AC356" s="552"/>
    </row>
    <row r="357" spans="1:68" ht="14.25" hidden="1" customHeight="1" x14ac:dyDescent="0.25">
      <c r="A357" s="555" t="s">
        <v>137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45"/>
      <c r="AB357" s="545"/>
      <c r="AC357" s="545"/>
    </row>
    <row r="358" spans="1:68" ht="27" customHeight="1" x14ac:dyDescent="0.25">
      <c r="A358" s="54" t="s">
        <v>573</v>
      </c>
      <c r="B358" s="54" t="s">
        <v>574</v>
      </c>
      <c r="C358" s="31">
        <v>4301020178</v>
      </c>
      <c r="D358" s="553">
        <v>4607091383980</v>
      </c>
      <c r="E358" s="554"/>
      <c r="F358" s="548">
        <v>2.5</v>
      </c>
      <c r="G358" s="32">
        <v>6</v>
      </c>
      <c r="H358" s="548">
        <v>15</v>
      </c>
      <c r="I358" s="548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60"/>
      <c r="R358" s="560"/>
      <c r="S358" s="560"/>
      <c r="T358" s="561"/>
      <c r="U358" s="34"/>
      <c r="V358" s="34"/>
      <c r="W358" s="35" t="s">
        <v>69</v>
      </c>
      <c r="X358" s="549">
        <v>1000</v>
      </c>
      <c r="Y358" s="550">
        <f>IFERROR(IF(X358="",0,CEILING((X358/$H358),1)*$H358),"")</f>
        <v>1005</v>
      </c>
      <c r="Z358" s="36">
        <f>IFERROR(IF(Y358=0,"",ROUNDUP(Y358/H358,0)*0.02175),"")</f>
        <v>1.4572499999999999</v>
      </c>
      <c r="AA358" s="56"/>
      <c r="AB358" s="57"/>
      <c r="AC358" s="415" t="s">
        <v>575</v>
      </c>
      <c r="AG358" s="64"/>
      <c r="AJ358" s="68"/>
      <c r="AK358" s="68">
        <v>0</v>
      </c>
      <c r="BB358" s="416" t="s">
        <v>1</v>
      </c>
      <c r="BM358" s="64">
        <f>IFERROR(X358*I358/H358,"0")</f>
        <v>1031.3333333333333</v>
      </c>
      <c r="BN358" s="64">
        <f>IFERROR(Y358*I358/H358,"0")</f>
        <v>1036.49</v>
      </c>
      <c r="BO358" s="64">
        <f>IFERROR(1/J358*(X358/H358),"0")</f>
        <v>1.3888888888888888</v>
      </c>
      <c r="BP358" s="64">
        <f>IFERROR(1/J358*(Y358/H358),"0")</f>
        <v>1.3958333333333333</v>
      </c>
    </row>
    <row r="359" spans="1:68" ht="27" customHeight="1" x14ac:dyDescent="0.25">
      <c r="A359" s="54" t="s">
        <v>576</v>
      </c>
      <c r="B359" s="54" t="s">
        <v>577</v>
      </c>
      <c r="C359" s="31">
        <v>4301020179</v>
      </c>
      <c r="D359" s="553">
        <v>4607091384178</v>
      </c>
      <c r="E359" s="554"/>
      <c r="F359" s="548">
        <v>0.4</v>
      </c>
      <c r="G359" s="32">
        <v>10</v>
      </c>
      <c r="H359" s="548">
        <v>4</v>
      </c>
      <c r="I359" s="548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8</v>
      </c>
      <c r="Y359" s="550">
        <f>IFERROR(IF(X359="",0,CEILING((X359/$H359),1)*$H359),"")</f>
        <v>8</v>
      </c>
      <c r="Z359" s="36">
        <f>IFERROR(IF(Y359=0,"",ROUNDUP(Y359/H359,0)*0.00902),"")</f>
        <v>1.804E-2</v>
      </c>
      <c r="AA359" s="56"/>
      <c r="AB359" s="57"/>
      <c r="AC359" s="417" t="s">
        <v>578</v>
      </c>
      <c r="AG359" s="64"/>
      <c r="AJ359" s="68"/>
      <c r="AK359" s="68">
        <v>0</v>
      </c>
      <c r="BB359" s="418" t="s">
        <v>1</v>
      </c>
      <c r="BM359" s="64">
        <f>IFERROR(X359*I359/H359,"0")</f>
        <v>8.3800000000000008</v>
      </c>
      <c r="BN359" s="64">
        <f>IFERROR(Y359*I359/H359,"0")</f>
        <v>8.3800000000000008</v>
      </c>
      <c r="BO359" s="64">
        <f>IFERROR(1/J359*(X359/H359),"0")</f>
        <v>1.5151515151515152E-2</v>
      </c>
      <c r="BP359" s="64">
        <f>IFERROR(1/J359*(Y359/H359),"0")</f>
        <v>1.5151515151515152E-2</v>
      </c>
    </row>
    <row r="360" spans="1:68" x14ac:dyDescent="0.2">
      <c r="A360" s="557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8"/>
      <c r="P360" s="568" t="s">
        <v>75</v>
      </c>
      <c r="Q360" s="569"/>
      <c r="R360" s="569"/>
      <c r="S360" s="569"/>
      <c r="T360" s="569"/>
      <c r="U360" s="569"/>
      <c r="V360" s="570"/>
      <c r="W360" s="37" t="s">
        <v>76</v>
      </c>
      <c r="X360" s="551">
        <f>IFERROR(X358/H358,"0")+IFERROR(X359/H359,"0")</f>
        <v>68.666666666666671</v>
      </c>
      <c r="Y360" s="551">
        <f>IFERROR(Y358/H358,"0")+IFERROR(Y359/H359,"0")</f>
        <v>69</v>
      </c>
      <c r="Z360" s="551">
        <f>IFERROR(IF(Z358="",0,Z358),"0")+IFERROR(IF(Z359="",0,Z359),"0")</f>
        <v>1.47529</v>
      </c>
      <c r="AA360" s="552"/>
      <c r="AB360" s="552"/>
      <c r="AC360" s="552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8"/>
      <c r="P361" s="568" t="s">
        <v>75</v>
      </c>
      <c r="Q361" s="569"/>
      <c r="R361" s="569"/>
      <c r="S361" s="569"/>
      <c r="T361" s="569"/>
      <c r="U361" s="569"/>
      <c r="V361" s="570"/>
      <c r="W361" s="37" t="s">
        <v>69</v>
      </c>
      <c r="X361" s="551">
        <f>IFERROR(SUM(X358:X359),"0")</f>
        <v>1008</v>
      </c>
      <c r="Y361" s="551">
        <f>IFERROR(SUM(Y358:Y359),"0")</f>
        <v>1013</v>
      </c>
      <c r="Z361" s="37"/>
      <c r="AA361" s="552"/>
      <c r="AB361" s="552"/>
      <c r="AC361" s="552"/>
    </row>
    <row r="362" spans="1:68" ht="14.25" hidden="1" customHeight="1" x14ac:dyDescent="0.25">
      <c r="A362" s="555" t="s">
        <v>77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45"/>
      <c r="AB362" s="545"/>
      <c r="AC362" s="545"/>
    </row>
    <row r="363" spans="1:68" ht="27" hidden="1" customHeight="1" x14ac:dyDescent="0.25">
      <c r="A363" s="54" t="s">
        <v>579</v>
      </c>
      <c r="B363" s="54" t="s">
        <v>580</v>
      </c>
      <c r="C363" s="31">
        <v>4301051903</v>
      </c>
      <c r="D363" s="553">
        <v>4607091383928</v>
      </c>
      <c r="E363" s="554"/>
      <c r="F363" s="548">
        <v>1.5</v>
      </c>
      <c r="G363" s="32">
        <v>6</v>
      </c>
      <c r="H363" s="548">
        <v>9</v>
      </c>
      <c r="I363" s="548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60"/>
      <c r="R363" s="560"/>
      <c r="S363" s="560"/>
      <c r="T363" s="561"/>
      <c r="U363" s="34"/>
      <c r="V363" s="34"/>
      <c r="W363" s="35" t="s">
        <v>69</v>
      </c>
      <c r="X363" s="549">
        <v>0</v>
      </c>
      <c r="Y363" s="550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581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582</v>
      </c>
      <c r="B364" s="54" t="s">
        <v>583</v>
      </c>
      <c r="C364" s="31">
        <v>4301051897</v>
      </c>
      <c r="D364" s="553">
        <v>4607091384260</v>
      </c>
      <c r="E364" s="554"/>
      <c r="F364" s="548">
        <v>1.5</v>
      </c>
      <c r="G364" s="32">
        <v>6</v>
      </c>
      <c r="H364" s="548">
        <v>9</v>
      </c>
      <c r="I364" s="548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584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7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8"/>
      <c r="P365" s="568" t="s">
        <v>75</v>
      </c>
      <c r="Q365" s="569"/>
      <c r="R365" s="569"/>
      <c r="S365" s="569"/>
      <c r="T365" s="569"/>
      <c r="U365" s="569"/>
      <c r="V365" s="570"/>
      <c r="W365" s="37" t="s">
        <v>76</v>
      </c>
      <c r="X365" s="551">
        <f>IFERROR(X363/H363,"0")+IFERROR(X364/H364,"0")</f>
        <v>0</v>
      </c>
      <c r="Y365" s="551">
        <f>IFERROR(Y363/H363,"0")+IFERROR(Y364/H364,"0")</f>
        <v>0</v>
      </c>
      <c r="Z365" s="551">
        <f>IFERROR(IF(Z363="",0,Z363),"0")+IFERROR(IF(Z364="",0,Z364),"0")</f>
        <v>0</v>
      </c>
      <c r="AA365" s="552"/>
      <c r="AB365" s="552"/>
      <c r="AC365" s="552"/>
    </row>
    <row r="366" spans="1:68" hidden="1" x14ac:dyDescent="0.2">
      <c r="A366" s="556"/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8"/>
      <c r="P366" s="568" t="s">
        <v>75</v>
      </c>
      <c r="Q366" s="569"/>
      <c r="R366" s="569"/>
      <c r="S366" s="569"/>
      <c r="T366" s="569"/>
      <c r="U366" s="569"/>
      <c r="V366" s="570"/>
      <c r="W366" s="37" t="s">
        <v>69</v>
      </c>
      <c r="X366" s="551">
        <f>IFERROR(SUM(X363:X364),"0")</f>
        <v>0</v>
      </c>
      <c r="Y366" s="551">
        <f>IFERROR(SUM(Y363:Y364),"0")</f>
        <v>0</v>
      </c>
      <c r="Z366" s="37"/>
      <c r="AA366" s="552"/>
      <c r="AB366" s="552"/>
      <c r="AC366" s="552"/>
    </row>
    <row r="367" spans="1:68" ht="14.25" hidden="1" customHeight="1" x14ac:dyDescent="0.25">
      <c r="A367" s="555" t="s">
        <v>162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45"/>
      <c r="AB367" s="545"/>
      <c r="AC367" s="545"/>
    </row>
    <row r="368" spans="1:68" ht="16.5" hidden="1" customHeight="1" x14ac:dyDescent="0.25">
      <c r="A368" s="54" t="s">
        <v>585</v>
      </c>
      <c r="B368" s="54" t="s">
        <v>586</v>
      </c>
      <c r="C368" s="31">
        <v>4301060524</v>
      </c>
      <c r="D368" s="553">
        <v>4607091384673</v>
      </c>
      <c r="E368" s="554"/>
      <c r="F368" s="548">
        <v>1.5</v>
      </c>
      <c r="G368" s="32">
        <v>6</v>
      </c>
      <c r="H368" s="548">
        <v>9</v>
      </c>
      <c r="I368" s="548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60"/>
      <c r="R368" s="560"/>
      <c r="S368" s="560"/>
      <c r="T368" s="561"/>
      <c r="U368" s="34"/>
      <c r="V368" s="34"/>
      <c r="W368" s="35" t="s">
        <v>69</v>
      </c>
      <c r="X368" s="549">
        <v>0</v>
      </c>
      <c r="Y368" s="550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587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7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58"/>
      <c r="P369" s="568" t="s">
        <v>75</v>
      </c>
      <c r="Q369" s="569"/>
      <c r="R369" s="569"/>
      <c r="S369" s="569"/>
      <c r="T369" s="569"/>
      <c r="U369" s="569"/>
      <c r="V369" s="570"/>
      <c r="W369" s="37" t="s">
        <v>76</v>
      </c>
      <c r="X369" s="551">
        <f>IFERROR(X368/H368,"0")</f>
        <v>0</v>
      </c>
      <c r="Y369" s="551">
        <f>IFERROR(Y368/H368,"0")</f>
        <v>0</v>
      </c>
      <c r="Z369" s="551">
        <f>IFERROR(IF(Z368="",0,Z368),"0")</f>
        <v>0</v>
      </c>
      <c r="AA369" s="552"/>
      <c r="AB369" s="552"/>
      <c r="AC369" s="552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8"/>
      <c r="P370" s="568" t="s">
        <v>75</v>
      </c>
      <c r="Q370" s="569"/>
      <c r="R370" s="569"/>
      <c r="S370" s="569"/>
      <c r="T370" s="569"/>
      <c r="U370" s="569"/>
      <c r="V370" s="570"/>
      <c r="W370" s="37" t="s">
        <v>69</v>
      </c>
      <c r="X370" s="551">
        <f>IFERROR(SUM(X368:X368),"0")</f>
        <v>0</v>
      </c>
      <c r="Y370" s="551">
        <f>IFERROR(SUM(Y368:Y368),"0")</f>
        <v>0</v>
      </c>
      <c r="Z370" s="37"/>
      <c r="AA370" s="552"/>
      <c r="AB370" s="552"/>
      <c r="AC370" s="552"/>
    </row>
    <row r="371" spans="1:68" ht="16.5" hidden="1" customHeight="1" x14ac:dyDescent="0.25">
      <c r="A371" s="562" t="s">
        <v>588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44"/>
      <c r="AB371" s="544"/>
      <c r="AC371" s="544"/>
    </row>
    <row r="372" spans="1:68" ht="14.25" hidden="1" customHeight="1" x14ac:dyDescent="0.25">
      <c r="A372" s="555" t="s">
        <v>101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45"/>
      <c r="AB372" s="545"/>
      <c r="AC372" s="545"/>
    </row>
    <row r="373" spans="1:68" ht="37.5" customHeight="1" x14ac:dyDescent="0.25">
      <c r="A373" s="54" t="s">
        <v>589</v>
      </c>
      <c r="B373" s="54" t="s">
        <v>590</v>
      </c>
      <c r="C373" s="31">
        <v>4301011875</v>
      </c>
      <c r="D373" s="553">
        <v>4680115884885</v>
      </c>
      <c r="E373" s="554"/>
      <c r="F373" s="548">
        <v>0.8</v>
      </c>
      <c r="G373" s="32">
        <v>15</v>
      </c>
      <c r="H373" s="548">
        <v>12</v>
      </c>
      <c r="I373" s="548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60"/>
      <c r="R373" s="560"/>
      <c r="S373" s="560"/>
      <c r="T373" s="561"/>
      <c r="U373" s="34"/>
      <c r="V373" s="34"/>
      <c r="W373" s="35" t="s">
        <v>69</v>
      </c>
      <c r="X373" s="549">
        <v>60</v>
      </c>
      <c r="Y373" s="550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591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62.050000000000004</v>
      </c>
      <c r="BN373" s="64">
        <f>IFERROR(Y373*I373/H373,"0")</f>
        <v>62.050000000000004</v>
      </c>
      <c r="BO373" s="64">
        <f>IFERROR(1/J373*(X373/H373),"0")</f>
        <v>7.8125E-2</v>
      </c>
      <c r="BP373" s="64">
        <f>IFERROR(1/J373*(Y373/H373),"0")</f>
        <v>7.8125E-2</v>
      </c>
    </row>
    <row r="374" spans="1:68" ht="37.5" hidden="1" customHeight="1" x14ac:dyDescent="0.25">
      <c r="A374" s="54" t="s">
        <v>592</v>
      </c>
      <c r="B374" s="54" t="s">
        <v>593</v>
      </c>
      <c r="C374" s="31">
        <v>4301011871</v>
      </c>
      <c r="D374" s="553">
        <v>4680115884908</v>
      </c>
      <c r="E374" s="554"/>
      <c r="F374" s="548">
        <v>0.4</v>
      </c>
      <c r="G374" s="32">
        <v>10</v>
      </c>
      <c r="H374" s="548">
        <v>4</v>
      </c>
      <c r="I374" s="548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591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7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8"/>
      <c r="P375" s="568" t="s">
        <v>75</v>
      </c>
      <c r="Q375" s="569"/>
      <c r="R375" s="569"/>
      <c r="S375" s="569"/>
      <c r="T375" s="569"/>
      <c r="U375" s="569"/>
      <c r="V375" s="570"/>
      <c r="W375" s="37" t="s">
        <v>76</v>
      </c>
      <c r="X375" s="551">
        <f>IFERROR(X373/H373,"0")+IFERROR(X374/H374,"0")</f>
        <v>5</v>
      </c>
      <c r="Y375" s="551">
        <f>IFERROR(Y373/H373,"0")+IFERROR(Y374/H374,"0")</f>
        <v>5</v>
      </c>
      <c r="Z375" s="551">
        <f>IFERROR(IF(Z373="",0,Z373),"0")+IFERROR(IF(Z374="",0,Z374),"0")</f>
        <v>9.4899999999999998E-2</v>
      </c>
      <c r="AA375" s="552"/>
      <c r="AB375" s="552"/>
      <c r="AC375" s="552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8"/>
      <c r="P376" s="568" t="s">
        <v>75</v>
      </c>
      <c r="Q376" s="569"/>
      <c r="R376" s="569"/>
      <c r="S376" s="569"/>
      <c r="T376" s="569"/>
      <c r="U376" s="569"/>
      <c r="V376" s="570"/>
      <c r="W376" s="37" t="s">
        <v>69</v>
      </c>
      <c r="X376" s="551">
        <f>IFERROR(SUM(X373:X374),"0")</f>
        <v>60</v>
      </c>
      <c r="Y376" s="551">
        <f>IFERROR(SUM(Y373:Y374),"0")</f>
        <v>60</v>
      </c>
      <c r="Z376" s="37"/>
      <c r="AA376" s="552"/>
      <c r="AB376" s="552"/>
      <c r="AC376" s="552"/>
    </row>
    <row r="377" spans="1:68" ht="14.25" hidden="1" customHeight="1" x14ac:dyDescent="0.25">
      <c r="A377" s="555" t="s">
        <v>64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45"/>
      <c r="AB377" s="545"/>
      <c r="AC377" s="545"/>
    </row>
    <row r="378" spans="1:68" ht="27" hidden="1" customHeight="1" x14ac:dyDescent="0.25">
      <c r="A378" s="54" t="s">
        <v>594</v>
      </c>
      <c r="B378" s="54" t="s">
        <v>595</v>
      </c>
      <c r="C378" s="31">
        <v>4301031303</v>
      </c>
      <c r="D378" s="553">
        <v>4607091384802</v>
      </c>
      <c r="E378" s="554"/>
      <c r="F378" s="548">
        <v>0.73</v>
      </c>
      <c r="G378" s="32">
        <v>6</v>
      </c>
      <c r="H378" s="548">
        <v>4.38</v>
      </c>
      <c r="I378" s="548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8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60"/>
      <c r="R378" s="560"/>
      <c r="S378" s="560"/>
      <c r="T378" s="561"/>
      <c r="U378" s="34"/>
      <c r="V378" s="34"/>
      <c r="W378" s="35" t="s">
        <v>69</v>
      </c>
      <c r="X378" s="549">
        <v>0</v>
      </c>
      <c r="Y378" s="550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596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594</v>
      </c>
      <c r="B379" s="54" t="s">
        <v>597</v>
      </c>
      <c r="C379" s="31">
        <v>4301031457</v>
      </c>
      <c r="D379" s="553">
        <v>4607091384802</v>
      </c>
      <c r="E379" s="554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598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7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8"/>
      <c r="P380" s="568" t="s">
        <v>75</v>
      </c>
      <c r="Q380" s="569"/>
      <c r="R380" s="569"/>
      <c r="S380" s="569"/>
      <c r="T380" s="569"/>
      <c r="U380" s="569"/>
      <c r="V380" s="570"/>
      <c r="W380" s="37" t="s">
        <v>76</v>
      </c>
      <c r="X380" s="551">
        <f>IFERROR(X378/H378,"0")+IFERROR(X379/H379,"0")</f>
        <v>0</v>
      </c>
      <c r="Y380" s="551">
        <f>IFERROR(Y378/H378,"0")+IFERROR(Y379/H379,"0")</f>
        <v>0</v>
      </c>
      <c r="Z380" s="551">
        <f>IFERROR(IF(Z378="",0,Z378),"0")+IFERROR(IF(Z379="",0,Z379),"0")</f>
        <v>0</v>
      </c>
      <c r="AA380" s="552"/>
      <c r="AB380" s="552"/>
      <c r="AC380" s="552"/>
    </row>
    <row r="381" spans="1:68" hidden="1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8"/>
      <c r="P381" s="568" t="s">
        <v>75</v>
      </c>
      <c r="Q381" s="569"/>
      <c r="R381" s="569"/>
      <c r="S381" s="569"/>
      <c r="T381" s="569"/>
      <c r="U381" s="569"/>
      <c r="V381" s="570"/>
      <c r="W381" s="37" t="s">
        <v>69</v>
      </c>
      <c r="X381" s="551">
        <f>IFERROR(SUM(X378:X379),"0")</f>
        <v>0</v>
      </c>
      <c r="Y381" s="551">
        <f>IFERROR(SUM(Y378:Y379),"0")</f>
        <v>0</v>
      </c>
      <c r="Z381" s="37"/>
      <c r="AA381" s="552"/>
      <c r="AB381" s="552"/>
      <c r="AC381" s="552"/>
    </row>
    <row r="382" spans="1:68" ht="14.25" hidden="1" customHeight="1" x14ac:dyDescent="0.25">
      <c r="A382" s="555" t="s">
        <v>77</v>
      </c>
      <c r="B382" s="556"/>
      <c r="C382" s="556"/>
      <c r="D382" s="556"/>
      <c r="E382" s="556"/>
      <c r="F382" s="556"/>
      <c r="G382" s="556"/>
      <c r="H382" s="556"/>
      <c r="I382" s="556"/>
      <c r="J382" s="556"/>
      <c r="K382" s="556"/>
      <c r="L382" s="556"/>
      <c r="M382" s="556"/>
      <c r="N382" s="556"/>
      <c r="O382" s="556"/>
      <c r="P382" s="556"/>
      <c r="Q382" s="556"/>
      <c r="R382" s="556"/>
      <c r="S382" s="556"/>
      <c r="T382" s="556"/>
      <c r="U382" s="556"/>
      <c r="V382" s="556"/>
      <c r="W382" s="556"/>
      <c r="X382" s="556"/>
      <c r="Y382" s="556"/>
      <c r="Z382" s="556"/>
      <c r="AA382" s="545"/>
      <c r="AB382" s="545"/>
      <c r="AC382" s="545"/>
    </row>
    <row r="383" spans="1:68" ht="27" hidden="1" customHeight="1" x14ac:dyDescent="0.25">
      <c r="A383" s="54" t="s">
        <v>599</v>
      </c>
      <c r="B383" s="54" t="s">
        <v>600</v>
      </c>
      <c r="C383" s="31">
        <v>4301051899</v>
      </c>
      <c r="D383" s="553">
        <v>4607091384246</v>
      </c>
      <c r="E383" s="554"/>
      <c r="F383" s="548">
        <v>1.5</v>
      </c>
      <c r="G383" s="32">
        <v>6</v>
      </c>
      <c r="H383" s="548">
        <v>9</v>
      </c>
      <c r="I383" s="548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60"/>
      <c r="R383" s="560"/>
      <c r="S383" s="560"/>
      <c r="T383" s="561"/>
      <c r="U383" s="34"/>
      <c r="V383" s="34"/>
      <c r="W383" s="35" t="s">
        <v>69</v>
      </c>
      <c r="X383" s="549">
        <v>0</v>
      </c>
      <c r="Y383" s="550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601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602</v>
      </c>
      <c r="B384" s="54" t="s">
        <v>603</v>
      </c>
      <c r="C384" s="31">
        <v>4301051660</v>
      </c>
      <c r="D384" s="553">
        <v>4607091384253</v>
      </c>
      <c r="E384" s="554"/>
      <c r="F384" s="548">
        <v>0.4</v>
      </c>
      <c r="G384" s="32">
        <v>6</v>
      </c>
      <c r="H384" s="548">
        <v>2.4</v>
      </c>
      <c r="I384" s="548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601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602</v>
      </c>
      <c r="B385" s="54" t="s">
        <v>604</v>
      </c>
      <c r="C385" s="31">
        <v>4301052069</v>
      </c>
      <c r="D385" s="553">
        <v>4607091384253</v>
      </c>
      <c r="E385" s="554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57"/>
      <c r="B386" s="556"/>
      <c r="C386" s="556"/>
      <c r="D386" s="556"/>
      <c r="E386" s="556"/>
      <c r="F386" s="556"/>
      <c r="G386" s="556"/>
      <c r="H386" s="556"/>
      <c r="I386" s="556"/>
      <c r="J386" s="556"/>
      <c r="K386" s="556"/>
      <c r="L386" s="556"/>
      <c r="M386" s="556"/>
      <c r="N386" s="556"/>
      <c r="O386" s="558"/>
      <c r="P386" s="568" t="s">
        <v>75</v>
      </c>
      <c r="Q386" s="569"/>
      <c r="R386" s="569"/>
      <c r="S386" s="569"/>
      <c r="T386" s="569"/>
      <c r="U386" s="569"/>
      <c r="V386" s="570"/>
      <c r="W386" s="37" t="s">
        <v>76</v>
      </c>
      <c r="X386" s="551">
        <f>IFERROR(X383/H383,"0")+IFERROR(X384/H384,"0")+IFERROR(X385/H385,"0")</f>
        <v>0</v>
      </c>
      <c r="Y386" s="551">
        <f>IFERROR(Y383/H383,"0")+IFERROR(Y384/H384,"0")+IFERROR(Y385/H385,"0")</f>
        <v>0</v>
      </c>
      <c r="Z386" s="551">
        <f>IFERROR(IF(Z383="",0,Z383),"0")+IFERROR(IF(Z384="",0,Z384),"0")+IFERROR(IF(Z385="",0,Z385),"0")</f>
        <v>0</v>
      </c>
      <c r="AA386" s="552"/>
      <c r="AB386" s="552"/>
      <c r="AC386" s="552"/>
    </row>
    <row r="387" spans="1:68" hidden="1" x14ac:dyDescent="0.2">
      <c r="A387" s="556"/>
      <c r="B387" s="556"/>
      <c r="C387" s="556"/>
      <c r="D387" s="556"/>
      <c r="E387" s="556"/>
      <c r="F387" s="556"/>
      <c r="G387" s="556"/>
      <c r="H387" s="556"/>
      <c r="I387" s="556"/>
      <c r="J387" s="556"/>
      <c r="K387" s="556"/>
      <c r="L387" s="556"/>
      <c r="M387" s="556"/>
      <c r="N387" s="556"/>
      <c r="O387" s="558"/>
      <c r="P387" s="568" t="s">
        <v>75</v>
      </c>
      <c r="Q387" s="569"/>
      <c r="R387" s="569"/>
      <c r="S387" s="569"/>
      <c r="T387" s="569"/>
      <c r="U387" s="569"/>
      <c r="V387" s="570"/>
      <c r="W387" s="37" t="s">
        <v>69</v>
      </c>
      <c r="X387" s="551">
        <f>IFERROR(SUM(X383:X385),"0")</f>
        <v>0</v>
      </c>
      <c r="Y387" s="551">
        <f>IFERROR(SUM(Y383:Y385),"0")</f>
        <v>0</v>
      </c>
      <c r="Z387" s="37"/>
      <c r="AA387" s="552"/>
      <c r="AB387" s="552"/>
      <c r="AC387" s="552"/>
    </row>
    <row r="388" spans="1:68" ht="27.75" hidden="1" customHeight="1" x14ac:dyDescent="0.2">
      <c r="A388" s="631" t="s">
        <v>606</v>
      </c>
      <c r="B388" s="632"/>
      <c r="C388" s="632"/>
      <c r="D388" s="632"/>
      <c r="E388" s="632"/>
      <c r="F388" s="632"/>
      <c r="G388" s="632"/>
      <c r="H388" s="632"/>
      <c r="I388" s="632"/>
      <c r="J388" s="632"/>
      <c r="K388" s="632"/>
      <c r="L388" s="632"/>
      <c r="M388" s="632"/>
      <c r="N388" s="632"/>
      <c r="O388" s="632"/>
      <c r="P388" s="632"/>
      <c r="Q388" s="632"/>
      <c r="R388" s="632"/>
      <c r="S388" s="632"/>
      <c r="T388" s="632"/>
      <c r="U388" s="632"/>
      <c r="V388" s="632"/>
      <c r="W388" s="632"/>
      <c r="X388" s="632"/>
      <c r="Y388" s="632"/>
      <c r="Z388" s="632"/>
      <c r="AA388" s="48"/>
      <c r="AB388" s="48"/>
      <c r="AC388" s="48"/>
    </row>
    <row r="389" spans="1:68" ht="16.5" hidden="1" customHeight="1" x14ac:dyDescent="0.25">
      <c r="A389" s="562" t="s">
        <v>607</v>
      </c>
      <c r="B389" s="556"/>
      <c r="C389" s="556"/>
      <c r="D389" s="556"/>
      <c r="E389" s="556"/>
      <c r="F389" s="556"/>
      <c r="G389" s="556"/>
      <c r="H389" s="556"/>
      <c r="I389" s="556"/>
      <c r="J389" s="556"/>
      <c r="K389" s="556"/>
      <c r="L389" s="556"/>
      <c r="M389" s="556"/>
      <c r="N389" s="556"/>
      <c r="O389" s="556"/>
      <c r="P389" s="556"/>
      <c r="Q389" s="556"/>
      <c r="R389" s="556"/>
      <c r="S389" s="556"/>
      <c r="T389" s="556"/>
      <c r="U389" s="556"/>
      <c r="V389" s="556"/>
      <c r="W389" s="556"/>
      <c r="X389" s="556"/>
      <c r="Y389" s="556"/>
      <c r="Z389" s="556"/>
      <c r="AA389" s="544"/>
      <c r="AB389" s="544"/>
      <c r="AC389" s="544"/>
    </row>
    <row r="390" spans="1:68" ht="14.25" hidden="1" customHeight="1" x14ac:dyDescent="0.25">
      <c r="A390" s="555" t="s">
        <v>64</v>
      </c>
      <c r="B390" s="556"/>
      <c r="C390" s="556"/>
      <c r="D390" s="556"/>
      <c r="E390" s="556"/>
      <c r="F390" s="556"/>
      <c r="G390" s="556"/>
      <c r="H390" s="556"/>
      <c r="I390" s="556"/>
      <c r="J390" s="556"/>
      <c r="K390" s="556"/>
      <c r="L390" s="556"/>
      <c r="M390" s="556"/>
      <c r="N390" s="556"/>
      <c r="O390" s="556"/>
      <c r="P390" s="556"/>
      <c r="Q390" s="556"/>
      <c r="R390" s="556"/>
      <c r="S390" s="556"/>
      <c r="T390" s="556"/>
      <c r="U390" s="556"/>
      <c r="V390" s="556"/>
      <c r="W390" s="556"/>
      <c r="X390" s="556"/>
      <c r="Y390" s="556"/>
      <c r="Z390" s="556"/>
      <c r="AA390" s="545"/>
      <c r="AB390" s="545"/>
      <c r="AC390" s="545"/>
    </row>
    <row r="391" spans="1:68" ht="27" hidden="1" customHeight="1" x14ac:dyDescent="0.25">
      <c r="A391" s="54" t="s">
        <v>608</v>
      </c>
      <c r="B391" s="54" t="s">
        <v>609</v>
      </c>
      <c r="C391" s="31">
        <v>4301031405</v>
      </c>
      <c r="D391" s="553">
        <v>4680115886100</v>
      </c>
      <c r="E391" s="554"/>
      <c r="F391" s="548">
        <v>0.9</v>
      </c>
      <c r="G391" s="32">
        <v>6</v>
      </c>
      <c r="H391" s="548">
        <v>5.4</v>
      </c>
      <c r="I391" s="548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60"/>
      <c r="R391" s="560"/>
      <c r="S391" s="560"/>
      <c r="T391" s="561"/>
      <c r="U391" s="34"/>
      <c r="V391" s="34"/>
      <c r="W391" s="35" t="s">
        <v>69</v>
      </c>
      <c r="X391" s="549">
        <v>0</v>
      </c>
      <c r="Y391" s="550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4301031406</v>
      </c>
      <c r="D392" s="553">
        <v>4680115886117</v>
      </c>
      <c r="E392" s="554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4301031402</v>
      </c>
      <c r="D393" s="553">
        <v>4680115886124</v>
      </c>
      <c r="E393" s="554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617</v>
      </c>
      <c r="B394" s="54" t="s">
        <v>618</v>
      </c>
      <c r="C394" s="31">
        <v>4301031366</v>
      </c>
      <c r="D394" s="553">
        <v>4680115883147</v>
      </c>
      <c r="E394" s="554"/>
      <c r="F394" s="548">
        <v>0.28000000000000003</v>
      </c>
      <c r="G394" s="32">
        <v>6</v>
      </c>
      <c r="H394" s="548">
        <v>1.68</v>
      </c>
      <c r="I394" s="548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619</v>
      </c>
      <c r="B395" s="54" t="s">
        <v>620</v>
      </c>
      <c r="C395" s="31">
        <v>4301031362</v>
      </c>
      <c r="D395" s="553">
        <v>4607091384338</v>
      </c>
      <c r="E395" s="554"/>
      <c r="F395" s="548">
        <v>0.35</v>
      </c>
      <c r="G395" s="32">
        <v>6</v>
      </c>
      <c r="H395" s="548">
        <v>2.1</v>
      </c>
      <c r="I395" s="548">
        <v>2.23</v>
      </c>
      <c r="J395" s="32">
        <v>234</v>
      </c>
      <c r="K395" s="32" t="s">
        <v>73</v>
      </c>
      <c r="L395" s="32" t="s">
        <v>288</v>
      </c>
      <c r="M395" s="33" t="s">
        <v>68</v>
      </c>
      <c r="N395" s="33"/>
      <c r="O395" s="32">
        <v>50</v>
      </c>
      <c r="P39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17.5</v>
      </c>
      <c r="Y395" s="550">
        <f t="shared" si="41"/>
        <v>18.900000000000002</v>
      </c>
      <c r="Z395" s="36">
        <f t="shared" si="46"/>
        <v>4.5179999999999998E-2</v>
      </c>
      <c r="AA395" s="56"/>
      <c r="AB395" s="57"/>
      <c r="AC395" s="447" t="s">
        <v>610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18.583333333333332</v>
      </c>
      <c r="BN395" s="64">
        <f t="shared" si="43"/>
        <v>20.07</v>
      </c>
      <c r="BO395" s="64">
        <f t="shared" si="44"/>
        <v>3.5612535612535613E-2</v>
      </c>
      <c r="BP395" s="64">
        <f t="shared" si="45"/>
        <v>3.8461538461538464E-2</v>
      </c>
    </row>
    <row r="396" spans="1:68" ht="37.5" customHeight="1" x14ac:dyDescent="0.25">
      <c r="A396" s="54" t="s">
        <v>621</v>
      </c>
      <c r="B396" s="54" t="s">
        <v>622</v>
      </c>
      <c r="C396" s="31">
        <v>4301031361</v>
      </c>
      <c r="D396" s="553">
        <v>4607091389524</v>
      </c>
      <c r="E396" s="554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7</v>
      </c>
      <c r="Y396" s="550">
        <f t="shared" si="41"/>
        <v>8.4</v>
      </c>
      <c r="Z396" s="36">
        <f t="shared" si="46"/>
        <v>2.0080000000000001E-2</v>
      </c>
      <c r="AA396" s="56"/>
      <c r="AB396" s="57"/>
      <c r="AC396" s="449" t="s">
        <v>623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7.4333333333333327</v>
      </c>
      <c r="BN396" s="64">
        <f t="shared" si="43"/>
        <v>8.92</v>
      </c>
      <c r="BO396" s="64">
        <f t="shared" si="44"/>
        <v>1.4245014245014245E-2</v>
      </c>
      <c r="BP396" s="64">
        <f t="shared" si="45"/>
        <v>1.7094017094017096E-2</v>
      </c>
    </row>
    <row r="397" spans="1:68" ht="27" hidden="1" customHeight="1" x14ac:dyDescent="0.25">
      <c r="A397" s="54" t="s">
        <v>624</v>
      </c>
      <c r="B397" s="54" t="s">
        <v>625</v>
      </c>
      <c r="C397" s="31">
        <v>4301031364</v>
      </c>
      <c r="D397" s="553">
        <v>4680115883161</v>
      </c>
      <c r="E397" s="554"/>
      <c r="F397" s="548">
        <v>0.28000000000000003</v>
      </c>
      <c r="G397" s="32">
        <v>6</v>
      </c>
      <c r="H397" s="548">
        <v>1.68</v>
      </c>
      <c r="I397" s="548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627</v>
      </c>
      <c r="B398" s="54" t="s">
        <v>628</v>
      </c>
      <c r="C398" s="31">
        <v>4301031358</v>
      </c>
      <c r="D398" s="553">
        <v>4607091389531</v>
      </c>
      <c r="E398" s="554"/>
      <c r="F398" s="548">
        <v>0.35</v>
      </c>
      <c r="G398" s="32">
        <v>6</v>
      </c>
      <c r="H398" s="548">
        <v>2.1</v>
      </c>
      <c r="I398" s="548">
        <v>2.23</v>
      </c>
      <c r="J398" s="32">
        <v>234</v>
      </c>
      <c r="K398" s="32" t="s">
        <v>73</v>
      </c>
      <c r="L398" s="32" t="s">
        <v>288</v>
      </c>
      <c r="M398" s="33" t="s">
        <v>68</v>
      </c>
      <c r="N398" s="33"/>
      <c r="O398" s="32">
        <v>50</v>
      </c>
      <c r="P398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35</v>
      </c>
      <c r="Y398" s="550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629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37.5" hidden="1" customHeight="1" x14ac:dyDescent="0.25">
      <c r="A399" s="54" t="s">
        <v>630</v>
      </c>
      <c r="B399" s="54" t="s">
        <v>631</v>
      </c>
      <c r="C399" s="31">
        <v>4301031360</v>
      </c>
      <c r="D399" s="553">
        <v>4607091384345</v>
      </c>
      <c r="E399" s="554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626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57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8"/>
      <c r="P400" s="568" t="s">
        <v>75</v>
      </c>
      <c r="Q400" s="569"/>
      <c r="R400" s="569"/>
      <c r="S400" s="569"/>
      <c r="T400" s="569"/>
      <c r="U400" s="569"/>
      <c r="V400" s="570"/>
      <c r="W400" s="37" t="s">
        <v>76</v>
      </c>
      <c r="X400" s="551">
        <f>IFERROR(X391/H391,"0")+IFERROR(X392/H392,"0")+IFERROR(X393/H393,"0")+IFERROR(X394/H394,"0")+IFERROR(X395/H395,"0")+IFERROR(X396/H396,"0")+IFERROR(X397/H397,"0")+IFERROR(X398/H398,"0")+IFERROR(X399/H399,"0")</f>
        <v>28.333333333333329</v>
      </c>
      <c r="Y400" s="551">
        <f>IFERROR(Y391/H391,"0")+IFERROR(Y392/H392,"0")+IFERROR(Y393/H393,"0")+IFERROR(Y394/H394,"0")+IFERROR(Y395/H395,"0")+IFERROR(Y396/H396,"0")+IFERROR(Y397/H397,"0")+IFERROR(Y398/H398,"0")+IFERROR(Y399/H399,"0")</f>
        <v>30</v>
      </c>
      <c r="Z400" s="551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0.15060000000000001</v>
      </c>
      <c r="AA400" s="552"/>
      <c r="AB400" s="552"/>
      <c r="AC400" s="552"/>
    </row>
    <row r="401" spans="1:68" x14ac:dyDescent="0.2">
      <c r="A401" s="556"/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8"/>
      <c r="P401" s="568" t="s">
        <v>75</v>
      </c>
      <c r="Q401" s="569"/>
      <c r="R401" s="569"/>
      <c r="S401" s="569"/>
      <c r="T401" s="569"/>
      <c r="U401" s="569"/>
      <c r="V401" s="570"/>
      <c r="W401" s="37" t="s">
        <v>69</v>
      </c>
      <c r="X401" s="551">
        <f>IFERROR(SUM(X391:X399),"0")</f>
        <v>59.5</v>
      </c>
      <c r="Y401" s="551">
        <f>IFERROR(SUM(Y391:Y399),"0")</f>
        <v>63.000000000000007</v>
      </c>
      <c r="Z401" s="37"/>
      <c r="AA401" s="552"/>
      <c r="AB401" s="552"/>
      <c r="AC401" s="552"/>
    </row>
    <row r="402" spans="1:68" ht="14.25" hidden="1" customHeight="1" x14ac:dyDescent="0.25">
      <c r="A402" s="555" t="s">
        <v>77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45"/>
      <c r="AB402" s="545"/>
      <c r="AC402" s="545"/>
    </row>
    <row r="403" spans="1:68" ht="27" hidden="1" customHeight="1" x14ac:dyDescent="0.25">
      <c r="A403" s="54" t="s">
        <v>632</v>
      </c>
      <c r="B403" s="54" t="s">
        <v>633</v>
      </c>
      <c r="C403" s="31">
        <v>4301051284</v>
      </c>
      <c r="D403" s="553">
        <v>4607091384352</v>
      </c>
      <c r="E403" s="554"/>
      <c r="F403" s="548">
        <v>0.6</v>
      </c>
      <c r="G403" s="32">
        <v>4</v>
      </c>
      <c r="H403" s="548">
        <v>2.4</v>
      </c>
      <c r="I403" s="548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60"/>
      <c r="R403" s="560"/>
      <c r="S403" s="560"/>
      <c r="T403" s="561"/>
      <c r="U403" s="34"/>
      <c r="V403" s="34"/>
      <c r="W403" s="35" t="s">
        <v>69</v>
      </c>
      <c r="X403" s="549">
        <v>0</v>
      </c>
      <c r="Y403" s="550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634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635</v>
      </c>
      <c r="B404" s="54" t="s">
        <v>636</v>
      </c>
      <c r="C404" s="31">
        <v>4301051431</v>
      </c>
      <c r="D404" s="553">
        <v>4607091389654</v>
      </c>
      <c r="E404" s="554"/>
      <c r="F404" s="548">
        <v>0.33</v>
      </c>
      <c r="G404" s="32">
        <v>6</v>
      </c>
      <c r="H404" s="548">
        <v>1.98</v>
      </c>
      <c r="I404" s="548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637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7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8"/>
      <c r="P405" s="568" t="s">
        <v>75</v>
      </c>
      <c r="Q405" s="569"/>
      <c r="R405" s="569"/>
      <c r="S405" s="569"/>
      <c r="T405" s="569"/>
      <c r="U405" s="569"/>
      <c r="V405" s="570"/>
      <c r="W405" s="37" t="s">
        <v>76</v>
      </c>
      <c r="X405" s="551">
        <f>IFERROR(X403/H403,"0")+IFERROR(X404/H404,"0")</f>
        <v>0</v>
      </c>
      <c r="Y405" s="551">
        <f>IFERROR(Y403/H403,"0")+IFERROR(Y404/H404,"0")</f>
        <v>0</v>
      </c>
      <c r="Z405" s="551">
        <f>IFERROR(IF(Z403="",0,Z403),"0")+IFERROR(IF(Z404="",0,Z404),"0")</f>
        <v>0</v>
      </c>
      <c r="AA405" s="552"/>
      <c r="AB405" s="552"/>
      <c r="AC405" s="552"/>
    </row>
    <row r="406" spans="1:68" hidden="1" x14ac:dyDescent="0.2">
      <c r="A406" s="556"/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8"/>
      <c r="P406" s="568" t="s">
        <v>75</v>
      </c>
      <c r="Q406" s="569"/>
      <c r="R406" s="569"/>
      <c r="S406" s="569"/>
      <c r="T406" s="569"/>
      <c r="U406" s="569"/>
      <c r="V406" s="570"/>
      <c r="W406" s="37" t="s">
        <v>69</v>
      </c>
      <c r="X406" s="551">
        <f>IFERROR(SUM(X403:X404),"0")</f>
        <v>0</v>
      </c>
      <c r="Y406" s="551">
        <f>IFERROR(SUM(Y403:Y404),"0")</f>
        <v>0</v>
      </c>
      <c r="Z406" s="37"/>
      <c r="AA406" s="552"/>
      <c r="AB406" s="552"/>
      <c r="AC406" s="552"/>
    </row>
    <row r="407" spans="1:68" ht="16.5" hidden="1" customHeight="1" x14ac:dyDescent="0.25">
      <c r="A407" s="562" t="s">
        <v>638</v>
      </c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44"/>
      <c r="AB407" s="544"/>
      <c r="AC407" s="544"/>
    </row>
    <row r="408" spans="1:68" ht="14.25" hidden="1" customHeight="1" x14ac:dyDescent="0.25">
      <c r="A408" s="555" t="s">
        <v>137</v>
      </c>
      <c r="B408" s="556"/>
      <c r="C408" s="556"/>
      <c r="D408" s="556"/>
      <c r="E408" s="556"/>
      <c r="F408" s="556"/>
      <c r="G408" s="556"/>
      <c r="H408" s="556"/>
      <c r="I408" s="556"/>
      <c r="J408" s="556"/>
      <c r="K408" s="556"/>
      <c r="L408" s="556"/>
      <c r="M408" s="556"/>
      <c r="N408" s="556"/>
      <c r="O408" s="556"/>
      <c r="P408" s="556"/>
      <c r="Q408" s="556"/>
      <c r="R408" s="556"/>
      <c r="S408" s="556"/>
      <c r="T408" s="556"/>
      <c r="U408" s="556"/>
      <c r="V408" s="556"/>
      <c r="W408" s="556"/>
      <c r="X408" s="556"/>
      <c r="Y408" s="556"/>
      <c r="Z408" s="556"/>
      <c r="AA408" s="545"/>
      <c r="AB408" s="545"/>
      <c r="AC408" s="545"/>
    </row>
    <row r="409" spans="1:68" ht="27" hidden="1" customHeight="1" x14ac:dyDescent="0.25">
      <c r="A409" s="54" t="s">
        <v>639</v>
      </c>
      <c r="B409" s="54" t="s">
        <v>640</v>
      </c>
      <c r="C409" s="31">
        <v>4301020319</v>
      </c>
      <c r="D409" s="553">
        <v>4680115885240</v>
      </c>
      <c r="E409" s="554"/>
      <c r="F409" s="548">
        <v>0.35</v>
      </c>
      <c r="G409" s="32">
        <v>6</v>
      </c>
      <c r="H409" s="548">
        <v>2.1</v>
      </c>
      <c r="I409" s="548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8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60"/>
      <c r="R409" s="560"/>
      <c r="S409" s="560"/>
      <c r="T409" s="561"/>
      <c r="U409" s="34"/>
      <c r="V409" s="34"/>
      <c r="W409" s="35" t="s">
        <v>69</v>
      </c>
      <c r="X409" s="549">
        <v>0</v>
      </c>
      <c r="Y409" s="550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641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7"/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58"/>
      <c r="P410" s="568" t="s">
        <v>75</v>
      </c>
      <c r="Q410" s="569"/>
      <c r="R410" s="569"/>
      <c r="S410" s="569"/>
      <c r="T410" s="569"/>
      <c r="U410" s="569"/>
      <c r="V410" s="570"/>
      <c r="W410" s="37" t="s">
        <v>76</v>
      </c>
      <c r="X410" s="551">
        <f>IFERROR(X409/H409,"0")</f>
        <v>0</v>
      </c>
      <c r="Y410" s="551">
        <f>IFERROR(Y409/H409,"0")</f>
        <v>0</v>
      </c>
      <c r="Z410" s="551">
        <f>IFERROR(IF(Z409="",0,Z409),"0")</f>
        <v>0</v>
      </c>
      <c r="AA410" s="552"/>
      <c r="AB410" s="552"/>
      <c r="AC410" s="552"/>
    </row>
    <row r="411" spans="1:68" hidden="1" x14ac:dyDescent="0.2">
      <c r="A411" s="556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8"/>
      <c r="P411" s="568" t="s">
        <v>75</v>
      </c>
      <c r="Q411" s="569"/>
      <c r="R411" s="569"/>
      <c r="S411" s="569"/>
      <c r="T411" s="569"/>
      <c r="U411" s="569"/>
      <c r="V411" s="570"/>
      <c r="W411" s="37" t="s">
        <v>69</v>
      </c>
      <c r="X411" s="551">
        <f>IFERROR(SUM(X409:X409),"0")</f>
        <v>0</v>
      </c>
      <c r="Y411" s="551">
        <f>IFERROR(SUM(Y409:Y409),"0")</f>
        <v>0</v>
      </c>
      <c r="Z411" s="37"/>
      <c r="AA411" s="552"/>
      <c r="AB411" s="552"/>
      <c r="AC411" s="552"/>
    </row>
    <row r="412" spans="1:68" ht="14.25" hidden="1" customHeight="1" x14ac:dyDescent="0.25">
      <c r="A412" s="555" t="s">
        <v>64</v>
      </c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6"/>
      <c r="P412" s="556"/>
      <c r="Q412" s="556"/>
      <c r="R412" s="556"/>
      <c r="S412" s="556"/>
      <c r="T412" s="556"/>
      <c r="U412" s="556"/>
      <c r="V412" s="556"/>
      <c r="W412" s="556"/>
      <c r="X412" s="556"/>
      <c r="Y412" s="556"/>
      <c r="Z412" s="556"/>
      <c r="AA412" s="545"/>
      <c r="AB412" s="545"/>
      <c r="AC412" s="545"/>
    </row>
    <row r="413" spans="1:68" ht="27" hidden="1" customHeight="1" x14ac:dyDescent="0.25">
      <c r="A413" s="54" t="s">
        <v>642</v>
      </c>
      <c r="B413" s="54" t="s">
        <v>643</v>
      </c>
      <c r="C413" s="31">
        <v>4301031403</v>
      </c>
      <c r="D413" s="553">
        <v>4680115886094</v>
      </c>
      <c r="E413" s="554"/>
      <c r="F413" s="548">
        <v>0.9</v>
      </c>
      <c r="G413" s="32">
        <v>6</v>
      </c>
      <c r="H413" s="548">
        <v>5.4</v>
      </c>
      <c r="I413" s="548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60"/>
      <c r="R413" s="560"/>
      <c r="S413" s="560"/>
      <c r="T413" s="561"/>
      <c r="U413" s="34"/>
      <c r="V413" s="34"/>
      <c r="W413" s="35" t="s">
        <v>69</v>
      </c>
      <c r="X413" s="549">
        <v>0</v>
      </c>
      <c r="Y413" s="550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645</v>
      </c>
      <c r="B414" s="54" t="s">
        <v>646</v>
      </c>
      <c r="C414" s="31">
        <v>4301031363</v>
      </c>
      <c r="D414" s="553">
        <v>4607091389425</v>
      </c>
      <c r="E414" s="554"/>
      <c r="F414" s="548">
        <v>0.35</v>
      </c>
      <c r="G414" s="32">
        <v>6</v>
      </c>
      <c r="H414" s="548">
        <v>2.1</v>
      </c>
      <c r="I414" s="548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647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648</v>
      </c>
      <c r="B415" s="54" t="s">
        <v>649</v>
      </c>
      <c r="C415" s="31">
        <v>4301031373</v>
      </c>
      <c r="D415" s="553">
        <v>4680115880771</v>
      </c>
      <c r="E415" s="554"/>
      <c r="F415" s="548">
        <v>0.28000000000000003</v>
      </c>
      <c r="G415" s="32">
        <v>6</v>
      </c>
      <c r="H415" s="548">
        <v>1.68</v>
      </c>
      <c r="I415" s="548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651</v>
      </c>
      <c r="B416" s="54" t="s">
        <v>652</v>
      </c>
      <c r="C416" s="31">
        <v>4301031359</v>
      </c>
      <c r="D416" s="553">
        <v>4607091389500</v>
      </c>
      <c r="E416" s="554"/>
      <c r="F416" s="548">
        <v>0.35</v>
      </c>
      <c r="G416" s="32">
        <v>6</v>
      </c>
      <c r="H416" s="548">
        <v>2.1</v>
      </c>
      <c r="I416" s="548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650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7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8"/>
      <c r="P417" s="568" t="s">
        <v>75</v>
      </c>
      <c r="Q417" s="569"/>
      <c r="R417" s="569"/>
      <c r="S417" s="569"/>
      <c r="T417" s="569"/>
      <c r="U417" s="569"/>
      <c r="V417" s="570"/>
      <c r="W417" s="37" t="s">
        <v>76</v>
      </c>
      <c r="X417" s="551">
        <f>IFERROR(X413/H413,"0")+IFERROR(X414/H414,"0")+IFERROR(X415/H415,"0")+IFERROR(X416/H416,"0")</f>
        <v>0</v>
      </c>
      <c r="Y417" s="551">
        <f>IFERROR(Y413/H413,"0")+IFERROR(Y414/H414,"0")+IFERROR(Y415/H415,"0")+IFERROR(Y416/H416,"0")</f>
        <v>0</v>
      </c>
      <c r="Z417" s="551">
        <f>IFERROR(IF(Z413="",0,Z413),"0")+IFERROR(IF(Z414="",0,Z414),"0")+IFERROR(IF(Z415="",0,Z415),"0")+IFERROR(IF(Z416="",0,Z416),"0")</f>
        <v>0</v>
      </c>
      <c r="AA417" s="552"/>
      <c r="AB417" s="552"/>
      <c r="AC417" s="552"/>
    </row>
    <row r="418" spans="1:68" hidden="1" x14ac:dyDescent="0.2">
      <c r="A418" s="556"/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8"/>
      <c r="P418" s="568" t="s">
        <v>75</v>
      </c>
      <c r="Q418" s="569"/>
      <c r="R418" s="569"/>
      <c r="S418" s="569"/>
      <c r="T418" s="569"/>
      <c r="U418" s="569"/>
      <c r="V418" s="570"/>
      <c r="W418" s="37" t="s">
        <v>69</v>
      </c>
      <c r="X418" s="551">
        <f>IFERROR(SUM(X413:X416),"0")</f>
        <v>0</v>
      </c>
      <c r="Y418" s="551">
        <f>IFERROR(SUM(Y413:Y416),"0")</f>
        <v>0</v>
      </c>
      <c r="Z418" s="37"/>
      <c r="AA418" s="552"/>
      <c r="AB418" s="552"/>
      <c r="AC418" s="552"/>
    </row>
    <row r="419" spans="1:68" ht="16.5" hidden="1" customHeight="1" x14ac:dyDescent="0.25">
      <c r="A419" s="562" t="s">
        <v>653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44"/>
      <c r="AB419" s="544"/>
      <c r="AC419" s="544"/>
    </row>
    <row r="420" spans="1:68" ht="14.25" hidden="1" customHeight="1" x14ac:dyDescent="0.25">
      <c r="A420" s="555" t="s">
        <v>64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45"/>
      <c r="AB420" s="545"/>
      <c r="AC420" s="545"/>
    </row>
    <row r="421" spans="1:68" ht="27" hidden="1" customHeight="1" x14ac:dyDescent="0.25">
      <c r="A421" s="54" t="s">
        <v>654</v>
      </c>
      <c r="B421" s="54" t="s">
        <v>655</v>
      </c>
      <c r="C421" s="31">
        <v>4301031347</v>
      </c>
      <c r="D421" s="553">
        <v>4680115885110</v>
      </c>
      <c r="E421" s="554"/>
      <c r="F421" s="548">
        <v>0.2</v>
      </c>
      <c r="G421" s="32">
        <v>6</v>
      </c>
      <c r="H421" s="548">
        <v>1.2</v>
      </c>
      <c r="I421" s="548">
        <v>2.1</v>
      </c>
      <c r="J421" s="32">
        <v>182</v>
      </c>
      <c r="K421" s="32" t="s">
        <v>67</v>
      </c>
      <c r="L421" s="32" t="s">
        <v>222</v>
      </c>
      <c r="M421" s="33" t="s">
        <v>68</v>
      </c>
      <c r="N421" s="33"/>
      <c r="O421" s="32">
        <v>50</v>
      </c>
      <c r="P421" s="82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0"/>
      <c r="R421" s="560"/>
      <c r="S421" s="560"/>
      <c r="T421" s="561"/>
      <c r="U421" s="34"/>
      <c r="V421" s="34"/>
      <c r="W421" s="35" t="s">
        <v>69</v>
      </c>
      <c r="X421" s="549">
        <v>0</v>
      </c>
      <c r="Y421" s="550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656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57"/>
      <c r="B422" s="556"/>
      <c r="C422" s="556"/>
      <c r="D422" s="556"/>
      <c r="E422" s="556"/>
      <c r="F422" s="556"/>
      <c r="G422" s="556"/>
      <c r="H422" s="556"/>
      <c r="I422" s="556"/>
      <c r="J422" s="556"/>
      <c r="K422" s="556"/>
      <c r="L422" s="556"/>
      <c r="M422" s="556"/>
      <c r="N422" s="556"/>
      <c r="O422" s="558"/>
      <c r="P422" s="568" t="s">
        <v>75</v>
      </c>
      <c r="Q422" s="569"/>
      <c r="R422" s="569"/>
      <c r="S422" s="569"/>
      <c r="T422" s="569"/>
      <c r="U422" s="569"/>
      <c r="V422" s="570"/>
      <c r="W422" s="37" t="s">
        <v>76</v>
      </c>
      <c r="X422" s="551">
        <f>IFERROR(X421/H421,"0")</f>
        <v>0</v>
      </c>
      <c r="Y422" s="551">
        <f>IFERROR(Y421/H421,"0")</f>
        <v>0</v>
      </c>
      <c r="Z422" s="551">
        <f>IFERROR(IF(Z421="",0,Z421),"0")</f>
        <v>0</v>
      </c>
      <c r="AA422" s="552"/>
      <c r="AB422" s="552"/>
      <c r="AC422" s="552"/>
    </row>
    <row r="423" spans="1:68" hidden="1" x14ac:dyDescent="0.2">
      <c r="A423" s="556"/>
      <c r="B423" s="556"/>
      <c r="C423" s="556"/>
      <c r="D423" s="556"/>
      <c r="E423" s="556"/>
      <c r="F423" s="556"/>
      <c r="G423" s="556"/>
      <c r="H423" s="556"/>
      <c r="I423" s="556"/>
      <c r="J423" s="556"/>
      <c r="K423" s="556"/>
      <c r="L423" s="556"/>
      <c r="M423" s="556"/>
      <c r="N423" s="556"/>
      <c r="O423" s="558"/>
      <c r="P423" s="568" t="s">
        <v>75</v>
      </c>
      <c r="Q423" s="569"/>
      <c r="R423" s="569"/>
      <c r="S423" s="569"/>
      <c r="T423" s="569"/>
      <c r="U423" s="569"/>
      <c r="V423" s="570"/>
      <c r="W423" s="37" t="s">
        <v>69</v>
      </c>
      <c r="X423" s="551">
        <f>IFERROR(SUM(X421:X421),"0")</f>
        <v>0</v>
      </c>
      <c r="Y423" s="551">
        <f>IFERROR(SUM(Y421:Y421),"0")</f>
        <v>0</v>
      </c>
      <c r="Z423" s="37"/>
      <c r="AA423" s="552"/>
      <c r="AB423" s="552"/>
      <c r="AC423" s="552"/>
    </row>
    <row r="424" spans="1:68" ht="27.75" hidden="1" customHeight="1" x14ac:dyDescent="0.2">
      <c r="A424" s="631" t="s">
        <v>657</v>
      </c>
      <c r="B424" s="632"/>
      <c r="C424" s="632"/>
      <c r="D424" s="632"/>
      <c r="E424" s="632"/>
      <c r="F424" s="632"/>
      <c r="G424" s="632"/>
      <c r="H424" s="632"/>
      <c r="I424" s="632"/>
      <c r="J424" s="632"/>
      <c r="K424" s="632"/>
      <c r="L424" s="632"/>
      <c r="M424" s="632"/>
      <c r="N424" s="632"/>
      <c r="O424" s="632"/>
      <c r="P424" s="632"/>
      <c r="Q424" s="632"/>
      <c r="R424" s="632"/>
      <c r="S424" s="632"/>
      <c r="T424" s="632"/>
      <c r="U424" s="632"/>
      <c r="V424" s="632"/>
      <c r="W424" s="632"/>
      <c r="X424" s="632"/>
      <c r="Y424" s="632"/>
      <c r="Z424" s="632"/>
      <c r="AA424" s="48"/>
      <c r="AB424" s="48"/>
      <c r="AC424" s="48"/>
    </row>
    <row r="425" spans="1:68" ht="16.5" hidden="1" customHeight="1" x14ac:dyDescent="0.25">
      <c r="A425" s="562" t="s">
        <v>657</v>
      </c>
      <c r="B425" s="556"/>
      <c r="C425" s="556"/>
      <c r="D425" s="556"/>
      <c r="E425" s="556"/>
      <c r="F425" s="556"/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U425" s="556"/>
      <c r="V425" s="556"/>
      <c r="W425" s="556"/>
      <c r="X425" s="556"/>
      <c r="Y425" s="556"/>
      <c r="Z425" s="556"/>
      <c r="AA425" s="544"/>
      <c r="AB425" s="544"/>
      <c r="AC425" s="544"/>
    </row>
    <row r="426" spans="1:68" ht="14.25" hidden="1" customHeight="1" x14ac:dyDescent="0.25">
      <c r="A426" s="555" t="s">
        <v>101</v>
      </c>
      <c r="B426" s="556"/>
      <c r="C426" s="556"/>
      <c r="D426" s="556"/>
      <c r="E426" s="556"/>
      <c r="F426" s="556"/>
      <c r="G426" s="556"/>
      <c r="H426" s="556"/>
      <c r="I426" s="556"/>
      <c r="J426" s="556"/>
      <c r="K426" s="556"/>
      <c r="L426" s="556"/>
      <c r="M426" s="556"/>
      <c r="N426" s="556"/>
      <c r="O426" s="556"/>
      <c r="P426" s="556"/>
      <c r="Q426" s="556"/>
      <c r="R426" s="556"/>
      <c r="S426" s="556"/>
      <c r="T426" s="556"/>
      <c r="U426" s="556"/>
      <c r="V426" s="556"/>
      <c r="W426" s="556"/>
      <c r="X426" s="556"/>
      <c r="Y426" s="556"/>
      <c r="Z426" s="556"/>
      <c r="AA426" s="545"/>
      <c r="AB426" s="545"/>
      <c r="AC426" s="545"/>
    </row>
    <row r="427" spans="1:68" ht="27" hidden="1" customHeight="1" x14ac:dyDescent="0.25">
      <c r="A427" s="54" t="s">
        <v>658</v>
      </c>
      <c r="B427" s="54" t="s">
        <v>659</v>
      </c>
      <c r="C427" s="31">
        <v>4301011795</v>
      </c>
      <c r="D427" s="553">
        <v>4607091389067</v>
      </c>
      <c r="E427" s="554"/>
      <c r="F427" s="548">
        <v>0.88</v>
      </c>
      <c r="G427" s="32">
        <v>6</v>
      </c>
      <c r="H427" s="548">
        <v>5.28</v>
      </c>
      <c r="I427" s="548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0"/>
      <c r="R427" s="560"/>
      <c r="S427" s="560"/>
      <c r="T427" s="561"/>
      <c r="U427" s="34"/>
      <c r="V427" s="34"/>
      <c r="W427" s="35" t="s">
        <v>69</v>
      </c>
      <c r="X427" s="549">
        <v>0</v>
      </c>
      <c r="Y427" s="550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660</v>
      </c>
      <c r="B428" s="54" t="s">
        <v>661</v>
      </c>
      <c r="C428" s="31">
        <v>4301012210</v>
      </c>
      <c r="D428" s="553">
        <v>4607091383522</v>
      </c>
      <c r="E428" s="554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si="47"/>
        <v>0</v>
      </c>
      <c r="Z428" s="36" t="str">
        <f t="shared" si="48"/>
        <v/>
      </c>
      <c r="AA428" s="56"/>
      <c r="AB428" s="57"/>
      <c r="AC428" s="475" t="s">
        <v>662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663</v>
      </c>
      <c r="C429" s="31">
        <v>4301012145</v>
      </c>
      <c r="D429" s="553">
        <v>4607091383522</v>
      </c>
      <c r="E429" s="554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4301011961</v>
      </c>
      <c r="D430" s="553">
        <v>4680115885271</v>
      </c>
      <c r="E430" s="554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668</v>
      </c>
      <c r="C431" s="31">
        <v>4301011376</v>
      </c>
      <c r="D431" s="553">
        <v>4680115885226</v>
      </c>
      <c r="E431" s="554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hidden="1" customHeight="1" x14ac:dyDescent="0.25">
      <c r="A432" s="54" t="s">
        <v>670</v>
      </c>
      <c r="B432" s="54" t="s">
        <v>671</v>
      </c>
      <c r="C432" s="31">
        <v>4301011774</v>
      </c>
      <c r="D432" s="553">
        <v>4680115884502</v>
      </c>
      <c r="E432" s="554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673</v>
      </c>
      <c r="B433" s="54" t="s">
        <v>674</v>
      </c>
      <c r="C433" s="31">
        <v>4301011771</v>
      </c>
      <c r="D433" s="553">
        <v>4607091389104</v>
      </c>
      <c r="E433" s="554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150</v>
      </c>
      <c r="Y433" s="550">
        <f t="shared" si="47"/>
        <v>153.12</v>
      </c>
      <c r="Z433" s="36">
        <f t="shared" si="48"/>
        <v>0.34683999999999998</v>
      </c>
      <c r="AA433" s="56"/>
      <c r="AB433" s="57"/>
      <c r="AC433" s="485" t="s">
        <v>675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159.94318181818181</v>
      </c>
      <c r="BN433" s="64">
        <f t="shared" si="50"/>
        <v>163.26999999999998</v>
      </c>
      <c r="BO433" s="64">
        <f t="shared" si="51"/>
        <v>0.27316433566433568</v>
      </c>
      <c r="BP433" s="64">
        <f t="shared" si="52"/>
        <v>0.27884615384615385</v>
      </c>
    </row>
    <row r="434" spans="1:68" ht="27" hidden="1" customHeight="1" x14ac:dyDescent="0.25">
      <c r="A434" s="54" t="s">
        <v>676</v>
      </c>
      <c r="B434" s="54" t="s">
        <v>677</v>
      </c>
      <c r="C434" s="31">
        <v>4301012125</v>
      </c>
      <c r="D434" s="553">
        <v>4680115886391</v>
      </c>
      <c r="E434" s="554"/>
      <c r="F434" s="548">
        <v>0.4</v>
      </c>
      <c r="G434" s="32">
        <v>6</v>
      </c>
      <c r="H434" s="548">
        <v>2.4</v>
      </c>
      <c r="I434" s="548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678</v>
      </c>
      <c r="B435" s="54" t="s">
        <v>679</v>
      </c>
      <c r="C435" s="31">
        <v>4301012035</v>
      </c>
      <c r="D435" s="553">
        <v>4680115880603</v>
      </c>
      <c r="E435" s="554"/>
      <c r="F435" s="548">
        <v>0.6</v>
      </c>
      <c r="G435" s="32">
        <v>8</v>
      </c>
      <c r="H435" s="548">
        <v>4.8</v>
      </c>
      <c r="I435" s="548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180</v>
      </c>
      <c r="Y435" s="550">
        <f t="shared" si="47"/>
        <v>182.4</v>
      </c>
      <c r="Z435" s="36">
        <f>IFERROR(IF(Y435=0,"",ROUNDUP(Y435/H435,0)*0.00902),"")</f>
        <v>0.34276000000000001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259.125</v>
      </c>
      <c r="BN435" s="64">
        <f t="shared" si="50"/>
        <v>262.58000000000004</v>
      </c>
      <c r="BO435" s="64">
        <f t="shared" si="51"/>
        <v>0.28409090909090912</v>
      </c>
      <c r="BP435" s="64">
        <f t="shared" si="52"/>
        <v>0.2878787878787879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4301012036</v>
      </c>
      <c r="D436" s="553">
        <v>4680115882782</v>
      </c>
      <c r="E436" s="554"/>
      <c r="F436" s="548">
        <v>0.6</v>
      </c>
      <c r="G436" s="32">
        <v>8</v>
      </c>
      <c r="H436" s="548">
        <v>4.8</v>
      </c>
      <c r="I436" s="548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4301012050</v>
      </c>
      <c r="D437" s="553">
        <v>4680115885479</v>
      </c>
      <c r="E437" s="554"/>
      <c r="F437" s="548">
        <v>0.4</v>
      </c>
      <c r="G437" s="32">
        <v>6</v>
      </c>
      <c r="H437" s="548">
        <v>2.4</v>
      </c>
      <c r="I437" s="548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66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684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685</v>
      </c>
      <c r="B438" s="54" t="s">
        <v>686</v>
      </c>
      <c r="C438" s="31">
        <v>4301012034</v>
      </c>
      <c r="D438" s="553">
        <v>4607091389982</v>
      </c>
      <c r="E438" s="554"/>
      <c r="F438" s="548">
        <v>0.6</v>
      </c>
      <c r="G438" s="32">
        <v>8</v>
      </c>
      <c r="H438" s="548">
        <v>4.8</v>
      </c>
      <c r="I438" s="548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120</v>
      </c>
      <c r="Y438" s="550">
        <f t="shared" si="47"/>
        <v>120</v>
      </c>
      <c r="Z438" s="36">
        <f>IFERROR(IF(Y438=0,"",ROUNDUP(Y438/H438,0)*0.00902),"")</f>
        <v>0.22550000000000001</v>
      </c>
      <c r="AA438" s="56"/>
      <c r="AB438" s="57"/>
      <c r="AC438" s="495" t="s">
        <v>675</v>
      </c>
      <c r="AG438" s="64"/>
      <c r="AJ438" s="68"/>
      <c r="AK438" s="68">
        <v>0</v>
      </c>
      <c r="BB438" s="496" t="s">
        <v>1</v>
      </c>
      <c r="BM438" s="64">
        <f t="shared" si="49"/>
        <v>172.75000000000003</v>
      </c>
      <c r="BN438" s="64">
        <f t="shared" si="50"/>
        <v>172.75000000000003</v>
      </c>
      <c r="BO438" s="64">
        <f t="shared" si="51"/>
        <v>0.18939393939393939</v>
      </c>
      <c r="BP438" s="64">
        <f t="shared" si="52"/>
        <v>0.18939393939393939</v>
      </c>
    </row>
    <row r="439" spans="1:68" x14ac:dyDescent="0.2">
      <c r="A439" s="557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8"/>
      <c r="P439" s="568" t="s">
        <v>75</v>
      </c>
      <c r="Q439" s="569"/>
      <c r="R439" s="569"/>
      <c r="S439" s="569"/>
      <c r="T439" s="569"/>
      <c r="U439" s="569"/>
      <c r="V439" s="570"/>
      <c r="W439" s="37" t="s">
        <v>76</v>
      </c>
      <c r="X439" s="55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90.909090909090907</v>
      </c>
      <c r="Y439" s="55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92</v>
      </c>
      <c r="Z439" s="55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0.91510000000000002</v>
      </c>
      <c r="AA439" s="552"/>
      <c r="AB439" s="552"/>
      <c r="AC439" s="552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8"/>
      <c r="P440" s="568" t="s">
        <v>75</v>
      </c>
      <c r="Q440" s="569"/>
      <c r="R440" s="569"/>
      <c r="S440" s="569"/>
      <c r="T440" s="569"/>
      <c r="U440" s="569"/>
      <c r="V440" s="570"/>
      <c r="W440" s="37" t="s">
        <v>69</v>
      </c>
      <c r="X440" s="551">
        <f>IFERROR(SUM(X427:X438),"0")</f>
        <v>450</v>
      </c>
      <c r="Y440" s="551">
        <f>IFERROR(SUM(Y427:Y438),"0")</f>
        <v>455.52</v>
      </c>
      <c r="Z440" s="37"/>
      <c r="AA440" s="552"/>
      <c r="AB440" s="552"/>
      <c r="AC440" s="552"/>
    </row>
    <row r="441" spans="1:68" ht="14.25" hidden="1" customHeight="1" x14ac:dyDescent="0.25">
      <c r="A441" s="555" t="s">
        <v>137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45"/>
      <c r="AB441" s="545"/>
      <c r="AC441" s="545"/>
    </row>
    <row r="442" spans="1:68" ht="16.5" customHeight="1" x14ac:dyDescent="0.25">
      <c r="A442" s="54" t="s">
        <v>687</v>
      </c>
      <c r="B442" s="54" t="s">
        <v>688</v>
      </c>
      <c r="C442" s="31">
        <v>4301020334</v>
      </c>
      <c r="D442" s="553">
        <v>4607091388930</v>
      </c>
      <c r="E442" s="554"/>
      <c r="F442" s="548">
        <v>0.88</v>
      </c>
      <c r="G442" s="32">
        <v>6</v>
      </c>
      <c r="H442" s="548">
        <v>5.28</v>
      </c>
      <c r="I442" s="548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9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0"/>
      <c r="R442" s="560"/>
      <c r="S442" s="560"/>
      <c r="T442" s="561"/>
      <c r="U442" s="34"/>
      <c r="V442" s="34"/>
      <c r="W442" s="35" t="s">
        <v>69</v>
      </c>
      <c r="X442" s="549">
        <v>120</v>
      </c>
      <c r="Y442" s="550">
        <f>IFERROR(IF(X442="",0,CEILING((X442/$H442),1)*$H442),"")</f>
        <v>121.44000000000001</v>
      </c>
      <c r="Z442" s="36">
        <f>IFERROR(IF(Y442=0,"",ROUNDUP(Y442/H442,0)*0.01196),"")</f>
        <v>0.27507999999999999</v>
      </c>
      <c r="AA442" s="56"/>
      <c r="AB442" s="57"/>
      <c r="AC442" s="497" t="s">
        <v>689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127.95454545454545</v>
      </c>
      <c r="BN442" s="64">
        <f>IFERROR(Y442*I442/H442,"0")</f>
        <v>129.49</v>
      </c>
      <c r="BO442" s="64">
        <f>IFERROR(1/J442*(X442/H442),"0")</f>
        <v>0.21853146853146854</v>
      </c>
      <c r="BP442" s="64">
        <f>IFERROR(1/J442*(Y442/H442),"0")</f>
        <v>0.22115384615384617</v>
      </c>
    </row>
    <row r="443" spans="1:68" ht="16.5" hidden="1" customHeight="1" x14ac:dyDescent="0.25">
      <c r="A443" s="54" t="s">
        <v>690</v>
      </c>
      <c r="B443" s="54" t="s">
        <v>691</v>
      </c>
      <c r="C443" s="31">
        <v>4301020384</v>
      </c>
      <c r="D443" s="553">
        <v>4680115886407</v>
      </c>
      <c r="E443" s="554"/>
      <c r="F443" s="548">
        <v>0.4</v>
      </c>
      <c r="G443" s="32">
        <v>6</v>
      </c>
      <c r="H443" s="548">
        <v>2.4</v>
      </c>
      <c r="I443" s="548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689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692</v>
      </c>
      <c r="B444" s="54" t="s">
        <v>693</v>
      </c>
      <c r="C444" s="31">
        <v>4301020385</v>
      </c>
      <c r="D444" s="553">
        <v>4680115880054</v>
      </c>
      <c r="E444" s="554"/>
      <c r="F444" s="548">
        <v>0.6</v>
      </c>
      <c r="G444" s="32">
        <v>8</v>
      </c>
      <c r="H444" s="548">
        <v>4.8</v>
      </c>
      <c r="I444" s="548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689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57"/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58"/>
      <c r="P445" s="568" t="s">
        <v>75</v>
      </c>
      <c r="Q445" s="569"/>
      <c r="R445" s="569"/>
      <c r="S445" s="569"/>
      <c r="T445" s="569"/>
      <c r="U445" s="569"/>
      <c r="V445" s="570"/>
      <c r="W445" s="37" t="s">
        <v>76</v>
      </c>
      <c r="X445" s="551">
        <f>IFERROR(X442/H442,"0")+IFERROR(X443/H443,"0")+IFERROR(X444/H444,"0")</f>
        <v>22.727272727272727</v>
      </c>
      <c r="Y445" s="551">
        <f>IFERROR(Y442/H442,"0")+IFERROR(Y443/H443,"0")+IFERROR(Y444/H444,"0")</f>
        <v>23</v>
      </c>
      <c r="Z445" s="551">
        <f>IFERROR(IF(Z442="",0,Z442),"0")+IFERROR(IF(Z443="",0,Z443),"0")+IFERROR(IF(Z444="",0,Z444),"0")</f>
        <v>0.27507999999999999</v>
      </c>
      <c r="AA445" s="552"/>
      <c r="AB445" s="552"/>
      <c r="AC445" s="552"/>
    </row>
    <row r="446" spans="1:68" x14ac:dyDescent="0.2">
      <c r="A446" s="556"/>
      <c r="B446" s="556"/>
      <c r="C446" s="556"/>
      <c r="D446" s="556"/>
      <c r="E446" s="556"/>
      <c r="F446" s="556"/>
      <c r="G446" s="556"/>
      <c r="H446" s="556"/>
      <c r="I446" s="556"/>
      <c r="J446" s="556"/>
      <c r="K446" s="556"/>
      <c r="L446" s="556"/>
      <c r="M446" s="556"/>
      <c r="N446" s="556"/>
      <c r="O446" s="558"/>
      <c r="P446" s="568" t="s">
        <v>75</v>
      </c>
      <c r="Q446" s="569"/>
      <c r="R446" s="569"/>
      <c r="S446" s="569"/>
      <c r="T446" s="569"/>
      <c r="U446" s="569"/>
      <c r="V446" s="570"/>
      <c r="W446" s="37" t="s">
        <v>69</v>
      </c>
      <c r="X446" s="551">
        <f>IFERROR(SUM(X442:X444),"0")</f>
        <v>120</v>
      </c>
      <c r="Y446" s="551">
        <f>IFERROR(SUM(Y442:Y444),"0")</f>
        <v>121.44000000000001</v>
      </c>
      <c r="Z446" s="37"/>
      <c r="AA446" s="552"/>
      <c r="AB446" s="552"/>
      <c r="AC446" s="552"/>
    </row>
    <row r="447" spans="1:68" ht="14.25" hidden="1" customHeight="1" x14ac:dyDescent="0.25">
      <c r="A447" s="555" t="s">
        <v>64</v>
      </c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6"/>
      <c r="P447" s="556"/>
      <c r="Q447" s="556"/>
      <c r="R447" s="556"/>
      <c r="S447" s="556"/>
      <c r="T447" s="556"/>
      <c r="U447" s="556"/>
      <c r="V447" s="556"/>
      <c r="W447" s="556"/>
      <c r="X447" s="556"/>
      <c r="Y447" s="556"/>
      <c r="Z447" s="556"/>
      <c r="AA447" s="545"/>
      <c r="AB447" s="545"/>
      <c r="AC447" s="545"/>
    </row>
    <row r="448" spans="1:68" ht="27" hidden="1" customHeight="1" x14ac:dyDescent="0.25">
      <c r="A448" s="54" t="s">
        <v>694</v>
      </c>
      <c r="B448" s="54" t="s">
        <v>695</v>
      </c>
      <c r="C448" s="31">
        <v>4301031349</v>
      </c>
      <c r="D448" s="553">
        <v>4680115883116</v>
      </c>
      <c r="E448" s="554"/>
      <c r="F448" s="548">
        <v>0.88</v>
      </c>
      <c r="G448" s="32">
        <v>6</v>
      </c>
      <c r="H448" s="548">
        <v>5.28</v>
      </c>
      <c r="I448" s="548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0"/>
      <c r="R448" s="560"/>
      <c r="S448" s="560"/>
      <c r="T448" s="561"/>
      <c r="U448" s="34"/>
      <c r="V448" s="34"/>
      <c r="W448" s="35" t="s">
        <v>69</v>
      </c>
      <c r="X448" s="549">
        <v>0</v>
      </c>
      <c r="Y448" s="550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696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customHeight="1" x14ac:dyDescent="0.25">
      <c r="A449" s="54" t="s">
        <v>697</v>
      </c>
      <c r="B449" s="54" t="s">
        <v>698</v>
      </c>
      <c r="C449" s="31">
        <v>4301031350</v>
      </c>
      <c r="D449" s="553">
        <v>4680115883093</v>
      </c>
      <c r="E449" s="554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100</v>
      </c>
      <c r="Y449" s="550">
        <f t="shared" si="53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699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106.62878787878788</v>
      </c>
      <c r="BN449" s="64">
        <f t="shared" si="55"/>
        <v>106.97</v>
      </c>
      <c r="BO449" s="64">
        <f t="shared" si="56"/>
        <v>0.18210955710955709</v>
      </c>
      <c r="BP449" s="64">
        <f t="shared" si="57"/>
        <v>0.18269230769230771</v>
      </c>
    </row>
    <row r="450" spans="1:68" ht="27" customHeight="1" x14ac:dyDescent="0.25">
      <c r="A450" s="54" t="s">
        <v>700</v>
      </c>
      <c r="B450" s="54" t="s">
        <v>701</v>
      </c>
      <c r="C450" s="31">
        <v>4301031353</v>
      </c>
      <c r="D450" s="553">
        <v>4680115883109</v>
      </c>
      <c r="E450" s="554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100</v>
      </c>
      <c r="Y450" s="550">
        <f t="shared" si="53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702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106.62878787878788</v>
      </c>
      <c r="BN450" s="64">
        <f t="shared" si="55"/>
        <v>106.97</v>
      </c>
      <c r="BO450" s="64">
        <f t="shared" si="56"/>
        <v>0.18210955710955709</v>
      </c>
      <c r="BP450" s="64">
        <f t="shared" si="57"/>
        <v>0.18269230769230771</v>
      </c>
    </row>
    <row r="451" spans="1:68" ht="27" hidden="1" customHeight="1" x14ac:dyDescent="0.25">
      <c r="A451" s="54" t="s">
        <v>703</v>
      </c>
      <c r="B451" s="54" t="s">
        <v>704</v>
      </c>
      <c r="C451" s="31">
        <v>4301031419</v>
      </c>
      <c r="D451" s="553">
        <v>4680115882072</v>
      </c>
      <c r="E451" s="554"/>
      <c r="F451" s="548">
        <v>0.6</v>
      </c>
      <c r="G451" s="32">
        <v>8</v>
      </c>
      <c r="H451" s="548">
        <v>4.8</v>
      </c>
      <c r="I451" s="548">
        <v>6.91</v>
      </c>
      <c r="J451" s="32">
        <v>132</v>
      </c>
      <c r="K451" s="32" t="s">
        <v>111</v>
      </c>
      <c r="L451" s="32" t="s">
        <v>112</v>
      </c>
      <c r="M451" s="33" t="s">
        <v>106</v>
      </c>
      <c r="N451" s="33"/>
      <c r="O451" s="32">
        <v>70</v>
      </c>
      <c r="P451" s="7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696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705</v>
      </c>
      <c r="B452" s="54" t="s">
        <v>706</v>
      </c>
      <c r="C452" s="31">
        <v>4301031418</v>
      </c>
      <c r="D452" s="553">
        <v>4680115882102</v>
      </c>
      <c r="E452" s="554"/>
      <c r="F452" s="548">
        <v>0.6</v>
      </c>
      <c r="G452" s="32">
        <v>8</v>
      </c>
      <c r="H452" s="548">
        <v>4.8</v>
      </c>
      <c r="I452" s="548">
        <v>6.67</v>
      </c>
      <c r="J452" s="32">
        <v>132</v>
      </c>
      <c r="K452" s="32" t="s">
        <v>111</v>
      </c>
      <c r="L452" s="32" t="s">
        <v>112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699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4301031417</v>
      </c>
      <c r="D453" s="553">
        <v>4680115882096</v>
      </c>
      <c r="E453" s="554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111</v>
      </c>
      <c r="L453" s="32" t="s">
        <v>112</v>
      </c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57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8"/>
      <c r="P454" s="568" t="s">
        <v>75</v>
      </c>
      <c r="Q454" s="569"/>
      <c r="R454" s="569"/>
      <c r="S454" s="569"/>
      <c r="T454" s="569"/>
      <c r="U454" s="569"/>
      <c r="V454" s="570"/>
      <c r="W454" s="37" t="s">
        <v>76</v>
      </c>
      <c r="X454" s="551">
        <f>IFERROR(X448/H448,"0")+IFERROR(X449/H449,"0")+IFERROR(X450/H450,"0")+IFERROR(X451/H451,"0")+IFERROR(X452/H452,"0")+IFERROR(X453/H453,"0")</f>
        <v>37.878787878787875</v>
      </c>
      <c r="Y454" s="551">
        <f>IFERROR(Y448/H448,"0")+IFERROR(Y449/H449,"0")+IFERROR(Y450/H450,"0")+IFERROR(Y451/H451,"0")+IFERROR(Y452/H452,"0")+IFERROR(Y453/H453,"0")</f>
        <v>38</v>
      </c>
      <c r="Z454" s="551">
        <f>IFERROR(IF(Z448="",0,Z448),"0")+IFERROR(IF(Z449="",0,Z449),"0")+IFERROR(IF(Z450="",0,Z450),"0")+IFERROR(IF(Z451="",0,Z451),"0")+IFERROR(IF(Z452="",0,Z452),"0")+IFERROR(IF(Z453="",0,Z453),"0")</f>
        <v>0.45448</v>
      </c>
      <c r="AA454" s="552"/>
      <c r="AB454" s="552"/>
      <c r="AC454" s="552"/>
    </row>
    <row r="455" spans="1:68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58"/>
      <c r="P455" s="568" t="s">
        <v>75</v>
      </c>
      <c r="Q455" s="569"/>
      <c r="R455" s="569"/>
      <c r="S455" s="569"/>
      <c r="T455" s="569"/>
      <c r="U455" s="569"/>
      <c r="V455" s="570"/>
      <c r="W455" s="37" t="s">
        <v>69</v>
      </c>
      <c r="X455" s="551">
        <f>IFERROR(SUM(X448:X453),"0")</f>
        <v>200</v>
      </c>
      <c r="Y455" s="551">
        <f>IFERROR(SUM(Y448:Y453),"0")</f>
        <v>200.64000000000001</v>
      </c>
      <c r="Z455" s="37"/>
      <c r="AA455" s="552"/>
      <c r="AB455" s="552"/>
      <c r="AC455" s="552"/>
    </row>
    <row r="456" spans="1:68" ht="14.25" hidden="1" customHeight="1" x14ac:dyDescent="0.25">
      <c r="A456" s="555" t="s">
        <v>77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45"/>
      <c r="AB456" s="545"/>
      <c r="AC456" s="545"/>
    </row>
    <row r="457" spans="1:68" ht="27" hidden="1" customHeight="1" x14ac:dyDescent="0.25">
      <c r="A457" s="54" t="s">
        <v>709</v>
      </c>
      <c r="B457" s="54" t="s">
        <v>710</v>
      </c>
      <c r="C457" s="31">
        <v>4301051064</v>
      </c>
      <c r="D457" s="553">
        <v>4680115883536</v>
      </c>
      <c r="E457" s="554"/>
      <c r="F457" s="548">
        <v>0.3</v>
      </c>
      <c r="G457" s="32">
        <v>6</v>
      </c>
      <c r="H457" s="548">
        <v>1.8</v>
      </c>
      <c r="I457" s="548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60"/>
      <c r="R457" s="560"/>
      <c r="S457" s="560"/>
      <c r="T457" s="561"/>
      <c r="U457" s="34"/>
      <c r="V457" s="34"/>
      <c r="W457" s="35" t="s">
        <v>69</v>
      </c>
      <c r="X457" s="549">
        <v>0</v>
      </c>
      <c r="Y457" s="55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711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57"/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8"/>
      <c r="P458" s="568" t="s">
        <v>75</v>
      </c>
      <c r="Q458" s="569"/>
      <c r="R458" s="569"/>
      <c r="S458" s="569"/>
      <c r="T458" s="569"/>
      <c r="U458" s="569"/>
      <c r="V458" s="570"/>
      <c r="W458" s="37" t="s">
        <v>76</v>
      </c>
      <c r="X458" s="551">
        <f>IFERROR(X457/H457,"0")</f>
        <v>0</v>
      </c>
      <c r="Y458" s="551">
        <f>IFERROR(Y457/H457,"0")</f>
        <v>0</v>
      </c>
      <c r="Z458" s="551">
        <f>IFERROR(IF(Z457="",0,Z457),"0")</f>
        <v>0</v>
      </c>
      <c r="AA458" s="552"/>
      <c r="AB458" s="552"/>
      <c r="AC458" s="552"/>
    </row>
    <row r="459" spans="1:68" hidden="1" x14ac:dyDescent="0.2">
      <c r="A459" s="556"/>
      <c r="B459" s="556"/>
      <c r="C459" s="556"/>
      <c r="D459" s="556"/>
      <c r="E459" s="556"/>
      <c r="F459" s="556"/>
      <c r="G459" s="556"/>
      <c r="H459" s="556"/>
      <c r="I459" s="556"/>
      <c r="J459" s="556"/>
      <c r="K459" s="556"/>
      <c r="L459" s="556"/>
      <c r="M459" s="556"/>
      <c r="N459" s="556"/>
      <c r="O459" s="558"/>
      <c r="P459" s="568" t="s">
        <v>75</v>
      </c>
      <c r="Q459" s="569"/>
      <c r="R459" s="569"/>
      <c r="S459" s="569"/>
      <c r="T459" s="569"/>
      <c r="U459" s="569"/>
      <c r="V459" s="570"/>
      <c r="W459" s="37" t="s">
        <v>69</v>
      </c>
      <c r="X459" s="551">
        <f>IFERROR(SUM(X457:X457),"0")</f>
        <v>0</v>
      </c>
      <c r="Y459" s="551">
        <f>IFERROR(SUM(Y457:Y457),"0")</f>
        <v>0</v>
      </c>
      <c r="Z459" s="37"/>
      <c r="AA459" s="552"/>
      <c r="AB459" s="552"/>
      <c r="AC459" s="552"/>
    </row>
    <row r="460" spans="1:68" ht="27.75" hidden="1" customHeight="1" x14ac:dyDescent="0.2">
      <c r="A460" s="631" t="s">
        <v>712</v>
      </c>
      <c r="B460" s="632"/>
      <c r="C460" s="632"/>
      <c r="D460" s="632"/>
      <c r="E460" s="632"/>
      <c r="F460" s="632"/>
      <c r="G460" s="632"/>
      <c r="H460" s="632"/>
      <c r="I460" s="632"/>
      <c r="J460" s="632"/>
      <c r="K460" s="632"/>
      <c r="L460" s="632"/>
      <c r="M460" s="632"/>
      <c r="N460" s="632"/>
      <c r="O460" s="632"/>
      <c r="P460" s="632"/>
      <c r="Q460" s="632"/>
      <c r="R460" s="632"/>
      <c r="S460" s="632"/>
      <c r="T460" s="632"/>
      <c r="U460" s="632"/>
      <c r="V460" s="632"/>
      <c r="W460" s="632"/>
      <c r="X460" s="632"/>
      <c r="Y460" s="632"/>
      <c r="Z460" s="632"/>
      <c r="AA460" s="48"/>
      <c r="AB460" s="48"/>
      <c r="AC460" s="48"/>
    </row>
    <row r="461" spans="1:68" ht="16.5" hidden="1" customHeight="1" x14ac:dyDescent="0.25">
      <c r="A461" s="562" t="s">
        <v>712</v>
      </c>
      <c r="B461" s="556"/>
      <c r="C461" s="556"/>
      <c r="D461" s="556"/>
      <c r="E461" s="556"/>
      <c r="F461" s="556"/>
      <c r="G461" s="556"/>
      <c r="H461" s="556"/>
      <c r="I461" s="556"/>
      <c r="J461" s="556"/>
      <c r="K461" s="556"/>
      <c r="L461" s="556"/>
      <c r="M461" s="556"/>
      <c r="N461" s="556"/>
      <c r="O461" s="556"/>
      <c r="P461" s="556"/>
      <c r="Q461" s="556"/>
      <c r="R461" s="556"/>
      <c r="S461" s="556"/>
      <c r="T461" s="556"/>
      <c r="U461" s="556"/>
      <c r="V461" s="556"/>
      <c r="W461" s="556"/>
      <c r="X461" s="556"/>
      <c r="Y461" s="556"/>
      <c r="Z461" s="556"/>
      <c r="AA461" s="544"/>
      <c r="AB461" s="544"/>
      <c r="AC461" s="544"/>
    </row>
    <row r="462" spans="1:68" ht="14.25" hidden="1" customHeight="1" x14ac:dyDescent="0.25">
      <c r="A462" s="555" t="s">
        <v>101</v>
      </c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6"/>
      <c r="P462" s="556"/>
      <c r="Q462" s="556"/>
      <c r="R462" s="556"/>
      <c r="S462" s="556"/>
      <c r="T462" s="556"/>
      <c r="U462" s="556"/>
      <c r="V462" s="556"/>
      <c r="W462" s="556"/>
      <c r="X462" s="556"/>
      <c r="Y462" s="556"/>
      <c r="Z462" s="556"/>
      <c r="AA462" s="545"/>
      <c r="AB462" s="545"/>
      <c r="AC462" s="545"/>
    </row>
    <row r="463" spans="1:68" ht="27" hidden="1" customHeight="1" x14ac:dyDescent="0.25">
      <c r="A463" s="54" t="s">
        <v>713</v>
      </c>
      <c r="B463" s="54" t="s">
        <v>714</v>
      </c>
      <c r="C463" s="31">
        <v>4301011763</v>
      </c>
      <c r="D463" s="553">
        <v>4640242181011</v>
      </c>
      <c r="E463" s="554"/>
      <c r="F463" s="548">
        <v>1.35</v>
      </c>
      <c r="G463" s="32">
        <v>8</v>
      </c>
      <c r="H463" s="548">
        <v>10.8</v>
      </c>
      <c r="I463" s="548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60"/>
      <c r="R463" s="560"/>
      <c r="S463" s="560"/>
      <c r="T463" s="561"/>
      <c r="U463" s="34"/>
      <c r="V463" s="34"/>
      <c r="W463" s="35" t="s">
        <v>69</v>
      </c>
      <c r="X463" s="549">
        <v>0</v>
      </c>
      <c r="Y463" s="550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716</v>
      </c>
      <c r="B464" s="54" t="s">
        <v>717</v>
      </c>
      <c r="C464" s="31">
        <v>4301011585</v>
      </c>
      <c r="D464" s="553">
        <v>4640242180441</v>
      </c>
      <c r="E464" s="554"/>
      <c r="F464" s="548">
        <v>1.5</v>
      </c>
      <c r="G464" s="32">
        <v>8</v>
      </c>
      <c r="H464" s="548">
        <v>12</v>
      </c>
      <c r="I464" s="548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718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719</v>
      </c>
      <c r="B465" s="54" t="s">
        <v>720</v>
      </c>
      <c r="C465" s="31">
        <v>4301011584</v>
      </c>
      <c r="D465" s="553">
        <v>4640242180564</v>
      </c>
      <c r="E465" s="554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4301011764</v>
      </c>
      <c r="D466" s="553">
        <v>4640242181189</v>
      </c>
      <c r="E466" s="554"/>
      <c r="F466" s="548">
        <v>0.4</v>
      </c>
      <c r="G466" s="32">
        <v>10</v>
      </c>
      <c r="H466" s="548">
        <v>4</v>
      </c>
      <c r="I466" s="548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7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58"/>
      <c r="P467" s="568" t="s">
        <v>75</v>
      </c>
      <c r="Q467" s="569"/>
      <c r="R467" s="569"/>
      <c r="S467" s="569"/>
      <c r="T467" s="569"/>
      <c r="U467" s="569"/>
      <c r="V467" s="570"/>
      <c r="W467" s="37" t="s">
        <v>76</v>
      </c>
      <c r="X467" s="551">
        <f>IFERROR(X463/H463,"0")+IFERROR(X464/H464,"0")+IFERROR(X465/H465,"0")+IFERROR(X466/H466,"0")</f>
        <v>0</v>
      </c>
      <c r="Y467" s="551">
        <f>IFERROR(Y463/H463,"0")+IFERROR(Y464/H464,"0")+IFERROR(Y465/H465,"0")+IFERROR(Y466/H466,"0")</f>
        <v>0</v>
      </c>
      <c r="Z467" s="551">
        <f>IFERROR(IF(Z463="",0,Z463),"0")+IFERROR(IF(Z464="",0,Z464),"0")+IFERROR(IF(Z465="",0,Z465),"0")+IFERROR(IF(Z466="",0,Z466),"0")</f>
        <v>0</v>
      </c>
      <c r="AA467" s="552"/>
      <c r="AB467" s="552"/>
      <c r="AC467" s="552"/>
    </row>
    <row r="468" spans="1:68" hidden="1" x14ac:dyDescent="0.2">
      <c r="A468" s="556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8"/>
      <c r="P468" s="568" t="s">
        <v>75</v>
      </c>
      <c r="Q468" s="569"/>
      <c r="R468" s="569"/>
      <c r="S468" s="569"/>
      <c r="T468" s="569"/>
      <c r="U468" s="569"/>
      <c r="V468" s="570"/>
      <c r="W468" s="37" t="s">
        <v>69</v>
      </c>
      <c r="X468" s="551">
        <f>IFERROR(SUM(X463:X466),"0")</f>
        <v>0</v>
      </c>
      <c r="Y468" s="551">
        <f>IFERROR(SUM(Y463:Y466),"0")</f>
        <v>0</v>
      </c>
      <c r="Z468" s="37"/>
      <c r="AA468" s="552"/>
      <c r="AB468" s="552"/>
      <c r="AC468" s="552"/>
    </row>
    <row r="469" spans="1:68" ht="14.25" hidden="1" customHeight="1" x14ac:dyDescent="0.25">
      <c r="A469" s="555" t="s">
        <v>137</v>
      </c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6"/>
      <c r="P469" s="556"/>
      <c r="Q469" s="556"/>
      <c r="R469" s="556"/>
      <c r="S469" s="556"/>
      <c r="T469" s="556"/>
      <c r="U469" s="556"/>
      <c r="V469" s="556"/>
      <c r="W469" s="556"/>
      <c r="X469" s="556"/>
      <c r="Y469" s="556"/>
      <c r="Z469" s="556"/>
      <c r="AA469" s="545"/>
      <c r="AB469" s="545"/>
      <c r="AC469" s="545"/>
    </row>
    <row r="470" spans="1:68" ht="27" hidden="1" customHeight="1" x14ac:dyDescent="0.25">
      <c r="A470" s="54" t="s">
        <v>724</v>
      </c>
      <c r="B470" s="54" t="s">
        <v>725</v>
      </c>
      <c r="C470" s="31">
        <v>4301020400</v>
      </c>
      <c r="D470" s="553">
        <v>4640242180519</v>
      </c>
      <c r="E470" s="554"/>
      <c r="F470" s="548">
        <v>1.5</v>
      </c>
      <c r="G470" s="32">
        <v>8</v>
      </c>
      <c r="H470" s="548">
        <v>12</v>
      </c>
      <c r="I470" s="548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60"/>
      <c r="R470" s="560"/>
      <c r="S470" s="560"/>
      <c r="T470" s="561"/>
      <c r="U470" s="34"/>
      <c r="V470" s="34"/>
      <c r="W470" s="35" t="s">
        <v>69</v>
      </c>
      <c r="X470" s="549">
        <v>0</v>
      </c>
      <c r="Y470" s="550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726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727</v>
      </c>
      <c r="B471" s="54" t="s">
        <v>728</v>
      </c>
      <c r="C471" s="31">
        <v>4301020260</v>
      </c>
      <c r="D471" s="553">
        <v>4640242180526</v>
      </c>
      <c r="E471" s="554"/>
      <c r="F471" s="548">
        <v>1.8</v>
      </c>
      <c r="G471" s="32">
        <v>6</v>
      </c>
      <c r="H471" s="548">
        <v>10.8</v>
      </c>
      <c r="I471" s="548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729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7"/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58"/>
      <c r="P472" s="568" t="s">
        <v>75</v>
      </c>
      <c r="Q472" s="569"/>
      <c r="R472" s="569"/>
      <c r="S472" s="569"/>
      <c r="T472" s="569"/>
      <c r="U472" s="569"/>
      <c r="V472" s="570"/>
      <c r="W472" s="37" t="s">
        <v>76</v>
      </c>
      <c r="X472" s="551">
        <f>IFERROR(X470/H470,"0")+IFERROR(X471/H471,"0")</f>
        <v>0</v>
      </c>
      <c r="Y472" s="551">
        <f>IFERROR(Y470/H470,"0")+IFERROR(Y471/H471,"0")</f>
        <v>0</v>
      </c>
      <c r="Z472" s="551">
        <f>IFERROR(IF(Z470="",0,Z470),"0")+IFERROR(IF(Z471="",0,Z471),"0")</f>
        <v>0</v>
      </c>
      <c r="AA472" s="552"/>
      <c r="AB472" s="552"/>
      <c r="AC472" s="552"/>
    </row>
    <row r="473" spans="1:68" hidden="1" x14ac:dyDescent="0.2">
      <c r="A473" s="556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8"/>
      <c r="P473" s="568" t="s">
        <v>75</v>
      </c>
      <c r="Q473" s="569"/>
      <c r="R473" s="569"/>
      <c r="S473" s="569"/>
      <c r="T473" s="569"/>
      <c r="U473" s="569"/>
      <c r="V473" s="570"/>
      <c r="W473" s="37" t="s">
        <v>69</v>
      </c>
      <c r="X473" s="551">
        <f>IFERROR(SUM(X470:X471),"0")</f>
        <v>0</v>
      </c>
      <c r="Y473" s="551">
        <f>IFERROR(SUM(Y470:Y471),"0")</f>
        <v>0</v>
      </c>
      <c r="Z473" s="37"/>
      <c r="AA473" s="552"/>
      <c r="AB473" s="552"/>
      <c r="AC473" s="552"/>
    </row>
    <row r="474" spans="1:68" ht="14.25" hidden="1" customHeight="1" x14ac:dyDescent="0.25">
      <c r="A474" s="555" t="s">
        <v>64</v>
      </c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6"/>
      <c r="P474" s="556"/>
      <c r="Q474" s="556"/>
      <c r="R474" s="556"/>
      <c r="S474" s="556"/>
      <c r="T474" s="556"/>
      <c r="U474" s="556"/>
      <c r="V474" s="556"/>
      <c r="W474" s="556"/>
      <c r="X474" s="556"/>
      <c r="Y474" s="556"/>
      <c r="Z474" s="556"/>
      <c r="AA474" s="545"/>
      <c r="AB474" s="545"/>
      <c r="AC474" s="545"/>
    </row>
    <row r="475" spans="1:68" ht="27" hidden="1" customHeight="1" x14ac:dyDescent="0.25">
      <c r="A475" s="54" t="s">
        <v>730</v>
      </c>
      <c r="B475" s="54" t="s">
        <v>731</v>
      </c>
      <c r="C475" s="31">
        <v>4301031244</v>
      </c>
      <c r="D475" s="553">
        <v>4640242180595</v>
      </c>
      <c r="E475" s="554"/>
      <c r="F475" s="548">
        <v>0.7</v>
      </c>
      <c r="G475" s="32">
        <v>6</v>
      </c>
      <c r="H475" s="548">
        <v>4.2</v>
      </c>
      <c r="I475" s="548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0"/>
      <c r="R475" s="560"/>
      <c r="S475" s="560"/>
      <c r="T475" s="561"/>
      <c r="U475" s="34"/>
      <c r="V475" s="34"/>
      <c r="W475" s="35" t="s">
        <v>69</v>
      </c>
      <c r="X475" s="549">
        <v>0</v>
      </c>
      <c r="Y475" s="550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732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730</v>
      </c>
      <c r="B476" s="54" t="s">
        <v>733</v>
      </c>
      <c r="C476" s="31">
        <v>4301031467</v>
      </c>
      <c r="D476" s="553">
        <v>4640242180595</v>
      </c>
      <c r="E476" s="554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111</v>
      </c>
      <c r="L476" s="32"/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 t="s">
        <v>734</v>
      </c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735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7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8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IFERROR(X475/H475,"0")+IFERROR(X476/H476,"0")</f>
        <v>0</v>
      </c>
      <c r="Y477" s="551">
        <f>IFERROR(Y475/H475,"0")+IFERROR(Y476/H476,"0")</f>
        <v>0</v>
      </c>
      <c r="Z477" s="551">
        <f>IFERROR(IF(Z475="",0,Z475),"0")+IFERROR(IF(Z476="",0,Z476),"0")</f>
        <v>0</v>
      </c>
      <c r="AA477" s="552"/>
      <c r="AB477" s="552"/>
      <c r="AC477" s="552"/>
    </row>
    <row r="478" spans="1:68" hidden="1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8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IFERROR(SUM(X475:X476),"0")</f>
        <v>0</v>
      </c>
      <c r="Y478" s="551">
        <f>IFERROR(SUM(Y475:Y476),"0")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5" t="s">
        <v>77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45"/>
      <c r="AB479" s="545"/>
      <c r="AC479" s="545"/>
    </row>
    <row r="480" spans="1:68" ht="27" customHeight="1" x14ac:dyDescent="0.25">
      <c r="A480" s="54" t="s">
        <v>736</v>
      </c>
      <c r="B480" s="54" t="s">
        <v>737</v>
      </c>
      <c r="C480" s="31">
        <v>4301052046</v>
      </c>
      <c r="D480" s="553">
        <v>4640242180533</v>
      </c>
      <c r="E480" s="554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104</v>
      </c>
      <c r="L480" s="32" t="s">
        <v>105</v>
      </c>
      <c r="M480" s="33" t="s">
        <v>86</v>
      </c>
      <c r="N480" s="33"/>
      <c r="O480" s="32">
        <v>45</v>
      </c>
      <c r="P480" s="8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400</v>
      </c>
      <c r="Y480" s="550">
        <f>IFERROR(IF(X480="",0,CEILING((X480/$H480),1)*$H480),"")</f>
        <v>405</v>
      </c>
      <c r="Z480" s="36">
        <f>IFERROR(IF(Y480=0,"",ROUNDUP(Y480/H480,0)*0.01898),"")</f>
        <v>0.85409999999999997</v>
      </c>
      <c r="AA480" s="56"/>
      <c r="AB480" s="57"/>
      <c r="AC480" s="533" t="s">
        <v>738</v>
      </c>
      <c r="AG480" s="64"/>
      <c r="AJ480" s="68" t="s">
        <v>108</v>
      </c>
      <c r="AK480" s="68">
        <v>72</v>
      </c>
      <c r="BB480" s="534" t="s">
        <v>1</v>
      </c>
      <c r="BM480" s="64">
        <f>IFERROR(X480*I480/H480,"0")</f>
        <v>421.95555555555552</v>
      </c>
      <c r="BN480" s="64">
        <f>IFERROR(Y480*I480/H480,"0")</f>
        <v>427.22999999999996</v>
      </c>
      <c r="BO480" s="64">
        <f>IFERROR(1/J480*(X480/H480),"0")</f>
        <v>0.69444444444444442</v>
      </c>
      <c r="BP480" s="64">
        <f>IFERROR(1/J480*(Y480/H480),"0")</f>
        <v>0.703125</v>
      </c>
    </row>
    <row r="481" spans="1:68" x14ac:dyDescent="0.2">
      <c r="A481" s="557"/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58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44.444444444444443</v>
      </c>
      <c r="Y481" s="551">
        <f>IFERROR(Y480/H480,"0")</f>
        <v>45</v>
      </c>
      <c r="Z481" s="551">
        <f>IFERROR(IF(Z480="",0,Z480),"0")</f>
        <v>0.85409999999999997</v>
      </c>
      <c r="AA481" s="552"/>
      <c r="AB481" s="552"/>
      <c r="AC481" s="552"/>
    </row>
    <row r="482" spans="1:68" x14ac:dyDescent="0.2">
      <c r="A482" s="556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8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400</v>
      </c>
      <c r="Y482" s="551">
        <f>IFERROR(SUM(Y480:Y480),"0")</f>
        <v>405</v>
      </c>
      <c r="Z482" s="37"/>
      <c r="AA482" s="552"/>
      <c r="AB482" s="552"/>
      <c r="AC482" s="552"/>
    </row>
    <row r="483" spans="1:68" ht="14.25" hidden="1" customHeight="1" x14ac:dyDescent="0.25">
      <c r="A483" s="555" t="s">
        <v>162</v>
      </c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6"/>
      <c r="P483" s="556"/>
      <c r="Q483" s="556"/>
      <c r="R483" s="556"/>
      <c r="S483" s="556"/>
      <c r="T483" s="556"/>
      <c r="U483" s="556"/>
      <c r="V483" s="556"/>
      <c r="W483" s="556"/>
      <c r="X483" s="556"/>
      <c r="Y483" s="556"/>
      <c r="Z483" s="556"/>
      <c r="AA483" s="545"/>
      <c r="AB483" s="545"/>
      <c r="AC483" s="545"/>
    </row>
    <row r="484" spans="1:68" ht="27" hidden="1" customHeight="1" x14ac:dyDescent="0.25">
      <c r="A484" s="54" t="s">
        <v>739</v>
      </c>
      <c r="B484" s="54" t="s">
        <v>740</v>
      </c>
      <c r="C484" s="31">
        <v>4301060491</v>
      </c>
      <c r="D484" s="553">
        <v>4640242180120</v>
      </c>
      <c r="E484" s="554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741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742</v>
      </c>
      <c r="B485" s="54" t="s">
        <v>743</v>
      </c>
      <c r="C485" s="31">
        <v>4301060493</v>
      </c>
      <c r="D485" s="553">
        <v>4640242180137</v>
      </c>
      <c r="E485" s="554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6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744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7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8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6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8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2" t="s">
        <v>745</v>
      </c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6"/>
      <c r="P488" s="556"/>
      <c r="Q488" s="556"/>
      <c r="R488" s="556"/>
      <c r="S488" s="556"/>
      <c r="T488" s="556"/>
      <c r="U488" s="556"/>
      <c r="V488" s="556"/>
      <c r="W488" s="556"/>
      <c r="X488" s="556"/>
      <c r="Y488" s="556"/>
      <c r="Z488" s="556"/>
      <c r="AA488" s="544"/>
      <c r="AB488" s="544"/>
      <c r="AC488" s="544"/>
    </row>
    <row r="489" spans="1:68" ht="14.25" hidden="1" customHeight="1" x14ac:dyDescent="0.25">
      <c r="A489" s="555" t="s">
        <v>137</v>
      </c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56"/>
      <c r="P489" s="556"/>
      <c r="Q489" s="556"/>
      <c r="R489" s="556"/>
      <c r="S489" s="556"/>
      <c r="T489" s="556"/>
      <c r="U489" s="556"/>
      <c r="V489" s="556"/>
      <c r="W489" s="556"/>
      <c r="X489" s="556"/>
      <c r="Y489" s="556"/>
      <c r="Z489" s="556"/>
      <c r="AA489" s="545"/>
      <c r="AB489" s="545"/>
      <c r="AC489" s="545"/>
    </row>
    <row r="490" spans="1:68" ht="27" hidden="1" customHeight="1" x14ac:dyDescent="0.25">
      <c r="A490" s="54" t="s">
        <v>746</v>
      </c>
      <c r="B490" s="54" t="s">
        <v>747</v>
      </c>
      <c r="C490" s="31">
        <v>4301020314</v>
      </c>
      <c r="D490" s="553">
        <v>4640242180090</v>
      </c>
      <c r="E490" s="554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104</v>
      </c>
      <c r="L490" s="32"/>
      <c r="M490" s="33" t="s">
        <v>106</v>
      </c>
      <c r="N490" s="33"/>
      <c r="O490" s="32">
        <v>50</v>
      </c>
      <c r="P490" s="79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748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57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558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558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0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34"/>
      <c r="P493" s="727" t="s">
        <v>749</v>
      </c>
      <c r="Q493" s="681"/>
      <c r="R493" s="681"/>
      <c r="S493" s="681"/>
      <c r="T493" s="681"/>
      <c r="U493" s="681"/>
      <c r="V493" s="682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478+X482+X487+X492,"0")</f>
        <v>11228.8</v>
      </c>
      <c r="Y493" s="551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478+Y482+Y487+Y492,"0")</f>
        <v>11332.480000000001</v>
      </c>
      <c r="Z493" s="37"/>
      <c r="AA493" s="552"/>
      <c r="AB493" s="552"/>
      <c r="AC493" s="552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34"/>
      <c r="P494" s="727" t="s">
        <v>750</v>
      </c>
      <c r="Q494" s="681"/>
      <c r="R494" s="681"/>
      <c r="S494" s="681"/>
      <c r="T494" s="681"/>
      <c r="U494" s="681"/>
      <c r="V494" s="682"/>
      <c r="W494" s="37" t="s">
        <v>69</v>
      </c>
      <c r="X494" s="551">
        <f>IFERROR(SUM(BM22:BM490),"0")</f>
        <v>11888.225217957861</v>
      </c>
      <c r="Y494" s="551">
        <f>IFERROR(SUM(BN22:BN490),"0")</f>
        <v>11998.517999999996</v>
      </c>
      <c r="Z494" s="37"/>
      <c r="AA494" s="552"/>
      <c r="AB494" s="552"/>
      <c r="AC494" s="552"/>
    </row>
    <row r="495" spans="1:68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34"/>
      <c r="P495" s="727" t="s">
        <v>751</v>
      </c>
      <c r="Q495" s="681"/>
      <c r="R495" s="681"/>
      <c r="S495" s="681"/>
      <c r="T495" s="681"/>
      <c r="U495" s="681"/>
      <c r="V495" s="682"/>
      <c r="W495" s="37" t="s">
        <v>752</v>
      </c>
      <c r="X495" s="38">
        <f>ROUNDUP(SUM(BO22:BO490),0)</f>
        <v>19</v>
      </c>
      <c r="Y495" s="38">
        <f>ROUNDUP(SUM(BP22:BP490),0)</f>
        <v>19</v>
      </c>
      <c r="Z495" s="37"/>
      <c r="AA495" s="552"/>
      <c r="AB495" s="552"/>
      <c r="AC495" s="552"/>
    </row>
    <row r="496" spans="1:68" x14ac:dyDescent="0.2">
      <c r="A496" s="556"/>
      <c r="B496" s="556"/>
      <c r="C496" s="556"/>
      <c r="D496" s="556"/>
      <c r="E496" s="556"/>
      <c r="F496" s="556"/>
      <c r="G496" s="556"/>
      <c r="H496" s="556"/>
      <c r="I496" s="556"/>
      <c r="J496" s="556"/>
      <c r="K496" s="556"/>
      <c r="L496" s="556"/>
      <c r="M496" s="556"/>
      <c r="N496" s="556"/>
      <c r="O496" s="734"/>
      <c r="P496" s="727" t="s">
        <v>753</v>
      </c>
      <c r="Q496" s="681"/>
      <c r="R496" s="681"/>
      <c r="S496" s="681"/>
      <c r="T496" s="681"/>
      <c r="U496" s="681"/>
      <c r="V496" s="682"/>
      <c r="W496" s="37" t="s">
        <v>69</v>
      </c>
      <c r="X496" s="551">
        <f>GrossWeightTotal+PalletQtyTotal*25</f>
        <v>12363.225217957861</v>
      </c>
      <c r="Y496" s="551">
        <f>GrossWeightTotalR+PalletQtyTotalR*25</f>
        <v>12473.517999999996</v>
      </c>
      <c r="Z496" s="37"/>
      <c r="AA496" s="552"/>
      <c r="AB496" s="552"/>
      <c r="AC496" s="552"/>
    </row>
    <row r="497" spans="1:32" x14ac:dyDescent="0.2">
      <c r="A497" s="556"/>
      <c r="B497" s="556"/>
      <c r="C497" s="556"/>
      <c r="D497" s="556"/>
      <c r="E497" s="556"/>
      <c r="F497" s="556"/>
      <c r="G497" s="556"/>
      <c r="H497" s="556"/>
      <c r="I497" s="556"/>
      <c r="J497" s="556"/>
      <c r="K497" s="556"/>
      <c r="L497" s="556"/>
      <c r="M497" s="556"/>
      <c r="N497" s="556"/>
      <c r="O497" s="734"/>
      <c r="P497" s="727" t="s">
        <v>754</v>
      </c>
      <c r="Q497" s="681"/>
      <c r="R497" s="681"/>
      <c r="S497" s="681"/>
      <c r="T497" s="681"/>
      <c r="U497" s="681"/>
      <c r="V497" s="682"/>
      <c r="W497" s="37" t="s">
        <v>752</v>
      </c>
      <c r="X497" s="551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477+X481+X486+X491,"0")</f>
        <v>1817.2282817225346</v>
      </c>
      <c r="Y497" s="551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477+Y481+Y486+Y491,"0")</f>
        <v>1837</v>
      </c>
      <c r="Z497" s="37"/>
      <c r="AA497" s="552"/>
      <c r="AB497" s="552"/>
      <c r="AC497" s="552"/>
    </row>
    <row r="498" spans="1:32" ht="14.25" hidden="1" customHeight="1" x14ac:dyDescent="0.2">
      <c r="A498" s="556"/>
      <c r="B498" s="556"/>
      <c r="C498" s="556"/>
      <c r="D498" s="556"/>
      <c r="E498" s="556"/>
      <c r="F498" s="556"/>
      <c r="G498" s="556"/>
      <c r="H498" s="556"/>
      <c r="I498" s="556"/>
      <c r="J498" s="556"/>
      <c r="K498" s="556"/>
      <c r="L498" s="556"/>
      <c r="M498" s="556"/>
      <c r="N498" s="556"/>
      <c r="O498" s="734"/>
      <c r="P498" s="727" t="s">
        <v>755</v>
      </c>
      <c r="Q498" s="681"/>
      <c r="R498" s="681"/>
      <c r="S498" s="681"/>
      <c r="T498" s="681"/>
      <c r="U498" s="681"/>
      <c r="V498" s="682"/>
      <c r="W498" s="39" t="s">
        <v>756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477+Z481+Z486+Z491,"0")</f>
        <v>21.155749999999998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757</v>
      </c>
      <c r="B500" s="546" t="s">
        <v>63</v>
      </c>
      <c r="C500" s="589" t="s">
        <v>99</v>
      </c>
      <c r="D500" s="754"/>
      <c r="E500" s="754"/>
      <c r="F500" s="754"/>
      <c r="G500" s="754"/>
      <c r="H500" s="755"/>
      <c r="I500" s="589" t="s">
        <v>269</v>
      </c>
      <c r="J500" s="754"/>
      <c r="K500" s="754"/>
      <c r="L500" s="754"/>
      <c r="M500" s="754"/>
      <c r="N500" s="754"/>
      <c r="O500" s="754"/>
      <c r="P500" s="754"/>
      <c r="Q500" s="754"/>
      <c r="R500" s="755"/>
      <c r="S500" s="589" t="s">
        <v>552</v>
      </c>
      <c r="T500" s="755"/>
      <c r="U500" s="589" t="s">
        <v>606</v>
      </c>
      <c r="V500" s="754"/>
      <c r="W500" s="755"/>
      <c r="X500" s="546" t="s">
        <v>657</v>
      </c>
      <c r="Y500" s="589" t="s">
        <v>712</v>
      </c>
      <c r="Z500" s="755"/>
      <c r="AB500" s="52"/>
      <c r="AC500" s="52"/>
      <c r="AF500" s="547"/>
    </row>
    <row r="501" spans="1:32" ht="14.25" customHeight="1" thickTop="1" x14ac:dyDescent="0.2">
      <c r="A501" s="794" t="s">
        <v>758</v>
      </c>
      <c r="B501" s="589" t="s">
        <v>63</v>
      </c>
      <c r="C501" s="589" t="s">
        <v>100</v>
      </c>
      <c r="D501" s="589" t="s">
        <v>118</v>
      </c>
      <c r="E501" s="589" t="s">
        <v>169</v>
      </c>
      <c r="F501" s="589" t="s">
        <v>191</v>
      </c>
      <c r="G501" s="589" t="s">
        <v>229</v>
      </c>
      <c r="H501" s="589" t="s">
        <v>99</v>
      </c>
      <c r="I501" s="589" t="s">
        <v>270</v>
      </c>
      <c r="J501" s="589" t="s">
        <v>320</v>
      </c>
      <c r="K501" s="589" t="s">
        <v>380</v>
      </c>
      <c r="L501" s="589" t="s">
        <v>421</v>
      </c>
      <c r="M501" s="589" t="s">
        <v>437</v>
      </c>
      <c r="N501" s="547"/>
      <c r="O501" s="589" t="s">
        <v>448</v>
      </c>
      <c r="P501" s="589" t="s">
        <v>457</v>
      </c>
      <c r="Q501" s="589" t="s">
        <v>470</v>
      </c>
      <c r="R501" s="589" t="s">
        <v>542</v>
      </c>
      <c r="S501" s="589" t="s">
        <v>553</v>
      </c>
      <c r="T501" s="589" t="s">
        <v>588</v>
      </c>
      <c r="U501" s="589" t="s">
        <v>607</v>
      </c>
      <c r="V501" s="589" t="s">
        <v>638</v>
      </c>
      <c r="W501" s="589" t="s">
        <v>653</v>
      </c>
      <c r="X501" s="589" t="s">
        <v>657</v>
      </c>
      <c r="Y501" s="589" t="s">
        <v>712</v>
      </c>
      <c r="Z501" s="589" t="s">
        <v>745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759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386.8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1036.5</v>
      </c>
      <c r="E503" s="46">
        <f>IFERROR(Y85*1,"0")+IFERROR(Y86*1,"0")+IFERROR(Y87*1,"0")+IFERROR(Y88*1,"0")+IFERROR(Y92*1,"0")+IFERROR(Y93*1,"0")+IFERROR(Y94*1,"0")+IFERROR(Y95*1,"0")</f>
        <v>708.30000000000007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1045.8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232.68000000000004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394.8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106.60000000000001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81.599999999999994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198</v>
      </c>
      <c r="R503" s="46">
        <f>IFERROR(Y340*1,"0")+IFERROR(Y341*1,"0")+IFERROR(Y342*1,"0")</f>
        <v>352.8</v>
      </c>
      <c r="S503" s="46">
        <f>IFERROR(Y348*1,"0")+IFERROR(Y349*1,"0")+IFERROR(Y350*1,"0")+IFERROR(Y351*1,"0")+IFERROR(Y352*1,"0")+IFERROR(Y353*1,"0")+IFERROR(Y354*1,"0")+IFERROR(Y358*1,"0")+IFERROR(Y359*1,"0")+IFERROR(Y363*1,"0")+IFERROR(Y364*1,"0")+IFERROR(Y368*1,"0")</f>
        <v>5483</v>
      </c>
      <c r="T503" s="46">
        <f>IFERROR(Y373*1,"0")+IFERROR(Y374*1,"0")+IFERROR(Y378*1,"0")+IFERROR(Y379*1,"0")+IFERROR(Y383*1,"0")+IFERROR(Y384*1,"0")+IFERROR(Y385*1,"0")</f>
        <v>60</v>
      </c>
      <c r="U503" s="46">
        <f>IFERROR(Y391*1,"0")+IFERROR(Y392*1,"0")+IFERROR(Y393*1,"0")+IFERROR(Y394*1,"0")+IFERROR(Y395*1,"0")+IFERROR(Y396*1,"0")+IFERROR(Y397*1,"0")+IFERROR(Y398*1,"0")+IFERROR(Y399*1,"0")+IFERROR(Y403*1,"0")+IFERROR(Y404*1,"0")</f>
        <v>63.000000000000007</v>
      </c>
      <c r="V503" s="46">
        <f>IFERROR(Y409*1,"0")+IFERROR(Y413*1,"0")+IFERROR(Y414*1,"0")+IFERROR(Y415*1,"0")+IFERROR(Y416*1,"0")</f>
        <v>0</v>
      </c>
      <c r="W503" s="46">
        <f>IFERROR(Y421*1,"0")</f>
        <v>0</v>
      </c>
      <c r="X503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777.60000000000014</v>
      </c>
      <c r="Y503" s="46">
        <f>IFERROR(Y463*1,"0")+IFERROR(Y464*1,"0")+IFERROR(Y465*1,"0")+IFERROR(Y466*1,"0")+IFERROR(Y470*1,"0")+IFERROR(Y471*1,"0")+IFERROR(Y475*1,"0")+IFERROR(Y476*1,"0")+IFERROR(Y480*1,"0")+IFERROR(Y484*1,"0")+IFERROR(Y485*1,"0")</f>
        <v>405</v>
      </c>
      <c r="Z503" s="46">
        <f>IFERROR(Y490*1,"0")</f>
        <v>0</v>
      </c>
      <c r="AB503" s="52"/>
      <c r="AC503" s="52"/>
      <c r="AF503" s="547"/>
    </row>
  </sheetData>
  <sheetProtection algorithmName="SHA-512" hashValue="WH8T5Bjb3Y/eZvgf0v0lS0N7YE1kH/lkbIzBLay/kwBooolpP9MQzpbf2L1yKRoV1JaTjGSTeXCUt5rHnLWSxg==" saltValue="AlqrVK/HijkLFIj4e9wci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8,00"/>
        <filter val="1 100,00"/>
        <filter val="1 817,23"/>
        <filter val="10,00"/>
        <filter val="10,50"/>
        <filter val="100,00"/>
        <filter val="105,00"/>
        <filter val="11 228,80"/>
        <filter val="11 888,23"/>
        <filter val="11,90"/>
        <filter val="112,41"/>
        <filter val="116,67"/>
        <filter val="12 363,23"/>
        <filter val="120,00"/>
        <filter val="14,00"/>
        <filter val="15,00"/>
        <filter val="15,20"/>
        <filter val="150,00"/>
        <filter val="160,00"/>
        <filter val="166,67"/>
        <filter val="17,50"/>
        <filter val="175,00"/>
        <filter val="180,00"/>
        <filter val="19"/>
        <filter val="19,80"/>
        <filter val="190,00"/>
        <filter val="2 200,00"/>
        <filter val="20,00"/>
        <filter val="200,00"/>
        <filter val="212,41"/>
        <filter val="22,73"/>
        <filter val="220,00"/>
        <filter val="225,00"/>
        <filter val="230,00"/>
        <filter val="24,00"/>
        <filter val="25,00"/>
        <filter val="26,67"/>
        <filter val="28,33"/>
        <filter val="280,00"/>
        <filter val="296,67"/>
        <filter val="3,85"/>
        <filter val="30,00"/>
        <filter val="31,50"/>
        <filter val="325,00"/>
        <filter val="33,33"/>
        <filter val="330,00"/>
        <filter val="35,00"/>
        <filter val="350,00"/>
        <filter val="360,00"/>
        <filter val="37,88"/>
        <filter val="375,00"/>
        <filter val="380,00"/>
        <filter val="4 450,00"/>
        <filter val="40,00"/>
        <filter val="400,00"/>
        <filter val="44,44"/>
        <filter val="44,63"/>
        <filter val="45,00"/>
        <filter val="450,00"/>
        <filter val="5,00"/>
        <filter val="5,56"/>
        <filter val="50,00"/>
        <filter val="59,50"/>
        <filter val="60,00"/>
        <filter val="60,37"/>
        <filter val="63,89"/>
        <filter val="64,00"/>
        <filter val="68,67"/>
        <filter val="7,00"/>
        <filter val="70,00"/>
        <filter val="700,00"/>
        <filter val="710,00"/>
        <filter val="75,93"/>
        <filter val="78,57"/>
        <filter val="789,00"/>
        <filter val="8,00"/>
        <filter val="80,00"/>
        <filter val="9,00"/>
        <filter val="90,91"/>
        <filter val="95,68"/>
      </filters>
    </filterColumn>
    <filterColumn colId="29" showButton="0"/>
    <filterColumn colId="30" showButton="0"/>
  </autoFilter>
  <mergeCells count="882">
    <mergeCell ref="A479:Z479"/>
    <mergeCell ref="D173:E173"/>
    <mergeCell ref="D17:E18"/>
    <mergeCell ref="D471:E471"/>
    <mergeCell ref="A131:Z13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N17:N18"/>
    <mergeCell ref="P199:T199"/>
    <mergeCell ref="F17:F18"/>
    <mergeCell ref="D170:E170"/>
    <mergeCell ref="P72:T72"/>
    <mergeCell ref="G17:G18"/>
    <mergeCell ref="P242:V242"/>
    <mergeCell ref="D80:E80"/>
    <mergeCell ref="P188:T188"/>
    <mergeCell ref="A225:Z225"/>
    <mergeCell ref="A8:C8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55:O356"/>
    <mergeCell ref="P356:V356"/>
    <mergeCell ref="A181:Z18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D57:E57"/>
    <mergeCell ref="P363:T363"/>
    <mergeCell ref="P484:T484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P436:T436"/>
    <mergeCell ref="A425:Z425"/>
    <mergeCell ref="A422:O423"/>
    <mergeCell ref="A360:O361"/>
    <mergeCell ref="A189:O190"/>
    <mergeCell ref="D102:E102"/>
    <mergeCell ref="P81:V81"/>
    <mergeCell ref="A269:Z269"/>
    <mergeCell ref="P145:V145"/>
    <mergeCell ref="D133:E133"/>
    <mergeCell ref="P381:V381"/>
    <mergeCell ref="A231:Z231"/>
    <mergeCell ref="D54:E54"/>
    <mergeCell ref="P185:V185"/>
    <mergeCell ref="D271:E271"/>
    <mergeCell ref="Q5:R5"/>
    <mergeCell ref="P297:T297"/>
    <mergeCell ref="P435:T435"/>
    <mergeCell ref="D278:E278"/>
    <mergeCell ref="P291:T291"/>
    <mergeCell ref="D163:E163"/>
    <mergeCell ref="D42:E42"/>
    <mergeCell ref="AD17:AF18"/>
    <mergeCell ref="A481:O482"/>
    <mergeCell ref="A310:O311"/>
    <mergeCell ref="D101:E101"/>
    <mergeCell ref="F5:G5"/>
    <mergeCell ref="P365:V365"/>
    <mergeCell ref="V11:W11"/>
    <mergeCell ref="P465:T465"/>
    <mergeCell ref="D215:E215"/>
    <mergeCell ref="P250:V250"/>
    <mergeCell ref="A114:Z114"/>
    <mergeCell ref="A412:Z412"/>
    <mergeCell ref="A191:Z191"/>
    <mergeCell ref="P433:T433"/>
    <mergeCell ref="P262:T262"/>
    <mergeCell ref="A107:Z107"/>
    <mergeCell ref="D341:E341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D457:E457"/>
    <mergeCell ref="P57:T57"/>
    <mergeCell ref="D475:E475"/>
    <mergeCell ref="P75:T75"/>
    <mergeCell ref="P342:T342"/>
    <mergeCell ref="D449:E449"/>
    <mergeCell ref="A64:O65"/>
    <mergeCell ref="D321:E321"/>
    <mergeCell ref="P278:T278"/>
    <mergeCell ref="D150:E150"/>
    <mergeCell ref="P129:V129"/>
    <mergeCell ref="P101:T101"/>
    <mergeCell ref="P2:W3"/>
    <mergeCell ref="P498:V498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P406:V406"/>
    <mergeCell ref="D152:E152"/>
    <mergeCell ref="B501:B502"/>
    <mergeCell ref="A247:Z247"/>
    <mergeCell ref="P189:V189"/>
    <mergeCell ref="A483:Z483"/>
    <mergeCell ref="A312:Z312"/>
    <mergeCell ref="P287:V287"/>
    <mergeCell ref="P281:V281"/>
    <mergeCell ref="P354:T354"/>
    <mergeCell ref="D226:E226"/>
    <mergeCell ref="U500:W500"/>
    <mergeCell ref="I501:I502"/>
    <mergeCell ref="K501:K502"/>
    <mergeCell ref="D394:E394"/>
    <mergeCell ref="D450:E450"/>
    <mergeCell ref="D279:E279"/>
    <mergeCell ref="D265:E265"/>
    <mergeCell ref="D216:E216"/>
    <mergeCell ref="P195:V195"/>
    <mergeCell ref="P493:V493"/>
    <mergeCell ref="D452:E452"/>
    <mergeCell ref="D252:E252"/>
    <mergeCell ref="P421:T421"/>
    <mergeCell ref="D218:E218"/>
    <mergeCell ref="P495:V495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P183:T183"/>
    <mergeCell ref="D177:E177"/>
    <mergeCell ref="P62:T62"/>
    <mergeCell ref="D29:E29"/>
    <mergeCell ref="D23:E23"/>
    <mergeCell ref="A134:O135"/>
    <mergeCell ref="A125:Z125"/>
    <mergeCell ref="A20:Z20"/>
    <mergeCell ref="P110:T110"/>
    <mergeCell ref="A347:Z347"/>
    <mergeCell ref="P422:V422"/>
    <mergeCell ref="A9:C9"/>
    <mergeCell ref="D373:E373"/>
    <mergeCell ref="P348:T348"/>
    <mergeCell ref="D358:E358"/>
    <mergeCell ref="A91:Z91"/>
    <mergeCell ref="P337:V337"/>
    <mergeCell ref="P70:V70"/>
    <mergeCell ref="A389:Z389"/>
    <mergeCell ref="A336:O337"/>
    <mergeCell ref="A156:Z156"/>
    <mergeCell ref="D117:E117"/>
    <mergeCell ref="P32:V32"/>
    <mergeCell ref="P134:V134"/>
    <mergeCell ref="P97:V97"/>
    <mergeCell ref="Q13:R13"/>
    <mergeCell ref="P176:T176"/>
    <mergeCell ref="P41:T41"/>
    <mergeCell ref="D22:E22"/>
    <mergeCell ref="D320:E320"/>
    <mergeCell ref="A284:Z284"/>
    <mergeCell ref="D149:E149"/>
    <mergeCell ref="D385:E385"/>
    <mergeCell ref="P178:T178"/>
    <mergeCell ref="P270:T270"/>
    <mergeCell ref="A461:Z461"/>
    <mergeCell ref="P123:V123"/>
    <mergeCell ref="D434:E434"/>
    <mergeCell ref="P482:V482"/>
    <mergeCell ref="A241:O242"/>
    <mergeCell ref="P111:T111"/>
    <mergeCell ref="P409:T409"/>
    <mergeCell ref="P61:T61"/>
    <mergeCell ref="P359:T359"/>
    <mergeCell ref="D436:E436"/>
    <mergeCell ref="A105:O106"/>
    <mergeCell ref="D227:E227"/>
    <mergeCell ref="P321:T321"/>
    <mergeCell ref="A460:Z460"/>
    <mergeCell ref="P401:V401"/>
    <mergeCell ref="P470:T470"/>
    <mergeCell ref="A400:O401"/>
    <mergeCell ref="P214:T214"/>
    <mergeCell ref="P463:T463"/>
    <mergeCell ref="P480:T480"/>
    <mergeCell ref="P280:T280"/>
    <mergeCell ref="A467:O468"/>
    <mergeCell ref="D306:E306"/>
    <mergeCell ref="A119:O120"/>
    <mergeCell ref="Y501:Y502"/>
    <mergeCell ref="D299:E299"/>
    <mergeCell ref="D85:E85"/>
    <mergeCell ref="P405:V405"/>
    <mergeCell ref="A501:A502"/>
    <mergeCell ref="A230:Z230"/>
    <mergeCell ref="D222:E222"/>
    <mergeCell ref="P35:T35"/>
    <mergeCell ref="P399:T399"/>
    <mergeCell ref="P333:T333"/>
    <mergeCell ref="A295:Z295"/>
    <mergeCell ref="A323:O324"/>
    <mergeCell ref="D314:E314"/>
    <mergeCell ref="A81:O82"/>
    <mergeCell ref="V501:V502"/>
    <mergeCell ref="X501:X502"/>
    <mergeCell ref="P490:T490"/>
    <mergeCell ref="I500:R500"/>
    <mergeCell ref="A493:O498"/>
    <mergeCell ref="Y500:Z500"/>
    <mergeCell ref="D384:E384"/>
    <mergeCell ref="P341:T341"/>
    <mergeCell ref="D151:E151"/>
    <mergeCell ref="D86:E86"/>
    <mergeCell ref="H5:M5"/>
    <mergeCell ref="P473:V473"/>
    <mergeCell ref="A228:O229"/>
    <mergeCell ref="P158:V158"/>
    <mergeCell ref="P396:T396"/>
    <mergeCell ref="A456:Z456"/>
    <mergeCell ref="A390:Z390"/>
    <mergeCell ref="D6:M6"/>
    <mergeCell ref="S500:T500"/>
    <mergeCell ref="A317:O318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V6:W9"/>
    <mergeCell ref="D364:E364"/>
    <mergeCell ref="P109:T109"/>
    <mergeCell ref="D435:E435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D415:E415"/>
    <mergeCell ref="A346:Z346"/>
    <mergeCell ref="P80:T80"/>
    <mergeCell ref="D194:E194"/>
    <mergeCell ref="Z17:Z18"/>
    <mergeCell ref="P458:V458"/>
    <mergeCell ref="A283:Z283"/>
    <mergeCell ref="A388:Z388"/>
    <mergeCell ref="A277:Z277"/>
    <mergeCell ref="P44:V44"/>
    <mergeCell ref="D256:E256"/>
    <mergeCell ref="A489:Z489"/>
    <mergeCell ref="P468:V468"/>
    <mergeCell ref="A160:Z160"/>
    <mergeCell ref="A141:Z141"/>
    <mergeCell ref="W501:W502"/>
    <mergeCell ref="AA17:AA18"/>
    <mergeCell ref="H10:M10"/>
    <mergeCell ref="A377:Z377"/>
    <mergeCell ref="AC17:AC18"/>
    <mergeCell ref="P485:T485"/>
    <mergeCell ref="P279:T279"/>
    <mergeCell ref="A420:Z420"/>
    <mergeCell ref="D393:E393"/>
    <mergeCell ref="P108:T108"/>
    <mergeCell ref="P254:T254"/>
    <mergeCell ref="P445:V445"/>
    <mergeCell ref="F501:F502"/>
    <mergeCell ref="H501:H502"/>
    <mergeCell ref="D153:E153"/>
    <mergeCell ref="P256:T256"/>
    <mergeCell ref="D128:E128"/>
    <mergeCell ref="D199:E199"/>
    <mergeCell ref="A112:O113"/>
    <mergeCell ref="AB17:AB18"/>
    <mergeCell ref="H17:H18"/>
    <mergeCell ref="P261:T261"/>
    <mergeCell ref="D204:E204"/>
    <mergeCell ref="P217:T217"/>
    <mergeCell ref="D198:E198"/>
    <mergeCell ref="D465:E465"/>
    <mergeCell ref="D296:E296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D207:E207"/>
    <mergeCell ref="D383:E383"/>
    <mergeCell ref="P120:V120"/>
    <mergeCell ref="P93:T93"/>
    <mergeCell ref="A386:O387"/>
    <mergeCell ref="M501:M502"/>
    <mergeCell ref="O501:O502"/>
    <mergeCell ref="P58:V58"/>
    <mergeCell ref="Q501:Q502"/>
    <mergeCell ref="A325:Z325"/>
    <mergeCell ref="A13:M13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D490:E490"/>
    <mergeCell ref="A419:Z419"/>
    <mergeCell ref="P204:T204"/>
    <mergeCell ref="J9:M9"/>
    <mergeCell ref="D348:E348"/>
    <mergeCell ref="D62:E62"/>
    <mergeCell ref="P454:V454"/>
    <mergeCell ref="C500:H500"/>
    <mergeCell ref="D56:E56"/>
    <mergeCell ref="D193:E193"/>
    <mergeCell ref="A486:O487"/>
    <mergeCell ref="P318:V318"/>
    <mergeCell ref="P25:V25"/>
    <mergeCell ref="D43:E43"/>
    <mergeCell ref="D485:E485"/>
    <mergeCell ref="P216:T216"/>
    <mergeCell ref="D137:E137"/>
    <mergeCell ref="P124:V124"/>
    <mergeCell ref="P360:V360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309:T309"/>
    <mergeCell ref="D178:E178"/>
    <mergeCell ref="D172:E172"/>
    <mergeCell ref="P88:T88"/>
    <mergeCell ref="T5:U5"/>
    <mergeCell ref="V5:W5"/>
    <mergeCell ref="P374:T374"/>
    <mergeCell ref="P203:T203"/>
    <mergeCell ref="A319:Z319"/>
    <mergeCell ref="A491:O492"/>
    <mergeCell ref="D233:E233"/>
    <mergeCell ref="D111:E111"/>
    <mergeCell ref="P212:V212"/>
    <mergeCell ref="D409:E409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G501:G502"/>
    <mergeCell ref="P370:V370"/>
    <mergeCell ref="A369:O370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A424:Z424"/>
    <mergeCell ref="P228:V228"/>
    <mergeCell ref="P355:V355"/>
    <mergeCell ref="P293:V293"/>
    <mergeCell ref="P397:T397"/>
    <mergeCell ref="P200:V200"/>
    <mergeCell ref="P74:T74"/>
    <mergeCell ref="P292:V292"/>
    <mergeCell ref="D182:E182"/>
    <mergeCell ref="D480:E480"/>
    <mergeCell ref="Z501:Z502"/>
    <mergeCell ref="P486:V486"/>
    <mergeCell ref="P317:V317"/>
    <mergeCell ref="P146:V146"/>
    <mergeCell ref="D63:E63"/>
    <mergeCell ref="P305:T305"/>
    <mergeCell ref="A98:Z98"/>
    <mergeCell ref="P344:V344"/>
    <mergeCell ref="D52:E52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P439:V439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118:E118"/>
    <mergeCell ref="P53:T53"/>
    <mergeCell ref="D167:E167"/>
    <mergeCell ref="P351:T351"/>
    <mergeCell ref="D403:E403"/>
    <mergeCell ref="D232:E232"/>
    <mergeCell ref="P264:T264"/>
    <mergeCell ref="P239:T239"/>
    <mergeCell ref="P68:T68"/>
    <mergeCell ref="P186:V186"/>
    <mergeCell ref="A185:O18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D27:E27"/>
    <mergeCell ref="P15:T16"/>
    <mergeCell ref="P23:T23"/>
    <mergeCell ref="A69:O70"/>
    <mergeCell ref="Q12:R12"/>
    <mergeCell ref="A274:O275"/>
    <mergeCell ref="D261:E261"/>
    <mergeCell ref="P169:T169"/>
    <mergeCell ref="P442:T442"/>
    <mergeCell ref="D448:E448"/>
    <mergeCell ref="P196:V196"/>
    <mergeCell ref="P308:T308"/>
    <mergeCell ref="D416:E416"/>
    <mergeCell ref="P427:T427"/>
    <mergeCell ref="D264:E264"/>
    <mergeCell ref="D93:E93"/>
    <mergeCell ref="D391:E391"/>
    <mergeCell ref="D220:E220"/>
    <mergeCell ref="A12:M12"/>
    <mergeCell ref="A19:Z19"/>
    <mergeCell ref="D280:E280"/>
    <mergeCell ref="P163:T163"/>
    <mergeCell ref="D109:E109"/>
    <mergeCell ref="A14:M14"/>
    <mergeCell ref="P138:T138"/>
    <mergeCell ref="P153:T153"/>
    <mergeCell ref="I17:I18"/>
    <mergeCell ref="A48:O49"/>
    <mergeCell ref="A6:C6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378:T378"/>
    <mergeCell ref="D88:E88"/>
    <mergeCell ref="P117:T117"/>
    <mergeCell ref="P55:T55"/>
    <mergeCell ref="D115:E115"/>
    <mergeCell ref="P182:T182"/>
    <mergeCell ref="P206:T206"/>
    <mergeCell ref="D127:E127"/>
    <mergeCell ref="P233:T233"/>
    <mergeCell ref="P304:T304"/>
    <mergeCell ref="D176:E176"/>
    <mergeCell ref="D285:E285"/>
    <mergeCell ref="P155:V155"/>
    <mergeCell ref="A154:O155"/>
    <mergeCell ref="Q9:R9"/>
    <mergeCell ref="P267:V267"/>
    <mergeCell ref="D451:E451"/>
    <mergeCell ref="D255:E255"/>
    <mergeCell ref="P49:V49"/>
    <mergeCell ref="P36:V36"/>
    <mergeCell ref="P478:V478"/>
    <mergeCell ref="A303:Z303"/>
    <mergeCell ref="Q11:R11"/>
    <mergeCell ref="D322:E322"/>
    <mergeCell ref="P205:T205"/>
    <mergeCell ref="A195:O196"/>
    <mergeCell ref="D453:E453"/>
    <mergeCell ref="P417:V417"/>
    <mergeCell ref="D463:E463"/>
    <mergeCell ref="P448:T448"/>
    <mergeCell ref="P143:T143"/>
    <mergeCell ref="P248:T248"/>
    <mergeCell ref="A129:O130"/>
    <mergeCell ref="A365:O366"/>
    <mergeCell ref="P235:T235"/>
    <mergeCell ref="D349:E349"/>
    <mergeCell ref="P306:T306"/>
    <mergeCell ref="D476:E47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P386:V386"/>
    <mergeCell ref="A40:Z40"/>
    <mergeCell ref="P393:T393"/>
    <mergeCell ref="D374:E374"/>
    <mergeCell ref="A441:Z441"/>
    <mergeCell ref="P245:V245"/>
    <mergeCell ref="P73:T73"/>
    <mergeCell ref="P437:T437"/>
    <mergeCell ref="P315:T315"/>
    <mergeCell ref="P466:T466"/>
    <mergeCell ref="A71:Z71"/>
    <mergeCell ref="D1:F1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A371:Z371"/>
    <mergeCell ref="D334:E334"/>
    <mergeCell ref="A407:Z407"/>
    <mergeCell ref="A382:Z382"/>
    <mergeCell ref="P112:V112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P464:T464"/>
    <mergeCell ref="P116:T116"/>
    <mergeCell ref="D122:E122"/>
    <mergeCell ref="P103:T103"/>
    <mergeCell ref="A26:Z26"/>
    <mergeCell ref="P59:V59"/>
    <mergeCell ref="P168:T168"/>
    <mergeCell ref="P130:V130"/>
    <mergeCell ref="P190:V190"/>
    <mergeCell ref="D329:E329"/>
    <mergeCell ref="P286:T286"/>
    <mergeCell ref="A402:Z402"/>
    <mergeCell ref="D108:E108"/>
    <mergeCell ref="P429:T429"/>
    <mergeCell ref="P52:T52"/>
    <mergeCell ref="P350:T350"/>
    <mergeCell ref="P201:V201"/>
    <mergeCell ref="P139:V139"/>
    <mergeCell ref="A338:Z338"/>
    <mergeCell ref="D203:E203"/>
    <mergeCell ref="P165:V165"/>
    <mergeCell ref="P232:T232"/>
    <mergeCell ref="D438:E438"/>
    <mergeCell ref="P395:T395"/>
    <mergeCell ref="P476:T476"/>
    <mergeCell ref="P257:V257"/>
    <mergeCell ref="D313:E313"/>
    <mergeCell ref="P184:T184"/>
    <mergeCell ref="S501:S502"/>
    <mergeCell ref="D432:E432"/>
    <mergeCell ref="A472:O473"/>
    <mergeCell ref="U501:U502"/>
    <mergeCell ref="D55:E55"/>
    <mergeCell ref="A410:O411"/>
    <mergeCell ref="P413:T413"/>
    <mergeCell ref="A301:O302"/>
    <mergeCell ref="D353:E353"/>
    <mergeCell ref="D236:E236"/>
    <mergeCell ref="A179:O180"/>
    <mergeCell ref="P171:T171"/>
    <mergeCell ref="D92:E92"/>
    <mergeCell ref="D67:E67"/>
    <mergeCell ref="P453:T453"/>
    <mergeCell ref="D290:E290"/>
    <mergeCell ref="D94:E94"/>
    <mergeCell ref="P471:T471"/>
    <mergeCell ref="P148:T148"/>
    <mergeCell ref="P240:T240"/>
    <mergeCell ref="D470:E470"/>
    <mergeCell ref="H1:Q1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D30:E30"/>
    <mergeCell ref="D5:E5"/>
    <mergeCell ref="P42:T42"/>
    <mergeCell ref="A32:O33"/>
    <mergeCell ref="A96:O97"/>
    <mergeCell ref="D354:E354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1:T31"/>
    <mergeCell ref="P329:T329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A447:Z447"/>
    <mergeCell ref="P209:T209"/>
    <mergeCell ref="P96:V96"/>
    <mergeCell ref="P90:V90"/>
    <mergeCell ref="A213:Z213"/>
    <mergeCell ref="P459:V459"/>
    <mergeCell ref="P234:T234"/>
    <mergeCell ref="P154:V154"/>
    <mergeCell ref="A417:O418"/>
    <mergeCell ref="P414:T414"/>
    <mergeCell ref="P352:T352"/>
    <mergeCell ref="D72:E72"/>
    <mergeCell ref="P301:V301"/>
    <mergeCell ref="D235:E235"/>
    <mergeCell ref="R501:R502"/>
    <mergeCell ref="P452:T452"/>
    <mergeCell ref="T501:T502"/>
    <mergeCell ref="A202:Z202"/>
    <mergeCell ref="P37:V37"/>
    <mergeCell ref="P104:T104"/>
    <mergeCell ref="B17:B18"/>
    <mergeCell ref="A260:Z260"/>
    <mergeCell ref="A60:Z60"/>
    <mergeCell ref="P477:V477"/>
    <mergeCell ref="C501:C502"/>
    <mergeCell ref="P404:T404"/>
    <mergeCell ref="P252:T252"/>
    <mergeCell ref="P56:T56"/>
    <mergeCell ref="A197:Z197"/>
    <mergeCell ref="P379:T379"/>
    <mergeCell ref="D378:E378"/>
    <mergeCell ref="D442:E442"/>
    <mergeCell ref="D429:E429"/>
    <mergeCell ref="P472:V472"/>
    <mergeCell ref="A462:Z462"/>
    <mergeCell ref="P180:V180"/>
    <mergeCell ref="P45:V45"/>
    <mergeCell ref="P487:V487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P152:T152"/>
    <mergeCell ref="P375:V375"/>
    <mergeCell ref="P179:V179"/>
    <mergeCell ref="P446:V446"/>
    <mergeCell ref="A445:O446"/>
    <mergeCell ref="P290:T290"/>
    <mergeCell ref="P343:V343"/>
    <mergeCell ref="D431:E431"/>
    <mergeCell ref="P170:T170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D363:E363"/>
    <mergeCell ref="P244:T244"/>
    <mergeCell ref="A89:O90"/>
    <mergeCell ref="A34:Z34"/>
    <mergeCell ref="A276:Z276"/>
    <mergeCell ref="P172:T172"/>
    <mergeCell ref="A158:O159"/>
    <mergeCell ref="P150:T150"/>
    <mergeCell ref="P95:T95"/>
    <mergeCell ref="D210:E210"/>
    <mergeCell ref="A123:O124"/>
    <mergeCell ref="H9:I9"/>
    <mergeCell ref="P224:V224"/>
    <mergeCell ref="P24:V24"/>
    <mergeCell ref="P211:V211"/>
    <mergeCell ref="P89:V89"/>
    <mergeCell ref="A78:Z78"/>
    <mergeCell ref="P79:T79"/>
    <mergeCell ref="P28:T28"/>
    <mergeCell ref="P77:V77"/>
    <mergeCell ref="D73:E73"/>
    <mergeCell ref="A76:O77"/>
    <mergeCell ref="P30:T30"/>
    <mergeCell ref="V10:W10"/>
    <mergeCell ref="D47:E47"/>
    <mergeCell ref="A50:Z50"/>
    <mergeCell ref="W17:W18"/>
    <mergeCell ref="D308:E308"/>
    <mergeCell ref="A46:Z46"/>
    <mergeCell ref="D209:E209"/>
    <mergeCell ref="D87:E87"/>
    <mergeCell ref="D359:E359"/>
    <mergeCell ref="A51:Z51"/>
    <mergeCell ref="A58:O59"/>
    <mergeCell ref="P144:T144"/>
    <mergeCell ref="D174:E174"/>
    <mergeCell ref="A83:Z83"/>
    <mergeCell ref="D297:E297"/>
    <mergeCell ref="P324:V32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79 X85 X92 X100 X103 X108 X115 X117:X118 X122 X127 X133 X138 X167:X169 X171 X173 X176 X203:X210 X216:X217 X219 X221:X222 X226:X227 X232 X234:X235 X239 X279 X307:X309 X320:X322 X328:X329 X333 X335 X341:X342 X364 X373 X383 X395:X396 X398 X421 X427 X431 X433 X442 X448:X453 X480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yQSQeChbAZZUviafH7/wGZyGJha6QAuBwQ28P1faQXjGBIUgmRx7VbpgZTZnakVfi1wm1Yiau+6P+2onPOA9Q==" saltValue="Wd5d+yuQKxWjFhoinR/R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2025-12-24T09:22:52Z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