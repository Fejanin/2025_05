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CED2BCA-9B6C-45F4-BD0A-5E44DBAE63A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75" i="1" l="1"/>
  <c r="BN75" i="1"/>
  <c r="Z75" i="1"/>
  <c r="BP113" i="1"/>
  <c r="BN113" i="1"/>
  <c r="Z113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BP191" i="1"/>
  <c r="BN191" i="1"/>
  <c r="Z191" i="1"/>
  <c r="BP214" i="1"/>
  <c r="BN214" i="1"/>
  <c r="Z214" i="1"/>
  <c r="BP247" i="1"/>
  <c r="BN247" i="1"/>
  <c r="Z247" i="1"/>
  <c r="BP279" i="1"/>
  <c r="BN279" i="1"/>
  <c r="Z279" i="1"/>
  <c r="BP283" i="1"/>
  <c r="BN283" i="1"/>
  <c r="Z283" i="1"/>
  <c r="BP290" i="1"/>
  <c r="BN290" i="1"/>
  <c r="Z290" i="1"/>
  <c r="BP316" i="1"/>
  <c r="BN316" i="1"/>
  <c r="Z316" i="1"/>
  <c r="BP320" i="1"/>
  <c r="BN320" i="1"/>
  <c r="Z320" i="1"/>
  <c r="BP424" i="1"/>
  <c r="BN424" i="1"/>
  <c r="Z424" i="1"/>
  <c r="BP450" i="1"/>
  <c r="BN450" i="1"/>
  <c r="Z450" i="1"/>
  <c r="Z28" i="1"/>
  <c r="BN28" i="1"/>
  <c r="Z46" i="1"/>
  <c r="Z47" i="1" s="1"/>
  <c r="BN46" i="1"/>
  <c r="BP46" i="1"/>
  <c r="Y47" i="1"/>
  <c r="Z51" i="1"/>
  <c r="BN51" i="1"/>
  <c r="BP55" i="1"/>
  <c r="BN55" i="1"/>
  <c r="Z55" i="1"/>
  <c r="BP94" i="1"/>
  <c r="BN94" i="1"/>
  <c r="Z94" i="1"/>
  <c r="BP141" i="1"/>
  <c r="BN141" i="1"/>
  <c r="Z141" i="1"/>
  <c r="BP168" i="1"/>
  <c r="BN168" i="1"/>
  <c r="Z168" i="1"/>
  <c r="BP201" i="1"/>
  <c r="BN201" i="1"/>
  <c r="Z201" i="1"/>
  <c r="BP229" i="1"/>
  <c r="BN229" i="1"/>
  <c r="Z229" i="1"/>
  <c r="BP258" i="1"/>
  <c r="BN258" i="1"/>
  <c r="Z258" i="1"/>
  <c r="BP302" i="1"/>
  <c r="BN302" i="1"/>
  <c r="Z302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J9" i="1"/>
  <c r="BP107" i="1"/>
  <c r="BN107" i="1"/>
  <c r="BP115" i="1"/>
  <c r="BN115" i="1"/>
  <c r="Z115" i="1"/>
  <c r="Y149" i="1"/>
  <c r="BP145" i="1"/>
  <c r="BN145" i="1"/>
  <c r="Z145" i="1"/>
  <c r="BP166" i="1"/>
  <c r="BN166" i="1"/>
  <c r="Z166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BP272" i="1"/>
  <c r="BN272" i="1"/>
  <c r="Z272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Z79" i="1"/>
  <c r="BN79" i="1"/>
  <c r="Z92" i="1"/>
  <c r="BN92" i="1"/>
  <c r="Z99" i="1"/>
  <c r="BN99" i="1"/>
  <c r="Z107" i="1"/>
  <c r="BP130" i="1"/>
  <c r="BN130" i="1"/>
  <c r="Z130" i="1"/>
  <c r="BP134" i="1"/>
  <c r="BN134" i="1"/>
  <c r="Z134" i="1"/>
  <c r="Y148" i="1"/>
  <c r="BP163" i="1"/>
  <c r="BN163" i="1"/>
  <c r="Z163" i="1"/>
  <c r="BP170" i="1"/>
  <c r="BN170" i="1"/>
  <c r="Z170" i="1"/>
  <c r="Y203" i="1"/>
  <c r="BP195" i="1"/>
  <c r="BN195" i="1"/>
  <c r="Z195" i="1"/>
  <c r="BP207" i="1"/>
  <c r="BN207" i="1"/>
  <c r="Z207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78" i="1"/>
  <c r="Y177" i="1"/>
  <c r="Y260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454" i="1"/>
  <c r="Y453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Y172" i="1"/>
  <c r="BP164" i="1"/>
  <c r="BN164" i="1"/>
  <c r="Z164" i="1"/>
  <c r="BP167" i="1"/>
  <c r="BN167" i="1"/>
  <c r="Z167" i="1"/>
  <c r="Y171" i="1"/>
  <c r="BP175" i="1"/>
  <c r="BN175" i="1"/>
  <c r="Z175" i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187" i="1" l="1"/>
  <c r="Z148" i="1"/>
  <c r="Z380" i="1"/>
  <c r="Z374" i="1"/>
  <c r="Z280" i="1"/>
  <c r="Z473" i="1"/>
  <c r="Z462" i="1"/>
  <c r="Z177" i="1"/>
  <c r="Z81" i="1"/>
  <c r="Z317" i="1"/>
  <c r="Y491" i="1"/>
  <c r="Z57" i="1"/>
  <c r="Z31" i="1"/>
  <c r="Z171" i="1"/>
  <c r="Z453" i="1"/>
  <c r="Z399" i="1"/>
  <c r="Z311" i="1"/>
  <c r="Z267" i="1"/>
  <c r="Z259" i="1"/>
  <c r="Z411" i="1"/>
  <c r="Z274" i="1"/>
  <c r="Z116" i="1"/>
  <c r="Z103" i="1"/>
  <c r="Z95" i="1"/>
  <c r="Z69" i="1"/>
  <c r="Z43" i="1"/>
  <c r="Y490" i="1"/>
  <c r="Y492" i="1" s="1"/>
  <c r="Z354" i="1"/>
  <c r="Z324" i="1"/>
  <c r="Z136" i="1"/>
  <c r="Z109" i="1"/>
  <c r="Y493" i="1"/>
  <c r="Z294" i="1"/>
  <c r="Y489" i="1"/>
  <c r="Z337" i="1"/>
  <c r="Z234" i="1"/>
  <c r="Z438" i="1"/>
  <c r="Z447" i="1"/>
  <c r="Z432" i="1"/>
  <c r="Z349" i="1"/>
  <c r="Z330" i="1"/>
  <c r="Z203" i="1"/>
  <c r="Z63" i="1"/>
  <c r="X492" i="1"/>
  <c r="Z215" i="1"/>
  <c r="Z88" i="1"/>
  <c r="Z76" i="1"/>
  <c r="Z394" i="1"/>
  <c r="Z304" i="1"/>
  <c r="Z494" i="1" l="1"/>
</calcChain>
</file>

<file path=xl/sharedStrings.xml><?xml version="1.0" encoding="utf-8"?>
<sst xmlns="http://schemas.openxmlformats.org/spreadsheetml/2006/main" count="2317" uniqueCount="763">
  <si>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</si>
  <si>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</si>
  <si>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</si>
  <si>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</si>
  <si>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</si>
  <si>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</si>
  <si>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</si>
  <si>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</si>
  <si>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</si>
  <si>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</si>
  <si>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</si>
  <si>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</si>
  <si>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</si>
  <si>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</si>
  <si>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</si>
  <si>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</si>
  <si>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</si>
  <si>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</si>
  <si>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</si>
  <si>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</si>
  <si>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</si>
  <si>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</si>
  <si>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</si>
  <si>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</si>
  <si>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</si>
  <si>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</si>
  <si>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</si>
  <si>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</si>
  <si>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</si>
  <si>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</si>
  <si>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</si>
  <si>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</si>
  <si>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</si>
  <si>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</si>
  <si>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</si>
  <si>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</si>
  <si>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</si>
  <si>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</si>
  <si>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</si>
  <si>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</si>
  <si>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</si>
  <si>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</si>
  <si>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</si>
  <si>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</si>
  <si>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</si>
  <si>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</si>
  <si>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</si>
  <si>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</si>
  <si>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</si>
  <si>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</si>
  <si>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</si>
  <si>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</si>
  <si>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</si>
  <si>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</si>
  <si>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</si>
  <si>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</si>
  <si>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</si>
  <si>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</si>
  <si>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</si>
  <si>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</si>
  <si>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</si>
  <si>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</si>
  <si>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</si>
  <si>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</si>
  <si>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</si>
  <si>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</si>
  <si>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</si>
  <si>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</si>
  <si>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</si>
  <si>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</si>
  <si>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</si>
  <si>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</si>
  <si>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</si>
  <si>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</si>
  <si>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</si>
  <si>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</si>
  <si>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</si>
  <si>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</si>
  <si>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</si>
  <si>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</si>
  <si>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</si>
  <si>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</si>
  <si>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</si>
  <si>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</si>
  <si>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</si>
  <si>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</si>
  <si>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</si>
  <si>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</si>
  <si>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</si>
  <si>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</si>
  <si>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</si>
  <si>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</si>
  <si>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</si>
  <si>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</si>
  <si>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</si>
  <si>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</si>
  <si>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</si>
  <si>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</si>
  <si>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</si>
  <si>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</si>
  <si>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</si>
  <si>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</si>
  <si>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</si>
  <si>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</si>
  <si>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</si>
  <si>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</si>
  <si>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</si>
  <si>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</si>
  <si>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</si>
  <si>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</si>
  <si>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</si>
  <si>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</si>
  <si>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</si>
  <si>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</si>
  <si>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</si>
  <si>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</si>
  <si>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</si>
  <si>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</si>
  <si>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</si>
  <si>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</si>
  <si>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</si>
  <si>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</si>
  <si>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</si>
  <si>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</si>
  <si>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</si>
  <si>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</si>
  <si>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</si>
  <si>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</si>
  <si>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</si>
  <si>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</si>
  <si>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</si>
  <si>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</si>
  <si>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</si>
  <si>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</si>
  <si>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</si>
  <si>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</si>
  <si>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</si>
  <si>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</si>
  <si>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</si>
  <si>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</si>
  <si>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</si>
  <si>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</si>
  <si>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</si>
  <si>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</si>
  <si>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</si>
  <si>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</si>
  <si>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</si>
  <si>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</si>
  <si>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</si>
  <si>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</si>
  <si>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</si>
  <si>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</si>
  <si>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</si>
  <si>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</si>
  <si>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</si>
  <si>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</si>
  <si>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</si>
  <si>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</si>
  <si>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</si>
  <si>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</si>
  <si>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</si>
  <si>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</si>
  <si>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</si>
  <si>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</si>
  <si>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</si>
  <si>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</si>
  <si>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</si>
  <si>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</si>
  <si>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</si>
  <si>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</si>
  <si>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</si>
  <si>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</si>
  <si>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</si>
  <si>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</si>
  <si>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</si>
  <si>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</si>
  <si>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</si>
  <si>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</si>
  <si>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</si>
  <si>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</si>
  <si>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</si>
  <si>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</si>
  <si>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</si>
  <si>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</si>
  <si>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</si>
  <si>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</si>
  <si>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</si>
  <si>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</si>
  <si>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</si>
  <si>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</si>
  <si>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</si>
  <si>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</si>
  <si>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</si>
  <si>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</si>
  <si>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</si>
  <si>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</si>
  <si>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</si>
  <si>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</si>
  <si>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</si>
  <si>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</si>
  <si>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</si>
  <si>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</si>
  <si>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</si>
  <si>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</si>
  <si>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</si>
  <si>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</si>
  <si>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</si>
  <si>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</si>
  <si>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</si>
  <si>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</si>
  <si>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</si>
  <si>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</si>
  <si>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</si>
  <si>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</si>
  <si>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</si>
  <si>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</si>
  <si>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</si>
  <si>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</si>
  <si>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</si>
  <si>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</si>
  <si>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</si>
  <si>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</si>
  <si>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</si>
  <si>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</si>
  <si>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</si>
  <si>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</si>
  <si>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</si>
  <si>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</si>
  <si>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</si>
  <si>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</si>
  <si>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</si>
  <si>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</si>
  <si>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</si>
  <si>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</si>
  <si>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</si>
  <si>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</si>
  <si>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</si>
  <si>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</si>
  <si>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</si>
  <si>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</si>
  <si>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</si>
  <si>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</si>
  <si>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</si>
  <si>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</si>
  <si>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</si>
  <si>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</si>
  <si>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</si>
  <si>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</si>
  <si>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</si>
  <si>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</si>
  <si>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</si>
  <si>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</si>
  <si>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</si>
  <si>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</si>
  <si>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</si>
  <si>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</si>
  <si>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</si>
  <si>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</si>
  <si>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</si>
  <si>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</si>
  <si>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</si>
  <si>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</si>
  <si>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</si>
  <si>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</si>
  <si>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</si>
  <si>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</si>
  <si>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</si>
  <si>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</si>
  <si>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</si>
  <si>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</si>
  <si>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</si>
  <si>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</si>
  <si>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</si>
  <si>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</si>
  <si>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</si>
  <si>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</si>
  <si>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</si>
  <si>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</si>
  <si>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</si>
  <si>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</si>
  <si>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</si>
  <si>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</si>
  <si>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</si>
  <si>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</si>
  <si>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</si>
  <si>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</si>
  <si>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</si>
  <si>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</si>
  <si>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</si>
  <si>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</si>
  <si>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</si>
  <si>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</si>
  <si>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</si>
  <si>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</si>
  <si>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</si>
  <si>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</si>
  <si>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</si>
  <si>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</si>
  <si>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</si>
  <si>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</si>
  <si>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</si>
  <si>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</si>
  <si>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</si>
  <si>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</si>
  <si>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</si>
  <si>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</si>
  <si>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</si>
  <si>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</si>
  <si>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</si>
  <si>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</si>
  <si>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</si>
  <si>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</si>
  <si>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</si>
  <si>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</si>
  <si>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</si>
  <si>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</si>
  <si>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</si>
  <si>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</si>
  <si>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</si>
  <si>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</si>
  <si>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</si>
  <si>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</si>
  <si>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</si>
  <si>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</si>
  <si>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</si>
  <si>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</si>
  <si>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</si>
  <si>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</si>
  <si>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</si>
  <si>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</si>
  <si>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</si>
  <si>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</si>
  <si>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</si>
  <si>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</si>
  <si>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</si>
  <si>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</si>
  <si>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</si>
  <si>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</si>
  <si>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</si>
  <si>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</si>
  <si>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</si>
  <si>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</si>
  <si>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</si>
  <si>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</si>
  <si>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</si>
  <si>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</si>
  <si>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</si>
  <si>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</si>
  <si>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</si>
  <si>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</si>
  <si>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</si>
  <si>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</si>
  <si>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</si>
  <si>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</si>
  <si>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</si>
  <si>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</si>
  <si>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</si>
  <si>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</si>
  <si>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</si>
  <si>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</si>
  <si>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</si>
  <si>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</si>
  <si>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</si>
  <si>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</si>
  <si>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</si>
  <si>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</si>
  <si>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</si>
  <si>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</si>
  <si>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</si>
  <si>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</si>
  <si>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</si>
  <si>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</si>
  <si>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</si>
  <si>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</si>
  <si>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</si>
  <si>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</si>
  <si>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</si>
  <si>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</si>
  <si>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</si>
  <si>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</si>
  <si>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</si>
  <si>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</si>
  <si>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</si>
  <si>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</si>
  <si>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</si>
  <si>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</si>
  <si>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</si>
  <si>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</si>
  <si>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</si>
  <si>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</si>
  <si>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</si>
  <si>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</si>
  <si>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</si>
  <si>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</si>
  <si>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</si>
  <si>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</si>
  <si>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</si>
  <si>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</si>
  <si>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</si>
  <si>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</si>
  <si>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</si>
  <si>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</si>
  <si>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</si>
  <si>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</si>
  <si>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</si>
  <si>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</si>
  <si>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</si>
  <si>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</si>
  <si>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</si>
  <si>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</si>
  <si>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</si>
  <si>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</si>
  <si>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</si>
  <si>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</si>
  <si>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</si>
  <si>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</si>
  <si>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</si>
  <si>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</si>
  <si>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</si>
  <si>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</si>
  <si>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</si>
  <si>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</si>
  <si>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</si>
  <si>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</si>
  <si>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</si>
  <si>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</si>
  <si>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</si>
  <si>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</si>
  <si>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</si>
  <si>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</si>
  <si>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</si>
  <si>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</si>
  <si>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</si>
  <si>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</si>
  <si>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</si>
  <si>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</si>
  <si>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</si>
  <si>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</si>
  <si>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</si>
  <si>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</si>
  <si>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</si>
  <si>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</si>
  <si>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</si>
  <si>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</si>
  <si>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</si>
  <si>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</si>
  <si>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</si>
  <si>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</si>
  <si>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</si>
  <si>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</si>
  <si>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</si>
  <si>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</si>
  <si>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</si>
  <si>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</si>
  <si>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</si>
  <si>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</si>
  <si>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</si>
  <si>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</si>
  <si>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</si>
  <si>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</si>
  <si>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</si>
  <si>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</si>
  <si>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</si>
  <si>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</si>
  <si>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</si>
  <si>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</si>
  <si>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</si>
  <si>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</si>
  <si>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</si>
  <si>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</si>
  <si>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</si>
  <si>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</si>
  <si>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</si>
  <si>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</si>
  <si>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</si>
  <si>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</si>
  <si>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</si>
  <si>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</si>
  <si>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</si>
  <si>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</si>
  <si>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</si>
  <si>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</si>
  <si>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</si>
  <si>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</si>
  <si>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</si>
  <si>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</si>
  <si>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</si>
  <si>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</si>
  <si>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</si>
  <si>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</si>
  <si>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</si>
  <si>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</si>
  <si>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</si>
  <si>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</si>
  <si>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</si>
  <si>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</si>
  <si>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</si>
  <si>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</si>
  <si>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</si>
  <si>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</si>
  <si>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</si>
  <si>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</si>
  <si>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</si>
  <si>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</si>
  <si>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</si>
  <si>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</si>
  <si>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</si>
  <si>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</si>
  <si>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</si>
  <si>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</si>
  <si>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</si>
  <si>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</si>
  <si>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</si>
  <si>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</si>
  <si>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</si>
  <si>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</si>
  <si>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</si>
  <si>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</si>
  <si>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</si>
  <si>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</si>
  <si>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</si>
  <si>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</si>
  <si>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</si>
  <si>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</si>
  <si>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</si>
  <si>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</si>
  <si>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</si>
  <si>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</si>
  <si>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</si>
  <si>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</si>
  <si>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</si>
  <si>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</si>
  <si>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</si>
  <si>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</si>
  <si>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</si>
  <si>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</si>
  <si>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</si>
  <si>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</si>
  <si>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</si>
  <si>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</si>
  <si>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</si>
  <si>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</si>
  <si>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</si>
  <si>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</si>
  <si>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</si>
  <si>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</si>
  <si>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</si>
  <si>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</si>
  <si>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</si>
  <si>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</si>
  <si>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</si>
  <si>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</si>
  <si>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</si>
  <si>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</si>
  <si>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</si>
  <si>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</si>
  <si>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</si>
  <si>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</si>
  <si>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</si>
  <si>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</si>
  <si>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</si>
  <si>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</si>
  <si>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</si>
  <si>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</si>
  <si>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</si>
  <si>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</si>
  <si>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</si>
  <si>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</si>
  <si>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</si>
  <si>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</si>
  <si>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</si>
  <si>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</si>
  <si>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</si>
  <si>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</si>
  <si>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</si>
  <si>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</si>
  <si>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</si>
  <si>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</si>
  <si>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</si>
  <si>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</si>
  <si>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</si>
  <si>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</si>
  <si>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</si>
  <si>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</si>
  <si>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</si>
  <si>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</si>
  <si>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</si>
  <si>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</si>
  <si>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</si>
  <si>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</si>
  <si>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</si>
  <si>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</si>
  <si>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</si>
  <si>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</si>
  <si>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</si>
  <si>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</si>
  <si>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</si>
  <si>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</si>
  <si>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</si>
  <si>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</si>
  <si>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</si>
  <si>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</si>
  <si>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</si>
  <si>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</si>
  <si>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</si>
  <si>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</si>
  <si>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</si>
  <si>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</si>
  <si>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</si>
  <si>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</si>
  <si>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</si>
  <si>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</si>
  <si>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</si>
  <si>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</si>
  <si>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</si>
  <si>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</si>
  <si>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</si>
  <si>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</si>
  <si>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</si>
  <si>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</si>
  <si>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</si>
  <si>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</si>
  <si>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</si>
  <si>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</si>
  <si>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</si>
  <si>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</si>
  <si>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</si>
  <si>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</si>
  <si>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</si>
  <si>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</si>
  <si>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</si>
  <si>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</si>
  <si>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</si>
  <si>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</si>
  <si>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</si>
  <si>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</si>
  <si>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</si>
  <si>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</si>
  <si>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</si>
  <si>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</si>
  <si>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</si>
  <si>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</si>
  <si>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</si>
  <si>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</si>
  <si>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</si>
  <si>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</si>
  <si>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</si>
  <si>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</si>
  <si>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</si>
  <si>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</si>
  <si>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</si>
  <si>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</si>
  <si>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</si>
  <si>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</si>
  <si>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</si>
  <si>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</si>
  <si>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</si>
  <si>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</si>
  <si>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</si>
  <si>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</si>
  <si>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</si>
  <si>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</si>
  <si>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</si>
  <si>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</si>
  <si>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</si>
  <si>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</si>
  <si>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</si>
  <si>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</si>
  <si>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</si>
  <si>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</si>
  <si>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</si>
  <si>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</si>
  <si>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</si>
  <si>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</si>
  <si>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</si>
  <si>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</si>
  <si>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</si>
  <si>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</si>
  <si>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</si>
  <si>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</si>
  <si>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</si>
  <si>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</si>
  <si>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</si>
  <si>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</si>
  <si>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</si>
  <si>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</si>
  <si>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</si>
  <si>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</si>
  <si>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</si>
  <si>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</si>
  <si>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</si>
  <si>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</si>
  <si>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</si>
  <si>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</si>
  <si>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</si>
  <si>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</si>
  <si>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</si>
  <si>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</si>
  <si>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</si>
  <si>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</si>
  <si>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</si>
  <si>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</si>
  <si>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</si>
  <si>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</si>
  <si>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</si>
  <si>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</si>
  <si>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</si>
  <si>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</si>
  <si>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</si>
  <si>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</si>
  <si>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</si>
  <si>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</si>
  <si>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</si>
  <si>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</si>
  <si>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</si>
  <si>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</si>
  <si>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</si>
  <si>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</si>
  <si>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</si>
  <si>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</si>
  <si>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</si>
  <si>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</si>
  <si>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</si>
  <si>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</si>
  <si>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</si>
  <si>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</si>
  <si>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</si>
  <si>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</si>
  <si>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</si>
  <si>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</si>
  <si>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</si>
  <si>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</si>
  <si>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</si>
  <si>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</si>
  <si>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</si>
  <si>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</si>
  <si>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</si>
  <si>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</si>
  <si>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</si>
  <si>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</si>
  <si>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</si>
  <si>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</si>
  <si>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</si>
  <si>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</si>
  <si>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</si>
  <si>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</si>
  <si>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</si>
  <si>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</si>
  <si>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</si>
  <si>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</si>
  <si>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</si>
  <si>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</si>
  <si>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</si>
  <si>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</si>
  <si>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</si>
  <si>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</si>
  <si>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</si>
  <si>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</si>
  <si>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</si>
  <si>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</si>
  <si>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</si>
  <si>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</si>
  <si>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отдельно/,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</si>
</sst>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45997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Суббота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0.41666666666666669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8</v>
      </c>
      <c r="Y51" s="542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8.2928571428571427</v>
      </c>
      <c r="BN51" s="64">
        <f t="shared" ref="BN51:BN56" si="2">IFERROR(Y51*I51/H51,"0")</f>
        <v>11.61</v>
      </c>
      <c r="BO51" s="64">
        <f t="shared" ref="BO51:BO56" si="3">IFERROR(1/J51*(X51/H51),"0")</f>
        <v>1.1160714285714286E-2</v>
      </c>
      <c r="BP51" s="64">
        <f t="shared" ref="BP51:BP56" si="4">IFERROR(1/J51*(Y51/H51),"0")</f>
        <v>1.5625E-2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0.7142857142857143</v>
      </c>
      <c r="Y57" s="543">
        <f>IFERROR(Y51/H51,"0")+IFERROR(Y52/H52,"0")+IFERROR(Y53/H53,"0")+IFERROR(Y54/H54,"0")+IFERROR(Y55/H55,"0")+IFERROR(Y56/H56,"0")</f>
        <v>1</v>
      </c>
      <c r="Z57" s="543">
        <f>IFERROR(IF(Z51="",0,Z51),"0")+IFERROR(IF(Z52="",0,Z52),"0")+IFERROR(IF(Z53="",0,Z53),"0")+IFERROR(IF(Z54="",0,Z54),"0")+IFERROR(IF(Z55="",0,Z55),"0")+IFERROR(IF(Z56="",0,Z56),"0")</f>
        <v>1.898E-2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8</v>
      </c>
      <c r="Y58" s="543">
        <f>IFERROR(SUM(Y51:Y56),"0")</f>
        <v>11.2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7</v>
      </c>
      <c r="Y60" s="542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7.2657407407407399</v>
      </c>
      <c r="BN60" s="64">
        <f>IFERROR(Y60*I60/H60,"0")</f>
        <v>11.21</v>
      </c>
      <c r="BO60" s="64">
        <f>IFERROR(1/J60*(X60/H60),"0")</f>
        <v>1.0127314814814815E-2</v>
      </c>
      <c r="BP60" s="64">
        <f>IFERROR(1/J60*(Y60/H60),"0")</f>
        <v>1.5625E-2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0.64814814814814814</v>
      </c>
      <c r="Y63" s="543">
        <f>IFERROR(Y60/H60,"0")+IFERROR(Y61/H61,"0")+IFERROR(Y62/H62,"0")</f>
        <v>1</v>
      </c>
      <c r="Z63" s="543">
        <f>IFERROR(IF(Z60="",0,Z60),"0")+IFERROR(IF(Z61="",0,Z61),"0")+IFERROR(IF(Z62="",0,Z62),"0")</f>
        <v>1.898E-2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7</v>
      </c>
      <c r="Y64" s="543">
        <f>IFERROR(SUM(Y60:Y62),"0")</f>
        <v>10.8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10</v>
      </c>
      <c r="Y79" s="542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10.525641025641027</v>
      </c>
      <c r="BN79" s="64">
        <f>IFERROR(Y79*I79/H79,"0")</f>
        <v>16.420000000000002</v>
      </c>
      <c r="BO79" s="64">
        <f>IFERROR(1/J79*(X79/H79),"0")</f>
        <v>2.0032051282051284E-2</v>
      </c>
      <c r="BP79" s="64">
        <f>IFERROR(1/J79*(Y79/H79),"0")</f>
        <v>3.125E-2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1.2820512820512822</v>
      </c>
      <c r="Y81" s="543">
        <f>IFERROR(Y79/H79,"0")+IFERROR(Y80/H80,"0")</f>
        <v>2</v>
      </c>
      <c r="Z81" s="543">
        <f>IFERROR(IF(Z79="",0,Z79),"0")+IFERROR(IF(Z80="",0,Z80),"0")</f>
        <v>3.7960000000000001E-2</v>
      </c>
      <c r="AA81" s="544"/>
      <c r="AB81" s="544"/>
      <c r="AC81" s="544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10</v>
      </c>
      <c r="Y82" s="543">
        <f>IFERROR(SUM(Y79:Y80),"0")</f>
        <v>15.6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10</v>
      </c>
      <c r="Y85" s="542">
        <f>IFERROR(IF(X85="",0,CEILING((X85/$H85),1)*$H85),"")</f>
        <v>10.8</v>
      </c>
      <c r="Z85" s="36">
        <f>IFERROR(IF(Y85=0,"",ROUNDUP(Y85/H85,0)*0.01898),"")</f>
        <v>1.898E-2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10.37962962962963</v>
      </c>
      <c r="BN85" s="64">
        <f>IFERROR(Y85*I85/H85,"0")</f>
        <v>11.21</v>
      </c>
      <c r="BO85" s="64">
        <f>IFERROR(1/J85*(X85/H85),"0")</f>
        <v>1.4467592592592591E-2</v>
      </c>
      <c r="BP85" s="64">
        <f>IFERROR(1/J85*(Y85/H85),"0")</f>
        <v>1.5625E-2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119</v>
      </c>
      <c r="Y87" s="542">
        <f>IFERROR(IF(X87="",0,CEILING((X87/$H87),1)*$H87),"")</f>
        <v>121.5</v>
      </c>
      <c r="Z87" s="36">
        <f>IFERROR(IF(Y87=0,"",ROUNDUP(Y87/H87,0)*0.00902),"")</f>
        <v>0.24354000000000001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124.02444444444444</v>
      </c>
      <c r="BN87" s="64">
        <f>IFERROR(Y87*I87/H87,"0")</f>
        <v>126.63000000000001</v>
      </c>
      <c r="BO87" s="64">
        <f>IFERROR(1/J87*(X87/H87),"0")</f>
        <v>0.20033670033670034</v>
      </c>
      <c r="BP87" s="64">
        <f>IFERROR(1/J87*(Y87/H87),"0")</f>
        <v>0.20454545454545456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27.37037037037037</v>
      </c>
      <c r="Y88" s="543">
        <f>IFERROR(Y85/H85,"0")+IFERROR(Y86/H86,"0")+IFERROR(Y87/H87,"0")</f>
        <v>28</v>
      </c>
      <c r="Z88" s="543">
        <f>IFERROR(IF(Z85="",0,Z85),"0")+IFERROR(IF(Z86="",0,Z86),"0")+IFERROR(IF(Z87="",0,Z87),"0")</f>
        <v>0.26252000000000003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129</v>
      </c>
      <c r="Y89" s="543">
        <f>IFERROR(SUM(Y85:Y87),"0")</f>
        <v>132.30000000000001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182</v>
      </c>
      <c r="Y91" s="542">
        <f>IFERROR(IF(X91="",0,CEILING((X91/$H91),1)*$H91),"")</f>
        <v>186.29999999999998</v>
      </c>
      <c r="Z91" s="36">
        <f>IFERROR(IF(Y91=0,"",ROUNDUP(Y91/H91,0)*0.01898),"")</f>
        <v>0.43653999999999998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193.09975308641975</v>
      </c>
      <c r="BN91" s="64">
        <f>IFERROR(Y91*I91/H91,"0")</f>
        <v>197.66199999999998</v>
      </c>
      <c r="BO91" s="64">
        <f>IFERROR(1/J91*(X91/H91),"0")</f>
        <v>0.35108024691358025</v>
      </c>
      <c r="BP91" s="64">
        <f>IFERROR(1/J91*(Y91/H91),"0")</f>
        <v>0.359375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192</v>
      </c>
      <c r="Y93" s="542">
        <f>IFERROR(IF(X93="",0,CEILING((X93/$H93),1)*$H93),"")</f>
        <v>194.4</v>
      </c>
      <c r="Z93" s="36">
        <f>IFERROR(IF(Y93=0,"",ROUNDUP(Y93/H93,0)*0.00651),"")</f>
        <v>0.46872000000000003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209.92</v>
      </c>
      <c r="BN93" s="64">
        <f>IFERROR(Y93*I93/H93,"0")</f>
        <v>212.54399999999998</v>
      </c>
      <c r="BO93" s="64">
        <f>IFERROR(1/J93*(X93/H93),"0")</f>
        <v>0.39072039072039066</v>
      </c>
      <c r="BP93" s="64">
        <f>IFERROR(1/J93*(Y93/H93),"0")</f>
        <v>0.39560439560439564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93.58024691358024</v>
      </c>
      <c r="Y95" s="543">
        <f>IFERROR(Y91/H91,"0")+IFERROR(Y92/H92,"0")+IFERROR(Y93/H93,"0")+IFERROR(Y94/H94,"0")</f>
        <v>95</v>
      </c>
      <c r="Z95" s="543">
        <f>IFERROR(IF(Z91="",0,Z91),"0")+IFERROR(IF(Z92="",0,Z92),"0")+IFERROR(IF(Z93="",0,Z93),"0")+IFERROR(IF(Z94="",0,Z94),"0")</f>
        <v>0.90525999999999995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374</v>
      </c>
      <c r="Y96" s="543">
        <f>IFERROR(SUM(Y91:Y94),"0")</f>
        <v>380.7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122</v>
      </c>
      <c r="Y101" s="542">
        <f>IFERROR(IF(X101="",0,CEILING((X101/$H101),1)*$H101),"")</f>
        <v>126</v>
      </c>
      <c r="Z101" s="36">
        <f>IFERROR(IF(Y101=0,"",ROUNDUP(Y101/H101,0)*0.00902),"")</f>
        <v>0.25256000000000001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127.15111111111112</v>
      </c>
      <c r="BN101" s="64">
        <f>IFERROR(Y101*I101/H101,"0")</f>
        <v>131.32000000000002</v>
      </c>
      <c r="BO101" s="64">
        <f>IFERROR(1/J101*(X101/H101),"0")</f>
        <v>0.2053872053872054</v>
      </c>
      <c r="BP101" s="64">
        <f>IFERROR(1/J101*(Y101/H101),"0")</f>
        <v>0.21212121212121213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27.111111111111111</v>
      </c>
      <c r="Y103" s="543">
        <f>IFERROR(Y99/H99,"0")+IFERROR(Y100/H100,"0")+IFERROR(Y101/H101,"0")+IFERROR(Y102/H102,"0")</f>
        <v>28</v>
      </c>
      <c r="Z103" s="543">
        <f>IFERROR(IF(Z99="",0,Z99),"0")+IFERROR(IF(Z100="",0,Z100),"0")+IFERROR(IF(Z101="",0,Z101),"0")+IFERROR(IF(Z102="",0,Z102),"0")</f>
        <v>0.25256000000000001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122</v>
      </c>
      <c r="Y104" s="543">
        <f>IFERROR(SUM(Y99:Y102),"0")</f>
        <v>126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9</v>
      </c>
      <c r="Y106" s="542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9.3416666666666668</v>
      </c>
      <c r="BN106" s="64">
        <f>IFERROR(Y106*I106/H106,"0")</f>
        <v>11.21</v>
      </c>
      <c r="BO106" s="64">
        <f>IFERROR(1/J106*(X106/H106),"0")</f>
        <v>1.3020833333333332E-2</v>
      </c>
      <c r="BP106" s="64">
        <f>IFERROR(1/J106*(Y106/H106),"0")</f>
        <v>1.5625E-2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0.83333333333333326</v>
      </c>
      <c r="Y109" s="543">
        <f>IFERROR(Y106/H106,"0")+IFERROR(Y107/H107,"0")+IFERROR(Y108/H108,"0")</f>
        <v>1</v>
      </c>
      <c r="Z109" s="543">
        <f>IFERROR(IF(Z106="",0,Z106),"0")+IFERROR(IF(Z107="",0,Z107),"0")+IFERROR(IF(Z108="",0,Z108),"0")</f>
        <v>1.898E-2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9</v>
      </c>
      <c r="Y110" s="543">
        <f>IFERROR(SUM(Y106:Y108),"0")</f>
        <v>10.8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61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64.67506172839505</v>
      </c>
      <c r="BN112" s="64">
        <f>IFERROR(Y112*I112/H112,"0")</f>
        <v>68.703999999999994</v>
      </c>
      <c r="BO112" s="64">
        <f>IFERROR(1/J112*(X112/H112),"0")</f>
        <v>0.11766975308641976</v>
      </c>
      <c r="BP112" s="64">
        <f>IFERROR(1/J112*(Y112/H112),"0")</f>
        <v>0.125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152</v>
      </c>
      <c r="Y114" s="542">
        <f>IFERROR(IF(X114="",0,CEILING((X114/$H114),1)*$H114),"")</f>
        <v>153.9</v>
      </c>
      <c r="Z114" s="36">
        <f>IFERROR(IF(Y114=0,"",ROUNDUP(Y114/H114,0)*0.00651),"")</f>
        <v>0.37107000000000001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166.18666666666667</v>
      </c>
      <c r="BN114" s="64">
        <f>IFERROR(Y114*I114/H114,"0")</f>
        <v>168.26400000000001</v>
      </c>
      <c r="BO114" s="64">
        <f>IFERROR(1/J114*(X114/H114),"0")</f>
        <v>0.30932030932030929</v>
      </c>
      <c r="BP114" s="64">
        <f>IFERROR(1/J114*(Y114/H114),"0")</f>
        <v>0.31318681318681318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63.827160493827158</v>
      </c>
      <c r="Y116" s="543">
        <f>IFERROR(Y112/H112,"0")+IFERROR(Y113/H113,"0")+IFERROR(Y114/H114,"0")+IFERROR(Y115/H115,"0")</f>
        <v>65</v>
      </c>
      <c r="Z116" s="543">
        <f>IFERROR(IF(Z112="",0,Z112),"0")+IFERROR(IF(Z113="",0,Z113),"0")+IFERROR(IF(Z114="",0,Z114),"0")+IFERROR(IF(Z115="",0,Z115),"0")</f>
        <v>0.52290999999999999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213</v>
      </c>
      <c r="Y117" s="543">
        <f>IFERROR(SUM(Y112:Y115),"0")</f>
        <v>218.7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43</v>
      </c>
      <c r="Y164" s="542">
        <f t="shared" si="5"/>
        <v>44.1</v>
      </c>
      <c r="Z164" s="36">
        <f>IFERROR(IF(Y164=0,"",ROUNDUP(Y164/H164,0)*0.00502),"")</f>
        <v>0.10542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45.661904761904758</v>
      </c>
      <c r="BN164" s="64">
        <f t="shared" si="7"/>
        <v>46.83</v>
      </c>
      <c r="BO164" s="64">
        <f t="shared" si="8"/>
        <v>8.7505087505087509E-2</v>
      </c>
      <c r="BP164" s="64">
        <f t="shared" si="9"/>
        <v>8.9743589743589758E-2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6</v>
      </c>
      <c r="Y167" s="542">
        <f t="shared" si="5"/>
        <v>7.2</v>
      </c>
      <c r="Z167" s="36">
        <f>IFERROR(IF(Y167=0,"",ROUNDUP(Y167/H167,0)*0.00502),"")</f>
        <v>2.0080000000000001E-2</v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6.4333333333333336</v>
      </c>
      <c r="BN167" s="64">
        <f t="shared" si="7"/>
        <v>7.7199999999999989</v>
      </c>
      <c r="BO167" s="64">
        <f t="shared" si="8"/>
        <v>1.4245014245014245E-2</v>
      </c>
      <c r="BP167" s="64">
        <f t="shared" si="9"/>
        <v>1.7094017094017096E-2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26</v>
      </c>
      <c r="Y168" s="542">
        <f t="shared" si="5"/>
        <v>27.3</v>
      </c>
      <c r="Z168" s="36">
        <f>IFERROR(IF(Y168=0,"",ROUNDUP(Y168/H168,0)*0.00502),"")</f>
        <v>6.5259999999999999E-2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27.238095238095237</v>
      </c>
      <c r="BN168" s="64">
        <f t="shared" si="7"/>
        <v>28.600000000000005</v>
      </c>
      <c r="BO168" s="64">
        <f t="shared" si="8"/>
        <v>5.2910052910052907E-2</v>
      </c>
      <c r="BP168" s="64">
        <f t="shared" si="9"/>
        <v>5.5555555555555559E-2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36.19047619047619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38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0.19075999999999999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75</v>
      </c>
      <c r="Y172" s="543">
        <f>IFERROR(SUM(Y161:Y170),"0")</f>
        <v>78.600000000000009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2</v>
      </c>
      <c r="Y175" s="542">
        <f>IFERROR(IF(X175="",0,CEILING((X175/$H175),1)*$H175),"")</f>
        <v>2.52</v>
      </c>
      <c r="Z175" s="36">
        <f>IFERROR(IF(Y175=0,"",ROUNDUP(Y175/H175,0)*0.0059),"")</f>
        <v>1.18E-2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2.3015873015873014</v>
      </c>
      <c r="BN175" s="64">
        <f>IFERROR(Y175*I175/H175,"0")</f>
        <v>2.9</v>
      </c>
      <c r="BO175" s="64">
        <f>IFERROR(1/J175*(X175/H175),"0")</f>
        <v>7.3486184597295699E-3</v>
      </c>
      <c r="BP175" s="64">
        <f>IFERROR(1/J175*(Y175/H175),"0")</f>
        <v>9.2592592592592587E-3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1.5873015873015872</v>
      </c>
      <c r="Y177" s="543">
        <f>IFERROR(Y174/H174,"0")+IFERROR(Y175/H175,"0")+IFERROR(Y176/H176,"0")</f>
        <v>2</v>
      </c>
      <c r="Z177" s="543">
        <f>IFERROR(IF(Z174="",0,Z174),"0")+IFERROR(IF(Z175="",0,Z175),"0")+IFERROR(IF(Z176="",0,Z176),"0")</f>
        <v>1.18E-2</v>
      </c>
      <c r="AA177" s="544"/>
      <c r="AB177" s="544"/>
      <c r="AC177" s="544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2</v>
      </c>
      <c r="Y178" s="543">
        <f>IFERROR(SUM(Y174:Y176),"0")</f>
        <v>2.52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55</v>
      </c>
      <c r="Y195" s="542">
        <f t="shared" ref="Y195:Y202" si="10">IFERROR(IF(X195="",0,CEILING((X195/$H195),1)*$H195),"")</f>
        <v>59.400000000000006</v>
      </c>
      <c r="Z195" s="36">
        <f>IFERROR(IF(Y195=0,"",ROUNDUP(Y195/H195,0)*0.00902),"")</f>
        <v>9.9220000000000003E-2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56.935185185185176</v>
      </c>
      <c r="BN195" s="64">
        <f t="shared" ref="BN195:BN202" si="12">IFERROR(Y195*I195/H195,"0")</f>
        <v>61.49</v>
      </c>
      <c r="BO195" s="64">
        <f t="shared" ref="BO195:BO202" si="13">IFERROR(1/J195*(X195/H195),"0")</f>
        <v>7.716049382716049E-2</v>
      </c>
      <c r="BP195" s="64">
        <f t="shared" ref="BP195:BP202" si="14">IFERROR(1/J195*(Y195/H195),"0")</f>
        <v>8.3333333333333343E-2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75</v>
      </c>
      <c r="Y198" s="542">
        <f t="shared" si="10"/>
        <v>75.600000000000009</v>
      </c>
      <c r="Z198" s="36">
        <f>IFERROR(IF(Y198=0,"",ROUNDUP(Y198/H198,0)*0.00902),"")</f>
        <v>0.12628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77.638888888888886</v>
      </c>
      <c r="BN198" s="64">
        <f t="shared" si="12"/>
        <v>78.260000000000005</v>
      </c>
      <c r="BO198" s="64">
        <f t="shared" si="13"/>
        <v>0.10521885521885521</v>
      </c>
      <c r="BP198" s="64">
        <f t="shared" si="14"/>
        <v>0.10606060606060606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24</v>
      </c>
      <c r="Y199" s="542">
        <f t="shared" si="10"/>
        <v>25.2</v>
      </c>
      <c r="Z199" s="36">
        <f>IFERROR(IF(Y199=0,"",ROUNDUP(Y199/H199,0)*0.00502),"")</f>
        <v>7.0280000000000009E-2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25.733333333333334</v>
      </c>
      <c r="BN199" s="64">
        <f t="shared" si="12"/>
        <v>27.019999999999996</v>
      </c>
      <c r="BO199" s="64">
        <f t="shared" si="13"/>
        <v>5.6980056980056981E-2</v>
      </c>
      <c r="BP199" s="64">
        <f t="shared" si="14"/>
        <v>5.9829059829059839E-2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3</v>
      </c>
      <c r="Y200" s="542">
        <f t="shared" si="10"/>
        <v>3.6</v>
      </c>
      <c r="Z200" s="36">
        <f>IFERROR(IF(Y200=0,"",ROUNDUP(Y200/H200,0)*0.00502),"")</f>
        <v>1.004E-2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3.1666666666666661</v>
      </c>
      <c r="BN200" s="64">
        <f t="shared" si="12"/>
        <v>3.8</v>
      </c>
      <c r="BO200" s="64">
        <f t="shared" si="13"/>
        <v>7.1225071225071226E-3</v>
      </c>
      <c r="BP200" s="64">
        <f t="shared" si="14"/>
        <v>8.5470085470085479E-3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2</v>
      </c>
      <c r="Y202" s="542">
        <f t="shared" si="10"/>
        <v>3.6</v>
      </c>
      <c r="Z202" s="36">
        <f>IFERROR(IF(Y202=0,"",ROUNDUP(Y202/H202,0)*0.00502),"")</f>
        <v>1.004E-2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2.1111111111111112</v>
      </c>
      <c r="BN202" s="64">
        <f t="shared" si="12"/>
        <v>3.8</v>
      </c>
      <c r="BO202" s="64">
        <f t="shared" si="13"/>
        <v>4.7483380816714157E-3</v>
      </c>
      <c r="BP202" s="64">
        <f t="shared" si="14"/>
        <v>8.5470085470085479E-3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40.185185185185183</v>
      </c>
      <c r="Y203" s="543">
        <f>IFERROR(Y195/H195,"0")+IFERROR(Y196/H196,"0")+IFERROR(Y197/H197,"0")+IFERROR(Y198/H198,"0")+IFERROR(Y199/H199,"0")+IFERROR(Y200/H200,"0")+IFERROR(Y201/H201,"0")+IFERROR(Y202/H202,"0")</f>
        <v>43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0.31586000000000003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159</v>
      </c>
      <c r="Y204" s="543">
        <f>IFERROR(SUM(Y195:Y202),"0")</f>
        <v>167.39999999999998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185</v>
      </c>
      <c r="Y209" s="542">
        <f t="shared" si="15"/>
        <v>187.2</v>
      </c>
      <c r="Z209" s="36">
        <f t="shared" ref="Z209:Z214" si="20">IFERROR(IF(Y209=0,"",ROUNDUP(Y209/H209,0)*0.00651),"")</f>
        <v>0.50778000000000001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205.8125</v>
      </c>
      <c r="BN209" s="64">
        <f t="shared" si="17"/>
        <v>208.26</v>
      </c>
      <c r="BO209" s="64">
        <f t="shared" si="18"/>
        <v>0.42353479853479864</v>
      </c>
      <c r="BP209" s="64">
        <f t="shared" si="19"/>
        <v>0.4285714285714286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213</v>
      </c>
      <c r="Y211" s="542">
        <f t="shared" si="15"/>
        <v>213.6</v>
      </c>
      <c r="Z211" s="36">
        <f t="shared" si="20"/>
        <v>0.57938999999999996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235.36500000000001</v>
      </c>
      <c r="BN211" s="64">
        <f t="shared" si="17"/>
        <v>236.02800000000002</v>
      </c>
      <c r="BO211" s="64">
        <f t="shared" si="18"/>
        <v>0.48763736263736268</v>
      </c>
      <c r="BP211" s="64">
        <f t="shared" si="19"/>
        <v>0.48901098901098905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181</v>
      </c>
      <c r="Y212" s="542">
        <f t="shared" si="15"/>
        <v>182.4</v>
      </c>
      <c r="Z212" s="36">
        <f t="shared" si="20"/>
        <v>0.49476000000000003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200.005</v>
      </c>
      <c r="BN212" s="64">
        <f t="shared" si="17"/>
        <v>201.55200000000002</v>
      </c>
      <c r="BO212" s="64">
        <f t="shared" si="18"/>
        <v>0.41437728937728946</v>
      </c>
      <c r="BP212" s="64">
        <f t="shared" si="19"/>
        <v>0.4175824175824176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118</v>
      </c>
      <c r="Y213" s="542">
        <f t="shared" si="15"/>
        <v>120</v>
      </c>
      <c r="Z213" s="36">
        <f t="shared" si="20"/>
        <v>0.32550000000000001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130.39000000000001</v>
      </c>
      <c r="BN213" s="64">
        <f t="shared" si="17"/>
        <v>132.60000000000002</v>
      </c>
      <c r="BO213" s="64">
        <f t="shared" si="18"/>
        <v>0.27014652014652019</v>
      </c>
      <c r="BP213" s="64">
        <f t="shared" si="19"/>
        <v>0.27472527472527475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179</v>
      </c>
      <c r="Y214" s="542">
        <f t="shared" si="15"/>
        <v>180</v>
      </c>
      <c r="Z214" s="36">
        <f t="shared" si="20"/>
        <v>0.48825000000000002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198.24250000000001</v>
      </c>
      <c r="BN214" s="64">
        <f t="shared" si="17"/>
        <v>199.35</v>
      </c>
      <c r="BO214" s="64">
        <f t="shared" si="18"/>
        <v>0.4097985347985349</v>
      </c>
      <c r="BP214" s="64">
        <f t="shared" si="19"/>
        <v>0.41208791208791212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365</v>
      </c>
      <c r="Y215" s="543">
        <f>IFERROR(Y206/H206,"0")+IFERROR(Y207/H207,"0")+IFERROR(Y208/H208,"0")+IFERROR(Y209/H209,"0")+IFERROR(Y210/H210,"0")+IFERROR(Y211/H211,"0")+IFERROR(Y212/H212,"0")+IFERROR(Y213/H213,"0")+IFERROR(Y214/H214,"0")</f>
        <v>368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2.39568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876</v>
      </c>
      <c r="Y216" s="543">
        <f>IFERROR(SUM(Y206:Y214),"0")</f>
        <v>883.19999999999993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66</v>
      </c>
      <c r="Y219" s="542">
        <f>IFERROR(IF(X219="",0,CEILING((X219/$H219),1)*$H219),"")</f>
        <v>67.2</v>
      </c>
      <c r="Z219" s="36">
        <f>IFERROR(IF(Y219=0,"",ROUNDUP(Y219/H219,0)*0.00651),"")</f>
        <v>0.18228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72.930000000000007</v>
      </c>
      <c r="BN219" s="64">
        <f>IFERROR(Y219*I219/H219,"0")</f>
        <v>74.256000000000014</v>
      </c>
      <c r="BO219" s="64">
        <f>IFERROR(1/J219*(X219/H219),"0")</f>
        <v>0.15109890109890112</v>
      </c>
      <c r="BP219" s="64">
        <f>IFERROR(1/J219*(Y219/H219),"0")</f>
        <v>0.15384615384615388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27.5</v>
      </c>
      <c r="Y220" s="543">
        <f>IFERROR(Y218/H218,"0")+IFERROR(Y219/H219,"0")</f>
        <v>28.000000000000004</v>
      </c>
      <c r="Z220" s="543">
        <f>IFERROR(IF(Z218="",0,Z218),"0")+IFERROR(IF(Z219="",0,Z219),"0")</f>
        <v>0.18228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66</v>
      </c>
      <c r="Y221" s="543">
        <f>IFERROR(SUM(Y218:Y219),"0")</f>
        <v>67.2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1.0101010101010102</v>
      </c>
      <c r="Y250" s="543">
        <f>IFERROR(Y245/H245,"0")+IFERROR(Y246/H246,"0")+IFERROR(Y247/H247,"0")+IFERROR(Y248/H248,"0")+IFERROR(Y249/H249,"0")</f>
        <v>2</v>
      </c>
      <c r="Z250" s="543">
        <f>IFERROR(IF(Z245="",0,Z245),"0")+IFERROR(IF(Z246="",0,Z246),"0")+IFERROR(IF(Z247="",0,Z247),"0")+IFERROR(IF(Z248="",0,Z248),"0")+IFERROR(IF(Z249="",0,Z249),"0")</f>
        <v>1.18E-2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1</v>
      </c>
      <c r="Y251" s="543">
        <f>IFERROR(SUM(Y245:Y249),"0")</f>
        <v>1.98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52</v>
      </c>
      <c r="Y272" s="542">
        <f>IFERROR(IF(X272="",0,CEILING((X272/$H272),1)*$H272),"")</f>
        <v>52.8</v>
      </c>
      <c r="Z272" s="36">
        <f>IFERROR(IF(Y272=0,"",ROUNDUP(Y272/H272,0)*0.00651),"")</f>
        <v>0.14322000000000001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57.46</v>
      </c>
      <c r="BN272" s="64">
        <f>IFERROR(Y272*I272/H272,"0")</f>
        <v>58.344000000000001</v>
      </c>
      <c r="BO272" s="64">
        <f>IFERROR(1/J272*(X272/H272),"0")</f>
        <v>0.11904761904761907</v>
      </c>
      <c r="BP272" s="64">
        <f>IFERROR(1/J272*(Y272/H272),"0")</f>
        <v>0.12087912087912089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177</v>
      </c>
      <c r="Y273" s="542">
        <f>IFERROR(IF(X273="",0,CEILING((X273/$H273),1)*$H273),"")</f>
        <v>177.6</v>
      </c>
      <c r="Z273" s="36">
        <f>IFERROR(IF(Y273=0,"",ROUNDUP(Y273/H273,0)*0.00651),"")</f>
        <v>0.48174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190.27500000000001</v>
      </c>
      <c r="BN273" s="64">
        <f>IFERROR(Y273*I273/H273,"0")</f>
        <v>190.92</v>
      </c>
      <c r="BO273" s="64">
        <f>IFERROR(1/J273*(X273/H273),"0")</f>
        <v>0.40521978021978028</v>
      </c>
      <c r="BP273" s="64">
        <f>IFERROR(1/J273*(Y273/H273),"0")</f>
        <v>0.40659340659340665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95.416666666666671</v>
      </c>
      <c r="Y274" s="543">
        <f>IFERROR(Y271/H271,"0")+IFERROR(Y272/H272,"0")+IFERROR(Y273/H273,"0")</f>
        <v>96</v>
      </c>
      <c r="Z274" s="543">
        <f>IFERROR(IF(Z271="",0,Z271),"0")+IFERROR(IF(Z272="",0,Z272),"0")+IFERROR(IF(Z273="",0,Z273),"0")</f>
        <v>0.62495999999999996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229</v>
      </c>
      <c r="Y275" s="543">
        <f>IFERROR(SUM(Y271:Y273),"0")</f>
        <v>230.39999999999998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9</v>
      </c>
      <c r="Y303" s="542">
        <f t="shared" si="26"/>
        <v>9</v>
      </c>
      <c r="Z303" s="36">
        <f>IFERROR(IF(Y303=0,"",ROUNDUP(Y303/H303,0)*0.00651),"")</f>
        <v>3.2550000000000003E-2</v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10.139999999999999</v>
      </c>
      <c r="BN303" s="64">
        <f t="shared" si="28"/>
        <v>10.139999999999999</v>
      </c>
      <c r="BO303" s="64">
        <f t="shared" si="29"/>
        <v>2.7472527472527476E-2</v>
      </c>
      <c r="BP303" s="64">
        <f t="shared" si="30"/>
        <v>2.7472527472527476E-2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5</v>
      </c>
      <c r="Y304" s="543">
        <f>IFERROR(Y297/H297,"0")+IFERROR(Y298/H298,"0")+IFERROR(Y299/H299,"0")+IFERROR(Y300/H300,"0")+IFERROR(Y301/H301,"0")+IFERROR(Y302/H302,"0")+IFERROR(Y303/H303,"0")</f>
        <v>5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3.2550000000000003E-2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9</v>
      </c>
      <c r="Y305" s="543">
        <f>IFERROR(SUM(Y297:Y303),"0")</f>
        <v>9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33</v>
      </c>
      <c r="Y314" s="542">
        <f>IFERROR(IF(X314="",0,CEILING((X314/$H314),1)*$H314),"")</f>
        <v>33.6</v>
      </c>
      <c r="Z314" s="36">
        <f>IFERROR(IF(Y314=0,"",ROUNDUP(Y314/H314,0)*0.01898),"")</f>
        <v>7.5920000000000001E-2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34.940714285714286</v>
      </c>
      <c r="BN314" s="64">
        <f>IFERROR(Y314*I314/H314,"0")</f>
        <v>35.576000000000001</v>
      </c>
      <c r="BO314" s="64">
        <f>IFERROR(1/J314*(X314/H314),"0")</f>
        <v>6.1383928571428568E-2</v>
      </c>
      <c r="BP314" s="64">
        <f>IFERROR(1/J314*(Y314/H314),"0")</f>
        <v>6.25E-2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3.9285714285714284</v>
      </c>
      <c r="Y317" s="543">
        <f>IFERROR(Y314/H314,"0")+IFERROR(Y315/H315,"0")+IFERROR(Y316/H316,"0")</f>
        <v>4</v>
      </c>
      <c r="Z317" s="543">
        <f>IFERROR(IF(Z314="",0,Z314),"0")+IFERROR(IF(Z315="",0,Z315),"0")+IFERROR(IF(Z316="",0,Z316),"0")</f>
        <v>7.5920000000000001E-2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33</v>
      </c>
      <c r="Y318" s="543">
        <f>IFERROR(SUM(Y314:Y316),"0")</f>
        <v>33.6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4</v>
      </c>
      <c r="Y320" s="542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4</v>
      </c>
      <c r="Y321" s="542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4.3026315789473681</v>
      </c>
      <c r="BN321" s="64">
        <f>IFERROR(Y321*I321/H321,"0")</f>
        <v>6.5399999999999991</v>
      </c>
      <c r="BO321" s="64">
        <f>IFERROR(1/J321*(X321/H321),"0")</f>
        <v>9.9681020733652318E-3</v>
      </c>
      <c r="BP321" s="64">
        <f>IFERROR(1/J321*(Y321/H321),"0")</f>
        <v>1.5151515151515152E-2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2.6315789473684212</v>
      </c>
      <c r="Y324" s="543">
        <f>IFERROR(Y320/H320,"0")+IFERROR(Y321/H321,"0")+IFERROR(Y322/H322,"0")+IFERROR(Y323/H323,"0")</f>
        <v>4</v>
      </c>
      <c r="Z324" s="543">
        <f>IFERROR(IF(Z320="",0,Z320),"0")+IFERROR(IF(Z321="",0,Z321),"0")+IFERROR(IF(Z322="",0,Z322),"0")+IFERROR(IF(Z323="",0,Z323),"0")</f>
        <v>3.6080000000000001E-2</v>
      </c>
      <c r="AA324" s="544"/>
      <c r="AB324" s="544"/>
      <c r="AC324" s="544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8</v>
      </c>
      <c r="Y325" s="543">
        <f>IFERROR(SUM(Y320:Y323),"0")</f>
        <v>12.16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396</v>
      </c>
      <c r="Y342" s="542">
        <f t="shared" ref="Y342:Y348" si="31">IFERROR(IF(X342="",0,CEILING((X342/$H342),1)*$H342),"")</f>
        <v>405</v>
      </c>
      <c r="Z342" s="36">
        <f>IFERROR(IF(Y342=0,"",ROUNDUP(Y342/H342,0)*0.02175),"")</f>
        <v>0.58724999999999994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408.40800000000002</v>
      </c>
      <c r="BN342" s="64">
        <f t="shared" ref="BN342:BN348" si="33">IFERROR(Y342*I342/H342,"0")</f>
        <v>417.69</v>
      </c>
      <c r="BO342" s="64">
        <f t="shared" ref="BO342:BO348" si="34">IFERROR(1/J342*(X342/H342),"0")</f>
        <v>0.54999999999999993</v>
      </c>
      <c r="BP342" s="64">
        <f t="shared" ref="BP342:BP348" si="35">IFERROR(1/J342*(Y342/H342),"0")</f>
        <v>0.5625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519</v>
      </c>
      <c r="Y343" s="542">
        <f t="shared" si="31"/>
        <v>525</v>
      </c>
      <c r="Z343" s="36">
        <f>IFERROR(IF(Y343=0,"",ROUNDUP(Y343/H343,0)*0.02175),"")</f>
        <v>0.76124999999999998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535.26200000000006</v>
      </c>
      <c r="BN343" s="64">
        <f t="shared" si="33"/>
        <v>541.45000000000005</v>
      </c>
      <c r="BO343" s="64">
        <f t="shared" si="34"/>
        <v>0.72083333333333333</v>
      </c>
      <c r="BP343" s="64">
        <f t="shared" si="35"/>
        <v>0.72916666666666663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582</v>
      </c>
      <c r="Y344" s="542">
        <f t="shared" si="31"/>
        <v>585</v>
      </c>
      <c r="Z344" s="36">
        <f>IFERROR(IF(Y344=0,"",ROUNDUP(Y344/H344,0)*0.02175),"")</f>
        <v>0.84824999999999995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600.2360000000001</v>
      </c>
      <c r="BN344" s="64">
        <f t="shared" si="33"/>
        <v>603.33000000000004</v>
      </c>
      <c r="BO344" s="64">
        <f t="shared" si="34"/>
        <v>0.80833333333333324</v>
      </c>
      <c r="BP344" s="64">
        <f t="shared" si="35"/>
        <v>0.8125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442</v>
      </c>
      <c r="Y345" s="542">
        <f t="shared" si="31"/>
        <v>450</v>
      </c>
      <c r="Z345" s="36">
        <f>IFERROR(IF(Y345=0,"",ROUNDUP(Y345/H345,0)*0.02175),"")</f>
        <v>0.65249999999999997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455.84933333333339</v>
      </c>
      <c r="BN345" s="64">
        <f t="shared" si="33"/>
        <v>464.1</v>
      </c>
      <c r="BO345" s="64">
        <f t="shared" si="34"/>
        <v>0.61388888888888882</v>
      </c>
      <c r="BP345" s="64">
        <f t="shared" si="35"/>
        <v>0.625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129.26666666666665</v>
      </c>
      <c r="Y349" s="543">
        <f>IFERROR(Y342/H342,"0")+IFERROR(Y343/H343,"0")+IFERROR(Y344/H344,"0")+IFERROR(Y345/H345,"0")+IFERROR(Y346/H346,"0")+IFERROR(Y347/H347,"0")+IFERROR(Y348/H348,"0")</f>
        <v>131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2.8492499999999996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1939</v>
      </c>
      <c r="Y350" s="543">
        <f>IFERROR(SUM(Y342:Y348),"0")</f>
        <v>1965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412</v>
      </c>
      <c r="Y352" s="542">
        <f>IFERROR(IF(X352="",0,CEILING((X352/$H352),1)*$H352),"")</f>
        <v>420</v>
      </c>
      <c r="Z352" s="36">
        <f>IFERROR(IF(Y352=0,"",ROUNDUP(Y352/H352,0)*0.02175),"")</f>
        <v>0.60899999999999999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424.90933333333334</v>
      </c>
      <c r="BN352" s="64">
        <f>IFERROR(Y352*I352/H352,"0")</f>
        <v>433.16</v>
      </c>
      <c r="BO352" s="64">
        <f>IFERROR(1/J352*(X352/H352),"0")</f>
        <v>0.57222222222222219</v>
      </c>
      <c r="BP352" s="64">
        <f>IFERROR(1/J352*(Y352/H352),"0")</f>
        <v>0.58333333333333326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27.466666666666665</v>
      </c>
      <c r="Y354" s="543">
        <f>IFERROR(Y352/H352,"0")+IFERROR(Y353/H353,"0")</f>
        <v>28</v>
      </c>
      <c r="Z354" s="543">
        <f>IFERROR(IF(Z352="",0,Z352),"0")+IFERROR(IF(Z353="",0,Z353),"0")</f>
        <v>0.60899999999999999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412</v>
      </c>
      <c r="Y355" s="543">
        <f>IFERROR(SUM(Y352:Y353),"0")</f>
        <v>420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60</v>
      </c>
      <c r="Y358" s="542">
        <f>IFERROR(IF(X358="",0,CEILING((X358/$H358),1)*$H358),"")</f>
        <v>63</v>
      </c>
      <c r="Z358" s="36">
        <f>IFERROR(IF(Y358=0,"",ROUNDUP(Y358/H358,0)*0.01898),"")</f>
        <v>0.13286000000000001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63.293333333333329</v>
      </c>
      <c r="BN358" s="64">
        <f>IFERROR(Y358*I358/H358,"0")</f>
        <v>66.457999999999998</v>
      </c>
      <c r="BO358" s="64">
        <f>IFERROR(1/J358*(X358/H358),"0")</f>
        <v>0.10416666666666667</v>
      </c>
      <c r="BP358" s="64">
        <f>IFERROR(1/J358*(Y358/H358),"0")</f>
        <v>0.109375</v>
      </c>
    </row>
    <row r="359" spans="1:68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6.666666666666667</v>
      </c>
      <c r="Y359" s="543">
        <f>IFERROR(Y357/H357,"0")+IFERROR(Y358/H358,"0")</f>
        <v>7</v>
      </c>
      <c r="Z359" s="543">
        <f>IFERROR(IF(Z357="",0,Z357),"0")+IFERROR(IF(Z358="",0,Z358),"0")</f>
        <v>0.13286000000000001</v>
      </c>
      <c r="AA359" s="544"/>
      <c r="AB359" s="544"/>
      <c r="AC359" s="544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60</v>
      </c>
      <c r="Y360" s="543">
        <f>IFERROR(SUM(Y357:Y358),"0")</f>
        <v>63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130</v>
      </c>
      <c r="Y362" s="542">
        <f>IFERROR(IF(X362="",0,CEILING((X362/$H362),1)*$H362),"")</f>
        <v>135</v>
      </c>
      <c r="Z362" s="36">
        <f>IFERROR(IF(Y362=0,"",ROUNDUP(Y362/H362,0)*0.01898),"")</f>
        <v>0.28470000000000001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137.13555555555556</v>
      </c>
      <c r="BN362" s="64">
        <f>IFERROR(Y362*I362/H362,"0")</f>
        <v>142.41</v>
      </c>
      <c r="BO362" s="64">
        <f>IFERROR(1/J362*(X362/H362),"0")</f>
        <v>0.22569444444444445</v>
      </c>
      <c r="BP362" s="64">
        <f>IFERROR(1/J362*(Y362/H362),"0")</f>
        <v>0.234375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14.444444444444445</v>
      </c>
      <c r="Y363" s="543">
        <f>IFERROR(Y362/H362,"0")</f>
        <v>15</v>
      </c>
      <c r="Z363" s="543">
        <f>IFERROR(IF(Z362="",0,Z362),"0")</f>
        <v>0.28470000000000001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130</v>
      </c>
      <c r="Y364" s="543">
        <f>IFERROR(SUM(Y362:Y362),"0")</f>
        <v>135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189</v>
      </c>
      <c r="Y377" s="542">
        <f>IFERROR(IF(X377="",0,CEILING((X377/$H377),1)*$H377),"")</f>
        <v>189</v>
      </c>
      <c r="Z377" s="36">
        <f>IFERROR(IF(Y377=0,"",ROUNDUP(Y377/H377,0)*0.01898),"")</f>
        <v>0.39857999999999999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199.374</v>
      </c>
      <c r="BN377" s="64">
        <f>IFERROR(Y377*I377/H377,"0")</f>
        <v>199.374</v>
      </c>
      <c r="BO377" s="64">
        <f>IFERROR(1/J377*(X377/H377),"0")</f>
        <v>0.328125</v>
      </c>
      <c r="BP377" s="64">
        <f>IFERROR(1/J377*(Y377/H377),"0")</f>
        <v>0.328125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21</v>
      </c>
      <c r="Y380" s="543">
        <f>IFERROR(Y377/H377,"0")+IFERROR(Y378/H378,"0")+IFERROR(Y379/H379,"0")</f>
        <v>21</v>
      </c>
      <c r="Z380" s="543">
        <f>IFERROR(IF(Z377="",0,Z377),"0")+IFERROR(IF(Z378="",0,Z378),"0")+IFERROR(IF(Z379="",0,Z379),"0")</f>
        <v>0.39857999999999999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189</v>
      </c>
      <c r="Y381" s="543">
        <f>IFERROR(SUM(Y377:Y379),"0")</f>
        <v>189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17</v>
      </c>
      <c r="Y385" s="542">
        <f t="shared" ref="Y385:Y393" si="36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17.598148148148148</v>
      </c>
      <c r="BN385" s="64">
        <f t="shared" ref="BN385:BN393" si="38">IFERROR(Y385*I385/H385,"0")</f>
        <v>22.36</v>
      </c>
      <c r="BO385" s="64">
        <f t="shared" ref="BO385:BO393" si="39">IFERROR(1/J385*(X385/H385),"0")</f>
        <v>2.3849607182940515E-2</v>
      </c>
      <c r="BP385" s="64">
        <f t="shared" ref="BP385:BP393" si="40">IFERROR(1/J385*(Y385/H385),"0")</f>
        <v>3.0303030303030304E-2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3.1481481481481479</v>
      </c>
      <c r="Y394" s="543">
        <f>IFERROR(Y385/H385,"0")+IFERROR(Y386/H386,"0")+IFERROR(Y387/H387,"0")+IFERROR(Y388/H388,"0")+IFERROR(Y389/H389,"0")+IFERROR(Y390/H390,"0")+IFERROR(Y391/H391,"0")+IFERROR(Y392/H392,"0")+IFERROR(Y393/H393,"0")</f>
        <v>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3.6080000000000001E-2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17</v>
      </c>
      <c r="Y395" s="543">
        <f>IFERROR(SUM(Y385:Y393),"0")</f>
        <v>21.6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61</v>
      </c>
      <c r="Y407" s="542">
        <f>IFERROR(IF(X407="",0,CEILING((X407/$H407),1)*$H407),"")</f>
        <v>64.800000000000011</v>
      </c>
      <c r="Z407" s="36">
        <f>IFERROR(IF(Y407=0,"",ROUNDUP(Y407/H407,0)*0.00902),"")</f>
        <v>0.10824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63.146296296296292</v>
      </c>
      <c r="BN407" s="64">
        <f>IFERROR(Y407*I407/H407,"0")</f>
        <v>67.08</v>
      </c>
      <c r="BO407" s="64">
        <f>IFERROR(1/J407*(X407/H407),"0")</f>
        <v>8.557800224466891E-2</v>
      </c>
      <c r="BP407" s="64">
        <f>IFERROR(1/J407*(Y407/H407),"0")</f>
        <v>9.0909090909090925E-2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11.296296296296296</v>
      </c>
      <c r="Y411" s="543">
        <f>IFERROR(Y407/H407,"0")+IFERROR(Y408/H408,"0")+IFERROR(Y409/H409,"0")+IFERROR(Y410/H410,"0")</f>
        <v>12.000000000000002</v>
      </c>
      <c r="Z411" s="543">
        <f>IFERROR(IF(Z407="",0,Z407),"0")+IFERROR(IF(Z408="",0,Z408),"0")+IFERROR(IF(Z409="",0,Z409),"0")+IFERROR(IF(Z410="",0,Z410),"0")</f>
        <v>0.10824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61</v>
      </c>
      <c r="Y412" s="543">
        <f>IFERROR(SUM(Y407:Y410),"0")</f>
        <v>64.800000000000011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164</v>
      </c>
      <c r="Y421" s="542">
        <f t="shared" ref="Y421:Y431" si="42">IFERROR(IF(X421="",0,CEILING((X421/$H421),1)*$H421),"")</f>
        <v>168.96</v>
      </c>
      <c r="Z421" s="36">
        <f t="shared" ref="Z421:Z426" si="43">IFERROR(IF(Y421=0,"",ROUNDUP(Y421/H421,0)*0.01196),"")</f>
        <v>0.38272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174.8712121212121</v>
      </c>
      <c r="BN421" s="64">
        <f t="shared" ref="BN421:BN431" si="45">IFERROR(Y421*I421/H421,"0")</f>
        <v>180.16</v>
      </c>
      <c r="BO421" s="64">
        <f t="shared" ref="BO421:BO431" si="46">IFERROR(1/J421*(X421/H421),"0")</f>
        <v>0.29865967365967366</v>
      </c>
      <c r="BP421" s="64">
        <f t="shared" ref="BP421:BP431" si="47">IFERROR(1/J421*(Y421/H421),"0")</f>
        <v>0.30769230769230771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152</v>
      </c>
      <c r="Y426" s="542">
        <f t="shared" si="42"/>
        <v>153.12</v>
      </c>
      <c r="Z426" s="36">
        <f t="shared" si="43"/>
        <v>0.34683999999999998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162.07575757575756</v>
      </c>
      <c r="BN426" s="64">
        <f t="shared" si="45"/>
        <v>163.26999999999998</v>
      </c>
      <c r="BO426" s="64">
        <f t="shared" si="46"/>
        <v>0.27680652680652679</v>
      </c>
      <c r="BP426" s="64">
        <f t="shared" si="47"/>
        <v>0.27884615384615385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59.848484848484844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61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0.72955999999999999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316</v>
      </c>
      <c r="Y433" s="543">
        <f>IFERROR(SUM(Y421:Y431),"0")</f>
        <v>322.08000000000004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66</v>
      </c>
      <c r="Y435" s="542">
        <f>IFERROR(IF(X435="",0,CEILING((X435/$H435),1)*$H435),"")</f>
        <v>68.64</v>
      </c>
      <c r="Z435" s="36">
        <f>IFERROR(IF(Y435=0,"",ROUNDUP(Y435/H435,0)*0.01196),"")</f>
        <v>0.15548000000000001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70.375</v>
      </c>
      <c r="BN435" s="64">
        <f>IFERROR(Y435*I435/H435,"0")</f>
        <v>73.19</v>
      </c>
      <c r="BO435" s="64">
        <f>IFERROR(1/J435*(X435/H435),"0")</f>
        <v>0.1201923076923077</v>
      </c>
      <c r="BP435" s="64">
        <f>IFERROR(1/J435*(Y435/H435),"0")</f>
        <v>0.125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12.5</v>
      </c>
      <c r="Y438" s="543">
        <f>IFERROR(Y435/H435,"0")+IFERROR(Y436/H436,"0")+IFERROR(Y437/H437,"0")</f>
        <v>13</v>
      </c>
      <c r="Z438" s="543">
        <f>IFERROR(IF(Z435="",0,Z435),"0")+IFERROR(IF(Z436="",0,Z436),"0")+IFERROR(IF(Z437="",0,Z437),"0")</f>
        <v>0.15548000000000001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66</v>
      </c>
      <c r="Y439" s="543">
        <f>IFERROR(SUM(Y435:Y437),"0")</f>
        <v>68.64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13</v>
      </c>
      <c r="Y442" s="542">
        <f t="shared" si="48"/>
        <v>15.84</v>
      </c>
      <c r="Z442" s="36">
        <f>IFERROR(IF(Y442=0,"",ROUNDUP(Y442/H442,0)*0.01196),"")</f>
        <v>3.5880000000000002E-2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13.861742424242424</v>
      </c>
      <c r="BN442" s="64">
        <f t="shared" si="50"/>
        <v>16.889999999999997</v>
      </c>
      <c r="BO442" s="64">
        <f t="shared" si="51"/>
        <v>2.3674242424242424E-2</v>
      </c>
      <c r="BP442" s="64">
        <f t="shared" si="52"/>
        <v>2.8846153846153848E-2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2.4621212121212119</v>
      </c>
      <c r="Y447" s="543">
        <f>IFERROR(Y441/H441,"0")+IFERROR(Y442/H442,"0")+IFERROR(Y443/H443,"0")+IFERROR(Y444/H444,"0")+IFERROR(Y445/H445,"0")+IFERROR(Y446/H446,"0")</f>
        <v>3</v>
      </c>
      <c r="Z447" s="543">
        <f>IFERROR(IF(Z441="",0,Z441),"0")+IFERROR(IF(Z442="",0,Z442),"0")+IFERROR(IF(Z443="",0,Z443),"0")+IFERROR(IF(Z444="",0,Z444),"0")+IFERROR(IF(Z445="",0,Z445),"0")+IFERROR(IF(Z446="",0,Z446),"0")</f>
        <v>3.5880000000000002E-2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13</v>
      </c>
      <c r="Y448" s="543">
        <f>IFERROR(SUM(Y441:Y446),"0")</f>
        <v>15.84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100</v>
      </c>
      <c r="Y476" s="542">
        <f>IFERROR(IF(X476="",0,CEILING((X476/$H476),1)*$H476),"")</f>
        <v>108</v>
      </c>
      <c r="Z476" s="36">
        <f>IFERROR(IF(Y476=0,"",ROUNDUP(Y476/H476,0)*0.01898),"")</f>
        <v>0.22776000000000002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105.48888888888888</v>
      </c>
      <c r="BN476" s="64">
        <f>IFERROR(Y476*I476/H476,"0")</f>
        <v>113.92799999999998</v>
      </c>
      <c r="BO476" s="64">
        <f>IFERROR(1/J476*(X476/H476),"0")</f>
        <v>0.1736111111111111</v>
      </c>
      <c r="BP476" s="64">
        <f>IFERROR(1/J476*(Y476/H476),"0")</f>
        <v>0.1875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11.111111111111111</v>
      </c>
      <c r="Y477" s="543">
        <f>IFERROR(Y476/H476,"0")</f>
        <v>12</v>
      </c>
      <c r="Z477" s="543">
        <f>IFERROR(IF(Z476="",0,Z476),"0")</f>
        <v>0.22776000000000002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100</v>
      </c>
      <c r="Y478" s="543">
        <f>IFERROR(SUM(Y476:Y476),"0")</f>
        <v>108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5633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5765.1200000000008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5955.3778072872547</v>
      </c>
      <c r="Y490" s="543">
        <f>IFERROR(SUM(BN22:BN486),"0")</f>
        <v>6094.5999999999985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10</v>
      </c>
      <c r="Y491" s="38">
        <f>ROUNDUP(SUM(BP22:BP486),0)</f>
        <v>11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6205.3778072872547</v>
      </c>
      <c r="Y492" s="543">
        <f>GrossWeightTotalR+PalletQtyTotalR*25</f>
        <v>6369.5999999999985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1093.027194442984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1118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11.483230000000002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37.6</v>
      </c>
      <c r="E499" s="46">
        <f>IFERROR(Y85*1,"0")+IFERROR(Y86*1,"0")+IFERROR(Y87*1,"0")+IFERROR(Y91*1,"0")+IFERROR(Y92*1,"0")+IFERROR(Y93*1,"0")+IFERROR(Y94*1,"0")</f>
        <v>513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355.5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81.12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1117.8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1.98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230.39999999999998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54.76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2583</v>
      </c>
      <c r="T499" s="46">
        <f>IFERROR(Y367*1,"0")+IFERROR(Y368*1,"0")+IFERROR(Y372*1,"0")+IFERROR(Y373*1,"0")+IFERROR(Y377*1,"0")+IFERROR(Y378*1,"0")+IFERROR(Y379*1,"0")</f>
        <v>189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21.6</v>
      </c>
      <c r="V499" s="46">
        <f>IFERROR(Y403*1,"0")+IFERROR(Y407*1,"0")+IFERROR(Y408*1,"0")+IFERROR(Y409*1,"0")+IFERROR(Y410*1,"0")</f>
        <v>64.800000000000011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406.56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108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5"/>
        <filter val="0,71"/>
        <filter val="0,83"/>
        <filter val="1 093,03"/>
        <filter val="1 939,00"/>
        <filter val="1,00"/>
        <filter val="1,01"/>
        <filter val="1,28"/>
        <filter val="1,59"/>
        <filter val="10"/>
        <filter val="10,00"/>
        <filter val="100,00"/>
        <filter val="11,11"/>
        <filter val="11,30"/>
        <filter val="118,00"/>
        <filter val="119,00"/>
        <filter val="12,50"/>
        <filter val="122,00"/>
        <filter val="129,00"/>
        <filter val="129,27"/>
        <filter val="13,00"/>
        <filter val="130,00"/>
        <filter val="14,44"/>
        <filter val="152,00"/>
        <filter val="159,00"/>
        <filter val="164,00"/>
        <filter val="17,00"/>
        <filter val="177,00"/>
        <filter val="179,00"/>
        <filter val="181,00"/>
        <filter val="182,00"/>
        <filter val="185,00"/>
        <filter val="189,00"/>
        <filter val="192,00"/>
        <filter val="2,00"/>
        <filter val="2,46"/>
        <filter val="2,63"/>
        <filter val="21,00"/>
        <filter val="213,00"/>
        <filter val="229,00"/>
        <filter val="24,00"/>
        <filter val="26,00"/>
        <filter val="27,11"/>
        <filter val="27,37"/>
        <filter val="27,47"/>
        <filter val="27,50"/>
        <filter val="3,00"/>
        <filter val="3,15"/>
        <filter val="3,93"/>
        <filter val="316,00"/>
        <filter val="33,00"/>
        <filter val="36,19"/>
        <filter val="365,00"/>
        <filter val="374,00"/>
        <filter val="396,00"/>
        <filter val="4,00"/>
        <filter val="40,19"/>
        <filter val="412,00"/>
        <filter val="43,00"/>
        <filter val="442,00"/>
        <filter val="5 633,00"/>
        <filter val="5 955,38"/>
        <filter val="5,00"/>
        <filter val="519,00"/>
        <filter val="52,00"/>
        <filter val="55,00"/>
        <filter val="582,00"/>
        <filter val="59,85"/>
        <filter val="6 205,38"/>
        <filter val="6,00"/>
        <filter val="6,67"/>
        <filter val="60,00"/>
        <filter val="61,00"/>
        <filter val="63,83"/>
        <filter val="66,00"/>
        <filter val="7,00"/>
        <filter val="75,00"/>
        <filter val="8,00"/>
        <filter val="876,00"/>
        <filter val="9,00"/>
        <filter val="93,58"/>
        <filter val="95,42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