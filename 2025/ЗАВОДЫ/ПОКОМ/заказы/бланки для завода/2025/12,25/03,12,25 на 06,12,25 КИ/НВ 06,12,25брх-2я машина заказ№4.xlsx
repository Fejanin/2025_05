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AA7BB39-857C-42B7-9059-6495430D722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Z423" i="1" s="1"/>
  <c r="P423" i="1"/>
  <c r="BO422" i="1"/>
  <c r="BM422" i="1"/>
  <c r="Y422" i="1"/>
  <c r="BP422" i="1" s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O410" i="1"/>
  <c r="BM410" i="1"/>
  <c r="Y410" i="1"/>
  <c r="P410" i="1"/>
  <c r="BO409" i="1"/>
  <c r="BM409" i="1"/>
  <c r="Y409" i="1"/>
  <c r="BP409" i="1" s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BP398" i="1" s="1"/>
  <c r="P398" i="1"/>
  <c r="BO397" i="1"/>
  <c r="BM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Y381" i="1" s="1"/>
  <c r="P377" i="1"/>
  <c r="X375" i="1"/>
  <c r="X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X364" i="1"/>
  <c r="X363" i="1"/>
  <c r="BO362" i="1"/>
  <c r="BM362" i="1"/>
  <c r="Y362" i="1"/>
  <c r="Y363" i="1" s="1"/>
  <c r="P362" i="1"/>
  <c r="X360" i="1"/>
  <c r="X359" i="1"/>
  <c r="BO358" i="1"/>
  <c r="BM358" i="1"/>
  <c r="Y358" i="1"/>
  <c r="BP358" i="1" s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Y355" i="1" s="1"/>
  <c r="P352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BP336" i="1" s="1"/>
  <c r="P336" i="1"/>
  <c r="BO335" i="1"/>
  <c r="BM335" i="1"/>
  <c r="Y335" i="1"/>
  <c r="P335" i="1"/>
  <c r="BO334" i="1"/>
  <c r="BM334" i="1"/>
  <c r="Y334" i="1"/>
  <c r="R499" i="1" s="1"/>
  <c r="P334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BP290" i="1" s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X280" i="1"/>
  <c r="BO279" i="1"/>
  <c r="BM279" i="1"/>
  <c r="Y279" i="1"/>
  <c r="BP279" i="1" s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Z266" i="1" s="1"/>
  <c r="P266" i="1"/>
  <c r="BO265" i="1"/>
  <c r="BM265" i="1"/>
  <c r="Y265" i="1"/>
  <c r="BP265" i="1" s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BP254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Y250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BP219" i="1" s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BP162" i="1" s="1"/>
  <c r="P162" i="1"/>
  <c r="BO161" i="1"/>
  <c r="BM161" i="1"/>
  <c r="Y161" i="1"/>
  <c r="Y172" i="1" s="1"/>
  <c r="P161" i="1"/>
  <c r="X159" i="1"/>
  <c r="X158" i="1"/>
  <c r="BO157" i="1"/>
  <c r="BM157" i="1"/>
  <c r="Y157" i="1"/>
  <c r="Y158" i="1" s="1"/>
  <c r="P157" i="1"/>
  <c r="X153" i="1"/>
  <c r="X152" i="1"/>
  <c r="BO151" i="1"/>
  <c r="BM151" i="1"/>
  <c r="Y151" i="1"/>
  <c r="Y153" i="1" s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BP146" i="1" s="1"/>
  <c r="P146" i="1"/>
  <c r="BO145" i="1"/>
  <c r="BM145" i="1"/>
  <c r="Y145" i="1"/>
  <c r="Y149" i="1" s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BP42" i="1" l="1"/>
  <c r="BN42" i="1"/>
  <c r="Z42" i="1"/>
  <c r="BP79" i="1"/>
  <c r="BN79" i="1"/>
  <c r="Z79" i="1"/>
  <c r="BP115" i="1"/>
  <c r="BN115" i="1"/>
  <c r="Z115" i="1"/>
  <c r="BP163" i="1"/>
  <c r="BN163" i="1"/>
  <c r="Z163" i="1"/>
  <c r="BP176" i="1"/>
  <c r="BN176" i="1"/>
  <c r="Z176" i="1"/>
  <c r="BP209" i="1"/>
  <c r="BN209" i="1"/>
  <c r="Z209" i="1"/>
  <c r="BP232" i="1"/>
  <c r="BN232" i="1"/>
  <c r="Z232" i="1"/>
  <c r="BP272" i="1"/>
  <c r="BN272" i="1"/>
  <c r="Z272" i="1"/>
  <c r="BP308" i="1"/>
  <c r="BN308" i="1"/>
  <c r="Z308" i="1"/>
  <c r="BP343" i="1"/>
  <c r="BN343" i="1"/>
  <c r="Z343" i="1"/>
  <c r="BP389" i="1"/>
  <c r="BN389" i="1"/>
  <c r="Z389" i="1"/>
  <c r="BP424" i="1"/>
  <c r="BN424" i="1"/>
  <c r="Z424" i="1"/>
  <c r="BP450" i="1"/>
  <c r="BN450" i="1"/>
  <c r="Z450" i="1"/>
  <c r="Y23" i="1"/>
  <c r="BP22" i="1"/>
  <c r="BP26" i="1"/>
  <c r="BN26" i="1"/>
  <c r="Z26" i="1"/>
  <c r="BP61" i="1"/>
  <c r="BN61" i="1"/>
  <c r="Z61" i="1"/>
  <c r="BP99" i="1"/>
  <c r="BN99" i="1"/>
  <c r="Z99" i="1"/>
  <c r="BP141" i="1"/>
  <c r="BN141" i="1"/>
  <c r="Z141" i="1"/>
  <c r="BP166" i="1"/>
  <c r="BN166" i="1"/>
  <c r="Z166" i="1"/>
  <c r="Y203" i="1"/>
  <c r="BP197" i="1"/>
  <c r="BN197" i="1"/>
  <c r="Z197" i="1"/>
  <c r="BP224" i="1"/>
  <c r="BN224" i="1"/>
  <c r="Z224" i="1"/>
  <c r="BP256" i="1"/>
  <c r="BN256" i="1"/>
  <c r="Z256" i="1"/>
  <c r="BP292" i="1"/>
  <c r="BN292" i="1"/>
  <c r="Z292" i="1"/>
  <c r="BP320" i="1"/>
  <c r="BN320" i="1"/>
  <c r="Z320" i="1"/>
  <c r="BP357" i="1"/>
  <c r="BN357" i="1"/>
  <c r="Z357" i="1"/>
  <c r="BP408" i="1"/>
  <c r="BN408" i="1"/>
  <c r="Z408" i="1"/>
  <c r="BP436" i="1"/>
  <c r="BN436" i="1"/>
  <c r="Z436" i="1"/>
  <c r="BP466" i="1"/>
  <c r="BN466" i="1"/>
  <c r="Z466" i="1"/>
  <c r="E499" i="1"/>
  <c r="Y304" i="1"/>
  <c r="BP298" i="1"/>
  <c r="BN298" i="1"/>
  <c r="BP302" i="1"/>
  <c r="BN302" i="1"/>
  <c r="Z302" i="1"/>
  <c r="BP316" i="1"/>
  <c r="BN316" i="1"/>
  <c r="Z316" i="1"/>
  <c r="BP335" i="1"/>
  <c r="BN335" i="1"/>
  <c r="Z335" i="1"/>
  <c r="BP353" i="1"/>
  <c r="BN353" i="1"/>
  <c r="Z353" i="1"/>
  <c r="BP378" i="1"/>
  <c r="BN378" i="1"/>
  <c r="Z378" i="1"/>
  <c r="BP387" i="1"/>
  <c r="BN387" i="1"/>
  <c r="Z387" i="1"/>
  <c r="Y399" i="1"/>
  <c r="BP397" i="1"/>
  <c r="BN397" i="1"/>
  <c r="Z397" i="1"/>
  <c r="BP430" i="1"/>
  <c r="BN430" i="1"/>
  <c r="Z430" i="1"/>
  <c r="BP446" i="1"/>
  <c r="BN446" i="1"/>
  <c r="Z446" i="1"/>
  <c r="BP460" i="1"/>
  <c r="BN460" i="1"/>
  <c r="Z460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Y63" i="1"/>
  <c r="Z67" i="1"/>
  <c r="BN67" i="1"/>
  <c r="Y77" i="1"/>
  <c r="Z75" i="1"/>
  <c r="BN75" i="1"/>
  <c r="Y81" i="1"/>
  <c r="Z86" i="1"/>
  <c r="BN86" i="1"/>
  <c r="Y96" i="1"/>
  <c r="Z94" i="1"/>
  <c r="BN94" i="1"/>
  <c r="Z101" i="1"/>
  <c r="BN101" i="1"/>
  <c r="Y109" i="1"/>
  <c r="Z113" i="1"/>
  <c r="BN113" i="1"/>
  <c r="Z119" i="1"/>
  <c r="Z120" i="1" s="1"/>
  <c r="BN119" i="1"/>
  <c r="BP119" i="1"/>
  <c r="Y120" i="1"/>
  <c r="Z124" i="1"/>
  <c r="BN124" i="1"/>
  <c r="Z134" i="1"/>
  <c r="BN134" i="1"/>
  <c r="BP134" i="1"/>
  <c r="H499" i="1"/>
  <c r="Z145" i="1"/>
  <c r="BN145" i="1"/>
  <c r="BP145" i="1"/>
  <c r="Z151" i="1"/>
  <c r="Z152" i="1" s="1"/>
  <c r="BN151" i="1"/>
  <c r="BP151" i="1"/>
  <c r="Y152" i="1"/>
  <c r="Z157" i="1"/>
  <c r="Z158" i="1" s="1"/>
  <c r="BN157" i="1"/>
  <c r="BP157" i="1"/>
  <c r="Z161" i="1"/>
  <c r="BN161" i="1"/>
  <c r="BP161" i="1"/>
  <c r="Z168" i="1"/>
  <c r="BN168" i="1"/>
  <c r="Z174" i="1"/>
  <c r="BN174" i="1"/>
  <c r="BP174" i="1"/>
  <c r="Z180" i="1"/>
  <c r="Z181" i="1" s="1"/>
  <c r="BN180" i="1"/>
  <c r="BP180" i="1"/>
  <c r="Y181" i="1"/>
  <c r="Z185" i="1"/>
  <c r="BN185" i="1"/>
  <c r="Z195" i="1"/>
  <c r="BN195" i="1"/>
  <c r="BP195" i="1"/>
  <c r="Z199" i="1"/>
  <c r="BN199" i="1"/>
  <c r="Z207" i="1"/>
  <c r="BN207" i="1"/>
  <c r="Z211" i="1"/>
  <c r="BN211" i="1"/>
  <c r="Z219" i="1"/>
  <c r="BN219" i="1"/>
  <c r="Z226" i="1"/>
  <c r="BN226" i="1"/>
  <c r="Z230" i="1"/>
  <c r="BN230" i="1"/>
  <c r="Z247" i="1"/>
  <c r="BN247" i="1"/>
  <c r="Z254" i="1"/>
  <c r="BN254" i="1"/>
  <c r="Z258" i="1"/>
  <c r="BN258" i="1"/>
  <c r="Z265" i="1"/>
  <c r="BN265" i="1"/>
  <c r="Z279" i="1"/>
  <c r="BN279" i="1"/>
  <c r="Y285" i="1"/>
  <c r="Z290" i="1"/>
  <c r="BN290" i="1"/>
  <c r="Z298" i="1"/>
  <c r="BP310" i="1"/>
  <c r="BN310" i="1"/>
  <c r="Z310" i="1"/>
  <c r="BP322" i="1"/>
  <c r="BN322" i="1"/>
  <c r="Z322" i="1"/>
  <c r="BP345" i="1"/>
  <c r="BN345" i="1"/>
  <c r="Z345" i="1"/>
  <c r="T499" i="1"/>
  <c r="BP368" i="1"/>
  <c r="BN368" i="1"/>
  <c r="Z368" i="1"/>
  <c r="BP379" i="1"/>
  <c r="BN379" i="1"/>
  <c r="Z379" i="1"/>
  <c r="BP391" i="1"/>
  <c r="BN391" i="1"/>
  <c r="Z391" i="1"/>
  <c r="BP410" i="1"/>
  <c r="BN410" i="1"/>
  <c r="Z410" i="1"/>
  <c r="BP426" i="1"/>
  <c r="BN426" i="1"/>
  <c r="Z426" i="1"/>
  <c r="BP442" i="1"/>
  <c r="BN442" i="1"/>
  <c r="Z442" i="1"/>
  <c r="BP452" i="1"/>
  <c r="BN452" i="1"/>
  <c r="Z45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Y312" i="1"/>
  <c r="Y318" i="1"/>
  <c r="Y324" i="1"/>
  <c r="Y330" i="1"/>
  <c r="Y349" i="1"/>
  <c r="Y359" i="1"/>
  <c r="Y374" i="1"/>
  <c r="U499" i="1"/>
  <c r="V499" i="1"/>
  <c r="Y412" i="1"/>
  <c r="Y462" i="1"/>
  <c r="F9" i="1"/>
  <c r="J9" i="1"/>
  <c r="F10" i="1"/>
  <c r="Y31" i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2" i="1"/>
  <c r="Y148" i="1"/>
  <c r="Y171" i="1"/>
  <c r="Y177" i="1"/>
  <c r="Y188" i="1"/>
  <c r="Y192" i="1"/>
  <c r="Y204" i="1"/>
  <c r="Y216" i="1"/>
  <c r="Y220" i="1"/>
  <c r="Y235" i="1"/>
  <c r="Y239" i="1"/>
  <c r="Y243" i="1"/>
  <c r="Z246" i="1"/>
  <c r="BN246" i="1"/>
  <c r="Z248" i="1"/>
  <c r="BN248" i="1"/>
  <c r="Y251" i="1"/>
  <c r="L499" i="1"/>
  <c r="Z255" i="1"/>
  <c r="BN255" i="1"/>
  <c r="Z257" i="1"/>
  <c r="BN257" i="1"/>
  <c r="Y260" i="1"/>
  <c r="M499" i="1"/>
  <c r="Y267" i="1"/>
  <c r="Z264" i="1"/>
  <c r="Z267" i="1" s="1"/>
  <c r="BN264" i="1"/>
  <c r="Y268" i="1"/>
  <c r="Y274" i="1"/>
  <c r="BP271" i="1"/>
  <c r="BN271" i="1"/>
  <c r="Z271" i="1"/>
  <c r="O499" i="1"/>
  <c r="BP284" i="1"/>
  <c r="BN284" i="1"/>
  <c r="Z284" i="1"/>
  <c r="Z285" i="1" s="1"/>
  <c r="Y286" i="1"/>
  <c r="Q499" i="1"/>
  <c r="Y294" i="1"/>
  <c r="BP289" i="1"/>
  <c r="BN289" i="1"/>
  <c r="Z289" i="1"/>
  <c r="Y295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D499" i="1"/>
  <c r="Z52" i="1"/>
  <c r="BN52" i="1"/>
  <c r="Z54" i="1"/>
  <c r="BN54" i="1"/>
  <c r="Z56" i="1"/>
  <c r="BN56" i="1"/>
  <c r="Y57" i="1"/>
  <c r="Z60" i="1"/>
  <c r="Z63" i="1" s="1"/>
  <c r="BN60" i="1"/>
  <c r="BP60" i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Z80" i="1"/>
  <c r="BN80" i="1"/>
  <c r="Z85" i="1"/>
  <c r="BN85" i="1"/>
  <c r="BP85" i="1"/>
  <c r="Z87" i="1"/>
  <c r="BN87" i="1"/>
  <c r="Y88" i="1"/>
  <c r="Z91" i="1"/>
  <c r="BN91" i="1"/>
  <c r="BP91" i="1"/>
  <c r="Z93" i="1"/>
  <c r="BN93" i="1"/>
  <c r="F499" i="1"/>
  <c r="Z100" i="1"/>
  <c r="BN100" i="1"/>
  <c r="Z102" i="1"/>
  <c r="BN102" i="1"/>
  <c r="Y103" i="1"/>
  <c r="Z106" i="1"/>
  <c r="Z109" i="1" s="1"/>
  <c r="BN106" i="1"/>
  <c r="BP106" i="1"/>
  <c r="Z108" i="1"/>
  <c r="BN108" i="1"/>
  <c r="Z112" i="1"/>
  <c r="BN112" i="1"/>
  <c r="BP112" i="1"/>
  <c r="Z114" i="1"/>
  <c r="BN114" i="1"/>
  <c r="G499" i="1"/>
  <c r="Z125" i="1"/>
  <c r="Z126" i="1" s="1"/>
  <c r="BN125" i="1"/>
  <c r="Y126" i="1"/>
  <c r="Z129" i="1"/>
  <c r="Z131" i="1" s="1"/>
  <c r="BN129" i="1"/>
  <c r="BP129" i="1"/>
  <c r="Z135" i="1"/>
  <c r="Z136" i="1" s="1"/>
  <c r="BN135" i="1"/>
  <c r="Z140" i="1"/>
  <c r="Z142" i="1" s="1"/>
  <c r="BN140" i="1"/>
  <c r="BP140" i="1"/>
  <c r="Y143" i="1"/>
  <c r="Z146" i="1"/>
  <c r="Z148" i="1" s="1"/>
  <c r="BN146" i="1"/>
  <c r="I499" i="1"/>
  <c r="Y159" i="1"/>
  <c r="Z162" i="1"/>
  <c r="BN162" i="1"/>
  <c r="Z164" i="1"/>
  <c r="BN164" i="1"/>
  <c r="Z165" i="1"/>
  <c r="BN165" i="1"/>
  <c r="Z167" i="1"/>
  <c r="BN167" i="1"/>
  <c r="Z169" i="1"/>
  <c r="BN169" i="1"/>
  <c r="Z175" i="1"/>
  <c r="BN175" i="1"/>
  <c r="J499" i="1"/>
  <c r="Z186" i="1"/>
  <c r="Z187" i="1" s="1"/>
  <c r="BN186" i="1"/>
  <c r="Y187" i="1"/>
  <c r="Z190" i="1"/>
  <c r="Z192" i="1" s="1"/>
  <c r="BN190" i="1"/>
  <c r="BP190" i="1"/>
  <c r="Z196" i="1"/>
  <c r="BN196" i="1"/>
  <c r="Z198" i="1"/>
  <c r="BN198" i="1"/>
  <c r="Z200" i="1"/>
  <c r="BN200" i="1"/>
  <c r="Z202" i="1"/>
  <c r="BN202" i="1"/>
  <c r="Z206" i="1"/>
  <c r="Z215" i="1" s="1"/>
  <c r="BN206" i="1"/>
  <c r="BP206" i="1"/>
  <c r="Z208" i="1"/>
  <c r="BN208" i="1"/>
  <c r="Z210" i="1"/>
  <c r="BN210" i="1"/>
  <c r="Z212" i="1"/>
  <c r="BN212" i="1"/>
  <c r="Z214" i="1"/>
  <c r="BN214" i="1"/>
  <c r="Z218" i="1"/>
  <c r="BN218" i="1"/>
  <c r="BP218" i="1"/>
  <c r="K499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Z250" i="1" s="1"/>
  <c r="BN245" i="1"/>
  <c r="BP245" i="1"/>
  <c r="Y259" i="1"/>
  <c r="BP266" i="1"/>
  <c r="BN266" i="1"/>
  <c r="BP273" i="1"/>
  <c r="BN273" i="1"/>
  <c r="Z273" i="1"/>
  <c r="Y275" i="1"/>
  <c r="P499" i="1"/>
  <c r="Y281" i="1"/>
  <c r="BP278" i="1"/>
  <c r="BN278" i="1"/>
  <c r="Z278" i="1"/>
  <c r="Z280" i="1" s="1"/>
  <c r="Y305" i="1"/>
  <c r="Y311" i="1"/>
  <c r="Y317" i="1"/>
  <c r="Y325" i="1"/>
  <c r="Y331" i="1"/>
  <c r="Y338" i="1"/>
  <c r="Y350" i="1"/>
  <c r="Y354" i="1"/>
  <c r="Y360" i="1"/>
  <c r="Y364" i="1"/>
  <c r="Y369" i="1"/>
  <c r="Y375" i="1"/>
  <c r="Y380" i="1"/>
  <c r="Y394" i="1"/>
  <c r="Y400" i="1"/>
  <c r="Y405" i="1"/>
  <c r="Y411" i="1"/>
  <c r="BP427" i="1"/>
  <c r="BN427" i="1"/>
  <c r="Z427" i="1"/>
  <c r="BP431" i="1"/>
  <c r="BN431" i="1"/>
  <c r="Z431" i="1"/>
  <c r="Y433" i="1"/>
  <c r="Y438" i="1"/>
  <c r="BP435" i="1"/>
  <c r="BN435" i="1"/>
  <c r="Z435" i="1"/>
  <c r="BP443" i="1"/>
  <c r="BN443" i="1"/>
  <c r="Z443" i="1"/>
  <c r="Y447" i="1"/>
  <c r="BP451" i="1"/>
  <c r="BN451" i="1"/>
  <c r="Z451" i="1"/>
  <c r="BP461" i="1"/>
  <c r="BN461" i="1"/>
  <c r="Z461" i="1"/>
  <c r="Y463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S499" i="1"/>
  <c r="W499" i="1"/>
  <c r="Z291" i="1"/>
  <c r="BN291" i="1"/>
  <c r="Z293" i="1"/>
  <c r="BN293" i="1"/>
  <c r="Z297" i="1"/>
  <c r="BN297" i="1"/>
  <c r="BP297" i="1"/>
  <c r="Z299" i="1"/>
  <c r="BN299" i="1"/>
  <c r="Z301" i="1"/>
  <c r="BN301" i="1"/>
  <c r="Z303" i="1"/>
  <c r="BN303" i="1"/>
  <c r="Z307" i="1"/>
  <c r="BN307" i="1"/>
  <c r="BP307" i="1"/>
  <c r="Z309" i="1"/>
  <c r="BN309" i="1"/>
  <c r="Z315" i="1"/>
  <c r="Z317" i="1" s="1"/>
  <c r="BN315" i="1"/>
  <c r="Z321" i="1"/>
  <c r="BN321" i="1"/>
  <c r="Z323" i="1"/>
  <c r="BN323" i="1"/>
  <c r="Z327" i="1"/>
  <c r="BN327" i="1"/>
  <c r="BP327" i="1"/>
  <c r="Z329" i="1"/>
  <c r="BN329" i="1"/>
  <c r="Z334" i="1"/>
  <c r="BN334" i="1"/>
  <c r="BP334" i="1"/>
  <c r="Z336" i="1"/>
  <c r="BN336" i="1"/>
  <c r="Y337" i="1"/>
  <c r="Z342" i="1"/>
  <c r="BN342" i="1"/>
  <c r="BP342" i="1"/>
  <c r="Z344" i="1"/>
  <c r="BN344" i="1"/>
  <c r="Z346" i="1"/>
  <c r="BN346" i="1"/>
  <c r="Z348" i="1"/>
  <c r="BN348" i="1"/>
  <c r="Z352" i="1"/>
  <c r="Z354" i="1" s="1"/>
  <c r="BN352" i="1"/>
  <c r="BP352" i="1"/>
  <c r="Z358" i="1"/>
  <c r="Z359" i="1" s="1"/>
  <c r="BN358" i="1"/>
  <c r="Z362" i="1"/>
  <c r="Z363" i="1" s="1"/>
  <c r="BN362" i="1"/>
  <c r="BP362" i="1"/>
  <c r="Z367" i="1"/>
  <c r="Z369" i="1" s="1"/>
  <c r="BN367" i="1"/>
  <c r="BP367" i="1"/>
  <c r="Y370" i="1"/>
  <c r="Z373" i="1"/>
  <c r="Z374" i="1" s="1"/>
  <c r="BN373" i="1"/>
  <c r="Z377" i="1"/>
  <c r="Z380" i="1" s="1"/>
  <c r="BN377" i="1"/>
  <c r="BP377" i="1"/>
  <c r="Z386" i="1"/>
  <c r="BN386" i="1"/>
  <c r="Z388" i="1"/>
  <c r="BN388" i="1"/>
  <c r="Z390" i="1"/>
  <c r="BN390" i="1"/>
  <c r="Z392" i="1"/>
  <c r="BN392" i="1"/>
  <c r="Y395" i="1"/>
  <c r="Z398" i="1"/>
  <c r="Z399" i="1" s="1"/>
  <c r="BN398" i="1"/>
  <c r="Z403" i="1"/>
  <c r="Z404" i="1" s="1"/>
  <c r="BN403" i="1"/>
  <c r="BP403" i="1"/>
  <c r="Y404" i="1"/>
  <c r="Z407" i="1"/>
  <c r="BN407" i="1"/>
  <c r="BP407" i="1"/>
  <c r="Z409" i="1"/>
  <c r="BN409" i="1"/>
  <c r="X499" i="1"/>
  <c r="Y432" i="1"/>
  <c r="Z422" i="1"/>
  <c r="BN42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BP445" i="1"/>
  <c r="BN445" i="1"/>
  <c r="Z445" i="1"/>
  <c r="Y454" i="1"/>
  <c r="Y453" i="1"/>
  <c r="BP459" i="1"/>
  <c r="BN459" i="1"/>
  <c r="Z459" i="1"/>
  <c r="Z462" i="1" s="1"/>
  <c r="BP467" i="1"/>
  <c r="BN467" i="1"/>
  <c r="Z467" i="1"/>
  <c r="Y469" i="1"/>
  <c r="Y474" i="1"/>
  <c r="BP471" i="1"/>
  <c r="BN471" i="1"/>
  <c r="Z471" i="1"/>
  <c r="Z473" i="1" s="1"/>
  <c r="Y482" i="1"/>
  <c r="Y499" i="1"/>
  <c r="Z453" i="1" l="1"/>
  <c r="Z220" i="1"/>
  <c r="Z177" i="1"/>
  <c r="Z81" i="1"/>
  <c r="Z43" i="1"/>
  <c r="Z203" i="1"/>
  <c r="Y491" i="1"/>
  <c r="Z31" i="1"/>
  <c r="Y493" i="1"/>
  <c r="Z324" i="1"/>
  <c r="Z432" i="1"/>
  <c r="Z394" i="1"/>
  <c r="Z349" i="1"/>
  <c r="Z337" i="1"/>
  <c r="Z311" i="1"/>
  <c r="Z234" i="1"/>
  <c r="Z171" i="1"/>
  <c r="Z103" i="1"/>
  <c r="Z57" i="1"/>
  <c r="Y490" i="1"/>
  <c r="Z259" i="1"/>
  <c r="Y492" i="1"/>
  <c r="Z468" i="1"/>
  <c r="Z438" i="1"/>
  <c r="X492" i="1"/>
  <c r="Z294" i="1"/>
  <c r="Z274" i="1"/>
  <c r="Z447" i="1"/>
  <c r="Z411" i="1"/>
  <c r="Z330" i="1"/>
  <c r="Z304" i="1"/>
  <c r="Z116" i="1"/>
  <c r="Z95" i="1"/>
  <c r="Z88" i="1"/>
  <c r="Z69" i="1"/>
  <c r="Y489" i="1"/>
  <c r="Z494" i="1" l="1"/>
</calcChain>
</file>

<file path=xl/sharedStrings.xml><?xml version="1.0" encoding="utf-8"?>
<sst xmlns="http://schemas.openxmlformats.org/spreadsheetml/2006/main" count="2201" uniqueCount="763">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</sst>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45997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Суббота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0.41666666666666669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34</v>
      </c>
      <c r="Y51" s="542">
        <f t="shared" ref="Y51:Y56" si="0">IFERROR(IF(X51="",0,CEILING((X51/$H51),1)*$H51),"")</f>
        <v>44.8</v>
      </c>
      <c r="Z51" s="36">
        <f>IFERROR(IF(Y51=0,"",ROUNDUP(Y51/H51,0)*0.01898),"")</f>
        <v>7.5920000000000001E-2</v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35.244642857142857</v>
      </c>
      <c r="BN51" s="64">
        <f t="shared" ref="BN51:BN56" si="2">IFERROR(Y51*I51/H51,"0")</f>
        <v>46.44</v>
      </c>
      <c r="BO51" s="64">
        <f t="shared" ref="BO51:BO56" si="3">IFERROR(1/J51*(X51/H51),"0")</f>
        <v>4.7433035714285719E-2</v>
      </c>
      <c r="BP51" s="64">
        <f t="shared" ref="BP51:BP56" si="4">IFERROR(1/J51*(Y51/H51),"0")</f>
        <v>6.25E-2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5</v>
      </c>
      <c r="Y54" s="542">
        <f t="shared" si="0"/>
        <v>8</v>
      </c>
      <c r="Z54" s="36">
        <f>IFERROR(IF(Y54=0,"",ROUNDUP(Y54/H54,0)*0.00902),"")</f>
        <v>1.804E-2</v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5.2375000000000007</v>
      </c>
      <c r="BN54" s="64">
        <f t="shared" si="2"/>
        <v>8.3800000000000008</v>
      </c>
      <c r="BO54" s="64">
        <f t="shared" si="3"/>
        <v>9.46969696969697E-3</v>
      </c>
      <c r="BP54" s="64">
        <f t="shared" si="4"/>
        <v>1.5151515151515152E-2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4.2857142857142865</v>
      </c>
      <c r="Y57" s="543">
        <f>IFERROR(Y51/H51,"0")+IFERROR(Y52/H52,"0")+IFERROR(Y53/H53,"0")+IFERROR(Y54/H54,"0")+IFERROR(Y55/H55,"0")+IFERROR(Y56/H56,"0")</f>
        <v>6</v>
      </c>
      <c r="Z57" s="543">
        <f>IFERROR(IF(Z51="",0,Z51),"0")+IFERROR(IF(Z52="",0,Z52),"0")+IFERROR(IF(Z53="",0,Z53),"0")+IFERROR(IF(Z54="",0,Z54),"0")+IFERROR(IF(Z55="",0,Z55),"0")+IFERROR(IF(Z56="",0,Z56),"0")</f>
        <v>9.3960000000000002E-2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39</v>
      </c>
      <c r="Y58" s="543">
        <f>IFERROR(SUM(Y51:Y56),"0")</f>
        <v>52.8</v>
      </c>
      <c r="Z58" s="37"/>
      <c r="AA58" s="544"/>
      <c r="AB58" s="544"/>
      <c r="AC58" s="544"/>
    </row>
    <row r="59" spans="1:68" ht="14.25" hidden="1" customHeight="1" x14ac:dyDescent="0.25">
      <c r="A59" s="561" t="s">
        <v>134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4</v>
      </c>
      <c r="Y60" s="542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4.1518518518518519</v>
      </c>
      <c r="BN60" s="64">
        <f>IFERROR(Y60*I60/H60,"0")</f>
        <v>11.21</v>
      </c>
      <c r="BO60" s="64">
        <f>IFERROR(1/J60*(X60/H60),"0")</f>
        <v>5.7870370370370367E-3</v>
      </c>
      <c r="BP60" s="64">
        <f>IFERROR(1/J60*(Y60/H60),"0")</f>
        <v>1.5625E-2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0.37037037037037035</v>
      </c>
      <c r="Y63" s="543">
        <f>IFERROR(Y60/H60,"0")+IFERROR(Y61/H61,"0")+IFERROR(Y62/H62,"0")</f>
        <v>1</v>
      </c>
      <c r="Z63" s="543">
        <f>IFERROR(IF(Z60="",0,Z60),"0")+IFERROR(IF(Z61="",0,Z61),"0")+IFERROR(IF(Z62="",0,Z62),"0")</f>
        <v>1.898E-2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4</v>
      </c>
      <c r="Y64" s="543">
        <f>IFERROR(SUM(Y60:Y62),"0")</f>
        <v>10.8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162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169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19</v>
      </c>
      <c r="Y85" s="542">
        <f>IFERROR(IF(X85="",0,CEILING((X85/$H85),1)*$H85),"")</f>
        <v>21.6</v>
      </c>
      <c r="Z85" s="36">
        <f>IFERROR(IF(Y85=0,"",ROUNDUP(Y85/H85,0)*0.01898),"")</f>
        <v>3.7960000000000001E-2</v>
      </c>
      <c r="AA85" s="56"/>
      <c r="AB85" s="57"/>
      <c r="AC85" s="127" t="s">
        <v>172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19.721296296296295</v>
      </c>
      <c r="BN85" s="64">
        <f>IFERROR(Y85*I85/H85,"0")</f>
        <v>22.42</v>
      </c>
      <c r="BO85" s="64">
        <f>IFERROR(1/J85*(X85/H85),"0")</f>
        <v>2.7488425925925923E-2</v>
      </c>
      <c r="BP85" s="64">
        <f>IFERROR(1/J85*(Y85/H85),"0")</f>
        <v>3.125E-2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14</v>
      </c>
      <c r="Y87" s="542">
        <f>IFERROR(IF(X87="",0,CEILING((X87/$H87),1)*$H87),"")</f>
        <v>18</v>
      </c>
      <c r="Z87" s="36">
        <f>IFERROR(IF(Y87=0,"",ROUNDUP(Y87/H87,0)*0.00902),"")</f>
        <v>3.6080000000000001E-2</v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14.591111111111113</v>
      </c>
      <c r="BN87" s="64">
        <f>IFERROR(Y87*I87/H87,"0")</f>
        <v>18.760000000000002</v>
      </c>
      <c r="BO87" s="64">
        <f>IFERROR(1/J87*(X87/H87),"0")</f>
        <v>2.3569023569023569E-2</v>
      </c>
      <c r="BP87" s="64">
        <f>IFERROR(1/J87*(Y87/H87),"0")</f>
        <v>3.0303030303030304E-2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4.8703703703703702</v>
      </c>
      <c r="Y88" s="543">
        <f>IFERROR(Y85/H85,"0")+IFERROR(Y86/H86,"0")+IFERROR(Y87/H87,"0")</f>
        <v>6</v>
      </c>
      <c r="Z88" s="543">
        <f>IFERROR(IF(Z85="",0,Z85),"0")+IFERROR(IF(Z86="",0,Z86),"0")+IFERROR(IF(Z87="",0,Z87),"0")</f>
        <v>7.4039999999999995E-2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33</v>
      </c>
      <c r="Y89" s="543">
        <f>IFERROR(SUM(Y85:Y87),"0")</f>
        <v>39.6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hidden="1" customHeight="1" x14ac:dyDescent="0.25">
      <c r="A91" s="54" t="s">
        <v>177</v>
      </c>
      <c r="B91" s="54" t="s">
        <v>178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150</v>
      </c>
      <c r="Y93" s="542">
        <f>IFERROR(IF(X93="",0,CEILING((X93/$H93),1)*$H93),"")</f>
        <v>151.20000000000002</v>
      </c>
      <c r="Z93" s="36">
        <f>IFERROR(IF(Y93=0,"",ROUNDUP(Y93/H93,0)*0.00651),"")</f>
        <v>0.36456</v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164</v>
      </c>
      <c r="BN93" s="64">
        <f>IFERROR(Y93*I93/H93,"0")</f>
        <v>165.31200000000001</v>
      </c>
      <c r="BO93" s="64">
        <f>IFERROR(1/J93*(X93/H93),"0")</f>
        <v>0.30525030525030522</v>
      </c>
      <c r="BP93" s="64">
        <f>IFERROR(1/J93*(Y93/H93),"0")</f>
        <v>0.30769230769230771</v>
      </c>
    </row>
    <row r="94" spans="1:68" ht="16.5" hidden="1" customHeight="1" x14ac:dyDescent="0.25">
      <c r="A94" s="54" t="s">
        <v>185</v>
      </c>
      <c r="B94" s="54" t="s">
        <v>186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55.55555555555555</v>
      </c>
      <c r="Y95" s="543">
        <f>IFERROR(Y91/H91,"0")+IFERROR(Y92/H92,"0")+IFERROR(Y93/H93,"0")+IFERROR(Y94/H94,"0")</f>
        <v>56</v>
      </c>
      <c r="Z95" s="543">
        <f>IFERROR(IF(Z91="",0,Z91),"0")+IFERROR(IF(Z92="",0,Z92),"0")+IFERROR(IF(Z93="",0,Z93),"0")+IFERROR(IF(Z94="",0,Z94),"0")</f>
        <v>0.36456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150</v>
      </c>
      <c r="Y96" s="543">
        <f>IFERROR(SUM(Y91:Y94),"0")</f>
        <v>151.20000000000002</v>
      </c>
      <c r="Z96" s="37"/>
      <c r="AA96" s="544"/>
      <c r="AB96" s="544"/>
      <c r="AC96" s="544"/>
    </row>
    <row r="97" spans="1:68" ht="16.5" hidden="1" customHeight="1" x14ac:dyDescent="0.25">
      <c r="A97" s="560" t="s">
        <v>188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hidden="1" customHeight="1" x14ac:dyDescent="0.25">
      <c r="A99" s="54" t="s">
        <v>189</v>
      </c>
      <c r="B99" s="54" t="s">
        <v>190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192</v>
      </c>
      <c r="B100" s="54" t="s">
        <v>193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194</v>
      </c>
      <c r="B101" s="54" t="s">
        <v>195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196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191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134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/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50</v>
      </c>
      <c r="Y106" s="542">
        <f>IFERROR(IF(X106="",0,CEILING((X106/$H106),1)*$H106),"")</f>
        <v>54</v>
      </c>
      <c r="Z106" s="36">
        <f>IFERROR(IF(Y106=0,"",ROUNDUP(Y106/H106,0)*0.01898),"")</f>
        <v>9.4899999999999998E-2</v>
      </c>
      <c r="AA106" s="56"/>
      <c r="AB106" s="57"/>
      <c r="AC106" s="149" t="s">
        <v>201</v>
      </c>
      <c r="AG106" s="64"/>
      <c r="AJ106" s="68"/>
      <c r="AK106" s="68">
        <v>0</v>
      </c>
      <c r="BB106" s="150" t="s">
        <v>1</v>
      </c>
      <c r="BM106" s="64">
        <f>IFERROR(X106*I106/H106,"0")</f>
        <v>51.898148148148145</v>
      </c>
      <c r="BN106" s="64">
        <f>IFERROR(Y106*I106/H106,"0")</f>
        <v>56.05</v>
      </c>
      <c r="BO106" s="64">
        <f>IFERROR(1/J106*(X106/H106),"0")</f>
        <v>7.2337962962962965E-2</v>
      </c>
      <c r="BP106" s="64">
        <f>IFERROR(1/J106*(Y106/H106),"0")</f>
        <v>7.8125E-2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4.6296296296296298</v>
      </c>
      <c r="Y109" s="543">
        <f>IFERROR(Y106/H106,"0")+IFERROR(Y107/H107,"0")+IFERROR(Y108/H108,"0")</f>
        <v>5</v>
      </c>
      <c r="Z109" s="543">
        <f>IFERROR(IF(Z106="",0,Z106),"0")+IFERROR(IF(Z107="",0,Z107),"0")+IFERROR(IF(Z108="",0,Z108),"0")</f>
        <v>9.4899999999999998E-2</v>
      </c>
      <c r="AA109" s="544"/>
      <c r="AB109" s="544"/>
      <c r="AC109" s="544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50</v>
      </c>
      <c r="Y110" s="543">
        <f>IFERROR(SUM(Y106:Y108),"0")</f>
        <v>54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62</v>
      </c>
      <c r="Y112" s="542">
        <f>IFERROR(IF(X112="",0,CEILING((X112/$H112),1)*$H112),"")</f>
        <v>64.8</v>
      </c>
      <c r="Z112" s="36">
        <f>IFERROR(IF(Y112=0,"",ROUNDUP(Y112/H112,0)*0.01898),"")</f>
        <v>0.15184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65.735308641975294</v>
      </c>
      <c r="BN112" s="64">
        <f>IFERROR(Y112*I112/H112,"0")</f>
        <v>68.703999999999994</v>
      </c>
      <c r="BO112" s="64">
        <f>IFERROR(1/J112*(X112/H112),"0")</f>
        <v>0.11959876543209877</v>
      </c>
      <c r="BP112" s="64">
        <f>IFERROR(1/J112*(Y112/H112),"0")</f>
        <v>0.125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114</v>
      </c>
      <c r="Y114" s="542">
        <f>IFERROR(IF(X114="",0,CEILING((X114/$H114),1)*$H114),"")</f>
        <v>116.10000000000001</v>
      </c>
      <c r="Z114" s="36">
        <f>IFERROR(IF(Y114=0,"",ROUNDUP(Y114/H114,0)*0.00651),"")</f>
        <v>0.27993000000000001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124.64</v>
      </c>
      <c r="BN114" s="64">
        <f>IFERROR(Y114*I114/H114,"0")</f>
        <v>126.93600000000001</v>
      </c>
      <c r="BO114" s="64">
        <f>IFERROR(1/J114*(X114/H114),"0")</f>
        <v>0.231990231990232</v>
      </c>
      <c r="BP114" s="64">
        <f>IFERROR(1/J114*(Y114/H114),"0")</f>
        <v>0.23626373626373628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49.876543209876544</v>
      </c>
      <c r="Y116" s="543">
        <f>IFERROR(Y112/H112,"0")+IFERROR(Y113/H113,"0")+IFERROR(Y114/H114,"0")+IFERROR(Y115/H115,"0")</f>
        <v>51</v>
      </c>
      <c r="Z116" s="543">
        <f>IFERROR(IF(Z112="",0,Z112),"0")+IFERROR(IF(Z113="",0,Z113),"0")+IFERROR(IF(Z114="",0,Z114),"0")+IFERROR(IF(Z115="",0,Z115),"0")</f>
        <v>0.43176999999999999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176</v>
      </c>
      <c r="Y117" s="543">
        <f>IFERROR(SUM(Y112:Y115),"0")</f>
        <v>180.9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162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134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196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196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12</v>
      </c>
      <c r="Y167" s="542">
        <f t="shared" si="5"/>
        <v>12.6</v>
      </c>
      <c r="Z167" s="36">
        <f>IFERROR(IF(Y167=0,"",ROUNDUP(Y167/H167,0)*0.00502),"")</f>
        <v>3.5140000000000005E-2</v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12.866666666666667</v>
      </c>
      <c r="BN167" s="64">
        <f t="shared" si="7"/>
        <v>13.509999999999998</v>
      </c>
      <c r="BO167" s="64">
        <f t="shared" si="8"/>
        <v>2.8490028490028491E-2</v>
      </c>
      <c r="BP167" s="64">
        <f t="shared" si="9"/>
        <v>2.9914529914529919E-2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1</v>
      </c>
      <c r="Y168" s="542">
        <f t="shared" si="5"/>
        <v>2.1</v>
      </c>
      <c r="Z168" s="36">
        <f>IFERROR(IF(Y168=0,"",ROUNDUP(Y168/H168,0)*0.00502),"")</f>
        <v>5.0200000000000002E-3</v>
      </c>
      <c r="AA168" s="56"/>
      <c r="AB168" s="57"/>
      <c r="AC168" s="205" t="s">
        <v>263</v>
      </c>
      <c r="AG168" s="64"/>
      <c r="AJ168" s="68"/>
      <c r="AK168" s="68">
        <v>0</v>
      </c>
      <c r="BB168" s="206" t="s">
        <v>1</v>
      </c>
      <c r="BM168" s="64">
        <f t="shared" si="6"/>
        <v>1.0476190476190477</v>
      </c>
      <c r="BN168" s="64">
        <f t="shared" si="7"/>
        <v>2.2000000000000002</v>
      </c>
      <c r="BO168" s="64">
        <f t="shared" si="8"/>
        <v>2.0350020350020353E-3</v>
      </c>
      <c r="BP168" s="64">
        <f t="shared" si="9"/>
        <v>4.2735042735042739E-3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7.1428571428571423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8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4.0160000000000001E-2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13</v>
      </c>
      <c r="Y172" s="543">
        <f>IFERROR(SUM(Y161:Y170),"0")</f>
        <v>14.7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134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196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196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196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38</v>
      </c>
      <c r="Y199" s="542">
        <f t="shared" si="10"/>
        <v>39.6</v>
      </c>
      <c r="Z199" s="36">
        <f>IFERROR(IF(Y199=0,"",ROUNDUP(Y199/H199,0)*0.00502),"")</f>
        <v>0.11044000000000001</v>
      </c>
      <c r="AA199" s="56"/>
      <c r="AB199" s="57"/>
      <c r="AC199" s="235" t="s">
        <v>309</v>
      </c>
      <c r="AG199" s="64"/>
      <c r="AJ199" s="68"/>
      <c r="AK199" s="68">
        <v>0</v>
      </c>
      <c r="BB199" s="236" t="s">
        <v>1</v>
      </c>
      <c r="BM199" s="64">
        <f t="shared" si="11"/>
        <v>40.744444444444447</v>
      </c>
      <c r="BN199" s="64">
        <f t="shared" si="12"/>
        <v>42.46</v>
      </c>
      <c r="BO199" s="64">
        <f t="shared" si="13"/>
        <v>9.0218423551756896E-2</v>
      </c>
      <c r="BP199" s="64">
        <f t="shared" si="14"/>
        <v>9.401709401709403E-2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2</v>
      </c>
      <c r="Y200" s="542">
        <f t="shared" si="10"/>
        <v>3.6</v>
      </c>
      <c r="Z200" s="36">
        <f>IFERROR(IF(Y200=0,"",ROUNDUP(Y200/H200,0)*0.00502),"")</f>
        <v>1.004E-2</v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2.1111111111111112</v>
      </c>
      <c r="BN200" s="64">
        <f t="shared" si="12"/>
        <v>3.8</v>
      </c>
      <c r="BO200" s="64">
        <f t="shared" si="13"/>
        <v>4.7483380816714157E-3</v>
      </c>
      <c r="BP200" s="64">
        <f t="shared" si="14"/>
        <v>8.5470085470085479E-3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39</v>
      </c>
      <c r="Y202" s="542">
        <f t="shared" si="10"/>
        <v>39.6</v>
      </c>
      <c r="Z202" s="36">
        <f>IFERROR(IF(Y202=0,"",ROUNDUP(Y202/H202,0)*0.00502),"")</f>
        <v>0.11044000000000001</v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41.166666666666664</v>
      </c>
      <c r="BN202" s="64">
        <f t="shared" si="12"/>
        <v>41.8</v>
      </c>
      <c r="BO202" s="64">
        <f t="shared" si="13"/>
        <v>9.2592592592592601E-2</v>
      </c>
      <c r="BP202" s="64">
        <f t="shared" si="14"/>
        <v>9.401709401709403E-2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43.888888888888886</v>
      </c>
      <c r="Y203" s="543">
        <f>IFERROR(Y195/H195,"0")+IFERROR(Y196/H196,"0")+IFERROR(Y197/H197,"0")+IFERROR(Y198/H198,"0")+IFERROR(Y199/H199,"0")+IFERROR(Y200/H200,"0")+IFERROR(Y201/H201,"0")+IFERROR(Y202/H202,"0")</f>
        <v>46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0.23092000000000001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79</v>
      </c>
      <c r="Y204" s="543">
        <f>IFERROR(SUM(Y195:Y202),"0")</f>
        <v>82.800000000000011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18</v>
      </c>
      <c r="Y207" s="542">
        <f t="shared" si="15"/>
        <v>24.299999999999997</v>
      </c>
      <c r="Z207" s="36">
        <f>IFERROR(IF(Y207=0,"",ROUNDUP(Y207/H207,0)*0.01898),"")</f>
        <v>5.6940000000000004E-2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19.05777777777778</v>
      </c>
      <c r="BN207" s="64">
        <f t="shared" si="17"/>
        <v>25.727999999999998</v>
      </c>
      <c r="BO207" s="64">
        <f t="shared" si="18"/>
        <v>3.4722222222222224E-2</v>
      </c>
      <c r="BP207" s="64">
        <f t="shared" si="19"/>
        <v>4.6875E-2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38</v>
      </c>
      <c r="Y209" s="542">
        <f t="shared" si="15"/>
        <v>38.4</v>
      </c>
      <c r="Z209" s="36">
        <f t="shared" ref="Z209:Z214" si="20">IFERROR(IF(Y209=0,"",ROUNDUP(Y209/H209,0)*0.00651),"")</f>
        <v>0.10416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42.274999999999999</v>
      </c>
      <c r="BN209" s="64">
        <f t="shared" si="17"/>
        <v>42.72</v>
      </c>
      <c r="BO209" s="64">
        <f t="shared" si="18"/>
        <v>8.6996336996337006E-2</v>
      </c>
      <c r="BP209" s="64">
        <f t="shared" si="19"/>
        <v>8.7912087912087919E-2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423</v>
      </c>
      <c r="Y211" s="542">
        <f t="shared" si="15"/>
        <v>424.8</v>
      </c>
      <c r="Z211" s="36">
        <f t="shared" si="20"/>
        <v>1.1522700000000001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467.41500000000002</v>
      </c>
      <c r="BN211" s="64">
        <f t="shared" si="17"/>
        <v>469.40400000000005</v>
      </c>
      <c r="BO211" s="64">
        <f t="shared" si="18"/>
        <v>0.96840659340659352</v>
      </c>
      <c r="BP211" s="64">
        <f t="shared" si="19"/>
        <v>0.97252747252747263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213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319</v>
      </c>
      <c r="Y212" s="542">
        <f t="shared" si="15"/>
        <v>319.2</v>
      </c>
      <c r="Z212" s="36">
        <f t="shared" si="20"/>
        <v>0.86582999999999999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352.49500000000006</v>
      </c>
      <c r="BN212" s="64">
        <f t="shared" si="17"/>
        <v>352.71600000000001</v>
      </c>
      <c r="BO212" s="64">
        <f t="shared" si="18"/>
        <v>0.73031135531135549</v>
      </c>
      <c r="BP212" s="64">
        <f t="shared" si="19"/>
        <v>0.73076923076923084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74</v>
      </c>
      <c r="Y213" s="542">
        <f t="shared" si="15"/>
        <v>74.399999999999991</v>
      </c>
      <c r="Z213" s="36">
        <f t="shared" si="20"/>
        <v>0.20181000000000002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81.77000000000001</v>
      </c>
      <c r="BN213" s="64">
        <f t="shared" si="17"/>
        <v>82.212000000000003</v>
      </c>
      <c r="BO213" s="64">
        <f t="shared" si="18"/>
        <v>0.16941391941391945</v>
      </c>
      <c r="BP213" s="64">
        <f t="shared" si="19"/>
        <v>0.17032967032967034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38</v>
      </c>
      <c r="Y214" s="542">
        <f t="shared" si="15"/>
        <v>38.4</v>
      </c>
      <c r="Z214" s="36">
        <f t="shared" si="20"/>
        <v>0.10416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42.085000000000001</v>
      </c>
      <c r="BN214" s="64">
        <f t="shared" si="17"/>
        <v>42.527999999999999</v>
      </c>
      <c r="BO214" s="64">
        <f t="shared" si="18"/>
        <v>8.6996336996337006E-2</v>
      </c>
      <c r="BP214" s="64">
        <f t="shared" si="19"/>
        <v>8.7912087912087919E-2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373.88888888888886</v>
      </c>
      <c r="Y215" s="543">
        <f>IFERROR(Y206/H206,"0")+IFERROR(Y207/H207,"0")+IFERROR(Y208/H208,"0")+IFERROR(Y209/H209,"0")+IFERROR(Y210/H210,"0")+IFERROR(Y211/H211,"0")+IFERROR(Y212/H212,"0")+IFERROR(Y213/H213,"0")+IFERROR(Y214/H214,"0")</f>
        <v>376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2.4851700000000001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910</v>
      </c>
      <c r="Y216" s="543">
        <f>IFERROR(SUM(Y206:Y214),"0")</f>
        <v>919.5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162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16</v>
      </c>
      <c r="Y219" s="542">
        <f>IFERROR(IF(X219="",0,CEILING((X219/$H219),1)*$H219),"")</f>
        <v>16.8</v>
      </c>
      <c r="Z219" s="36">
        <f>IFERROR(IF(Y219=0,"",ROUNDUP(Y219/H219,0)*0.00651),"")</f>
        <v>4.5569999999999999E-2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17.680000000000003</v>
      </c>
      <c r="BN219" s="64">
        <f>IFERROR(Y219*I219/H219,"0")</f>
        <v>18.564000000000004</v>
      </c>
      <c r="BO219" s="64">
        <f>IFERROR(1/J219*(X219/H219),"0")</f>
        <v>3.6630036630036632E-2</v>
      </c>
      <c r="BP219" s="64">
        <f>IFERROR(1/J219*(Y219/H219),"0")</f>
        <v>3.8461538461538471E-2</v>
      </c>
    </row>
    <row r="220" spans="1:68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6.666666666666667</v>
      </c>
      <c r="Y220" s="543">
        <f>IFERROR(Y218/H218,"0")+IFERROR(Y219/H219,"0")</f>
        <v>7.0000000000000009</v>
      </c>
      <c r="Z220" s="543">
        <f>IFERROR(IF(Z218="",0,Z218),"0")+IFERROR(IF(Z219="",0,Z219),"0")</f>
        <v>4.5569999999999999E-2</v>
      </c>
      <c r="AA220" s="544"/>
      <c r="AB220" s="544"/>
      <c r="AC220" s="544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16</v>
      </c>
      <c r="Y221" s="543">
        <f>IFERROR(SUM(Y218:Y219),"0")</f>
        <v>16.8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134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61</v>
      </c>
      <c r="Y272" s="542">
        <f>IFERROR(IF(X272="",0,CEILING((X272/$H272),1)*$H272),"")</f>
        <v>62.4</v>
      </c>
      <c r="Z272" s="36">
        <f>IFERROR(IF(Y272=0,"",ROUNDUP(Y272/H272,0)*0.00651),"")</f>
        <v>0.16925999999999999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67.405000000000015</v>
      </c>
      <c r="BN272" s="64">
        <f>IFERROR(Y272*I272/H272,"0")</f>
        <v>68.952000000000012</v>
      </c>
      <c r="BO272" s="64">
        <f>IFERROR(1/J272*(X272/H272),"0")</f>
        <v>0.13965201465201468</v>
      </c>
      <c r="BP272" s="64">
        <f>IFERROR(1/J272*(Y272/H272),"0")</f>
        <v>0.14285714285714288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213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152</v>
      </c>
      <c r="Y273" s="542">
        <f>IFERROR(IF(X273="",0,CEILING((X273/$H273),1)*$H273),"")</f>
        <v>153.6</v>
      </c>
      <c r="Z273" s="36">
        <f>IFERROR(IF(Y273=0,"",ROUNDUP(Y273/H273,0)*0.00651),"")</f>
        <v>0.41664000000000001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163.4</v>
      </c>
      <c r="BN273" s="64">
        <f>IFERROR(Y273*I273/H273,"0")</f>
        <v>165.12</v>
      </c>
      <c r="BO273" s="64">
        <f>IFERROR(1/J273*(X273/H273),"0")</f>
        <v>0.34798534798534803</v>
      </c>
      <c r="BP273" s="64">
        <f>IFERROR(1/J273*(Y273/H273),"0")</f>
        <v>0.35164835164835168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88.75</v>
      </c>
      <c r="Y274" s="543">
        <f>IFERROR(Y271/H271,"0")+IFERROR(Y272/H272,"0")+IFERROR(Y273/H273,"0")</f>
        <v>90</v>
      </c>
      <c r="Z274" s="543">
        <f>IFERROR(IF(Z271="",0,Z271),"0")+IFERROR(IF(Z272="",0,Z272),"0")+IFERROR(IF(Z273="",0,Z273),"0")</f>
        <v>0.58589999999999998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213</v>
      </c>
      <c r="Y275" s="543">
        <f>IFERROR(SUM(Y271:Y273),"0")</f>
        <v>216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162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hidden="1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34</v>
      </c>
      <c r="Y316" s="542">
        <f>IFERROR(IF(X316="",0,CEILING((X316/$H316),1)*$H316),"")</f>
        <v>42</v>
      </c>
      <c r="Z316" s="36">
        <f>IFERROR(IF(Y316=0,"",ROUNDUP(Y316/H316,0)*0.01898),"")</f>
        <v>9.4899999999999998E-2</v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35.999523809523808</v>
      </c>
      <c r="BN316" s="64">
        <f>IFERROR(Y316*I316/H316,"0")</f>
        <v>44.47</v>
      </c>
      <c r="BO316" s="64">
        <f>IFERROR(1/J316*(X316/H316),"0")</f>
        <v>6.3244047619047616E-2</v>
      </c>
      <c r="BP316" s="64">
        <f>IFERROR(1/J316*(Y316/H316),"0")</f>
        <v>7.8125E-2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4.0476190476190474</v>
      </c>
      <c r="Y317" s="543">
        <f>IFERROR(Y314/H314,"0")+IFERROR(Y315/H315,"0")+IFERROR(Y316/H316,"0")</f>
        <v>5</v>
      </c>
      <c r="Z317" s="543">
        <f>IFERROR(IF(Z314="",0,Z314),"0")+IFERROR(IF(Z315="",0,Z315),"0")+IFERROR(IF(Z316="",0,Z316),"0")</f>
        <v>9.4899999999999998E-2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34</v>
      </c>
      <c r="Y318" s="543">
        <f>IFERROR(SUM(Y314:Y316),"0")</f>
        <v>42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2</v>
      </c>
      <c r="Y323" s="542">
        <f>IFERROR(IF(X323="",0,CEILING((X323/$H323),1)*$H323),"")</f>
        <v>2.5499999999999998</v>
      </c>
      <c r="Z323" s="36">
        <f>IFERROR(IF(Y323=0,"",ROUNDUP(Y323/H323,0)*0.00651),"")</f>
        <v>6.5100000000000002E-3</v>
      </c>
      <c r="AA323" s="56"/>
      <c r="AB323" s="57"/>
      <c r="AC323" s="375" t="s">
        <v>503</v>
      </c>
      <c r="AG323" s="64"/>
      <c r="AJ323" s="68"/>
      <c r="AK323" s="68">
        <v>0</v>
      </c>
      <c r="BB323" s="376" t="s">
        <v>1</v>
      </c>
      <c r="BM323" s="64">
        <f>IFERROR(X323*I323/H323,"0")</f>
        <v>2.2588235294117647</v>
      </c>
      <c r="BN323" s="64">
        <f>IFERROR(Y323*I323/H323,"0")</f>
        <v>2.88</v>
      </c>
      <c r="BO323" s="64">
        <f>IFERROR(1/J323*(X323/H323),"0")</f>
        <v>4.3094160741219576E-3</v>
      </c>
      <c r="BP323" s="64">
        <f>IFERROR(1/J323*(Y323/H323),"0")</f>
        <v>5.4945054945054949E-3</v>
      </c>
    </row>
    <row r="324" spans="1:68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0.78431372549019618</v>
      </c>
      <c r="Y324" s="543">
        <f>IFERROR(Y320/H320,"0")+IFERROR(Y321/H321,"0")+IFERROR(Y322/H322,"0")+IFERROR(Y323/H323,"0")</f>
        <v>1</v>
      </c>
      <c r="Z324" s="543">
        <f>IFERROR(IF(Z320="",0,Z320),"0")+IFERROR(IF(Z321="",0,Z321),"0")+IFERROR(IF(Z322="",0,Z322),"0")+IFERROR(IF(Z323="",0,Z323),"0")</f>
        <v>6.5100000000000002E-3</v>
      </c>
      <c r="AA324" s="544"/>
      <c r="AB324" s="544"/>
      <c r="AC324" s="544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2</v>
      </c>
      <c r="Y325" s="543">
        <f>IFERROR(SUM(Y320:Y323),"0")</f>
        <v>2.5499999999999998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902</v>
      </c>
      <c r="Y342" s="542">
        <f t="shared" ref="Y342:Y348" si="31">IFERROR(IF(X342="",0,CEILING((X342/$H342),1)*$H342),"")</f>
        <v>915</v>
      </c>
      <c r="Z342" s="36">
        <f>IFERROR(IF(Y342=0,"",ROUNDUP(Y342/H342,0)*0.02175),"")</f>
        <v>1.3267499999999999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930.26266666666675</v>
      </c>
      <c r="BN342" s="64">
        <f t="shared" ref="BN342:BN348" si="33">IFERROR(Y342*I342/H342,"0")</f>
        <v>943.67000000000007</v>
      </c>
      <c r="BO342" s="64">
        <f t="shared" ref="BO342:BO348" si="34">IFERROR(1/J342*(X342/H342),"0")</f>
        <v>1.2527777777777778</v>
      </c>
      <c r="BP342" s="64">
        <f t="shared" ref="BP342:BP348" si="35">IFERROR(1/J342*(Y342/H342),"0")</f>
        <v>1.2708333333333333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392</v>
      </c>
      <c r="Y343" s="542">
        <f t="shared" si="31"/>
        <v>405</v>
      </c>
      <c r="Z343" s="36">
        <f>IFERROR(IF(Y343=0,"",ROUNDUP(Y343/H343,0)*0.02175),"")</f>
        <v>0.58724999999999994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404.28266666666673</v>
      </c>
      <c r="BN343" s="64">
        <f t="shared" si="33"/>
        <v>417.69</v>
      </c>
      <c r="BO343" s="64">
        <f t="shared" si="34"/>
        <v>0.5444444444444444</v>
      </c>
      <c r="BP343" s="64">
        <f t="shared" si="35"/>
        <v>0.5625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619</v>
      </c>
      <c r="Y344" s="542">
        <f t="shared" si="31"/>
        <v>630</v>
      </c>
      <c r="Z344" s="36">
        <f>IFERROR(IF(Y344=0,"",ROUNDUP(Y344/H344,0)*0.02175),"")</f>
        <v>0.91349999999999998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638.39533333333338</v>
      </c>
      <c r="BN344" s="64">
        <f t="shared" si="33"/>
        <v>649.74</v>
      </c>
      <c r="BO344" s="64">
        <f t="shared" si="34"/>
        <v>0.85972222222222217</v>
      </c>
      <c r="BP344" s="64">
        <f t="shared" si="35"/>
        <v>0.875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522</v>
      </c>
      <c r="Y345" s="542">
        <f t="shared" si="31"/>
        <v>525</v>
      </c>
      <c r="Z345" s="36">
        <f>IFERROR(IF(Y345=0,"",ROUNDUP(Y345/H345,0)*0.02175),"")</f>
        <v>0.76124999999999998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538.35599999999999</v>
      </c>
      <c r="BN345" s="64">
        <f t="shared" si="33"/>
        <v>541.45000000000005</v>
      </c>
      <c r="BO345" s="64">
        <f t="shared" si="34"/>
        <v>0.72499999999999987</v>
      </c>
      <c r="BP345" s="64">
        <f t="shared" si="35"/>
        <v>0.72916666666666663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162.33333333333331</v>
      </c>
      <c r="Y349" s="543">
        <f>IFERROR(Y342/H342,"0")+IFERROR(Y343/H343,"0")+IFERROR(Y344/H344,"0")+IFERROR(Y345/H345,"0")+IFERROR(Y346/H346,"0")+IFERROR(Y347/H347,"0")+IFERROR(Y348/H348,"0")</f>
        <v>165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3.5887499999999997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2435</v>
      </c>
      <c r="Y350" s="543">
        <f>IFERROR(SUM(Y342:Y348),"0")</f>
        <v>2475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134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795</v>
      </c>
      <c r="Y352" s="542">
        <f>IFERROR(IF(X352="",0,CEILING((X352/$H352),1)*$H352),"")</f>
        <v>795</v>
      </c>
      <c r="Z352" s="36">
        <f>IFERROR(IF(Y352=0,"",ROUNDUP(Y352/H352,0)*0.02175),"")</f>
        <v>1.1527499999999999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819.91</v>
      </c>
      <c r="BN352" s="64">
        <f>IFERROR(Y352*I352/H352,"0")</f>
        <v>819.91</v>
      </c>
      <c r="BO352" s="64">
        <f>IFERROR(1/J352*(X352/H352),"0")</f>
        <v>1.1041666666666665</v>
      </c>
      <c r="BP352" s="64">
        <f>IFERROR(1/J352*(Y352/H352),"0")</f>
        <v>1.1041666666666665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53</v>
      </c>
      <c r="Y354" s="543">
        <f>IFERROR(Y352/H352,"0")+IFERROR(Y353/H353,"0")</f>
        <v>53</v>
      </c>
      <c r="Z354" s="543">
        <f>IFERROR(IF(Z352="",0,Z352),"0")+IFERROR(IF(Z353="",0,Z353),"0")</f>
        <v>1.1527499999999999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795</v>
      </c>
      <c r="Y355" s="543">
        <f>IFERROR(SUM(Y352:Y353),"0")</f>
        <v>795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18</v>
      </c>
      <c r="Y358" s="542">
        <f>IFERROR(IF(X358="",0,CEILING((X358/$H358),1)*$H358),"")</f>
        <v>18</v>
      </c>
      <c r="Z358" s="36">
        <f>IFERROR(IF(Y358=0,"",ROUNDUP(Y358/H358,0)*0.01898),"")</f>
        <v>3.7960000000000001E-2</v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18.988</v>
      </c>
      <c r="BN358" s="64">
        <f>IFERROR(Y358*I358/H358,"0")</f>
        <v>18.988</v>
      </c>
      <c r="BO358" s="64">
        <f>IFERROR(1/J358*(X358/H358),"0")</f>
        <v>3.125E-2</v>
      </c>
      <c r="BP358" s="64">
        <f>IFERROR(1/J358*(Y358/H358),"0")</f>
        <v>3.125E-2</v>
      </c>
    </row>
    <row r="359" spans="1:68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2</v>
      </c>
      <c r="Y359" s="543">
        <f>IFERROR(Y357/H357,"0")+IFERROR(Y358/H358,"0")</f>
        <v>2</v>
      </c>
      <c r="Z359" s="543">
        <f>IFERROR(IF(Z357="",0,Z357),"0")+IFERROR(IF(Z358="",0,Z358),"0")</f>
        <v>3.7960000000000001E-2</v>
      </c>
      <c r="AA359" s="544"/>
      <c r="AB359" s="544"/>
      <c r="AC359" s="544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18</v>
      </c>
      <c r="Y360" s="543">
        <f>IFERROR(SUM(Y357:Y358),"0")</f>
        <v>18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162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196</v>
      </c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18</v>
      </c>
      <c r="Y385" s="542">
        <f t="shared" ref="Y385:Y393" si="36">IFERROR(IF(X385="",0,CEILING((X385/$H385),1)*$H385),"")</f>
        <v>21.6</v>
      </c>
      <c r="Z385" s="36">
        <f>IFERROR(IF(Y385=0,"",ROUNDUP(Y385/H385,0)*0.00902),"")</f>
        <v>3.6080000000000001E-2</v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18.633333333333333</v>
      </c>
      <c r="BN385" s="64">
        <f t="shared" ref="BN385:BN393" si="38">IFERROR(Y385*I385/H385,"0")</f>
        <v>22.36</v>
      </c>
      <c r="BO385" s="64">
        <f t="shared" ref="BO385:BO393" si="39">IFERROR(1/J385*(X385/H385),"0")</f>
        <v>2.5252525252525252E-2</v>
      </c>
      <c r="BP385" s="64">
        <f t="shared" ref="BP385:BP393" si="40">IFERROR(1/J385*(Y385/H385),"0")</f>
        <v>3.0303030303030304E-2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3.333333333333333</v>
      </c>
      <c r="Y394" s="543">
        <f>IFERROR(Y385/H385,"0")+IFERROR(Y386/H386,"0")+IFERROR(Y387/H387,"0")+IFERROR(Y388/H388,"0")+IFERROR(Y389/H389,"0")+IFERROR(Y390/H390,"0")+IFERROR(Y391/H391,"0")+IFERROR(Y392/H392,"0")+IFERROR(Y393/H393,"0")</f>
        <v>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3.6080000000000001E-2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18</v>
      </c>
      <c r="Y395" s="543">
        <f>IFERROR(SUM(Y385:Y393),"0")</f>
        <v>21.6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134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196</v>
      </c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91</v>
      </c>
      <c r="Y407" s="542">
        <f>IFERROR(IF(X407="",0,CEILING((X407/$H407),1)*$H407),"")</f>
        <v>91.800000000000011</v>
      </c>
      <c r="Z407" s="36">
        <f>IFERROR(IF(Y407=0,"",ROUNDUP(Y407/H407,0)*0.00902),"")</f>
        <v>0.15334</v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94.201851851851842</v>
      </c>
      <c r="BN407" s="64">
        <f>IFERROR(Y407*I407/H407,"0")</f>
        <v>95.03</v>
      </c>
      <c r="BO407" s="64">
        <f>IFERROR(1/J407*(X407/H407),"0")</f>
        <v>0.127665544332211</v>
      </c>
      <c r="BP407" s="64">
        <f>IFERROR(1/J407*(Y407/H407),"0")</f>
        <v>0.12878787878787878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16.851851851851851</v>
      </c>
      <c r="Y411" s="543">
        <f>IFERROR(Y407/H407,"0")+IFERROR(Y408/H408,"0")+IFERROR(Y409/H409,"0")+IFERROR(Y410/H410,"0")</f>
        <v>17</v>
      </c>
      <c r="Z411" s="543">
        <f>IFERROR(IF(Z407="",0,Z407),"0")+IFERROR(IF(Z408="",0,Z408),"0")+IFERROR(IF(Z409="",0,Z409),"0")+IFERROR(IF(Z410="",0,Z410),"0")</f>
        <v>0.15334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91</v>
      </c>
      <c r="Y412" s="543">
        <f>IFERROR(SUM(Y407:Y410),"0")</f>
        <v>91.800000000000011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42</v>
      </c>
      <c r="Y423" s="542">
        <f t="shared" si="42"/>
        <v>42.24</v>
      </c>
      <c r="Z423" s="36">
        <f t="shared" si="43"/>
        <v>9.5680000000000001E-2</v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44.784090909090907</v>
      </c>
      <c r="BN423" s="64">
        <f t="shared" si="45"/>
        <v>45.04</v>
      </c>
      <c r="BO423" s="64">
        <f t="shared" si="46"/>
        <v>7.6486013986013984E-2</v>
      </c>
      <c r="BP423" s="64">
        <f t="shared" si="47"/>
        <v>7.6923076923076927E-2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100</v>
      </c>
      <c r="Y424" s="542">
        <f t="shared" si="42"/>
        <v>100.32000000000001</v>
      </c>
      <c r="Z424" s="36">
        <f t="shared" si="43"/>
        <v>0.22724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106.62878787878788</v>
      </c>
      <c r="BN424" s="64">
        <f t="shared" si="45"/>
        <v>106.97</v>
      </c>
      <c r="BO424" s="64">
        <f t="shared" si="46"/>
        <v>0.18210955710955709</v>
      </c>
      <c r="BP424" s="64">
        <f t="shared" si="47"/>
        <v>0.18269230769230771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405</v>
      </c>
      <c r="Y426" s="542">
        <f t="shared" si="42"/>
        <v>406.56</v>
      </c>
      <c r="Z426" s="36">
        <f t="shared" si="43"/>
        <v>0.92091999999999996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431.84659090909088</v>
      </c>
      <c r="BN426" s="64">
        <f t="shared" si="45"/>
        <v>433.51</v>
      </c>
      <c r="BO426" s="64">
        <f t="shared" si="46"/>
        <v>0.73754370629370636</v>
      </c>
      <c r="BP426" s="64">
        <f t="shared" si="47"/>
        <v>0.74038461538461542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103.59848484848484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104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1.2438400000000001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547</v>
      </c>
      <c r="Y433" s="543">
        <f>IFERROR(SUM(Y421:Y431),"0")</f>
        <v>549.12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134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73</v>
      </c>
      <c r="Y435" s="542">
        <f>IFERROR(IF(X435="",0,CEILING((X435/$H435),1)*$H435),"")</f>
        <v>73.92</v>
      </c>
      <c r="Z435" s="36">
        <f>IFERROR(IF(Y435=0,"",ROUNDUP(Y435/H435,0)*0.01196),"")</f>
        <v>0.16744000000000001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77.839015151515156</v>
      </c>
      <c r="BN435" s="64">
        <f>IFERROR(Y435*I435/H435,"0")</f>
        <v>78.819999999999993</v>
      </c>
      <c r="BO435" s="64">
        <f>IFERROR(1/J435*(X435/H435),"0")</f>
        <v>0.13293997668997667</v>
      </c>
      <c r="BP435" s="64">
        <f>IFERROR(1/J435*(Y435/H435),"0")</f>
        <v>0.13461538461538464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13.825757575757574</v>
      </c>
      <c r="Y438" s="543">
        <f>IFERROR(Y435/H435,"0")+IFERROR(Y436/H436,"0")+IFERROR(Y437/H437,"0")</f>
        <v>14</v>
      </c>
      <c r="Z438" s="543">
        <f>IFERROR(IF(Z435="",0,Z435),"0")+IFERROR(IF(Z436="",0,Z436),"0")+IFERROR(IF(Z437="",0,Z437),"0")</f>
        <v>0.16744000000000001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73</v>
      </c>
      <c r="Y439" s="543">
        <f>IFERROR(SUM(Y435:Y437),"0")</f>
        <v>73.92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73</v>
      </c>
      <c r="Y441" s="542">
        <f t="shared" ref="Y441:Y446" si="48">IFERROR(IF(X441="",0,CEILING((X441/$H441),1)*$H441),"")</f>
        <v>73.92</v>
      </c>
      <c r="Z441" s="36">
        <f>IFERROR(IF(Y441=0,"",ROUNDUP(Y441/H441,0)*0.01196),"")</f>
        <v>0.16744000000000001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77.839015151515156</v>
      </c>
      <c r="BN441" s="64">
        <f t="shared" ref="BN441:BN446" si="50">IFERROR(Y441*I441/H441,"0")</f>
        <v>78.819999999999993</v>
      </c>
      <c r="BO441" s="64">
        <f t="shared" ref="BO441:BO446" si="51">IFERROR(1/J441*(X441/H441),"0")</f>
        <v>0.13293997668997667</v>
      </c>
      <c r="BP441" s="64">
        <f t="shared" ref="BP441:BP446" si="52">IFERROR(1/J441*(Y441/H441),"0")</f>
        <v>0.13461538461538464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80</v>
      </c>
      <c r="Y442" s="542">
        <f t="shared" si="48"/>
        <v>84.48</v>
      </c>
      <c r="Z442" s="36">
        <f>IFERROR(IF(Y442=0,"",ROUNDUP(Y442/H442,0)*0.01196),"")</f>
        <v>0.19136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85.303030303030297</v>
      </c>
      <c r="BN442" s="64">
        <f t="shared" si="50"/>
        <v>90.08</v>
      </c>
      <c r="BO442" s="64">
        <f t="shared" si="51"/>
        <v>0.14568764568764569</v>
      </c>
      <c r="BP442" s="64">
        <f t="shared" si="52"/>
        <v>0.15384615384615385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114</v>
      </c>
      <c r="Y443" s="542">
        <f t="shared" si="48"/>
        <v>116.16000000000001</v>
      </c>
      <c r="Z443" s="36">
        <f>IFERROR(IF(Y443=0,"",ROUNDUP(Y443/H443,0)*0.01196),"")</f>
        <v>0.26312000000000002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121.55681818181816</v>
      </c>
      <c r="BN443" s="64">
        <f t="shared" si="50"/>
        <v>123.86</v>
      </c>
      <c r="BO443" s="64">
        <f t="shared" si="51"/>
        <v>0.2076048951048951</v>
      </c>
      <c r="BP443" s="64">
        <f t="shared" si="52"/>
        <v>0.21153846153846156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50.568181818181813</v>
      </c>
      <c r="Y447" s="543">
        <f>IFERROR(Y441/H441,"0")+IFERROR(Y442/H442,"0")+IFERROR(Y443/H443,"0")+IFERROR(Y444/H444,"0")+IFERROR(Y445/H445,"0")+IFERROR(Y446/H446,"0")</f>
        <v>52</v>
      </c>
      <c r="Z447" s="543">
        <f>IFERROR(IF(Z441="",0,Z441),"0")+IFERROR(IF(Z442="",0,Z442),"0")+IFERROR(IF(Z443="",0,Z443),"0")+IFERROR(IF(Z444="",0,Z444),"0")+IFERROR(IF(Z445="",0,Z445),"0")+IFERROR(IF(Z446="",0,Z446),"0")</f>
        <v>0.62192000000000003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267</v>
      </c>
      <c r="Y448" s="543">
        <f>IFERROR(SUM(Y441:Y446),"0")</f>
        <v>274.56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134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50</v>
      </c>
      <c r="Y476" s="542">
        <f>IFERROR(IF(X476="",0,CEILING((X476/$H476),1)*$H476),"")</f>
        <v>54</v>
      </c>
      <c r="Z476" s="36">
        <f>IFERROR(IF(Y476=0,"",ROUNDUP(Y476/H476,0)*0.01898),"")</f>
        <v>0.11388000000000001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52.74444444444444</v>
      </c>
      <c r="BN476" s="64">
        <f>IFERROR(Y476*I476/H476,"0")</f>
        <v>56.963999999999992</v>
      </c>
      <c r="BO476" s="64">
        <f>IFERROR(1/J476*(X476/H476),"0")</f>
        <v>8.6805555555555552E-2</v>
      </c>
      <c r="BP476" s="64">
        <f>IFERROR(1/J476*(Y476/H476),"0")</f>
        <v>9.375E-2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5.5555555555555554</v>
      </c>
      <c r="Y477" s="543">
        <f>IFERROR(Y476/H476,"0")</f>
        <v>6</v>
      </c>
      <c r="Z477" s="543">
        <f>IFERROR(IF(Z476="",0,Z476),"0")</f>
        <v>0.11388000000000001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50</v>
      </c>
      <c r="Y478" s="543">
        <f>IFERROR(SUM(Y476:Y476),"0")</f>
        <v>54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162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134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6013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6136.6500000000005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6336.5691367408917</v>
      </c>
      <c r="Y490" s="543">
        <f>IFERROR(SUM(BN22:BN486),"0")</f>
        <v>6466.1779999999999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11</v>
      </c>
      <c r="Y491" s="38">
        <f>ROUNDUP(SUM(BP22:BP486),0)</f>
        <v>11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6611.5691367408917</v>
      </c>
      <c r="Y492" s="543">
        <f>GrossWeightTotalR+PalletQtyTotalR*25</f>
        <v>6741.1779999999999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1055.823916098426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1075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11.683299999999997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115</v>
      </c>
      <c r="E497" s="592" t="s">
        <v>169</v>
      </c>
      <c r="F497" s="592" t="s">
        <v>188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63.599999999999994</v>
      </c>
      <c r="E499" s="46">
        <f>IFERROR(Y85*1,"0")+IFERROR(Y86*1,"0")+IFERROR(Y87*1,"0")+IFERROR(Y91*1,"0")+IFERROR(Y92*1,"0")+IFERROR(Y93*1,"0")+IFERROR(Y94*1,"0")</f>
        <v>190.8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234.9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14.7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1019.0999999999999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216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44.55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3288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21.6</v>
      </c>
      <c r="V499" s="46">
        <f>IFERROR(Y403*1,"0")+IFERROR(Y407*1,"0")+IFERROR(Y408*1,"0")+IFERROR(Y409*1,"0")+IFERROR(Y410*1,"0")</f>
        <v>91.800000000000011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897.59999999999991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54</v>
      </c>
      <c r="Z499" s="46">
        <f>IFERROR(Y486*1,"0")</f>
        <v>0</v>
      </c>
      <c r="AB499" s="52"/>
      <c r="AC499" s="52"/>
      <c r="AF499" s="539"/>
    </row>
  </sheetData>
  <sheetProtection algorithmName="SHA-512" hashValue="MmF0Z7PRJ+Q9FG7Olh2hkzLguW1AV6U3JtJeOUvtdFcdhslpA8CEZvL7RghaJeiU8DBCtTHGI/BYicCYH00HEA==" saltValue="0SFlHE+WcFNuiwY7bKjUw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78"/>
        <filter val="1 055,82"/>
        <filter val="1,00"/>
        <filter val="100,00"/>
        <filter val="103,60"/>
        <filter val="11"/>
        <filter val="114,00"/>
        <filter val="12,00"/>
        <filter val="13,00"/>
        <filter val="13,83"/>
        <filter val="14,00"/>
        <filter val="150,00"/>
        <filter val="152,00"/>
        <filter val="16,00"/>
        <filter val="16,85"/>
        <filter val="162,33"/>
        <filter val="176,00"/>
        <filter val="18,00"/>
        <filter val="19,00"/>
        <filter val="2 435,00"/>
        <filter val="2,00"/>
        <filter val="213,00"/>
        <filter val="267,00"/>
        <filter val="3,33"/>
        <filter val="319,00"/>
        <filter val="33,00"/>
        <filter val="34,00"/>
        <filter val="373,89"/>
        <filter val="38,00"/>
        <filter val="39,00"/>
        <filter val="392,00"/>
        <filter val="4,00"/>
        <filter val="4,05"/>
        <filter val="4,29"/>
        <filter val="4,63"/>
        <filter val="4,87"/>
        <filter val="405,00"/>
        <filter val="42,00"/>
        <filter val="423,00"/>
        <filter val="43,89"/>
        <filter val="49,88"/>
        <filter val="5,00"/>
        <filter val="5,56"/>
        <filter val="50,00"/>
        <filter val="50,57"/>
        <filter val="522,00"/>
        <filter val="53,00"/>
        <filter val="547,00"/>
        <filter val="55,56"/>
        <filter val="6 013,00"/>
        <filter val="6 336,57"/>
        <filter val="6 611,57"/>
        <filter val="6,67"/>
        <filter val="61,00"/>
        <filter val="619,00"/>
        <filter val="62,00"/>
        <filter val="7,14"/>
        <filter val="73,00"/>
        <filter val="74,00"/>
        <filter val="79,00"/>
        <filter val="795,00"/>
        <filter val="80,00"/>
        <filter val="88,75"/>
        <filter val="902,00"/>
        <filter val="91,00"/>
        <filter val="910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1 X163:X164 X195:X196 X198 X209 X211:X214 X272:X273 X315 X342:X344 X352 X377 X385 X407 X424 X426 X435 X441:X443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Ckd+E0guhVu9Rhs1pSLrrcwBG96kteWsnBNccrXKv8vAhtw4Ee0DNs3HfBrSTeDPJQX0djkcLCEFj2Ncy73heg==" saltValue="Rly/VtTV4cfNDcA5ZFwbx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2025-12-03T11:20:58Z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