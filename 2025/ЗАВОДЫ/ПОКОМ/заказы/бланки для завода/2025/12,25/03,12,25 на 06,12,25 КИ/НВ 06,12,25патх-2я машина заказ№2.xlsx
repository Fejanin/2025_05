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9CDFC1B-099E-439C-910D-77275019DB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75" i="1" l="1"/>
  <c r="BN75" i="1"/>
  <c r="Z75" i="1"/>
  <c r="BP113" i="1"/>
  <c r="BN113" i="1"/>
  <c r="Z113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8" i="1"/>
  <c r="BN28" i="1"/>
  <c r="Z46" i="1"/>
  <c r="Z47" i="1" s="1"/>
  <c r="BN46" i="1"/>
  <c r="BP46" i="1"/>
  <c r="Y47" i="1"/>
  <c r="Z51" i="1"/>
  <c r="BN51" i="1"/>
  <c r="BP55" i="1"/>
  <c r="BN55" i="1"/>
  <c r="Z55" i="1"/>
  <c r="BP94" i="1"/>
  <c r="BN94" i="1"/>
  <c r="Z94" i="1"/>
  <c r="BP141" i="1"/>
  <c r="BN141" i="1"/>
  <c r="Z141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Z92" i="1"/>
  <c r="BN92" i="1"/>
  <c r="Z99" i="1"/>
  <c r="BN99" i="1"/>
  <c r="Z107" i="1"/>
  <c r="BP130" i="1"/>
  <c r="BN130" i="1"/>
  <c r="Z130" i="1"/>
  <c r="BP134" i="1"/>
  <c r="BN134" i="1"/>
  <c r="Z134" i="1"/>
  <c r="Y148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74" i="1" l="1"/>
  <c r="Z330" i="1"/>
  <c r="Z473" i="1"/>
  <c r="Z203" i="1"/>
  <c r="Z177" i="1"/>
  <c r="Z63" i="1"/>
  <c r="Z81" i="1"/>
  <c r="Y491" i="1"/>
  <c r="Z57" i="1"/>
  <c r="Z31" i="1"/>
  <c r="Z171" i="1"/>
  <c r="Y493" i="1"/>
  <c r="Z482" i="1"/>
  <c r="Z380" i="1"/>
  <c r="Z148" i="1"/>
  <c r="Z116" i="1"/>
  <c r="Z103" i="1"/>
  <c r="Z95" i="1"/>
  <c r="Z43" i="1"/>
  <c r="Y490" i="1"/>
  <c r="Y492" i="1" s="1"/>
  <c r="Z354" i="1"/>
  <c r="Z324" i="1"/>
  <c r="Z187" i="1"/>
  <c r="Z136" i="1"/>
  <c r="Z438" i="1"/>
  <c r="Z447" i="1"/>
  <c r="Z432" i="1"/>
  <c r="Z349" i="1"/>
  <c r="X492" i="1"/>
  <c r="Z215" i="1"/>
  <c r="Z88" i="1"/>
  <c r="Z76" i="1"/>
  <c r="Z394" i="1"/>
  <c r="Z304" i="1"/>
  <c r="Z294" i="1"/>
  <c r="Z274" i="1"/>
  <c r="Z69" i="1"/>
  <c r="Y489" i="1"/>
  <c r="Z337" i="1"/>
  <c r="Z234" i="1"/>
  <c r="Z109" i="1"/>
  <c r="Z494" i="1" l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<sst xmlns="http://schemas.openxmlformats.org/spreadsheetml/2006/main" count="2317" uniqueCount="763">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</sst>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161" sqref="AA16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5</v>
      </c>
      <c r="Y161" s="542">
        <f t="shared" ref="Y161:Y170" si="5">IFERROR(IF(X161="",0,CEILING((X161/$H161),1)*$H161),"")</f>
        <v>8.4</v>
      </c>
      <c r="Z161" s="36">
        <f>IFERROR(IF(Y161=0,"",ROUNDUP(Y161/H161,0)*0.00902),"")</f>
        <v>1.804E-2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5.2976190476190474</v>
      </c>
      <c r="BN161" s="64">
        <f t="shared" ref="BN161:BN170" si="7">IFERROR(Y161*I161/H161,"0")</f>
        <v>8.9</v>
      </c>
      <c r="BO161" s="64">
        <f t="shared" ref="BO161:BO170" si="8">IFERROR(1/J161*(X161/H161),"0")</f>
        <v>9.0187590187590181E-3</v>
      </c>
      <c r="BP161" s="64">
        <f t="shared" ref="BP161:BP170" si="9">IFERROR(1/J161*(Y161/H161),"0")</f>
        <v>1.5151515151515152E-2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5</v>
      </c>
      <c r="Y162" s="542">
        <f t="shared" si="5"/>
        <v>8.4</v>
      </c>
      <c r="Z162" s="36">
        <f>IFERROR(IF(Y162=0,"",ROUNDUP(Y162/H162,0)*0.00902),"")</f>
        <v>1.804E-2</v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5.2976190476190474</v>
      </c>
      <c r="BN162" s="64">
        <f t="shared" si="7"/>
        <v>8.9</v>
      </c>
      <c r="BO162" s="64">
        <f t="shared" si="8"/>
        <v>9.0187590187590181E-3</v>
      </c>
      <c r="BP162" s="64">
        <f t="shared" si="9"/>
        <v>1.5151515151515152E-2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5</v>
      </c>
      <c r="Y163" s="542">
        <f t="shared" si="5"/>
        <v>8.4</v>
      </c>
      <c r="Z163" s="36">
        <f>IFERROR(IF(Y163=0,"",ROUNDUP(Y163/H163,0)*0.00902),"")</f>
        <v>1.804E-2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5.2261904761904754</v>
      </c>
      <c r="BN163" s="64">
        <f t="shared" si="7"/>
        <v>8.7799999999999994</v>
      </c>
      <c r="BO163" s="64">
        <f t="shared" si="8"/>
        <v>9.0187590187590181E-3</v>
      </c>
      <c r="BP163" s="64">
        <f t="shared" si="9"/>
        <v>1.5151515151515152E-2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3.5714285714285712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5.4120000000000001E-2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15</v>
      </c>
      <c r="Y172" s="543">
        <f>IFERROR(SUM(Y161:Y170),"0")</f>
        <v>25.200000000000003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5</v>
      </c>
      <c r="Y195" s="542">
        <f t="shared" ref="Y195:Y202" si="10">IFERROR(IF(X195="",0,CEILING((X195/$H195),1)*$H195),"")</f>
        <v>5.4</v>
      </c>
      <c r="Z195" s="36">
        <f>IFERROR(IF(Y195=0,"",ROUNDUP(Y195/H195,0)*0.00902),"")</f>
        <v>9.0200000000000002E-3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5.1759259259259256</v>
      </c>
      <c r="BN195" s="64">
        <f t="shared" ref="BN195:BN202" si="12">IFERROR(Y195*I195/H195,"0")</f>
        <v>5.59</v>
      </c>
      <c r="BO195" s="64">
        <f t="shared" ref="BO195:BO202" si="13">IFERROR(1/J195*(X195/H195),"0")</f>
        <v>7.0145903479236806E-3</v>
      </c>
      <c r="BP195" s="64">
        <f t="shared" ref="BP195:BP202" si="14">IFERROR(1/J195*(Y195/H195),"0")</f>
        <v>7.575757575757576E-3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5</v>
      </c>
      <c r="Y196" s="542">
        <f t="shared" si="10"/>
        <v>5.4</v>
      </c>
      <c r="Z196" s="36">
        <f>IFERROR(IF(Y196=0,"",ROUNDUP(Y196/H196,0)*0.00902),"")</f>
        <v>9.0200000000000002E-3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5.1759259259259256</v>
      </c>
      <c r="BN196" s="64">
        <f t="shared" si="12"/>
        <v>5.59</v>
      </c>
      <c r="BO196" s="64">
        <f t="shared" si="13"/>
        <v>7.0145903479236806E-3</v>
      </c>
      <c r="BP196" s="64">
        <f t="shared" si="14"/>
        <v>7.575757575757576E-3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5</v>
      </c>
      <c r="Y197" s="542">
        <f t="shared" si="10"/>
        <v>5.4</v>
      </c>
      <c r="Z197" s="36">
        <f>IFERROR(IF(Y197=0,"",ROUNDUP(Y197/H197,0)*0.00902),"")</f>
        <v>9.0200000000000002E-3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5.1759259259259256</v>
      </c>
      <c r="BN197" s="64">
        <f t="shared" si="12"/>
        <v>5.59</v>
      </c>
      <c r="BO197" s="64">
        <f t="shared" si="13"/>
        <v>7.0145903479236806E-3</v>
      </c>
      <c r="BP197" s="64">
        <f t="shared" si="14"/>
        <v>7.575757575757576E-3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5</v>
      </c>
      <c r="Y198" s="542">
        <f t="shared" si="10"/>
        <v>5.4</v>
      </c>
      <c r="Z198" s="36">
        <f>IFERROR(IF(Y198=0,"",ROUNDUP(Y198/H198,0)*0.00902),"")</f>
        <v>9.0200000000000002E-3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5.1759259259259256</v>
      </c>
      <c r="BN198" s="64">
        <f t="shared" si="12"/>
        <v>5.59</v>
      </c>
      <c r="BO198" s="64">
        <f t="shared" si="13"/>
        <v>7.0145903479236806E-3</v>
      </c>
      <c r="BP198" s="64">
        <f t="shared" si="14"/>
        <v>7.575757575757576E-3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3.7037037037037033</v>
      </c>
      <c r="Y203" s="543">
        <f>IFERROR(Y195/H195,"0")+IFERROR(Y196/H196,"0")+IFERROR(Y197/H197,"0")+IFERROR(Y198/H198,"0")+IFERROR(Y199/H199,"0")+IFERROR(Y200/H200,"0")+IFERROR(Y201/H201,"0")+IFERROR(Y202/H202,"0")</f>
        <v>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3.6080000000000001E-2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20</v>
      </c>
      <c r="Y204" s="543">
        <f>IFERROR(SUM(Y195:Y202),"0")</f>
        <v>21.6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15</v>
      </c>
      <c r="Y342" s="542">
        <f t="shared" ref="Y342:Y348" si="31">IFERROR(IF(X342="",0,CEILING((X342/$H342),1)*$H342),"")</f>
        <v>15</v>
      </c>
      <c r="Z342" s="36">
        <f>IFERROR(IF(Y342=0,"",ROUNDUP(Y342/H342,0)*0.02175),"")</f>
        <v>2.1749999999999999E-2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15.47</v>
      </c>
      <c r="BN342" s="64">
        <f t="shared" ref="BN342:BN348" si="33">IFERROR(Y342*I342/H342,"0")</f>
        <v>15.47</v>
      </c>
      <c r="BO342" s="64">
        <f t="shared" ref="BO342:BO348" si="34">IFERROR(1/J342*(X342/H342),"0")</f>
        <v>2.0833333333333332E-2</v>
      </c>
      <c r="BP342" s="64">
        <f t="shared" ref="BP342:BP348" si="35">IFERROR(1/J342*(Y342/H342),"0")</f>
        <v>2.0833333333333332E-2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15</v>
      </c>
      <c r="Y343" s="542">
        <f t="shared" si="31"/>
        <v>15</v>
      </c>
      <c r="Z343" s="36">
        <f>IFERROR(IF(Y343=0,"",ROUNDUP(Y343/H343,0)*0.02175),"")</f>
        <v>2.1749999999999999E-2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15.47</v>
      </c>
      <c r="BN343" s="64">
        <f t="shared" si="33"/>
        <v>15.47</v>
      </c>
      <c r="BO343" s="64">
        <f t="shared" si="34"/>
        <v>2.0833333333333332E-2</v>
      </c>
      <c r="BP343" s="64">
        <f t="shared" si="35"/>
        <v>2.0833333333333332E-2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15</v>
      </c>
      <c r="Y344" s="542">
        <f t="shared" si="31"/>
        <v>15</v>
      </c>
      <c r="Z344" s="36">
        <f>IFERROR(IF(Y344=0,"",ROUNDUP(Y344/H344,0)*0.02175),"")</f>
        <v>2.1749999999999999E-2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15.47</v>
      </c>
      <c r="BN344" s="64">
        <f t="shared" si="33"/>
        <v>15.47</v>
      </c>
      <c r="BO344" s="64">
        <f t="shared" si="34"/>
        <v>2.0833333333333332E-2</v>
      </c>
      <c r="BP344" s="64">
        <f t="shared" si="35"/>
        <v>2.0833333333333332E-2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</v>
      </c>
      <c r="Y349" s="543">
        <f>IFERROR(Y342/H342,"0")+IFERROR(Y343/H343,"0")+IFERROR(Y344/H344,"0")+IFERROR(Y345/H345,"0")+IFERROR(Y346/H346,"0")+IFERROR(Y347/H347,"0")+IFERROR(Y348/H348,"0")</f>
        <v>3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6.5250000000000002E-2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45</v>
      </c>
      <c r="Y350" s="543">
        <f>IFERROR(SUM(Y342:Y348),"0")</f>
        <v>45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15</v>
      </c>
      <c r="Y352" s="542">
        <f>IFERROR(IF(X352="",0,CEILING((X352/$H352),1)*$H352),"")</f>
        <v>15</v>
      </c>
      <c r="Z352" s="36">
        <f>IFERROR(IF(Y352=0,"",ROUNDUP(Y352/H352,0)*0.02175),"")</f>
        <v>2.1749999999999999E-2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15.47</v>
      </c>
      <c r="BN352" s="64">
        <f>IFERROR(Y352*I352/H352,"0")</f>
        <v>15.47</v>
      </c>
      <c r="BO352" s="64">
        <f>IFERROR(1/J352*(X352/H352),"0")</f>
        <v>2.0833333333333332E-2</v>
      </c>
      <c r="BP352" s="64">
        <f>IFERROR(1/J352*(Y352/H352),"0")</f>
        <v>2.0833333333333332E-2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1</v>
      </c>
      <c r="Y354" s="543">
        <f>IFERROR(Y352/H352,"0")+IFERROR(Y353/H353,"0")</f>
        <v>1</v>
      </c>
      <c r="Z354" s="543">
        <f>IFERROR(IF(Z352="",0,Z352),"0")+IFERROR(IF(Z353="",0,Z353),"0")</f>
        <v>2.1749999999999999E-2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15</v>
      </c>
      <c r="Y355" s="543">
        <f>IFERROR(SUM(Y352:Y353),"0")</f>
        <v>15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5</v>
      </c>
      <c r="Y386" s="542">
        <f t="shared" si="36"/>
        <v>5.4</v>
      </c>
      <c r="Z386" s="36">
        <f>IFERROR(IF(Y386=0,"",ROUNDUP(Y386/H386,0)*0.00902),"")</f>
        <v>9.0200000000000002E-3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5.1759259259259256</v>
      </c>
      <c r="BN386" s="64">
        <f t="shared" si="38"/>
        <v>5.59</v>
      </c>
      <c r="BO386" s="64">
        <f t="shared" si="39"/>
        <v>7.0145903479236806E-3</v>
      </c>
      <c r="BP386" s="64">
        <f t="shared" si="40"/>
        <v>7.575757575757576E-3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5</v>
      </c>
      <c r="Y387" s="542">
        <f t="shared" si="36"/>
        <v>5.4</v>
      </c>
      <c r="Z387" s="36">
        <f>IFERROR(IF(Y387=0,"",ROUNDUP(Y387/H387,0)*0.00902),"")</f>
        <v>9.0200000000000002E-3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5.1759259259259256</v>
      </c>
      <c r="BN387" s="64">
        <f t="shared" si="38"/>
        <v>5.59</v>
      </c>
      <c r="BO387" s="64">
        <f t="shared" si="39"/>
        <v>7.0145903479236806E-3</v>
      </c>
      <c r="BP387" s="64">
        <f t="shared" si="40"/>
        <v>7.575757575757576E-3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1.8518518518518516</v>
      </c>
      <c r="Y394" s="543">
        <f>IFERROR(Y385/H385,"0")+IFERROR(Y386/H386,"0")+IFERROR(Y387/H387,"0")+IFERROR(Y388/H388,"0")+IFERROR(Y389/H389,"0")+IFERROR(Y390/H390,"0")+IFERROR(Y391/H391,"0")+IFERROR(Y392/H392,"0")+IFERROR(Y393/H393,"0")</f>
        <v>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1.804E-2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10</v>
      </c>
      <c r="Y395" s="543">
        <f>IFERROR(SUM(Y385:Y393),"0")</f>
        <v>10.8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5</v>
      </c>
      <c r="Y407" s="542">
        <f>IFERROR(IF(X407="",0,CEILING((X407/$H407),1)*$H407),"")</f>
        <v>5.4</v>
      </c>
      <c r="Z407" s="36">
        <f>IFERROR(IF(Y407=0,"",ROUNDUP(Y407/H407,0)*0.00902),"")</f>
        <v>9.0200000000000002E-3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5.1759259259259256</v>
      </c>
      <c r="BN407" s="64">
        <f>IFERROR(Y407*I407/H407,"0")</f>
        <v>5.59</v>
      </c>
      <c r="BO407" s="64">
        <f>IFERROR(1/J407*(X407/H407),"0")</f>
        <v>7.0145903479236806E-3</v>
      </c>
      <c r="BP407" s="64">
        <f>IFERROR(1/J407*(Y407/H407),"0")</f>
        <v>7.575757575757576E-3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0.92592592592592582</v>
      </c>
      <c r="Y411" s="543">
        <f>IFERROR(Y407/H407,"0")+IFERROR(Y408/H408,"0")+IFERROR(Y409/H409,"0")+IFERROR(Y410/H410,"0")</f>
        <v>1</v>
      </c>
      <c r="Z411" s="543">
        <f>IFERROR(IF(Z407="",0,Z407),"0")+IFERROR(IF(Z408="",0,Z408),"0")+IFERROR(IF(Z409="",0,Z409),"0")+IFERROR(IF(Z410="",0,Z410),"0")</f>
        <v>9.0200000000000002E-3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5</v>
      </c>
      <c r="Y412" s="543">
        <f>IFERROR(SUM(Y407:Y410),"0")</f>
        <v>5.4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110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123.00000000000001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113.93291005291003</v>
      </c>
      <c r="Y490" s="543">
        <f>IFERROR(SUM(BN22:BN486),"0")</f>
        <v>127.59000000000002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138.93291005291002</v>
      </c>
      <c r="Y492" s="543">
        <f>GrossWeightTotalR+PalletQtyTotalR*25</f>
        <v>152.59000000000003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14.052910052910052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17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0.20426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25.200000000000003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10.8</v>
      </c>
      <c r="V499" s="46">
        <f>IFERROR(Y403*1,"0")+IFERROR(Y407*1,"0")+IFERROR(Y408*1,"0")+IFERROR(Y409*1,"0")+IFERROR(Y410*1,"0")</f>
        <v>5.4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"/>
        <filter val="1,00"/>
        <filter val="1,85"/>
        <filter val="10,00"/>
        <filter val="110,00"/>
        <filter val="113,93"/>
        <filter val="138,93"/>
        <filter val="14,05"/>
        <filter val="15,00"/>
        <filter val="20,00"/>
        <filter val="3,00"/>
        <filter val="3,57"/>
        <filter val="3,70"/>
        <filter val="45,00"/>
        <filter val="5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