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9D38A10-D132-4186-AB6D-E2AF972250A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Z499" i="1" s="1"/>
  <c r="P486" i="1"/>
  <c r="X483" i="1"/>
  <c r="X482" i="1"/>
  <c r="BO481" i="1"/>
  <c r="BM481" i="1"/>
  <c r="Y481" i="1"/>
  <c r="BP481" i="1" s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W499" i="1" s="1"/>
  <c r="P415" i="1"/>
  <c r="X412" i="1"/>
  <c r="X411" i="1"/>
  <c r="BO410" i="1"/>
  <c r="BM410" i="1"/>
  <c r="Y410" i="1"/>
  <c r="BP410" i="1" s="1"/>
  <c r="P410" i="1"/>
  <c r="BP409" i="1"/>
  <c r="BO409" i="1"/>
  <c r="BN409" i="1"/>
  <c r="BM409" i="1"/>
  <c r="Z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400" i="1" s="1"/>
  <c r="P397" i="1"/>
  <c r="X395" i="1"/>
  <c r="X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P390" i="1"/>
  <c r="BO389" i="1"/>
  <c r="BM389" i="1"/>
  <c r="Y389" i="1"/>
  <c r="BP389" i="1" s="1"/>
  <c r="P389" i="1"/>
  <c r="BO388" i="1"/>
  <c r="BM388" i="1"/>
  <c r="Y388" i="1"/>
  <c r="P388" i="1"/>
  <c r="BO387" i="1"/>
  <c r="BM387" i="1"/>
  <c r="Y387" i="1"/>
  <c r="BP387" i="1" s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P379" i="1" s="1"/>
  <c r="BO378" i="1"/>
  <c r="BM378" i="1"/>
  <c r="Y378" i="1"/>
  <c r="BP378" i="1" s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Y375" i="1" s="1"/>
  <c r="P372" i="1"/>
  <c r="X370" i="1"/>
  <c r="X369" i="1"/>
  <c r="BO368" i="1"/>
  <c r="BM368" i="1"/>
  <c r="Y368" i="1"/>
  <c r="BP368" i="1" s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Y360" i="1" s="1"/>
  <c r="P357" i="1"/>
  <c r="X355" i="1"/>
  <c r="X354" i="1"/>
  <c r="BO353" i="1"/>
  <c r="BM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BP343" i="1" s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X331" i="1"/>
  <c r="X330" i="1"/>
  <c r="BO329" i="1"/>
  <c r="BM329" i="1"/>
  <c r="Y329" i="1"/>
  <c r="P329" i="1"/>
  <c r="BO328" i="1"/>
  <c r="BM328" i="1"/>
  <c r="Y328" i="1"/>
  <c r="BP328" i="1" s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X318" i="1"/>
  <c r="X317" i="1"/>
  <c r="BO316" i="1"/>
  <c r="BM316" i="1"/>
  <c r="Y316" i="1"/>
  <c r="BP316" i="1" s="1"/>
  <c r="P316" i="1"/>
  <c r="BO315" i="1"/>
  <c r="BM315" i="1"/>
  <c r="Y315" i="1"/>
  <c r="P315" i="1"/>
  <c r="BO314" i="1"/>
  <c r="BM314" i="1"/>
  <c r="Y314" i="1"/>
  <c r="Y317" i="1" s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Y285" i="1" s="1"/>
  <c r="P283" i="1"/>
  <c r="X281" i="1"/>
  <c r="X280" i="1"/>
  <c r="BO279" i="1"/>
  <c r="BM279" i="1"/>
  <c r="Y279" i="1"/>
  <c r="P279" i="1"/>
  <c r="BO278" i="1"/>
  <c r="BM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Z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BP219" i="1" s="1"/>
  <c r="P219" i="1"/>
  <c r="BO218" i="1"/>
  <c r="BM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X204" i="1"/>
  <c r="X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BP199" i="1" s="1"/>
  <c r="P199" i="1"/>
  <c r="BO198" i="1"/>
  <c r="BM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BP191" i="1" s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Y181" i="1" s="1"/>
  <c r="P180" i="1"/>
  <c r="X178" i="1"/>
  <c r="X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Y177" i="1" s="1"/>
  <c r="P174" i="1"/>
  <c r="X172" i="1"/>
  <c r="X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P162" i="1"/>
  <c r="BO161" i="1"/>
  <c r="BM161" i="1"/>
  <c r="Y161" i="1"/>
  <c r="Y171" i="1" s="1"/>
  <c r="P161" i="1"/>
  <c r="X159" i="1"/>
  <c r="X158" i="1"/>
  <c r="BO157" i="1"/>
  <c r="BM157" i="1"/>
  <c r="Y157" i="1"/>
  <c r="I499" i="1" s="1"/>
  <c r="P157" i="1"/>
  <c r="X153" i="1"/>
  <c r="X152" i="1"/>
  <c r="BO151" i="1"/>
  <c r="BM151" i="1"/>
  <c r="Y151" i="1"/>
  <c r="Y152" i="1" s="1"/>
  <c r="P151" i="1"/>
  <c r="X149" i="1"/>
  <c r="X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O129" i="1"/>
  <c r="BM129" i="1"/>
  <c r="Y129" i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O80" i="1"/>
  <c r="BM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N66" i="1"/>
  <c r="BM66" i="1"/>
  <c r="Z66" i="1"/>
  <c r="Y66" i="1"/>
  <c r="BP66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X493" i="1" s="1"/>
  <c r="BO22" i="1"/>
  <c r="BM22" i="1"/>
  <c r="X490" i="1" s="1"/>
  <c r="Y22" i="1"/>
  <c r="P22" i="1"/>
  <c r="H10" i="1"/>
  <c r="A9" i="1"/>
  <c r="F10" i="1" s="1"/>
  <c r="D7" i="1"/>
  <c r="Q6" i="1"/>
  <c r="P2" i="1"/>
  <c r="BP80" i="1" l="1"/>
  <c r="BN80" i="1"/>
  <c r="Z80" i="1"/>
  <c r="BP112" i="1"/>
  <c r="BN112" i="1"/>
  <c r="Z112" i="1"/>
  <c r="BP164" i="1"/>
  <c r="BN164" i="1"/>
  <c r="Z164" i="1"/>
  <c r="BP186" i="1"/>
  <c r="BN186" i="1"/>
  <c r="Z186" i="1"/>
  <c r="BP210" i="1"/>
  <c r="BN210" i="1"/>
  <c r="Z210" i="1"/>
  <c r="BP233" i="1"/>
  <c r="BN233" i="1"/>
  <c r="Z233" i="1"/>
  <c r="BP266" i="1"/>
  <c r="BN266" i="1"/>
  <c r="Z266" i="1"/>
  <c r="BP299" i="1"/>
  <c r="BN299" i="1"/>
  <c r="Z299" i="1"/>
  <c r="BP327" i="1"/>
  <c r="BN327" i="1"/>
  <c r="Z327" i="1"/>
  <c r="BP352" i="1"/>
  <c r="BN352" i="1"/>
  <c r="Z352" i="1"/>
  <c r="BP386" i="1"/>
  <c r="BN386" i="1"/>
  <c r="Z386" i="1"/>
  <c r="BP424" i="1"/>
  <c r="BN424" i="1"/>
  <c r="Z424" i="1"/>
  <c r="BP450" i="1"/>
  <c r="BN450" i="1"/>
  <c r="Z450" i="1"/>
  <c r="Z41" i="1"/>
  <c r="BN41" i="1"/>
  <c r="D499" i="1"/>
  <c r="Z60" i="1"/>
  <c r="BN60" i="1"/>
  <c r="BP93" i="1"/>
  <c r="BN93" i="1"/>
  <c r="Z93" i="1"/>
  <c r="BP135" i="1"/>
  <c r="BN135" i="1"/>
  <c r="Z135" i="1"/>
  <c r="BP165" i="1"/>
  <c r="BN165" i="1"/>
  <c r="Z165" i="1"/>
  <c r="BP200" i="1"/>
  <c r="BN200" i="1"/>
  <c r="Z200" i="1"/>
  <c r="BP225" i="1"/>
  <c r="BN225" i="1"/>
  <c r="Z225" i="1"/>
  <c r="BP254" i="1"/>
  <c r="BN254" i="1"/>
  <c r="Z254" i="1"/>
  <c r="BP284" i="1"/>
  <c r="BN284" i="1"/>
  <c r="Z284" i="1"/>
  <c r="BP289" i="1"/>
  <c r="BN289" i="1"/>
  <c r="Z289" i="1"/>
  <c r="BP309" i="1"/>
  <c r="BN309" i="1"/>
  <c r="Z309" i="1"/>
  <c r="BP342" i="1"/>
  <c r="BN342" i="1"/>
  <c r="Z342" i="1"/>
  <c r="BP377" i="1"/>
  <c r="BN377" i="1"/>
  <c r="Z377" i="1"/>
  <c r="BP398" i="1"/>
  <c r="BN398" i="1"/>
  <c r="Z398" i="1"/>
  <c r="BP436" i="1"/>
  <c r="BN436" i="1"/>
  <c r="Z436" i="1"/>
  <c r="BP472" i="1"/>
  <c r="BN472" i="1"/>
  <c r="Z472" i="1"/>
  <c r="F499" i="1"/>
  <c r="Y453" i="1"/>
  <c r="BP108" i="1"/>
  <c r="BN108" i="1"/>
  <c r="Z108" i="1"/>
  <c r="Y131" i="1"/>
  <c r="BP129" i="1"/>
  <c r="BN129" i="1"/>
  <c r="Z129" i="1"/>
  <c r="BP162" i="1"/>
  <c r="BN162" i="1"/>
  <c r="Z162" i="1"/>
  <c r="BP175" i="1"/>
  <c r="BN175" i="1"/>
  <c r="Z175" i="1"/>
  <c r="BP198" i="1"/>
  <c r="BN198" i="1"/>
  <c r="Z198" i="1"/>
  <c r="BP208" i="1"/>
  <c r="BN208" i="1"/>
  <c r="Z208" i="1"/>
  <c r="Y220" i="1"/>
  <c r="BP218" i="1"/>
  <c r="BN218" i="1"/>
  <c r="Z218" i="1"/>
  <c r="BP231" i="1"/>
  <c r="BN231" i="1"/>
  <c r="Z231" i="1"/>
  <c r="BP249" i="1"/>
  <c r="BN249" i="1"/>
  <c r="Z249" i="1"/>
  <c r="BP264" i="1"/>
  <c r="BN264" i="1"/>
  <c r="Z264" i="1"/>
  <c r="BP278" i="1"/>
  <c r="BN278" i="1"/>
  <c r="Z278" i="1"/>
  <c r="BP297" i="1"/>
  <c r="BN297" i="1"/>
  <c r="Z297" i="1"/>
  <c r="Y311" i="1"/>
  <c r="BP307" i="1"/>
  <c r="BN307" i="1"/>
  <c r="Z307" i="1"/>
  <c r="BP323" i="1"/>
  <c r="BN323" i="1"/>
  <c r="Z323" i="1"/>
  <c r="BP336" i="1"/>
  <c r="BN336" i="1"/>
  <c r="Z336" i="1"/>
  <c r="BP348" i="1"/>
  <c r="BN348" i="1"/>
  <c r="Z348" i="1"/>
  <c r="BP373" i="1"/>
  <c r="BN373" i="1"/>
  <c r="Z373" i="1"/>
  <c r="BP392" i="1"/>
  <c r="BN392" i="1"/>
  <c r="Z392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B499" i="1"/>
  <c r="X491" i="1"/>
  <c r="X492" i="1" s="1"/>
  <c r="X489" i="1"/>
  <c r="Y31" i="1"/>
  <c r="Z29" i="1"/>
  <c r="BN29" i="1"/>
  <c r="C499" i="1"/>
  <c r="Z52" i="1"/>
  <c r="BN52" i="1"/>
  <c r="Z56" i="1"/>
  <c r="BN56" i="1"/>
  <c r="Y64" i="1"/>
  <c r="Z62" i="1"/>
  <c r="BN62" i="1"/>
  <c r="Y70" i="1"/>
  <c r="Z68" i="1"/>
  <c r="BN68" i="1"/>
  <c r="Y76" i="1"/>
  <c r="Z74" i="1"/>
  <c r="BN74" i="1"/>
  <c r="Z85" i="1"/>
  <c r="BN85" i="1"/>
  <c r="Z91" i="1"/>
  <c r="BN91" i="1"/>
  <c r="BP91" i="1"/>
  <c r="Z100" i="1"/>
  <c r="BN100" i="1"/>
  <c r="BP102" i="1"/>
  <c r="BN102" i="1"/>
  <c r="Z102" i="1"/>
  <c r="BP114" i="1"/>
  <c r="BN114" i="1"/>
  <c r="Z114" i="1"/>
  <c r="BP140" i="1"/>
  <c r="BN140" i="1"/>
  <c r="Z140" i="1"/>
  <c r="BP167" i="1"/>
  <c r="BN167" i="1"/>
  <c r="Z167" i="1"/>
  <c r="Y192" i="1"/>
  <c r="BP190" i="1"/>
  <c r="BN190" i="1"/>
  <c r="Z190" i="1"/>
  <c r="BP202" i="1"/>
  <c r="BN202" i="1"/>
  <c r="Z202" i="1"/>
  <c r="BP212" i="1"/>
  <c r="BN212" i="1"/>
  <c r="Z212" i="1"/>
  <c r="BP227" i="1"/>
  <c r="BN227" i="1"/>
  <c r="Z227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Y251" i="1"/>
  <c r="BP245" i="1"/>
  <c r="BN245" i="1"/>
  <c r="Z245" i="1"/>
  <c r="BP256" i="1"/>
  <c r="BN256" i="1"/>
  <c r="Z256" i="1"/>
  <c r="BP271" i="1"/>
  <c r="BN271" i="1"/>
  <c r="Z271" i="1"/>
  <c r="BP291" i="1"/>
  <c r="BN291" i="1"/>
  <c r="Z291" i="1"/>
  <c r="BP301" i="1"/>
  <c r="BN301" i="1"/>
  <c r="Z301" i="1"/>
  <c r="BP315" i="1"/>
  <c r="BN315" i="1"/>
  <c r="Z315" i="1"/>
  <c r="BP329" i="1"/>
  <c r="BN329" i="1"/>
  <c r="Z329" i="1"/>
  <c r="BP344" i="1"/>
  <c r="BN344" i="1"/>
  <c r="Z344" i="1"/>
  <c r="BP358" i="1"/>
  <c r="BN358" i="1"/>
  <c r="Z358" i="1"/>
  <c r="BP388" i="1"/>
  <c r="BN388" i="1"/>
  <c r="Z388" i="1"/>
  <c r="Y404" i="1"/>
  <c r="BP403" i="1"/>
  <c r="BN403" i="1"/>
  <c r="Z403" i="1"/>
  <c r="Z404" i="1" s="1"/>
  <c r="Y411" i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110" i="1"/>
  <c r="Y116" i="1"/>
  <c r="G499" i="1"/>
  <c r="Y148" i="1"/>
  <c r="J499" i="1"/>
  <c r="Y204" i="1"/>
  <c r="Y216" i="1"/>
  <c r="K499" i="1"/>
  <c r="Y260" i="1"/>
  <c r="Y325" i="1"/>
  <c r="Y331" i="1"/>
  <c r="Y354" i="1"/>
  <c r="Y380" i="1"/>
  <c r="U499" i="1"/>
  <c r="Y454" i="1"/>
  <c r="H9" i="1"/>
  <c r="A10" i="1"/>
  <c r="Y24" i="1"/>
  <c r="Y32" i="1"/>
  <c r="Y36" i="1"/>
  <c r="Y44" i="1"/>
  <c r="Y48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53" i="1"/>
  <c r="Y159" i="1"/>
  <c r="Y172" i="1"/>
  <c r="Y178" i="1"/>
  <c r="Y182" i="1"/>
  <c r="Y187" i="1"/>
  <c r="Y193" i="1"/>
  <c r="Y203" i="1"/>
  <c r="Y215" i="1"/>
  <c r="Y221" i="1"/>
  <c r="Y234" i="1"/>
  <c r="Y250" i="1"/>
  <c r="M499" i="1"/>
  <c r="Y268" i="1"/>
  <c r="BP263" i="1"/>
  <c r="BN263" i="1"/>
  <c r="Z263" i="1"/>
  <c r="Y267" i="1"/>
  <c r="BP272" i="1"/>
  <c r="BN272" i="1"/>
  <c r="Z272" i="1"/>
  <c r="Z274" i="1" s="1"/>
  <c r="BP290" i="1"/>
  <c r="BN290" i="1"/>
  <c r="Z290" i="1"/>
  <c r="Y294" i="1"/>
  <c r="BP298" i="1"/>
  <c r="BN298" i="1"/>
  <c r="Z298" i="1"/>
  <c r="BP302" i="1"/>
  <c r="BN302" i="1"/>
  <c r="Z302" i="1"/>
  <c r="BP310" i="1"/>
  <c r="BN310" i="1"/>
  <c r="Z310" i="1"/>
  <c r="F9" i="1"/>
  <c r="J9" i="1"/>
  <c r="Z22" i="1"/>
  <c r="Z23" i="1" s="1"/>
  <c r="BN22" i="1"/>
  <c r="BP22" i="1"/>
  <c r="Y23" i="1"/>
  <c r="Z26" i="1"/>
  <c r="Z31" i="1" s="1"/>
  <c r="BN26" i="1"/>
  <c r="BP26" i="1"/>
  <c r="Z28" i="1"/>
  <c r="BN28" i="1"/>
  <c r="Z30" i="1"/>
  <c r="BN30" i="1"/>
  <c r="Z34" i="1"/>
  <c r="Z35" i="1" s="1"/>
  <c r="BN34" i="1"/>
  <c r="BP34" i="1"/>
  <c r="Z40" i="1"/>
  <c r="Z43" i="1" s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BN61" i="1"/>
  <c r="Z67" i="1"/>
  <c r="Z69" i="1" s="1"/>
  <c r="BN67" i="1"/>
  <c r="Z73" i="1"/>
  <c r="BN73" i="1"/>
  <c r="Z75" i="1"/>
  <c r="BN75" i="1"/>
  <c r="Z79" i="1"/>
  <c r="Z81" i="1" s="1"/>
  <c r="BN79" i="1"/>
  <c r="BP79" i="1"/>
  <c r="E499" i="1"/>
  <c r="Z86" i="1"/>
  <c r="BN86" i="1"/>
  <c r="Y89" i="1"/>
  <c r="Z92" i="1"/>
  <c r="BN92" i="1"/>
  <c r="Z94" i="1"/>
  <c r="BN94" i="1"/>
  <c r="Z99" i="1"/>
  <c r="Z103" i="1" s="1"/>
  <c r="BN99" i="1"/>
  <c r="BP99" i="1"/>
  <c r="Z101" i="1"/>
  <c r="BN101" i="1"/>
  <c r="Y104" i="1"/>
  <c r="Z107" i="1"/>
  <c r="Z109" i="1" s="1"/>
  <c r="BN107" i="1"/>
  <c r="Z113" i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Z131" i="1" s="1"/>
  <c r="BN130" i="1"/>
  <c r="Z134" i="1"/>
  <c r="BN134" i="1"/>
  <c r="BP134" i="1"/>
  <c r="H499" i="1"/>
  <c r="Z141" i="1"/>
  <c r="Z142" i="1" s="1"/>
  <c r="BN141" i="1"/>
  <c r="Y142" i="1"/>
  <c r="Z145" i="1"/>
  <c r="Z148" i="1" s="1"/>
  <c r="BN145" i="1"/>
  <c r="BP145" i="1"/>
  <c r="Z147" i="1"/>
  <c r="BN147" i="1"/>
  <c r="Z151" i="1"/>
  <c r="Z152" i="1" s="1"/>
  <c r="BN151" i="1"/>
  <c r="BP151" i="1"/>
  <c r="Z157" i="1"/>
  <c r="Z158" i="1" s="1"/>
  <c r="BN157" i="1"/>
  <c r="BP157" i="1"/>
  <c r="Y158" i="1"/>
  <c r="Z161" i="1"/>
  <c r="Z171" i="1" s="1"/>
  <c r="BN161" i="1"/>
  <c r="BP161" i="1"/>
  <c r="Z163" i="1"/>
  <c r="BN163" i="1"/>
  <c r="Z166" i="1"/>
  <c r="BN166" i="1"/>
  <c r="Z168" i="1"/>
  <c r="BN168" i="1"/>
  <c r="Z170" i="1"/>
  <c r="BN170" i="1"/>
  <c r="Z174" i="1"/>
  <c r="BN174" i="1"/>
  <c r="BP174" i="1"/>
  <c r="Z176" i="1"/>
  <c r="BN176" i="1"/>
  <c r="Z180" i="1"/>
  <c r="Z181" i="1" s="1"/>
  <c r="BN180" i="1"/>
  <c r="BP180" i="1"/>
  <c r="Z185" i="1"/>
  <c r="BN185" i="1"/>
  <c r="BP185" i="1"/>
  <c r="Y188" i="1"/>
  <c r="Z191" i="1"/>
  <c r="BN191" i="1"/>
  <c r="Z195" i="1"/>
  <c r="BN195" i="1"/>
  <c r="BP195" i="1"/>
  <c r="Z197" i="1"/>
  <c r="BN197" i="1"/>
  <c r="Z199" i="1"/>
  <c r="BN199" i="1"/>
  <c r="Z201" i="1"/>
  <c r="BN201" i="1"/>
  <c r="Z207" i="1"/>
  <c r="BN207" i="1"/>
  <c r="Z209" i="1"/>
  <c r="BN209" i="1"/>
  <c r="Z211" i="1"/>
  <c r="BN211" i="1"/>
  <c r="Z213" i="1"/>
  <c r="BN213" i="1"/>
  <c r="Z219" i="1"/>
  <c r="Z220" i="1" s="1"/>
  <c r="BN219" i="1"/>
  <c r="Z224" i="1"/>
  <c r="Z234" i="1" s="1"/>
  <c r="BN224" i="1"/>
  <c r="BP224" i="1"/>
  <c r="Z226" i="1"/>
  <c r="BN226" i="1"/>
  <c r="Z228" i="1"/>
  <c r="BN228" i="1"/>
  <c r="Z230" i="1"/>
  <c r="BN230" i="1"/>
  <c r="Z232" i="1"/>
  <c r="BN232" i="1"/>
  <c r="Y235" i="1"/>
  <c r="Z246" i="1"/>
  <c r="BN246" i="1"/>
  <c r="Z248" i="1"/>
  <c r="BN248" i="1"/>
  <c r="L499" i="1"/>
  <c r="Y259" i="1"/>
  <c r="Z255" i="1"/>
  <c r="BN255" i="1"/>
  <c r="Z257" i="1"/>
  <c r="BN257" i="1"/>
  <c r="BP258" i="1"/>
  <c r="BN258" i="1"/>
  <c r="BP265" i="1"/>
  <c r="BN265" i="1"/>
  <c r="Z265" i="1"/>
  <c r="Y274" i="1"/>
  <c r="BP279" i="1"/>
  <c r="BN279" i="1"/>
  <c r="Z279" i="1"/>
  <c r="Z280" i="1" s="1"/>
  <c r="Y281" i="1"/>
  <c r="Y286" i="1"/>
  <c r="BP283" i="1"/>
  <c r="BN283" i="1"/>
  <c r="Z283" i="1"/>
  <c r="Z285" i="1" s="1"/>
  <c r="BP292" i="1"/>
  <c r="BN292" i="1"/>
  <c r="Z292" i="1"/>
  <c r="Y305" i="1"/>
  <c r="BP300" i="1"/>
  <c r="BN300" i="1"/>
  <c r="Z300" i="1"/>
  <c r="Z304" i="1" s="1"/>
  <c r="Y304" i="1"/>
  <c r="Z311" i="1"/>
  <c r="BP308" i="1"/>
  <c r="BN308" i="1"/>
  <c r="Z308" i="1"/>
  <c r="Y312" i="1"/>
  <c r="Y318" i="1"/>
  <c r="Y324" i="1"/>
  <c r="Y330" i="1"/>
  <c r="Y337" i="1"/>
  <c r="Y349" i="1"/>
  <c r="Y355" i="1"/>
  <c r="Y359" i="1"/>
  <c r="Y370" i="1"/>
  <c r="Y374" i="1"/>
  <c r="Y381" i="1"/>
  <c r="Y395" i="1"/>
  <c r="Y399" i="1"/>
  <c r="Y412" i="1"/>
  <c r="Y417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BP445" i="1"/>
  <c r="BN445" i="1"/>
  <c r="Z445" i="1"/>
  <c r="BP459" i="1"/>
  <c r="BN459" i="1"/>
  <c r="Z459" i="1"/>
  <c r="BP467" i="1"/>
  <c r="BN467" i="1"/>
  <c r="Z467" i="1"/>
  <c r="Y469" i="1"/>
  <c r="Y474" i="1"/>
  <c r="BP471" i="1"/>
  <c r="BN471" i="1"/>
  <c r="Z471" i="1"/>
  <c r="Z473" i="1" s="1"/>
  <c r="O499" i="1"/>
  <c r="Y275" i="1"/>
  <c r="P499" i="1"/>
  <c r="Y280" i="1"/>
  <c r="Q499" i="1"/>
  <c r="Y295" i="1"/>
  <c r="Z314" i="1"/>
  <c r="BN314" i="1"/>
  <c r="BP314" i="1"/>
  <c r="Z316" i="1"/>
  <c r="BN316" i="1"/>
  <c r="Z320" i="1"/>
  <c r="Z324" i="1" s="1"/>
  <c r="BN320" i="1"/>
  <c r="BP320" i="1"/>
  <c r="Z322" i="1"/>
  <c r="BN322" i="1"/>
  <c r="Z328" i="1"/>
  <c r="Z330" i="1" s="1"/>
  <c r="BN328" i="1"/>
  <c r="R499" i="1"/>
  <c r="Z335" i="1"/>
  <c r="Z337" i="1" s="1"/>
  <c r="BN335" i="1"/>
  <c r="Y338" i="1"/>
  <c r="S499" i="1"/>
  <c r="Z343" i="1"/>
  <c r="BN343" i="1"/>
  <c r="Z345" i="1"/>
  <c r="BN345" i="1"/>
  <c r="Z347" i="1"/>
  <c r="BN347" i="1"/>
  <c r="Y350" i="1"/>
  <c r="Z353" i="1"/>
  <c r="BN353" i="1"/>
  <c r="Z357" i="1"/>
  <c r="Z359" i="1" s="1"/>
  <c r="BN357" i="1"/>
  <c r="BP357" i="1"/>
  <c r="T499" i="1"/>
  <c r="Z368" i="1"/>
  <c r="Z369" i="1" s="1"/>
  <c r="BN368" i="1"/>
  <c r="Y369" i="1"/>
  <c r="Z372" i="1"/>
  <c r="Z374" i="1" s="1"/>
  <c r="BN372" i="1"/>
  <c r="BP372" i="1"/>
  <c r="Z378" i="1"/>
  <c r="BN378" i="1"/>
  <c r="Z379" i="1"/>
  <c r="BN379" i="1"/>
  <c r="Z385" i="1"/>
  <c r="BN385" i="1"/>
  <c r="BP385" i="1"/>
  <c r="Z387" i="1"/>
  <c r="BN387" i="1"/>
  <c r="Z389" i="1"/>
  <c r="BN389" i="1"/>
  <c r="Z391" i="1"/>
  <c r="BN391" i="1"/>
  <c r="Z393" i="1"/>
  <c r="BN393" i="1"/>
  <c r="Y394" i="1"/>
  <c r="Z397" i="1"/>
  <c r="BN397" i="1"/>
  <c r="BP397" i="1"/>
  <c r="V499" i="1"/>
  <c r="Y405" i="1"/>
  <c r="Z408" i="1"/>
  <c r="BN408" i="1"/>
  <c r="Z410" i="1"/>
  <c r="BN410" i="1"/>
  <c r="Z415" i="1"/>
  <c r="Z416" i="1" s="1"/>
  <c r="BN415" i="1"/>
  <c r="BP415" i="1"/>
  <c r="Y416" i="1"/>
  <c r="Z421" i="1"/>
  <c r="BN421" i="1"/>
  <c r="BP421" i="1"/>
  <c r="Z423" i="1"/>
  <c r="BP427" i="1"/>
  <c r="BN427" i="1"/>
  <c r="Z427" i="1"/>
  <c r="BP431" i="1"/>
  <c r="BN431" i="1"/>
  <c r="Z431" i="1"/>
  <c r="Y433" i="1"/>
  <c r="Y438" i="1"/>
  <c r="BP435" i="1"/>
  <c r="BN435" i="1"/>
  <c r="Z435" i="1"/>
  <c r="Z438" i="1" s="1"/>
  <c r="BP443" i="1"/>
  <c r="BN443" i="1"/>
  <c r="Z443" i="1"/>
  <c r="Y447" i="1"/>
  <c r="BP451" i="1"/>
  <c r="BN451" i="1"/>
  <c r="Z451" i="1"/>
  <c r="Z453" i="1" s="1"/>
  <c r="Y462" i="1"/>
  <c r="BP461" i="1"/>
  <c r="BN461" i="1"/>
  <c r="Z461" i="1"/>
  <c r="Y463" i="1"/>
  <c r="Y468" i="1"/>
  <c r="BP465" i="1"/>
  <c r="BN465" i="1"/>
  <c r="Z465" i="1"/>
  <c r="Z468" i="1" s="1"/>
  <c r="Y473" i="1"/>
  <c r="Y483" i="1"/>
  <c r="Y488" i="1"/>
  <c r="Y499" i="1"/>
  <c r="Z481" i="1"/>
  <c r="Z482" i="1" s="1"/>
  <c r="BN481" i="1"/>
  <c r="Z486" i="1"/>
  <c r="Z487" i="1" s="1"/>
  <c r="BN486" i="1"/>
  <c r="BP486" i="1"/>
  <c r="Y487" i="1"/>
  <c r="Z399" i="1" l="1"/>
  <c r="Z354" i="1"/>
  <c r="Z192" i="1"/>
  <c r="Z187" i="1"/>
  <c r="Z136" i="1"/>
  <c r="Z88" i="1"/>
  <c r="Z63" i="1"/>
  <c r="Z411" i="1"/>
  <c r="Z380" i="1"/>
  <c r="Z76" i="1"/>
  <c r="Z294" i="1"/>
  <c r="Z349" i="1"/>
  <c r="Z462" i="1"/>
  <c r="Z447" i="1"/>
  <c r="Z259" i="1"/>
  <c r="Z250" i="1"/>
  <c r="Z215" i="1"/>
  <c r="Z116" i="1"/>
  <c r="Z95" i="1"/>
  <c r="Z432" i="1"/>
  <c r="Y491" i="1"/>
  <c r="Y489" i="1"/>
  <c r="Z394" i="1"/>
  <c r="Z317" i="1"/>
  <c r="Z203" i="1"/>
  <c r="Z177" i="1"/>
  <c r="Z57" i="1"/>
  <c r="Y493" i="1"/>
  <c r="Y490" i="1"/>
  <c r="Z267" i="1"/>
  <c r="Z494" i="1" l="1"/>
  <c r="Y492" i="1"/>
</calcChain>
</file>

<file path=xl/sharedStrings.xml><?xml version="1.0" encoding="utf-8"?>
<sst xmlns="http://schemas.openxmlformats.org/spreadsheetml/2006/main" count="2277" uniqueCount="763">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</sst>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91" sqref="AA91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7" t="s">
        <v>0</v>
      </c>
      <c r="E1" s="575"/>
      <c r="F1" s="575"/>
      <c r="G1" s="12" t="s">
        <v>1</v>
      </c>
      <c r="H1" s="617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26"/>
      <c r="C5" s="627"/>
      <c r="D5" s="618"/>
      <c r="E5" s="619"/>
      <c r="F5" s="834" t="s">
        <v>9</v>
      </c>
      <c r="G5" s="627"/>
      <c r="H5" s="618" t="s">
        <v>762</v>
      </c>
      <c r="I5" s="779"/>
      <c r="J5" s="779"/>
      <c r="K5" s="779"/>
      <c r="L5" s="779"/>
      <c r="M5" s="619"/>
      <c r="N5" s="58"/>
      <c r="P5" s="24" t="s">
        <v>10</v>
      </c>
      <c r="Q5" s="841">
        <v>45997</v>
      </c>
      <c r="R5" s="655"/>
      <c r="T5" s="705" t="s">
        <v>11</v>
      </c>
      <c r="U5" s="706"/>
      <c r="V5" s="70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26"/>
      <c r="C6" s="627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Суббота</v>
      </c>
      <c r="R6" s="546"/>
      <c r="T6" s="709" t="s">
        <v>16</v>
      </c>
      <c r="U6" s="706"/>
      <c r="V6" s="726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60"/>
      <c r="P7" s="24"/>
      <c r="Q7" s="42"/>
      <c r="R7" s="42"/>
      <c r="T7" s="554"/>
      <c r="U7" s="706"/>
      <c r="V7" s="727"/>
      <c r="W7" s="728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58"/>
      <c r="C8" s="559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70">
        <v>0.45833333333333331</v>
      </c>
      <c r="R8" s="603"/>
      <c r="T8" s="554"/>
      <c r="U8" s="706"/>
      <c r="V8" s="727"/>
      <c r="W8" s="728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52"/>
      <c r="R9" s="653"/>
      <c r="T9" s="554"/>
      <c r="U9" s="70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0"/>
      <c r="R10" s="711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33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87" t="s">
        <v>29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  <c r="L12" s="626"/>
      <c r="M12" s="627"/>
      <c r="N12" s="62"/>
      <c r="P12" s="24" t="s">
        <v>30</v>
      </c>
      <c r="Q12" s="670"/>
      <c r="R12" s="603"/>
      <c r="S12" s="23"/>
      <c r="U12" s="24"/>
      <c r="V12" s="575"/>
      <c r="W12" s="554"/>
      <c r="AB12" s="51"/>
      <c r="AC12" s="51"/>
      <c r="AD12" s="51"/>
      <c r="AE12" s="51"/>
    </row>
    <row r="13" spans="1:32" s="535" customFormat="1" ht="23.25" customHeight="1" x14ac:dyDescent="0.2">
      <c r="A13" s="687" t="s">
        <v>31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  <c r="L13" s="626"/>
      <c r="M13" s="627"/>
      <c r="N13" s="62"/>
      <c r="O13" s="26"/>
      <c r="P13" s="26" t="s">
        <v>32</v>
      </c>
      <c r="Q13" s="733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87" t="s">
        <v>33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3" t="s">
        <v>34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7"/>
      <c r="N15" s="63"/>
      <c r="P15" s="719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0"/>
      <c r="Q16" s="720"/>
      <c r="R16" s="720"/>
      <c r="S16" s="720"/>
      <c r="T16" s="7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677" t="s">
        <v>38</v>
      </c>
      <c r="D17" s="582" t="s">
        <v>39</v>
      </c>
      <c r="E17" s="637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36"/>
      <c r="R17" s="636"/>
      <c r="S17" s="636"/>
      <c r="T17" s="637"/>
      <c r="U17" s="715" t="s">
        <v>51</v>
      </c>
      <c r="V17" s="627"/>
      <c r="W17" s="582" t="s">
        <v>52</v>
      </c>
      <c r="X17" s="582" t="s">
        <v>53</v>
      </c>
      <c r="Y17" s="716" t="s">
        <v>54</v>
      </c>
      <c r="Z17" s="731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38"/>
      <c r="E18" s="640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38"/>
      <c r="Q18" s="639"/>
      <c r="R18" s="639"/>
      <c r="S18" s="639"/>
      <c r="T18" s="640"/>
      <c r="U18" s="67" t="s">
        <v>61</v>
      </c>
      <c r="V18" s="67" t="s">
        <v>62</v>
      </c>
      <c r="W18" s="583"/>
      <c r="X18" s="583"/>
      <c r="Y18" s="717"/>
      <c r="Z18" s="732"/>
      <c r="AA18" s="756"/>
      <c r="AB18" s="756"/>
      <c r="AC18" s="756"/>
      <c r="AD18" s="831"/>
      <c r="AE18" s="832"/>
      <c r="AF18" s="833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1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1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1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1" t="s">
        <v>97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hidden="1" customHeight="1" x14ac:dyDescent="0.25">
      <c r="A38" s="560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1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61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1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6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hidden="1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hidden="1" customHeight="1" x14ac:dyDescent="0.25">
      <c r="A59" s="561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61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5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1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1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0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1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hidden="1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hidden="1" customHeight="1" x14ac:dyDescent="0.25">
      <c r="A90" s="561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122</v>
      </c>
      <c r="Y91" s="542">
        <f>IFERROR(IF(X91="",0,CEILING((X91/$H91),1)*$H91),"")</f>
        <v>129.6</v>
      </c>
      <c r="Z91" s="36">
        <f>IFERROR(IF(Y91=0,"",ROUNDUP(Y91/H91,0)*0.01898),"")</f>
        <v>0.30368000000000001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129.44049382716048</v>
      </c>
      <c r="BN91" s="64">
        <f>IFERROR(Y91*I91/H91,"0")</f>
        <v>137.50399999999999</v>
      </c>
      <c r="BO91" s="64">
        <f>IFERROR(1/J91*(X91/H91),"0")</f>
        <v>0.23533950617283952</v>
      </c>
      <c r="BP91" s="64">
        <f>IFERROR(1/J91*(Y91/H91),"0")</f>
        <v>0.25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15.06172839506173</v>
      </c>
      <c r="Y95" s="543">
        <f>IFERROR(Y91/H91,"0")+IFERROR(Y92/H92,"0")+IFERROR(Y93/H93,"0")+IFERROR(Y94/H94,"0")</f>
        <v>16</v>
      </c>
      <c r="Z95" s="543">
        <f>IFERROR(IF(Z91="",0,Z91),"0")+IFERROR(IF(Z92="",0,Z92),"0")+IFERROR(IF(Z93="",0,Z93),"0")+IFERROR(IF(Z94="",0,Z94),"0")</f>
        <v>0.30368000000000001</v>
      </c>
      <c r="AA95" s="544"/>
      <c r="AB95" s="544"/>
      <c r="AC95" s="544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122</v>
      </c>
      <c r="Y96" s="543">
        <f>IFERROR(SUM(Y91:Y94),"0")</f>
        <v>129.6</v>
      </c>
      <c r="Z96" s="37"/>
      <c r="AA96" s="544"/>
      <c r="AB96" s="544"/>
      <c r="AC96" s="544"/>
    </row>
    <row r="97" spans="1:68" ht="16.5" hidden="1" customHeight="1" x14ac:dyDescent="0.25">
      <c r="A97" s="560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1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61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1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126</v>
      </c>
      <c r="Y112" s="542">
        <f>IFERROR(IF(X112="",0,CEILING((X112/$H112),1)*$H112),"")</f>
        <v>129.6</v>
      </c>
      <c r="Z112" s="36">
        <f>IFERROR(IF(Y112=0,"",ROUNDUP(Y112/H112,0)*0.01898),"")</f>
        <v>0.30368000000000001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133.5911111111111</v>
      </c>
      <c r="BN112" s="64">
        <f>IFERROR(Y112*I112/H112,"0")</f>
        <v>137.40799999999999</v>
      </c>
      <c r="BO112" s="64">
        <f>IFERROR(1/J112*(X112/H112),"0")</f>
        <v>0.24305555555555555</v>
      </c>
      <c r="BP112" s="64">
        <f>IFERROR(1/J112*(Y112/H112),"0")</f>
        <v>0.25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15.555555555555555</v>
      </c>
      <c r="Y116" s="543">
        <f>IFERROR(Y112/H112,"0")+IFERROR(Y113/H113,"0")+IFERROR(Y114/H114,"0")+IFERROR(Y115/H115,"0")</f>
        <v>16</v>
      </c>
      <c r="Z116" s="543">
        <f>IFERROR(IF(Z112="",0,Z112),"0")+IFERROR(IF(Z113="",0,Z113),"0")+IFERROR(IF(Z114="",0,Z114),"0")+IFERROR(IF(Z115="",0,Z115),"0")</f>
        <v>0.30368000000000001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126</v>
      </c>
      <c r="Y117" s="543">
        <f>IFERROR(SUM(Y112:Y115),"0")</f>
        <v>129.6</v>
      </c>
      <c r="Z117" s="37"/>
      <c r="AA117" s="544"/>
      <c r="AB117" s="544"/>
      <c r="AC117" s="544"/>
    </row>
    <row r="118" spans="1:68" ht="14.25" hidden="1" customHeight="1" x14ac:dyDescent="0.25">
      <c r="A118" s="561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1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1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1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0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1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61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5">
        <v>4607091387667</v>
      </c>
      <c r="E145" s="546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5">
        <v>4607091387636</v>
      </c>
      <c r="E146" s="546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5">
        <v>4607091382426</v>
      </c>
      <c r="E147" s="546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61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5">
        <v>4680115887459</v>
      </c>
      <c r="E151" s="546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1" t="s">
        <v>250</v>
      </c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48"/>
      <c r="AB154" s="48"/>
      <c r="AC154" s="48"/>
    </row>
    <row r="155" spans="1:68" ht="16.5" hidden="1" customHeight="1" x14ac:dyDescent="0.25">
      <c r="A155" s="560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61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5">
        <v>4680115886223</v>
      </c>
      <c r="E157" s="546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61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5">
        <v>4680115880993</v>
      </c>
      <c r="E161" s="546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/>
      <c r="M161" s="33" t="s">
        <v>68</v>
      </c>
      <c r="N161" s="33"/>
      <c r="O161" s="32">
        <v>40</v>
      </c>
      <c r="P161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5">
        <v>4680115881761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5">
        <v>4680115881563</v>
      </c>
      <c r="E163" s="546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5">
        <v>4680115880986</v>
      </c>
      <c r="E164" s="546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5">
        <v>4680115887213</v>
      </c>
      <c r="E165" s="546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9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hidden="1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hidden="1" customHeight="1" x14ac:dyDescent="0.25">
      <c r="A173" s="561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61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60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1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186</v>
      </c>
      <c r="M186" s="33" t="s">
        <v>104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106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1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1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hidden="1" customHeight="1" x14ac:dyDescent="0.25">
      <c r="A195" s="54" t="s">
        <v>307</v>
      </c>
      <c r="B195" s="54" t="s">
        <v>308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hidden="1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hidden="1" customHeight="1" x14ac:dyDescent="0.25">
      <c r="A205" s="561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99</v>
      </c>
      <c r="Y211" s="542">
        <f t="shared" si="15"/>
        <v>100.8</v>
      </c>
      <c r="Z211" s="36">
        <f t="shared" si="20"/>
        <v>0.27342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109.39500000000001</v>
      </c>
      <c r="BN211" s="64">
        <f t="shared" si="17"/>
        <v>111.384</v>
      </c>
      <c r="BO211" s="64">
        <f t="shared" si="18"/>
        <v>0.22664835164835168</v>
      </c>
      <c r="BP211" s="64">
        <f t="shared" si="19"/>
        <v>0.23076923076923078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81</v>
      </c>
      <c r="Y212" s="542">
        <f t="shared" si="15"/>
        <v>81.599999999999994</v>
      </c>
      <c r="Z212" s="36">
        <f t="shared" si="20"/>
        <v>0.22134000000000001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89.50500000000001</v>
      </c>
      <c r="BN212" s="64">
        <f t="shared" si="17"/>
        <v>90.168000000000006</v>
      </c>
      <c r="BO212" s="64">
        <f t="shared" si="18"/>
        <v>0.18543956043956045</v>
      </c>
      <c r="BP212" s="64">
        <f t="shared" si="19"/>
        <v>0.18681318681318682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75</v>
      </c>
      <c r="Y215" s="543">
        <f>IFERROR(Y206/H206,"0")+IFERROR(Y207/H207,"0")+IFERROR(Y208/H208,"0")+IFERROR(Y209/H209,"0")+IFERROR(Y210/H210,"0")+IFERROR(Y211/H211,"0")+IFERROR(Y212/H212,"0")+IFERROR(Y213/H213,"0")+IFERROR(Y214/H214,"0")</f>
        <v>76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0.49475999999999998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180</v>
      </c>
      <c r="Y216" s="543">
        <f>IFERROR(SUM(Y206:Y214),"0")</f>
        <v>182.39999999999998</v>
      </c>
      <c r="Z216" s="37"/>
      <c r="AA216" s="544"/>
      <c r="AB216" s="544"/>
      <c r="AC216" s="544"/>
    </row>
    <row r="217" spans="1:68" ht="14.25" hidden="1" customHeight="1" x14ac:dyDescent="0.25">
      <c r="A217" s="561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60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1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61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1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61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60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1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 t="s">
        <v>103</v>
      </c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106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60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1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4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1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50</v>
      </c>
      <c r="Y272" s="542">
        <f>IFERROR(IF(X272="",0,CEILING((X272/$H272),1)*$H272),"")</f>
        <v>50.4</v>
      </c>
      <c r="Z272" s="36">
        <f>IFERROR(IF(Y272=0,"",ROUNDUP(Y272/H272,0)*0.00651),"")</f>
        <v>0.13671</v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55.25</v>
      </c>
      <c r="BN272" s="64">
        <f>IFERROR(Y272*I272/H272,"0")</f>
        <v>55.692</v>
      </c>
      <c r="BO272" s="64">
        <f>IFERROR(1/J272*(X272/H272),"0")</f>
        <v>0.11446886446886449</v>
      </c>
      <c r="BP272" s="64">
        <f>IFERROR(1/J272*(Y272/H272),"0")</f>
        <v>0.11538461538461539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5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55</v>
      </c>
      <c r="Y273" s="542">
        <f>IFERROR(IF(X273="",0,CEILING((X273/$H273),1)*$H273),"")</f>
        <v>55.199999999999996</v>
      </c>
      <c r="Z273" s="36">
        <f>IFERROR(IF(Y273=0,"",ROUNDUP(Y273/H273,0)*0.00651),"")</f>
        <v>0.14973</v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59.125000000000007</v>
      </c>
      <c r="BN273" s="64">
        <f>IFERROR(Y273*I273/H273,"0")</f>
        <v>59.34</v>
      </c>
      <c r="BO273" s="64">
        <f>IFERROR(1/J273*(X273/H273),"0")</f>
        <v>0.12591575091575094</v>
      </c>
      <c r="BP273" s="64">
        <f>IFERROR(1/J273*(Y273/H273),"0")</f>
        <v>0.1263736263736264</v>
      </c>
    </row>
    <row r="274" spans="1:68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43.75</v>
      </c>
      <c r="Y274" s="543">
        <f>IFERROR(Y271/H271,"0")+IFERROR(Y272/H272,"0")+IFERROR(Y273/H273,"0")</f>
        <v>44</v>
      </c>
      <c r="Z274" s="543">
        <f>IFERROR(IF(Z271="",0,Z271),"0")+IFERROR(IF(Z272="",0,Z272),"0")+IFERROR(IF(Z273="",0,Z273),"0")</f>
        <v>0.28644000000000003</v>
      </c>
      <c r="AA274" s="544"/>
      <c r="AB274" s="544"/>
      <c r="AC274" s="544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105</v>
      </c>
      <c r="Y275" s="543">
        <f>IFERROR(SUM(Y271:Y273),"0")</f>
        <v>105.6</v>
      </c>
      <c r="Z275" s="37"/>
      <c r="AA275" s="544"/>
      <c r="AB275" s="544"/>
      <c r="AC275" s="544"/>
    </row>
    <row r="276" spans="1:68" ht="16.5" hidden="1" customHeight="1" x14ac:dyDescent="0.25">
      <c r="A276" s="560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1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1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5">
        <v>4680115887114</v>
      </c>
      <c r="E284" s="546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446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61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1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472</v>
      </c>
      <c r="B301" s="54" t="s">
        <v>473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477</v>
      </c>
      <c r="B303" s="54" t="s">
        <v>478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hidden="1" customHeight="1" x14ac:dyDescent="0.25">
      <c r="A306" s="561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61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7"/>
      <c r="AB313" s="537"/>
      <c r="AC313" s="537"/>
    </row>
    <row r="314" spans="1:68" ht="27" hidden="1" customHeight="1" x14ac:dyDescent="0.25">
      <c r="A314" s="54" t="s">
        <v>492</v>
      </c>
      <c r="B314" s="54" t="s">
        <v>493</v>
      </c>
      <c r="C314" s="31">
        <v>4301060387</v>
      </c>
      <c r="D314" s="545">
        <v>4607091380880</v>
      </c>
      <c r="E314" s="546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5">
        <v>4607091384482</v>
      </c>
      <c r="E315" s="546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114</v>
      </c>
      <c r="Y315" s="542">
        <f>IFERROR(IF(X315="",0,CEILING((X315/$H315),1)*$H315),"")</f>
        <v>117</v>
      </c>
      <c r="Z315" s="36">
        <f>IFERROR(IF(Y315=0,"",ROUNDUP(Y315/H315,0)*0.01898),"")</f>
        <v>0.28470000000000001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121.22000000000001</v>
      </c>
      <c r="BN315" s="64">
        <f>IFERROR(Y315*I315/H315,"0")</f>
        <v>124.41000000000001</v>
      </c>
      <c r="BO315" s="64">
        <f>IFERROR(1/J315*(X315/H315),"0")</f>
        <v>0.22836538461538461</v>
      </c>
      <c r="BP315" s="64">
        <f>IFERROR(1/J315*(Y315/H315),"0")</f>
        <v>0.234375</v>
      </c>
    </row>
    <row r="316" spans="1:68" ht="16.5" hidden="1" customHeight="1" x14ac:dyDescent="0.25">
      <c r="A316" s="54" t="s">
        <v>498</v>
      </c>
      <c r="B316" s="54" t="s">
        <v>499</v>
      </c>
      <c r="C316" s="31">
        <v>4301060484</v>
      </c>
      <c r="D316" s="545">
        <v>4607091380897</v>
      </c>
      <c r="E316" s="546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3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5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3">
        <f>IFERROR(X314/H314,"0")+IFERROR(X315/H315,"0")+IFERROR(X316/H316,"0")</f>
        <v>14.615384615384615</v>
      </c>
      <c r="Y317" s="543">
        <f>IFERROR(Y314/H314,"0")+IFERROR(Y315/H315,"0")+IFERROR(Y316/H316,"0")</f>
        <v>15</v>
      </c>
      <c r="Z317" s="543">
        <f>IFERROR(IF(Z314="",0,Z314),"0")+IFERROR(IF(Z315="",0,Z315),"0")+IFERROR(IF(Z316="",0,Z316),"0")</f>
        <v>0.28470000000000001</v>
      </c>
      <c r="AA317" s="544"/>
      <c r="AB317" s="544"/>
      <c r="AC317" s="544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3">
        <f>IFERROR(SUM(X314:X316),"0")</f>
        <v>114</v>
      </c>
      <c r="Y318" s="543">
        <f>IFERROR(SUM(Y314:Y316),"0")</f>
        <v>117</v>
      </c>
      <c r="Z318" s="37"/>
      <c r="AA318" s="544"/>
      <c r="AB318" s="544"/>
      <c r="AC318" s="544"/>
    </row>
    <row r="319" spans="1:68" ht="14.25" hidden="1" customHeight="1" x14ac:dyDescent="0.25">
      <c r="A319" s="561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7"/>
      <c r="AB319" s="537"/>
      <c r="AC319" s="537"/>
    </row>
    <row r="320" spans="1:68" ht="27" hidden="1" customHeight="1" x14ac:dyDescent="0.25">
      <c r="A320" s="54" t="s">
        <v>501</v>
      </c>
      <c r="B320" s="54" t="s">
        <v>502</v>
      </c>
      <c r="C320" s="31">
        <v>4301030235</v>
      </c>
      <c r="D320" s="545">
        <v>4607091388381</v>
      </c>
      <c r="E320" s="546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504</v>
      </c>
      <c r="B321" s="54" t="s">
        <v>505</v>
      </c>
      <c r="C321" s="31">
        <v>4301030232</v>
      </c>
      <c r="D321" s="545">
        <v>4607091388374</v>
      </c>
      <c r="E321" s="546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8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506</v>
      </c>
      <c r="B322" s="54" t="s">
        <v>507</v>
      </c>
      <c r="C322" s="31">
        <v>4301032015</v>
      </c>
      <c r="D322" s="545">
        <v>4607091383102</v>
      </c>
      <c r="E322" s="546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6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4301030233</v>
      </c>
      <c r="D323" s="545">
        <v>4607091388404</v>
      </c>
      <c r="E323" s="546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hidden="1" customHeight="1" x14ac:dyDescent="0.25">
      <c r="A326" s="561" t="s">
        <v>511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7"/>
      <c r="AB326" s="537"/>
      <c r="AC326" s="537"/>
    </row>
    <row r="327" spans="1:68" ht="16.5" hidden="1" customHeight="1" x14ac:dyDescent="0.25">
      <c r="A327" s="54" t="s">
        <v>512</v>
      </c>
      <c r="B327" s="54" t="s">
        <v>513</v>
      </c>
      <c r="C327" s="31">
        <v>4301180007</v>
      </c>
      <c r="D327" s="545">
        <v>4680115881808</v>
      </c>
      <c r="E327" s="546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516</v>
      </c>
      <c r="B328" s="54" t="s">
        <v>517</v>
      </c>
      <c r="C328" s="31">
        <v>4301180006</v>
      </c>
      <c r="D328" s="545">
        <v>4680115881822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518</v>
      </c>
      <c r="B329" s="54" t="s">
        <v>519</v>
      </c>
      <c r="C329" s="31">
        <v>4301180001</v>
      </c>
      <c r="D329" s="545">
        <v>4680115880016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3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5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hidden="1" customHeight="1" x14ac:dyDescent="0.25">
      <c r="A332" s="560" t="s">
        <v>520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6"/>
      <c r="AB332" s="536"/>
      <c r="AC332" s="536"/>
    </row>
    <row r="333" spans="1:68" ht="14.25" hidden="1" customHeight="1" x14ac:dyDescent="0.25">
      <c r="A333" s="561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7"/>
      <c r="AB333" s="537"/>
      <c r="AC333" s="537"/>
    </row>
    <row r="334" spans="1:68" ht="27" hidden="1" customHeight="1" x14ac:dyDescent="0.25">
      <c r="A334" s="54" t="s">
        <v>521</v>
      </c>
      <c r="B334" s="54" t="s">
        <v>522</v>
      </c>
      <c r="C334" s="31">
        <v>4301051489</v>
      </c>
      <c r="D334" s="545">
        <v>4607091387919</v>
      </c>
      <c r="E334" s="546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524</v>
      </c>
      <c r="B335" s="54" t="s">
        <v>525</v>
      </c>
      <c r="C335" s="31">
        <v>4301051461</v>
      </c>
      <c r="D335" s="545">
        <v>4680115883604</v>
      </c>
      <c r="E335" s="546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4301051864</v>
      </c>
      <c r="D336" s="545">
        <v>4680115883567</v>
      </c>
      <c r="E336" s="546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hidden="1" customHeight="1" x14ac:dyDescent="0.2">
      <c r="A339" s="631" t="s">
        <v>530</v>
      </c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2"/>
      <c r="P339" s="632"/>
      <c r="Q339" s="632"/>
      <c r="R339" s="632"/>
      <c r="S339" s="632"/>
      <c r="T339" s="632"/>
      <c r="U339" s="632"/>
      <c r="V339" s="632"/>
      <c r="W339" s="632"/>
      <c r="X339" s="632"/>
      <c r="Y339" s="632"/>
      <c r="Z339" s="632"/>
      <c r="AA339" s="48"/>
      <c r="AB339" s="48"/>
      <c r="AC339" s="48"/>
    </row>
    <row r="340" spans="1:68" ht="16.5" hidden="1" customHeight="1" x14ac:dyDescent="0.25">
      <c r="A340" s="560" t="s">
        <v>531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6"/>
      <c r="AB340" s="536"/>
      <c r="AC340" s="536"/>
    </row>
    <row r="341" spans="1:68" ht="14.25" hidden="1" customHeight="1" x14ac:dyDescent="0.25">
      <c r="A341" s="561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5">
        <v>4680115884847</v>
      </c>
      <c r="E342" s="546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127</v>
      </c>
      <c r="Y342" s="542">
        <f t="shared" ref="Y342:Y348" si="31">IFERROR(IF(X342="",0,CEILING((X342/$H342),1)*$H342),"")</f>
        <v>135</v>
      </c>
      <c r="Z342" s="36">
        <f>IFERROR(IF(Y342=0,"",ROUNDUP(Y342/H342,0)*0.02175),"")</f>
        <v>0.19574999999999998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130.97933333333333</v>
      </c>
      <c r="BN342" s="64">
        <f t="shared" ref="BN342:BN348" si="33">IFERROR(Y342*I342/H342,"0")</f>
        <v>139.23000000000002</v>
      </c>
      <c r="BO342" s="64">
        <f t="shared" ref="BO342:BO348" si="34">IFERROR(1/J342*(X342/H342),"0")</f>
        <v>0.17638888888888887</v>
      </c>
      <c r="BP342" s="64">
        <f t="shared" ref="BP342:BP348" si="35">IFERROR(1/J342*(Y342/H342),"0")</f>
        <v>0.1875</v>
      </c>
    </row>
    <row r="343" spans="1:68" ht="27" hidden="1" customHeight="1" x14ac:dyDescent="0.25">
      <c r="A343" s="54" t="s">
        <v>535</v>
      </c>
      <c r="B343" s="54" t="s">
        <v>536</v>
      </c>
      <c r="C343" s="31">
        <v>4301011870</v>
      </c>
      <c r="D343" s="545">
        <v>4680115884854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0</v>
      </c>
      <c r="Y343" s="542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hidden="1" customHeight="1" x14ac:dyDescent="0.25">
      <c r="A344" s="54" t="s">
        <v>538</v>
      </c>
      <c r="B344" s="54" t="s">
        <v>539</v>
      </c>
      <c r="C344" s="31">
        <v>4301011867</v>
      </c>
      <c r="D344" s="545">
        <v>4680115884830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5">
        <v>4680115887046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124</v>
      </c>
      <c r="Y345" s="542">
        <f t="shared" si="31"/>
        <v>135</v>
      </c>
      <c r="Z345" s="36">
        <f>IFERROR(IF(Y345=0,"",ROUNDUP(Y345/H345,0)*0.02175),"")</f>
        <v>0.19574999999999998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127.88533333333334</v>
      </c>
      <c r="BN345" s="64">
        <f t="shared" si="33"/>
        <v>139.23000000000002</v>
      </c>
      <c r="BO345" s="64">
        <f t="shared" si="34"/>
        <v>0.17222222222222222</v>
      </c>
      <c r="BP345" s="64">
        <f t="shared" si="35"/>
        <v>0.1875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45">
        <v>4680115882638</v>
      </c>
      <c r="E346" s="546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8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45">
        <v>4680115884922</v>
      </c>
      <c r="E347" s="546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549</v>
      </c>
      <c r="B348" s="54" t="s">
        <v>550</v>
      </c>
      <c r="C348" s="31">
        <v>4301011868</v>
      </c>
      <c r="D348" s="545">
        <v>4680115884861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3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5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3">
        <f>IFERROR(X342/H342,"0")+IFERROR(X343/H343,"0")+IFERROR(X344/H344,"0")+IFERROR(X345/H345,"0")+IFERROR(X346/H346,"0")+IFERROR(X347/H347,"0")+IFERROR(X348/H348,"0")</f>
        <v>16.733333333333334</v>
      </c>
      <c r="Y349" s="543">
        <f>IFERROR(Y342/H342,"0")+IFERROR(Y343/H343,"0")+IFERROR(Y344/H344,"0")+IFERROR(Y345/H345,"0")+IFERROR(Y346/H346,"0")+IFERROR(Y347/H347,"0")+IFERROR(Y348/H348,"0")</f>
        <v>18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0.39149999999999996</v>
      </c>
      <c r="AA349" s="544"/>
      <c r="AB349" s="544"/>
      <c r="AC349" s="544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3">
        <f>IFERROR(SUM(X342:X348),"0")</f>
        <v>251</v>
      </c>
      <c r="Y350" s="543">
        <f>IFERROR(SUM(Y342:Y348),"0")</f>
        <v>270</v>
      </c>
      <c r="Z350" s="37"/>
      <c r="AA350" s="544"/>
      <c r="AB350" s="544"/>
      <c r="AC350" s="544"/>
    </row>
    <row r="351" spans="1:68" ht="14.25" hidden="1" customHeight="1" x14ac:dyDescent="0.25">
      <c r="A351" s="561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5">
        <v>4607091383980</v>
      </c>
      <c r="E352" s="546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143</v>
      </c>
      <c r="Y352" s="542">
        <f>IFERROR(IF(X352="",0,CEILING((X352/$H352),1)*$H352),"")</f>
        <v>150</v>
      </c>
      <c r="Z352" s="36">
        <f>IFERROR(IF(Y352=0,"",ROUNDUP(Y352/H352,0)*0.02175),"")</f>
        <v>0.21749999999999997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147.48066666666668</v>
      </c>
      <c r="BN352" s="64">
        <f>IFERROR(Y352*I352/H352,"0")</f>
        <v>154.69999999999999</v>
      </c>
      <c r="BO352" s="64">
        <f>IFERROR(1/J352*(X352/H352),"0")</f>
        <v>0.1986111111111111</v>
      </c>
      <c r="BP352" s="64">
        <f>IFERROR(1/J352*(Y352/H352),"0")</f>
        <v>0.20833333333333331</v>
      </c>
    </row>
    <row r="353" spans="1:68" ht="27" hidden="1" customHeight="1" x14ac:dyDescent="0.25">
      <c r="A353" s="54" t="s">
        <v>554</v>
      </c>
      <c r="B353" s="54" t="s">
        <v>555</v>
      </c>
      <c r="C353" s="31">
        <v>4301020179</v>
      </c>
      <c r="D353" s="545">
        <v>4607091384178</v>
      </c>
      <c r="E353" s="546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3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5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3">
        <f>IFERROR(X352/H352,"0")+IFERROR(X353/H353,"0")</f>
        <v>9.5333333333333332</v>
      </c>
      <c r="Y354" s="543">
        <f>IFERROR(Y352/H352,"0")+IFERROR(Y353/H353,"0")</f>
        <v>10</v>
      </c>
      <c r="Z354" s="543">
        <f>IFERROR(IF(Z352="",0,Z352),"0")+IFERROR(IF(Z353="",0,Z353),"0")</f>
        <v>0.21749999999999997</v>
      </c>
      <c r="AA354" s="544"/>
      <c r="AB354" s="544"/>
      <c r="AC354" s="544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3">
        <f>IFERROR(SUM(X352:X353),"0")</f>
        <v>143</v>
      </c>
      <c r="Y355" s="543">
        <f>IFERROR(SUM(Y352:Y353),"0")</f>
        <v>150</v>
      </c>
      <c r="Z355" s="37"/>
      <c r="AA355" s="544"/>
      <c r="AB355" s="544"/>
      <c r="AC355" s="544"/>
    </row>
    <row r="356" spans="1:68" ht="14.25" hidden="1" customHeight="1" x14ac:dyDescent="0.25">
      <c r="A356" s="561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5">
        <v>4607091383928</v>
      </c>
      <c r="E357" s="546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5">
        <v>4607091384260</v>
      </c>
      <c r="E358" s="546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3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5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hidden="1" customHeight="1" x14ac:dyDescent="0.25">
      <c r="A361" s="561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7"/>
      <c r="AB361" s="537"/>
      <c r="AC361" s="537"/>
    </row>
    <row r="362" spans="1:68" ht="16.5" hidden="1" customHeight="1" x14ac:dyDescent="0.25">
      <c r="A362" s="54" t="s">
        <v>563</v>
      </c>
      <c r="B362" s="54" t="s">
        <v>564</v>
      </c>
      <c r="C362" s="31">
        <v>4301060524</v>
      </c>
      <c r="D362" s="545">
        <v>4607091384673</v>
      </c>
      <c r="E362" s="546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3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5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hidden="1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hidden="1" customHeight="1" x14ac:dyDescent="0.25">
      <c r="A365" s="560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6"/>
      <c r="AB365" s="536"/>
      <c r="AC365" s="536"/>
    </row>
    <row r="366" spans="1:68" ht="14.25" hidden="1" customHeight="1" x14ac:dyDescent="0.25">
      <c r="A366" s="561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7"/>
      <c r="AB366" s="537"/>
      <c r="AC366" s="537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5">
        <v>4680115884885</v>
      </c>
      <c r="E367" s="546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3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5">
        <v>4680115884908</v>
      </c>
      <c r="E368" s="546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3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5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hidden="1" customHeight="1" x14ac:dyDescent="0.25">
      <c r="A371" s="561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5">
        <v>4607091384802</v>
      </c>
      <c r="E372" s="546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5">
        <v>4607091384802</v>
      </c>
      <c r="E373" s="546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3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5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61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7"/>
      <c r="AB376" s="537"/>
      <c r="AC376" s="537"/>
    </row>
    <row r="377" spans="1:68" ht="27" hidden="1" customHeight="1" x14ac:dyDescent="0.25">
      <c r="A377" s="54" t="s">
        <v>577</v>
      </c>
      <c r="B377" s="54" t="s">
        <v>578</v>
      </c>
      <c r="C377" s="31">
        <v>4301051899</v>
      </c>
      <c r="D377" s="545">
        <v>4607091384246</v>
      </c>
      <c r="E377" s="546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5">
        <v>4607091384253</v>
      </c>
      <c r="E378" s="546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5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IFERROR(X377/H377,"0")+IFERROR(X378/H378,"0")+IFERROR(X379/H379,"0")</f>
        <v>0</v>
      </c>
      <c r="Y380" s="543">
        <f>IFERROR(Y377/H377,"0")+IFERROR(Y378/H378,"0")+IFERROR(Y379/H379,"0")</f>
        <v>0</v>
      </c>
      <c r="Z380" s="543">
        <f>IFERROR(IF(Z377="",0,Z377),"0")+IFERROR(IF(Z378="",0,Z378),"0")+IFERROR(IF(Z379="",0,Z379),"0")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IFERROR(SUM(X377:X379),"0")</f>
        <v>0</v>
      </c>
      <c r="Y381" s="543">
        <f>IFERROR(SUM(Y377:Y379),"0")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31" t="s">
        <v>585</v>
      </c>
      <c r="B382" s="632"/>
      <c r="C382" s="632"/>
      <c r="D382" s="632"/>
      <c r="E382" s="632"/>
      <c r="F382" s="632"/>
      <c r="G382" s="632"/>
      <c r="H382" s="632"/>
      <c r="I382" s="632"/>
      <c r="J382" s="632"/>
      <c r="K382" s="632"/>
      <c r="L382" s="632"/>
      <c r="M382" s="632"/>
      <c r="N382" s="632"/>
      <c r="O382" s="632"/>
      <c r="P382" s="632"/>
      <c r="Q382" s="632"/>
      <c r="R382" s="632"/>
      <c r="S382" s="632"/>
      <c r="T382" s="632"/>
      <c r="U382" s="632"/>
      <c r="V382" s="632"/>
      <c r="W382" s="632"/>
      <c r="X382" s="632"/>
      <c r="Y382" s="632"/>
      <c r="Z382" s="632"/>
      <c r="AA382" s="48"/>
      <c r="AB382" s="48"/>
      <c r="AC382" s="48"/>
    </row>
    <row r="383" spans="1:68" ht="16.5" hidden="1" customHeight="1" x14ac:dyDescent="0.25">
      <c r="A383" s="560" t="s">
        <v>586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1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1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617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1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1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hidden="1" customHeight="1" x14ac:dyDescent="0.25">
      <c r="A407" s="54" t="s">
        <v>621</v>
      </c>
      <c r="B407" s="54" t="s">
        <v>622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5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0" t="s">
        <v>632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1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1" t="s">
        <v>636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48"/>
      <c r="AB418" s="48"/>
      <c r="AC418" s="48"/>
    </row>
    <row r="419" spans="1:68" ht="16.5" hidden="1" customHeight="1" x14ac:dyDescent="0.25">
      <c r="A419" s="560" t="s">
        <v>636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1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45">
        <v>4607091383522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4301011961</v>
      </c>
      <c r="D423" s="545">
        <v>4680115885271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645</v>
      </c>
      <c r="B424" s="54" t="s">
        <v>646</v>
      </c>
      <c r="C424" s="31">
        <v>4301011376</v>
      </c>
      <c r="D424" s="545">
        <v>4680115885226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307</v>
      </c>
      <c r="Y426" s="542">
        <f t="shared" si="42"/>
        <v>311.52000000000004</v>
      </c>
      <c r="Z426" s="36">
        <f t="shared" si="43"/>
        <v>0.70564000000000004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327.35037878787875</v>
      </c>
      <c r="BN426" s="64">
        <f t="shared" si="45"/>
        <v>332.17</v>
      </c>
      <c r="BO426" s="64">
        <f t="shared" si="46"/>
        <v>0.55907634032634035</v>
      </c>
      <c r="BP426" s="64">
        <f t="shared" si="47"/>
        <v>0.5673076923076924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58.143939393939391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59.000000000000007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0.70564000000000004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307</v>
      </c>
      <c r="Y433" s="543">
        <f>IFERROR(SUM(Y421:Y431),"0")</f>
        <v>311.52000000000004</v>
      </c>
      <c r="Z433" s="37"/>
      <c r="AA433" s="544"/>
      <c r="AB433" s="544"/>
      <c r="AC433" s="544"/>
    </row>
    <row r="434" spans="1:68" ht="14.25" hidden="1" customHeight="1" x14ac:dyDescent="0.25">
      <c r="A434" s="561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149</v>
      </c>
      <c r="Y435" s="542">
        <f>IFERROR(IF(X435="",0,CEILING((X435/$H435),1)*$H435),"")</f>
        <v>153.12</v>
      </c>
      <c r="Z435" s="36">
        <f>IFERROR(IF(Y435=0,"",ROUNDUP(Y435/H435,0)*0.01196),"")</f>
        <v>0.34683999999999998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158.87689393939394</v>
      </c>
      <c r="BN435" s="64">
        <f>IFERROR(Y435*I435/H435,"0")</f>
        <v>163.26999999999998</v>
      </c>
      <c r="BO435" s="64">
        <f>IFERROR(1/J435*(X435/H435),"0")</f>
        <v>0.27134324009324012</v>
      </c>
      <c r="BP435" s="64">
        <f>IFERROR(1/J435*(Y435/H435),"0")</f>
        <v>0.27884615384615385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28.219696969696969</v>
      </c>
      <c r="Y438" s="543">
        <f>IFERROR(Y435/H435,"0")+IFERROR(Y436/H436,"0")+IFERROR(Y437/H437,"0")</f>
        <v>29</v>
      </c>
      <c r="Z438" s="543">
        <f>IFERROR(IF(Z435="",0,Z435),"0")+IFERROR(IF(Z436="",0,Z436),"0")+IFERROR(IF(Z437="",0,Z437),"0")</f>
        <v>0.34683999999999998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149</v>
      </c>
      <c r="Y439" s="543">
        <f>IFERROR(SUM(Y435:Y437),"0")</f>
        <v>153.12</v>
      </c>
      <c r="Z439" s="37"/>
      <c r="AA439" s="544"/>
      <c r="AB439" s="544"/>
      <c r="AC439" s="544"/>
    </row>
    <row r="440" spans="1:68" ht="14.25" hidden="1" customHeight="1" x14ac:dyDescent="0.25">
      <c r="A440" s="561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79</v>
      </c>
      <c r="Y441" s="542">
        <f t="shared" ref="Y441:Y446" si="48">IFERROR(IF(X441="",0,CEILING((X441/$H441),1)*$H441),"")</f>
        <v>79.2</v>
      </c>
      <c r="Z441" s="36">
        <f>IFERROR(IF(Y441=0,"",ROUNDUP(Y441/H441,0)*0.01196),"")</f>
        <v>0.1794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84.236742424242422</v>
      </c>
      <c r="BN441" s="64">
        <f t="shared" ref="BN441:BN446" si="50">IFERROR(Y441*I441/H441,"0")</f>
        <v>84.45</v>
      </c>
      <c r="BO441" s="64">
        <f t="shared" ref="BO441:BO446" si="51">IFERROR(1/J441*(X441/H441),"0")</f>
        <v>0.14386655011655011</v>
      </c>
      <c r="BP441" s="64">
        <f t="shared" ref="BP441:BP446" si="52">IFERROR(1/J441*(Y441/H441),"0")</f>
        <v>0.14423076923076925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70</v>
      </c>
      <c r="Y442" s="542">
        <f t="shared" si="48"/>
        <v>73.92</v>
      </c>
      <c r="Z442" s="36">
        <f>IFERROR(IF(Y442=0,"",ROUNDUP(Y442/H442,0)*0.01196),"")</f>
        <v>0.16744000000000001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74.640151515151501</v>
      </c>
      <c r="BN442" s="64">
        <f t="shared" si="50"/>
        <v>78.819999999999993</v>
      </c>
      <c r="BO442" s="64">
        <f t="shared" si="51"/>
        <v>0.12747668997668998</v>
      </c>
      <c r="BP442" s="64">
        <f t="shared" si="52"/>
        <v>0.13461538461538464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103</v>
      </c>
      <c r="Y443" s="542">
        <f t="shared" si="48"/>
        <v>105.60000000000001</v>
      </c>
      <c r="Z443" s="36">
        <f>IFERROR(IF(Y443=0,"",ROUNDUP(Y443/H443,0)*0.01196),"")</f>
        <v>0.2392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109.8276515151515</v>
      </c>
      <c r="BN443" s="64">
        <f t="shared" si="50"/>
        <v>112.6</v>
      </c>
      <c r="BO443" s="64">
        <f t="shared" si="51"/>
        <v>0.18757284382284384</v>
      </c>
      <c r="BP443" s="64">
        <f t="shared" si="52"/>
        <v>0.19230769230769232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47.727272727272727</v>
      </c>
      <c r="Y447" s="543">
        <f>IFERROR(Y441/H441,"0")+IFERROR(Y442/H442,"0")+IFERROR(Y443/H443,"0")+IFERROR(Y444/H444,"0")+IFERROR(Y445/H445,"0")+IFERROR(Y446/H446,"0")</f>
        <v>49</v>
      </c>
      <c r="Z447" s="543">
        <f>IFERROR(IF(Z441="",0,Z441),"0")+IFERROR(IF(Z442="",0,Z442),"0")+IFERROR(IF(Z443="",0,Z443),"0")+IFERROR(IF(Z444="",0,Z444),"0")+IFERROR(IF(Z445="",0,Z445),"0")+IFERROR(IF(Z446="",0,Z446),"0")</f>
        <v>0.58604000000000001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252</v>
      </c>
      <c r="Y448" s="543">
        <f>IFERROR(SUM(Y441:Y446),"0")</f>
        <v>258.72000000000003</v>
      </c>
      <c r="Z448" s="37"/>
      <c r="AA448" s="544"/>
      <c r="AB448" s="544"/>
      <c r="AC448" s="544"/>
    </row>
    <row r="449" spans="1:68" ht="14.25" hidden="1" customHeight="1" x14ac:dyDescent="0.25">
      <c r="A449" s="561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1" t="s">
        <v>696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hidden="1" customHeight="1" x14ac:dyDescent="0.25">
      <c r="A456" s="560" t="s">
        <v>696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1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1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1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717</v>
      </c>
      <c r="B471" s="54" t="s">
        <v>718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0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720</v>
      </c>
      <c r="B472" s="54" t="s">
        <v>721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1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hidden="1" customHeight="1" x14ac:dyDescent="0.25">
      <c r="A476" s="54" t="s">
        <v>723</v>
      </c>
      <c r="B476" s="54" t="s">
        <v>724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5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1" t="s">
        <v>163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1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25" t="s">
        <v>736</v>
      </c>
      <c r="Q489" s="626"/>
      <c r="R489" s="626"/>
      <c r="S489" s="626"/>
      <c r="T489" s="626"/>
      <c r="U489" s="626"/>
      <c r="V489" s="627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1749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1807.5599999999997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25" t="s">
        <v>737</v>
      </c>
      <c r="Q490" s="626"/>
      <c r="R490" s="626"/>
      <c r="S490" s="626"/>
      <c r="T490" s="626"/>
      <c r="U490" s="626"/>
      <c r="V490" s="627"/>
      <c r="W490" s="37" t="s">
        <v>69</v>
      </c>
      <c r="X490" s="543">
        <f>IFERROR(SUM(BM22:BM486),"0")</f>
        <v>1858.8037564534231</v>
      </c>
      <c r="Y490" s="543">
        <f>IFERROR(SUM(BN22:BN486),"0")</f>
        <v>1920.376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25" t="s">
        <v>738</v>
      </c>
      <c r="Q491" s="626"/>
      <c r="R491" s="626"/>
      <c r="S491" s="626"/>
      <c r="T491" s="626"/>
      <c r="U491" s="626"/>
      <c r="V491" s="627"/>
      <c r="W491" s="37" t="s">
        <v>739</v>
      </c>
      <c r="X491" s="38">
        <f>ROUNDUP(SUM(BO22:BO486),0)</f>
        <v>4</v>
      </c>
      <c r="Y491" s="38">
        <f>ROUNDUP(SUM(BP22:BP486),0)</f>
        <v>4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25" t="s">
        <v>740</v>
      </c>
      <c r="Q492" s="626"/>
      <c r="R492" s="626"/>
      <c r="S492" s="626"/>
      <c r="T492" s="626"/>
      <c r="U492" s="626"/>
      <c r="V492" s="627"/>
      <c r="W492" s="37" t="s">
        <v>69</v>
      </c>
      <c r="X492" s="543">
        <f>GrossWeightTotal+PalletQtyTotal*25</f>
        <v>1958.8037564534231</v>
      </c>
      <c r="Y492" s="543">
        <f>GrossWeightTotalR+PalletQtyTotalR*25</f>
        <v>2020.376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25" t="s">
        <v>741</v>
      </c>
      <c r="Q493" s="626"/>
      <c r="R493" s="626"/>
      <c r="S493" s="626"/>
      <c r="T493" s="626"/>
      <c r="U493" s="626"/>
      <c r="V493" s="627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324.34024432357774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332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25" t="s">
        <v>742</v>
      </c>
      <c r="Q494" s="626"/>
      <c r="R494" s="626"/>
      <c r="S494" s="626"/>
      <c r="T494" s="626"/>
      <c r="U494" s="626"/>
      <c r="V494" s="627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3.9207799999999997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63"/>
      <c r="E496" s="663"/>
      <c r="F496" s="663"/>
      <c r="G496" s="663"/>
      <c r="H496" s="621"/>
      <c r="I496" s="592" t="s">
        <v>250</v>
      </c>
      <c r="J496" s="663"/>
      <c r="K496" s="663"/>
      <c r="L496" s="663"/>
      <c r="M496" s="663"/>
      <c r="N496" s="663"/>
      <c r="O496" s="663"/>
      <c r="P496" s="663"/>
      <c r="Q496" s="663"/>
      <c r="R496" s="621"/>
      <c r="S496" s="592" t="s">
        <v>530</v>
      </c>
      <c r="T496" s="621"/>
      <c r="U496" s="592" t="s">
        <v>585</v>
      </c>
      <c r="V496" s="663"/>
      <c r="W496" s="621"/>
      <c r="X496" s="538" t="s">
        <v>636</v>
      </c>
      <c r="Y496" s="592" t="s">
        <v>696</v>
      </c>
      <c r="Z496" s="621"/>
      <c r="AB496" s="52"/>
      <c r="AC496" s="52"/>
      <c r="AF496" s="539"/>
    </row>
    <row r="497" spans="1:32" ht="14.25" customHeight="1" thickTop="1" x14ac:dyDescent="0.2">
      <c r="A497" s="813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190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1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129.6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129.6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182.39999999999998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105.6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117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420</v>
      </c>
      <c r="T499" s="46">
        <f>IFERROR(Y367*1,"0")+IFERROR(Y368*1,"0")+IFERROR(Y372*1,"0")+IFERROR(Y373*1,"0")+IFERROR(Y377*1,"0")+IFERROR(Y378*1,"0")+IFERROR(Y379*1,"0")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723.36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KsyrZkJsBYn0v0p57SqHd6TtPtMCBscTCBjX3zRZfC0O5DsnhAHZpxfhkhRYQmfjLqUM7baNZPnqVuFh6TgdEA==" saltValue="8KWS2d12fJEDSrDhzUBqK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49,00"/>
        <filter val="1 858,80"/>
        <filter val="1 958,80"/>
        <filter val="103,00"/>
        <filter val="105,00"/>
        <filter val="114,00"/>
        <filter val="122,00"/>
        <filter val="124,00"/>
        <filter val="126,00"/>
        <filter val="127,00"/>
        <filter val="14,62"/>
        <filter val="143,00"/>
        <filter val="149,00"/>
        <filter val="15,06"/>
        <filter val="15,56"/>
        <filter val="16,73"/>
        <filter val="180,00"/>
        <filter val="251,00"/>
        <filter val="252,00"/>
        <filter val="28,22"/>
        <filter val="307,00"/>
        <filter val="324,34"/>
        <filter val="4"/>
        <filter val="43,75"/>
        <filter val="47,73"/>
        <filter val="50,00"/>
        <filter val="55,00"/>
        <filter val="58,14"/>
        <filter val="70,00"/>
        <filter val="75,00"/>
        <filter val="79,00"/>
        <filter val="81,00"/>
        <filter val="9,53"/>
        <filter val="99,00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3:X164 X168 X186 X195:X200 X202 X206:X209 X211:X214 X232 X254 X256 X272:X273 X298 X307 X315 X322:X323 X335:X336 X342:X344 X352 X367 X372 X377:X378 X387 X421 X423:X424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ai57I0qyl3NU9xU6W9fvpzPqiYM3RzYA9l/zekjC704yffVkUfJ431EvWCl8S1TE2Fn8CpRYIjNZoV3KJ6O/1w==" saltValue="uz1nQfykUEKLwYQ5X/8OY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2025-12-03T11:26:15Z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