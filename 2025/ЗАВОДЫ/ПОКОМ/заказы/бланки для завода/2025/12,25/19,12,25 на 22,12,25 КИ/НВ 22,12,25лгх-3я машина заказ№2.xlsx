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F886D7-F8C7-4C7B-9F24-0EC61AA569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O404" i="1"/>
  <c r="BM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N104" i="1"/>
  <c r="BM104" i="1"/>
  <c r="Z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BM22" i="1"/>
  <c r="X493" i="1" s="1"/>
  <c r="Y22" i="1"/>
  <c r="P22" i="1"/>
  <c r="H10" i="1"/>
  <c r="A9" i="1"/>
  <c r="F10" i="1" s="1"/>
  <c r="D7" i="1"/>
  <c r="Q6" i="1"/>
  <c r="P2" i="1"/>
  <c r="BP118" i="1" l="1"/>
  <c r="BN118" i="1"/>
  <c r="Z118" i="1"/>
  <c r="BP151" i="1"/>
  <c r="BN151" i="1"/>
  <c r="Z151" i="1"/>
  <c r="BP183" i="1"/>
  <c r="BN183" i="1"/>
  <c r="Z183" i="1"/>
  <c r="BP216" i="1"/>
  <c r="BN216" i="1"/>
  <c r="Z216" i="1"/>
  <c r="BP239" i="1"/>
  <c r="BN239" i="1"/>
  <c r="Z239" i="1"/>
  <c r="BP278" i="1"/>
  <c r="BN278" i="1"/>
  <c r="Z278" i="1"/>
  <c r="BP308" i="1"/>
  <c r="BN308" i="1"/>
  <c r="Z308" i="1"/>
  <c r="BP341" i="1"/>
  <c r="BN341" i="1"/>
  <c r="Z341" i="1"/>
  <c r="BP384" i="1"/>
  <c r="BN384" i="1"/>
  <c r="Z384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Z29" i="1"/>
  <c r="BN29" i="1"/>
  <c r="Z47" i="1"/>
  <c r="Z48" i="1" s="1"/>
  <c r="BN47" i="1"/>
  <c r="BP47" i="1"/>
  <c r="Y48" i="1"/>
  <c r="Z52" i="1"/>
  <c r="BN52" i="1"/>
  <c r="Z68" i="1"/>
  <c r="BN68" i="1"/>
  <c r="Z85" i="1"/>
  <c r="BN85" i="1"/>
  <c r="Z100" i="1"/>
  <c r="BN100" i="1"/>
  <c r="BP144" i="1"/>
  <c r="BN144" i="1"/>
  <c r="Z144" i="1"/>
  <c r="BP171" i="1"/>
  <c r="BN171" i="1"/>
  <c r="Z171" i="1"/>
  <c r="BP206" i="1"/>
  <c r="BN206" i="1"/>
  <c r="Z206" i="1"/>
  <c r="BP226" i="1"/>
  <c r="BN226" i="1"/>
  <c r="Z226" i="1"/>
  <c r="BP262" i="1"/>
  <c r="BN262" i="1"/>
  <c r="Z262" i="1"/>
  <c r="BP298" i="1"/>
  <c r="BN298" i="1"/>
  <c r="Z298" i="1"/>
  <c r="BP322" i="1"/>
  <c r="BN322" i="1"/>
  <c r="Z322" i="1"/>
  <c r="BP359" i="1"/>
  <c r="BN359" i="1"/>
  <c r="Z359" i="1"/>
  <c r="BP398" i="1"/>
  <c r="BN398" i="1"/>
  <c r="Z398" i="1"/>
  <c r="BP435" i="1"/>
  <c r="BN435" i="1"/>
  <c r="Z435" i="1"/>
  <c r="BP471" i="1"/>
  <c r="BN471" i="1"/>
  <c r="Z471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355" i="1"/>
  <c r="U502" i="1"/>
  <c r="BP54" i="1"/>
  <c r="BN54" i="1"/>
  <c r="Z54" i="1"/>
  <c r="Y76" i="1"/>
  <c r="BP72" i="1"/>
  <c r="BN72" i="1"/>
  <c r="Z72" i="1"/>
  <c r="BP87" i="1"/>
  <c r="BN87" i="1"/>
  <c r="Z87" i="1"/>
  <c r="BP102" i="1"/>
  <c r="BN102" i="1"/>
  <c r="Z102" i="1"/>
  <c r="BP116" i="1"/>
  <c r="BN116" i="1"/>
  <c r="Z116" i="1"/>
  <c r="Y139" i="1"/>
  <c r="BP137" i="1"/>
  <c r="BN137" i="1"/>
  <c r="Z137" i="1"/>
  <c r="BP169" i="1"/>
  <c r="BN169" i="1"/>
  <c r="Z169" i="1"/>
  <c r="BP177" i="1"/>
  <c r="BN177" i="1"/>
  <c r="Z177" i="1"/>
  <c r="BP204" i="1"/>
  <c r="BN204" i="1"/>
  <c r="Z204" i="1"/>
  <c r="Y224" i="1"/>
  <c r="BP214" i="1"/>
  <c r="BN214" i="1"/>
  <c r="Z214" i="1"/>
  <c r="BP222" i="1"/>
  <c r="BN222" i="1"/>
  <c r="Z222" i="1"/>
  <c r="BP237" i="1"/>
  <c r="BN237" i="1"/>
  <c r="Z237" i="1"/>
  <c r="B502" i="1"/>
  <c r="X494" i="1"/>
  <c r="X495" i="1" s="1"/>
  <c r="X496" i="1"/>
  <c r="Z27" i="1"/>
  <c r="BN27" i="1"/>
  <c r="BP27" i="1"/>
  <c r="Z31" i="1"/>
  <c r="BN31" i="1"/>
  <c r="Z43" i="1"/>
  <c r="BN43" i="1"/>
  <c r="BP62" i="1"/>
  <c r="BN62" i="1"/>
  <c r="Z62" i="1"/>
  <c r="BP80" i="1"/>
  <c r="BN80" i="1"/>
  <c r="Z80" i="1"/>
  <c r="BP95" i="1"/>
  <c r="BN95" i="1"/>
  <c r="Z95" i="1"/>
  <c r="Y112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BP153" i="1"/>
  <c r="BN153" i="1"/>
  <c r="Z153" i="1"/>
  <c r="BP173" i="1"/>
  <c r="BN173" i="1"/>
  <c r="Z173" i="1"/>
  <c r="J502" i="1"/>
  <c r="BP194" i="1"/>
  <c r="BN194" i="1"/>
  <c r="Z194" i="1"/>
  <c r="BP208" i="1"/>
  <c r="BN208" i="1"/>
  <c r="Z208" i="1"/>
  <c r="BP218" i="1"/>
  <c r="BN218" i="1"/>
  <c r="Z218" i="1"/>
  <c r="K502" i="1"/>
  <c r="BP233" i="1"/>
  <c r="BN233" i="1"/>
  <c r="Z233" i="1"/>
  <c r="BP264" i="1"/>
  <c r="BN264" i="1"/>
  <c r="Z264" i="1"/>
  <c r="BP280" i="1"/>
  <c r="BN280" i="1"/>
  <c r="Z280" i="1"/>
  <c r="BP300" i="1"/>
  <c r="BN300" i="1"/>
  <c r="Z300" i="1"/>
  <c r="BP314" i="1"/>
  <c r="BN314" i="1"/>
  <c r="Z314" i="1"/>
  <c r="Y330" i="1"/>
  <c r="BP326" i="1"/>
  <c r="BN326" i="1"/>
  <c r="Z326" i="1"/>
  <c r="BP349" i="1"/>
  <c r="BN349" i="1"/>
  <c r="Z349" i="1"/>
  <c r="Y365" i="1"/>
  <c r="BP363" i="1"/>
  <c r="BN363" i="1"/>
  <c r="Z363" i="1"/>
  <c r="BP392" i="1"/>
  <c r="BN392" i="1"/>
  <c r="Z392" i="1"/>
  <c r="BP404" i="1"/>
  <c r="BN404" i="1"/>
  <c r="Z404" i="1"/>
  <c r="BP429" i="1"/>
  <c r="BN429" i="1"/>
  <c r="Z429" i="1"/>
  <c r="BP437" i="1"/>
  <c r="BN437" i="1"/>
  <c r="Z437" i="1"/>
  <c r="BP453" i="1"/>
  <c r="BN453" i="1"/>
  <c r="Z453" i="1"/>
  <c r="Y97" i="1"/>
  <c r="H502" i="1"/>
  <c r="Y155" i="1"/>
  <c r="Y179" i="1"/>
  <c r="Y185" i="1"/>
  <c r="Y200" i="1"/>
  <c r="Y228" i="1"/>
  <c r="BP255" i="1"/>
  <c r="BN255" i="1"/>
  <c r="Z255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Y324" i="1"/>
  <c r="BP320" i="1"/>
  <c r="BN320" i="1"/>
  <c r="Z320" i="1"/>
  <c r="BP334" i="1"/>
  <c r="BN334" i="1"/>
  <c r="Z334" i="1"/>
  <c r="BP353" i="1"/>
  <c r="BN353" i="1"/>
  <c r="Z353" i="1"/>
  <c r="Y380" i="1"/>
  <c r="BP378" i="1"/>
  <c r="BN378" i="1"/>
  <c r="Z378" i="1"/>
  <c r="BP396" i="1"/>
  <c r="BN396" i="1"/>
  <c r="Z396" i="1"/>
  <c r="BP415" i="1"/>
  <c r="BN415" i="1"/>
  <c r="Z415" i="1"/>
  <c r="BP433" i="1"/>
  <c r="BN433" i="1"/>
  <c r="Z433" i="1"/>
  <c r="BP449" i="1"/>
  <c r="BN449" i="1"/>
  <c r="Z449" i="1"/>
  <c r="BP465" i="1"/>
  <c r="BN465" i="1"/>
  <c r="Z465" i="1"/>
  <c r="Y257" i="1"/>
  <c r="R502" i="1"/>
  <c r="T502" i="1"/>
  <c r="Y386" i="1"/>
  <c r="X502" i="1"/>
  <c r="W502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4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502" i="1"/>
  <c r="Y266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Y301" i="1"/>
  <c r="BP305" i="1"/>
  <c r="BN305" i="1"/>
  <c r="Z305" i="1"/>
  <c r="Y311" i="1"/>
  <c r="F9" i="1"/>
  <c r="J9" i="1"/>
  <c r="Z22" i="1"/>
  <c r="Z24" i="1" s="1"/>
  <c r="BN22" i="1"/>
  <c r="BP22" i="1"/>
  <c r="Y25" i="1"/>
  <c r="Z28" i="1"/>
  <c r="BN28" i="1"/>
  <c r="Z30" i="1"/>
  <c r="BN30" i="1"/>
  <c r="C502" i="1"/>
  <c r="Z42" i="1"/>
  <c r="Z44" i="1" s="1"/>
  <c r="BN42" i="1"/>
  <c r="Y45" i="1"/>
  <c r="D502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Z81" i="1" s="1"/>
  <c r="BN79" i="1"/>
  <c r="BP79" i="1"/>
  <c r="E502" i="1"/>
  <c r="Z86" i="1"/>
  <c r="BN86" i="1"/>
  <c r="Z88" i="1"/>
  <c r="BN88" i="1"/>
  <c r="Y89" i="1"/>
  <c r="Z92" i="1"/>
  <c r="BN92" i="1"/>
  <c r="BP92" i="1"/>
  <c r="Z94" i="1"/>
  <c r="BN94" i="1"/>
  <c r="F502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2" i="1"/>
  <c r="Z128" i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I502" i="1"/>
  <c r="Y165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Y196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BN215" i="1"/>
  <c r="Z217" i="1"/>
  <c r="BN217" i="1"/>
  <c r="Z219" i="1"/>
  <c r="BN219" i="1"/>
  <c r="Z221" i="1"/>
  <c r="BN221" i="1"/>
  <c r="Z227" i="1"/>
  <c r="BN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BN252" i="1"/>
  <c r="BP252" i="1"/>
  <c r="Z254" i="1"/>
  <c r="BN254" i="1"/>
  <c r="Z256" i="1"/>
  <c r="BN256" i="1"/>
  <c r="Z261" i="1"/>
  <c r="BN261" i="1"/>
  <c r="BP261" i="1"/>
  <c r="Z263" i="1"/>
  <c r="BN263" i="1"/>
  <c r="BP272" i="1"/>
  <c r="BN272" i="1"/>
  <c r="Z272" i="1"/>
  <c r="Y282" i="1"/>
  <c r="Y281" i="1"/>
  <c r="BP286" i="1"/>
  <c r="BN286" i="1"/>
  <c r="Z286" i="1"/>
  <c r="Z287" i="1" s="1"/>
  <c r="Y288" i="1"/>
  <c r="Y293" i="1"/>
  <c r="BP290" i="1"/>
  <c r="BN290" i="1"/>
  <c r="Z290" i="1"/>
  <c r="Q502" i="1"/>
  <c r="BP299" i="1"/>
  <c r="BN299" i="1"/>
  <c r="Z299" i="1"/>
  <c r="Y310" i="1"/>
  <c r="BP307" i="1"/>
  <c r="BN307" i="1"/>
  <c r="Z307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BP450" i="1"/>
  <c r="BN450" i="1"/>
  <c r="Z450" i="1"/>
  <c r="Y454" i="1"/>
  <c r="BP464" i="1"/>
  <c r="BN464" i="1"/>
  <c r="Z464" i="1"/>
  <c r="BP484" i="1"/>
  <c r="BN484" i="1"/>
  <c r="Z484" i="1"/>
  <c r="Y486" i="1"/>
  <c r="Z502" i="1"/>
  <c r="Y490" i="1"/>
  <c r="BP489" i="1"/>
  <c r="BN489" i="1"/>
  <c r="Z489" i="1"/>
  <c r="Z490" i="1" s="1"/>
  <c r="Y491" i="1"/>
  <c r="O502" i="1"/>
  <c r="S502" i="1"/>
  <c r="P502" i="1"/>
  <c r="Y287" i="1"/>
  <c r="Y302" i="1"/>
  <c r="Z309" i="1"/>
  <c r="BN309" i="1"/>
  <c r="Z313" i="1"/>
  <c r="BN313" i="1"/>
  <c r="BP313" i="1"/>
  <c r="Z315" i="1"/>
  <c r="BN315" i="1"/>
  <c r="Z321" i="1"/>
  <c r="BN321" i="1"/>
  <c r="Z327" i="1"/>
  <c r="BN327" i="1"/>
  <c r="Z329" i="1"/>
  <c r="BN329" i="1"/>
  <c r="Z333" i="1"/>
  <c r="BN333" i="1"/>
  <c r="BP333" i="1"/>
  <c r="Z335" i="1"/>
  <c r="BN335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Z358" i="1"/>
  <c r="BN358" i="1"/>
  <c r="BP358" i="1"/>
  <c r="Z364" i="1"/>
  <c r="BN364" i="1"/>
  <c r="Z368" i="1"/>
  <c r="Z369" i="1" s="1"/>
  <c r="BN368" i="1"/>
  <c r="BP368" i="1"/>
  <c r="Z373" i="1"/>
  <c r="Z375" i="1" s="1"/>
  <c r="BN373" i="1"/>
  <c r="BP373" i="1"/>
  <c r="Y376" i="1"/>
  <c r="Z379" i="1"/>
  <c r="BN379" i="1"/>
  <c r="Z383" i="1"/>
  <c r="BN383" i="1"/>
  <c r="BP383" i="1"/>
  <c r="Z385" i="1"/>
  <c r="BN385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BN403" i="1"/>
  <c r="BP403" i="1"/>
  <c r="V502" i="1"/>
  <c r="Y411" i="1"/>
  <c r="Y418" i="1"/>
  <c r="Z414" i="1"/>
  <c r="BN414" i="1"/>
  <c r="Z416" i="1"/>
  <c r="BN416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BP452" i="1"/>
  <c r="BN452" i="1"/>
  <c r="Z452" i="1"/>
  <c r="Y467" i="1"/>
  <c r="BP466" i="1"/>
  <c r="BN466" i="1"/>
  <c r="Z466" i="1"/>
  <c r="Y468" i="1"/>
  <c r="Y473" i="1"/>
  <c r="BP470" i="1"/>
  <c r="BN470" i="1"/>
  <c r="Z470" i="1"/>
  <c r="Z472" i="1" s="1"/>
  <c r="Y485" i="1"/>
  <c r="Y502" i="1"/>
  <c r="Y439" i="1"/>
  <c r="Z380" i="1" l="1"/>
  <c r="Z360" i="1"/>
  <c r="Z330" i="1"/>
  <c r="Z323" i="1"/>
  <c r="Z485" i="1"/>
  <c r="Z310" i="1"/>
  <c r="Z292" i="1"/>
  <c r="Z257" i="1"/>
  <c r="Z241" i="1"/>
  <c r="Z228" i="1"/>
  <c r="Z154" i="1"/>
  <c r="Z139" i="1"/>
  <c r="Z129" i="1"/>
  <c r="Z119" i="1"/>
  <c r="Z64" i="1"/>
  <c r="Z223" i="1"/>
  <c r="Z112" i="1"/>
  <c r="Z89" i="1"/>
  <c r="Z76" i="1"/>
  <c r="Z32" i="1"/>
  <c r="Z301" i="1"/>
  <c r="Z417" i="1"/>
  <c r="Z405" i="1"/>
  <c r="Z400" i="1"/>
  <c r="Z365" i="1"/>
  <c r="Z355" i="1"/>
  <c r="Z343" i="1"/>
  <c r="Z317" i="1"/>
  <c r="Z467" i="1"/>
  <c r="Z179" i="1"/>
  <c r="Z105" i="1"/>
  <c r="Z58" i="1"/>
  <c r="Z454" i="1"/>
  <c r="Z439" i="1"/>
  <c r="Z386" i="1"/>
  <c r="Z336" i="1"/>
  <c r="Z445" i="1"/>
  <c r="Z266" i="1"/>
  <c r="Z211" i="1"/>
  <c r="Z185" i="1"/>
  <c r="Z96" i="1"/>
  <c r="Y492" i="1"/>
  <c r="Y493" i="1"/>
  <c r="Y494" i="1"/>
  <c r="Z274" i="1"/>
  <c r="Y496" i="1"/>
  <c r="Z497" i="1" l="1"/>
  <c r="Y495" i="1"/>
</calcChain>
</file>

<file path=xl/sharedStrings.xml><?xml version="1.0" encoding="utf-8"?>
<sst xmlns="http://schemas.openxmlformats.org/spreadsheetml/2006/main" count="2276" uniqueCount="775">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</sst>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46013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0.45833333333333331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865</v>
      </c>
      <c r="Y41" s="548">
        <f>IFERROR(IF(X41="",0,CEILING((X41/$H41),1)*$H41),"")</f>
        <v>874.80000000000007</v>
      </c>
      <c r="Z41" s="36">
        <f>IFERROR(IF(Y41=0,"",ROUNDUP(Y41/H41,0)*0.01898),"")</f>
        <v>1.53738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897.83796296296305</v>
      </c>
      <c r="BN41" s="64">
        <f>IFERROR(Y41*I41/H41,"0")</f>
        <v>908.0100000000001</v>
      </c>
      <c r="BO41" s="64">
        <f>IFERROR(1/J41*(X41/H41),"0")</f>
        <v>1.2514467592592591</v>
      </c>
      <c r="BP41" s="64">
        <f>IFERROR(1/J41*(Y41/H41),"0")</f>
        <v>1.265625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4301011565</v>
      </c>
      <c r="D43" s="554">
        <v>4680115882539</v>
      </c>
      <c r="E43" s="555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183</v>
      </c>
      <c r="Y43" s="548">
        <f>IFERROR(IF(X43="",0,CEILING((X43/$H43),1)*$H43),"")</f>
        <v>185</v>
      </c>
      <c r="Z43" s="36">
        <f>IFERROR(IF(Y43=0,"",ROUNDUP(Y43/H43,0)*0.00902),"")</f>
        <v>0.45100000000000001</v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192.39729729729729</v>
      </c>
      <c r="BN43" s="64">
        <f>IFERROR(Y43*I43/H43,"0")</f>
        <v>194.49999999999997</v>
      </c>
      <c r="BO43" s="64">
        <f>IFERROR(1/J43*(X43/H43),"0")</f>
        <v>0.37469287469287471</v>
      </c>
      <c r="BP43" s="64">
        <f>IFERROR(1/J43*(Y43/H43),"0")</f>
        <v>0.37878787878787878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129.55205205205203</v>
      </c>
      <c r="Y44" s="549">
        <f>IFERROR(Y41/H41,"0")+IFERROR(Y42/H42,"0")+IFERROR(Y43/H43,"0")</f>
        <v>131</v>
      </c>
      <c r="Z44" s="549">
        <f>IFERROR(IF(Z41="",0,Z41),"0")+IFERROR(IF(Z42="",0,Z42),"0")+IFERROR(IF(Z43="",0,Z43),"0")</f>
        <v>1.98838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1048</v>
      </c>
      <c r="Y45" s="549">
        <f>IFERROR(SUM(Y41:Y43),"0")</f>
        <v>1059.8000000000002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302</v>
      </c>
      <c r="Y52" s="548">
        <f t="shared" ref="Y52:Y57" si="0">IFERROR(IF(X52="",0,CEILING((X52/$H52),1)*$H52),"")</f>
        <v>302.39999999999998</v>
      </c>
      <c r="Z52" s="36">
        <f>IFERROR(IF(Y52=0,"",ROUNDUP(Y52/H52,0)*0.01898),"")</f>
        <v>0.51246000000000003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313.05535714285713</v>
      </c>
      <c r="BN52" s="64">
        <f t="shared" ref="BN52:BN57" si="2">IFERROR(Y52*I52/H52,"0")</f>
        <v>313.46999999999997</v>
      </c>
      <c r="BO52" s="64">
        <f t="shared" ref="BO52:BO57" si="3">IFERROR(1/J52*(X52/H52),"0")</f>
        <v>0.4213169642857143</v>
      </c>
      <c r="BP52" s="64">
        <f t="shared" ref="BP52:BP57" si="4">IFERROR(1/J52*(Y52/H52),"0")</f>
        <v>0.421875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209</v>
      </c>
      <c r="Y53" s="548">
        <f t="shared" si="0"/>
        <v>216</v>
      </c>
      <c r="Z53" s="36">
        <f>IFERROR(IF(Y53=0,"",ROUNDUP(Y53/H53,0)*0.01898),"")</f>
        <v>0.37959999999999999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216.93425925925928</v>
      </c>
      <c r="BN53" s="64">
        <f t="shared" si="2"/>
        <v>224.2</v>
      </c>
      <c r="BO53" s="64">
        <f t="shared" si="3"/>
        <v>0.30237268518518517</v>
      </c>
      <c r="BP53" s="64">
        <f t="shared" si="4"/>
        <v>0.3125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261</v>
      </c>
      <c r="Y55" s="548">
        <f t="shared" si="0"/>
        <v>264</v>
      </c>
      <c r="Z55" s="36">
        <f>IFERROR(IF(Y55=0,"",ROUNDUP(Y55/H55,0)*0.00902),"")</f>
        <v>0.59532000000000007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273.39750000000004</v>
      </c>
      <c r="BN55" s="64">
        <f t="shared" si="2"/>
        <v>276.54000000000002</v>
      </c>
      <c r="BO55" s="64">
        <f t="shared" si="3"/>
        <v>0.49431818181818182</v>
      </c>
      <c r="BP55" s="64">
        <f t="shared" si="4"/>
        <v>0.5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111.56613756613757</v>
      </c>
      <c r="Y58" s="549">
        <f>IFERROR(Y52/H52,"0")+IFERROR(Y53/H53,"0")+IFERROR(Y54/H54,"0")+IFERROR(Y55/H55,"0")+IFERROR(Y56/H56,"0")+IFERROR(Y57/H57,"0")</f>
        <v>113</v>
      </c>
      <c r="Z58" s="549">
        <f>IFERROR(IF(Z52="",0,Z52),"0")+IFERROR(IF(Z53="",0,Z53),"0")+IFERROR(IF(Z54="",0,Z54),"0")+IFERROR(IF(Z55="",0,Z55),"0")+IFERROR(IF(Z56="",0,Z56),"0")+IFERROR(IF(Z57="",0,Z57),"0")</f>
        <v>1.4873800000000001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772</v>
      </c>
      <c r="Y59" s="549">
        <f>IFERROR(SUM(Y52:Y57),"0")</f>
        <v>782.4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362</v>
      </c>
      <c r="Y61" s="548">
        <f>IFERROR(IF(X61="",0,CEILING((X61/$H61),1)*$H61),"")</f>
        <v>367.20000000000005</v>
      </c>
      <c r="Z61" s="36">
        <f>IFERROR(IF(Y61=0,"",ROUNDUP(Y61/H61,0)*0.01898),"")</f>
        <v>0.64532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375.74259259259259</v>
      </c>
      <c r="BN61" s="64">
        <f>IFERROR(Y61*I61/H61,"0")</f>
        <v>381.14000000000004</v>
      </c>
      <c r="BO61" s="64">
        <f>IFERROR(1/J61*(X61/H61),"0")</f>
        <v>0.52372685185185186</v>
      </c>
      <c r="BP61" s="64">
        <f>IFERROR(1/J61*(Y61/H61),"0")</f>
        <v>0.53125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33.518518518518519</v>
      </c>
      <c r="Y64" s="549">
        <f>IFERROR(Y61/H61,"0")+IFERROR(Y62/H62,"0")+IFERROR(Y63/H63,"0")</f>
        <v>34</v>
      </c>
      <c r="Z64" s="549">
        <f>IFERROR(IF(Z61="",0,Z61),"0")+IFERROR(IF(Z62="",0,Z62),"0")+IFERROR(IF(Z63="",0,Z63),"0")</f>
        <v>0.64532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362</v>
      </c>
      <c r="Y65" s="549">
        <f>IFERROR(SUM(Y61:Y63),"0")</f>
        <v>367.20000000000005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47</v>
      </c>
      <c r="Y79" s="548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49.47051282051283</v>
      </c>
      <c r="BN79" s="64">
        <f>IFERROR(Y79*I79/H79,"0")</f>
        <v>57.470000000000013</v>
      </c>
      <c r="BO79" s="64">
        <f>IFERROR(1/J79*(X79/H79),"0")</f>
        <v>9.4150641025641024E-2</v>
      </c>
      <c r="BP79" s="64">
        <f>IFERROR(1/J79*(Y79/H79),"0")</f>
        <v>0.109375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19</v>
      </c>
      <c r="Y80" s="548">
        <f>IFERROR(IF(X80="",0,CEILING((X80/$H80),1)*$H80),"")</f>
        <v>19.2</v>
      </c>
      <c r="Z80" s="36">
        <f>IFERROR(IF(Y80=0,"",ROUNDUP(Y80/H80,0)*0.00902),"")</f>
        <v>7.2160000000000002E-2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20.504166666666666</v>
      </c>
      <c r="BN80" s="64">
        <f>IFERROR(Y80*I80/H80,"0")</f>
        <v>20.72</v>
      </c>
      <c r="BO80" s="64">
        <f>IFERROR(1/J80*(X80/H80),"0")</f>
        <v>5.9974747474747479E-2</v>
      </c>
      <c r="BP80" s="64">
        <f>IFERROR(1/J80*(Y80/H80),"0")</f>
        <v>6.0606060606060608E-2</v>
      </c>
    </row>
    <row r="81" spans="1:68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13.942307692307693</v>
      </c>
      <c r="Y81" s="549">
        <f>IFERROR(Y79/H79,"0")+IFERROR(Y80/H80,"0")</f>
        <v>15</v>
      </c>
      <c r="Z81" s="549">
        <f>IFERROR(IF(Z79="",0,Z79),"0")+IFERROR(IF(Z80="",0,Z80),"0")</f>
        <v>0.20502000000000001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66</v>
      </c>
      <c r="Y82" s="549">
        <f>IFERROR(SUM(Y79:Y80),"0")</f>
        <v>73.8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332</v>
      </c>
      <c r="Y85" s="548">
        <f>IFERROR(IF(X85="",0,CEILING((X85/$H85),1)*$H85),"")</f>
        <v>334.8</v>
      </c>
      <c r="Z85" s="36">
        <f>IFERROR(IF(Y85=0,"",ROUNDUP(Y85/H85,0)*0.01898),"")</f>
        <v>0.58838000000000001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344.60370370370373</v>
      </c>
      <c r="BN85" s="64">
        <f>IFERROR(Y85*I85/H85,"0")</f>
        <v>347.51000000000005</v>
      </c>
      <c r="BO85" s="64">
        <f>IFERROR(1/J85*(X85/H85),"0")</f>
        <v>0.48032407407407407</v>
      </c>
      <c r="BP85" s="64">
        <f>IFERROR(1/J85*(Y85/H85),"0")</f>
        <v>0.484375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238</v>
      </c>
      <c r="Y88" s="548">
        <f>IFERROR(IF(X88="",0,CEILING((X88/$H88),1)*$H88),"")</f>
        <v>238.5</v>
      </c>
      <c r="Z88" s="36">
        <f>IFERROR(IF(Y88=0,"",ROUNDUP(Y88/H88,0)*0.00902),"")</f>
        <v>0.47806000000000004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248.04888888888888</v>
      </c>
      <c r="BN88" s="64">
        <f>IFERROR(Y88*I88/H88,"0")</f>
        <v>248.57000000000002</v>
      </c>
      <c r="BO88" s="64">
        <f>IFERROR(1/J88*(X88/H88),"0")</f>
        <v>0.40067340067340068</v>
      </c>
      <c r="BP88" s="64">
        <f>IFERROR(1/J88*(Y88/H88),"0")</f>
        <v>0.40151515151515155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83.629629629629619</v>
      </c>
      <c r="Y89" s="549">
        <f>IFERROR(Y85/H85,"0")+IFERROR(Y86/H86,"0")+IFERROR(Y87/H87,"0")+IFERROR(Y88/H88,"0")</f>
        <v>84</v>
      </c>
      <c r="Z89" s="549">
        <f>IFERROR(IF(Z85="",0,Z85),"0")+IFERROR(IF(Z86="",0,Z86),"0")+IFERROR(IF(Z87="",0,Z87),"0")+IFERROR(IF(Z88="",0,Z88),"0")</f>
        <v>1.0664400000000001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570</v>
      </c>
      <c r="Y90" s="549">
        <f>IFERROR(SUM(Y85:Y88),"0")</f>
        <v>573.29999999999995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167</v>
      </c>
      <c r="Y92" s="548">
        <f>IFERROR(IF(X92="",0,CEILING((X92/$H92),1)*$H92),"")</f>
        <v>170.1</v>
      </c>
      <c r="Z92" s="36">
        <f>IFERROR(IF(Y92=0,"",ROUNDUP(Y92/H92,0)*0.01898),"")</f>
        <v>0.39857999999999999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177.18493827160492</v>
      </c>
      <c r="BN92" s="64">
        <f>IFERROR(Y92*I92/H92,"0")</f>
        <v>180.47399999999999</v>
      </c>
      <c r="BO92" s="64">
        <f>IFERROR(1/J92*(X92/H92),"0")</f>
        <v>0.32214506172839508</v>
      </c>
      <c r="BP92" s="64">
        <f>IFERROR(1/J92*(Y92/H92),"0")</f>
        <v>0.328125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98</v>
      </c>
      <c r="Y94" s="548">
        <f>IFERROR(IF(X94="",0,CEILING((X94/$H94),1)*$H94),"")</f>
        <v>99.9</v>
      </c>
      <c r="Z94" s="36">
        <f>IFERROR(IF(Y94=0,"",ROUNDUP(Y94/H94,0)*0.00651),"")</f>
        <v>0.24087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107.14666666666666</v>
      </c>
      <c r="BN94" s="64">
        <f>IFERROR(Y94*I94/H94,"0")</f>
        <v>109.224</v>
      </c>
      <c r="BO94" s="64">
        <f>IFERROR(1/J94*(X94/H94),"0")</f>
        <v>0.19943019943019941</v>
      </c>
      <c r="BP94" s="64">
        <f>IFERROR(1/J94*(Y94/H94),"0")</f>
        <v>0.20329670329670332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56.913580246913575</v>
      </c>
      <c r="Y96" s="549">
        <f>IFERROR(Y92/H92,"0")+IFERROR(Y93/H93,"0")+IFERROR(Y94/H94,"0")+IFERROR(Y95/H95,"0")</f>
        <v>58</v>
      </c>
      <c r="Z96" s="549">
        <f>IFERROR(IF(Z92="",0,Z92),"0")+IFERROR(IF(Z93="",0,Z93),"0")+IFERROR(IF(Z94="",0,Z94),"0")+IFERROR(IF(Z95="",0,Z95),"0")</f>
        <v>0.63944999999999996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265</v>
      </c>
      <c r="Y97" s="549">
        <f>IFERROR(SUM(Y92:Y95),"0")</f>
        <v>270</v>
      </c>
      <c r="Z97" s="37"/>
      <c r="AA97" s="550"/>
      <c r="AB97" s="550"/>
      <c r="AC97" s="550"/>
    </row>
    <row r="98" spans="1:68" ht="16.5" hidden="1" customHeight="1" x14ac:dyDescent="0.25">
      <c r="A98" s="556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564</v>
      </c>
      <c r="Y100" s="548">
        <f>IFERROR(IF(X100="",0,CEILING((X100/$H100),1)*$H100),"")</f>
        <v>572.40000000000009</v>
      </c>
      <c r="Z100" s="36">
        <f>IFERROR(IF(Y100=0,"",ROUNDUP(Y100/H100,0)*0.01898),"")</f>
        <v>1.0059400000000001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585.41111111111115</v>
      </c>
      <c r="BN100" s="64">
        <f>IFERROR(Y100*I100/H100,"0")</f>
        <v>594.13000000000011</v>
      </c>
      <c r="BO100" s="64">
        <f>IFERROR(1/J100*(X100/H100),"0")</f>
        <v>0.81597222222222221</v>
      </c>
      <c r="BP100" s="64">
        <f>IFERROR(1/J100*(Y100/H100),"0")</f>
        <v>0.82812500000000011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248</v>
      </c>
      <c r="Y103" s="548">
        <f>IFERROR(IF(X103="",0,CEILING((X103/$H103),1)*$H103),"")</f>
        <v>252</v>
      </c>
      <c r="Z103" s="36">
        <f>IFERROR(IF(Y103=0,"",ROUNDUP(Y103/H103,0)*0.00902),"")</f>
        <v>0.50512000000000001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258.47111111111116</v>
      </c>
      <c r="BN103" s="64">
        <f>IFERROR(Y103*I103/H103,"0")</f>
        <v>262.64000000000004</v>
      </c>
      <c r="BO103" s="64">
        <f>IFERROR(1/J103*(X103/H103),"0")</f>
        <v>0.41750841750841755</v>
      </c>
      <c r="BP103" s="64">
        <f>IFERROR(1/J103*(Y103/H103),"0")</f>
        <v>0.42424242424242425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107.33333333333334</v>
      </c>
      <c r="Y105" s="549">
        <f>IFERROR(Y100/H100,"0")+IFERROR(Y101/H101,"0")+IFERROR(Y102/H102,"0")+IFERROR(Y103/H103,"0")+IFERROR(Y104/H104,"0")</f>
        <v>109</v>
      </c>
      <c r="Z105" s="549">
        <f>IFERROR(IF(Z100="",0,Z100),"0")+IFERROR(IF(Z101="",0,Z101),"0")+IFERROR(IF(Z102="",0,Z102),"0")+IFERROR(IF(Z103="",0,Z103),"0")+IFERROR(IF(Z104="",0,Z104),"0")</f>
        <v>1.5110600000000001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812</v>
      </c>
      <c r="Y106" s="549">
        <f>IFERROR(SUM(Y100:Y104),"0")</f>
        <v>824.40000000000009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68</v>
      </c>
      <c r="Y108" s="548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70.581481481481489</v>
      </c>
      <c r="BN108" s="64">
        <f>IFERROR(Y108*I108/H108,"0")</f>
        <v>78.47</v>
      </c>
      <c r="BO108" s="64">
        <f>IFERROR(1/J108*(X108/H108),"0")</f>
        <v>9.8379629629629622E-2</v>
      </c>
      <c r="BP108" s="64">
        <f>IFERROR(1/J108*(Y108/H108),"0")</f>
        <v>0.109375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184</v>
      </c>
      <c r="Y111" s="548">
        <f>IFERROR(IF(X111="",0,CEILING((X111/$H111),1)*$H111),"")</f>
        <v>184.79999999999998</v>
      </c>
      <c r="Z111" s="36">
        <f>IFERROR(IF(Y111=0,"",ROUNDUP(Y111/H111,0)*0.00651),"")</f>
        <v>0.50126999999999999</v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197.8</v>
      </c>
      <c r="BN111" s="64">
        <f>IFERROR(Y111*I111/H111,"0")</f>
        <v>198.66</v>
      </c>
      <c r="BO111" s="64">
        <f>IFERROR(1/J111*(X111/H111),"0")</f>
        <v>0.4212454212454213</v>
      </c>
      <c r="BP111" s="64">
        <f>IFERROR(1/J111*(Y111/H111),"0")</f>
        <v>0.42307692307692313</v>
      </c>
    </row>
    <row r="112" spans="1:68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82.962962962962962</v>
      </c>
      <c r="Y112" s="549">
        <f>IFERROR(Y108/H108,"0")+IFERROR(Y109/H109,"0")+IFERROR(Y110/H110,"0")+IFERROR(Y111/H111,"0")</f>
        <v>84</v>
      </c>
      <c r="Z112" s="549">
        <f>IFERROR(IF(Z108="",0,Z108),"0")+IFERROR(IF(Z109="",0,Z109),"0")+IFERROR(IF(Z110="",0,Z110),"0")+IFERROR(IF(Z111="",0,Z111),"0")</f>
        <v>0.63412999999999997</v>
      </c>
      <c r="AA112" s="550"/>
      <c r="AB112" s="550"/>
      <c r="AC112" s="550"/>
    </row>
    <row r="113" spans="1:68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252</v>
      </c>
      <c r="Y113" s="549">
        <f>IFERROR(SUM(Y108:Y111),"0")</f>
        <v>260.39999999999998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271</v>
      </c>
      <c r="Y115" s="548">
        <f>IFERROR(IF(X115="",0,CEILING((X115/$H115),1)*$H115),"")</f>
        <v>275.39999999999998</v>
      </c>
      <c r="Z115" s="36">
        <f>IFERROR(IF(Y115=0,"",ROUNDUP(Y115/H115,0)*0.01898),"")</f>
        <v>0.64532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287.32691358024692</v>
      </c>
      <c r="BN115" s="64">
        <f>IFERROR(Y115*I115/H115,"0")</f>
        <v>291.99199999999996</v>
      </c>
      <c r="BO115" s="64">
        <f>IFERROR(1/J115*(X115/H115),"0")</f>
        <v>0.52276234567901236</v>
      </c>
      <c r="BP115" s="64">
        <f>IFERROR(1/J115*(Y115/H115),"0")</f>
        <v>0.53125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420</v>
      </c>
      <c r="Y117" s="548">
        <f>IFERROR(IF(X117="",0,CEILING((X117/$H117),1)*$H117),"")</f>
        <v>421.20000000000005</v>
      </c>
      <c r="Z117" s="36">
        <f>IFERROR(IF(Y117=0,"",ROUNDUP(Y117/H117,0)*0.00651),"")</f>
        <v>1.01556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459.19999999999993</v>
      </c>
      <c r="BN117" s="64">
        <f>IFERROR(Y117*I117/H117,"0")</f>
        <v>460.51200000000006</v>
      </c>
      <c r="BO117" s="64">
        <f>IFERROR(1/J117*(X117/H117),"0")</f>
        <v>0.85470085470085466</v>
      </c>
      <c r="BP117" s="64">
        <f>IFERROR(1/J117*(Y117/H117),"0")</f>
        <v>0.85714285714285721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189.01234567901233</v>
      </c>
      <c r="Y119" s="549">
        <f>IFERROR(Y115/H115,"0")+IFERROR(Y116/H116,"0")+IFERROR(Y117/H117,"0")+IFERROR(Y118/H118,"0")</f>
        <v>190</v>
      </c>
      <c r="Z119" s="549">
        <f>IFERROR(IF(Z115="",0,Z115),"0")+IFERROR(IF(Z116="",0,Z116),"0")+IFERROR(IF(Z117="",0,Z117),"0")+IFERROR(IF(Z118="",0,Z118),"0")</f>
        <v>1.6608800000000001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691</v>
      </c>
      <c r="Y120" s="549">
        <f>IFERROR(SUM(Y115:Y118),"0")</f>
        <v>696.6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66</v>
      </c>
      <c r="Y169" s="548">
        <f t="shared" si="10"/>
        <v>67.2</v>
      </c>
      <c r="Z169" s="36">
        <f>IFERROR(IF(Y169=0,"",ROUNDUP(Y169/H169,0)*0.00902),"")</f>
        <v>0.14432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68.985714285714266</v>
      </c>
      <c r="BN169" s="64">
        <f t="shared" si="12"/>
        <v>70.239999999999995</v>
      </c>
      <c r="BO169" s="64">
        <f t="shared" si="13"/>
        <v>0.11904761904761904</v>
      </c>
      <c r="BP169" s="64">
        <f t="shared" si="14"/>
        <v>0.12121212121212122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62</v>
      </c>
      <c r="Y171" s="548">
        <f t="shared" si="10"/>
        <v>63</v>
      </c>
      <c r="Z171" s="36">
        <f>IFERROR(IF(Y171=0,"",ROUNDUP(Y171/H171,0)*0.00502),"")</f>
        <v>0.15060000000000001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65.838095238095235</v>
      </c>
      <c r="BN171" s="64">
        <f t="shared" si="12"/>
        <v>66.900000000000006</v>
      </c>
      <c r="BO171" s="64">
        <f t="shared" si="13"/>
        <v>0.12617012617012618</v>
      </c>
      <c r="BP171" s="64">
        <f t="shared" si="14"/>
        <v>0.12820512820512822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51</v>
      </c>
      <c r="Y174" s="548">
        <f t="shared" si="10"/>
        <v>52.2</v>
      </c>
      <c r="Z174" s="36">
        <f>IFERROR(IF(Y174=0,"",ROUNDUP(Y174/H174,0)*0.00502),"")</f>
        <v>0.14558000000000001</v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54.68333333333333</v>
      </c>
      <c r="BN174" s="64">
        <f t="shared" si="12"/>
        <v>55.970000000000006</v>
      </c>
      <c r="BO174" s="64">
        <f t="shared" si="13"/>
        <v>0.12108262108262109</v>
      </c>
      <c r="BP174" s="64">
        <f t="shared" si="14"/>
        <v>0.12393162393162395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237</v>
      </c>
      <c r="Y176" s="548">
        <f t="shared" si="10"/>
        <v>237.3</v>
      </c>
      <c r="Z176" s="36">
        <f>IFERROR(IF(Y176=0,"",ROUNDUP(Y176/H176,0)*0.00502),"")</f>
        <v>0.56725999999999999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248.28571428571431</v>
      </c>
      <c r="BN176" s="64">
        <f t="shared" si="12"/>
        <v>248.60000000000002</v>
      </c>
      <c r="BO176" s="64">
        <f t="shared" si="13"/>
        <v>0.4822954822954823</v>
      </c>
      <c r="BP176" s="64">
        <f t="shared" si="14"/>
        <v>0.48290598290598297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186.42857142857142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188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1.00776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416</v>
      </c>
      <c r="Y180" s="549">
        <f>IFERROR(SUM(Y167:Y178),"0")</f>
        <v>419.7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5</v>
      </c>
      <c r="Y183" s="548">
        <f>IFERROR(IF(X183="",0,CEILING((X183/$H183),1)*$H183),"")</f>
        <v>5.04</v>
      </c>
      <c r="Z183" s="36">
        <f>IFERROR(IF(Y183=0,"",ROUNDUP(Y183/H183,0)*0.0059),"")</f>
        <v>2.3599999999999999E-2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5.753968253968254</v>
      </c>
      <c r="BN183" s="64">
        <f>IFERROR(Y183*I183/H183,"0")</f>
        <v>5.8</v>
      </c>
      <c r="BO183" s="64">
        <f>IFERROR(1/J183*(X183/H183),"0")</f>
        <v>1.8371546149323927E-2</v>
      </c>
      <c r="BP183" s="64">
        <f>IFERROR(1/J183*(Y183/H183),"0")</f>
        <v>1.8518518518518517E-2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7</v>
      </c>
      <c r="Y184" s="548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2.5720164609053495E-2</v>
      </c>
      <c r="BP184" s="64">
        <f>IFERROR(1/J184*(Y184/H184),"0")</f>
        <v>2.7777777777777776E-2</v>
      </c>
    </row>
    <row r="185" spans="1:68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9.5238095238095237</v>
      </c>
      <c r="Y185" s="549">
        <f>IFERROR(Y182/H182,"0")+IFERROR(Y183/H183,"0")+IFERROR(Y184/H184,"0")</f>
        <v>10</v>
      </c>
      <c r="Z185" s="549">
        <f>IFERROR(IF(Z182="",0,Z182),"0")+IFERROR(IF(Z183="",0,Z183),"0")+IFERROR(IF(Z184="",0,Z184),"0")</f>
        <v>5.8999999999999997E-2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12</v>
      </c>
      <c r="Y186" s="549">
        <f>IFERROR(SUM(Y182:Y184),"0")</f>
        <v>12.600000000000001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6</v>
      </c>
      <c r="Y188" s="548">
        <f>IFERROR(IF(X188="",0,CEILING((X188/$H188),1)*$H188),"")</f>
        <v>6.3</v>
      </c>
      <c r="Z188" s="36">
        <f>IFERROR(IF(Y188=0,"",ROUNDUP(Y188/H188,0)*0.0059),"")</f>
        <v>2.9499999999999998E-2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6.9047619047619042</v>
      </c>
      <c r="BN188" s="64">
        <f>IFERROR(Y188*I188/H188,"0")</f>
        <v>7.25</v>
      </c>
      <c r="BO188" s="64">
        <f>IFERROR(1/J188*(X188/H188),"0")</f>
        <v>2.2045855379188711E-2</v>
      </c>
      <c r="BP188" s="64">
        <f>IFERROR(1/J188*(Y188/H188),"0")</f>
        <v>2.3148148148148147E-2</v>
      </c>
    </row>
    <row r="189" spans="1:68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4.7619047619047619</v>
      </c>
      <c r="Y189" s="549">
        <f>IFERROR(Y188/H188,"0")</f>
        <v>5</v>
      </c>
      <c r="Z189" s="549">
        <f>IFERROR(IF(Z188="",0,Z188),"0")</f>
        <v>2.9499999999999998E-2</v>
      </c>
      <c r="AA189" s="550"/>
      <c r="AB189" s="550"/>
      <c r="AC189" s="550"/>
    </row>
    <row r="190" spans="1:68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6</v>
      </c>
      <c r="Y190" s="549">
        <f>IFERROR(SUM(Y188:Y188),"0")</f>
        <v>6.3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379</v>
      </c>
      <c r="Y203" s="548">
        <f t="shared" ref="Y203:Y210" si="15">IFERROR(IF(X203="",0,CEILING((X203/$H203),1)*$H203),"")</f>
        <v>383.40000000000003</v>
      </c>
      <c r="Z203" s="36">
        <f>IFERROR(IF(Y203=0,"",ROUNDUP(Y203/H203,0)*0.00902),"")</f>
        <v>0.64041999999999999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392.3351851851852</v>
      </c>
      <c r="BN203" s="64">
        <f t="shared" ref="BN203:BN210" si="17">IFERROR(Y203*I203/H203,"0")</f>
        <v>396.89</v>
      </c>
      <c r="BO203" s="64">
        <f t="shared" ref="BO203:BO210" si="18">IFERROR(1/J203*(X203/H203),"0")</f>
        <v>0.53170594837261498</v>
      </c>
      <c r="BP203" s="64">
        <f t="shared" ref="BP203:BP210" si="19">IFERROR(1/J203*(Y203/H203),"0")</f>
        <v>0.53787878787878785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70</v>
      </c>
      <c r="Y204" s="548">
        <f t="shared" si="15"/>
        <v>70.2</v>
      </c>
      <c r="Z204" s="36">
        <f>IFERROR(IF(Y204=0,"",ROUNDUP(Y204/H204,0)*0.00902),"")</f>
        <v>0.11726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72.462962962962962</v>
      </c>
      <c r="BN204" s="64">
        <f t="shared" si="17"/>
        <v>72.67</v>
      </c>
      <c r="BO204" s="64">
        <f t="shared" si="18"/>
        <v>9.8204264870931535E-2</v>
      </c>
      <c r="BP204" s="64">
        <f t="shared" si="19"/>
        <v>9.8484848484848481E-2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137</v>
      </c>
      <c r="Y206" s="548">
        <f t="shared" si="15"/>
        <v>140.4</v>
      </c>
      <c r="Z206" s="36">
        <f>IFERROR(IF(Y206=0,"",ROUNDUP(Y206/H206,0)*0.00902),"")</f>
        <v>0.23452000000000001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141.82037037037034</v>
      </c>
      <c r="BN206" s="64">
        <f t="shared" si="17"/>
        <v>145.34</v>
      </c>
      <c r="BO206" s="64">
        <f t="shared" si="18"/>
        <v>0.19219977553310888</v>
      </c>
      <c r="BP206" s="64">
        <f t="shared" si="19"/>
        <v>0.19696969696969696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57</v>
      </c>
      <c r="Y207" s="548">
        <f t="shared" si="15"/>
        <v>57.6</v>
      </c>
      <c r="Z207" s="36">
        <f>IFERROR(IF(Y207=0,"",ROUNDUP(Y207/H207,0)*0.00502),"")</f>
        <v>0.16064000000000001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61.11666666666666</v>
      </c>
      <c r="BN207" s="64">
        <f t="shared" si="17"/>
        <v>61.759999999999991</v>
      </c>
      <c r="BO207" s="64">
        <f t="shared" si="18"/>
        <v>0.13532763532763534</v>
      </c>
      <c r="BP207" s="64">
        <f t="shared" si="19"/>
        <v>0.13675213675213677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53</v>
      </c>
      <c r="Y208" s="548">
        <f t="shared" si="15"/>
        <v>54</v>
      </c>
      <c r="Z208" s="36">
        <f>IFERROR(IF(Y208=0,"",ROUNDUP(Y208/H208,0)*0.00502),"")</f>
        <v>0.15060000000000001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55.944444444444436</v>
      </c>
      <c r="BN208" s="64">
        <f t="shared" si="17"/>
        <v>56.999999999999993</v>
      </c>
      <c r="BO208" s="64">
        <f t="shared" si="18"/>
        <v>0.12583095916429252</v>
      </c>
      <c r="BP208" s="64">
        <f t="shared" si="19"/>
        <v>0.12820512820512822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30</v>
      </c>
      <c r="Y210" s="548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186.29629629629628</v>
      </c>
      <c r="Y211" s="549">
        <f>IFERROR(Y203/H203,"0")+IFERROR(Y204/H204,"0")+IFERROR(Y205/H205,"0")+IFERROR(Y206/H206,"0")+IFERROR(Y207/H207,"0")+IFERROR(Y208/H208,"0")+IFERROR(Y209/H209,"0")+IFERROR(Y210/H210,"0")</f>
        <v>189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1.3887799999999999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726</v>
      </c>
      <c r="Y212" s="549">
        <f>IFERROR(SUM(Y203:Y210),"0")</f>
        <v>736.2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10</v>
      </c>
      <c r="Y214" s="548">
        <f t="shared" ref="Y214:Y222" si="20">IFERROR(IF(X214="",0,CEILING((X214/$H214),1)*$H214),"")</f>
        <v>16.2</v>
      </c>
      <c r="Z214" s="36">
        <f>IFERROR(IF(Y214=0,"",ROUNDUP(Y214/H214,0)*0.01898),"")</f>
        <v>3.7960000000000001E-2</v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10.609876543209877</v>
      </c>
      <c r="BN214" s="64">
        <f t="shared" ref="BN214:BN222" si="22">IFERROR(Y214*I214/H214,"0")</f>
        <v>17.187999999999999</v>
      </c>
      <c r="BO214" s="64">
        <f t="shared" ref="BO214:BO222" si="23">IFERROR(1/J214*(X214/H214),"0")</f>
        <v>1.9290123456790126E-2</v>
      </c>
      <c r="BP214" s="64">
        <f t="shared" ref="BP214:BP222" si="24">IFERROR(1/J214*(Y214/H214),"0")</f>
        <v>3.125E-2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31</v>
      </c>
      <c r="Y215" s="548">
        <f t="shared" si="20"/>
        <v>32.4</v>
      </c>
      <c r="Z215" s="36">
        <f>IFERROR(IF(Y215=0,"",ROUNDUP(Y215/H215,0)*0.01898),"")</f>
        <v>7.5920000000000001E-2</v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32.821728395061726</v>
      </c>
      <c r="BN215" s="64">
        <f t="shared" si="22"/>
        <v>34.304000000000002</v>
      </c>
      <c r="BO215" s="64">
        <f t="shared" si="23"/>
        <v>5.9799382716049385E-2</v>
      </c>
      <c r="BP215" s="64">
        <f t="shared" si="24"/>
        <v>6.25E-2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39</v>
      </c>
      <c r="Y216" s="548">
        <f t="shared" si="20"/>
        <v>43.5</v>
      </c>
      <c r="Z216" s="36">
        <f>IFERROR(IF(Y216=0,"",ROUNDUP(Y216/H216,0)*0.01898),"")</f>
        <v>9.4899999999999998E-2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41.214482758620697</v>
      </c>
      <c r="BN216" s="64">
        <f t="shared" si="22"/>
        <v>45.970000000000006</v>
      </c>
      <c r="BO216" s="64">
        <f t="shared" si="23"/>
        <v>7.004310344827587E-2</v>
      </c>
      <c r="BP216" s="64">
        <f t="shared" si="24"/>
        <v>7.8125E-2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569</v>
      </c>
      <c r="Y219" s="548">
        <f t="shared" si="20"/>
        <v>571.19999999999993</v>
      </c>
      <c r="Z219" s="36">
        <f t="shared" si="25"/>
        <v>1.54938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628.745</v>
      </c>
      <c r="BN219" s="64">
        <f t="shared" si="22"/>
        <v>631.17599999999993</v>
      </c>
      <c r="BO219" s="64">
        <f t="shared" si="23"/>
        <v>1.3026556776556779</v>
      </c>
      <c r="BP219" s="64">
        <f t="shared" si="24"/>
        <v>1.3076923076923077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366</v>
      </c>
      <c r="Y220" s="548">
        <f t="shared" si="20"/>
        <v>367.2</v>
      </c>
      <c r="Z220" s="36">
        <f t="shared" si="25"/>
        <v>0.99602999999999997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404.43000000000006</v>
      </c>
      <c r="BN220" s="64">
        <f t="shared" si="22"/>
        <v>405.75600000000003</v>
      </c>
      <c r="BO220" s="64">
        <f t="shared" si="23"/>
        <v>0.83791208791208793</v>
      </c>
      <c r="BP220" s="64">
        <f t="shared" si="24"/>
        <v>0.84065934065934067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9</v>
      </c>
      <c r="Y221" s="548">
        <f t="shared" si="20"/>
        <v>9.6</v>
      </c>
      <c r="Z221" s="36">
        <f t="shared" si="25"/>
        <v>2.6040000000000001E-2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9.9450000000000021</v>
      </c>
      <c r="BN221" s="64">
        <f t="shared" si="22"/>
        <v>10.608000000000001</v>
      </c>
      <c r="BO221" s="64">
        <f t="shared" si="23"/>
        <v>2.0604395604395608E-2</v>
      </c>
      <c r="BP221" s="64">
        <f t="shared" si="24"/>
        <v>2.197802197802198E-2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402.87782034908469</v>
      </c>
      <c r="Y223" s="549">
        <f>IFERROR(Y214/H214,"0")+IFERROR(Y215/H215,"0")+IFERROR(Y216/H216,"0")+IFERROR(Y217/H217,"0")+IFERROR(Y218/H218,"0")+IFERROR(Y219/H219,"0")+IFERROR(Y220/H220,"0")+IFERROR(Y221/H221,"0")+IFERROR(Y222/H222,"0")</f>
        <v>406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2.78023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1024</v>
      </c>
      <c r="Y224" s="549">
        <f>IFERROR(SUM(Y214:Y222),"0")</f>
        <v>1040.0999999999999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76</v>
      </c>
      <c r="Y227" s="548">
        <f>IFERROR(IF(X227="",0,CEILING((X227/$H227),1)*$H227),"")</f>
        <v>76.8</v>
      </c>
      <c r="Z227" s="36">
        <f>IFERROR(IF(Y227=0,"",ROUNDUP(Y227/H227,0)*0.00651),"")</f>
        <v>0.20832000000000001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83.980000000000018</v>
      </c>
      <c r="BN227" s="64">
        <f>IFERROR(Y227*I227/H227,"0")</f>
        <v>84.864000000000004</v>
      </c>
      <c r="BO227" s="64">
        <f>IFERROR(1/J227*(X227/H227),"0")</f>
        <v>0.17399267399267401</v>
      </c>
      <c r="BP227" s="64">
        <f>IFERROR(1/J227*(Y227/H227),"0")</f>
        <v>0.17582417582417584</v>
      </c>
    </row>
    <row r="228" spans="1:68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31.666666666666668</v>
      </c>
      <c r="Y228" s="549">
        <f>IFERROR(Y226/H226,"0")+IFERROR(Y227/H227,"0")</f>
        <v>32</v>
      </c>
      <c r="Z228" s="549">
        <f>IFERROR(IF(Z226="",0,Z226),"0")+IFERROR(IF(Z227="",0,Z227),"0")</f>
        <v>0.20832000000000001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76</v>
      </c>
      <c r="Y229" s="549">
        <f>IFERROR(SUM(Y226:Y227),"0")</f>
        <v>76.8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32</v>
      </c>
      <c r="Y232" s="548">
        <f t="shared" ref="Y232:Y240" si="26">IFERROR(IF(X232="",0,CEILING((X232/$H232),1)*$H232),"")</f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33.131034482758622</v>
      </c>
      <c r="BN232" s="64">
        <f t="shared" ref="BN232:BN240" si="28">IFERROR(Y232*I232/H232,"0")</f>
        <v>36.03</v>
      </c>
      <c r="BO232" s="64">
        <f t="shared" ref="BO232:BO240" si="29">IFERROR(1/J232*(X232/H232),"0")</f>
        <v>4.3103448275862072E-2</v>
      </c>
      <c r="BP232" s="64">
        <f t="shared" ref="BP232:BP240" si="30">IFERROR(1/J232*(Y232/H232),"0")</f>
        <v>4.6875E-2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4301012196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4301011824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4301012195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4301011722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2.7586206896551726</v>
      </c>
      <c r="Y241" s="549">
        <f>IFERROR(Y232/H232,"0")+IFERROR(Y233/H233,"0")+IFERROR(Y234/H234,"0")+IFERROR(Y235/H235,"0")+IFERROR(Y236/H236,"0")+IFERROR(Y237/H237,"0")+IFERROR(Y238/H238,"0")+IFERROR(Y239/H239,"0")+IFERROR(Y240/H240,"0")</f>
        <v>3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5.6940000000000004E-2</v>
      </c>
      <c r="AA241" s="550"/>
      <c r="AB241" s="550"/>
      <c r="AC241" s="550"/>
    </row>
    <row r="242" spans="1:68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32</v>
      </c>
      <c r="Y242" s="549">
        <f>IFERROR(SUM(Y232:Y240),"0")</f>
        <v>34.799999999999997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1</v>
      </c>
      <c r="Y248" s="548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0.55555555555555558</v>
      </c>
      <c r="Y249" s="549">
        <f>IFERROR(Y248/H248,"0")</f>
        <v>1</v>
      </c>
      <c r="Z249" s="549">
        <f>IFERROR(IF(Z248="",0,Z248),"0")</f>
        <v>5.8999999999999999E-3</v>
      </c>
      <c r="AA249" s="550"/>
      <c r="AB249" s="550"/>
      <c r="AC249" s="550"/>
    </row>
    <row r="250" spans="1:68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1</v>
      </c>
      <c r="Y250" s="549">
        <f>IFERROR(SUM(Y248:Y248),"0")</f>
        <v>1.8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3</v>
      </c>
      <c r="Y254" s="548">
        <f>IFERROR(IF(X254="",0,CEILING((X254/$H254),1)*$H254),"")</f>
        <v>3.6</v>
      </c>
      <c r="Z254" s="36">
        <f>IFERROR(IF(Y254=0,"",ROUNDUP(Y254/H254,0)*0.0059),"")</f>
        <v>2.3599999999999999E-2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3.6333333333333337</v>
      </c>
      <c r="BN254" s="64">
        <f>IFERROR(Y254*I254/H254,"0")</f>
        <v>4.3600000000000003</v>
      </c>
      <c r="BO254" s="64">
        <f>IFERROR(1/J254*(X254/H254),"0")</f>
        <v>1.5432098765432096E-2</v>
      </c>
      <c r="BP254" s="64">
        <f>IFERROR(1/J254*(Y254/H254),"0")</f>
        <v>1.8518518518518517E-2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4</v>
      </c>
      <c r="Y255" s="548">
        <f>IFERROR(IF(X255="",0,CEILING((X255/$H255),1)*$H255),"")</f>
        <v>4.95</v>
      </c>
      <c r="Z255" s="36">
        <f>IFERROR(IF(Y255=0,"",ROUNDUP(Y255/H255,0)*0.0059),"")</f>
        <v>2.9499999999999998E-2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4.7676767676767673</v>
      </c>
      <c r="BN255" s="64">
        <f>IFERROR(Y255*I255/H255,"0")</f>
        <v>5.9</v>
      </c>
      <c r="BO255" s="64">
        <f>IFERROR(1/J255*(X255/H255),"0")</f>
        <v>1.8705574261129818E-2</v>
      </c>
      <c r="BP255" s="64">
        <f>IFERROR(1/J255*(Y255/H255),"0")</f>
        <v>2.3148148148148147E-2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7.3737373737373737</v>
      </c>
      <c r="Y257" s="549">
        <f>IFERROR(Y252/H252,"0")+IFERROR(Y253/H253,"0")+IFERROR(Y254/H254,"0")+IFERROR(Y255/H255,"0")+IFERROR(Y256/H256,"0")</f>
        <v>9</v>
      </c>
      <c r="Z257" s="549">
        <f>IFERROR(IF(Z252="",0,Z252),"0")+IFERROR(IF(Z253="",0,Z253),"0")+IFERROR(IF(Z254="",0,Z254),"0")+IFERROR(IF(Z255="",0,Z255),"0")+IFERROR(IF(Z256="",0,Z256),"0")</f>
        <v>5.3099999999999994E-2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7</v>
      </c>
      <c r="Y258" s="549">
        <f>IFERROR(SUM(Y252:Y256),"0")</f>
        <v>8.5500000000000007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128</v>
      </c>
      <c r="Y279" s="548">
        <f>IFERROR(IF(X279="",0,CEILING((X279/$H279),1)*$H279),"")</f>
        <v>129.6</v>
      </c>
      <c r="Z279" s="36">
        <f>IFERROR(IF(Y279=0,"",ROUNDUP(Y279/H279,0)*0.00651),"")</f>
        <v>0.35154000000000002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141.44000000000003</v>
      </c>
      <c r="BN279" s="64">
        <f>IFERROR(Y279*I279/H279,"0")</f>
        <v>143.20800000000003</v>
      </c>
      <c r="BO279" s="64">
        <f>IFERROR(1/J279*(X279/H279),"0")</f>
        <v>0.29304029304029305</v>
      </c>
      <c r="BP279" s="64">
        <f>IFERROR(1/J279*(Y279/H279),"0")</f>
        <v>0.2967032967032967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250</v>
      </c>
      <c r="Y280" s="548">
        <f>IFERROR(IF(X280="",0,CEILING((X280/$H280),1)*$H280),"")</f>
        <v>252</v>
      </c>
      <c r="Z280" s="36">
        <f>IFERROR(IF(Y280=0,"",ROUNDUP(Y280/H280,0)*0.00651),"")</f>
        <v>0.68354999999999999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268.75</v>
      </c>
      <c r="BN280" s="64">
        <f>IFERROR(Y280*I280/H280,"0")</f>
        <v>270.89999999999998</v>
      </c>
      <c r="BO280" s="64">
        <f>IFERROR(1/J280*(X280/H280),"0")</f>
        <v>0.57234432234432242</v>
      </c>
      <c r="BP280" s="64">
        <f>IFERROR(1/J280*(Y280/H280),"0")</f>
        <v>0.57692307692307698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157.5</v>
      </c>
      <c r="Y281" s="549">
        <f>IFERROR(Y278/H278,"0")+IFERROR(Y279/H279,"0")+IFERROR(Y280/H280,"0")</f>
        <v>159</v>
      </c>
      <c r="Z281" s="549">
        <f>IFERROR(IF(Z278="",0,Z278),"0")+IFERROR(IF(Z279="",0,Z279),"0")+IFERROR(IF(Z280="",0,Z280),"0")</f>
        <v>1.0350900000000001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378</v>
      </c>
      <c r="Y282" s="549">
        <f>IFERROR(SUM(Y278:Y280),"0")</f>
        <v>381.6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8</v>
      </c>
      <c r="Y309" s="548">
        <f t="shared" si="31"/>
        <v>9</v>
      </c>
      <c r="Z309" s="36">
        <f>IFERROR(IF(Y309=0,"",ROUNDUP(Y309/H309,0)*0.00651),"")</f>
        <v>3.2550000000000003E-2</v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9.0133333333333336</v>
      </c>
      <c r="BN309" s="64">
        <f t="shared" si="33"/>
        <v>10.139999999999999</v>
      </c>
      <c r="BO309" s="64">
        <f t="shared" si="34"/>
        <v>2.4420024420024423E-2</v>
      </c>
      <c r="BP309" s="64">
        <f t="shared" si="35"/>
        <v>2.7472527472527476E-2</v>
      </c>
    </row>
    <row r="310" spans="1:68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4.4444444444444446</v>
      </c>
      <c r="Y310" s="549">
        <f>IFERROR(Y304/H304,"0")+IFERROR(Y305/H305,"0")+IFERROR(Y306/H306,"0")+IFERROR(Y307/H307,"0")+IFERROR(Y308/H308,"0")+IFERROR(Y309/H309,"0")</f>
        <v>5</v>
      </c>
      <c r="Z310" s="549">
        <f>IFERROR(IF(Z304="",0,Z304),"0")+IFERROR(IF(Z305="",0,Z305),"0")+IFERROR(IF(Z306="",0,Z306),"0")+IFERROR(IF(Z307="",0,Z307),"0")+IFERROR(IF(Z308="",0,Z308),"0")+IFERROR(IF(Z309="",0,Z309),"0")</f>
        <v>3.2550000000000003E-2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8</v>
      </c>
      <c r="Y311" s="549">
        <f>IFERROR(SUM(Y304:Y309),"0")</f>
        <v>9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85</v>
      </c>
      <c r="Y320" s="548">
        <f>IFERROR(IF(X320="",0,CEILING((X320/$H320),1)*$H320),"")</f>
        <v>92.4</v>
      </c>
      <c r="Z320" s="36">
        <f>IFERROR(IF(Y320=0,"",ROUNDUP(Y320/H320,0)*0.01898),"")</f>
        <v>0.20877999999999999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89.998809523809527</v>
      </c>
      <c r="BN320" s="64">
        <f>IFERROR(Y320*I320/H320,"0")</f>
        <v>97.834000000000003</v>
      </c>
      <c r="BO320" s="64">
        <f>IFERROR(1/J320*(X320/H320),"0")</f>
        <v>0.15811011904761904</v>
      </c>
      <c r="BP320" s="64">
        <f>IFERROR(1/J320*(Y320/H320),"0")</f>
        <v>0.171875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57</v>
      </c>
      <c r="Y321" s="548">
        <f>IFERROR(IF(X321="",0,CEILING((X321/$H321),1)*$H321),"")</f>
        <v>62.4</v>
      </c>
      <c r="Z321" s="36">
        <f>IFERROR(IF(Y321=0,"",ROUNDUP(Y321/H321,0)*0.01898),"")</f>
        <v>0.15184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60.610000000000007</v>
      </c>
      <c r="BN321" s="64">
        <f>IFERROR(Y321*I321/H321,"0")</f>
        <v>66.352000000000004</v>
      </c>
      <c r="BO321" s="64">
        <f>IFERROR(1/J321*(X321/H321),"0")</f>
        <v>0.1141826923076923</v>
      </c>
      <c r="BP321" s="64">
        <f>IFERROR(1/J321*(Y321/H321),"0")</f>
        <v>0.125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17.426739926739927</v>
      </c>
      <c r="Y323" s="549">
        <f>IFERROR(Y320/H320,"0")+IFERROR(Y321/H321,"0")+IFERROR(Y322/H322,"0")</f>
        <v>19</v>
      </c>
      <c r="Z323" s="549">
        <f>IFERROR(IF(Z320="",0,Z320),"0")+IFERROR(IF(Z321="",0,Z321),"0")+IFERROR(IF(Z322="",0,Z322),"0")</f>
        <v>0.36062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142</v>
      </c>
      <c r="Y324" s="549">
        <f>IFERROR(SUM(Y320:Y322),"0")</f>
        <v>154.80000000000001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31</v>
      </c>
      <c r="Y328" s="548">
        <f>IFERROR(IF(X328="",0,CEILING((X328/$H328),1)*$H328),"")</f>
        <v>33.15</v>
      </c>
      <c r="Z328" s="36">
        <f>IFERROR(IF(Y328=0,"",ROUNDUP(Y328/H328,0)*0.00651),"")</f>
        <v>8.4629999999999997E-2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35.923529411764711</v>
      </c>
      <c r="BN328" s="64">
        <f>IFERROR(Y328*I328/H328,"0")</f>
        <v>38.414999999999999</v>
      </c>
      <c r="BO328" s="64">
        <f>IFERROR(1/J328*(X328/H328),"0")</f>
        <v>6.6795949148890338E-2</v>
      </c>
      <c r="BP328" s="64">
        <f>IFERROR(1/J328*(Y328/H328),"0")</f>
        <v>7.1428571428571438E-2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24</v>
      </c>
      <c r="Y329" s="548">
        <f>IFERROR(IF(X329="",0,CEILING((X329/$H329),1)*$H329),"")</f>
        <v>25.5</v>
      </c>
      <c r="Z329" s="36">
        <f>IFERROR(IF(Y329=0,"",ROUNDUP(Y329/H329,0)*0.00651),"")</f>
        <v>6.5100000000000005E-2</v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27.10588235294118</v>
      </c>
      <c r="BN329" s="64">
        <f>IFERROR(Y329*I329/H329,"0")</f>
        <v>28.8</v>
      </c>
      <c r="BO329" s="64">
        <f>IFERROR(1/J329*(X329/H329),"0")</f>
        <v>5.1712992889463481E-2</v>
      </c>
      <c r="BP329" s="64">
        <f>IFERROR(1/J329*(Y329/H329),"0")</f>
        <v>5.4945054945054951E-2</v>
      </c>
    </row>
    <row r="330" spans="1:68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21.568627450980394</v>
      </c>
      <c r="Y330" s="549">
        <f>IFERROR(Y326/H326,"0")+IFERROR(Y327/H327,"0")+IFERROR(Y328/H328,"0")+IFERROR(Y329/H329,"0")</f>
        <v>23</v>
      </c>
      <c r="Z330" s="549">
        <f>IFERROR(IF(Z326="",0,Z326),"0")+IFERROR(IF(Z327="",0,Z327),"0")+IFERROR(IF(Z328="",0,Z328),"0")+IFERROR(IF(Z329="",0,Z329),"0")</f>
        <v>0.14973</v>
      </c>
      <c r="AA330" s="550"/>
      <c r="AB330" s="550"/>
      <c r="AC330" s="550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55</v>
      </c>
      <c r="Y331" s="549">
        <f>IFERROR(SUM(Y326:Y329),"0")</f>
        <v>58.65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1</v>
      </c>
      <c r="Y333" s="548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2</v>
      </c>
      <c r="Y334" s="548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2.2400000000000002</v>
      </c>
      <c r="BN334" s="64">
        <f>IFERROR(Y334*I334/H334,"0")</f>
        <v>2.2400000000000002</v>
      </c>
      <c r="BO334" s="64">
        <f>IFERROR(1/J334*(X334/H334),"0")</f>
        <v>4.2016806722689074E-3</v>
      </c>
      <c r="BP334" s="64">
        <f>IFERROR(1/J334*(Y334/H334),"0")</f>
        <v>4.2016806722689074E-3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2</v>
      </c>
      <c r="Y335" s="548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2.2400000000000002</v>
      </c>
      <c r="BN335" s="64">
        <f>IFERROR(Y335*I335/H335,"0")</f>
        <v>2.2400000000000002</v>
      </c>
      <c r="BO335" s="64">
        <f>IFERROR(1/J335*(X335/H335),"0")</f>
        <v>4.2016806722689074E-3</v>
      </c>
      <c r="BP335" s="64">
        <f>IFERROR(1/J335*(Y335/H335),"0")</f>
        <v>4.2016806722689074E-3</v>
      </c>
    </row>
    <row r="336" spans="1:68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2.5</v>
      </c>
      <c r="Y336" s="549">
        <f>IFERROR(Y333/H333,"0")+IFERROR(Y334/H334,"0")+IFERROR(Y335/H335,"0")</f>
        <v>3</v>
      </c>
      <c r="Z336" s="549">
        <f>IFERROR(IF(Z333="",0,Z333),"0")+IFERROR(IF(Z334="",0,Z334),"0")+IFERROR(IF(Z335="",0,Z335),"0")</f>
        <v>1.422E-2</v>
      </c>
      <c r="AA336" s="550"/>
      <c r="AB336" s="550"/>
      <c r="AC336" s="550"/>
    </row>
    <row r="337" spans="1:68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5</v>
      </c>
      <c r="Y337" s="549">
        <f>IFERROR(SUM(Y333:Y335),"0")</f>
        <v>6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1076</v>
      </c>
      <c r="Y348" s="548">
        <f t="shared" ref="Y348:Y354" si="36">IFERROR(IF(X348="",0,CEILING((X348/$H348),1)*$H348),"")</f>
        <v>1080</v>
      </c>
      <c r="Z348" s="36">
        <f>IFERROR(IF(Y348=0,"",ROUNDUP(Y348/H348,0)*0.02175),"")</f>
        <v>1.5659999999999998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1109.7146666666667</v>
      </c>
      <c r="BN348" s="64">
        <f t="shared" ref="BN348:BN354" si="38">IFERROR(Y348*I348/H348,"0")</f>
        <v>1113.8400000000001</v>
      </c>
      <c r="BO348" s="64">
        <f t="shared" ref="BO348:BO354" si="39">IFERROR(1/J348*(X348/H348),"0")</f>
        <v>1.4944444444444445</v>
      </c>
      <c r="BP348" s="64">
        <f t="shared" ref="BP348:BP354" si="40">IFERROR(1/J348*(Y348/H348),"0")</f>
        <v>1.5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469</v>
      </c>
      <c r="Y349" s="548">
        <f t="shared" si="36"/>
        <v>480</v>
      </c>
      <c r="Z349" s="36">
        <f>IFERROR(IF(Y349=0,"",ROUNDUP(Y349/H349,0)*0.02175),"")</f>
        <v>0.69599999999999995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483.69533333333334</v>
      </c>
      <c r="BN349" s="64">
        <f t="shared" si="38"/>
        <v>495.04</v>
      </c>
      <c r="BO349" s="64">
        <f t="shared" si="39"/>
        <v>0.6513888888888888</v>
      </c>
      <c r="BP349" s="64">
        <f t="shared" si="40"/>
        <v>0.66666666666666663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4">
        <v>4680115887046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7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901</v>
      </c>
      <c r="Y350" s="548">
        <f t="shared" si="36"/>
        <v>915</v>
      </c>
      <c r="Z350" s="36">
        <f>IFERROR(IF(Y350=0,"",ROUNDUP(Y350/H350,0)*0.02175),"")</f>
        <v>1.3267499999999999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929.2313333333334</v>
      </c>
      <c r="BN350" s="64">
        <f t="shared" si="38"/>
        <v>943.67000000000007</v>
      </c>
      <c r="BO350" s="64">
        <f t="shared" si="39"/>
        <v>1.2513888888888889</v>
      </c>
      <c r="BP350" s="64">
        <f t="shared" si="40"/>
        <v>1.2708333333333333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5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709</v>
      </c>
      <c r="Y351" s="548">
        <f t="shared" si="36"/>
        <v>720</v>
      </c>
      <c r="Z351" s="36">
        <f>IFERROR(IF(Y351=0,"",ROUNDUP(Y351/H351,0)*0.02175),"")</f>
        <v>1.044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731.21533333333332</v>
      </c>
      <c r="BN351" s="64">
        <f t="shared" si="38"/>
        <v>742.56</v>
      </c>
      <c r="BO351" s="64">
        <f t="shared" si="39"/>
        <v>0.98472222222222217</v>
      </c>
      <c r="BP351" s="64">
        <f t="shared" si="40"/>
        <v>1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210.33333333333331</v>
      </c>
      <c r="Y355" s="549">
        <f>IFERROR(Y348/H348,"0")+IFERROR(Y349/H349,"0")+IFERROR(Y350/H350,"0")+IFERROR(Y351/H351,"0")+IFERROR(Y352/H352,"0")+IFERROR(Y353/H353,"0")+IFERROR(Y354/H354,"0")</f>
        <v>213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4.6327499999999997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3155</v>
      </c>
      <c r="Y356" s="549">
        <f>IFERROR(SUM(Y348:Y354),"0")</f>
        <v>3195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1309</v>
      </c>
      <c r="Y358" s="548">
        <f>IFERROR(IF(X358="",0,CEILING((X358/$H358),1)*$H358),"")</f>
        <v>1320</v>
      </c>
      <c r="Z358" s="36">
        <f>IFERROR(IF(Y358=0,"",ROUNDUP(Y358/H358,0)*0.02175),"")</f>
        <v>1.9139999999999999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1350.0153333333333</v>
      </c>
      <c r="BN358" s="64">
        <f>IFERROR(Y358*I358/H358,"0")</f>
        <v>1361.3600000000001</v>
      </c>
      <c r="BO358" s="64">
        <f>IFERROR(1/J358*(X358/H358),"0")</f>
        <v>1.8180555555555555</v>
      </c>
      <c r="BP358" s="64">
        <f>IFERROR(1/J358*(Y358/H358),"0")</f>
        <v>1.8333333333333333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87.266666666666666</v>
      </c>
      <c r="Y360" s="549">
        <f>IFERROR(Y358/H358,"0")+IFERROR(Y359/H359,"0")</f>
        <v>88</v>
      </c>
      <c r="Z360" s="549">
        <f>IFERROR(IF(Z358="",0,Z358),"0")+IFERROR(IF(Z359="",0,Z359),"0")</f>
        <v>1.9139999999999999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1309</v>
      </c>
      <c r="Y361" s="549">
        <f>IFERROR(SUM(Y358:Y359),"0")</f>
        <v>1320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16</v>
      </c>
      <c r="Y364" s="548">
        <f>IFERROR(IF(X364="",0,CEILING((X364/$H364),1)*$H364),"")</f>
        <v>18</v>
      </c>
      <c r="Z364" s="36">
        <f>IFERROR(IF(Y364=0,"",ROUNDUP(Y364/H364,0)*0.01898),"")</f>
        <v>3.7960000000000001E-2</v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16.87822222222222</v>
      </c>
      <c r="BN364" s="64">
        <f>IFERROR(Y364*I364/H364,"0")</f>
        <v>18.988</v>
      </c>
      <c r="BO364" s="64">
        <f>IFERROR(1/J364*(X364/H364),"0")</f>
        <v>2.7777777777777776E-2</v>
      </c>
      <c r="BP364" s="64">
        <f>IFERROR(1/J364*(Y364/H364),"0")</f>
        <v>3.125E-2</v>
      </c>
    </row>
    <row r="365" spans="1:68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1.7777777777777777</v>
      </c>
      <c r="Y365" s="549">
        <f>IFERROR(Y363/H363,"0")+IFERROR(Y364/H364,"0")</f>
        <v>2</v>
      </c>
      <c r="Z365" s="549">
        <f>IFERROR(IF(Z363="",0,Z363),"0")+IFERROR(IF(Z364="",0,Z364),"0")</f>
        <v>3.7960000000000001E-2</v>
      </c>
      <c r="AA365" s="550"/>
      <c r="AB365" s="550"/>
      <c r="AC365" s="550"/>
    </row>
    <row r="366" spans="1:68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16</v>
      </c>
      <c r="Y366" s="549">
        <f>IFERROR(SUM(Y363:Y364),"0")</f>
        <v>18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21</v>
      </c>
      <c r="Y373" s="548">
        <f>IFERROR(IF(X373="",0,CEILING((X373/$H373),1)*$H373),"")</f>
        <v>24</v>
      </c>
      <c r="Z373" s="36">
        <f>IFERROR(IF(Y373=0,"",ROUNDUP(Y373/H373,0)*0.01898),"")</f>
        <v>3.7960000000000001E-2</v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21.717500000000001</v>
      </c>
      <c r="BN373" s="64">
        <f>IFERROR(Y373*I373/H373,"0")</f>
        <v>24.820000000000004</v>
      </c>
      <c r="BO373" s="64">
        <f>IFERROR(1/J373*(X373/H373),"0")</f>
        <v>2.734375E-2</v>
      </c>
      <c r="BP373" s="64">
        <f>IFERROR(1/J373*(Y373/H373),"0")</f>
        <v>3.125E-2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1.75</v>
      </c>
      <c r="Y375" s="549">
        <f>IFERROR(Y373/H373,"0")+IFERROR(Y374/H374,"0")</f>
        <v>2</v>
      </c>
      <c r="Z375" s="549">
        <f>IFERROR(IF(Z373="",0,Z373),"0")+IFERROR(IF(Z374="",0,Z374),"0")</f>
        <v>3.7960000000000001E-2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21</v>
      </c>
      <c r="Y376" s="549">
        <f>IFERROR(SUM(Y373:Y374),"0")</f>
        <v>24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4301031457</v>
      </c>
      <c r="D378" s="554">
        <v>4607091384802</v>
      </c>
      <c r="E378" s="555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444</v>
      </c>
      <c r="Y383" s="548">
        <f>IFERROR(IF(X383="",0,CEILING((X383/$H383),1)*$H383),"")</f>
        <v>450</v>
      </c>
      <c r="Z383" s="36">
        <f>IFERROR(IF(Y383=0,"",ROUNDUP(Y383/H383,0)*0.01898),"")</f>
        <v>0.94900000000000007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468.37066666666669</v>
      </c>
      <c r="BN383" s="64">
        <f>IFERROR(Y383*I383/H383,"0")</f>
        <v>474.70000000000005</v>
      </c>
      <c r="BO383" s="64">
        <f>IFERROR(1/J383*(X383/H383),"0")</f>
        <v>0.77083333333333337</v>
      </c>
      <c r="BP383" s="64">
        <f>IFERROR(1/J383*(Y383/H383),"0")</f>
        <v>0.78125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4301052069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2</v>
      </c>
      <c r="Y385" s="548">
        <f>IFERROR(IF(X385="",0,CEILING((X385/$H385),1)*$H385),"")</f>
        <v>2.4</v>
      </c>
      <c r="Z385" s="36">
        <f>IFERROR(IF(Y385=0,"",ROUNDUP(Y385/H385,0)*0.00651),"")</f>
        <v>6.5100000000000002E-3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2.2200000000000002</v>
      </c>
      <c r="BN385" s="64">
        <f>IFERROR(Y385*I385/H385,"0")</f>
        <v>2.6640000000000001</v>
      </c>
      <c r="BO385" s="64">
        <f>IFERROR(1/J385*(X385/H385),"0")</f>
        <v>4.578754578754579E-3</v>
      </c>
      <c r="BP385" s="64">
        <f>IFERROR(1/J385*(Y385/H385),"0")</f>
        <v>5.4945054945054949E-3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50.166666666666671</v>
      </c>
      <c r="Y386" s="549">
        <f>IFERROR(Y383/H383,"0")+IFERROR(Y384/H384,"0")+IFERROR(Y385/H385,"0")</f>
        <v>51</v>
      </c>
      <c r="Z386" s="549">
        <f>IFERROR(IF(Z383="",0,Z383),"0")+IFERROR(IF(Z384="",0,Z384),"0")+IFERROR(IF(Z385="",0,Z385),"0")</f>
        <v>0.95551000000000008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446</v>
      </c>
      <c r="Y387" s="549">
        <f>IFERROR(SUM(Y383:Y385),"0")</f>
        <v>452.4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120</v>
      </c>
      <c r="Y427" s="548">
        <f t="shared" ref="Y427:Y438" si="47">IFERROR(IF(X427="",0,CEILING((X427/$H427),1)*$H427),"")</f>
        <v>121.44000000000001</v>
      </c>
      <c r="Z427" s="36">
        <f t="shared" ref="Z427:Z433" si="48">IFERROR(IF(Y427=0,"",ROUNDUP(Y427/H427,0)*0.01196),"")</f>
        <v>0.27507999999999999</v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127.95454545454545</v>
      </c>
      <c r="BN427" s="64">
        <f t="shared" ref="BN427:BN438" si="50">IFERROR(Y427*I427/H427,"0")</f>
        <v>129.49</v>
      </c>
      <c r="BO427" s="64">
        <f t="shared" ref="BO427:BO438" si="51">IFERROR(1/J427*(X427/H427),"0")</f>
        <v>0.21853146853146854</v>
      </c>
      <c r="BP427" s="64">
        <f t="shared" ref="BP427:BP438" si="52">IFERROR(1/J427*(Y427/H427),"0")</f>
        <v>0.22115384615384617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4301012145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124</v>
      </c>
      <c r="Y430" s="548">
        <f t="shared" si="47"/>
        <v>126.72</v>
      </c>
      <c r="Z430" s="36">
        <f t="shared" si="48"/>
        <v>0.28704000000000002</v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132.21969696969697</v>
      </c>
      <c r="BN430" s="64">
        <f t="shared" si="50"/>
        <v>135.11999999999998</v>
      </c>
      <c r="BO430" s="64">
        <f t="shared" si="51"/>
        <v>0.22581585081585082</v>
      </c>
      <c r="BP430" s="64">
        <f t="shared" si="52"/>
        <v>0.23076923076923078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444</v>
      </c>
      <c r="Y431" s="548">
        <f t="shared" si="47"/>
        <v>448.8</v>
      </c>
      <c r="Z431" s="36">
        <f t="shared" si="48"/>
        <v>1.0165999999999999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473.43181818181813</v>
      </c>
      <c r="BN431" s="64">
        <f t="shared" si="50"/>
        <v>478.55</v>
      </c>
      <c r="BO431" s="64">
        <f t="shared" si="51"/>
        <v>0.80856643356643365</v>
      </c>
      <c r="BP431" s="64">
        <f t="shared" si="52"/>
        <v>0.8173076923076924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738</v>
      </c>
      <c r="Y433" s="548">
        <f t="shared" si="47"/>
        <v>739.2</v>
      </c>
      <c r="Z433" s="36">
        <f t="shared" si="48"/>
        <v>1.6744000000000001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786.92045454545439</v>
      </c>
      <c r="BN433" s="64">
        <f t="shared" si="50"/>
        <v>788.19999999999993</v>
      </c>
      <c r="BO433" s="64">
        <f t="shared" si="51"/>
        <v>1.3439685314685312</v>
      </c>
      <c r="BP433" s="64">
        <f t="shared" si="52"/>
        <v>1.3461538461538463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14</v>
      </c>
      <c r="Y435" s="548">
        <f t="shared" si="47"/>
        <v>14.399999999999999</v>
      </c>
      <c r="Z435" s="36">
        <f>IFERROR(IF(Y435=0,"",ROUNDUP(Y435/H435,0)*0.00902),"")</f>
        <v>2.7060000000000001E-2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20.154166666666669</v>
      </c>
      <c r="BN435" s="64">
        <f t="shared" si="50"/>
        <v>20.73</v>
      </c>
      <c r="BO435" s="64">
        <f t="shared" si="51"/>
        <v>2.2095959595959599E-2</v>
      </c>
      <c r="BP435" s="64">
        <f t="shared" si="52"/>
        <v>2.2727272727272728E-2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272.99242424242425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275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3.2801800000000001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1440</v>
      </c>
      <c r="Y440" s="549">
        <f>IFERROR(SUM(Y427:Y438),"0")</f>
        <v>1450.5600000000002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550</v>
      </c>
      <c r="Y442" s="548">
        <f>IFERROR(IF(X442="",0,CEILING((X442/$H442),1)*$H442),"")</f>
        <v>554.4</v>
      </c>
      <c r="Z442" s="36">
        <f>IFERROR(IF(Y442=0,"",ROUNDUP(Y442/H442,0)*0.01196),"")</f>
        <v>1.2558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586.45833333333326</v>
      </c>
      <c r="BN442" s="64">
        <f>IFERROR(Y442*I442/H442,"0")</f>
        <v>591.15</v>
      </c>
      <c r="BO442" s="64">
        <f>IFERROR(1/J442*(X442/H442),"0")</f>
        <v>1.0016025641025641</v>
      </c>
      <c r="BP442" s="64">
        <f>IFERROR(1/J442*(Y442/H442),"0")</f>
        <v>1.0096153846153846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138</v>
      </c>
      <c r="Y444" s="548">
        <f>IFERROR(IF(X444="",0,CEILING((X444/$H444),1)*$H444),"")</f>
        <v>139.19999999999999</v>
      </c>
      <c r="Z444" s="36">
        <f>IFERROR(IF(Y444=0,"",ROUNDUP(Y444/H444,0)*0.00902),"")</f>
        <v>0.26158000000000003</v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198.66250000000002</v>
      </c>
      <c r="BN444" s="64">
        <f>IFERROR(Y444*I444/H444,"0")</f>
        <v>200.39</v>
      </c>
      <c r="BO444" s="64">
        <f>IFERROR(1/J444*(X444/H444),"0")</f>
        <v>0.2178030303030303</v>
      </c>
      <c r="BP444" s="64">
        <f>IFERROR(1/J444*(Y444/H444),"0")</f>
        <v>0.2196969696969697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132.91666666666666</v>
      </c>
      <c r="Y445" s="549">
        <f>IFERROR(Y442/H442,"0")+IFERROR(Y443/H443,"0")+IFERROR(Y444/H444,"0")</f>
        <v>134</v>
      </c>
      <c r="Z445" s="549">
        <f>IFERROR(IF(Z442="",0,Z442),"0")+IFERROR(IF(Z443="",0,Z443),"0")+IFERROR(IF(Z444="",0,Z444),"0")</f>
        <v>1.5173800000000002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688</v>
      </c>
      <c r="Y446" s="549">
        <f>IFERROR(SUM(Y442:Y444),"0")</f>
        <v>693.59999999999991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201</v>
      </c>
      <c r="Y448" s="548">
        <f t="shared" ref="Y448:Y453" si="53">IFERROR(IF(X448="",0,CEILING((X448/$H448),1)*$H448),"")</f>
        <v>205.92000000000002</v>
      </c>
      <c r="Z448" s="36">
        <f>IFERROR(IF(Y448=0,"",ROUNDUP(Y448/H448,0)*0.01196),"")</f>
        <v>0.46644000000000002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214.3238636363636</v>
      </c>
      <c r="BN448" s="64">
        <f t="shared" ref="BN448:BN453" si="55">IFERROR(Y448*I448/H448,"0")</f>
        <v>219.57</v>
      </c>
      <c r="BO448" s="64">
        <f t="shared" ref="BO448:BO453" si="56">IFERROR(1/J448*(X448/H448),"0")</f>
        <v>0.36604020979020974</v>
      </c>
      <c r="BP448" s="64">
        <f t="shared" ref="BP448:BP453" si="57">IFERROR(1/J448*(Y448/H448),"0")</f>
        <v>0.375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144</v>
      </c>
      <c r="Y449" s="548">
        <f t="shared" si="53"/>
        <v>147.84</v>
      </c>
      <c r="Z449" s="36">
        <f>IFERROR(IF(Y449=0,"",ROUNDUP(Y449/H449,0)*0.01196),"")</f>
        <v>0.33488000000000001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153.54545454545453</v>
      </c>
      <c r="BN449" s="64">
        <f t="shared" si="55"/>
        <v>157.63999999999999</v>
      </c>
      <c r="BO449" s="64">
        <f t="shared" si="56"/>
        <v>0.26223776223776224</v>
      </c>
      <c r="BP449" s="64">
        <f t="shared" si="57"/>
        <v>0.26923076923076927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287</v>
      </c>
      <c r="Y450" s="548">
        <f t="shared" si="53"/>
        <v>290.40000000000003</v>
      </c>
      <c r="Z450" s="36">
        <f>IFERROR(IF(Y450=0,"",ROUNDUP(Y450/H450,0)*0.01196),"")</f>
        <v>0.65780000000000005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306.02462121212119</v>
      </c>
      <c r="BN450" s="64">
        <f t="shared" si="55"/>
        <v>309.65000000000003</v>
      </c>
      <c r="BO450" s="64">
        <f t="shared" si="56"/>
        <v>0.52265442890442892</v>
      </c>
      <c r="BP450" s="64">
        <f t="shared" si="57"/>
        <v>0.52884615384615397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119.69696969696969</v>
      </c>
      <c r="Y454" s="549">
        <f>IFERROR(Y448/H448,"0")+IFERROR(Y449/H449,"0")+IFERROR(Y450/H450,"0")+IFERROR(Y451/H451,"0")+IFERROR(Y452/H452,"0")+IFERROR(Y453/H453,"0")</f>
        <v>122</v>
      </c>
      <c r="Z454" s="549">
        <f>IFERROR(IF(Z448="",0,Z448),"0")+IFERROR(IF(Z449="",0,Z449),"0")+IFERROR(IF(Z450="",0,Z450),"0")+IFERROR(IF(Z451="",0,Z451),"0")+IFERROR(IF(Z452="",0,Z452),"0")+IFERROR(IF(Z453="",0,Z453),"0")</f>
        <v>1.45912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632</v>
      </c>
      <c r="Y455" s="549">
        <f>IFERROR(SUM(Y448:Y453),"0")</f>
        <v>644.16000000000008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15433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15652.520000000002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16294.538655269476</v>
      </c>
      <c r="Y493" s="549">
        <f>IFERROR(SUM(BN22:BN489),"0")</f>
        <v>16526.284000000003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26</v>
      </c>
      <c r="Y494" s="38">
        <f>ROUNDUP(SUM(BP22:BP489),0)</f>
        <v>27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16944.538655269476</v>
      </c>
      <c r="Y495" s="549">
        <f>GrossWeightTotalR+PalletQtyTotalR*25</f>
        <v>17201.284000000003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2721.0141671988185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2757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30.85466000000001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192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1059.8000000000002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1223.3999999999999</v>
      </c>
      <c r="E502" s="46">
        <f>IFERROR(Y85*1,"0")+IFERROR(Y86*1,"0")+IFERROR(Y87*1,"0")+IFERROR(Y88*1,"0")+IFERROR(Y92*1,"0")+IFERROR(Y93*1,"0")+IFERROR(Y94*1,"0")+IFERROR(Y95*1,"0")</f>
        <v>843.3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1781.4000000000003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438.6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1853.1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45.15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381.6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228.45000000000002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4533</v>
      </c>
      <c r="T502" s="46">
        <f>IFERROR(Y373*1,"0")+IFERROR(Y374*1,"0")+IFERROR(Y378*1,"0")+IFERROR(Y379*1,"0")+IFERROR(Y383*1,"0")+IFERROR(Y384*1,"0")+IFERROR(Y385*1,"0")</f>
        <v>476.4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2788.32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24,00"/>
        <filter val="1 048,00"/>
        <filter val="1 076,00"/>
        <filter val="1 309,00"/>
        <filter val="1 440,00"/>
        <filter val="1,00"/>
        <filter val="1,75"/>
        <filter val="1,78"/>
        <filter val="10,00"/>
        <filter val="107,33"/>
        <filter val="111,57"/>
        <filter val="119,70"/>
        <filter val="12,00"/>
        <filter val="120,00"/>
        <filter val="124,00"/>
        <filter val="128,00"/>
        <filter val="129,55"/>
        <filter val="13,94"/>
        <filter val="132,92"/>
        <filter val="137,00"/>
        <filter val="138,00"/>
        <filter val="14,00"/>
        <filter val="142,00"/>
        <filter val="144,00"/>
        <filter val="15 433,00"/>
        <filter val="157,50"/>
        <filter val="16 294,54"/>
        <filter val="16 944,54"/>
        <filter val="16,00"/>
        <filter val="167,00"/>
        <filter val="17,43"/>
        <filter val="183,00"/>
        <filter val="184,00"/>
        <filter val="186,30"/>
        <filter val="186,43"/>
        <filter val="189,01"/>
        <filter val="19,00"/>
        <filter val="2 721,01"/>
        <filter val="2,00"/>
        <filter val="2,50"/>
        <filter val="2,76"/>
        <filter val="201,00"/>
        <filter val="209,00"/>
        <filter val="21,00"/>
        <filter val="21,57"/>
        <filter val="210,33"/>
        <filter val="237,00"/>
        <filter val="238,00"/>
        <filter val="24,00"/>
        <filter val="248,00"/>
        <filter val="250,00"/>
        <filter val="252,00"/>
        <filter val="26"/>
        <filter val="261,00"/>
        <filter val="265,00"/>
        <filter val="271,00"/>
        <filter val="272,99"/>
        <filter val="287,00"/>
        <filter val="3 155,00"/>
        <filter val="3,00"/>
        <filter val="30,00"/>
        <filter val="302,00"/>
        <filter val="31,00"/>
        <filter val="31,67"/>
        <filter val="32,00"/>
        <filter val="33,52"/>
        <filter val="332,00"/>
        <filter val="362,00"/>
        <filter val="366,00"/>
        <filter val="378,00"/>
        <filter val="379,00"/>
        <filter val="39,00"/>
        <filter val="4,00"/>
        <filter val="4,44"/>
        <filter val="4,76"/>
        <filter val="402,88"/>
        <filter val="416,00"/>
        <filter val="420,00"/>
        <filter val="444,00"/>
        <filter val="446,00"/>
        <filter val="469,00"/>
        <filter val="47,00"/>
        <filter val="5,00"/>
        <filter val="50,17"/>
        <filter val="51,00"/>
        <filter val="53,00"/>
        <filter val="55,00"/>
        <filter val="550,00"/>
        <filter val="56,91"/>
        <filter val="564,00"/>
        <filter val="569,00"/>
        <filter val="57,00"/>
        <filter val="570,00"/>
        <filter val="6,00"/>
        <filter val="62,00"/>
        <filter val="632,00"/>
        <filter val="66,00"/>
        <filter val="68,00"/>
        <filter val="688,00"/>
        <filter val="691,00"/>
        <filter val="7,00"/>
        <filter val="7,37"/>
        <filter val="70,00"/>
        <filter val="709,00"/>
        <filter val="726,00"/>
        <filter val="738,00"/>
        <filter val="76,00"/>
        <filter val="772,00"/>
        <filter val="8,00"/>
        <filter val="812,00"/>
        <filter val="82,96"/>
        <filter val="83,63"/>
        <filter val="85,00"/>
        <filter val="865,00"/>
        <filter val="87,27"/>
        <filter val="9,00"/>
        <filter val="9,52"/>
        <filter val="901,00"/>
        <filter val="98,0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