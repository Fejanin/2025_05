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F112BD-77D8-4207-8CD9-C1B972580A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BP483" i="1" s="1"/>
  <c r="P483" i="1"/>
  <c r="X481" i="1"/>
  <c r="X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BP453" i="1" s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BP403" i="1" s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X370" i="1"/>
  <c r="X369" i="1"/>
  <c r="BO368" i="1"/>
  <c r="BM368" i="1"/>
  <c r="Y368" i="1"/>
  <c r="Y370" i="1" s="1"/>
  <c r="P368" i="1"/>
  <c r="X366" i="1"/>
  <c r="X365" i="1"/>
  <c r="BO364" i="1"/>
  <c r="BM364" i="1"/>
  <c r="Y364" i="1"/>
  <c r="BP364" i="1" s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BP304" i="1" s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Z203" i="1" s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Z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2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304" i="1" l="1"/>
  <c r="BN304" i="1"/>
  <c r="Z109" i="1"/>
  <c r="BN109" i="1"/>
  <c r="Z176" i="1"/>
  <c r="BN176" i="1"/>
  <c r="Z437" i="1"/>
  <c r="BN437" i="1"/>
  <c r="Z30" i="1"/>
  <c r="BN30" i="1"/>
  <c r="Z233" i="1"/>
  <c r="BN233" i="1"/>
  <c r="Z364" i="1"/>
  <c r="BN364" i="1"/>
  <c r="Z368" i="1"/>
  <c r="Z369" i="1" s="1"/>
  <c r="BN368" i="1"/>
  <c r="BP368" i="1"/>
  <c r="Y369" i="1"/>
  <c r="Z373" i="1"/>
  <c r="BN373" i="1"/>
  <c r="Z75" i="1"/>
  <c r="BN75" i="1"/>
  <c r="Z208" i="1"/>
  <c r="BN208" i="1"/>
  <c r="Z271" i="1"/>
  <c r="BN271" i="1"/>
  <c r="Z328" i="1"/>
  <c r="BN328" i="1"/>
  <c r="Z403" i="1"/>
  <c r="BN403" i="1"/>
  <c r="Z475" i="1"/>
  <c r="Z476" i="1" s="1"/>
  <c r="BN475" i="1"/>
  <c r="BP475" i="1"/>
  <c r="Y476" i="1"/>
  <c r="Z479" i="1"/>
  <c r="Z480" i="1" s="1"/>
  <c r="BN479" i="1"/>
  <c r="BP479" i="1"/>
  <c r="Y480" i="1"/>
  <c r="Z483" i="1"/>
  <c r="BN483" i="1"/>
  <c r="Z63" i="1"/>
  <c r="BN63" i="1"/>
  <c r="Z92" i="1"/>
  <c r="BN92" i="1"/>
  <c r="Z128" i="1"/>
  <c r="BN128" i="1"/>
  <c r="Z132" i="1"/>
  <c r="BN132" i="1"/>
  <c r="Z168" i="1"/>
  <c r="BN168" i="1"/>
  <c r="Z188" i="1"/>
  <c r="Z189" i="1" s="1"/>
  <c r="BN188" i="1"/>
  <c r="BP188" i="1"/>
  <c r="Y189" i="1"/>
  <c r="Z193" i="1"/>
  <c r="BN193" i="1"/>
  <c r="Z218" i="1"/>
  <c r="BN218" i="1"/>
  <c r="Z253" i="1"/>
  <c r="BN253" i="1"/>
  <c r="Z285" i="1"/>
  <c r="BN285" i="1"/>
  <c r="Z316" i="1"/>
  <c r="BN316" i="1"/>
  <c r="Z350" i="1"/>
  <c r="BN350" i="1"/>
  <c r="Z393" i="1"/>
  <c r="BN393" i="1"/>
  <c r="Z429" i="1"/>
  <c r="BN429" i="1"/>
  <c r="Z453" i="1"/>
  <c r="BN453" i="1"/>
  <c r="BP101" i="1"/>
  <c r="BN101" i="1"/>
  <c r="Z101" i="1"/>
  <c r="BP143" i="1"/>
  <c r="BN143" i="1"/>
  <c r="Z143" i="1"/>
  <c r="BP149" i="1"/>
  <c r="BN149" i="1"/>
  <c r="Z149" i="1"/>
  <c r="BP172" i="1"/>
  <c r="BN172" i="1"/>
  <c r="Z172" i="1"/>
  <c r="BP204" i="1"/>
  <c r="BN204" i="1"/>
  <c r="Z204" i="1"/>
  <c r="BP222" i="1"/>
  <c r="BN222" i="1"/>
  <c r="Z222" i="1"/>
  <c r="BP262" i="1"/>
  <c r="BN262" i="1"/>
  <c r="Z262" i="1"/>
  <c r="BP298" i="1"/>
  <c r="BN298" i="1"/>
  <c r="Z298" i="1"/>
  <c r="BP322" i="1"/>
  <c r="BN322" i="1"/>
  <c r="Z322" i="1"/>
  <c r="BP354" i="1"/>
  <c r="BN354" i="1"/>
  <c r="Z354" i="1"/>
  <c r="BP397" i="1"/>
  <c r="BN397" i="1"/>
  <c r="Z397" i="1"/>
  <c r="BP433" i="1"/>
  <c r="BN433" i="1"/>
  <c r="Z433" i="1"/>
  <c r="BP465" i="1"/>
  <c r="BN465" i="1"/>
  <c r="Z465" i="1"/>
  <c r="Z22" i="1"/>
  <c r="BN22" i="1"/>
  <c r="Y25" i="1"/>
  <c r="Y33" i="1"/>
  <c r="Z53" i="1"/>
  <c r="BN53" i="1"/>
  <c r="BP57" i="1"/>
  <c r="BN57" i="1"/>
  <c r="Z57" i="1"/>
  <c r="BP86" i="1"/>
  <c r="BN86" i="1"/>
  <c r="Z86" i="1"/>
  <c r="BP115" i="1"/>
  <c r="BN115" i="1"/>
  <c r="Z115" i="1"/>
  <c r="BP148" i="1"/>
  <c r="BN148" i="1"/>
  <c r="Z148" i="1"/>
  <c r="BP150" i="1"/>
  <c r="BN150" i="1"/>
  <c r="Z150" i="1"/>
  <c r="BP182" i="1"/>
  <c r="BN182" i="1"/>
  <c r="Z182" i="1"/>
  <c r="BP214" i="1"/>
  <c r="BN214" i="1"/>
  <c r="Z214" i="1"/>
  <c r="BP237" i="1"/>
  <c r="BN237" i="1"/>
  <c r="Z237" i="1"/>
  <c r="BP278" i="1"/>
  <c r="BN278" i="1"/>
  <c r="Z278" i="1"/>
  <c r="BP308" i="1"/>
  <c r="BN308" i="1"/>
  <c r="Z308" i="1"/>
  <c r="BP341" i="1"/>
  <c r="BN341" i="1"/>
  <c r="Z341" i="1"/>
  <c r="BP383" i="1"/>
  <c r="BN383" i="1"/>
  <c r="Z383" i="1"/>
  <c r="BP416" i="1"/>
  <c r="BN416" i="1"/>
  <c r="Z416" i="1"/>
  <c r="BP449" i="1"/>
  <c r="BN449" i="1"/>
  <c r="Z449" i="1"/>
  <c r="Y120" i="1"/>
  <c r="Y185" i="1"/>
  <c r="Y281" i="1"/>
  <c r="BP88" i="1"/>
  <c r="BN88" i="1"/>
  <c r="Z88" i="1"/>
  <c r="BP103" i="1"/>
  <c r="BN103" i="1"/>
  <c r="Z103" i="1"/>
  <c r="BP117" i="1"/>
  <c r="BN117" i="1"/>
  <c r="Z117" i="1"/>
  <c r="BP152" i="1"/>
  <c r="BN152" i="1"/>
  <c r="Z152" i="1"/>
  <c r="BP174" i="1"/>
  <c r="BN174" i="1"/>
  <c r="Z174" i="1"/>
  <c r="BP184" i="1"/>
  <c r="BN184" i="1"/>
  <c r="Z184" i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0" i="1"/>
  <c r="BN280" i="1"/>
  <c r="Z280" i="1"/>
  <c r="X496" i="1"/>
  <c r="Z28" i="1"/>
  <c r="BN28" i="1"/>
  <c r="Z42" i="1"/>
  <c r="BN42" i="1"/>
  <c r="Z55" i="1"/>
  <c r="BN55" i="1"/>
  <c r="Z61" i="1"/>
  <c r="BN61" i="1"/>
  <c r="Y64" i="1"/>
  <c r="Z67" i="1"/>
  <c r="BN67" i="1"/>
  <c r="BP67" i="1"/>
  <c r="BP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70" i="1"/>
  <c r="BN170" i="1"/>
  <c r="Z170" i="1"/>
  <c r="BP178" i="1"/>
  <c r="BN178" i="1"/>
  <c r="Z178" i="1"/>
  <c r="BP199" i="1"/>
  <c r="BN199" i="1"/>
  <c r="Z199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96" i="1"/>
  <c r="H502" i="1"/>
  <c r="Y154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Q502" i="1"/>
  <c r="Y323" i="1"/>
  <c r="Y387" i="1"/>
  <c r="Y386" i="1"/>
  <c r="Y485" i="1"/>
  <c r="H9" i="1"/>
  <c r="A10" i="1"/>
  <c r="B502" i="1"/>
  <c r="X493" i="1"/>
  <c r="X494" i="1"/>
  <c r="Z23" i="1"/>
  <c r="Z24" i="1" s="1"/>
  <c r="BN23" i="1"/>
  <c r="BP23" i="1"/>
  <c r="Y24" i="1"/>
  <c r="X492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D502" i="1"/>
  <c r="Y59" i="1"/>
  <c r="BP52" i="1"/>
  <c r="BN52" i="1"/>
  <c r="Z52" i="1"/>
  <c r="BP56" i="1"/>
  <c r="BN56" i="1"/>
  <c r="Z56" i="1"/>
  <c r="Y65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2" i="1"/>
  <c r="Y130" i="1"/>
  <c r="BP127" i="1"/>
  <c r="BN127" i="1"/>
  <c r="Z127" i="1"/>
  <c r="Y134" i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1" i="1"/>
  <c r="BP198" i="1"/>
  <c r="BN198" i="1"/>
  <c r="Z198" i="1"/>
  <c r="F9" i="1"/>
  <c r="J9" i="1"/>
  <c r="Y45" i="1"/>
  <c r="Y48" i="1"/>
  <c r="BP47" i="1"/>
  <c r="BN47" i="1"/>
  <c r="BP54" i="1"/>
  <c r="BN54" i="1"/>
  <c r="Z54" i="1"/>
  <c r="Y58" i="1"/>
  <c r="BP62" i="1"/>
  <c r="BN62" i="1"/>
  <c r="Z62" i="1"/>
  <c r="BP74" i="1"/>
  <c r="BN74" i="1"/>
  <c r="Z74" i="1"/>
  <c r="BP87" i="1"/>
  <c r="BN87" i="1"/>
  <c r="Z87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Y267" i="1"/>
  <c r="BP265" i="1"/>
  <c r="BN265" i="1"/>
  <c r="Z265" i="1"/>
  <c r="Y145" i="1"/>
  <c r="J502" i="1"/>
  <c r="Y195" i="1"/>
  <c r="Y212" i="1"/>
  <c r="BP203" i="1"/>
  <c r="BN203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Y380" i="1"/>
  <c r="M502" i="1"/>
  <c r="Y275" i="1"/>
  <c r="BP270" i="1"/>
  <c r="BN270" i="1"/>
  <c r="Z270" i="1"/>
  <c r="Y274" i="1"/>
  <c r="BP279" i="1"/>
  <c r="BN279" i="1"/>
  <c r="Z279" i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BP329" i="1"/>
  <c r="BN329" i="1"/>
  <c r="Z329" i="1"/>
  <c r="Y331" i="1"/>
  <c r="Y336" i="1"/>
  <c r="BP333" i="1"/>
  <c r="BN333" i="1"/>
  <c r="Z333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502" i="1"/>
  <c r="Y282" i="1"/>
  <c r="P502" i="1"/>
  <c r="Y287" i="1"/>
  <c r="S502" i="1"/>
  <c r="BP351" i="1"/>
  <c r="BN351" i="1"/>
  <c r="Z351" i="1"/>
  <c r="BP359" i="1"/>
  <c r="BN359" i="1"/>
  <c r="Z359" i="1"/>
  <c r="Y361" i="1"/>
  <c r="Y366" i="1"/>
  <c r="BP363" i="1"/>
  <c r="BN363" i="1"/>
  <c r="Z363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85" i="1" l="1"/>
  <c r="Z472" i="1"/>
  <c r="Z365" i="1"/>
  <c r="Z405" i="1"/>
  <c r="Z467" i="1"/>
  <c r="Z360" i="1"/>
  <c r="Z185" i="1"/>
  <c r="Z380" i="1"/>
  <c r="Z292" i="1"/>
  <c r="Z119" i="1"/>
  <c r="Z200" i="1"/>
  <c r="Z129" i="1"/>
  <c r="Z81" i="1"/>
  <c r="Z301" i="1"/>
  <c r="Z281" i="1"/>
  <c r="Z355" i="1"/>
  <c r="Z274" i="1"/>
  <c r="Z211" i="1"/>
  <c r="Z64" i="1"/>
  <c r="Z439" i="1"/>
  <c r="Z343" i="1"/>
  <c r="Z310" i="1"/>
  <c r="Z223" i="1"/>
  <c r="Y494" i="1"/>
  <c r="Z400" i="1"/>
  <c r="Z336" i="1"/>
  <c r="Z323" i="1"/>
  <c r="Z139" i="1"/>
  <c r="Z96" i="1"/>
  <c r="Z76" i="1"/>
  <c r="Y492" i="1"/>
  <c r="Z58" i="1"/>
  <c r="Y493" i="1"/>
  <c r="X495" i="1"/>
  <c r="Z257" i="1"/>
  <c r="Z179" i="1"/>
  <c r="Z154" i="1"/>
  <c r="Z89" i="1"/>
  <c r="Z454" i="1"/>
  <c r="Z417" i="1"/>
  <c r="Z330" i="1"/>
  <c r="Z266" i="1"/>
  <c r="Z241" i="1"/>
  <c r="Z112" i="1"/>
  <c r="Z105" i="1"/>
  <c r="Z44" i="1"/>
  <c r="Z32" i="1"/>
  <c r="Y496" i="1"/>
  <c r="Y495" i="1" l="1"/>
  <c r="Z497" i="1"/>
</calcChain>
</file>

<file path=xl/sharedStrings.xml><?xml version="1.0" encoding="utf-8"?>
<sst xmlns="http://schemas.openxmlformats.org/spreadsheetml/2006/main" count="2300" uniqueCount="775">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</sst>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46013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0.375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250</v>
      </c>
      <c r="Y41" s="548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4">
        <v>4607091385687</v>
      </c>
      <c r="E43" s="555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560</v>
      </c>
      <c r="Y43" s="548">
        <f>IFERROR(IF(X43="",0,CEILING((X43/$H43),1)*$H43),"")</f>
        <v>560</v>
      </c>
      <c r="Z43" s="36">
        <f>IFERROR(IF(Y43=0,"",ROUNDUP(Y43/H43,0)*0.00902),"")</f>
        <v>1.2627999999999999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586.6</v>
      </c>
      <c r="BN43" s="64">
        <f>IFERROR(Y43*I43/H43,"0")</f>
        <v>586.6</v>
      </c>
      <c r="BO43" s="64">
        <f>IFERROR(1/J43*(X43/H43),"0")</f>
        <v>1.0606060606060606</v>
      </c>
      <c r="BP43" s="64">
        <f>IFERROR(1/J43*(Y43/H43),"0")</f>
        <v>1.0606060606060606</v>
      </c>
    </row>
    <row r="44" spans="1:68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163.14814814814815</v>
      </c>
      <c r="Y44" s="549">
        <f>IFERROR(Y41/H41,"0")+IFERROR(Y42/H42,"0")+IFERROR(Y43/H43,"0")</f>
        <v>164</v>
      </c>
      <c r="Z44" s="549">
        <f>IFERROR(IF(Z41="",0,Z41),"0")+IFERROR(IF(Z42="",0,Z42),"0")+IFERROR(IF(Z43="",0,Z43),"0")</f>
        <v>1.7183199999999998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810</v>
      </c>
      <c r="Y45" s="549">
        <f>IFERROR(SUM(Y41:Y43),"0")</f>
        <v>819.2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300</v>
      </c>
      <c r="Y53" s="548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540</v>
      </c>
      <c r="Y57" s="548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147.77777777777777</v>
      </c>
      <c r="Y58" s="549">
        <f>IFERROR(Y52/H52,"0")+IFERROR(Y53/H53,"0")+IFERROR(Y54/H54,"0")+IFERROR(Y55/H55,"0")+IFERROR(Y56/H56,"0")+IFERROR(Y57/H57,"0")</f>
        <v>148</v>
      </c>
      <c r="Z58" s="549">
        <f>IFERROR(IF(Z52="",0,Z52),"0")+IFERROR(IF(Z53="",0,Z53),"0")+IFERROR(IF(Z54="",0,Z54),"0")+IFERROR(IF(Z55="",0,Z55),"0")+IFERROR(IF(Z56="",0,Z56),"0")+IFERROR(IF(Z57="",0,Z57),"0")</f>
        <v>1.6138400000000002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840</v>
      </c>
      <c r="Y59" s="549">
        <f>IFERROR(SUM(Y52:Y57),"0")</f>
        <v>842.40000000000009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200</v>
      </c>
      <c r="Y61" s="548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180</v>
      </c>
      <c r="Y63" s="548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85.185185185185176</v>
      </c>
      <c r="Y64" s="549">
        <f>IFERROR(Y61/H61,"0")+IFERROR(Y62/H62,"0")+IFERROR(Y63/H63,"0")</f>
        <v>86</v>
      </c>
      <c r="Z64" s="549">
        <f>IFERROR(IF(Z61="",0,Z61),"0")+IFERROR(IF(Z62="",0,Z62),"0")+IFERROR(IF(Z63="",0,Z63),"0")</f>
        <v>0.79679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380</v>
      </c>
      <c r="Y65" s="549">
        <f>IFERROR(SUM(Y61:Y63),"0")</f>
        <v>386.1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100</v>
      </c>
      <c r="Y79" s="548">
        <f>IFERROR(IF(X79="",0,CEILING((X79/$H79),1)*$H79),"")</f>
        <v>101.39999999999999</v>
      </c>
      <c r="Z79" s="36">
        <f>IFERROR(IF(Y79=0,"",ROUNDUP(Y79/H79,0)*0.01898),"")</f>
        <v>0.24674000000000001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105.25641025641028</v>
      </c>
      <c r="BN79" s="64">
        <f>IFERROR(Y79*I79/H79,"0")</f>
        <v>106.73</v>
      </c>
      <c r="BO79" s="64">
        <f>IFERROR(1/J79*(X79/H79),"0")</f>
        <v>0.20032051282051283</v>
      </c>
      <c r="BP79" s="64">
        <f>IFERROR(1/J79*(Y79/H79),"0")</f>
        <v>0.203125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12.820512820512821</v>
      </c>
      <c r="Y81" s="549">
        <f>IFERROR(Y79/H79,"0")+IFERROR(Y80/H80,"0")</f>
        <v>13</v>
      </c>
      <c r="Z81" s="549">
        <f>IFERROR(IF(Z79="",0,Z79),"0")+IFERROR(IF(Z80="",0,Z80),"0")</f>
        <v>0.24674000000000001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100</v>
      </c>
      <c r="Y82" s="549">
        <f>IFERROR(SUM(Y79:Y80),"0")</f>
        <v>101.39999999999999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200</v>
      </c>
      <c r="Y85" s="548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675</v>
      </c>
      <c r="Y88" s="548">
        <f>IFERROR(IF(X88="",0,CEILING((X88/$H88),1)*$H88),"")</f>
        <v>675</v>
      </c>
      <c r="Z88" s="36">
        <f>IFERROR(IF(Y88=0,"",ROUNDUP(Y88/H88,0)*0.00902),"")</f>
        <v>1.353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703.50000000000011</v>
      </c>
      <c r="BN88" s="64">
        <f>IFERROR(Y88*I88/H88,"0")</f>
        <v>703.50000000000011</v>
      </c>
      <c r="BO88" s="64">
        <f>IFERROR(1/J88*(X88/H88),"0")</f>
        <v>1.1363636363636365</v>
      </c>
      <c r="BP88" s="64">
        <f>IFERROR(1/J88*(Y88/H88),"0")</f>
        <v>1.1363636363636365</v>
      </c>
    </row>
    <row r="89" spans="1:68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168.51851851851853</v>
      </c>
      <c r="Y89" s="549">
        <f>IFERROR(Y85/H85,"0")+IFERROR(Y86/H86,"0")+IFERROR(Y87/H87,"0")+IFERROR(Y88/H88,"0")</f>
        <v>169</v>
      </c>
      <c r="Z89" s="549">
        <f>IFERROR(IF(Z85="",0,Z85),"0")+IFERROR(IF(Z86="",0,Z86),"0")+IFERROR(IF(Z87="",0,Z87),"0")+IFERROR(IF(Z88="",0,Z88),"0")</f>
        <v>1.7136199999999999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875</v>
      </c>
      <c r="Y90" s="549">
        <f>IFERROR(SUM(Y85:Y88),"0")</f>
        <v>880.2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100</v>
      </c>
      <c r="Y92" s="548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180</v>
      </c>
      <c r="Y94" s="548">
        <f>IFERROR(IF(X94="",0,CEILING((X94/$H94),1)*$H94),"")</f>
        <v>180.9</v>
      </c>
      <c r="Z94" s="36">
        <f>IFERROR(IF(Y94=0,"",ROUNDUP(Y94/H94,0)*0.00651),"")</f>
        <v>0.43617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196.79999999999998</v>
      </c>
      <c r="BN94" s="64">
        <f>IFERROR(Y94*I94/H94,"0")</f>
        <v>197.78399999999999</v>
      </c>
      <c r="BO94" s="64">
        <f>IFERROR(1/J94*(X94/H94),"0")</f>
        <v>0.36630036630036628</v>
      </c>
      <c r="BP94" s="64">
        <f>IFERROR(1/J94*(Y94/H94),"0")</f>
        <v>0.36813186813186816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79.012345679012341</v>
      </c>
      <c r="Y96" s="549">
        <f>IFERROR(Y92/H92,"0")+IFERROR(Y93/H93,"0")+IFERROR(Y94/H94,"0")+IFERROR(Y95/H95,"0")</f>
        <v>80</v>
      </c>
      <c r="Z96" s="549">
        <f>IFERROR(IF(Z92="",0,Z92),"0")+IFERROR(IF(Z93="",0,Z93),"0")+IFERROR(IF(Z94="",0,Z94),"0")+IFERROR(IF(Z95="",0,Z95),"0")</f>
        <v>0.68291000000000002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280</v>
      </c>
      <c r="Y97" s="549">
        <f>IFERROR(SUM(Y92:Y95),"0")</f>
        <v>286.2</v>
      </c>
      <c r="Z97" s="37"/>
      <c r="AA97" s="550"/>
      <c r="AB97" s="550"/>
      <c r="AC97" s="550"/>
    </row>
    <row r="98" spans="1:68" ht="16.5" hidden="1" customHeight="1" x14ac:dyDescent="0.25">
      <c r="A98" s="556" t="s">
        <v>192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50</v>
      </c>
      <c r="Y100" s="548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16.5</v>
      </c>
      <c r="Y101" s="548">
        <f>IFERROR(IF(X101="",0,CEILING((X101/$H101),1)*$H101),"")</f>
        <v>16.5</v>
      </c>
      <c r="Z101" s="36">
        <f>IFERROR(IF(Y101=0,"",ROUNDUP(Y101/H101,0)*0.00726),"")</f>
        <v>0.1089</v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19.649999999999999</v>
      </c>
      <c r="BN101" s="64">
        <f>IFERROR(Y101*I101/H101,"0")</f>
        <v>19.649999999999999</v>
      </c>
      <c r="BO101" s="64">
        <f>IFERROR(1/J101*(X101/H101),"0")</f>
        <v>7.8124999999999986E-2</v>
      </c>
      <c r="BP101" s="64">
        <f>IFERROR(1/J101*(Y101/H101),"0")</f>
        <v>7.8124999999999986E-2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450</v>
      </c>
      <c r="Y103" s="548">
        <f>IFERROR(IF(X103="",0,CEILING((X103/$H103),1)*$H103),"")</f>
        <v>450</v>
      </c>
      <c r="Z103" s="36">
        <f>IFERROR(IF(Y103=0,"",ROUNDUP(Y103/H103,0)*0.00902),"")</f>
        <v>0.90200000000000002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469</v>
      </c>
      <c r="BN103" s="64">
        <f>IFERROR(Y103*I103/H103,"0")</f>
        <v>469</v>
      </c>
      <c r="BO103" s="64">
        <f>IFERROR(1/J103*(X103/H103),"0")</f>
        <v>0.75757575757575757</v>
      </c>
      <c r="BP103" s="64">
        <f>IFERROR(1/J103*(Y103/H103),"0")</f>
        <v>0.75757575757575757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119.62962962962962</v>
      </c>
      <c r="Y105" s="549">
        <f>IFERROR(Y100/H100,"0")+IFERROR(Y101/H101,"0")+IFERROR(Y102/H102,"0")+IFERROR(Y103/H103,"0")+IFERROR(Y104/H104,"0")</f>
        <v>120</v>
      </c>
      <c r="Z105" s="549">
        <f>IFERROR(IF(Z100="",0,Z100),"0")+IFERROR(IF(Z101="",0,Z101),"0")+IFERROR(IF(Z102="",0,Z102),"0")+IFERROR(IF(Z103="",0,Z103),"0")+IFERROR(IF(Z104="",0,Z104),"0")</f>
        <v>1.1057999999999999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516.5</v>
      </c>
      <c r="Y106" s="549">
        <f>IFERROR(SUM(Y100:Y104),"0")</f>
        <v>520.5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15</v>
      </c>
      <c r="Y109" s="548">
        <f>IFERROR(IF(X109="",0,CEILING((X109/$H109),1)*$H109),"")</f>
        <v>15</v>
      </c>
      <c r="Z109" s="36">
        <f>IFERROR(IF(Y109=0,"",ROUNDUP(Y109/H109,0)*0.00358),"")</f>
        <v>5.3699999999999998E-2</v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18.149999999999999</v>
      </c>
      <c r="BN109" s="64">
        <f>IFERROR(Y109*I109/H109,"0")</f>
        <v>18.149999999999999</v>
      </c>
      <c r="BO109" s="64">
        <f>IFERROR(1/J109*(X109/H109),"0")</f>
        <v>3.8265306122448974E-2</v>
      </c>
      <c r="BP109" s="64">
        <f>IFERROR(1/J109*(Y109/H109),"0")</f>
        <v>3.8265306122448974E-2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15</v>
      </c>
      <c r="Y112" s="549">
        <f>IFERROR(Y108/H108,"0")+IFERROR(Y109/H109,"0")+IFERROR(Y110/H110,"0")+IFERROR(Y111/H111,"0")</f>
        <v>15</v>
      </c>
      <c r="Z112" s="549">
        <f>IFERROR(IF(Z108="",0,Z108),"0")+IFERROR(IF(Z109="",0,Z109),"0")+IFERROR(IF(Z110="",0,Z110),"0")+IFERROR(IF(Z111="",0,Z111),"0")</f>
        <v>5.3699999999999998E-2</v>
      </c>
      <c r="AA112" s="550"/>
      <c r="AB112" s="550"/>
      <c r="AC112" s="550"/>
    </row>
    <row r="113" spans="1:68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15</v>
      </c>
      <c r="Y113" s="549">
        <f>IFERROR(SUM(Y108:Y111),"0")</f>
        <v>15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 t="s">
        <v>223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15</v>
      </c>
      <c r="Y118" s="548">
        <f>IFERROR(IF(X118="",0,CEILING((X118/$H118),1)*$H118),"")</f>
        <v>16.2</v>
      </c>
      <c r="Z118" s="36">
        <f>IFERROR(IF(Y118=0,"",ROUNDUP(Y118/H118,0)*0.00651),"")</f>
        <v>5.8590000000000003E-2</v>
      </c>
      <c r="AA118" s="56"/>
      <c r="AB118" s="57"/>
      <c r="AC118" s="167" t="s">
        <v>226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16.5</v>
      </c>
      <c r="BN118" s="64">
        <f>IFERROR(Y118*I118/H118,"0")</f>
        <v>17.82</v>
      </c>
      <c r="BO118" s="64">
        <f>IFERROR(1/J118*(X118/H118),"0")</f>
        <v>4.5787545787545791E-2</v>
      </c>
      <c r="BP118" s="64">
        <f>IFERROR(1/J118*(Y118/H118),"0")</f>
        <v>4.9450549450549455E-2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8.3333333333333339</v>
      </c>
      <c r="Y119" s="549">
        <f>IFERROR(Y115/H115,"0")+IFERROR(Y116/H116,"0")+IFERROR(Y117/H117,"0")+IFERROR(Y118/H118,"0")</f>
        <v>9</v>
      </c>
      <c r="Z119" s="549">
        <f>IFERROR(IF(Z115="",0,Z115),"0")+IFERROR(IF(Z116="",0,Z116),"0")+IFERROR(IF(Z117="",0,Z117),"0")+IFERROR(IF(Z118="",0,Z118),"0")</f>
        <v>5.8590000000000003E-2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15</v>
      </c>
      <c r="Y120" s="549">
        <f>IFERROR(SUM(Y115:Y118),"0")</f>
        <v>16.2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 t="s">
        <v>223</v>
      </c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23.1</v>
      </c>
      <c r="Y122" s="548">
        <f>IFERROR(IF(X122="",0,CEILING((X122/$H122),1)*$H122),"")</f>
        <v>23.759999999999998</v>
      </c>
      <c r="Z122" s="36">
        <f>IFERROR(IF(Y122=0,"",ROUNDUP(Y122/H122,0)*0.00651),"")</f>
        <v>7.8119999999999995E-2</v>
      </c>
      <c r="AA122" s="56"/>
      <c r="AB122" s="57"/>
      <c r="AC122" s="169" t="s">
        <v>229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26.11</v>
      </c>
      <c r="BN122" s="64">
        <f>IFERROR(Y122*I122/H122,"0")</f>
        <v>26.855999999999998</v>
      </c>
      <c r="BO122" s="64">
        <f>IFERROR(1/J122*(X122/H122),"0")</f>
        <v>6.4102564102564111E-2</v>
      </c>
      <c r="BP122" s="64">
        <f>IFERROR(1/J122*(Y122/H122),"0")</f>
        <v>6.5934065934065936E-2</v>
      </c>
    </row>
    <row r="123" spans="1:68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11.666666666666668</v>
      </c>
      <c r="Y123" s="549">
        <f>IFERROR(Y122/H122,"0")</f>
        <v>11.999999999999998</v>
      </c>
      <c r="Z123" s="549">
        <f>IFERROR(IF(Z122="",0,Z122),"0")</f>
        <v>7.8119999999999995E-2</v>
      </c>
      <c r="AA123" s="550"/>
      <c r="AB123" s="550"/>
      <c r="AC123" s="550"/>
    </row>
    <row r="124" spans="1:68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23.1</v>
      </c>
      <c r="Y124" s="549">
        <f>IFERROR(SUM(Y122:Y122),"0")</f>
        <v>23.759999999999998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223</v>
      </c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120</v>
      </c>
      <c r="Y127" s="548">
        <f>IFERROR(IF(X127="",0,CEILING((X127/$H127),1)*$H127),"")</f>
        <v>121.60000000000001</v>
      </c>
      <c r="Z127" s="36">
        <f>IFERROR(IF(Y127=0,"",ROUNDUP(Y127/H127,0)*0.00651),"")</f>
        <v>0.24738000000000002</v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126.74999999999999</v>
      </c>
      <c r="BN127" s="64">
        <f>IFERROR(Y127*I127/H127,"0")</f>
        <v>128.44</v>
      </c>
      <c r="BO127" s="64">
        <f>IFERROR(1/J127*(X127/H127),"0")</f>
        <v>0.20604395604395606</v>
      </c>
      <c r="BP127" s="64">
        <f>IFERROR(1/J127*(Y127/H127),"0")</f>
        <v>0.2087912087912088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37.5</v>
      </c>
      <c r="Y129" s="549">
        <f>IFERROR(Y127/H127,"0")+IFERROR(Y128/H128,"0")</f>
        <v>38</v>
      </c>
      <c r="Z129" s="549">
        <f>IFERROR(IF(Z127="",0,Z127),"0")+IFERROR(IF(Z128="",0,Z128),"0")</f>
        <v>0.24738000000000002</v>
      </c>
      <c r="AA129" s="550"/>
      <c r="AB129" s="550"/>
      <c r="AC129" s="550"/>
    </row>
    <row r="130" spans="1:68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120</v>
      </c>
      <c r="Y130" s="549">
        <f>IFERROR(SUM(Y127:Y128),"0")</f>
        <v>121.60000000000001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223</v>
      </c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35</v>
      </c>
      <c r="Y133" s="548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12.5</v>
      </c>
      <c r="Y134" s="549">
        <f>IFERROR(Y132/H132,"0")+IFERROR(Y133/H133,"0")</f>
        <v>13</v>
      </c>
      <c r="Z134" s="549">
        <f>IFERROR(IF(Z132="",0,Z132),"0")+IFERROR(IF(Z133="",0,Z133),"0")</f>
        <v>8.4629999999999997E-2</v>
      </c>
      <c r="AA134" s="550"/>
      <c r="AB134" s="550"/>
      <c r="AC134" s="550"/>
    </row>
    <row r="135" spans="1:68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35</v>
      </c>
      <c r="Y135" s="549">
        <f>IFERROR(SUM(Y132:Y133),"0")</f>
        <v>36.4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 t="s">
        <v>223</v>
      </c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33</v>
      </c>
      <c r="Y138" s="548">
        <f>IFERROR(IF(X138="",0,CEILING((X138/$H138),1)*$H138),"")</f>
        <v>34.32</v>
      </c>
      <c r="Z138" s="36">
        <f>IFERROR(IF(Y138=0,"",ROUNDUP(Y138/H138,0)*0.00651),"")</f>
        <v>8.4629999999999997E-2</v>
      </c>
      <c r="AA138" s="56"/>
      <c r="AB138" s="57"/>
      <c r="AC138" s="181" t="s">
        <v>233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36.349999999999994</v>
      </c>
      <c r="BN138" s="64">
        <f>IFERROR(Y138*I138/H138,"0")</f>
        <v>37.803999999999995</v>
      </c>
      <c r="BO138" s="64">
        <f>IFERROR(1/J138*(X138/H138),"0")</f>
        <v>6.8681318681318687E-2</v>
      </c>
      <c r="BP138" s="64">
        <f>IFERROR(1/J138*(Y138/H138),"0")</f>
        <v>7.1428571428571438E-2</v>
      </c>
    </row>
    <row r="139" spans="1:68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12.5</v>
      </c>
      <c r="Y139" s="549">
        <f>IFERROR(Y137/H137,"0")+IFERROR(Y138/H138,"0")</f>
        <v>13</v>
      </c>
      <c r="Z139" s="549">
        <f>IFERROR(IF(Z137="",0,Z137),"0")+IFERROR(IF(Z138="",0,Z138),"0")</f>
        <v>8.4629999999999997E-2</v>
      </c>
      <c r="AA139" s="550"/>
      <c r="AB139" s="550"/>
      <c r="AC139" s="550"/>
    </row>
    <row r="140" spans="1:68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33</v>
      </c>
      <c r="Y140" s="549">
        <f>IFERROR(SUM(Y137:Y138),"0")</f>
        <v>34.32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60</v>
      </c>
      <c r="Y167" s="548">
        <f t="shared" ref="Y167:Y178" si="10">IFERROR(IF(X167="",0,CEILING((X167/$H167),1)*$H167),"")</f>
        <v>63</v>
      </c>
      <c r="Z167" s="36">
        <f>IFERROR(IF(Y167=0,"",ROUNDUP(Y167/H167,0)*0.00902),"")</f>
        <v>0.1353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63.571428571428569</v>
      </c>
      <c r="BN167" s="64">
        <f t="shared" ref="BN167:BN178" si="12">IFERROR(Y167*I167/H167,"0")</f>
        <v>66.75</v>
      </c>
      <c r="BO167" s="64">
        <f t="shared" ref="BO167:BO178" si="13">IFERROR(1/J167*(X167/H167),"0")</f>
        <v>0.10822510822510822</v>
      </c>
      <c r="BP167" s="64">
        <f t="shared" ref="BP167:BP178" si="14">IFERROR(1/J167*(Y167/H167),"0")</f>
        <v>0.11363636363636365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 t="s">
        <v>114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50</v>
      </c>
      <c r="Y168" s="548">
        <f t="shared" si="10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283</v>
      </c>
      <c r="AG168" s="64"/>
      <c r="AJ168" s="68" t="s">
        <v>108</v>
      </c>
      <c r="AK168" s="68">
        <v>50.4</v>
      </c>
      <c r="BB168" s="206" t="s">
        <v>1</v>
      </c>
      <c r="BM168" s="64">
        <f t="shared" si="11"/>
        <v>52.976190476190474</v>
      </c>
      <c r="BN168" s="64">
        <f t="shared" si="12"/>
        <v>53.400000000000006</v>
      </c>
      <c r="BO168" s="64">
        <f t="shared" si="13"/>
        <v>9.0187590187590191E-2</v>
      </c>
      <c r="BP168" s="64">
        <f t="shared" si="14"/>
        <v>9.0909090909090912E-2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90</v>
      </c>
      <c r="Y169" s="548">
        <f t="shared" si="10"/>
        <v>92.4</v>
      </c>
      <c r="Z169" s="36">
        <f>IFERROR(IF(Y169=0,"",ROUNDUP(Y169/H169,0)*0.00902),"")</f>
        <v>0.19844000000000001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94.071428571428555</v>
      </c>
      <c r="BN169" s="64">
        <f t="shared" si="12"/>
        <v>96.579999999999984</v>
      </c>
      <c r="BO169" s="64">
        <f t="shared" si="13"/>
        <v>0.16233766233766234</v>
      </c>
      <c r="BP169" s="64">
        <f t="shared" si="14"/>
        <v>0.16666666666666669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12</v>
      </c>
      <c r="Y170" s="548">
        <f t="shared" si="10"/>
        <v>12</v>
      </c>
      <c r="Z170" s="36">
        <f>IFERROR(IF(Y170=0,"",ROUNDUP(Y170/H170,0)*0.00556),"")</f>
        <v>8.3400000000000002E-2</v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13.95</v>
      </c>
      <c r="BN170" s="64">
        <f t="shared" si="12"/>
        <v>13.95</v>
      </c>
      <c r="BO170" s="64">
        <f t="shared" si="13"/>
        <v>6.9444444444444448E-2</v>
      </c>
      <c r="BP170" s="64">
        <f t="shared" si="14"/>
        <v>6.9444444444444448E-2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105</v>
      </c>
      <c r="Y171" s="548">
        <f t="shared" si="10"/>
        <v>105</v>
      </c>
      <c r="Z171" s="36">
        <f>IFERROR(IF(Y171=0,"",ROUNDUP(Y171/H171,0)*0.00502),"")</f>
        <v>0.251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111.5</v>
      </c>
      <c r="BN171" s="64">
        <f t="shared" si="12"/>
        <v>111.5</v>
      </c>
      <c r="BO171" s="64">
        <f t="shared" si="13"/>
        <v>0.21367521367521369</v>
      </c>
      <c r="BP171" s="64">
        <f t="shared" si="14"/>
        <v>0.21367521367521369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140</v>
      </c>
      <c r="Y173" s="548">
        <f t="shared" si="10"/>
        <v>140.70000000000002</v>
      </c>
      <c r="Z173" s="36">
        <f>IFERROR(IF(Y173=0,"",ROUNDUP(Y173/H173,0)*0.00502),"")</f>
        <v>0.33634000000000003</v>
      </c>
      <c r="AA173" s="56"/>
      <c r="AB173" s="57"/>
      <c r="AC173" s="215" t="s">
        <v>283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148.66666666666666</v>
      </c>
      <c r="BN173" s="64">
        <f t="shared" si="12"/>
        <v>149.41</v>
      </c>
      <c r="BO173" s="64">
        <f t="shared" si="13"/>
        <v>0.28490028490028491</v>
      </c>
      <c r="BP173" s="64">
        <f t="shared" si="14"/>
        <v>0.28632478632478636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12</v>
      </c>
      <c r="Y175" s="548">
        <f t="shared" si="10"/>
        <v>12</v>
      </c>
      <c r="Z175" s="36">
        <f>IFERROR(IF(Y175=0,"",ROUNDUP(Y175/H175,0)*0.00417),"")</f>
        <v>6.2549999999999994E-2</v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15.15</v>
      </c>
      <c r="BN175" s="64">
        <f t="shared" si="12"/>
        <v>15.15</v>
      </c>
      <c r="BO175" s="64">
        <f t="shared" si="13"/>
        <v>4.4642857142857137E-2</v>
      </c>
      <c r="BP175" s="64">
        <f t="shared" si="14"/>
        <v>4.4642857142857137E-2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140</v>
      </c>
      <c r="Y176" s="548">
        <f t="shared" si="10"/>
        <v>140.70000000000002</v>
      </c>
      <c r="Z176" s="36">
        <f>IFERROR(IF(Y176=0,"",ROUNDUP(Y176/H176,0)*0.00502),"")</f>
        <v>0.33634000000000003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146.66666666666666</v>
      </c>
      <c r="BN176" s="64">
        <f t="shared" si="12"/>
        <v>147.40000000000003</v>
      </c>
      <c r="BO176" s="64">
        <f t="shared" si="13"/>
        <v>0.28490028490028491</v>
      </c>
      <c r="BP176" s="64">
        <f t="shared" si="14"/>
        <v>0.28632478632478636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260.95238095238096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263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1.5116100000000003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609</v>
      </c>
      <c r="Y180" s="549">
        <f>IFERROR(SUM(Y167:Y178),"0")</f>
        <v>616.20000000000005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28</v>
      </c>
      <c r="Y182" s="548">
        <f>IFERROR(IF(X182="",0,CEILING((X182/$H182),1)*$H182),"")</f>
        <v>28.98</v>
      </c>
      <c r="Z182" s="36">
        <f>IFERROR(IF(Y182=0,"",ROUNDUP(Y182/H182,0)*0.0059),"")</f>
        <v>0.13569999999999999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32.222222222222221</v>
      </c>
      <c r="BN182" s="64">
        <f>IFERROR(Y182*I182/H182,"0")</f>
        <v>33.35</v>
      </c>
      <c r="BO182" s="64">
        <f>IFERROR(1/J182*(X182/H182),"0")</f>
        <v>0.10288065843621398</v>
      </c>
      <c r="BP182" s="64">
        <f>IFERROR(1/J182*(Y182/H182),"0")</f>
        <v>0.10648148148148148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21</v>
      </c>
      <c r="Y183" s="548">
        <f>IFERROR(IF(X183="",0,CEILING((X183/$H183),1)*$H183),"")</f>
        <v>21.42</v>
      </c>
      <c r="Z183" s="36">
        <f>IFERROR(IF(Y183=0,"",ROUNDUP(Y183/H183,0)*0.0059),"")</f>
        <v>0.1003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24.166666666666664</v>
      </c>
      <c r="BN183" s="64">
        <f>IFERROR(Y183*I183/H183,"0")</f>
        <v>24.650000000000002</v>
      </c>
      <c r="BO183" s="64">
        <f>IFERROR(1/J183*(X183/H183),"0")</f>
        <v>7.716049382716049E-2</v>
      </c>
      <c r="BP183" s="64">
        <f>IFERROR(1/J183*(Y183/H183),"0")</f>
        <v>7.8703703703703692E-2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21</v>
      </c>
      <c r="Y184" s="548">
        <f>IFERROR(IF(X184="",0,CEILING((X184/$H184),1)*$H184),"")</f>
        <v>21.42</v>
      </c>
      <c r="Z184" s="36">
        <f>IFERROR(IF(Y184=0,"",ROUNDUP(Y184/H184,0)*0.0059),"")</f>
        <v>0.1003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24.166666666666664</v>
      </c>
      <c r="BN184" s="64">
        <f>IFERROR(Y184*I184/H184,"0")</f>
        <v>24.650000000000002</v>
      </c>
      <c r="BO184" s="64">
        <f>IFERROR(1/J184*(X184/H184),"0")</f>
        <v>7.716049382716049E-2</v>
      </c>
      <c r="BP184" s="64">
        <f>IFERROR(1/J184*(Y184/H184),"0")</f>
        <v>7.8703703703703692E-2</v>
      </c>
    </row>
    <row r="185" spans="1:68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55.555555555555557</v>
      </c>
      <c r="Y185" s="549">
        <f>IFERROR(Y182/H182,"0")+IFERROR(Y183/H183,"0")+IFERROR(Y184/H184,"0")</f>
        <v>57</v>
      </c>
      <c r="Z185" s="549">
        <f>IFERROR(IF(Z182="",0,Z182),"0")+IFERROR(IF(Z183="",0,Z183),"0")+IFERROR(IF(Z184="",0,Z184),"0")</f>
        <v>0.33629999999999999</v>
      </c>
      <c r="AA185" s="550"/>
      <c r="AB185" s="550"/>
      <c r="AC185" s="550"/>
    </row>
    <row r="186" spans="1:68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70</v>
      </c>
      <c r="Y186" s="549">
        <f>IFERROR(SUM(Y182:Y184),"0")</f>
        <v>71.820000000000007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10.5</v>
      </c>
      <c r="Y188" s="548">
        <f>IFERROR(IF(X188="",0,CEILING((X188/$H188),1)*$H188),"")</f>
        <v>11.34</v>
      </c>
      <c r="Z188" s="36">
        <f>IFERROR(IF(Y188=0,"",ROUNDUP(Y188/H188,0)*0.0059),"")</f>
        <v>5.3100000000000001E-2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12.083333333333332</v>
      </c>
      <c r="BN188" s="64">
        <f>IFERROR(Y188*I188/H188,"0")</f>
        <v>13.049999999999999</v>
      </c>
      <c r="BO188" s="64">
        <f>IFERROR(1/J188*(X188/H188),"0")</f>
        <v>3.8580246913580245E-2</v>
      </c>
      <c r="BP188" s="64">
        <f>IFERROR(1/J188*(Y188/H188),"0")</f>
        <v>4.1666666666666664E-2</v>
      </c>
    </row>
    <row r="189" spans="1:68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8.3333333333333339</v>
      </c>
      <c r="Y189" s="549">
        <f>IFERROR(Y188/H188,"0")</f>
        <v>9</v>
      </c>
      <c r="Z189" s="549">
        <f>IFERROR(IF(Z188="",0,Z188),"0")</f>
        <v>5.3100000000000001E-2</v>
      </c>
      <c r="AA189" s="550"/>
      <c r="AB189" s="550"/>
      <c r="AC189" s="550"/>
    </row>
    <row r="190" spans="1:68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10.5</v>
      </c>
      <c r="Y190" s="549">
        <f>IFERROR(SUM(Y188:Y188),"0")</f>
        <v>11.34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200</v>
      </c>
      <c r="Y203" s="548">
        <f t="shared" ref="Y203:Y210" si="15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207.03703703703701</v>
      </c>
      <c r="BN203" s="64">
        <f t="shared" ref="BN203:BN210" si="17">IFERROR(Y203*I203/H203,"0")</f>
        <v>212.42</v>
      </c>
      <c r="BO203" s="64">
        <f t="shared" ref="BO203:BO210" si="18">IFERROR(1/J203*(X203/H203),"0")</f>
        <v>0.28058361391694725</v>
      </c>
      <c r="BP203" s="64">
        <f t="shared" ref="BP203:BP210" si="19">IFERROR(1/J203*(Y203/H203),"0")</f>
        <v>0.2878787878787879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50</v>
      </c>
      <c r="Y204" s="548">
        <f t="shared" si="15"/>
        <v>54</v>
      </c>
      <c r="Z204" s="36">
        <f>IFERROR(IF(Y204=0,"",ROUNDUP(Y204/H204,0)*0.00902),"")</f>
        <v>9.0200000000000002E-2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51.759259259259252</v>
      </c>
      <c r="BN204" s="64">
        <f t="shared" si="17"/>
        <v>55.9</v>
      </c>
      <c r="BO204" s="64">
        <f t="shared" si="18"/>
        <v>7.0145903479236812E-2</v>
      </c>
      <c r="BP204" s="64">
        <f t="shared" si="19"/>
        <v>7.575757575757576E-2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800</v>
      </c>
      <c r="Y205" s="548">
        <f t="shared" si="15"/>
        <v>804.6</v>
      </c>
      <c r="Z205" s="36">
        <f>IFERROR(IF(Y205=0,"",ROUNDUP(Y205/H205,0)*0.00902),"")</f>
        <v>1.34398</v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828.14814814814804</v>
      </c>
      <c r="BN205" s="64">
        <f t="shared" si="17"/>
        <v>832.91</v>
      </c>
      <c r="BO205" s="64">
        <f t="shared" si="18"/>
        <v>1.122334455667789</v>
      </c>
      <c r="BP205" s="64">
        <f t="shared" si="19"/>
        <v>1.1287878787878789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75</v>
      </c>
      <c r="Y207" s="548">
        <f t="shared" si="15"/>
        <v>75.600000000000009</v>
      </c>
      <c r="Z207" s="36">
        <f>IFERROR(IF(Y207=0,"",ROUNDUP(Y207/H207,0)*0.00502),"")</f>
        <v>0.21084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80.416666666666671</v>
      </c>
      <c r="BN207" s="64">
        <f t="shared" si="17"/>
        <v>81.06</v>
      </c>
      <c r="BO207" s="64">
        <f t="shared" si="18"/>
        <v>0.17806267806267806</v>
      </c>
      <c r="BP207" s="64">
        <f t="shared" si="19"/>
        <v>0.17948717948717954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60</v>
      </c>
      <c r="Y208" s="548">
        <f t="shared" si="15"/>
        <v>61.2</v>
      </c>
      <c r="Z208" s="36">
        <f>IFERROR(IF(Y208=0,"",ROUNDUP(Y208/H208,0)*0.00502),"")</f>
        <v>0.17068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63.333333333333329</v>
      </c>
      <c r="BN208" s="64">
        <f t="shared" si="17"/>
        <v>64.599999999999994</v>
      </c>
      <c r="BO208" s="64">
        <f t="shared" si="18"/>
        <v>0.14245014245014248</v>
      </c>
      <c r="BP208" s="64">
        <f t="shared" si="19"/>
        <v>0.14529914529914531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 t="s">
        <v>292</v>
      </c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45</v>
      </c>
      <c r="Y209" s="548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343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47.5</v>
      </c>
      <c r="BN209" s="64">
        <f t="shared" si="17"/>
        <v>47.5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54</v>
      </c>
      <c r="Y210" s="548">
        <f t="shared" si="15"/>
        <v>54</v>
      </c>
      <c r="Z210" s="36">
        <f>IFERROR(IF(Y210=0,"",ROUNDUP(Y210/H210,0)*0.00502),"")</f>
        <v>0.15060000000000001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56.999999999999993</v>
      </c>
      <c r="BN210" s="64">
        <f t="shared" si="17"/>
        <v>56.999999999999993</v>
      </c>
      <c r="BO210" s="64">
        <f t="shared" si="18"/>
        <v>0.12820512820512822</v>
      </c>
      <c r="BP210" s="64">
        <f t="shared" si="19"/>
        <v>0.12820512820512822</v>
      </c>
    </row>
    <row r="211" spans="1:68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324.44444444444446</v>
      </c>
      <c r="Y211" s="549">
        <f>IFERROR(Y203/H203,"0")+IFERROR(Y204/H204,"0")+IFERROR(Y205/H205,"0")+IFERROR(Y206/H206,"0")+IFERROR(Y207/H207,"0")+IFERROR(Y208/H208,"0")+IFERROR(Y209/H209,"0")+IFERROR(Y210/H210,"0")</f>
        <v>328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2.4345599999999998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1284</v>
      </c>
      <c r="Y212" s="549">
        <f>IFERROR(SUM(Y203:Y210),"0")</f>
        <v>1299.6000000000001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60</v>
      </c>
      <c r="Y216" s="548">
        <f t="shared" si="20"/>
        <v>60.899999999999991</v>
      </c>
      <c r="Z216" s="36">
        <f>IFERROR(IF(Y216=0,"",ROUNDUP(Y216/H216,0)*0.01898),"")</f>
        <v>0.13286000000000001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63.406896551724152</v>
      </c>
      <c r="BN216" s="64">
        <f t="shared" si="22"/>
        <v>64.358000000000004</v>
      </c>
      <c r="BO216" s="64">
        <f t="shared" si="23"/>
        <v>0.10775862068965518</v>
      </c>
      <c r="BP216" s="64">
        <f t="shared" si="24"/>
        <v>0.109375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80</v>
      </c>
      <c r="Y217" s="548">
        <f t="shared" si="20"/>
        <v>81.599999999999994</v>
      </c>
      <c r="Z217" s="36">
        <f t="shared" ref="Z217:Z222" si="25">IFERROR(IF(Y217=0,"",ROUNDUP(Y217/H217,0)*0.00651),"")</f>
        <v>0.22134000000000001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89</v>
      </c>
      <c r="BN217" s="64">
        <f t="shared" si="22"/>
        <v>90.78</v>
      </c>
      <c r="BO217" s="64">
        <f t="shared" si="23"/>
        <v>0.18315018315018317</v>
      </c>
      <c r="BP217" s="64">
        <f t="shared" si="24"/>
        <v>0.18681318681318682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100</v>
      </c>
      <c r="Y219" s="548">
        <f t="shared" si="20"/>
        <v>100.8</v>
      </c>
      <c r="Z219" s="36">
        <f t="shared" si="25"/>
        <v>0.27342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110.5</v>
      </c>
      <c r="BN219" s="64">
        <f t="shared" si="22"/>
        <v>111.384</v>
      </c>
      <c r="BO219" s="64">
        <f t="shared" si="23"/>
        <v>0.22893772893772898</v>
      </c>
      <c r="BP219" s="64">
        <f t="shared" si="24"/>
        <v>0.23076923076923078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40</v>
      </c>
      <c r="Y221" s="548">
        <f t="shared" si="20"/>
        <v>40.799999999999997</v>
      </c>
      <c r="Z221" s="36">
        <f t="shared" si="25"/>
        <v>0.11067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44.20000000000001</v>
      </c>
      <c r="BN221" s="64">
        <f t="shared" si="22"/>
        <v>45.084000000000003</v>
      </c>
      <c r="BO221" s="64">
        <f t="shared" si="23"/>
        <v>9.1575091575091583E-2</v>
      </c>
      <c r="BP221" s="64">
        <f t="shared" si="24"/>
        <v>9.3406593406593408E-2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80</v>
      </c>
      <c r="Y222" s="548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88.6</v>
      </c>
      <c r="BN222" s="64">
        <f t="shared" si="22"/>
        <v>90.371999999999986</v>
      </c>
      <c r="BO222" s="64">
        <f t="shared" si="23"/>
        <v>0.18315018315018317</v>
      </c>
      <c r="BP222" s="64">
        <f t="shared" si="24"/>
        <v>0.18681318681318682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131.89655172413794</v>
      </c>
      <c r="Y223" s="549">
        <f>IFERROR(Y214/H214,"0")+IFERROR(Y215/H215,"0")+IFERROR(Y216/H216,"0")+IFERROR(Y217/H217,"0")+IFERROR(Y218/H218,"0")+IFERROR(Y219/H219,"0")+IFERROR(Y220/H220,"0")+IFERROR(Y221/H221,"0")+IFERROR(Y222/H222,"0")</f>
        <v>134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0.95963000000000009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360</v>
      </c>
      <c r="Y224" s="549">
        <f>IFERROR(SUM(Y214:Y222),"0")</f>
        <v>365.70000000000005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223</v>
      </c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48</v>
      </c>
      <c r="Y226" s="548">
        <f>IFERROR(IF(X226="",0,CEILING((X226/$H226),1)*$H226),"")</f>
        <v>48</v>
      </c>
      <c r="Z226" s="36">
        <f>IFERROR(IF(Y226=0,"",ROUNDUP(Y226/H226,0)*0.00651),"")</f>
        <v>0.13020000000000001</v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53.040000000000006</v>
      </c>
      <c r="BN226" s="64">
        <f>IFERROR(Y226*I226/H226,"0")</f>
        <v>53.040000000000006</v>
      </c>
      <c r="BO226" s="64">
        <f>IFERROR(1/J226*(X226/H226),"0")</f>
        <v>0.1098901098901099</v>
      </c>
      <c r="BP226" s="64">
        <f>IFERROR(1/J226*(Y226/H226),"0")</f>
        <v>0.1098901098901099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223</v>
      </c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48</v>
      </c>
      <c r="Y227" s="548">
        <f>IFERROR(IF(X227="",0,CEILING((X227/$H227),1)*$H227),"")</f>
        <v>48</v>
      </c>
      <c r="Z227" s="36">
        <f>IFERROR(IF(Y227=0,"",ROUNDUP(Y227/H227,0)*0.00651),"")</f>
        <v>0.13020000000000001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53.040000000000006</v>
      </c>
      <c r="BN227" s="64">
        <f>IFERROR(Y227*I227/H227,"0")</f>
        <v>53.040000000000006</v>
      </c>
      <c r="BO227" s="64">
        <f>IFERROR(1/J227*(X227/H227),"0")</f>
        <v>0.1098901098901099</v>
      </c>
      <c r="BP227" s="64">
        <f>IFERROR(1/J227*(Y227/H227),"0")</f>
        <v>0.1098901098901099</v>
      </c>
    </row>
    <row r="228" spans="1:68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40</v>
      </c>
      <c r="Y228" s="549">
        <f>IFERROR(Y226/H226,"0")+IFERROR(Y227/H227,"0")</f>
        <v>40</v>
      </c>
      <c r="Z228" s="549">
        <f>IFERROR(IF(Z226="",0,Z226),"0")+IFERROR(IF(Z227="",0,Z227),"0")</f>
        <v>0.26040000000000002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96</v>
      </c>
      <c r="Y229" s="549">
        <f>IFERROR(SUM(Y226:Y227),"0")</f>
        <v>96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50</v>
      </c>
      <c r="Y232" s="548">
        <f t="shared" ref="Y232:Y240" si="26">IFERROR(IF(X232="",0,CEILING((X232/$H232),1)*$H232),"")</f>
        <v>58</v>
      </c>
      <c r="Z232" s="36">
        <f>IFERROR(IF(Y232=0,"",ROUNDUP(Y232/H232,0)*0.01898),"")</f>
        <v>9.4899999999999998E-2</v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51.767241379310349</v>
      </c>
      <c r="BN232" s="64">
        <f t="shared" ref="BN232:BN240" si="28">IFERROR(Y232*I232/H232,"0")</f>
        <v>60.050000000000004</v>
      </c>
      <c r="BO232" s="64">
        <f t="shared" ref="BO232:BO240" si="29">IFERROR(1/J232*(X232/H232),"0")</f>
        <v>6.7349137931034489E-2</v>
      </c>
      <c r="BP232" s="64">
        <f t="shared" ref="BP232:BP240" si="30">IFERROR(1/J232*(Y232/H232),"0")</f>
        <v>7.8125E-2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120</v>
      </c>
      <c r="Y234" s="548">
        <f t="shared" si="26"/>
        <v>127.6</v>
      </c>
      <c r="Z234" s="36">
        <f>IFERROR(IF(Y234=0,"",ROUNDUP(Y234/H234,0)*0.01898),"")</f>
        <v>0.20877999999999999</v>
      </c>
      <c r="AA234" s="56"/>
      <c r="AB234" s="57"/>
      <c r="AC234" s="285" t="s">
        <v>392</v>
      </c>
      <c r="AG234" s="64"/>
      <c r="AJ234" s="68" t="s">
        <v>108</v>
      </c>
      <c r="AK234" s="68">
        <v>92.8</v>
      </c>
      <c r="BB234" s="286" t="s">
        <v>1</v>
      </c>
      <c r="BM234" s="64">
        <f t="shared" si="27"/>
        <v>124.24137931034484</v>
      </c>
      <c r="BN234" s="64">
        <f t="shared" si="28"/>
        <v>132.10999999999999</v>
      </c>
      <c r="BO234" s="64">
        <f t="shared" si="29"/>
        <v>0.16163793103448276</v>
      </c>
      <c r="BP234" s="64">
        <f t="shared" si="30"/>
        <v>0.171875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 t="s">
        <v>114</v>
      </c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108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20</v>
      </c>
      <c r="Y239" s="548">
        <f t="shared" si="26"/>
        <v>20</v>
      </c>
      <c r="Z239" s="36">
        <f>IFERROR(IF(Y239=0,"",ROUNDUP(Y239/H239,0)*0.00902),"")</f>
        <v>4.5100000000000001E-2</v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20.950000000000003</v>
      </c>
      <c r="BN239" s="64">
        <f t="shared" si="28"/>
        <v>20.950000000000003</v>
      </c>
      <c r="BO239" s="64">
        <f t="shared" si="29"/>
        <v>3.787878787878788E-2</v>
      </c>
      <c r="BP239" s="64">
        <f t="shared" si="30"/>
        <v>3.787878787878788E-2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19.655172413793103</v>
      </c>
      <c r="Y241" s="549">
        <f>IFERROR(Y232/H232,"0")+IFERROR(Y233/H233,"0")+IFERROR(Y234/H234,"0")+IFERROR(Y235/H235,"0")+IFERROR(Y236/H236,"0")+IFERROR(Y237/H237,"0")+IFERROR(Y238/H238,"0")+IFERROR(Y239/H239,"0")+IFERROR(Y240/H240,"0")</f>
        <v>21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0.34877999999999998</v>
      </c>
      <c r="AA241" s="550"/>
      <c r="AB241" s="550"/>
      <c r="AC241" s="550"/>
    </row>
    <row r="242" spans="1:68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190</v>
      </c>
      <c r="Y242" s="549">
        <f>IFERROR(SUM(Y232:Y240),"0")</f>
        <v>205.6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6</v>
      </c>
      <c r="Y248" s="548">
        <f>IFERROR(IF(X248="",0,CEILING((X248/$H248),1)*$H248),"")</f>
        <v>7.2</v>
      </c>
      <c r="Z248" s="36">
        <f>IFERROR(IF(Y248=0,"",ROUNDUP(Y248/H248,0)*0.0059),"")</f>
        <v>2.3599999999999999E-2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6.5833333333333339</v>
      </c>
      <c r="BN248" s="64">
        <f>IFERROR(Y248*I248/H248,"0")</f>
        <v>7.9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3.333333333333333</v>
      </c>
      <c r="Y249" s="549">
        <f>IFERROR(Y248/H248,"0")</f>
        <v>4</v>
      </c>
      <c r="Z249" s="549">
        <f>IFERROR(IF(Z248="",0,Z248),"0")</f>
        <v>2.3599999999999999E-2</v>
      </c>
      <c r="AA249" s="550"/>
      <c r="AB249" s="550"/>
      <c r="AC249" s="550"/>
    </row>
    <row r="250" spans="1:68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6</v>
      </c>
      <c r="Y250" s="549">
        <f>IFERROR(SUM(Y248:Y248),"0")</f>
        <v>7.2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24</v>
      </c>
      <c r="Y253" s="548">
        <f>IFERROR(IF(X253="",0,CEILING((X253/$H253),1)*$H253),"")</f>
        <v>25.2</v>
      </c>
      <c r="Z253" s="36">
        <f>IFERROR(IF(Y253=0,"",ROUNDUP(Y253/H253,0)*0.0059),"")</f>
        <v>8.2599999999999993E-2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26.333333333333336</v>
      </c>
      <c r="BN253" s="64">
        <f>IFERROR(Y253*I253/H253,"0")</f>
        <v>27.650000000000002</v>
      </c>
      <c r="BO253" s="64">
        <f>IFERROR(1/J253*(X253/H253),"0")</f>
        <v>6.1728395061728385E-2</v>
      </c>
      <c r="BP253" s="64">
        <f>IFERROR(1/J253*(Y253/H253),"0")</f>
        <v>6.4814814814814811E-2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5</v>
      </c>
      <c r="Y254" s="548">
        <f>IFERROR(IF(X254="",0,CEILING((X254/$H254),1)*$H254),"")</f>
        <v>5.4</v>
      </c>
      <c r="Z254" s="36">
        <f>IFERROR(IF(Y254=0,"",ROUNDUP(Y254/H254,0)*0.0059),"")</f>
        <v>3.5400000000000001E-2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6.0555555555555554</v>
      </c>
      <c r="BN254" s="64">
        <f>IFERROR(Y254*I254/H254,"0")</f>
        <v>6.5400000000000009</v>
      </c>
      <c r="BO254" s="64">
        <f>IFERROR(1/J254*(X254/H254),"0")</f>
        <v>2.5720164609053495E-2</v>
      </c>
      <c r="BP254" s="64">
        <f>IFERROR(1/J254*(Y254/H254),"0")</f>
        <v>2.7777777777777776E-2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18.888888888888886</v>
      </c>
      <c r="Y257" s="549">
        <f>IFERROR(Y252/H252,"0")+IFERROR(Y253/H253,"0")+IFERROR(Y254/H254,"0")+IFERROR(Y255/H255,"0")+IFERROR(Y256/H256,"0")</f>
        <v>20</v>
      </c>
      <c r="Z257" s="549">
        <f>IFERROR(IF(Z252="",0,Z252),"0")+IFERROR(IF(Z253="",0,Z253),"0")+IFERROR(IF(Z254="",0,Z254),"0")+IFERROR(IF(Z255="",0,Z255),"0")+IFERROR(IF(Z256="",0,Z256),"0")</f>
        <v>0.11799999999999999</v>
      </c>
      <c r="AA257" s="550"/>
      <c r="AB257" s="550"/>
      <c r="AC257" s="550"/>
    </row>
    <row r="258" spans="1:68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29</v>
      </c>
      <c r="Y258" s="549">
        <f>IFERROR(SUM(Y252:Y256),"0")</f>
        <v>30.6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 t="s">
        <v>292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 t="s">
        <v>108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245</v>
      </c>
      <c r="Y308" s="548">
        <f t="shared" si="31"/>
        <v>245.70000000000002</v>
      </c>
      <c r="Z308" s="36">
        <f>IFERROR(IF(Y308=0,"",ROUNDUP(Y308/H308,0)*0.00502),"")</f>
        <v>0.58733999999999997</v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256.66666666666663</v>
      </c>
      <c r="BN308" s="64">
        <f t="shared" si="33"/>
        <v>257.40000000000003</v>
      </c>
      <c r="BO308" s="64">
        <f t="shared" si="34"/>
        <v>0.4985754985754986</v>
      </c>
      <c r="BP308" s="64">
        <f t="shared" si="35"/>
        <v>0.5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 t="s">
        <v>223</v>
      </c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60</v>
      </c>
      <c r="Y309" s="548">
        <f t="shared" si="31"/>
        <v>61.2</v>
      </c>
      <c r="Z309" s="36">
        <f>IFERROR(IF(Y309=0,"",ROUNDUP(Y309/H309,0)*0.00651),"")</f>
        <v>0.22134000000000001</v>
      </c>
      <c r="AA309" s="56"/>
      <c r="AB309" s="57"/>
      <c r="AC309" s="365" t="s">
        <v>503</v>
      </c>
      <c r="AG309" s="64"/>
      <c r="AJ309" s="68" t="s">
        <v>108</v>
      </c>
      <c r="AK309" s="68">
        <v>25.2</v>
      </c>
      <c r="BB309" s="366" t="s">
        <v>1</v>
      </c>
      <c r="BM309" s="64">
        <f t="shared" si="32"/>
        <v>67.600000000000009</v>
      </c>
      <c r="BN309" s="64">
        <f t="shared" si="33"/>
        <v>68.951999999999998</v>
      </c>
      <c r="BO309" s="64">
        <f t="shared" si="34"/>
        <v>0.18315018315018317</v>
      </c>
      <c r="BP309" s="64">
        <f t="shared" si="35"/>
        <v>0.18681318681318682</v>
      </c>
    </row>
    <row r="310" spans="1:68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150</v>
      </c>
      <c r="Y310" s="549">
        <f>IFERROR(Y304/H304,"0")+IFERROR(Y305/H305,"0")+IFERROR(Y306/H306,"0")+IFERROR(Y307/H307,"0")+IFERROR(Y308/H308,"0")+IFERROR(Y309/H309,"0")</f>
        <v>151</v>
      </c>
      <c r="Z310" s="549">
        <f>IFERROR(IF(Z304="",0,Z304),"0")+IFERROR(IF(Z305="",0,Z305),"0")+IFERROR(IF(Z306="",0,Z306),"0")+IFERROR(IF(Z307="",0,Z307),"0")+IFERROR(IF(Z308="",0,Z308),"0")+IFERROR(IF(Z309="",0,Z309),"0")</f>
        <v>0.80867999999999995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305</v>
      </c>
      <c r="Y311" s="549">
        <f>IFERROR(SUM(Y304:Y309),"0")</f>
        <v>306.90000000000003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40</v>
      </c>
      <c r="Y320" s="548">
        <f>IFERROR(IF(X320="",0,CEILING((X320/$H320),1)*$H320),"")</f>
        <v>42</v>
      </c>
      <c r="Z320" s="36">
        <f>IFERROR(IF(Y320=0,"",ROUNDUP(Y320/H320,0)*0.01898),"")</f>
        <v>9.4899999999999998E-2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42.352380952380948</v>
      </c>
      <c r="BN320" s="64">
        <f>IFERROR(Y320*I320/H320,"0")</f>
        <v>44.47</v>
      </c>
      <c r="BO320" s="64">
        <f>IFERROR(1/J320*(X320/H320),"0")</f>
        <v>7.4404761904761904E-2</v>
      </c>
      <c r="BP320" s="64">
        <f>IFERROR(1/J320*(Y320/H320),"0")</f>
        <v>7.8125E-2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600</v>
      </c>
      <c r="Y321" s="548">
        <f>IFERROR(IF(X321="",0,CEILING((X321/$H321),1)*$H321),"")</f>
        <v>600.6</v>
      </c>
      <c r="Z321" s="36">
        <f>IFERROR(IF(Y321=0,"",ROUNDUP(Y321/H321,0)*0.01898),"")</f>
        <v>1.46146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638.00000000000011</v>
      </c>
      <c r="BN321" s="64">
        <f>IFERROR(Y321*I321/H321,"0")</f>
        <v>638.63800000000003</v>
      </c>
      <c r="BO321" s="64">
        <f>IFERROR(1/J321*(X321/H321),"0")</f>
        <v>1.2019230769230769</v>
      </c>
      <c r="BP321" s="64">
        <f>IFERROR(1/J321*(Y321/H321),"0")</f>
        <v>1.203125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200</v>
      </c>
      <c r="Y322" s="548">
        <f>IFERROR(IF(X322="",0,CEILING((X322/$H322),1)*$H322),"")</f>
        <v>201.60000000000002</v>
      </c>
      <c r="Z322" s="36">
        <f>IFERROR(IF(Y322=0,"",ROUNDUP(Y322/H322,0)*0.01898),"")</f>
        <v>0.45552000000000004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211.76190476190476</v>
      </c>
      <c r="BN322" s="64">
        <f>IFERROR(Y322*I322/H322,"0")</f>
        <v>213.45600000000002</v>
      </c>
      <c r="BO322" s="64">
        <f>IFERROR(1/J322*(X322/H322),"0")</f>
        <v>0.37202380952380953</v>
      </c>
      <c r="BP322" s="64">
        <f>IFERROR(1/J322*(Y322/H322),"0")</f>
        <v>0.375</v>
      </c>
    </row>
    <row r="323" spans="1:68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105.49450549450549</v>
      </c>
      <c r="Y323" s="549">
        <f>IFERROR(Y320/H320,"0")+IFERROR(Y321/H321,"0")+IFERROR(Y322/H322,"0")</f>
        <v>106</v>
      </c>
      <c r="Z323" s="549">
        <f>IFERROR(IF(Z320="",0,Z320),"0")+IFERROR(IF(Z321="",0,Z321),"0")+IFERROR(IF(Z322="",0,Z322),"0")</f>
        <v>2.0118800000000001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840</v>
      </c>
      <c r="Y324" s="549">
        <f>IFERROR(SUM(Y320:Y322),"0")</f>
        <v>844.2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223</v>
      </c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34</v>
      </c>
      <c r="Y328" s="548">
        <f>IFERROR(IF(X328="",0,CEILING((X328/$H328),1)*$H328),"")</f>
        <v>35.699999999999996</v>
      </c>
      <c r="Z328" s="36">
        <f>IFERROR(IF(Y328=0,"",ROUNDUP(Y328/H328,0)*0.00651),"")</f>
        <v>9.1139999999999999E-2</v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39.400000000000006</v>
      </c>
      <c r="BN328" s="64">
        <f>IFERROR(Y328*I328/H328,"0")</f>
        <v>41.37</v>
      </c>
      <c r="BO328" s="64">
        <f>IFERROR(1/J328*(X328/H328),"0")</f>
        <v>7.3260073260073263E-2</v>
      </c>
      <c r="BP328" s="64">
        <f>IFERROR(1/J328*(Y328/H328),"0")</f>
        <v>7.6923076923076927E-2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223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136</v>
      </c>
      <c r="Y329" s="548">
        <f>IFERROR(IF(X329="",0,CEILING((X329/$H329),1)*$H329),"")</f>
        <v>137.69999999999999</v>
      </c>
      <c r="Z329" s="36">
        <f>IFERROR(IF(Y329=0,"",ROUNDUP(Y329/H329,0)*0.00651),"")</f>
        <v>0.35154000000000002</v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153.60000000000002</v>
      </c>
      <c r="BN329" s="64">
        <f>IFERROR(Y329*I329/H329,"0")</f>
        <v>155.52000000000001</v>
      </c>
      <c r="BO329" s="64">
        <f>IFERROR(1/J329*(X329/H329),"0")</f>
        <v>0.29304029304029305</v>
      </c>
      <c r="BP329" s="64">
        <f>IFERROR(1/J329*(Y329/H329),"0")</f>
        <v>0.2967032967032967</v>
      </c>
    </row>
    <row r="330" spans="1:68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66.666666666666671</v>
      </c>
      <c r="Y330" s="549">
        <f>IFERROR(Y326/H326,"0")+IFERROR(Y327/H327,"0")+IFERROR(Y328/H328,"0")+IFERROR(Y329/H329,"0")</f>
        <v>68</v>
      </c>
      <c r="Z330" s="549">
        <f>IFERROR(IF(Z326="",0,Z326),"0")+IFERROR(IF(Z327="",0,Z327),"0")+IFERROR(IF(Z328="",0,Z328),"0")+IFERROR(IF(Z329="",0,Z329),"0")</f>
        <v>0.44268000000000002</v>
      </c>
      <c r="AA330" s="550"/>
      <c r="AB330" s="550"/>
      <c r="AC330" s="550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170</v>
      </c>
      <c r="Y331" s="549">
        <f>IFERROR(SUM(Y326:Y329),"0")</f>
        <v>173.39999999999998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223</v>
      </c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50</v>
      </c>
      <c r="Y334" s="548">
        <f>IFERROR(IF(X334="",0,CEILING((X334/$H334),1)*$H334),"")</f>
        <v>50</v>
      </c>
      <c r="Z334" s="36">
        <f>IFERROR(IF(Y334=0,"",ROUNDUP(Y334/H334,0)*0.00474),"")</f>
        <v>0.11850000000000001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56.000000000000007</v>
      </c>
      <c r="BN334" s="64">
        <f>IFERROR(Y334*I334/H334,"0")</f>
        <v>56.000000000000007</v>
      </c>
      <c r="BO334" s="64">
        <f>IFERROR(1/J334*(X334/H334),"0")</f>
        <v>0.10504201680672269</v>
      </c>
      <c r="BP334" s="64">
        <f>IFERROR(1/J334*(Y334/H334),"0")</f>
        <v>0.10504201680672269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223</v>
      </c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25</v>
      </c>
      <c r="Y336" s="549">
        <f>IFERROR(Y333/H333,"0")+IFERROR(Y334/H334,"0")+IFERROR(Y335/H335,"0")</f>
        <v>25</v>
      </c>
      <c r="Z336" s="549">
        <f>IFERROR(IF(Z333="",0,Z333),"0")+IFERROR(IF(Z334="",0,Z334),"0")+IFERROR(IF(Z335="",0,Z335),"0")</f>
        <v>0.11850000000000001</v>
      </c>
      <c r="AA336" s="550"/>
      <c r="AB336" s="550"/>
      <c r="AC336" s="550"/>
    </row>
    <row r="337" spans="1:68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50</v>
      </c>
      <c r="Y337" s="549">
        <f>IFERROR(SUM(Y333:Y335),"0")</f>
        <v>50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223</v>
      </c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280</v>
      </c>
      <c r="Y341" s="548">
        <f>IFERROR(IF(X341="",0,CEILING((X341/$H341),1)*$H341),"")</f>
        <v>281.40000000000003</v>
      </c>
      <c r="Z341" s="36">
        <f>IFERROR(IF(Y341=0,"",ROUNDUP(Y341/H341,0)*0.00651),"")</f>
        <v>0.87234</v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313.59999999999997</v>
      </c>
      <c r="BN341" s="64">
        <f>IFERROR(Y341*I341/H341,"0")</f>
        <v>315.16800000000001</v>
      </c>
      <c r="BO341" s="64">
        <f>IFERROR(1/J341*(X341/H341),"0")</f>
        <v>0.73260073260073255</v>
      </c>
      <c r="BP341" s="64">
        <f>IFERROR(1/J341*(Y341/H341),"0")</f>
        <v>0.73626373626373631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223</v>
      </c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175</v>
      </c>
      <c r="Y342" s="548">
        <f>IFERROR(IF(X342="",0,CEILING((X342/$H342),1)*$H342),"")</f>
        <v>176.4</v>
      </c>
      <c r="Z342" s="36">
        <f>IFERROR(IF(Y342=0,"",ROUNDUP(Y342/H342,0)*0.00651),"")</f>
        <v>0.54683999999999999</v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195</v>
      </c>
      <c r="BN342" s="64">
        <f>IFERROR(Y342*I342/H342,"0")</f>
        <v>196.56</v>
      </c>
      <c r="BO342" s="64">
        <f>IFERROR(1/J342*(X342/H342),"0")</f>
        <v>0.45787545787545786</v>
      </c>
      <c r="BP342" s="64">
        <f>IFERROR(1/J342*(Y342/H342),"0")</f>
        <v>0.46153846153846156</v>
      </c>
    </row>
    <row r="343" spans="1:68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216.66666666666663</v>
      </c>
      <c r="Y343" s="549">
        <f>IFERROR(Y340/H340,"0")+IFERROR(Y341/H341,"0")+IFERROR(Y342/H342,"0")</f>
        <v>218</v>
      </c>
      <c r="Z343" s="549">
        <f>IFERROR(IF(Z340="",0,Z340),"0")+IFERROR(IF(Z341="",0,Z341),"0")+IFERROR(IF(Z342="",0,Z342),"0")</f>
        <v>1.4191799999999999</v>
      </c>
      <c r="AA343" s="550"/>
      <c r="AB343" s="550"/>
      <c r="AC343" s="550"/>
    </row>
    <row r="344" spans="1:68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455</v>
      </c>
      <c r="Y344" s="549">
        <f>IFERROR(SUM(Y340:Y342),"0")</f>
        <v>457.80000000000007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1700</v>
      </c>
      <c r="Y348" s="548">
        <f t="shared" ref="Y348:Y354" si="36">IFERROR(IF(X348="",0,CEILING((X348/$H348),1)*$H348),"")</f>
        <v>1710</v>
      </c>
      <c r="Z348" s="36">
        <f>IFERROR(IF(Y348=0,"",ROUNDUP(Y348/H348,0)*0.02175),"")</f>
        <v>2.4794999999999998</v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1753.2666666666667</v>
      </c>
      <c r="BN348" s="64">
        <f t="shared" ref="BN348:BN354" si="38">IFERROR(Y348*I348/H348,"0")</f>
        <v>1763.5800000000002</v>
      </c>
      <c r="BO348" s="64">
        <f t="shared" ref="BO348:BO354" si="39">IFERROR(1/J348*(X348/H348),"0")</f>
        <v>2.3611111111111107</v>
      </c>
      <c r="BP348" s="64">
        <f t="shared" ref="BP348:BP354" si="40">IFERROR(1/J348*(Y348/H348),"0")</f>
        <v>2.375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800</v>
      </c>
      <c r="Y349" s="548">
        <f t="shared" si="36"/>
        <v>810</v>
      </c>
      <c r="Z349" s="36">
        <f>IFERROR(IF(Y349=0,"",ROUNDUP(Y349/H349,0)*0.02175),"")</f>
        <v>1.1744999999999999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si="37"/>
        <v>825.06666666666672</v>
      </c>
      <c r="BN349" s="64">
        <f t="shared" si="38"/>
        <v>835.38</v>
      </c>
      <c r="BO349" s="64">
        <f t="shared" si="39"/>
        <v>1.1111111111111112</v>
      </c>
      <c r="BP349" s="64">
        <f t="shared" si="40"/>
        <v>1.125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4">
        <v>4680115884830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1800</v>
      </c>
      <c r="Y350" s="548">
        <f t="shared" si="36"/>
        <v>1800</v>
      </c>
      <c r="Z350" s="36">
        <f>IFERROR(IF(Y350=0,"",ROUNDUP(Y350/H350,0)*0.02175),"")</f>
        <v>2.61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1856.4</v>
      </c>
      <c r="BN350" s="64">
        <f t="shared" si="38"/>
        <v>1856.4</v>
      </c>
      <c r="BO350" s="64">
        <f t="shared" si="39"/>
        <v>2.5</v>
      </c>
      <c r="BP350" s="64">
        <f t="shared" si="40"/>
        <v>2.5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4">
        <v>4680115887046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5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800</v>
      </c>
      <c r="Y351" s="548">
        <f t="shared" si="36"/>
        <v>810</v>
      </c>
      <c r="Z351" s="36">
        <f>IFERROR(IF(Y351=0,"",ROUNDUP(Y351/H351,0)*0.02175),"")</f>
        <v>1.1744999999999999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825.06666666666672</v>
      </c>
      <c r="BN351" s="64">
        <f t="shared" si="38"/>
        <v>835.38</v>
      </c>
      <c r="BO351" s="64">
        <f t="shared" si="39"/>
        <v>1.1111111111111112</v>
      </c>
      <c r="BP351" s="64">
        <f t="shared" si="40"/>
        <v>1.125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20</v>
      </c>
      <c r="Y354" s="548">
        <f t="shared" si="36"/>
        <v>20</v>
      </c>
      <c r="Z354" s="36">
        <f>IFERROR(IF(Y354=0,"",ROUNDUP(Y354/H354,0)*0.00902),"")</f>
        <v>3.6080000000000001E-2</v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20.76</v>
      </c>
      <c r="BN354" s="64">
        <f t="shared" si="38"/>
        <v>20.76</v>
      </c>
      <c r="BO354" s="64">
        <f t="shared" si="39"/>
        <v>3.0303030303030304E-2</v>
      </c>
      <c r="BP354" s="64">
        <f t="shared" si="40"/>
        <v>3.0303030303030304E-2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343.99999999999994</v>
      </c>
      <c r="Y355" s="549">
        <f>IFERROR(Y348/H348,"0")+IFERROR(Y349/H349,"0")+IFERROR(Y350/H350,"0")+IFERROR(Y351/H351,"0")+IFERROR(Y352/H352,"0")+IFERROR(Y353/H353,"0")+IFERROR(Y354/H354,"0")</f>
        <v>346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7.4745799999999996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5120</v>
      </c>
      <c r="Y356" s="549">
        <f>IFERROR(SUM(Y348:Y354),"0")</f>
        <v>5150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/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1400</v>
      </c>
      <c r="Y358" s="548">
        <f>IFERROR(IF(X358="",0,CEILING((X358/$H358),1)*$H358),"")</f>
        <v>1410</v>
      </c>
      <c r="Z358" s="36">
        <f>IFERROR(IF(Y358=0,"",ROUNDUP(Y358/H358,0)*0.02175),"")</f>
        <v>2.0444999999999998</v>
      </c>
      <c r="AA358" s="56"/>
      <c r="AB358" s="57"/>
      <c r="AC358" s="415" t="s">
        <v>577</v>
      </c>
      <c r="AG358" s="64"/>
      <c r="AJ358" s="68"/>
      <c r="AK358" s="68">
        <v>0</v>
      </c>
      <c r="BB358" s="416" t="s">
        <v>1</v>
      </c>
      <c r="BM358" s="64">
        <f>IFERROR(X358*I358/H358,"0")</f>
        <v>1443.8666666666666</v>
      </c>
      <c r="BN358" s="64">
        <f>IFERROR(Y358*I358/H358,"0")</f>
        <v>1454.18</v>
      </c>
      <c r="BO358" s="64">
        <f>IFERROR(1/J358*(X358/H358),"0")</f>
        <v>1.9444444444444442</v>
      </c>
      <c r="BP358" s="64">
        <f>IFERROR(1/J358*(Y358/H358),"0")</f>
        <v>1.9583333333333333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16</v>
      </c>
      <c r="Y359" s="548">
        <f>IFERROR(IF(X359="",0,CEILING((X359/$H359),1)*$H359),"")</f>
        <v>16</v>
      </c>
      <c r="Z359" s="36">
        <f>IFERROR(IF(Y359=0,"",ROUNDUP(Y359/H359,0)*0.00902),"")</f>
        <v>3.6080000000000001E-2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16.760000000000002</v>
      </c>
      <c r="BN359" s="64">
        <f>IFERROR(Y359*I359/H359,"0")</f>
        <v>16.760000000000002</v>
      </c>
      <c r="BO359" s="64">
        <f>IFERROR(1/J359*(X359/H359),"0")</f>
        <v>3.0303030303030304E-2</v>
      </c>
      <c r="BP359" s="64">
        <f>IFERROR(1/J359*(Y359/H359),"0")</f>
        <v>3.0303030303030304E-2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97.333333333333329</v>
      </c>
      <c r="Y360" s="549">
        <f>IFERROR(Y358/H358,"0")+IFERROR(Y359/H359,"0")</f>
        <v>98</v>
      </c>
      <c r="Z360" s="549">
        <f>IFERROR(IF(Z358="",0,Z358),"0")+IFERROR(IF(Z359="",0,Z359),"0")</f>
        <v>2.0805799999999999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1416</v>
      </c>
      <c r="Y361" s="549">
        <f>IFERROR(SUM(Y358:Y359),"0")</f>
        <v>1426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20</v>
      </c>
      <c r="Y368" s="548">
        <f>IFERROR(IF(X368="",0,CEILING((X368/$H368),1)*$H368),"")</f>
        <v>27</v>
      </c>
      <c r="Z368" s="36">
        <f>IFERROR(IF(Y368=0,"",ROUNDUP(Y368/H368,0)*0.01898),"")</f>
        <v>5.6940000000000004E-2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21.097777777777779</v>
      </c>
      <c r="BN368" s="64">
        <f>IFERROR(Y368*I368/H368,"0")</f>
        <v>28.481999999999996</v>
      </c>
      <c r="BO368" s="64">
        <f>IFERROR(1/J368*(X368/H368),"0")</f>
        <v>3.4722222222222224E-2</v>
      </c>
      <c r="BP368" s="64">
        <f>IFERROR(1/J368*(Y368/H368),"0")</f>
        <v>4.6875E-2</v>
      </c>
    </row>
    <row r="369" spans="1:68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2.2222222222222223</v>
      </c>
      <c r="Y369" s="549">
        <f>IFERROR(Y368/H368,"0")</f>
        <v>3</v>
      </c>
      <c r="Z369" s="549">
        <f>IFERROR(IF(Z368="",0,Z368),"0")</f>
        <v>5.6940000000000004E-2</v>
      </c>
      <c r="AA369" s="550"/>
      <c r="AB369" s="550"/>
      <c r="AC369" s="550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20</v>
      </c>
      <c r="Y370" s="549">
        <f>IFERROR(SUM(Y368:Y368),"0")</f>
        <v>27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40</v>
      </c>
      <c r="Y373" s="548">
        <f>IFERROR(IF(X373="",0,CEILING((X373/$H373),1)*$H373),"")</f>
        <v>48</v>
      </c>
      <c r="Z373" s="36">
        <f>IFERROR(IF(Y373=0,"",ROUNDUP(Y373/H373,0)*0.01898),"")</f>
        <v>7.5920000000000001E-2</v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41.366666666666667</v>
      </c>
      <c r="BN373" s="64">
        <f>IFERROR(Y373*I373/H373,"0")</f>
        <v>49.640000000000008</v>
      </c>
      <c r="BO373" s="64">
        <f>IFERROR(1/J373*(X373/H373),"0")</f>
        <v>5.2083333333333336E-2</v>
      </c>
      <c r="BP373" s="64">
        <f>IFERROR(1/J373*(Y373/H373),"0")</f>
        <v>6.25E-2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3.3333333333333335</v>
      </c>
      <c r="Y375" s="549">
        <f>IFERROR(Y373/H373,"0")+IFERROR(Y374/H374,"0")</f>
        <v>4</v>
      </c>
      <c r="Z375" s="549">
        <f>IFERROR(IF(Z373="",0,Z373),"0")+IFERROR(IF(Z374="",0,Z374),"0")</f>
        <v>7.5920000000000001E-2</v>
      </c>
      <c r="AA375" s="550"/>
      <c r="AB375" s="550"/>
      <c r="AC375" s="550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40</v>
      </c>
      <c r="Y376" s="549">
        <f>IFERROR(SUM(Y373:Y374),"0")</f>
        <v>48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4301031303</v>
      </c>
      <c r="D378" s="554">
        <v>4607091384802</v>
      </c>
      <c r="E378" s="555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35</v>
      </c>
      <c r="P378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4301031457</v>
      </c>
      <c r="D379" s="554">
        <v>4607091384802</v>
      </c>
      <c r="E379" s="555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120</v>
      </c>
      <c r="Y383" s="548">
        <f>IFERROR(IF(X383="",0,CEILING((X383/$H383),1)*$H383),"")</f>
        <v>126</v>
      </c>
      <c r="Z383" s="36">
        <f>IFERROR(IF(Y383=0,"",ROUNDUP(Y383/H383,0)*0.01898),"")</f>
        <v>0.26572000000000001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126.58666666666666</v>
      </c>
      <c r="BN383" s="64">
        <f>IFERROR(Y383*I383/H383,"0")</f>
        <v>132.916</v>
      </c>
      <c r="BO383" s="64">
        <f>IFERROR(1/J383*(X383/H383),"0")</f>
        <v>0.20833333333333334</v>
      </c>
      <c r="BP383" s="64">
        <f>IFERROR(1/J383*(Y383/H383),"0")</f>
        <v>0.21875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13.333333333333334</v>
      </c>
      <c r="Y386" s="549">
        <f>IFERROR(Y383/H383,"0")+IFERROR(Y384/H384,"0")+IFERROR(Y385/H385,"0")</f>
        <v>14</v>
      </c>
      <c r="Z386" s="549">
        <f>IFERROR(IF(Z383="",0,Z383),"0")+IFERROR(IF(Z384="",0,Z384),"0")+IFERROR(IF(Z385="",0,Z385),"0")</f>
        <v>0.26572000000000001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120</v>
      </c>
      <c r="Y387" s="549">
        <f>IFERROR(SUM(Y383:Y385),"0")</f>
        <v>126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 t="s">
        <v>292</v>
      </c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35</v>
      </c>
      <c r="Y395" s="548">
        <f t="shared" si="41"/>
        <v>35.700000000000003</v>
      </c>
      <c r="Z395" s="36">
        <f t="shared" si="46"/>
        <v>8.5339999999999999E-2</v>
      </c>
      <c r="AA395" s="56"/>
      <c r="AB395" s="57"/>
      <c r="AC395" s="447" t="s">
        <v>612</v>
      </c>
      <c r="AG395" s="64"/>
      <c r="AJ395" s="68" t="s">
        <v>108</v>
      </c>
      <c r="AK395" s="68">
        <v>37.799999999999997</v>
      </c>
      <c r="BB395" s="448" t="s">
        <v>1</v>
      </c>
      <c r="BM395" s="64">
        <f t="shared" si="42"/>
        <v>37.166666666666664</v>
      </c>
      <c r="BN395" s="64">
        <f t="shared" si="43"/>
        <v>37.910000000000004</v>
      </c>
      <c r="BO395" s="64">
        <f t="shared" si="44"/>
        <v>7.1225071225071226E-2</v>
      </c>
      <c r="BP395" s="64">
        <f t="shared" si="45"/>
        <v>7.2649572649572655E-2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 t="s">
        <v>292</v>
      </c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7</v>
      </c>
      <c r="Y396" s="548">
        <f t="shared" si="41"/>
        <v>8.4</v>
      </c>
      <c r="Z396" s="36">
        <f t="shared" si="46"/>
        <v>2.0080000000000001E-2</v>
      </c>
      <c r="AA396" s="56"/>
      <c r="AB396" s="57"/>
      <c r="AC396" s="449" t="s">
        <v>625</v>
      </c>
      <c r="AG396" s="64"/>
      <c r="AJ396" s="68" t="s">
        <v>108</v>
      </c>
      <c r="AK396" s="68">
        <v>37.799999999999997</v>
      </c>
      <c r="BB396" s="450" t="s">
        <v>1</v>
      </c>
      <c r="BM396" s="64">
        <f t="shared" si="42"/>
        <v>7.4333333333333327</v>
      </c>
      <c r="BN396" s="64">
        <f t="shared" si="43"/>
        <v>8.92</v>
      </c>
      <c r="BO396" s="64">
        <f t="shared" si="44"/>
        <v>1.4245014245014245E-2</v>
      </c>
      <c r="BP396" s="64">
        <f t="shared" si="45"/>
        <v>1.7094017094017096E-2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70</v>
      </c>
      <c r="Y398" s="548">
        <f t="shared" si="41"/>
        <v>71.400000000000006</v>
      </c>
      <c r="Z398" s="36">
        <f t="shared" si="46"/>
        <v>0.17068</v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74.333333333333329</v>
      </c>
      <c r="BN398" s="64">
        <f t="shared" si="43"/>
        <v>75.820000000000007</v>
      </c>
      <c r="BO398" s="64">
        <f t="shared" si="44"/>
        <v>0.14245014245014245</v>
      </c>
      <c r="BP398" s="64">
        <f t="shared" si="45"/>
        <v>0.14529914529914531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53.333333333333329</v>
      </c>
      <c r="Y400" s="549">
        <f>IFERROR(Y391/H391,"0")+IFERROR(Y392/H392,"0")+IFERROR(Y393/H393,"0")+IFERROR(Y394/H394,"0")+IFERROR(Y395/H395,"0")+IFERROR(Y396/H396,"0")+IFERROR(Y397/H397,"0")+IFERROR(Y398/H398,"0")+IFERROR(Y399/H399,"0")</f>
        <v>55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0.27610000000000001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112</v>
      </c>
      <c r="Y401" s="549">
        <f>IFERROR(SUM(Y391:Y399),"0")</f>
        <v>115.5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31.5</v>
      </c>
      <c r="Y416" s="548">
        <f>IFERROR(IF(X416="",0,CEILING((X416/$H416),1)*$H416),"")</f>
        <v>31.5</v>
      </c>
      <c r="Z416" s="36">
        <f>IFERROR(IF(Y416=0,"",ROUNDUP(Y416/H416,0)*0.00502),"")</f>
        <v>7.5300000000000006E-2</v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33.450000000000003</v>
      </c>
      <c r="BN416" s="64">
        <f>IFERROR(Y416*I416/H416,"0")</f>
        <v>33.450000000000003</v>
      </c>
      <c r="BO416" s="64">
        <f>IFERROR(1/J416*(X416/H416),"0")</f>
        <v>6.4102564102564111E-2</v>
      </c>
      <c r="BP416" s="64">
        <f>IFERROR(1/J416*(Y416/H416),"0")</f>
        <v>6.4102564102564111E-2</v>
      </c>
    </row>
    <row r="417" spans="1:68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15</v>
      </c>
      <c r="Y417" s="549">
        <f>IFERROR(Y413/H413,"0")+IFERROR(Y414/H414,"0")+IFERROR(Y415/H415,"0")+IFERROR(Y416/H416,"0")</f>
        <v>15</v>
      </c>
      <c r="Z417" s="549">
        <f>IFERROR(IF(Z413="",0,Z413),"0")+IFERROR(IF(Z414="",0,Z414),"0")+IFERROR(IF(Z415="",0,Z415),"0")+IFERROR(IF(Z416="",0,Z416),"0")</f>
        <v>7.5300000000000006E-2</v>
      </c>
      <c r="AA417" s="550"/>
      <c r="AB417" s="550"/>
      <c r="AC417" s="550"/>
    </row>
    <row r="418" spans="1:68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31.5</v>
      </c>
      <c r="Y418" s="549">
        <f>IFERROR(SUM(Y413:Y416),"0")</f>
        <v>31.5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 t="s">
        <v>223</v>
      </c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60</v>
      </c>
      <c r="Y421" s="548">
        <f>IFERROR(IF(X421="",0,CEILING((X421/$H421),1)*$H421),"")</f>
        <v>60</v>
      </c>
      <c r="Z421" s="36">
        <f>IFERROR(IF(Y421=0,"",ROUNDUP(Y421/H421,0)*0.00651),"")</f>
        <v>0.32550000000000001</v>
      </c>
      <c r="AA421" s="56"/>
      <c r="AB421" s="57"/>
      <c r="AC421" s="471" t="s">
        <v>658</v>
      </c>
      <c r="AG421" s="64"/>
      <c r="AJ421" s="68" t="s">
        <v>108</v>
      </c>
      <c r="AK421" s="68">
        <v>16.8</v>
      </c>
      <c r="BB421" s="472" t="s">
        <v>1</v>
      </c>
      <c r="BM421" s="64">
        <f>IFERROR(X421*I421/H421,"0")</f>
        <v>105</v>
      </c>
      <c r="BN421" s="64">
        <f>IFERROR(Y421*I421/H421,"0")</f>
        <v>105</v>
      </c>
      <c r="BO421" s="64">
        <f>IFERROR(1/J421*(X421/H421),"0")</f>
        <v>0.27472527472527475</v>
      </c>
      <c r="BP421" s="64">
        <f>IFERROR(1/J421*(Y421/H421),"0")</f>
        <v>0.27472527472527475</v>
      </c>
    </row>
    <row r="422" spans="1:68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50</v>
      </c>
      <c r="Y422" s="549">
        <f>IFERROR(Y421/H421,"0")</f>
        <v>50</v>
      </c>
      <c r="Z422" s="549">
        <f>IFERROR(IF(Z421="",0,Z421),"0")</f>
        <v>0.32550000000000001</v>
      </c>
      <c r="AA422" s="550"/>
      <c r="AB422" s="550"/>
      <c r="AC422" s="550"/>
    </row>
    <row r="423" spans="1:68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60</v>
      </c>
      <c r="Y423" s="549">
        <f>IFERROR(SUM(Y421:Y421),"0")</f>
        <v>60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200</v>
      </c>
      <c r="Y431" s="548">
        <f t="shared" si="47"/>
        <v>200.64000000000001</v>
      </c>
      <c r="Z431" s="36">
        <f t="shared" si="48"/>
        <v>0.45448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213.25757575757575</v>
      </c>
      <c r="BN431" s="64">
        <f t="shared" si="50"/>
        <v>213.94</v>
      </c>
      <c r="BO431" s="64">
        <f t="shared" si="51"/>
        <v>0.36421911421911418</v>
      </c>
      <c r="BP431" s="64">
        <f t="shared" si="52"/>
        <v>0.36538461538461542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100</v>
      </c>
      <c r="Y433" s="548">
        <f t="shared" si="47"/>
        <v>100.32000000000001</v>
      </c>
      <c r="Z433" s="36">
        <f t="shared" si="48"/>
        <v>0.22724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120</v>
      </c>
      <c r="Y435" s="548">
        <f t="shared" si="47"/>
        <v>120</v>
      </c>
      <c r="Z435" s="36">
        <f>IFERROR(IF(Y435=0,"",ROUNDUP(Y435/H435,0)*0.00902),"")</f>
        <v>0.22550000000000001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172.75000000000003</v>
      </c>
      <c r="BN435" s="64">
        <f t="shared" si="50"/>
        <v>172.75000000000003</v>
      </c>
      <c r="BO435" s="64">
        <f t="shared" si="51"/>
        <v>0.18939393939393939</v>
      </c>
      <c r="BP435" s="64">
        <f t="shared" si="52"/>
        <v>0.18939393939393939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120</v>
      </c>
      <c r="Y438" s="548">
        <f t="shared" si="47"/>
        <v>120</v>
      </c>
      <c r="Z438" s="36">
        <f>IFERROR(IF(Y438=0,"",ROUNDUP(Y438/H438,0)*0.00902),"")</f>
        <v>0.22550000000000001</v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172.75000000000003</v>
      </c>
      <c r="BN438" s="64">
        <f t="shared" si="50"/>
        <v>172.75000000000003</v>
      </c>
      <c r="BO438" s="64">
        <f t="shared" si="51"/>
        <v>0.18939393939393939</v>
      </c>
      <c r="BP438" s="64">
        <f t="shared" si="52"/>
        <v>0.18939393939393939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106.81818181818181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107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1.1327199999999999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540</v>
      </c>
      <c r="Y440" s="549">
        <f>IFERROR(SUM(Y427:Y438),"0")</f>
        <v>540.96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200</v>
      </c>
      <c r="Y442" s="548">
        <f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213.25757575757575</v>
      </c>
      <c r="BN442" s="64">
        <f>IFERROR(Y442*I442/H442,"0")</f>
        <v>213.94</v>
      </c>
      <c r="BO442" s="64">
        <f>IFERROR(1/J442*(X442/H442),"0")</f>
        <v>0.36421911421911418</v>
      </c>
      <c r="BP442" s="64">
        <f>IFERROR(1/J442*(Y442/H442),"0")</f>
        <v>0.36538461538461542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37.878787878787875</v>
      </c>
      <c r="Y445" s="549">
        <f>IFERROR(Y442/H442,"0")+IFERROR(Y443/H443,"0")+IFERROR(Y444/H444,"0")</f>
        <v>38</v>
      </c>
      <c r="Z445" s="549">
        <f>IFERROR(IF(Z442="",0,Z442),"0")+IFERROR(IF(Z443="",0,Z443),"0")+IFERROR(IF(Z444="",0,Z444),"0")</f>
        <v>0.45448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200</v>
      </c>
      <c r="Y446" s="549">
        <f>IFERROR(SUM(Y442:Y444),"0")</f>
        <v>200.64000000000001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hidden="1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50</v>
      </c>
      <c r="Y449" s="548">
        <f t="shared" si="53"/>
        <v>52.800000000000004</v>
      </c>
      <c r="Z449" s="36">
        <f>IFERROR(IF(Y449=0,"",ROUNDUP(Y449/H449,0)*0.01196),"")</f>
        <v>0.1196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53.314393939393938</v>
      </c>
      <c r="BN449" s="64">
        <f t="shared" si="55"/>
        <v>56.3</v>
      </c>
      <c r="BO449" s="64">
        <f t="shared" si="56"/>
        <v>9.1054778554778545E-2</v>
      </c>
      <c r="BP449" s="64">
        <f t="shared" si="57"/>
        <v>9.6153846153846159E-2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100</v>
      </c>
      <c r="Y450" s="548">
        <f t="shared" si="53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106.62878787878788</v>
      </c>
      <c r="BN450" s="64">
        <f t="shared" si="55"/>
        <v>106.97</v>
      </c>
      <c r="BO450" s="64">
        <f t="shared" si="56"/>
        <v>0.18210955710955709</v>
      </c>
      <c r="BP450" s="64">
        <f t="shared" si="57"/>
        <v>0.18269230769230771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 t="s">
        <v>114</v>
      </c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120</v>
      </c>
      <c r="Y451" s="548">
        <f t="shared" si="53"/>
        <v>120</v>
      </c>
      <c r="Z451" s="36">
        <f>IFERROR(IF(Y451=0,"",ROUNDUP(Y451/H451,0)*0.00902),"")</f>
        <v>0.22550000000000001</v>
      </c>
      <c r="AA451" s="56"/>
      <c r="AB451" s="57"/>
      <c r="AC451" s="509" t="s">
        <v>698</v>
      </c>
      <c r="AG451" s="64"/>
      <c r="AJ451" s="68" t="s">
        <v>108</v>
      </c>
      <c r="AK451" s="68">
        <v>57.6</v>
      </c>
      <c r="BB451" s="510" t="s">
        <v>1</v>
      </c>
      <c r="BM451" s="64">
        <f t="shared" si="54"/>
        <v>172.75000000000003</v>
      </c>
      <c r="BN451" s="64">
        <f t="shared" si="55"/>
        <v>172.75000000000003</v>
      </c>
      <c r="BO451" s="64">
        <f t="shared" si="56"/>
        <v>0.18939393939393939</v>
      </c>
      <c r="BP451" s="64">
        <f t="shared" si="57"/>
        <v>0.18939393939393939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 t="s">
        <v>114</v>
      </c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 t="s">
        <v>108</v>
      </c>
      <c r="AK452" s="68">
        <v>57.6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 t="s">
        <v>114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60</v>
      </c>
      <c r="Y453" s="548">
        <f t="shared" si="53"/>
        <v>62.4</v>
      </c>
      <c r="Z453" s="36">
        <f>IFERROR(IF(Y453=0,"",ROUNDUP(Y453/H453,0)*0.00902),"")</f>
        <v>0.11726</v>
      </c>
      <c r="AA453" s="56"/>
      <c r="AB453" s="57"/>
      <c r="AC453" s="513" t="s">
        <v>704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83.375</v>
      </c>
      <c r="BN453" s="64">
        <f t="shared" si="55"/>
        <v>86.71</v>
      </c>
      <c r="BO453" s="64">
        <f t="shared" si="56"/>
        <v>9.4696969696969696E-2</v>
      </c>
      <c r="BP453" s="64">
        <f t="shared" si="57"/>
        <v>9.8484848484848481E-2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65.909090909090907</v>
      </c>
      <c r="Y454" s="549">
        <f>IFERROR(Y448/H448,"0")+IFERROR(Y449/H449,"0")+IFERROR(Y450/H450,"0")+IFERROR(Y451/H451,"0")+IFERROR(Y452/H452,"0")+IFERROR(Y453/H453,"0")</f>
        <v>67</v>
      </c>
      <c r="Z454" s="549">
        <f>IFERROR(IF(Z448="",0,Z448),"0")+IFERROR(IF(Z449="",0,Z449),"0")+IFERROR(IF(Z450="",0,Z450),"0")+IFERROR(IF(Z451="",0,Z451),"0")+IFERROR(IF(Z452="",0,Z452),"0")+IFERROR(IF(Z453="",0,Z453),"0")</f>
        <v>0.68959999999999999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330</v>
      </c>
      <c r="Y455" s="549">
        <f>IFERROR(SUM(Y448:Y453),"0")</f>
        <v>335.52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1000</v>
      </c>
      <c r="Y479" s="548">
        <f>IFERROR(IF(X479="",0,CEILING((X479/$H479),1)*$H479),"")</f>
        <v>1008</v>
      </c>
      <c r="Z479" s="36">
        <f>IFERROR(IF(Y479=0,"",ROUNDUP(Y479/H479,0)*0.01898),"")</f>
        <v>2.1257600000000001</v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1054.8888888888889</v>
      </c>
      <c r="BN479" s="64">
        <f>IFERROR(Y479*I479/H479,"0")</f>
        <v>1063.328</v>
      </c>
      <c r="BO479" s="64">
        <f>IFERROR(1/J479*(X479/H479),"0")</f>
        <v>1.7361111111111112</v>
      </c>
      <c r="BP479" s="64">
        <f>IFERROR(1/J479*(Y479/H479),"0")</f>
        <v>1.75</v>
      </c>
    </row>
    <row r="480" spans="1:68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111.11111111111111</v>
      </c>
      <c r="Y480" s="549">
        <f>IFERROR(Y479/H479,"0")</f>
        <v>112</v>
      </c>
      <c r="Z480" s="549">
        <f>IFERROR(IF(Z479="",0,Z479),"0")</f>
        <v>2.1257600000000001</v>
      </c>
      <c r="AA480" s="550"/>
      <c r="AB480" s="550"/>
      <c r="AC480" s="550"/>
    </row>
    <row r="481" spans="1:68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1000</v>
      </c>
      <c r="Y481" s="549">
        <f>IFERROR(SUM(Y479:Y479),"0")</f>
        <v>1008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17506.599999999999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17688.759999999998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18565.184665993864</v>
      </c>
      <c r="Y493" s="549">
        <f>IFERROR(SUM(BN22:BN489),"0")</f>
        <v>18757.657999999996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30</v>
      </c>
      <c r="Y494" s="38">
        <f>ROUNDUP(SUM(BP22:BP489),0)</f>
        <v>30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19315.184665993864</v>
      </c>
      <c r="Y495" s="549">
        <f>GrossWeightTotalR+PalletQtyTotalR*25</f>
        <v>19507.657999999996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3200.7523445052193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3233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34.365170000000006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192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819.2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1329.9000000000003</v>
      </c>
      <c r="E502" s="46">
        <f>IFERROR(Y85*1,"0")+IFERROR(Y86*1,"0")+IFERROR(Y87*1,"0")+IFERROR(Y88*1,"0")+IFERROR(Y92*1,"0")+IFERROR(Y93*1,"0")+IFERROR(Y94*1,"0")+IFERROR(Y95*1,"0")</f>
        <v>1166.4000000000001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575.46</v>
      </c>
      <c r="G502" s="46">
        <f>IFERROR(Y127*1,"0")+IFERROR(Y128*1,"0")+IFERROR(Y132*1,"0")+IFERROR(Y133*1,"0")+IFERROR(Y137*1,"0")+IFERROR(Y138*1,"0")</f>
        <v>192.32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699.36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1761.3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243.39999999999998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1374.5</v>
      </c>
      <c r="R502" s="46">
        <f>IFERROR(Y340*1,"0")+IFERROR(Y341*1,"0")+IFERROR(Y342*1,"0")</f>
        <v>457.80000000000007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6603</v>
      </c>
      <c r="T502" s="46">
        <f>IFERROR(Y373*1,"0")+IFERROR(Y374*1,"0")+IFERROR(Y378*1,"0")+IFERROR(Y379*1,"0")+IFERROR(Y383*1,"0")+IFERROR(Y384*1,"0")+IFERROR(Y385*1,"0")</f>
        <v>174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115.5</v>
      </c>
      <c r="V502" s="46">
        <f>IFERROR(Y409*1,"0")+IFERROR(Y413*1,"0")+IFERROR(Y414*1,"0")+IFERROR(Y415*1,"0")+IFERROR(Y416*1,"0")</f>
        <v>31.5</v>
      </c>
      <c r="W502" s="46">
        <f>IFERROR(Y421*1,"0")</f>
        <v>60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1077.1200000000001</v>
      </c>
      <c r="Y502" s="46">
        <f>IFERROR(Y463*1,"0")+IFERROR(Y464*1,"0")+IFERROR(Y465*1,"0")+IFERROR(Y466*1,"0")+IFERROR(Y470*1,"0")+IFERROR(Y471*1,"0")+IFERROR(Y475*1,"0")+IFERROR(Y479*1,"0")+IFERROR(Y483*1,"0")+IFERROR(Y484*1,"0")</f>
        <v>1008</v>
      </c>
      <c r="Z502" s="46">
        <f>IFERROR(Y489*1,"0")</f>
        <v>0</v>
      </c>
      <c r="AB502" s="52"/>
      <c r="AC502" s="52"/>
      <c r="AF502" s="545"/>
    </row>
  </sheetData>
  <sheetProtection algorithmName="SHA-512" hashValue="QsSWnUZJ3wE2E5IJ9YABsJNai39NhQK7TE6mUi8gHEf7IAkwyS4wEU9u4zDsBVsNx8vTlt87IKYu2hlYp/bLwA==" saltValue="Nyj2iqC/o3ibxhsjYoPB/A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84,00"/>
        <filter val="1 400,00"/>
        <filter val="1 416,00"/>
        <filter val="1 700,00"/>
        <filter val="1 800,00"/>
        <filter val="10,50"/>
        <filter val="100,00"/>
        <filter val="105,00"/>
        <filter val="105,49"/>
        <filter val="106,82"/>
        <filter val="11,67"/>
        <filter val="111,11"/>
        <filter val="112,00"/>
        <filter val="119,63"/>
        <filter val="12,00"/>
        <filter val="12,50"/>
        <filter val="12,82"/>
        <filter val="120,00"/>
        <filter val="13,33"/>
        <filter val="131,90"/>
        <filter val="136,00"/>
        <filter val="140,00"/>
        <filter val="147,78"/>
        <filter val="15,00"/>
        <filter val="150,00"/>
        <filter val="16,00"/>
        <filter val="16,50"/>
        <filter val="163,15"/>
        <filter val="168,52"/>
        <filter val="17 506,60"/>
        <filter val="170,00"/>
        <filter val="175,00"/>
        <filter val="18 565,18"/>
        <filter val="18,89"/>
        <filter val="180,00"/>
        <filter val="19 315,18"/>
        <filter val="19,66"/>
        <filter val="190,00"/>
        <filter val="2,22"/>
        <filter val="20,00"/>
        <filter val="200,00"/>
        <filter val="21,00"/>
        <filter val="216,67"/>
        <filter val="23,10"/>
        <filter val="24,00"/>
        <filter val="245,00"/>
        <filter val="25,00"/>
        <filter val="250,00"/>
        <filter val="260,95"/>
        <filter val="28,00"/>
        <filter val="280,00"/>
        <filter val="29,00"/>
        <filter val="3 200,75"/>
        <filter val="3,33"/>
        <filter val="30"/>
        <filter val="300,00"/>
        <filter val="305,00"/>
        <filter val="31,50"/>
        <filter val="324,44"/>
        <filter val="33,00"/>
        <filter val="330,00"/>
        <filter val="34,00"/>
        <filter val="344,00"/>
        <filter val="35,00"/>
        <filter val="360,00"/>
        <filter val="37,50"/>
        <filter val="37,88"/>
        <filter val="380,00"/>
        <filter val="40,00"/>
        <filter val="45,00"/>
        <filter val="450,00"/>
        <filter val="455,00"/>
        <filter val="48,00"/>
        <filter val="5 120,00"/>
        <filter val="5,00"/>
        <filter val="50,00"/>
        <filter val="516,50"/>
        <filter val="53,33"/>
        <filter val="54,00"/>
        <filter val="540,00"/>
        <filter val="55,56"/>
        <filter val="560,00"/>
        <filter val="6,00"/>
        <filter val="60,00"/>
        <filter val="600,00"/>
        <filter val="609,00"/>
        <filter val="65,91"/>
        <filter val="66,67"/>
        <filter val="675,00"/>
        <filter val="7,00"/>
        <filter val="70,00"/>
        <filter val="75,00"/>
        <filter val="79,01"/>
        <filter val="8,33"/>
        <filter val="80,00"/>
        <filter val="800,00"/>
        <filter val="810,00"/>
        <filter val="840,00"/>
        <filter val="85,19"/>
        <filter val="875,00"/>
        <filter val="90,00"/>
        <filter val="96,00"/>
        <filter val="97,33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7:X169 X171 X173 X176 X203:X210 X216:X217 X219 X221:X222 X226:X227 X232 X234:X235 X239 X279 X307:X309 X320:X322 X328:X329 X333 X335 X341:X342 X364 X373 X383 X395:X396 X398 X421 X427 X431 X433 X442 X448:X453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03Op0c79GQoj8Nq9FuUQpE1kpAtfJY0iOWqNM9np32AaFJiLSyG3ZfKMer4RieK7FXXCorIz1YP/Fxewt8M3w==" saltValue="tIQ0Yx6pBLbW16JgK0h2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