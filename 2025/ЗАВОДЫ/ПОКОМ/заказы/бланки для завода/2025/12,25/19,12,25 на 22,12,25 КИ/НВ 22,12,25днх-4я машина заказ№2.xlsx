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A9A9531-39F2-498E-9CFF-BE96785F74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Z203" i="1" s="1"/>
  <c r="P203" i="1"/>
  <c r="X201" i="1"/>
  <c r="X200" i="1"/>
  <c r="BO199" i="1"/>
  <c r="BM199" i="1"/>
  <c r="Y199" i="1"/>
  <c r="P199" i="1"/>
  <c r="BO198" i="1"/>
  <c r="BM198" i="1"/>
  <c r="Y198" i="1"/>
  <c r="Y200" i="1" s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Y185" i="1" s="1"/>
  <c r="P183" i="1"/>
  <c r="BP182" i="1"/>
  <c r="BO182" i="1"/>
  <c r="BN182" i="1"/>
  <c r="BM182" i="1"/>
  <c r="Z182" i="1"/>
  <c r="Y182" i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N128" i="1"/>
  <c r="BM128" i="1"/>
  <c r="Z128" i="1"/>
  <c r="Y128" i="1"/>
  <c r="BP128" i="1" s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BP115" i="1" s="1"/>
  <c r="P115" i="1"/>
  <c r="X113" i="1"/>
  <c r="X112" i="1"/>
  <c r="BO111" i="1"/>
  <c r="BM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Y64" i="1" s="1"/>
  <c r="P62" i="1"/>
  <c r="BP61" i="1"/>
  <c r="BO61" i="1"/>
  <c r="BN61" i="1"/>
  <c r="BM61" i="1"/>
  <c r="Z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68" i="1" l="1"/>
  <c r="BN168" i="1"/>
  <c r="Z168" i="1"/>
  <c r="Y190" i="1"/>
  <c r="Y189" i="1"/>
  <c r="BP188" i="1"/>
  <c r="BN188" i="1"/>
  <c r="Z188" i="1"/>
  <c r="Z189" i="1" s="1"/>
  <c r="BP193" i="1"/>
  <c r="BN193" i="1"/>
  <c r="Z193" i="1"/>
  <c r="BP218" i="1"/>
  <c r="BN218" i="1"/>
  <c r="Z218" i="1"/>
  <c r="BP253" i="1"/>
  <c r="BN253" i="1"/>
  <c r="Z253" i="1"/>
  <c r="BP285" i="1"/>
  <c r="BN285" i="1"/>
  <c r="Z285" i="1"/>
  <c r="BP316" i="1"/>
  <c r="BN316" i="1"/>
  <c r="Z316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X496" i="1"/>
  <c r="Z28" i="1"/>
  <c r="BN28" i="1"/>
  <c r="Z55" i="1"/>
  <c r="BN55" i="1"/>
  <c r="Z67" i="1"/>
  <c r="BN67" i="1"/>
  <c r="Z86" i="1"/>
  <c r="BN86" i="1"/>
  <c r="Z101" i="1"/>
  <c r="BN101" i="1"/>
  <c r="Z115" i="1"/>
  <c r="BN115" i="1"/>
  <c r="Y120" i="1"/>
  <c r="BP132" i="1"/>
  <c r="BN132" i="1"/>
  <c r="Z132" i="1"/>
  <c r="BP176" i="1"/>
  <c r="BN176" i="1"/>
  <c r="Z176" i="1"/>
  <c r="BP208" i="1"/>
  <c r="BN208" i="1"/>
  <c r="Z208" i="1"/>
  <c r="BP233" i="1"/>
  <c r="BN233" i="1"/>
  <c r="Z233" i="1"/>
  <c r="BP271" i="1"/>
  <c r="BN271" i="1"/>
  <c r="Z271" i="1"/>
  <c r="BP304" i="1"/>
  <c r="BN304" i="1"/>
  <c r="Z304" i="1"/>
  <c r="BP328" i="1"/>
  <c r="BN328" i="1"/>
  <c r="Z328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BP73" i="1"/>
  <c r="BN73" i="1"/>
  <c r="Z73" i="1"/>
  <c r="BP88" i="1"/>
  <c r="BN88" i="1"/>
  <c r="Z88" i="1"/>
  <c r="BP103" i="1"/>
  <c r="BN103" i="1"/>
  <c r="Z103" i="1"/>
  <c r="BP117" i="1"/>
  <c r="BN117" i="1"/>
  <c r="Z117" i="1"/>
  <c r="BP152" i="1"/>
  <c r="BN152" i="1"/>
  <c r="Z152" i="1"/>
  <c r="BP174" i="1"/>
  <c r="BN174" i="1"/>
  <c r="Z174" i="1"/>
  <c r="BP184" i="1"/>
  <c r="BN184" i="1"/>
  <c r="Z184" i="1"/>
  <c r="BP206" i="1"/>
  <c r="BN206" i="1"/>
  <c r="Z206" i="1"/>
  <c r="BP216" i="1"/>
  <c r="BN216" i="1"/>
  <c r="Z216" i="1"/>
  <c r="BP226" i="1"/>
  <c r="BN226" i="1"/>
  <c r="Z226" i="1"/>
  <c r="BP239" i="1"/>
  <c r="BN239" i="1"/>
  <c r="Z239" i="1"/>
  <c r="BP264" i="1"/>
  <c r="BN264" i="1"/>
  <c r="Z264" i="1"/>
  <c r="BP280" i="1"/>
  <c r="BN280" i="1"/>
  <c r="Z280" i="1"/>
  <c r="Z22" i="1"/>
  <c r="BN22" i="1"/>
  <c r="Y25" i="1"/>
  <c r="X492" i="1"/>
  <c r="Y33" i="1"/>
  <c r="Z30" i="1"/>
  <c r="BN30" i="1"/>
  <c r="C502" i="1"/>
  <c r="Z53" i="1"/>
  <c r="BN53" i="1"/>
  <c r="Z57" i="1"/>
  <c r="BN57" i="1"/>
  <c r="Z63" i="1"/>
  <c r="BN63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70" i="1"/>
  <c r="BN170" i="1"/>
  <c r="Z170" i="1"/>
  <c r="BP178" i="1"/>
  <c r="BN178" i="1"/>
  <c r="Z178" i="1"/>
  <c r="BP199" i="1"/>
  <c r="BN199" i="1"/>
  <c r="Z199" i="1"/>
  <c r="BP210" i="1"/>
  <c r="BN210" i="1"/>
  <c r="Z210" i="1"/>
  <c r="BP220" i="1"/>
  <c r="BN220" i="1"/>
  <c r="Z220" i="1"/>
  <c r="BP235" i="1"/>
  <c r="BN235" i="1"/>
  <c r="Z235" i="1"/>
  <c r="BP255" i="1"/>
  <c r="BN255" i="1"/>
  <c r="Z255" i="1"/>
  <c r="BP273" i="1"/>
  <c r="BN273" i="1"/>
  <c r="Z273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Z323" i="1" s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59" i="1"/>
  <c r="Y458" i="1"/>
  <c r="BP457" i="1"/>
  <c r="BN457" i="1"/>
  <c r="Z457" i="1"/>
  <c r="Z458" i="1" s="1"/>
  <c r="Y467" i="1"/>
  <c r="BP463" i="1"/>
  <c r="BN463" i="1"/>
  <c r="Z463" i="1"/>
  <c r="Y69" i="1"/>
  <c r="Y96" i="1"/>
  <c r="Y145" i="1"/>
  <c r="Y154" i="1"/>
  <c r="BP300" i="1"/>
  <c r="BN300" i="1"/>
  <c r="Z300" i="1"/>
  <c r="BP314" i="1"/>
  <c r="BN314" i="1"/>
  <c r="Z314" i="1"/>
  <c r="Y330" i="1"/>
  <c r="BP326" i="1"/>
  <c r="BN326" i="1"/>
  <c r="Z326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502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71" i="1"/>
  <c r="BN471" i="1"/>
  <c r="Z471" i="1"/>
  <c r="Y387" i="1"/>
  <c r="Y386" i="1"/>
  <c r="Y485" i="1"/>
  <c r="H9" i="1"/>
  <c r="A10" i="1"/>
  <c r="B502" i="1"/>
  <c r="X493" i="1"/>
  <c r="X494" i="1"/>
  <c r="Z23" i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D502" i="1"/>
  <c r="Y59" i="1"/>
  <c r="BP52" i="1"/>
  <c r="BN52" i="1"/>
  <c r="Z52" i="1"/>
  <c r="BP56" i="1"/>
  <c r="BN56" i="1"/>
  <c r="Z56" i="1"/>
  <c r="Y65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Y134" i="1"/>
  <c r="H502" i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Y186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Y323" i="1"/>
  <c r="F9" i="1"/>
  <c r="J9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BP74" i="1"/>
  <c r="BN74" i="1"/>
  <c r="Z74" i="1"/>
  <c r="BP87" i="1"/>
  <c r="BN87" i="1"/>
  <c r="Z87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Z185" i="1" s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J502" i="1"/>
  <c r="Y195" i="1"/>
  <c r="Y212" i="1"/>
  <c r="BP203" i="1"/>
  <c r="BN203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BP349" i="1"/>
  <c r="BN349" i="1"/>
  <c r="Z349" i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85" i="1" l="1"/>
  <c r="Z472" i="1"/>
  <c r="Z405" i="1"/>
  <c r="Z330" i="1"/>
  <c r="Z287" i="1"/>
  <c r="Z223" i="1"/>
  <c r="Z139" i="1"/>
  <c r="Z119" i="1"/>
  <c r="Z112" i="1"/>
  <c r="Z44" i="1"/>
  <c r="Z24" i="1"/>
  <c r="Z467" i="1"/>
  <c r="Z439" i="1"/>
  <c r="Z355" i="1"/>
  <c r="Z211" i="1"/>
  <c r="Y494" i="1"/>
  <c r="Y495" i="1" s="1"/>
  <c r="Y492" i="1"/>
  <c r="Z400" i="1"/>
  <c r="Y493" i="1"/>
  <c r="Z310" i="1"/>
  <c r="Z336" i="1"/>
  <c r="Z266" i="1"/>
  <c r="Z241" i="1"/>
  <c r="Z105" i="1"/>
  <c r="Z154" i="1"/>
  <c r="Z32" i="1"/>
  <c r="X495" i="1"/>
  <c r="Z454" i="1"/>
  <c r="Z417" i="1"/>
  <c r="Z274" i="1"/>
  <c r="Z257" i="1"/>
  <c r="Z179" i="1"/>
  <c r="Z317" i="1"/>
  <c r="Z96" i="1"/>
  <c r="Z89" i="1"/>
  <c r="Z76" i="1"/>
  <c r="Z58" i="1"/>
  <c r="Y496" i="1"/>
  <c r="Z497" i="1" l="1"/>
</calcChain>
</file>

<file path=xl/sharedStrings.xml><?xml version="1.0" encoding="utf-8"?>
<sst xmlns="http://schemas.openxmlformats.org/spreadsheetml/2006/main" count="2302" uniqueCount="775">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</sst>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94" sqref="AA94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46013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Понедельник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0.5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54">
        <v>4680115882539</v>
      </c>
      <c r="E42" s="555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112</v>
      </c>
      <c r="B43" s="54" t="s">
        <v>113</v>
      </c>
      <c r="C43" s="31">
        <v>4301011382</v>
      </c>
      <c r="D43" s="554">
        <v>4607091385687</v>
      </c>
      <c r="E43" s="555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0</v>
      </c>
      <c r="Y44" s="549">
        <f>IFERROR(Y41/H41,"0")+IFERROR(Y42/H42,"0")+IFERROR(Y43/H43,"0")</f>
        <v>0</v>
      </c>
      <c r="Z44" s="549">
        <f>IFERROR(IF(Z41="",0,Z41),"0")+IFERROR(IF(Z42="",0,Z42),"0")+IFERROR(IF(Z43="",0,Z43),"0")</f>
        <v>0</v>
      </c>
      <c r="AA44" s="550"/>
      <c r="AB44" s="550"/>
      <c r="AC44" s="550"/>
    </row>
    <row r="45" spans="1:68" hidden="1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0</v>
      </c>
      <c r="Y45" s="549">
        <f>IFERROR(SUM(Y41:Y43),"0")</f>
        <v>0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0</v>
      </c>
      <c r="Y57" s="548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0</v>
      </c>
      <c r="Y58" s="549">
        <f>IFERROR(Y52/H52,"0")+IFERROR(Y53/H53,"0")+IFERROR(Y54/H54,"0")+IFERROR(Y55/H55,"0")+IFERROR(Y56/H56,"0")+IFERROR(Y57/H57,"0")</f>
        <v>0</v>
      </c>
      <c r="Z58" s="549">
        <f>IFERROR(IF(Z52="",0,Z52),"0")+IFERROR(IF(Z53="",0,Z53),"0")+IFERROR(IF(Z54="",0,Z54),"0")+IFERROR(IF(Z55="",0,Z55),"0")+IFERROR(IF(Z56="",0,Z56),"0")+IFERROR(IF(Z57="",0,Z57),"0")</f>
        <v>0</v>
      </c>
      <c r="AA58" s="550"/>
      <c r="AB58" s="550"/>
      <c r="AC58" s="550"/>
    </row>
    <row r="59" spans="1:68" hidden="1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0</v>
      </c>
      <c r="Y59" s="549">
        <f>IFERROR(SUM(Y52:Y57),"0")</f>
        <v>0</v>
      </c>
      <c r="Z59" s="37"/>
      <c r="AA59" s="550"/>
      <c r="AB59" s="550"/>
      <c r="AC59" s="550"/>
    </row>
    <row r="60" spans="1:68" ht="14.25" hidden="1" customHeight="1" x14ac:dyDescent="0.25">
      <c r="A60" s="562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hidden="1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0</v>
      </c>
      <c r="Y64" s="549">
        <f>IFERROR(Y61/H61,"0")+IFERROR(Y62/H62,"0")+IFERROR(Y63/H63,"0")</f>
        <v>0</v>
      </c>
      <c r="Z64" s="549">
        <f>IFERROR(IF(Z61="",0,Z61),"0")+IFERROR(IF(Z62="",0,Z62),"0")+IFERROR(IF(Z63="",0,Z63),"0")</f>
        <v>0</v>
      </c>
      <c r="AA64" s="550"/>
      <c r="AB64" s="550"/>
      <c r="AC64" s="550"/>
    </row>
    <row r="65" spans="1:68" hidden="1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0</v>
      </c>
      <c r="Y65" s="549">
        <f>IFERROR(SUM(Y61:Y63),"0")</f>
        <v>0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hidden="1" customHeight="1" x14ac:dyDescent="0.25">
      <c r="A83" s="556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hidden="1" customHeight="1" x14ac:dyDescent="0.25">
      <c r="A85" s="54" t="s">
        <v>170</v>
      </c>
      <c r="B85" s="54" t="s">
        <v>171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0</v>
      </c>
      <c r="Y89" s="549">
        <f>IFERROR(Y85/H85,"0")+IFERROR(Y86/H86,"0")+IFERROR(Y87/H87,"0")+IFERROR(Y88/H88,"0")</f>
        <v>0</v>
      </c>
      <c r="Z89" s="549">
        <f>IFERROR(IF(Z85="",0,Z85),"0")+IFERROR(IF(Z86="",0,Z86),"0")+IFERROR(IF(Z87="",0,Z87),"0")+IFERROR(IF(Z88="",0,Z88),"0")</f>
        <v>0</v>
      </c>
      <c r="AA89" s="550"/>
      <c r="AB89" s="550"/>
      <c r="AC89" s="550"/>
    </row>
    <row r="90" spans="1:68" hidden="1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0</v>
      </c>
      <c r="Y90" s="549">
        <f>IFERROR(SUM(Y85:Y88),"0")</f>
        <v>0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hidden="1" customHeight="1" x14ac:dyDescent="0.25">
      <c r="A92" s="54" t="s">
        <v>181</v>
      </c>
      <c r="B92" s="54" t="s">
        <v>182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 t="s">
        <v>189</v>
      </c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135</v>
      </c>
      <c r="Y94" s="548">
        <f>IFERROR(IF(X94="",0,CEILING((X94/$H94),1)*$H94),"")</f>
        <v>135</v>
      </c>
      <c r="Z94" s="36">
        <f>IFERROR(IF(Y94=0,"",ROUNDUP(Y94/H94,0)*0.00651),"")</f>
        <v>0.32550000000000001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147.6</v>
      </c>
      <c r="BN94" s="64">
        <f>IFERROR(Y94*I94/H94,"0")</f>
        <v>147.6</v>
      </c>
      <c r="BO94" s="64">
        <f>IFERROR(1/J94*(X94/H94),"0")</f>
        <v>0.27472527472527475</v>
      </c>
      <c r="BP94" s="64">
        <f>IFERROR(1/J94*(Y94/H94),"0")</f>
        <v>0.27472527472527475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 t="s">
        <v>189</v>
      </c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50</v>
      </c>
      <c r="Y96" s="549">
        <f>IFERROR(Y92/H92,"0")+IFERROR(Y93/H93,"0")+IFERROR(Y94/H94,"0")+IFERROR(Y95/H95,"0")</f>
        <v>50</v>
      </c>
      <c r="Z96" s="549">
        <f>IFERROR(IF(Z92="",0,Z92),"0")+IFERROR(IF(Z93="",0,Z93),"0")+IFERROR(IF(Z94="",0,Z94),"0")+IFERROR(IF(Z95="",0,Z95),"0")</f>
        <v>0.32550000000000001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135</v>
      </c>
      <c r="Y97" s="549">
        <f>IFERROR(SUM(Y92:Y95),"0")</f>
        <v>135</v>
      </c>
      <c r="Z97" s="37"/>
      <c r="AA97" s="550"/>
      <c r="AB97" s="550"/>
      <c r="AC97" s="550"/>
    </row>
    <row r="98" spans="1:68" ht="16.5" hidden="1" customHeight="1" x14ac:dyDescent="0.25">
      <c r="A98" s="556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hidden="1" customHeight="1" x14ac:dyDescent="0.25">
      <c r="A100" s="54" t="s">
        <v>194</v>
      </c>
      <c r="B100" s="54" t="s">
        <v>195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0</v>
      </c>
      <c r="Y105" s="549">
        <f>IFERROR(Y100/H100,"0")+IFERROR(Y101/H101,"0")+IFERROR(Y102/H102,"0")+IFERROR(Y103/H103,"0")+IFERROR(Y104/H104,"0")</f>
        <v>0</v>
      </c>
      <c r="Z105" s="549">
        <f>IFERROR(IF(Z100="",0,Z100),"0")+IFERROR(IF(Z101="",0,Z101),"0")+IFERROR(IF(Z102="",0,Z102),"0")+IFERROR(IF(Z103="",0,Z103),"0")+IFERROR(IF(Z104="",0,Z104),"0")</f>
        <v>0</v>
      </c>
      <c r="AA105" s="550"/>
      <c r="AB105" s="550"/>
      <c r="AC105" s="550"/>
    </row>
    <row r="106" spans="1:68" hidden="1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0</v>
      </c>
      <c r="Y106" s="549">
        <f>IFERROR(SUM(Y100:Y104),"0")</f>
        <v>0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hidden="1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400</v>
      </c>
      <c r="Y115" s="548">
        <f>IFERROR(IF(X115="",0,CEILING((X115/$H115),1)*$H115),"")</f>
        <v>405</v>
      </c>
      <c r="Z115" s="36">
        <f>IFERROR(IF(Y115=0,"",ROUNDUP(Y115/H115,0)*0.01898),"")</f>
        <v>0.94900000000000007</v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424.09876543209879</v>
      </c>
      <c r="BN115" s="64">
        <f>IFERROR(Y115*I115/H115,"0")</f>
        <v>429.4</v>
      </c>
      <c r="BO115" s="64">
        <f>IFERROR(1/J115*(X115/H115),"0")</f>
        <v>0.77160493827160492</v>
      </c>
      <c r="BP115" s="64">
        <f>IFERROR(1/J115*(Y115/H115),"0")</f>
        <v>0.78125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189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315</v>
      </c>
      <c r="Y117" s="548">
        <f>IFERROR(IF(X117="",0,CEILING((X117/$H117),1)*$H117),"")</f>
        <v>315.90000000000003</v>
      </c>
      <c r="Z117" s="36">
        <f>IFERROR(IF(Y117=0,"",ROUNDUP(Y117/H117,0)*0.00651),"")</f>
        <v>0.76167000000000007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344.4</v>
      </c>
      <c r="BN117" s="64">
        <f>IFERROR(Y117*I117/H117,"0")</f>
        <v>345.38400000000001</v>
      </c>
      <c r="BO117" s="64">
        <f>IFERROR(1/J117*(X117/H117),"0")</f>
        <v>0.64102564102564097</v>
      </c>
      <c r="BP117" s="64">
        <f>IFERROR(1/J117*(Y117/H117),"0")</f>
        <v>0.6428571428571429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166.04938271604937</v>
      </c>
      <c r="Y119" s="549">
        <f>IFERROR(Y115/H115,"0")+IFERROR(Y116/H116,"0")+IFERROR(Y117/H117,"0")+IFERROR(Y118/H118,"0")</f>
        <v>167</v>
      </c>
      <c r="Z119" s="549">
        <f>IFERROR(IF(Z115="",0,Z115),"0")+IFERROR(IF(Z116="",0,Z116),"0")+IFERROR(IF(Z117="",0,Z117),"0")+IFERROR(IF(Z118="",0,Z118),"0")</f>
        <v>1.7106700000000001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715</v>
      </c>
      <c r="Y120" s="549">
        <f>IFERROR(SUM(Y115:Y118),"0")</f>
        <v>720.90000000000009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189</v>
      </c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189</v>
      </c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hidden="1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189</v>
      </c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hidden="1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hidden="1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/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/>
      <c r="AK167" s="68">
        <v>0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idden="1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hidden="1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0</v>
      </c>
      <c r="Y180" s="549">
        <f>IFERROR(SUM(Y167:Y178),"0")</f>
        <v>0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hidden="1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hidden="1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189</v>
      </c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108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idden="1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hidden="1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 t="s">
        <v>105</v>
      </c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 t="s">
        <v>108</v>
      </c>
      <c r="AK214" s="68">
        <v>64.8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 t="s">
        <v>105</v>
      </c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 t="s">
        <v>108</v>
      </c>
      <c r="AK215" s="68">
        <v>64.8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189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80</v>
      </c>
      <c r="Y217" s="548">
        <f t="shared" si="20"/>
        <v>81.599999999999994</v>
      </c>
      <c r="Z217" s="36">
        <f t="shared" ref="Z217:Z222" si="25">IFERROR(IF(Y217=0,"",ROUNDUP(Y217/H217,0)*0.00651),"")</f>
        <v>0.22134000000000001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89</v>
      </c>
      <c r="BN217" s="64">
        <f t="shared" si="22"/>
        <v>90.78</v>
      </c>
      <c r="BO217" s="64">
        <f t="shared" si="23"/>
        <v>0.18315018315018317</v>
      </c>
      <c r="BP217" s="64">
        <f t="shared" si="24"/>
        <v>0.18681318681318682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189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200</v>
      </c>
      <c r="Y219" s="548">
        <f t="shared" si="20"/>
        <v>201.6</v>
      </c>
      <c r="Z219" s="36">
        <f t="shared" si="25"/>
        <v>0.54683999999999999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221</v>
      </c>
      <c r="BN219" s="64">
        <f t="shared" si="22"/>
        <v>222.768</v>
      </c>
      <c r="BO219" s="64">
        <f t="shared" si="23"/>
        <v>0.45787545787545797</v>
      </c>
      <c r="BP219" s="64">
        <f t="shared" si="24"/>
        <v>0.46153846153846156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189</v>
      </c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189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189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116.66666666666669</v>
      </c>
      <c r="Y223" s="549">
        <f>IFERROR(Y214/H214,"0")+IFERROR(Y215/H215,"0")+IFERROR(Y216/H216,"0")+IFERROR(Y217/H217,"0")+IFERROR(Y218/H218,"0")+IFERROR(Y219/H219,"0")+IFERROR(Y220/H220,"0")+IFERROR(Y221/H221,"0")+IFERROR(Y222/H222,"0")</f>
        <v>118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0.76817999999999997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280</v>
      </c>
      <c r="Y224" s="549">
        <f>IFERROR(SUM(Y214:Y222),"0")</f>
        <v>283.2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hidden="1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 t="s">
        <v>114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hidden="1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hidden="1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hidden="1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108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189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189</v>
      </c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hidden="1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 t="s">
        <v>114</v>
      </c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108</v>
      </c>
      <c r="AK305" s="68">
        <v>50.4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idden="1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0</v>
      </c>
      <c r="Y310" s="549">
        <f>IFERROR(Y304/H304,"0")+IFERROR(Y305/H305,"0")+IFERROR(Y306/H306,"0")+IFERROR(Y307/H307,"0")+IFERROR(Y308/H308,"0")+IFERROR(Y309/H309,"0")</f>
        <v>0</v>
      </c>
      <c r="Z310" s="549">
        <f>IFERROR(IF(Z304="",0,Z304),"0")+IFERROR(IF(Z305="",0,Z305),"0")+IFERROR(IF(Z306="",0,Z306),"0")+IFERROR(IF(Z307="",0,Z307),"0")+IFERROR(IF(Z308="",0,Z308),"0")+IFERROR(IF(Z309="",0,Z309),"0")</f>
        <v>0</v>
      </c>
      <c r="AA310" s="550"/>
      <c r="AB310" s="550"/>
      <c r="AC310" s="550"/>
    </row>
    <row r="311" spans="1:68" hidden="1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0</v>
      </c>
      <c r="Y311" s="549">
        <f>IFERROR(SUM(Y304:Y309),"0")</f>
        <v>0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 t="s">
        <v>105</v>
      </c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 t="s">
        <v>108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hidden="1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/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/>
      <c r="AK320" s="68">
        <v>0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hidden="1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/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0</v>
      </c>
      <c r="Y323" s="549">
        <f>IFERROR(Y320/H320,"0")+IFERROR(Y321/H321,"0")+IFERROR(Y322/H322,"0")</f>
        <v>0</v>
      </c>
      <c r="Z323" s="549">
        <f>IFERROR(IF(Z320="",0,Z320),"0")+IFERROR(IF(Z321="",0,Z321),"0")+IFERROR(IF(Z322="",0,Z322),"0")</f>
        <v>0</v>
      </c>
      <c r="AA323" s="550"/>
      <c r="AB323" s="550"/>
      <c r="AC323" s="550"/>
    </row>
    <row r="324" spans="1:68" hidden="1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0</v>
      </c>
      <c r="Y324" s="549">
        <f>IFERROR(SUM(Y320:Y322),"0")</f>
        <v>0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189</v>
      </c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189</v>
      </c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hidden="1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/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hidden="1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189</v>
      </c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189</v>
      </c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hidden="1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400</v>
      </c>
      <c r="Y348" s="548">
        <f t="shared" ref="Y348:Y354" si="36">IFERROR(IF(X348="",0,CEILING((X348/$H348),1)*$H348),"")</f>
        <v>405</v>
      </c>
      <c r="Z348" s="36">
        <f>IFERROR(IF(Y348=0,"",ROUNDUP(Y348/H348,0)*0.02175),"")</f>
        <v>0.58724999999999994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412.53333333333336</v>
      </c>
      <c r="BN348" s="64">
        <f t="shared" ref="BN348:BN354" si="38">IFERROR(Y348*I348/H348,"0")</f>
        <v>417.69</v>
      </c>
      <c r="BO348" s="64">
        <f t="shared" ref="BO348:BO354" si="39">IFERROR(1/J348*(X348/H348),"0")</f>
        <v>0.55555555555555558</v>
      </c>
      <c r="BP348" s="64">
        <f t="shared" ref="BP348:BP354" si="40">IFERROR(1/J348*(Y348/H348),"0")</f>
        <v>0.5625</v>
      </c>
    </row>
    <row r="349" spans="1:68" ht="27" hidden="1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0</v>
      </c>
      <c r="Y349" s="548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4">
        <v>4680115884830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840</v>
      </c>
      <c r="Y350" s="548">
        <f t="shared" si="36"/>
        <v>840</v>
      </c>
      <c r="Z350" s="36">
        <f>IFERROR(IF(Y350=0,"",ROUNDUP(Y350/H350,0)*0.02175),"")</f>
        <v>1.218</v>
      </c>
      <c r="AA350" s="56"/>
      <c r="AB350" s="57"/>
      <c r="AC350" s="405" t="s">
        <v>564</v>
      </c>
      <c r="AG350" s="64"/>
      <c r="AJ350" s="68" t="s">
        <v>108</v>
      </c>
      <c r="AK350" s="68">
        <v>120</v>
      </c>
      <c r="BB350" s="406" t="s">
        <v>1</v>
      </c>
      <c r="BM350" s="64">
        <f t="shared" si="37"/>
        <v>866.32</v>
      </c>
      <c r="BN350" s="64">
        <f t="shared" si="38"/>
        <v>866.32</v>
      </c>
      <c r="BO350" s="64">
        <f t="shared" si="39"/>
        <v>1.1666666666666665</v>
      </c>
      <c r="BP350" s="64">
        <f t="shared" si="40"/>
        <v>1.1666666666666665</v>
      </c>
    </row>
    <row r="351" spans="1:68" ht="27" hidden="1" customHeight="1" x14ac:dyDescent="0.25">
      <c r="A351" s="54" t="s">
        <v>565</v>
      </c>
      <c r="B351" s="54" t="s">
        <v>566</v>
      </c>
      <c r="C351" s="31">
        <v>4301012215</v>
      </c>
      <c r="D351" s="554">
        <v>4680115887046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5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82.666666666666671</v>
      </c>
      <c r="Y355" s="549">
        <f>IFERROR(Y348/H348,"0")+IFERROR(Y349/H349,"0")+IFERROR(Y350/H350,"0")+IFERROR(Y351/H351,"0")+IFERROR(Y352/H352,"0")+IFERROR(Y353/H353,"0")+IFERROR(Y354/H354,"0")</f>
        <v>83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1.80525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1240</v>
      </c>
      <c r="Y356" s="549">
        <f>IFERROR(SUM(Y348:Y354),"0")</f>
        <v>1245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300</v>
      </c>
      <c r="Y358" s="548">
        <f>IFERROR(IF(X358="",0,CEILING((X358/$H358),1)*$H358),"")</f>
        <v>300</v>
      </c>
      <c r="Z358" s="36">
        <f>IFERROR(IF(Y358=0,"",ROUNDUP(Y358/H358,0)*0.02175),"")</f>
        <v>0.43499999999999994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309.39999999999998</v>
      </c>
      <c r="BN358" s="64">
        <f>IFERROR(Y358*I358/H358,"0")</f>
        <v>309.39999999999998</v>
      </c>
      <c r="BO358" s="64">
        <f>IFERROR(1/J358*(X358/H358),"0")</f>
        <v>0.41666666666666663</v>
      </c>
      <c r="BP358" s="64">
        <f>IFERROR(1/J358*(Y358/H358),"0")</f>
        <v>0.41666666666666663</v>
      </c>
    </row>
    <row r="359" spans="1:68" ht="27" hidden="1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20</v>
      </c>
      <c r="Y360" s="549">
        <f>IFERROR(Y358/H358,"0")+IFERROR(Y359/H359,"0")</f>
        <v>20</v>
      </c>
      <c r="Z360" s="549">
        <f>IFERROR(IF(Z358="",0,Z358),"0")+IFERROR(IF(Z359="",0,Z359),"0")</f>
        <v>0.43499999999999994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300</v>
      </c>
      <c r="Y361" s="549">
        <f>IFERROR(SUM(Y358:Y359),"0")</f>
        <v>300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/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0</v>
      </c>
      <c r="Y365" s="549">
        <f>IFERROR(Y363/H363,"0")+IFERROR(Y364/H364,"0")</f>
        <v>0</v>
      </c>
      <c r="Z365" s="549">
        <f>IFERROR(IF(Z363="",0,Z363),"0")+IFERROR(IF(Z364="",0,Z364),"0")</f>
        <v>0</v>
      </c>
      <c r="AA365" s="550"/>
      <c r="AB365" s="550"/>
      <c r="AC365" s="550"/>
    </row>
    <row r="366" spans="1:68" hidden="1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0</v>
      </c>
      <c r="Y366" s="549">
        <f>IFERROR(SUM(Y363:Y364),"0")</f>
        <v>0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hidden="1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hidden="1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hidden="1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hidden="1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4301031303</v>
      </c>
      <c r="D378" s="554">
        <v>4607091384802</v>
      </c>
      <c r="E378" s="555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 t="s">
        <v>114</v>
      </c>
      <c r="M378" s="33" t="s">
        <v>68</v>
      </c>
      <c r="N378" s="33"/>
      <c r="O378" s="32">
        <v>35</v>
      </c>
      <c r="P378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 t="s">
        <v>108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4301031457</v>
      </c>
      <c r="D379" s="554">
        <v>4607091384802</v>
      </c>
      <c r="E379" s="555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500</v>
      </c>
      <c r="Y383" s="548">
        <f>IFERROR(IF(X383="",0,CEILING((X383/$H383),1)*$H383),"")</f>
        <v>504</v>
      </c>
      <c r="Z383" s="36">
        <f>IFERROR(IF(Y383=0,"",ROUNDUP(Y383/H383,0)*0.01898),"")</f>
        <v>1.06288</v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527.44444444444446</v>
      </c>
      <c r="BN383" s="64">
        <f>IFERROR(Y383*I383/H383,"0")</f>
        <v>531.66399999999999</v>
      </c>
      <c r="BO383" s="64">
        <f>IFERROR(1/J383*(X383/H383),"0")</f>
        <v>0.86805555555555558</v>
      </c>
      <c r="BP383" s="64">
        <f>IFERROR(1/J383*(Y383/H383),"0")</f>
        <v>0.875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4301051660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 t="s">
        <v>189</v>
      </c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 t="s">
        <v>108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604</v>
      </c>
      <c r="B385" s="54" t="s">
        <v>606</v>
      </c>
      <c r="C385" s="31">
        <v>4301052069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55.555555555555557</v>
      </c>
      <c r="Y386" s="549">
        <f>IFERROR(Y383/H383,"0")+IFERROR(Y384/H384,"0")+IFERROR(Y385/H385,"0")</f>
        <v>56</v>
      </c>
      <c r="Z386" s="549">
        <f>IFERROR(IF(Z383="",0,Z383),"0")+IFERROR(IF(Z384="",0,Z384),"0")+IFERROR(IF(Z385="",0,Z385),"0")</f>
        <v>1.06288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500</v>
      </c>
      <c r="Y387" s="549">
        <f>IFERROR(SUM(Y383:Y385),"0")</f>
        <v>504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 t="s">
        <v>114</v>
      </c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 t="s">
        <v>108</v>
      </c>
      <c r="AK393" s="68">
        <v>64.8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hidden="1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idden="1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0</v>
      </c>
      <c r="Y400" s="549">
        <f>IFERROR(Y391/H391,"0")+IFERROR(Y392/H392,"0")+IFERROR(Y393/H393,"0")+IFERROR(Y394/H394,"0")+IFERROR(Y395/H395,"0")+IFERROR(Y396/H396,"0")+IFERROR(Y397/H397,"0")+IFERROR(Y398/H398,"0")+IFERROR(Y399/H399,"0")</f>
        <v>0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50"/>
      <c r="AB400" s="550"/>
      <c r="AC400" s="550"/>
    </row>
    <row r="401" spans="1:68" hidden="1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0</v>
      </c>
      <c r="Y401" s="549">
        <f>IFERROR(SUM(Y391:Y399),"0")</f>
        <v>0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hidden="1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0</v>
      </c>
      <c r="Y417" s="549">
        <f>IFERROR(Y413/H413,"0")+IFERROR(Y414/H414,"0")+IFERROR(Y415/H415,"0")+IFERROR(Y416/H416,"0")</f>
        <v>0</v>
      </c>
      <c r="Z417" s="549">
        <f>IFERROR(IF(Z413="",0,Z413),"0")+IFERROR(IF(Z414="",0,Z414),"0")+IFERROR(IF(Z415="",0,Z415),"0")+IFERROR(IF(Z416="",0,Z416),"0")</f>
        <v>0</v>
      </c>
      <c r="AA417" s="550"/>
      <c r="AB417" s="550"/>
      <c r="AC417" s="550"/>
    </row>
    <row r="418" spans="1:68" hidden="1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0</v>
      </c>
      <c r="Y418" s="549">
        <f>IFERROR(SUM(Y413:Y416),"0")</f>
        <v>0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hidden="1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hidden="1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hidden="1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4301012210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4301012145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600</v>
      </c>
      <c r="Y431" s="548">
        <f t="shared" si="47"/>
        <v>601.92000000000007</v>
      </c>
      <c r="Z431" s="36">
        <f t="shared" si="48"/>
        <v>1.36344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639.77272727272725</v>
      </c>
      <c r="BN431" s="64">
        <f t="shared" si="50"/>
        <v>641.82000000000005</v>
      </c>
      <c r="BO431" s="64">
        <f t="shared" si="51"/>
        <v>1.0926573426573427</v>
      </c>
      <c r="BP431" s="64">
        <f t="shared" si="52"/>
        <v>1.0961538461538463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700</v>
      </c>
      <c r="Y433" s="548">
        <f t="shared" si="47"/>
        <v>702.24</v>
      </c>
      <c r="Z433" s="36">
        <f t="shared" si="48"/>
        <v>1.5906800000000001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746.40151515151513</v>
      </c>
      <c r="BN433" s="64">
        <f t="shared" si="50"/>
        <v>748.79</v>
      </c>
      <c r="BO433" s="64">
        <f t="shared" si="51"/>
        <v>1.2747668997668997</v>
      </c>
      <c r="BP433" s="64">
        <f t="shared" si="52"/>
        <v>1.278846153846154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120</v>
      </c>
      <c r="Y435" s="548">
        <f t="shared" si="47"/>
        <v>120</v>
      </c>
      <c r="Z435" s="36">
        <f>IFERROR(IF(Y435=0,"",ROUNDUP(Y435/H435,0)*0.00902),"")</f>
        <v>0.22550000000000001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172.75000000000003</v>
      </c>
      <c r="BN435" s="64">
        <f t="shared" si="50"/>
        <v>172.75000000000003</v>
      </c>
      <c r="BO435" s="64">
        <f t="shared" si="51"/>
        <v>0.18939393939393939</v>
      </c>
      <c r="BP435" s="64">
        <f t="shared" si="52"/>
        <v>0.18939393939393939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271.21212121212119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272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3.1796199999999999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1420</v>
      </c>
      <c r="Y440" s="549">
        <f>IFERROR(SUM(Y427:Y438),"0")</f>
        <v>1424.16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450</v>
      </c>
      <c r="Y442" s="548">
        <f>IFERROR(IF(X442="",0,CEILING((X442/$H442),1)*$H442),"")</f>
        <v>454.08000000000004</v>
      </c>
      <c r="Z442" s="36">
        <f>IFERROR(IF(Y442=0,"",ROUNDUP(Y442/H442,0)*0.01196),"")</f>
        <v>1.0285599999999999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479.82954545454544</v>
      </c>
      <c r="BN442" s="64">
        <f>IFERROR(Y442*I442/H442,"0")</f>
        <v>484.18</v>
      </c>
      <c r="BO442" s="64">
        <f>IFERROR(1/J442*(X442/H442),"0")</f>
        <v>0.81949300699300698</v>
      </c>
      <c r="BP442" s="64">
        <f>IFERROR(1/J442*(Y442/H442),"0")</f>
        <v>0.82692307692307698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114</v>
      </c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85.22727272727272</v>
      </c>
      <c r="Y445" s="549">
        <f>IFERROR(Y442/H442,"0")+IFERROR(Y443/H443,"0")+IFERROR(Y444/H444,"0")</f>
        <v>86</v>
      </c>
      <c r="Z445" s="549">
        <f>IFERROR(IF(Z442="",0,Z442),"0")+IFERROR(IF(Z443="",0,Z443),"0")+IFERROR(IF(Z444="",0,Z444),"0")</f>
        <v>1.0285599999999999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450</v>
      </c>
      <c r="Y446" s="549">
        <f>IFERROR(SUM(Y442:Y444),"0")</f>
        <v>454.08000000000004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hidden="1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0</v>
      </c>
      <c r="Y448" s="548">
        <f t="shared" ref="Y448:Y453" si="53"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0</v>
      </c>
      <c r="BN448" s="64">
        <f t="shared" ref="BN448:BN453" si="55">IFERROR(Y448*I448/H448,"0")</f>
        <v>0</v>
      </c>
      <c r="BO448" s="64">
        <f t="shared" ref="BO448:BO453" si="56">IFERROR(1/J448*(X448/H448),"0")</f>
        <v>0</v>
      </c>
      <c r="BP448" s="64">
        <f t="shared" ref="BP448:BP453" si="57">IFERROR(1/J448*(Y448/H448),"0")</f>
        <v>0</v>
      </c>
    </row>
    <row r="449" spans="1:68" ht="27" hidden="1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0</v>
      </c>
      <c r="Y449" s="548">
        <f t="shared" si="53"/>
        <v>0</v>
      </c>
      <c r="Z449" s="36" t="str">
        <f>IFERROR(IF(Y449=0,"",ROUNDUP(Y449/H449,0)*0.01196),"")</f>
        <v/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0</v>
      </c>
      <c r="BN449" s="64">
        <f t="shared" si="55"/>
        <v>0</v>
      </c>
      <c r="BO449" s="64">
        <f t="shared" si="56"/>
        <v>0</v>
      </c>
      <c r="BP449" s="64">
        <f t="shared" si="57"/>
        <v>0</v>
      </c>
    </row>
    <row r="450" spans="1:68" ht="27" hidden="1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0</v>
      </c>
      <c r="Y450" s="548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idden="1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0</v>
      </c>
      <c r="Y454" s="549">
        <f>IFERROR(Y448/H448,"0")+IFERROR(Y449/H449,"0")+IFERROR(Y450/H450,"0")+IFERROR(Y451/H451,"0")+IFERROR(Y452/H452,"0")+IFERROR(Y453/H453,"0")</f>
        <v>0</v>
      </c>
      <c r="Z454" s="549">
        <f>IFERROR(IF(Z448="",0,Z448),"0")+IFERROR(IF(Z449="",0,Z449),"0")+IFERROR(IF(Z450="",0,Z450),"0")+IFERROR(IF(Z451="",0,Z451),"0")+IFERROR(IF(Z452="",0,Z452),"0")+IFERROR(IF(Z453="",0,Z453),"0")</f>
        <v>0</v>
      </c>
      <c r="AA454" s="550"/>
      <c r="AB454" s="550"/>
      <c r="AC454" s="550"/>
    </row>
    <row r="455" spans="1:68" hidden="1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0</v>
      </c>
      <c r="Y455" s="549">
        <f>IFERROR(SUM(Y448:Y453),"0")</f>
        <v>0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 t="s">
        <v>105</v>
      </c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 t="s">
        <v>108</v>
      </c>
      <c r="AK465" s="68">
        <v>96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hidden="1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hidden="1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5040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5066.34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5380.5503310886643</v>
      </c>
      <c r="Y493" s="549">
        <f>IFERROR(SUM(BN22:BN489),"0")</f>
        <v>5408.5460000000003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9</v>
      </c>
      <c r="Y494" s="38">
        <f>ROUNDUP(SUM(BP22:BP489),0)</f>
        <v>9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5605.5503310886643</v>
      </c>
      <c r="Y495" s="549">
        <f>GrossWeightTotalR+PalletQtyTotalR*25</f>
        <v>5633.5460000000003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847.37766554433222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852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10.315659999999999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118</v>
      </c>
      <c r="E500" s="599" t="s">
        <v>169</v>
      </c>
      <c r="F500" s="599" t="s">
        <v>193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0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2" s="46">
        <f>IFERROR(Y85*1,"0")+IFERROR(Y86*1,"0")+IFERROR(Y87*1,"0")+IFERROR(Y88*1,"0")+IFERROR(Y92*1,"0")+IFERROR(Y93*1,"0")+IFERROR(Y94*1,"0")+IFERROR(Y95*1,"0")</f>
        <v>135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720.90000000000009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283.2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0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1545</v>
      </c>
      <c r="T502" s="46">
        <f>IFERROR(Y373*1,"0")+IFERROR(Y374*1,"0")+IFERROR(Y378*1,"0")+IFERROR(Y379*1,"0")+IFERROR(Y383*1,"0")+IFERROR(Y384*1,"0")+IFERROR(Y385*1,"0")</f>
        <v>504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502" s="46">
        <f>IFERROR(Y409*1,"0")+IFERROR(Y413*1,"0")+IFERROR(Y414*1,"0")+IFERROR(Y415*1,"0")+IFERROR(Y416*1,"0")</f>
        <v>0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1878.2400000000002</v>
      </c>
      <c r="Y502" s="46">
        <f>IFERROR(Y463*1,"0")+IFERROR(Y464*1,"0")+IFERROR(Y465*1,"0")+IFERROR(Y466*1,"0")+IFERROR(Y470*1,"0")+IFERROR(Y471*1,"0")+IFERROR(Y475*1,"0")+IFERROR(Y479*1,"0")+IFERROR(Y483*1,"0")+IFERROR(Y484*1,"0")</f>
        <v>0</v>
      </c>
      <c r="Z502" s="46">
        <f>IFERROR(Y489*1,"0")</f>
        <v>0</v>
      </c>
      <c r="AB502" s="52"/>
      <c r="AC502" s="52"/>
      <c r="AF502" s="545"/>
    </row>
  </sheetData>
  <sheetProtection algorithmName="SHA-512" hashValue="U01iM9xRYqNWWWM9DJf+f4AvNKcnmF9fJyX5yE1qC09FEjf01NhjPt2iAYdbpjAlkceOpqhGHy5YV4XcoUIL4w==" saltValue="sT5Q0aC1kk/fJfivtTXM/Q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40,00"/>
        <filter val="1 420,00"/>
        <filter val="116,67"/>
        <filter val="120,00"/>
        <filter val="135,00"/>
        <filter val="166,05"/>
        <filter val="20,00"/>
        <filter val="200,00"/>
        <filter val="271,21"/>
        <filter val="280,00"/>
        <filter val="300,00"/>
        <filter val="315,00"/>
        <filter val="400,00"/>
        <filter val="450,00"/>
        <filter val="5 040,00"/>
        <filter val="5 380,55"/>
        <filter val="5 605,55"/>
        <filter val="50,00"/>
        <filter val="500,00"/>
        <filter val="55,56"/>
        <filter val="600,00"/>
        <filter val="700,00"/>
        <filter val="715,00"/>
        <filter val="80,00"/>
        <filter val="82,67"/>
        <filter val="840,00"/>
        <filter val="847,38"/>
        <filter val="85,23"/>
        <filter val="9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69 X171 X176 X194 X203:X208 X210 X214:X217 X219:X222 X239 X261 X263 X279:X280 X305 X313 X321 X328:X329 X341:X342 X348:X350 X358 X373 X378 X383:X384 X393 X427 X430:X431 X433 X442 X444 X448:X450 X465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I8qPdIK8Jg6kmX8HSbDxws9WoiU1jQ7pHTt+d3QXRZybGGnKHdfYdn3y6WMGK8jUKEM/QwVW3q4keIcfp7DeQ==" saltValue="VzygxUSxri78WFZ5n2+pc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