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EB3723A-8F05-421C-9DA7-132BC8BB5F1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BP285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P21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Z203" i="1"/>
  <c r="Y203" i="1"/>
  <c r="P203" i="1"/>
  <c r="X201" i="1"/>
  <c r="X200" i="1"/>
  <c r="BO199" i="1"/>
  <c r="BM199" i="1"/>
  <c r="Y199" i="1"/>
  <c r="BP199" i="1" s="1"/>
  <c r="P199" i="1"/>
  <c r="BO198" i="1"/>
  <c r="BM198" i="1"/>
  <c r="Y198" i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BP148" i="1" s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Z47" i="1" s="1"/>
  <c r="Z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4" i="1" s="1"/>
  <c r="BM22" i="1"/>
  <c r="Y22" i="1"/>
  <c r="B502" i="1" s="1"/>
  <c r="P22" i="1"/>
  <c r="H10" i="1"/>
  <c r="A9" i="1"/>
  <c r="F10" i="1" s="1"/>
  <c r="D7" i="1"/>
  <c r="Q6" i="1"/>
  <c r="P2" i="1"/>
  <c r="BP170" i="1" l="1"/>
  <c r="BN170" i="1"/>
  <c r="Z170" i="1"/>
  <c r="Y190" i="1"/>
  <c r="Y189" i="1"/>
  <c r="BP188" i="1"/>
  <c r="BN188" i="1"/>
  <c r="Z188" i="1"/>
  <c r="Z189" i="1" s="1"/>
  <c r="BP193" i="1"/>
  <c r="BN193" i="1"/>
  <c r="Z193" i="1"/>
  <c r="BP216" i="1"/>
  <c r="BN216" i="1"/>
  <c r="Z216" i="1"/>
  <c r="BP239" i="1"/>
  <c r="BN239" i="1"/>
  <c r="Z239" i="1"/>
  <c r="BP280" i="1"/>
  <c r="BN280" i="1"/>
  <c r="Z280" i="1"/>
  <c r="BP316" i="1"/>
  <c r="BN316" i="1"/>
  <c r="Z316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27" i="1"/>
  <c r="BN27" i="1"/>
  <c r="Z43" i="1"/>
  <c r="BN43" i="1"/>
  <c r="Z61" i="1"/>
  <c r="BN61" i="1"/>
  <c r="Z79" i="1"/>
  <c r="BN79" i="1"/>
  <c r="Z94" i="1"/>
  <c r="BN94" i="1"/>
  <c r="BP103" i="1"/>
  <c r="BN103" i="1"/>
  <c r="BP117" i="1"/>
  <c r="BN117" i="1"/>
  <c r="Z117" i="1"/>
  <c r="BP178" i="1"/>
  <c r="BN178" i="1"/>
  <c r="Z178" i="1"/>
  <c r="BP206" i="1"/>
  <c r="BN206" i="1"/>
  <c r="Z206" i="1"/>
  <c r="BP226" i="1"/>
  <c r="BN226" i="1"/>
  <c r="Z226" i="1"/>
  <c r="BP264" i="1"/>
  <c r="BN264" i="1"/>
  <c r="Z264" i="1"/>
  <c r="BP304" i="1"/>
  <c r="BN304" i="1"/>
  <c r="Z304" i="1"/>
  <c r="BP328" i="1"/>
  <c r="BN328" i="1"/>
  <c r="Z328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7" i="1"/>
  <c r="Y476" i="1"/>
  <c r="BP475" i="1"/>
  <c r="BN475" i="1"/>
  <c r="Z475" i="1"/>
  <c r="Z476" i="1" s="1"/>
  <c r="Y481" i="1"/>
  <c r="Y480" i="1"/>
  <c r="BP479" i="1"/>
  <c r="BN479" i="1"/>
  <c r="Z479" i="1"/>
  <c r="Z480" i="1" s="1"/>
  <c r="BP483" i="1"/>
  <c r="BN483" i="1"/>
  <c r="Z483" i="1"/>
  <c r="Y49" i="1"/>
  <c r="Y185" i="1"/>
  <c r="BP300" i="1"/>
  <c r="BN300" i="1"/>
  <c r="Z300" i="1"/>
  <c r="BP314" i="1"/>
  <c r="BN314" i="1"/>
  <c r="Z314" i="1"/>
  <c r="Y330" i="1"/>
  <c r="BP326" i="1"/>
  <c r="BN326" i="1"/>
  <c r="Z326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502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71" i="1"/>
  <c r="BN471" i="1"/>
  <c r="Z471" i="1"/>
  <c r="X493" i="1"/>
  <c r="X495" i="1" s="1"/>
  <c r="Z23" i="1"/>
  <c r="BN23" i="1"/>
  <c r="X492" i="1"/>
  <c r="Y33" i="1"/>
  <c r="Z29" i="1"/>
  <c r="BN29" i="1"/>
  <c r="Z35" i="1"/>
  <c r="Z36" i="1" s="1"/>
  <c r="BN35" i="1"/>
  <c r="BP35" i="1"/>
  <c r="Y36" i="1"/>
  <c r="Z41" i="1"/>
  <c r="BN41" i="1"/>
  <c r="Z53" i="1"/>
  <c r="BN53" i="1"/>
  <c r="Z57" i="1"/>
  <c r="BN57" i="1"/>
  <c r="Y65" i="1"/>
  <c r="Z63" i="1"/>
  <c r="BN63" i="1"/>
  <c r="Y64" i="1"/>
  <c r="Z67" i="1"/>
  <c r="BN67" i="1"/>
  <c r="Z75" i="1"/>
  <c r="BN75" i="1"/>
  <c r="Z86" i="1"/>
  <c r="BN86" i="1"/>
  <c r="Z92" i="1"/>
  <c r="BN92" i="1"/>
  <c r="Z101" i="1"/>
  <c r="BN101" i="1"/>
  <c r="Z109" i="1"/>
  <c r="BN109" i="1"/>
  <c r="Z115" i="1"/>
  <c r="BN115" i="1"/>
  <c r="BP115" i="1"/>
  <c r="Z128" i="1"/>
  <c r="BN128" i="1"/>
  <c r="Y134" i="1"/>
  <c r="Z138" i="1"/>
  <c r="BN138" i="1"/>
  <c r="Z143" i="1"/>
  <c r="BN143" i="1"/>
  <c r="Z148" i="1"/>
  <c r="BN148" i="1"/>
  <c r="Z149" i="1"/>
  <c r="BN149" i="1"/>
  <c r="Z150" i="1"/>
  <c r="BN150" i="1"/>
  <c r="Z168" i="1"/>
  <c r="BN168" i="1"/>
  <c r="Z172" i="1"/>
  <c r="BN172" i="1"/>
  <c r="Z176" i="1"/>
  <c r="BN176" i="1"/>
  <c r="Z182" i="1"/>
  <c r="BN182" i="1"/>
  <c r="BP182" i="1"/>
  <c r="Z199" i="1"/>
  <c r="BN199" i="1"/>
  <c r="Z204" i="1"/>
  <c r="BN204" i="1"/>
  <c r="Z208" i="1"/>
  <c r="BN208" i="1"/>
  <c r="Z214" i="1"/>
  <c r="BN214" i="1"/>
  <c r="Z218" i="1"/>
  <c r="BN218" i="1"/>
  <c r="Z222" i="1"/>
  <c r="BN222" i="1"/>
  <c r="Z233" i="1"/>
  <c r="BN233" i="1"/>
  <c r="Z237" i="1"/>
  <c r="BN237" i="1"/>
  <c r="Z253" i="1"/>
  <c r="BN253" i="1"/>
  <c r="Z262" i="1"/>
  <c r="BN262" i="1"/>
  <c r="Z271" i="1"/>
  <c r="BN271" i="1"/>
  <c r="Z278" i="1"/>
  <c r="BN278" i="1"/>
  <c r="Z285" i="1"/>
  <c r="BN285" i="1"/>
  <c r="BP291" i="1"/>
  <c r="BN291" i="1"/>
  <c r="Z291" i="1"/>
  <c r="BP296" i="1"/>
  <c r="BN296" i="1"/>
  <c r="Z296" i="1"/>
  <c r="BP306" i="1"/>
  <c r="BN306" i="1"/>
  <c r="Z306" i="1"/>
  <c r="BP320" i="1"/>
  <c r="BN320" i="1"/>
  <c r="Z320" i="1"/>
  <c r="BP334" i="1"/>
  <c r="BN334" i="1"/>
  <c r="Z334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59" i="1"/>
  <c r="Y458" i="1"/>
  <c r="BP457" i="1"/>
  <c r="BN457" i="1"/>
  <c r="Z457" i="1"/>
  <c r="Z458" i="1" s="1"/>
  <c r="Y467" i="1"/>
  <c r="BP463" i="1"/>
  <c r="BN463" i="1"/>
  <c r="Z463" i="1"/>
  <c r="Y387" i="1"/>
  <c r="Y386" i="1"/>
  <c r="Y485" i="1"/>
  <c r="H9" i="1"/>
  <c r="A10" i="1"/>
  <c r="Y24" i="1"/>
  <c r="Y32" i="1"/>
  <c r="Y44" i="1"/>
  <c r="D502" i="1"/>
  <c r="Y59" i="1"/>
  <c r="BP52" i="1"/>
  <c r="BN52" i="1"/>
  <c r="Z52" i="1"/>
  <c r="BP56" i="1"/>
  <c r="BN56" i="1"/>
  <c r="Z56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BP118" i="1"/>
  <c r="BN118" i="1"/>
  <c r="Z118" i="1"/>
  <c r="Y120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BP144" i="1"/>
  <c r="BN144" i="1"/>
  <c r="Z144" i="1"/>
  <c r="Y146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1" i="1"/>
  <c r="BP198" i="1"/>
  <c r="BN198" i="1"/>
  <c r="Z198" i="1"/>
  <c r="Z200" i="1" s="1"/>
  <c r="BP297" i="1"/>
  <c r="BN297" i="1"/>
  <c r="Z297" i="1"/>
  <c r="Q502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Z323" i="1"/>
  <c r="BP321" i="1"/>
  <c r="BN321" i="1"/>
  <c r="Z321" i="1"/>
  <c r="Y323" i="1"/>
  <c r="H502" i="1"/>
  <c r="F9" i="1"/>
  <c r="J9" i="1"/>
  <c r="Z22" i="1"/>
  <c r="Z24" i="1" s="1"/>
  <c r="BN22" i="1"/>
  <c r="BP22" i="1"/>
  <c r="X496" i="1"/>
  <c r="Y25" i="1"/>
  <c r="Z28" i="1"/>
  <c r="BN28" i="1"/>
  <c r="Z30" i="1"/>
  <c r="BN30" i="1"/>
  <c r="C502" i="1"/>
  <c r="Z42" i="1"/>
  <c r="Z44" i="1" s="1"/>
  <c r="BN42" i="1"/>
  <c r="Y45" i="1"/>
  <c r="Y48" i="1"/>
  <c r="BP47" i="1"/>
  <c r="BN47" i="1"/>
  <c r="BP54" i="1"/>
  <c r="BN54" i="1"/>
  <c r="Z54" i="1"/>
  <c r="Y58" i="1"/>
  <c r="BP62" i="1"/>
  <c r="BN62" i="1"/>
  <c r="Z62" i="1"/>
  <c r="Z64" i="1" s="1"/>
  <c r="Y69" i="1"/>
  <c r="BP74" i="1"/>
  <c r="BN74" i="1"/>
  <c r="Z74" i="1"/>
  <c r="Y81" i="1"/>
  <c r="BP87" i="1"/>
  <c r="BN87" i="1"/>
  <c r="Z87" i="1"/>
  <c r="Y96" i="1"/>
  <c r="BP95" i="1"/>
  <c r="BN95" i="1"/>
  <c r="Z95" i="1"/>
  <c r="Y97" i="1"/>
  <c r="F502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Y129" i="1"/>
  <c r="BP133" i="1"/>
  <c r="BN133" i="1"/>
  <c r="Z133" i="1"/>
  <c r="Z134" i="1" s="1"/>
  <c r="Y135" i="1"/>
  <c r="Y140" i="1"/>
  <c r="BP137" i="1"/>
  <c r="BN137" i="1"/>
  <c r="Z137" i="1"/>
  <c r="Y145" i="1"/>
  <c r="Y154" i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Z185" i="1"/>
  <c r="BP183" i="1"/>
  <c r="BN183" i="1"/>
  <c r="Z183" i="1"/>
  <c r="Y200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BP349" i="1"/>
  <c r="BN349" i="1"/>
  <c r="Z349" i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Z405" i="1" s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502" i="1"/>
  <c r="Y195" i="1"/>
  <c r="Y212" i="1"/>
  <c r="BP203" i="1"/>
  <c r="BN203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502" i="1"/>
  <c r="Y344" i="1"/>
  <c r="Y343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502" i="1"/>
  <c r="Y282" i="1"/>
  <c r="P502" i="1"/>
  <c r="Y287" i="1"/>
  <c r="S502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Y472" i="1"/>
  <c r="Y502" i="1"/>
  <c r="Y356" i="1"/>
  <c r="T502" i="1"/>
  <c r="Y375" i="1"/>
  <c r="X502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BP464" i="1"/>
  <c r="BN464" i="1"/>
  <c r="Z464" i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310" i="1" l="1"/>
  <c r="Z485" i="1"/>
  <c r="Z330" i="1"/>
  <c r="Z281" i="1"/>
  <c r="Z355" i="1"/>
  <c r="Z266" i="1"/>
  <c r="Z223" i="1"/>
  <c r="Z317" i="1"/>
  <c r="Z96" i="1"/>
  <c r="Z467" i="1"/>
  <c r="Z445" i="1"/>
  <c r="Z439" i="1"/>
  <c r="Z472" i="1"/>
  <c r="Z400" i="1"/>
  <c r="Z301" i="1"/>
  <c r="Z211" i="1"/>
  <c r="Z454" i="1"/>
  <c r="Z139" i="1"/>
  <c r="Z32" i="1"/>
  <c r="Z154" i="1"/>
  <c r="Z145" i="1"/>
  <c r="Z69" i="1"/>
  <c r="Z58" i="1"/>
  <c r="Z417" i="1"/>
  <c r="Z336" i="1"/>
  <c r="Z241" i="1"/>
  <c r="Z179" i="1"/>
  <c r="Y493" i="1"/>
  <c r="Z274" i="1"/>
  <c r="Z257" i="1"/>
  <c r="Y492" i="1"/>
  <c r="Y494" i="1"/>
  <c r="Z89" i="1"/>
  <c r="Z76" i="1"/>
  <c r="Z497" i="1" s="1"/>
  <c r="Y496" i="1"/>
  <c r="Y495" i="1" l="1"/>
</calcChain>
</file>

<file path=xl/sharedStrings.xml><?xml version="1.0" encoding="utf-8"?>
<sst xmlns="http://schemas.openxmlformats.org/spreadsheetml/2006/main" count="2226" uniqueCount="775">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</sst>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9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3" t="s">
        <v>0</v>
      </c>
      <c r="E1" s="634"/>
      <c r="F1" s="634"/>
      <c r="G1" s="12" t="s">
        <v>1</v>
      </c>
      <c r="H1" s="633" t="s">
        <v>2</v>
      </c>
      <c r="I1" s="634"/>
      <c r="J1" s="634"/>
      <c r="K1" s="634"/>
      <c r="L1" s="634"/>
      <c r="M1" s="634"/>
      <c r="N1" s="634"/>
      <c r="O1" s="634"/>
      <c r="P1" s="634"/>
      <c r="Q1" s="634"/>
      <c r="R1" s="730" t="s">
        <v>3</v>
      </c>
      <c r="S1" s="634"/>
      <c r="T1" s="63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2" t="s">
        <v>8</v>
      </c>
      <c r="B5" s="663"/>
      <c r="C5" s="664"/>
      <c r="D5" s="638"/>
      <c r="E5" s="639"/>
      <c r="F5" s="827" t="s">
        <v>9</v>
      </c>
      <c r="G5" s="664"/>
      <c r="H5" s="638" t="s">
        <v>774</v>
      </c>
      <c r="I5" s="786"/>
      <c r="J5" s="786"/>
      <c r="K5" s="786"/>
      <c r="L5" s="786"/>
      <c r="M5" s="639"/>
      <c r="N5" s="58"/>
      <c r="P5" s="24" t="s">
        <v>10</v>
      </c>
      <c r="Q5" s="847">
        <v>46013</v>
      </c>
      <c r="R5" s="682"/>
      <c r="T5" s="738" t="s">
        <v>11</v>
      </c>
      <c r="U5" s="725"/>
      <c r="V5" s="739" t="s">
        <v>12</v>
      </c>
      <c r="W5" s="682"/>
      <c r="AB5" s="51"/>
      <c r="AC5" s="51"/>
      <c r="AD5" s="51"/>
      <c r="AE5" s="51"/>
    </row>
    <row r="6" spans="1:32" s="541" customFormat="1" ht="24" customHeight="1" x14ac:dyDescent="0.2">
      <c r="A6" s="662" t="s">
        <v>13</v>
      </c>
      <c r="B6" s="663"/>
      <c r="C6" s="664"/>
      <c r="D6" s="788" t="s">
        <v>14</v>
      </c>
      <c r="E6" s="789"/>
      <c r="F6" s="789"/>
      <c r="G6" s="789"/>
      <c r="H6" s="789"/>
      <c r="I6" s="789"/>
      <c r="J6" s="789"/>
      <c r="K6" s="789"/>
      <c r="L6" s="789"/>
      <c r="M6" s="682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Понедельник</v>
      </c>
      <c r="R6" s="555"/>
      <c r="T6" s="724" t="s">
        <v>16</v>
      </c>
      <c r="U6" s="725"/>
      <c r="V6" s="773" t="s">
        <v>17</v>
      </c>
      <c r="W6" s="60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25"/>
      <c r="V7" s="774"/>
      <c r="W7" s="775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9"/>
      <c r="C8" s="560"/>
      <c r="D8" s="623" t="s">
        <v>19</v>
      </c>
      <c r="E8" s="624"/>
      <c r="F8" s="624"/>
      <c r="G8" s="624"/>
      <c r="H8" s="624"/>
      <c r="I8" s="624"/>
      <c r="J8" s="624"/>
      <c r="K8" s="624"/>
      <c r="L8" s="624"/>
      <c r="M8" s="625"/>
      <c r="N8" s="61"/>
      <c r="P8" s="24" t="s">
        <v>20</v>
      </c>
      <c r="Q8" s="650">
        <v>0.41666666666666669</v>
      </c>
      <c r="R8" s="612"/>
      <c r="T8" s="557"/>
      <c r="U8" s="725"/>
      <c r="V8" s="774"/>
      <c r="W8" s="775"/>
      <c r="AB8" s="51"/>
      <c r="AC8" s="51"/>
      <c r="AD8" s="51"/>
      <c r="AE8" s="51"/>
    </row>
    <row r="9" spans="1:32" s="541" customFormat="1" ht="39.950000000000003" customHeight="1" x14ac:dyDescent="0.2">
      <c r="A9" s="6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4"/>
      <c r="E9" s="569"/>
      <c r="F9" s="6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79"/>
      <c r="R9" s="680"/>
      <c r="T9" s="557"/>
      <c r="U9" s="725"/>
      <c r="V9" s="776"/>
      <c r="W9" s="77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4"/>
      <c r="E10" s="569"/>
      <c r="F10" s="6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1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26"/>
      <c r="R10" s="727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07" t="s">
        <v>28</v>
      </c>
      <c r="W11" s="68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2" t="s">
        <v>29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4"/>
      <c r="N12" s="62"/>
      <c r="P12" s="24" t="s">
        <v>30</v>
      </c>
      <c r="Q12" s="650"/>
      <c r="R12" s="612"/>
      <c r="S12" s="23"/>
      <c r="U12" s="24"/>
      <c r="V12" s="634"/>
      <c r="W12" s="557"/>
      <c r="AB12" s="51"/>
      <c r="AC12" s="51"/>
      <c r="AD12" s="51"/>
      <c r="AE12" s="51"/>
    </row>
    <row r="13" spans="1:32" s="541" customFormat="1" ht="23.25" customHeight="1" x14ac:dyDescent="0.2">
      <c r="A13" s="712" t="s">
        <v>31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4"/>
      <c r="N13" s="62"/>
      <c r="O13" s="26"/>
      <c r="P13" s="26" t="s">
        <v>32</v>
      </c>
      <c r="Q13" s="807"/>
      <c r="R13" s="68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2" t="s">
        <v>33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3"/>
      <c r="C15" s="663"/>
      <c r="D15" s="663"/>
      <c r="E15" s="663"/>
      <c r="F15" s="663"/>
      <c r="G15" s="663"/>
      <c r="H15" s="663"/>
      <c r="I15" s="663"/>
      <c r="J15" s="663"/>
      <c r="K15" s="663"/>
      <c r="L15" s="663"/>
      <c r="M15" s="664"/>
      <c r="N15" s="63"/>
      <c r="P15" s="702" t="s">
        <v>35</v>
      </c>
      <c r="Q15" s="634"/>
      <c r="R15" s="634"/>
      <c r="S15" s="634"/>
      <c r="T15" s="63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90" t="s">
        <v>38</v>
      </c>
      <c r="D17" s="589" t="s">
        <v>39</v>
      </c>
      <c r="E17" s="668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67"/>
      <c r="R17" s="667"/>
      <c r="S17" s="667"/>
      <c r="T17" s="668"/>
      <c r="U17" s="861" t="s">
        <v>51</v>
      </c>
      <c r="V17" s="664"/>
      <c r="W17" s="589" t="s">
        <v>52</v>
      </c>
      <c r="X17" s="589" t="s">
        <v>53</v>
      </c>
      <c r="Y17" s="862" t="s">
        <v>54</v>
      </c>
      <c r="Z17" s="784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4"/>
      <c r="AF17" s="835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69"/>
      <c r="E18" s="671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69"/>
      <c r="Q18" s="670"/>
      <c r="R18" s="670"/>
      <c r="S18" s="670"/>
      <c r="T18" s="671"/>
      <c r="U18" s="67" t="s">
        <v>61</v>
      </c>
      <c r="V18" s="67" t="s">
        <v>62</v>
      </c>
      <c r="W18" s="590"/>
      <c r="X18" s="590"/>
      <c r="Y18" s="863"/>
      <c r="Z18" s="785"/>
      <c r="AA18" s="763"/>
      <c r="AB18" s="763"/>
      <c r="AC18" s="763"/>
      <c r="AD18" s="836"/>
      <c r="AE18" s="837"/>
      <c r="AF18" s="838"/>
      <c r="AG18" s="66"/>
      <c r="BD18" s="65"/>
    </row>
    <row r="19" spans="1:68" ht="27.75" hidden="1" customHeight="1" x14ac:dyDescent="0.2">
      <c r="A19" s="652" t="s">
        <v>63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48"/>
      <c r="AB19" s="48"/>
      <c r="AC19" s="48"/>
    </row>
    <row r="20" spans="1:68" ht="16.5" hidden="1" customHeight="1" x14ac:dyDescent="0.25">
      <c r="A20" s="556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62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4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5"/>
      <c r="P24" s="558" t="s">
        <v>75</v>
      </c>
      <c r="Q24" s="559"/>
      <c r="R24" s="559"/>
      <c r="S24" s="559"/>
      <c r="T24" s="559"/>
      <c r="U24" s="559"/>
      <c r="V24" s="560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5"/>
      <c r="P25" s="558" t="s">
        <v>75</v>
      </c>
      <c r="Q25" s="559"/>
      <c r="R25" s="559"/>
      <c r="S25" s="559"/>
      <c r="T25" s="559"/>
      <c r="U25" s="559"/>
      <c r="V25" s="560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2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4">
        <v>4607091388244</v>
      </c>
      <c r="E31" s="555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4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5"/>
      <c r="P32" s="558" t="s">
        <v>75</v>
      </c>
      <c r="Q32" s="559"/>
      <c r="R32" s="559"/>
      <c r="S32" s="559"/>
      <c r="T32" s="559"/>
      <c r="U32" s="559"/>
      <c r="V32" s="560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5"/>
      <c r="P33" s="558" t="s">
        <v>75</v>
      </c>
      <c r="Q33" s="559"/>
      <c r="R33" s="559"/>
      <c r="S33" s="559"/>
      <c r="T33" s="559"/>
      <c r="U33" s="559"/>
      <c r="V33" s="560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62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4">
        <v>4607091388503</v>
      </c>
      <c r="E35" s="555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4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5"/>
      <c r="P36" s="558" t="s">
        <v>75</v>
      </c>
      <c r="Q36" s="559"/>
      <c r="R36" s="559"/>
      <c r="S36" s="559"/>
      <c r="T36" s="559"/>
      <c r="U36" s="559"/>
      <c r="V36" s="560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5"/>
      <c r="P37" s="558" t="s">
        <v>75</v>
      </c>
      <c r="Q37" s="559"/>
      <c r="R37" s="559"/>
      <c r="S37" s="559"/>
      <c r="T37" s="559"/>
      <c r="U37" s="559"/>
      <c r="V37" s="560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2" t="s">
        <v>99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  <c r="AA38" s="48"/>
      <c r="AB38" s="48"/>
      <c r="AC38" s="48"/>
    </row>
    <row r="39" spans="1:68" ht="16.5" hidden="1" customHeight="1" x14ac:dyDescent="0.25">
      <c r="A39" s="556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62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54">
        <v>4607091385670</v>
      </c>
      <c r="E41" s="555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54">
        <v>4680115882539</v>
      </c>
      <c r="E42" s="555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54">
        <v>4607091385687</v>
      </c>
      <c r="E43" s="555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4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5"/>
      <c r="P44" s="558" t="s">
        <v>75</v>
      </c>
      <c r="Q44" s="559"/>
      <c r="R44" s="559"/>
      <c r="S44" s="559"/>
      <c r="T44" s="559"/>
      <c r="U44" s="559"/>
      <c r="V44" s="560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5"/>
      <c r="P45" s="558" t="s">
        <v>75</v>
      </c>
      <c r="Q45" s="559"/>
      <c r="R45" s="559"/>
      <c r="S45" s="559"/>
      <c r="T45" s="559"/>
      <c r="U45" s="559"/>
      <c r="V45" s="560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hidden="1" customHeight="1" x14ac:dyDescent="0.25">
      <c r="A46" s="562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114</v>
      </c>
      <c r="B47" s="54" t="s">
        <v>115</v>
      </c>
      <c r="C47" s="31">
        <v>4301051820</v>
      </c>
      <c r="D47" s="554">
        <v>4680115884915</v>
      </c>
      <c r="E47" s="555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4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5"/>
      <c r="P48" s="558" t="s">
        <v>75</v>
      </c>
      <c r="Q48" s="559"/>
      <c r="R48" s="559"/>
      <c r="S48" s="559"/>
      <c r="T48" s="559"/>
      <c r="U48" s="559"/>
      <c r="V48" s="560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5"/>
      <c r="P49" s="558" t="s">
        <v>75</v>
      </c>
      <c r="Q49" s="559"/>
      <c r="R49" s="559"/>
      <c r="S49" s="559"/>
      <c r="T49" s="559"/>
      <c r="U49" s="559"/>
      <c r="V49" s="560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56" t="s">
        <v>117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62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118</v>
      </c>
      <c r="B52" s="54" t="s">
        <v>119</v>
      </c>
      <c r="C52" s="31">
        <v>4301012030</v>
      </c>
      <c r="D52" s="554">
        <v>4680115885882</v>
      </c>
      <c r="E52" s="555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121</v>
      </c>
      <c r="B53" s="54" t="s">
        <v>122</v>
      </c>
      <c r="C53" s="31">
        <v>4301011816</v>
      </c>
      <c r="D53" s="554">
        <v>4680115881426</v>
      </c>
      <c r="E53" s="555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5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124</v>
      </c>
      <c r="B54" s="54" t="s">
        <v>125</v>
      </c>
      <c r="C54" s="31">
        <v>4301011386</v>
      </c>
      <c r="D54" s="554">
        <v>4680115880283</v>
      </c>
      <c r="E54" s="555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127</v>
      </c>
      <c r="B55" s="54" t="s">
        <v>128</v>
      </c>
      <c r="C55" s="31">
        <v>4301011806</v>
      </c>
      <c r="D55" s="554">
        <v>4680115881525</v>
      </c>
      <c r="E55" s="555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4301011589</v>
      </c>
      <c r="D56" s="554">
        <v>4680115885899</v>
      </c>
      <c r="E56" s="555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4301011801</v>
      </c>
      <c r="D57" s="554">
        <v>4680115881419</v>
      </c>
      <c r="E57" s="555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4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5"/>
      <c r="P58" s="558" t="s">
        <v>75</v>
      </c>
      <c r="Q58" s="559"/>
      <c r="R58" s="559"/>
      <c r="S58" s="559"/>
      <c r="T58" s="559"/>
      <c r="U58" s="559"/>
      <c r="V58" s="560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hidden="1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5"/>
      <c r="P59" s="558" t="s">
        <v>75</v>
      </c>
      <c r="Q59" s="559"/>
      <c r="R59" s="559"/>
      <c r="S59" s="559"/>
      <c r="T59" s="559"/>
      <c r="U59" s="559"/>
      <c r="V59" s="560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hidden="1" customHeight="1" x14ac:dyDescent="0.25">
      <c r="A60" s="562" t="s">
        <v>136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137</v>
      </c>
      <c r="B61" s="54" t="s">
        <v>138</v>
      </c>
      <c r="C61" s="31">
        <v>4301020298</v>
      </c>
      <c r="D61" s="554">
        <v>4680115881440</v>
      </c>
      <c r="E61" s="555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60</v>
      </c>
      <c r="Y61" s="548">
        <f>IFERROR(IF(X61="",0,CEILING((X61/$H61),1)*$H61),"")</f>
        <v>64.800000000000011</v>
      </c>
      <c r="Z61" s="36">
        <f>IFERROR(IF(Y61=0,"",ROUNDUP(Y61/H61,0)*0.01898),"")</f>
        <v>0.11388000000000001</v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62.277777777777779</v>
      </c>
      <c r="BN61" s="64">
        <f>IFERROR(Y61*I61/H61,"0")</f>
        <v>67.260000000000005</v>
      </c>
      <c r="BO61" s="64">
        <f>IFERROR(1/J61*(X61/H61),"0")</f>
        <v>8.6805555555555552E-2</v>
      </c>
      <c r="BP61" s="64">
        <f>IFERROR(1/J61*(Y61/H61),"0")</f>
        <v>9.3750000000000014E-2</v>
      </c>
    </row>
    <row r="62" spans="1:68" ht="16.5" hidden="1" customHeight="1" x14ac:dyDescent="0.25">
      <c r="A62" s="54" t="s">
        <v>140</v>
      </c>
      <c r="B62" s="54" t="s">
        <v>141</v>
      </c>
      <c r="C62" s="31">
        <v>4301020358</v>
      </c>
      <c r="D62" s="554">
        <v>4680115885950</v>
      </c>
      <c r="E62" s="555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142</v>
      </c>
      <c r="B63" s="54" t="s">
        <v>143</v>
      </c>
      <c r="C63" s="31">
        <v>4301020296</v>
      </c>
      <c r="D63" s="554">
        <v>4680115881433</v>
      </c>
      <c r="E63" s="555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4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5"/>
      <c r="P64" s="558" t="s">
        <v>75</v>
      </c>
      <c r="Q64" s="559"/>
      <c r="R64" s="559"/>
      <c r="S64" s="559"/>
      <c r="T64" s="559"/>
      <c r="U64" s="559"/>
      <c r="V64" s="560"/>
      <c r="W64" s="37" t="s">
        <v>76</v>
      </c>
      <c r="X64" s="549">
        <f>IFERROR(X61/H61,"0")+IFERROR(X62/H62,"0")+IFERROR(X63/H63,"0")</f>
        <v>5.5555555555555554</v>
      </c>
      <c r="Y64" s="549">
        <f>IFERROR(Y61/H61,"0")+IFERROR(Y62/H62,"0")+IFERROR(Y63/H63,"0")</f>
        <v>6.0000000000000009</v>
      </c>
      <c r="Z64" s="549">
        <f>IFERROR(IF(Z61="",0,Z61),"0")+IFERROR(IF(Z62="",0,Z62),"0")+IFERROR(IF(Z63="",0,Z63),"0")</f>
        <v>0.11388000000000001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5"/>
      <c r="P65" s="558" t="s">
        <v>75</v>
      </c>
      <c r="Q65" s="559"/>
      <c r="R65" s="559"/>
      <c r="S65" s="559"/>
      <c r="T65" s="559"/>
      <c r="U65" s="559"/>
      <c r="V65" s="560"/>
      <c r="W65" s="37" t="s">
        <v>69</v>
      </c>
      <c r="X65" s="549">
        <f>IFERROR(SUM(X61:X63),"0")</f>
        <v>60</v>
      </c>
      <c r="Y65" s="549">
        <f>IFERROR(SUM(Y61:Y63),"0")</f>
        <v>64.800000000000011</v>
      </c>
      <c r="Z65" s="37"/>
      <c r="AA65" s="550"/>
      <c r="AB65" s="550"/>
      <c r="AC65" s="550"/>
    </row>
    <row r="66" spans="1:68" ht="14.25" hidden="1" customHeight="1" x14ac:dyDescent="0.25">
      <c r="A66" s="562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144</v>
      </c>
      <c r="B67" s="54" t="s">
        <v>145</v>
      </c>
      <c r="C67" s="31">
        <v>4301031243</v>
      </c>
      <c r="D67" s="554">
        <v>4680115885073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2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147</v>
      </c>
      <c r="B68" s="54" t="s">
        <v>148</v>
      </c>
      <c r="C68" s="31">
        <v>4301031316</v>
      </c>
      <c r="D68" s="554">
        <v>4680115885097</v>
      </c>
      <c r="E68" s="555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4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5"/>
      <c r="P69" s="558" t="s">
        <v>75</v>
      </c>
      <c r="Q69" s="559"/>
      <c r="R69" s="559"/>
      <c r="S69" s="559"/>
      <c r="T69" s="559"/>
      <c r="U69" s="559"/>
      <c r="V69" s="560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5"/>
      <c r="P70" s="558" t="s">
        <v>75</v>
      </c>
      <c r="Q70" s="559"/>
      <c r="R70" s="559"/>
      <c r="S70" s="559"/>
      <c r="T70" s="559"/>
      <c r="U70" s="559"/>
      <c r="V70" s="560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hidden="1" customHeight="1" x14ac:dyDescent="0.25">
      <c r="A71" s="562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hidden="1" customHeight="1" x14ac:dyDescent="0.25">
      <c r="A72" s="54" t="s">
        <v>150</v>
      </c>
      <c r="B72" s="54" t="s">
        <v>151</v>
      </c>
      <c r="C72" s="31">
        <v>4301051846</v>
      </c>
      <c r="D72" s="554">
        <v>4680115885769</v>
      </c>
      <c r="E72" s="555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153</v>
      </c>
      <c r="B73" s="54" t="s">
        <v>154</v>
      </c>
      <c r="C73" s="31">
        <v>4301051837</v>
      </c>
      <c r="D73" s="554">
        <v>4680115884311</v>
      </c>
      <c r="E73" s="555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7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4301051844</v>
      </c>
      <c r="D74" s="554">
        <v>4680115885929</v>
      </c>
      <c r="E74" s="555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158</v>
      </c>
      <c r="B75" s="54" t="s">
        <v>159</v>
      </c>
      <c r="C75" s="31">
        <v>4301051929</v>
      </c>
      <c r="D75" s="554">
        <v>4680115884403</v>
      </c>
      <c r="E75" s="555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4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5"/>
      <c r="P76" s="558" t="s">
        <v>75</v>
      </c>
      <c r="Q76" s="559"/>
      <c r="R76" s="559"/>
      <c r="S76" s="559"/>
      <c r="T76" s="559"/>
      <c r="U76" s="559"/>
      <c r="V76" s="560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5"/>
      <c r="P77" s="558" t="s">
        <v>75</v>
      </c>
      <c r="Q77" s="559"/>
      <c r="R77" s="559"/>
      <c r="S77" s="559"/>
      <c r="T77" s="559"/>
      <c r="U77" s="559"/>
      <c r="V77" s="560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hidden="1" customHeight="1" x14ac:dyDescent="0.25">
      <c r="A78" s="562" t="s">
        <v>161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hidden="1" customHeight="1" x14ac:dyDescent="0.25">
      <c r="A79" s="54" t="s">
        <v>162</v>
      </c>
      <c r="B79" s="54" t="s">
        <v>163</v>
      </c>
      <c r="C79" s="31">
        <v>4301060455</v>
      </c>
      <c r="D79" s="554">
        <v>4680115881532</v>
      </c>
      <c r="E79" s="555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165</v>
      </c>
      <c r="B80" s="54" t="s">
        <v>166</v>
      </c>
      <c r="C80" s="31">
        <v>4301060351</v>
      </c>
      <c r="D80" s="554">
        <v>4680115881464</v>
      </c>
      <c r="E80" s="555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4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5"/>
      <c r="P81" s="558" t="s">
        <v>75</v>
      </c>
      <c r="Q81" s="559"/>
      <c r="R81" s="559"/>
      <c r="S81" s="559"/>
      <c r="T81" s="559"/>
      <c r="U81" s="559"/>
      <c r="V81" s="560"/>
      <c r="W81" s="37" t="s">
        <v>76</v>
      </c>
      <c r="X81" s="549">
        <f>IFERROR(X79/H79,"0")+IFERROR(X80/H80,"0")</f>
        <v>0</v>
      </c>
      <c r="Y81" s="549">
        <f>IFERROR(Y79/H79,"0")+IFERROR(Y80/H80,"0")</f>
        <v>0</v>
      </c>
      <c r="Z81" s="549">
        <f>IFERROR(IF(Z79="",0,Z79),"0")+IFERROR(IF(Z80="",0,Z80),"0")</f>
        <v>0</v>
      </c>
      <c r="AA81" s="550"/>
      <c r="AB81" s="550"/>
      <c r="AC81" s="550"/>
    </row>
    <row r="82" spans="1:68" hidden="1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5"/>
      <c r="P82" s="558" t="s">
        <v>75</v>
      </c>
      <c r="Q82" s="559"/>
      <c r="R82" s="559"/>
      <c r="S82" s="559"/>
      <c r="T82" s="559"/>
      <c r="U82" s="559"/>
      <c r="V82" s="560"/>
      <c r="W82" s="37" t="s">
        <v>69</v>
      </c>
      <c r="X82" s="549">
        <f>IFERROR(SUM(X79:X80),"0")</f>
        <v>0</v>
      </c>
      <c r="Y82" s="549">
        <f>IFERROR(SUM(Y79:Y80),"0")</f>
        <v>0</v>
      </c>
      <c r="Z82" s="37"/>
      <c r="AA82" s="550"/>
      <c r="AB82" s="550"/>
      <c r="AC82" s="550"/>
    </row>
    <row r="83" spans="1:68" ht="16.5" hidden="1" customHeight="1" x14ac:dyDescent="0.25">
      <c r="A83" s="556" t="s">
        <v>168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hidden="1" customHeight="1" x14ac:dyDescent="0.25">
      <c r="A84" s="562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54">
        <v>4680115881327</v>
      </c>
      <c r="E85" s="555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101</v>
      </c>
      <c r="Y85" s="548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104.83425925925926</v>
      </c>
      <c r="BN85" s="64">
        <f>IFERROR(Y85*I85/H85,"0")</f>
        <v>112.1</v>
      </c>
      <c r="BO85" s="64">
        <f>IFERROR(1/J85*(X85/H85),"0")</f>
        <v>0.14612268518518517</v>
      </c>
      <c r="BP85" s="64">
        <f>IFERROR(1/J85*(Y85/H85),"0")</f>
        <v>0.15625</v>
      </c>
    </row>
    <row r="86" spans="1:68" ht="27" hidden="1" customHeight="1" x14ac:dyDescent="0.25">
      <c r="A86" s="54" t="s">
        <v>172</v>
      </c>
      <c r="B86" s="54" t="s">
        <v>173</v>
      </c>
      <c r="C86" s="31">
        <v>4301011261</v>
      </c>
      <c r="D86" s="554">
        <v>4680115887732</v>
      </c>
      <c r="E86" s="555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54">
        <v>4680115881518</v>
      </c>
      <c r="E87" s="555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54">
        <v>4680115881303</v>
      </c>
      <c r="E88" s="555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26</v>
      </c>
      <c r="Y88" s="548">
        <f>IFERROR(IF(X88="",0,CEILING((X88/$H88),1)*$H88),"")</f>
        <v>27</v>
      </c>
      <c r="Z88" s="36">
        <f>IFERROR(IF(Y88=0,"",ROUNDUP(Y88/H88,0)*0.00902),"")</f>
        <v>5.4120000000000001E-2</v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27.097777777777779</v>
      </c>
      <c r="BN88" s="64">
        <f>IFERROR(Y88*I88/H88,"0")</f>
        <v>28.14</v>
      </c>
      <c r="BO88" s="64">
        <f>IFERROR(1/J88*(X88/H88),"0")</f>
        <v>4.3771043771043773E-2</v>
      </c>
      <c r="BP88" s="64">
        <f>IFERROR(1/J88*(Y88/H88),"0")</f>
        <v>4.5454545454545456E-2</v>
      </c>
    </row>
    <row r="89" spans="1:68" x14ac:dyDescent="0.2">
      <c r="A89" s="564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5"/>
      <c r="P89" s="558" t="s">
        <v>75</v>
      </c>
      <c r="Q89" s="559"/>
      <c r="R89" s="559"/>
      <c r="S89" s="559"/>
      <c r="T89" s="559"/>
      <c r="U89" s="559"/>
      <c r="V89" s="560"/>
      <c r="W89" s="37" t="s">
        <v>76</v>
      </c>
      <c r="X89" s="549">
        <f>IFERROR(X85/H85,"0")+IFERROR(X86/H86,"0")+IFERROR(X87/H87,"0")+IFERROR(X88/H88,"0")</f>
        <v>15.12962962962963</v>
      </c>
      <c r="Y89" s="549">
        <f>IFERROR(Y85/H85,"0")+IFERROR(Y86/H86,"0")+IFERROR(Y87/H87,"0")+IFERROR(Y88/H88,"0")</f>
        <v>16</v>
      </c>
      <c r="Z89" s="549">
        <f>IFERROR(IF(Z85="",0,Z85),"0")+IFERROR(IF(Z86="",0,Z86),"0")+IFERROR(IF(Z87="",0,Z87),"0")+IFERROR(IF(Z88="",0,Z88),"0")</f>
        <v>0.24392</v>
      </c>
      <c r="AA89" s="550"/>
      <c r="AB89" s="550"/>
      <c r="AC89" s="550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5"/>
      <c r="P90" s="558" t="s">
        <v>75</v>
      </c>
      <c r="Q90" s="559"/>
      <c r="R90" s="559"/>
      <c r="S90" s="559"/>
      <c r="T90" s="559"/>
      <c r="U90" s="559"/>
      <c r="V90" s="560"/>
      <c r="W90" s="37" t="s">
        <v>69</v>
      </c>
      <c r="X90" s="549">
        <f>IFERROR(SUM(X85:X88),"0")</f>
        <v>127</v>
      </c>
      <c r="Y90" s="549">
        <f>IFERROR(SUM(Y85:Y88),"0")</f>
        <v>135</v>
      </c>
      <c r="Z90" s="37"/>
      <c r="AA90" s="550"/>
      <c r="AB90" s="550"/>
      <c r="AC90" s="550"/>
    </row>
    <row r="91" spans="1:68" ht="14.25" hidden="1" customHeight="1" x14ac:dyDescent="0.25">
      <c r="A91" s="562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customHeight="1" x14ac:dyDescent="0.25">
      <c r="A92" s="54" t="s">
        <v>180</v>
      </c>
      <c r="B92" s="54" t="s">
        <v>181</v>
      </c>
      <c r="C92" s="31">
        <v>4301051712</v>
      </c>
      <c r="D92" s="554">
        <v>4607091386967</v>
      </c>
      <c r="E92" s="555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8</v>
      </c>
      <c r="Y92" s="548">
        <f>IFERROR(IF(X92="",0,CEILING((X92/$H92),1)*$H92),"")</f>
        <v>8.1</v>
      </c>
      <c r="Z92" s="36">
        <f>IFERROR(IF(Y92=0,"",ROUNDUP(Y92/H92,0)*0.01898),"")</f>
        <v>1.898E-2</v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8.4879012345679019</v>
      </c>
      <c r="BN92" s="64">
        <f>IFERROR(Y92*I92/H92,"0")</f>
        <v>8.5939999999999994</v>
      </c>
      <c r="BO92" s="64">
        <f>IFERROR(1/J92*(X92/H92),"0")</f>
        <v>1.54320987654321E-2</v>
      </c>
      <c r="BP92" s="64">
        <f>IFERROR(1/J92*(Y92/H92),"0")</f>
        <v>1.5625E-2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54">
        <v>4680115884953</v>
      </c>
      <c r="E93" s="555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54">
        <v>4607091385731</v>
      </c>
      <c r="E94" s="555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69</v>
      </c>
      <c r="Y94" s="548">
        <f>IFERROR(IF(X94="",0,CEILING((X94/$H94),1)*$H94),"")</f>
        <v>70.2</v>
      </c>
      <c r="Z94" s="36">
        <f>IFERROR(IF(Y94=0,"",ROUNDUP(Y94/H94,0)*0.00651),"")</f>
        <v>0.16925999999999999</v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75.44</v>
      </c>
      <c r="BN94" s="64">
        <f>IFERROR(Y94*I94/H94,"0")</f>
        <v>76.751999999999995</v>
      </c>
      <c r="BO94" s="64">
        <f>IFERROR(1/J94*(X94/H94),"0")</f>
        <v>0.14041514041514042</v>
      </c>
      <c r="BP94" s="64">
        <f>IFERROR(1/J94*(Y94/H94),"0")</f>
        <v>0.14285714285714288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54">
        <v>4680115880894</v>
      </c>
      <c r="E95" s="555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4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5"/>
      <c r="P96" s="558" t="s">
        <v>75</v>
      </c>
      <c r="Q96" s="559"/>
      <c r="R96" s="559"/>
      <c r="S96" s="559"/>
      <c r="T96" s="559"/>
      <c r="U96" s="559"/>
      <c r="V96" s="560"/>
      <c r="W96" s="37" t="s">
        <v>76</v>
      </c>
      <c r="X96" s="549">
        <f>IFERROR(X92/H92,"0")+IFERROR(X93/H93,"0")+IFERROR(X94/H94,"0")+IFERROR(X95/H95,"0")</f>
        <v>26.543209876543209</v>
      </c>
      <c r="Y96" s="549">
        <f>IFERROR(Y92/H92,"0")+IFERROR(Y93/H93,"0")+IFERROR(Y94/H94,"0")+IFERROR(Y95/H95,"0")</f>
        <v>27</v>
      </c>
      <c r="Z96" s="549">
        <f>IFERROR(IF(Z92="",0,Z92),"0")+IFERROR(IF(Z93="",0,Z93),"0")+IFERROR(IF(Z94="",0,Z94),"0")+IFERROR(IF(Z95="",0,Z95),"0")</f>
        <v>0.18823999999999999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5"/>
      <c r="P97" s="558" t="s">
        <v>75</v>
      </c>
      <c r="Q97" s="559"/>
      <c r="R97" s="559"/>
      <c r="S97" s="559"/>
      <c r="T97" s="559"/>
      <c r="U97" s="559"/>
      <c r="V97" s="560"/>
      <c r="W97" s="37" t="s">
        <v>69</v>
      </c>
      <c r="X97" s="549">
        <f>IFERROR(SUM(X92:X95),"0")</f>
        <v>77</v>
      </c>
      <c r="Y97" s="549">
        <f>IFERROR(SUM(Y92:Y95),"0")</f>
        <v>78.3</v>
      </c>
      <c r="Z97" s="37"/>
      <c r="AA97" s="550"/>
      <c r="AB97" s="550"/>
      <c r="AC97" s="550"/>
    </row>
    <row r="98" spans="1:68" ht="16.5" hidden="1" customHeight="1" x14ac:dyDescent="0.25">
      <c r="A98" s="556" t="s">
        <v>191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hidden="1" customHeight="1" x14ac:dyDescent="0.25">
      <c r="A99" s="562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54">
        <v>4680115882133</v>
      </c>
      <c r="E100" s="555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92</v>
      </c>
      <c r="Y100" s="548">
        <f>IFERROR(IF(X100="",0,CEILING((X100/$H100),1)*$H100),"")</f>
        <v>97.2</v>
      </c>
      <c r="Z100" s="36">
        <f>IFERROR(IF(Y100=0,"",ROUNDUP(Y100/H100,0)*0.01898),"")</f>
        <v>0.17082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95.492592592592601</v>
      </c>
      <c r="BN100" s="64">
        <f>IFERROR(Y100*I100/H100,"0")</f>
        <v>100.89</v>
      </c>
      <c r="BO100" s="64">
        <f>IFERROR(1/J100*(X100/H100),"0")</f>
        <v>0.13310185185185183</v>
      </c>
      <c r="BP100" s="64">
        <f>IFERROR(1/J100*(Y100/H100),"0")</f>
        <v>0.140625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54">
        <v>4680115887718</v>
      </c>
      <c r="E101" s="555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54">
        <v>4680115880269</v>
      </c>
      <c r="E102" s="555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54">
        <v>4680115880429</v>
      </c>
      <c r="E103" s="555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202</v>
      </c>
      <c r="M103" s="33" t="s">
        <v>80</v>
      </c>
      <c r="N103" s="33"/>
      <c r="O103" s="32">
        <v>50</v>
      </c>
      <c r="P103" s="6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53</v>
      </c>
      <c r="Y103" s="548">
        <f>IFERROR(IF(X103="",0,CEILING((X103/$H103),1)*$H103),"")</f>
        <v>54</v>
      </c>
      <c r="Z103" s="36">
        <f>IFERROR(IF(Y103=0,"",ROUNDUP(Y103/H103,0)*0.00902),"")</f>
        <v>0.10824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55.237777777777779</v>
      </c>
      <c r="BN103" s="64">
        <f>IFERROR(Y103*I103/H103,"0")</f>
        <v>56.28</v>
      </c>
      <c r="BO103" s="64">
        <f>IFERROR(1/J103*(X103/H103),"0")</f>
        <v>8.9225589225589236E-2</v>
      </c>
      <c r="BP103" s="64">
        <f>IFERROR(1/J103*(Y103/H103),"0")</f>
        <v>9.0909090909090912E-2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54">
        <v>4680115881457</v>
      </c>
      <c r="E104" s="555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4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5"/>
      <c r="P105" s="558" t="s">
        <v>75</v>
      </c>
      <c r="Q105" s="559"/>
      <c r="R105" s="559"/>
      <c r="S105" s="559"/>
      <c r="T105" s="559"/>
      <c r="U105" s="559"/>
      <c r="V105" s="560"/>
      <c r="W105" s="37" t="s">
        <v>76</v>
      </c>
      <c r="X105" s="549">
        <f>IFERROR(X100/H100,"0")+IFERROR(X101/H101,"0")+IFERROR(X102/H102,"0")+IFERROR(X103/H103,"0")+IFERROR(X104/H104,"0")</f>
        <v>20.296296296296298</v>
      </c>
      <c r="Y105" s="549">
        <f>IFERROR(Y100/H100,"0")+IFERROR(Y101/H101,"0")+IFERROR(Y102/H102,"0")+IFERROR(Y103/H103,"0")+IFERROR(Y104/H104,"0")</f>
        <v>21</v>
      </c>
      <c r="Z105" s="549">
        <f>IFERROR(IF(Z100="",0,Z100),"0")+IFERROR(IF(Z101="",0,Z101),"0")+IFERROR(IF(Z102="",0,Z102),"0")+IFERROR(IF(Z103="",0,Z103),"0")+IFERROR(IF(Z104="",0,Z104),"0")</f>
        <v>0.27905999999999997</v>
      </c>
      <c r="AA105" s="550"/>
      <c r="AB105" s="550"/>
      <c r="AC105" s="550"/>
    </row>
    <row r="106" spans="1:68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5"/>
      <c r="P106" s="558" t="s">
        <v>75</v>
      </c>
      <c r="Q106" s="559"/>
      <c r="R106" s="559"/>
      <c r="S106" s="559"/>
      <c r="T106" s="559"/>
      <c r="U106" s="559"/>
      <c r="V106" s="560"/>
      <c r="W106" s="37" t="s">
        <v>69</v>
      </c>
      <c r="X106" s="549">
        <f>IFERROR(SUM(X100:X104),"0")</f>
        <v>145</v>
      </c>
      <c r="Y106" s="549">
        <f>IFERROR(SUM(Y100:Y104),"0")</f>
        <v>151.19999999999999</v>
      </c>
      <c r="Z106" s="37"/>
      <c r="AA106" s="550"/>
      <c r="AB106" s="550"/>
      <c r="AC106" s="550"/>
    </row>
    <row r="107" spans="1:68" ht="14.25" hidden="1" customHeight="1" x14ac:dyDescent="0.25">
      <c r="A107" s="562" t="s">
        <v>136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54">
        <v>4680115881488</v>
      </c>
      <c r="E108" s="555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27</v>
      </c>
      <c r="Y108" s="548">
        <f>IFERROR(IF(X108="",0,CEILING((X108/$H108),1)*$H108),"")</f>
        <v>32.400000000000006</v>
      </c>
      <c r="Z108" s="36">
        <f>IFERROR(IF(Y108=0,"",ROUNDUP(Y108/H108,0)*0.01898),"")</f>
        <v>5.6940000000000004E-2</v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28.024999999999999</v>
      </c>
      <c r="BN108" s="64">
        <f>IFERROR(Y108*I108/H108,"0")</f>
        <v>33.630000000000003</v>
      </c>
      <c r="BO108" s="64">
        <f>IFERROR(1/J108*(X108/H108),"0")</f>
        <v>3.90625E-2</v>
      </c>
      <c r="BP108" s="64">
        <f>IFERROR(1/J108*(Y108/H108),"0")</f>
        <v>4.6875000000000007E-2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54">
        <v>4680115887664</v>
      </c>
      <c r="E109" s="555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54">
        <v>4680115882775</v>
      </c>
      <c r="E110" s="555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54">
        <v>4680115880658</v>
      </c>
      <c r="E111" s="555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9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31</v>
      </c>
      <c r="Y111" s="548">
        <f>IFERROR(IF(X111="",0,CEILING((X111/$H111),1)*$H111),"")</f>
        <v>31.2</v>
      </c>
      <c r="Z111" s="36">
        <f>IFERROR(IF(Y111=0,"",ROUNDUP(Y111/H111,0)*0.00651),"")</f>
        <v>8.4629999999999997E-2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33.325000000000003</v>
      </c>
      <c r="BN111" s="64">
        <f>IFERROR(Y111*I111/H111,"0")</f>
        <v>33.54</v>
      </c>
      <c r="BO111" s="64">
        <f>IFERROR(1/J111*(X111/H111),"0")</f>
        <v>7.0970695970695982E-2</v>
      </c>
      <c r="BP111" s="64">
        <f>IFERROR(1/J111*(Y111/H111),"0")</f>
        <v>7.1428571428571438E-2</v>
      </c>
    </row>
    <row r="112" spans="1:68" x14ac:dyDescent="0.2">
      <c r="A112" s="564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5"/>
      <c r="P112" s="558" t="s">
        <v>75</v>
      </c>
      <c r="Q112" s="559"/>
      <c r="R112" s="559"/>
      <c r="S112" s="559"/>
      <c r="T112" s="559"/>
      <c r="U112" s="559"/>
      <c r="V112" s="560"/>
      <c r="W112" s="37" t="s">
        <v>76</v>
      </c>
      <c r="X112" s="549">
        <f>IFERROR(X108/H108,"0")+IFERROR(X109/H109,"0")+IFERROR(X110/H110,"0")+IFERROR(X111/H111,"0")</f>
        <v>15.416666666666668</v>
      </c>
      <c r="Y112" s="549">
        <f>IFERROR(Y108/H108,"0")+IFERROR(Y109/H109,"0")+IFERROR(Y110/H110,"0")+IFERROR(Y111/H111,"0")</f>
        <v>16</v>
      </c>
      <c r="Z112" s="549">
        <f>IFERROR(IF(Z108="",0,Z108),"0")+IFERROR(IF(Z109="",0,Z109),"0")+IFERROR(IF(Z110="",0,Z110),"0")+IFERROR(IF(Z111="",0,Z111),"0")</f>
        <v>0.14157</v>
      </c>
      <c r="AA112" s="550"/>
      <c r="AB112" s="550"/>
      <c r="AC112" s="550"/>
    </row>
    <row r="113" spans="1:68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5"/>
      <c r="P113" s="558" t="s">
        <v>75</v>
      </c>
      <c r="Q113" s="559"/>
      <c r="R113" s="559"/>
      <c r="S113" s="559"/>
      <c r="T113" s="559"/>
      <c r="U113" s="559"/>
      <c r="V113" s="560"/>
      <c r="W113" s="37" t="s">
        <v>69</v>
      </c>
      <c r="X113" s="549">
        <f>IFERROR(SUM(X108:X111),"0")</f>
        <v>58</v>
      </c>
      <c r="Y113" s="549">
        <f>IFERROR(SUM(Y108:Y111),"0")</f>
        <v>63.600000000000009</v>
      </c>
      <c r="Z113" s="37"/>
      <c r="AA113" s="550"/>
      <c r="AB113" s="550"/>
      <c r="AC113" s="550"/>
    </row>
    <row r="114" spans="1:68" ht="14.25" hidden="1" customHeight="1" x14ac:dyDescent="0.25">
      <c r="A114" s="562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54">
        <v>4607091385168</v>
      </c>
      <c r="E115" s="555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48</v>
      </c>
      <c r="Y115" s="548">
        <f>IFERROR(IF(X115="",0,CEILING((X115/$H115),1)*$H115),"")</f>
        <v>48.599999999999994</v>
      </c>
      <c r="Z115" s="36">
        <f>IFERROR(IF(Y115=0,"",ROUNDUP(Y115/H115,0)*0.01898),"")</f>
        <v>0.11388000000000001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50.891851851851847</v>
      </c>
      <c r="BN115" s="64">
        <f>IFERROR(Y115*I115/H115,"0")</f>
        <v>51.527999999999992</v>
      </c>
      <c r="BO115" s="64">
        <f>IFERROR(1/J115*(X115/H115),"0")</f>
        <v>9.2592592592592601E-2</v>
      </c>
      <c r="BP115" s="64">
        <f>IFERROR(1/J115*(Y115/H115),"0")</f>
        <v>9.375E-2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54">
        <v>4607091383256</v>
      </c>
      <c r="E116" s="555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54">
        <v>4607091385748</v>
      </c>
      <c r="E117" s="555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223</v>
      </c>
      <c r="M117" s="33" t="s">
        <v>86</v>
      </c>
      <c r="N117" s="33"/>
      <c r="O117" s="32">
        <v>45</v>
      </c>
      <c r="P117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75</v>
      </c>
      <c r="Y117" s="548">
        <f>IFERROR(IF(X117="",0,CEILING((X117/$H117),1)*$H117),"")</f>
        <v>75.600000000000009</v>
      </c>
      <c r="Z117" s="36">
        <f>IFERROR(IF(Y117=0,"",ROUNDUP(Y117/H117,0)*0.00651),"")</f>
        <v>0.18228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82</v>
      </c>
      <c r="BN117" s="64">
        <f>IFERROR(Y117*I117/H117,"0")</f>
        <v>82.656000000000006</v>
      </c>
      <c r="BO117" s="64">
        <f>IFERROR(1/J117*(X117/H117),"0")</f>
        <v>0.15262515262515261</v>
      </c>
      <c r="BP117" s="64">
        <f>IFERROR(1/J117*(Y117/H117),"0")</f>
        <v>0.15384615384615385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54">
        <v>4680115884533</v>
      </c>
      <c r="E118" s="555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4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5"/>
      <c r="P119" s="558" t="s">
        <v>75</v>
      </c>
      <c r="Q119" s="559"/>
      <c r="R119" s="559"/>
      <c r="S119" s="559"/>
      <c r="T119" s="559"/>
      <c r="U119" s="559"/>
      <c r="V119" s="560"/>
      <c r="W119" s="37" t="s">
        <v>76</v>
      </c>
      <c r="X119" s="549">
        <f>IFERROR(X115/H115,"0")+IFERROR(X116/H116,"0")+IFERROR(X117/H117,"0")+IFERROR(X118/H118,"0")</f>
        <v>33.703703703703702</v>
      </c>
      <c r="Y119" s="549">
        <f>IFERROR(Y115/H115,"0")+IFERROR(Y116/H116,"0")+IFERROR(Y117/H117,"0")+IFERROR(Y118/H118,"0")</f>
        <v>34</v>
      </c>
      <c r="Z119" s="549">
        <f>IFERROR(IF(Z115="",0,Z115),"0")+IFERROR(IF(Z116="",0,Z116),"0")+IFERROR(IF(Z117="",0,Z117),"0")+IFERROR(IF(Z118="",0,Z118),"0")</f>
        <v>0.29615999999999998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5"/>
      <c r="P120" s="558" t="s">
        <v>75</v>
      </c>
      <c r="Q120" s="559"/>
      <c r="R120" s="559"/>
      <c r="S120" s="559"/>
      <c r="T120" s="559"/>
      <c r="U120" s="559"/>
      <c r="V120" s="560"/>
      <c r="W120" s="37" t="s">
        <v>69</v>
      </c>
      <c r="X120" s="549">
        <f>IFERROR(SUM(X115:X118),"0")</f>
        <v>123</v>
      </c>
      <c r="Y120" s="549">
        <f>IFERROR(SUM(Y115:Y118),"0")</f>
        <v>124.2</v>
      </c>
      <c r="Z120" s="37"/>
      <c r="AA120" s="550"/>
      <c r="AB120" s="550"/>
      <c r="AC120" s="550"/>
    </row>
    <row r="121" spans="1:68" ht="14.25" hidden="1" customHeight="1" x14ac:dyDescent="0.25">
      <c r="A121" s="562" t="s">
        <v>161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54">
        <v>4680115880238</v>
      </c>
      <c r="E122" s="555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4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5"/>
      <c r="P123" s="558" t="s">
        <v>75</v>
      </c>
      <c r="Q123" s="559"/>
      <c r="R123" s="559"/>
      <c r="S123" s="559"/>
      <c r="T123" s="559"/>
      <c r="U123" s="559"/>
      <c r="V123" s="560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hidden="1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5"/>
      <c r="P124" s="558" t="s">
        <v>75</v>
      </c>
      <c r="Q124" s="559"/>
      <c r="R124" s="559"/>
      <c r="S124" s="559"/>
      <c r="T124" s="559"/>
      <c r="U124" s="559"/>
      <c r="V124" s="560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hidden="1" customHeight="1" x14ac:dyDescent="0.25">
      <c r="A125" s="556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hidden="1" customHeight="1" x14ac:dyDescent="0.25">
      <c r="A126" s="562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4">
        <v>4680115882577</v>
      </c>
      <c r="E128" s="555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4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5"/>
      <c r="P129" s="558" t="s">
        <v>75</v>
      </c>
      <c r="Q129" s="559"/>
      <c r="R129" s="559"/>
      <c r="S129" s="559"/>
      <c r="T129" s="559"/>
      <c r="U129" s="559"/>
      <c r="V129" s="560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hidden="1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5"/>
      <c r="P130" s="558" t="s">
        <v>75</v>
      </c>
      <c r="Q130" s="559"/>
      <c r="R130" s="559"/>
      <c r="S130" s="559"/>
      <c r="T130" s="559"/>
      <c r="U130" s="559"/>
      <c r="V130" s="560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hidden="1" customHeight="1" x14ac:dyDescent="0.25">
      <c r="A131" s="562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54">
        <v>4680115883444</v>
      </c>
      <c r="E133" s="555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1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4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5"/>
      <c r="P134" s="558" t="s">
        <v>75</v>
      </c>
      <c r="Q134" s="559"/>
      <c r="R134" s="559"/>
      <c r="S134" s="559"/>
      <c r="T134" s="559"/>
      <c r="U134" s="559"/>
      <c r="V134" s="560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hidden="1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5"/>
      <c r="P135" s="558" t="s">
        <v>75</v>
      </c>
      <c r="Q135" s="559"/>
      <c r="R135" s="559"/>
      <c r="S135" s="559"/>
      <c r="T135" s="559"/>
      <c r="U135" s="559"/>
      <c r="V135" s="560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hidden="1" customHeight="1" x14ac:dyDescent="0.25">
      <c r="A136" s="562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54">
        <v>4680115882584</v>
      </c>
      <c r="E138" s="555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4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5"/>
      <c r="P139" s="558" t="s">
        <v>75</v>
      </c>
      <c r="Q139" s="559"/>
      <c r="R139" s="559"/>
      <c r="S139" s="559"/>
      <c r="T139" s="559"/>
      <c r="U139" s="559"/>
      <c r="V139" s="560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hidden="1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5"/>
      <c r="P140" s="558" t="s">
        <v>75</v>
      </c>
      <c r="Q140" s="559"/>
      <c r="R140" s="559"/>
      <c r="S140" s="559"/>
      <c r="T140" s="559"/>
      <c r="U140" s="559"/>
      <c r="V140" s="560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hidden="1" customHeight="1" x14ac:dyDescent="0.25">
      <c r="A141" s="556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hidden="1" customHeight="1" x14ac:dyDescent="0.25">
      <c r="A142" s="562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4">
        <v>4680115887374</v>
      </c>
      <c r="E143" s="555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4">
        <v>4607091384604</v>
      </c>
      <c r="E144" s="555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7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4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5"/>
      <c r="P145" s="558" t="s">
        <v>75</v>
      </c>
      <c r="Q145" s="559"/>
      <c r="R145" s="559"/>
      <c r="S145" s="559"/>
      <c r="T145" s="559"/>
      <c r="U145" s="559"/>
      <c r="V145" s="560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5"/>
      <c r="P146" s="558" t="s">
        <v>75</v>
      </c>
      <c r="Q146" s="559"/>
      <c r="R146" s="559"/>
      <c r="S146" s="559"/>
      <c r="T146" s="559"/>
      <c r="U146" s="559"/>
      <c r="V146" s="560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hidden="1" customHeight="1" x14ac:dyDescent="0.25">
      <c r="A147" s="562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4">
        <v>4680115887428</v>
      </c>
      <c r="E148" s="555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3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0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4">
        <v>4680115887398</v>
      </c>
      <c r="E150" s="555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66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4">
        <v>4607091387667</v>
      </c>
      <c r="E151" s="555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4">
        <v>4607091387636</v>
      </c>
      <c r="E152" s="555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4">
        <v>4607091382426</v>
      </c>
      <c r="E153" s="555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4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5"/>
      <c r="P154" s="558" t="s">
        <v>75</v>
      </c>
      <c r="Q154" s="559"/>
      <c r="R154" s="559"/>
      <c r="S154" s="559"/>
      <c r="T154" s="559"/>
      <c r="U154" s="559"/>
      <c r="V154" s="560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5"/>
      <c r="P155" s="558" t="s">
        <v>75</v>
      </c>
      <c r="Q155" s="559"/>
      <c r="R155" s="559"/>
      <c r="S155" s="559"/>
      <c r="T155" s="559"/>
      <c r="U155" s="559"/>
      <c r="V155" s="560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hidden="1" customHeight="1" x14ac:dyDescent="0.25">
      <c r="A156" s="562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4">
        <v>4680115887459</v>
      </c>
      <c r="E157" s="555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4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5"/>
      <c r="P158" s="558" t="s">
        <v>75</v>
      </c>
      <c r="Q158" s="559"/>
      <c r="R158" s="559"/>
      <c r="S158" s="559"/>
      <c r="T158" s="559"/>
      <c r="U158" s="559"/>
      <c r="V158" s="560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5"/>
      <c r="P159" s="558" t="s">
        <v>75</v>
      </c>
      <c r="Q159" s="559"/>
      <c r="R159" s="559"/>
      <c r="S159" s="559"/>
      <c r="T159" s="559"/>
      <c r="U159" s="559"/>
      <c r="V159" s="560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hidden="1" customHeight="1" x14ac:dyDescent="0.2">
      <c r="A160" s="652" t="s">
        <v>273</v>
      </c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3"/>
      <c r="P160" s="653"/>
      <c r="Q160" s="653"/>
      <c r="R160" s="653"/>
      <c r="S160" s="653"/>
      <c r="T160" s="653"/>
      <c r="U160" s="653"/>
      <c r="V160" s="653"/>
      <c r="W160" s="653"/>
      <c r="X160" s="653"/>
      <c r="Y160" s="653"/>
      <c r="Z160" s="653"/>
      <c r="AA160" s="48"/>
      <c r="AB160" s="48"/>
      <c r="AC160" s="48"/>
    </row>
    <row r="161" spans="1:68" ht="16.5" hidden="1" customHeight="1" x14ac:dyDescent="0.25">
      <c r="A161" s="556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hidden="1" customHeight="1" x14ac:dyDescent="0.25">
      <c r="A162" s="562" t="s">
        <v>136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4">
        <v>4680115886223</v>
      </c>
      <c r="E163" s="555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4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5"/>
      <c r="P164" s="558" t="s">
        <v>75</v>
      </c>
      <c r="Q164" s="559"/>
      <c r="R164" s="559"/>
      <c r="S164" s="559"/>
      <c r="T164" s="559"/>
      <c r="U164" s="559"/>
      <c r="V164" s="560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5"/>
      <c r="P165" s="558" t="s">
        <v>75</v>
      </c>
      <c r="Q165" s="559"/>
      <c r="R165" s="559"/>
      <c r="S165" s="559"/>
      <c r="T165" s="559"/>
      <c r="U165" s="559"/>
      <c r="V165" s="560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hidden="1" customHeight="1" x14ac:dyDescent="0.25">
      <c r="A166" s="562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hidden="1" customHeight="1" x14ac:dyDescent="0.25">
      <c r="A167" s="54" t="s">
        <v>278</v>
      </c>
      <c r="B167" s="54" t="s">
        <v>279</v>
      </c>
      <c r="C167" s="31">
        <v>4301031191</v>
      </c>
      <c r="D167" s="554">
        <v>4680115880993</v>
      </c>
      <c r="E167" s="555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202</v>
      </c>
      <c r="M167" s="33" t="s">
        <v>68</v>
      </c>
      <c r="N167" s="33"/>
      <c r="O167" s="32">
        <v>40</v>
      </c>
      <c r="P167" s="6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54">
        <v>4680115881761</v>
      </c>
      <c r="E168" s="555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4">
        <v>4680115881563</v>
      </c>
      <c r="E169" s="555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202</v>
      </c>
      <c r="M169" s="33" t="s">
        <v>68</v>
      </c>
      <c r="N169" s="33"/>
      <c r="O169" s="32">
        <v>40</v>
      </c>
      <c r="P169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11</v>
      </c>
      <c r="Y169" s="548">
        <f t="shared" si="10"/>
        <v>12.600000000000001</v>
      </c>
      <c r="Z169" s="36">
        <f>IFERROR(IF(Y169=0,"",ROUNDUP(Y169/H169,0)*0.00902),"")</f>
        <v>2.7060000000000001E-2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11.497619047619047</v>
      </c>
      <c r="BN169" s="64">
        <f t="shared" si="12"/>
        <v>13.17</v>
      </c>
      <c r="BO169" s="64">
        <f t="shared" si="13"/>
        <v>1.9841269841269844E-2</v>
      </c>
      <c r="BP169" s="64">
        <f t="shared" si="14"/>
        <v>2.2727272727272728E-2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54">
        <v>4680115887565</v>
      </c>
      <c r="E170" s="555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54">
        <v>4680115880986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54">
        <v>4680115887213</v>
      </c>
      <c r="E172" s="555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54">
        <v>4680115881785</v>
      </c>
      <c r="E173" s="555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3</v>
      </c>
      <c r="Y174" s="548">
        <f t="shared" si="10"/>
        <v>3.6</v>
      </c>
      <c r="Z174" s="36">
        <f>IFERROR(IF(Y174=0,"",ROUNDUP(Y174/H174,0)*0.00502),"")</f>
        <v>1.004E-2</v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3.2166666666666668</v>
      </c>
      <c r="BN174" s="64">
        <f t="shared" si="12"/>
        <v>3.8599999999999994</v>
      </c>
      <c r="BO174" s="64">
        <f t="shared" si="13"/>
        <v>7.1225071225071226E-3</v>
      </c>
      <c r="BP174" s="64">
        <f t="shared" si="14"/>
        <v>8.5470085470085479E-3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4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5"/>
      <c r="P179" s="558" t="s">
        <v>75</v>
      </c>
      <c r="Q179" s="559"/>
      <c r="R179" s="559"/>
      <c r="S179" s="559"/>
      <c r="T179" s="559"/>
      <c r="U179" s="559"/>
      <c r="V179" s="560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4.2857142857142856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5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3.7100000000000001E-2</v>
      </c>
      <c r="AA179" s="550"/>
      <c r="AB179" s="550"/>
      <c r="AC179" s="550"/>
    </row>
    <row r="180" spans="1:68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5"/>
      <c r="P180" s="558" t="s">
        <v>75</v>
      </c>
      <c r="Q180" s="559"/>
      <c r="R180" s="559"/>
      <c r="S180" s="559"/>
      <c r="T180" s="559"/>
      <c r="U180" s="559"/>
      <c r="V180" s="560"/>
      <c r="W180" s="37" t="s">
        <v>69</v>
      </c>
      <c r="X180" s="549">
        <f>IFERROR(SUM(X167:X178),"0")</f>
        <v>14</v>
      </c>
      <c r="Y180" s="549">
        <f>IFERROR(SUM(Y167:Y178),"0")</f>
        <v>16.200000000000003</v>
      </c>
      <c r="Z180" s="37"/>
      <c r="AA180" s="550"/>
      <c r="AB180" s="550"/>
      <c r="AC180" s="550"/>
    </row>
    <row r="181" spans="1:68" ht="14.25" hidden="1" customHeight="1" x14ac:dyDescent="0.25">
      <c r="A181" s="562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1</v>
      </c>
      <c r="Y183" s="548">
        <f>IFERROR(IF(X183="",0,CEILING((X183/$H183),1)*$H183),"")</f>
        <v>1.26</v>
      </c>
      <c r="Z183" s="36">
        <f>IFERROR(IF(Y183=0,"",ROUNDUP(Y183/H183,0)*0.0059),"")</f>
        <v>5.8999999999999999E-3</v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1.1507936507936507</v>
      </c>
      <c r="BN183" s="64">
        <f>IFERROR(Y183*I183/H183,"0")</f>
        <v>1.45</v>
      </c>
      <c r="BO183" s="64">
        <f>IFERROR(1/J183*(X183/H183),"0")</f>
        <v>3.6743092298647849E-3</v>
      </c>
      <c r="BP183" s="64">
        <f>IFERROR(1/J183*(Y183/H183),"0")</f>
        <v>4.6296296296296294E-3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4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5"/>
      <c r="P185" s="558" t="s">
        <v>75</v>
      </c>
      <c r="Q185" s="559"/>
      <c r="R185" s="559"/>
      <c r="S185" s="559"/>
      <c r="T185" s="559"/>
      <c r="U185" s="559"/>
      <c r="V185" s="560"/>
      <c r="W185" s="37" t="s">
        <v>76</v>
      </c>
      <c r="X185" s="549">
        <f>IFERROR(X182/H182,"0")+IFERROR(X183/H183,"0")+IFERROR(X184/H184,"0")</f>
        <v>0.79365079365079361</v>
      </c>
      <c r="Y185" s="549">
        <f>IFERROR(Y182/H182,"0")+IFERROR(Y183/H183,"0")+IFERROR(Y184/H184,"0")</f>
        <v>1</v>
      </c>
      <c r="Z185" s="549">
        <f>IFERROR(IF(Z182="",0,Z182),"0")+IFERROR(IF(Z183="",0,Z183),"0")+IFERROR(IF(Z184="",0,Z184),"0")</f>
        <v>5.8999999999999999E-3</v>
      </c>
      <c r="AA185" s="550"/>
      <c r="AB185" s="550"/>
      <c r="AC185" s="550"/>
    </row>
    <row r="186" spans="1:68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5"/>
      <c r="P186" s="558" t="s">
        <v>75</v>
      </c>
      <c r="Q186" s="559"/>
      <c r="R186" s="559"/>
      <c r="S186" s="559"/>
      <c r="T186" s="559"/>
      <c r="U186" s="559"/>
      <c r="V186" s="560"/>
      <c r="W186" s="37" t="s">
        <v>69</v>
      </c>
      <c r="X186" s="549">
        <f>IFERROR(SUM(X182:X184),"0")</f>
        <v>1</v>
      </c>
      <c r="Y186" s="549">
        <f>IFERROR(SUM(Y182:Y184),"0")</f>
        <v>1.26</v>
      </c>
      <c r="Z186" s="37"/>
      <c r="AA186" s="550"/>
      <c r="AB186" s="550"/>
      <c r="AC186" s="550"/>
    </row>
    <row r="187" spans="1:68" ht="14.25" hidden="1" customHeight="1" x14ac:dyDescent="0.25">
      <c r="A187" s="562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4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5"/>
      <c r="P189" s="558" t="s">
        <v>75</v>
      </c>
      <c r="Q189" s="559"/>
      <c r="R189" s="559"/>
      <c r="S189" s="559"/>
      <c r="T189" s="559"/>
      <c r="U189" s="559"/>
      <c r="V189" s="560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5"/>
      <c r="P190" s="558" t="s">
        <v>75</v>
      </c>
      <c r="Q190" s="559"/>
      <c r="R190" s="559"/>
      <c r="S190" s="559"/>
      <c r="T190" s="559"/>
      <c r="U190" s="559"/>
      <c r="V190" s="560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56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hidden="1" customHeight="1" x14ac:dyDescent="0.25">
      <c r="A192" s="562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7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4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5"/>
      <c r="P195" s="558" t="s">
        <v>75</v>
      </c>
      <c r="Q195" s="559"/>
      <c r="R195" s="559"/>
      <c r="S195" s="559"/>
      <c r="T195" s="559"/>
      <c r="U195" s="559"/>
      <c r="V195" s="560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5"/>
      <c r="P196" s="558" t="s">
        <v>75</v>
      </c>
      <c r="Q196" s="559"/>
      <c r="R196" s="559"/>
      <c r="S196" s="559"/>
      <c r="T196" s="559"/>
      <c r="U196" s="559"/>
      <c r="V196" s="560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2" t="s">
        <v>136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4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5"/>
      <c r="P200" s="558" t="s">
        <v>75</v>
      </c>
      <c r="Q200" s="559"/>
      <c r="R200" s="559"/>
      <c r="S200" s="559"/>
      <c r="T200" s="559"/>
      <c r="U200" s="559"/>
      <c r="V200" s="560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5"/>
      <c r="P201" s="558" t="s">
        <v>75</v>
      </c>
      <c r="Q201" s="559"/>
      <c r="R201" s="559"/>
      <c r="S201" s="559"/>
      <c r="T201" s="559"/>
      <c r="U201" s="559"/>
      <c r="V201" s="560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2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202</v>
      </c>
      <c r="M203" s="33" t="s">
        <v>68</v>
      </c>
      <c r="N203" s="33"/>
      <c r="O203" s="32">
        <v>40</v>
      </c>
      <c r="P203" s="74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173</v>
      </c>
      <c r="Y203" s="548">
        <f t="shared" ref="Y203:Y210" si="15">IFERROR(IF(X203="",0,CEILING((X203/$H203),1)*$H203),"")</f>
        <v>178.20000000000002</v>
      </c>
      <c r="Z203" s="36">
        <f>IFERROR(IF(Y203=0,"",ROUNDUP(Y203/H203,0)*0.00902),"")</f>
        <v>0.29766000000000004</v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179.08703703703702</v>
      </c>
      <c r="BN203" s="64">
        <f t="shared" ref="BN203:BN210" si="17">IFERROR(Y203*I203/H203,"0")</f>
        <v>184.47</v>
      </c>
      <c r="BO203" s="64">
        <f t="shared" ref="BO203:BO210" si="18">IFERROR(1/J203*(X203/H203),"0")</f>
        <v>0.24270482603815938</v>
      </c>
      <c r="BP203" s="64">
        <f t="shared" ref="BP203:BP210" si="19">IFERROR(1/J203*(Y203/H203),"0")</f>
        <v>0.25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202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134</v>
      </c>
      <c r="Y204" s="548">
        <f t="shared" si="15"/>
        <v>135</v>
      </c>
      <c r="Z204" s="36">
        <f>IFERROR(IF(Y204=0,"",ROUNDUP(Y204/H204,0)*0.00902),"")</f>
        <v>0.22550000000000001</v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138.71481481481479</v>
      </c>
      <c r="BN204" s="64">
        <f t="shared" si="17"/>
        <v>139.75</v>
      </c>
      <c r="BO204" s="64">
        <f t="shared" si="18"/>
        <v>0.18799102132435466</v>
      </c>
      <c r="BP204" s="64">
        <f t="shared" si="19"/>
        <v>0.18939393939393939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/>
      <c r="M205" s="33" t="s">
        <v>68</v>
      </c>
      <c r="N205" s="33"/>
      <c r="O205" s="32">
        <v>40</v>
      </c>
      <c r="P205" s="6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/>
      <c r="AK205" s="68">
        <v>0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202</v>
      </c>
      <c r="M206" s="33" t="s">
        <v>68</v>
      </c>
      <c r="N206" s="33"/>
      <c r="O206" s="32">
        <v>40</v>
      </c>
      <c r="P206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11</v>
      </c>
      <c r="Y207" s="548">
        <f t="shared" si="15"/>
        <v>12.6</v>
      </c>
      <c r="Z207" s="36">
        <f>IFERROR(IF(Y207=0,"",ROUNDUP(Y207/H207,0)*0.00502),"")</f>
        <v>3.5140000000000005E-2</v>
      </c>
      <c r="AA207" s="56"/>
      <c r="AB207" s="57"/>
      <c r="AC207" s="251" t="s">
        <v>337</v>
      </c>
      <c r="AG207" s="64"/>
      <c r="AJ207" s="68"/>
      <c r="AK207" s="68">
        <v>0</v>
      </c>
      <c r="BB207" s="252" t="s">
        <v>1</v>
      </c>
      <c r="BM207" s="64">
        <f t="shared" si="16"/>
        <v>11.794444444444444</v>
      </c>
      <c r="BN207" s="64">
        <f t="shared" si="17"/>
        <v>13.509999999999998</v>
      </c>
      <c r="BO207" s="64">
        <f t="shared" si="18"/>
        <v>2.6115859449192782E-2</v>
      </c>
      <c r="BP207" s="64">
        <f t="shared" si="19"/>
        <v>2.9914529914529919E-2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/>
      <c r="AK208" s="68">
        <v>0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4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5"/>
      <c r="P211" s="558" t="s">
        <v>75</v>
      </c>
      <c r="Q211" s="559"/>
      <c r="R211" s="559"/>
      <c r="S211" s="559"/>
      <c r="T211" s="559"/>
      <c r="U211" s="559"/>
      <c r="V211" s="560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62.962962962962962</v>
      </c>
      <c r="Y211" s="549">
        <f>IFERROR(Y203/H203,"0")+IFERROR(Y204/H204,"0")+IFERROR(Y205/H205,"0")+IFERROR(Y206/H206,"0")+IFERROR(Y207/H207,"0")+IFERROR(Y208/H208,"0")+IFERROR(Y209/H209,"0")+IFERROR(Y210/H210,"0")</f>
        <v>65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0.55830000000000002</v>
      </c>
      <c r="AA211" s="550"/>
      <c r="AB211" s="550"/>
      <c r="AC211" s="550"/>
    </row>
    <row r="212" spans="1:68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5"/>
      <c r="P212" s="558" t="s">
        <v>75</v>
      </c>
      <c r="Q212" s="559"/>
      <c r="R212" s="559"/>
      <c r="S212" s="559"/>
      <c r="T212" s="559"/>
      <c r="U212" s="559"/>
      <c r="V212" s="560"/>
      <c r="W212" s="37" t="s">
        <v>69</v>
      </c>
      <c r="X212" s="549">
        <f>IFERROR(SUM(X203:X210),"0")</f>
        <v>318</v>
      </c>
      <c r="Y212" s="549">
        <f>IFERROR(SUM(Y203:Y210),"0")</f>
        <v>325.80000000000007</v>
      </c>
      <c r="Z212" s="37"/>
      <c r="AA212" s="550"/>
      <c r="AB212" s="550"/>
      <c r="AC212" s="550"/>
    </row>
    <row r="213" spans="1:68" ht="14.25" hidden="1" customHeight="1" x14ac:dyDescent="0.25">
      <c r="A213" s="562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143</v>
      </c>
      <c r="Y214" s="548">
        <f t="shared" ref="Y214:Y222" si="20">IFERROR(IF(X214="",0,CEILING((X214/$H214),1)*$H214),"")</f>
        <v>145.79999999999998</v>
      </c>
      <c r="Z214" s="36">
        <f>IFERROR(IF(Y214=0,"",ROUNDUP(Y214/H214,0)*0.01898),"")</f>
        <v>0.34164</v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151.72123456790123</v>
      </c>
      <c r="BN214" s="64">
        <f t="shared" ref="BN214:BN222" si="22">IFERROR(Y214*I214/H214,"0")</f>
        <v>154.69199999999998</v>
      </c>
      <c r="BO214" s="64">
        <f t="shared" ref="BO214:BO222" si="23">IFERROR(1/J214*(X214/H214),"0")</f>
        <v>0.2758487654320988</v>
      </c>
      <c r="BP214" s="64">
        <f t="shared" ref="BP214:BP222" si="24">IFERROR(1/J214*(Y214/H214),"0")</f>
        <v>0.28125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45</v>
      </c>
      <c r="P216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21</v>
      </c>
      <c r="Y216" s="548">
        <f t="shared" si="20"/>
        <v>26.099999999999998</v>
      </c>
      <c r="Z216" s="36">
        <f>IFERROR(IF(Y216=0,"",ROUNDUP(Y216/H216,0)*0.01898),"")</f>
        <v>5.6940000000000004E-2</v>
      </c>
      <c r="AA216" s="56"/>
      <c r="AB216" s="57"/>
      <c r="AC216" s="263" t="s">
        <v>363</v>
      </c>
      <c r="AG216" s="64"/>
      <c r="AJ216" s="68"/>
      <c r="AK216" s="68">
        <v>0</v>
      </c>
      <c r="BB216" s="264" t="s">
        <v>1</v>
      </c>
      <c r="BM216" s="64">
        <f t="shared" si="21"/>
        <v>22.192413793103452</v>
      </c>
      <c r="BN216" s="64">
        <f t="shared" si="22"/>
        <v>27.582000000000004</v>
      </c>
      <c r="BO216" s="64">
        <f t="shared" si="23"/>
        <v>3.7715517241379316E-2</v>
      </c>
      <c r="BP216" s="64">
        <f t="shared" si="24"/>
        <v>4.6875E-2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40</v>
      </c>
      <c r="P217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65</v>
      </c>
      <c r="Y217" s="548">
        <f t="shared" si="20"/>
        <v>67.2</v>
      </c>
      <c r="Z217" s="36">
        <f t="shared" ref="Z217:Z222" si="25">IFERROR(IF(Y217=0,"",ROUNDUP(Y217/H217,0)*0.00651),"")</f>
        <v>0.18228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72.3125</v>
      </c>
      <c r="BN217" s="64">
        <f t="shared" si="22"/>
        <v>74.760000000000005</v>
      </c>
      <c r="BO217" s="64">
        <f t="shared" si="23"/>
        <v>0.14880952380952384</v>
      </c>
      <c r="BP217" s="64">
        <f t="shared" si="24"/>
        <v>0.15384615384615388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223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120</v>
      </c>
      <c r="Y219" s="548">
        <f t="shared" si="20"/>
        <v>120</v>
      </c>
      <c r="Z219" s="36">
        <f t="shared" si="25"/>
        <v>0.32550000000000001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132.60000000000002</v>
      </c>
      <c r="BN219" s="64">
        <f t="shared" si="22"/>
        <v>132.60000000000002</v>
      </c>
      <c r="BO219" s="64">
        <f t="shared" si="23"/>
        <v>0.27472527472527475</v>
      </c>
      <c r="BP219" s="64">
        <f t="shared" si="24"/>
        <v>0.27472527472527475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45</v>
      </c>
      <c r="P220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76</v>
      </c>
      <c r="Y220" s="548">
        <f t="shared" si="20"/>
        <v>76.8</v>
      </c>
      <c r="Z220" s="36">
        <f t="shared" si="25"/>
        <v>0.20832000000000001</v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83.980000000000018</v>
      </c>
      <c r="BN220" s="64">
        <f t="shared" si="22"/>
        <v>84.864000000000004</v>
      </c>
      <c r="BO220" s="64">
        <f t="shared" si="23"/>
        <v>0.17399267399267401</v>
      </c>
      <c r="BP220" s="64">
        <f t="shared" si="24"/>
        <v>0.17582417582417584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223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75</v>
      </c>
      <c r="Y221" s="548">
        <f t="shared" si="20"/>
        <v>76.8</v>
      </c>
      <c r="Z221" s="36">
        <f t="shared" si="25"/>
        <v>0.20832000000000001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82.875</v>
      </c>
      <c r="BN221" s="64">
        <f t="shared" si="22"/>
        <v>84.864000000000004</v>
      </c>
      <c r="BO221" s="64">
        <f t="shared" si="23"/>
        <v>0.1717032967032967</v>
      </c>
      <c r="BP221" s="64">
        <f t="shared" si="24"/>
        <v>0.17582417582417584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223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84</v>
      </c>
      <c r="Y222" s="548">
        <f t="shared" si="20"/>
        <v>84</v>
      </c>
      <c r="Z222" s="36">
        <f t="shared" si="25"/>
        <v>0.22785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93.03</v>
      </c>
      <c r="BN222" s="64">
        <f t="shared" si="22"/>
        <v>93.03</v>
      </c>
      <c r="BO222" s="64">
        <f t="shared" si="23"/>
        <v>0.19230769230769232</v>
      </c>
      <c r="BP222" s="64">
        <f t="shared" si="24"/>
        <v>0.19230769230769232</v>
      </c>
    </row>
    <row r="223" spans="1:68" x14ac:dyDescent="0.2">
      <c r="A223" s="564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5"/>
      <c r="P223" s="558" t="s">
        <v>75</v>
      </c>
      <c r="Q223" s="559"/>
      <c r="R223" s="559"/>
      <c r="S223" s="559"/>
      <c r="T223" s="559"/>
      <c r="U223" s="559"/>
      <c r="V223" s="560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195.06811409110259</v>
      </c>
      <c r="Y223" s="549">
        <f>IFERROR(Y214/H214,"0")+IFERROR(Y215/H215,"0")+IFERROR(Y216/H216,"0")+IFERROR(Y217/H217,"0")+IFERROR(Y218/H218,"0")+IFERROR(Y219/H219,"0")+IFERROR(Y220/H220,"0")+IFERROR(Y221/H221,"0")+IFERROR(Y222/H222,"0")</f>
        <v>198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1.5508500000000001</v>
      </c>
      <c r="AA223" s="550"/>
      <c r="AB223" s="550"/>
      <c r="AC223" s="550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5"/>
      <c r="P224" s="558" t="s">
        <v>75</v>
      </c>
      <c r="Q224" s="559"/>
      <c r="R224" s="559"/>
      <c r="S224" s="559"/>
      <c r="T224" s="559"/>
      <c r="U224" s="559"/>
      <c r="V224" s="560"/>
      <c r="W224" s="37" t="s">
        <v>69</v>
      </c>
      <c r="X224" s="549">
        <f>IFERROR(SUM(X214:X222),"0")</f>
        <v>584</v>
      </c>
      <c r="Y224" s="549">
        <f>IFERROR(SUM(Y214:Y222),"0")</f>
        <v>596.69999999999993</v>
      </c>
      <c r="Z224" s="37"/>
      <c r="AA224" s="550"/>
      <c r="AB224" s="550"/>
      <c r="AC224" s="550"/>
    </row>
    <row r="225" spans="1:68" ht="14.25" hidden="1" customHeight="1" x14ac:dyDescent="0.25">
      <c r="A225" s="562" t="s">
        <v>161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22</v>
      </c>
      <c r="Y226" s="548">
        <f>IFERROR(IF(X226="",0,CEILING((X226/$H226),1)*$H226),"")</f>
        <v>24</v>
      </c>
      <c r="Z226" s="36">
        <f>IFERROR(IF(Y226=0,"",ROUNDUP(Y226/H226,0)*0.00651),"")</f>
        <v>6.5100000000000005E-2</v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24.310000000000002</v>
      </c>
      <c r="BN226" s="64">
        <f>IFERROR(Y226*I226/H226,"0")</f>
        <v>26.520000000000003</v>
      </c>
      <c r="BO226" s="64">
        <f>IFERROR(1/J226*(X226/H226),"0")</f>
        <v>5.0366300366300375E-2</v>
      </c>
      <c r="BP226" s="64">
        <f>IFERROR(1/J226*(Y226/H226),"0")</f>
        <v>5.4945054945054951E-2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4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5"/>
      <c r="P228" s="558" t="s">
        <v>75</v>
      </c>
      <c r="Q228" s="559"/>
      <c r="R228" s="559"/>
      <c r="S228" s="559"/>
      <c r="T228" s="559"/>
      <c r="U228" s="559"/>
      <c r="V228" s="560"/>
      <c r="W228" s="37" t="s">
        <v>76</v>
      </c>
      <c r="X228" s="549">
        <f>IFERROR(X226/H226,"0")+IFERROR(X227/H227,"0")</f>
        <v>9.1666666666666679</v>
      </c>
      <c r="Y228" s="549">
        <f>IFERROR(Y226/H226,"0")+IFERROR(Y227/H227,"0")</f>
        <v>10</v>
      </c>
      <c r="Z228" s="549">
        <f>IFERROR(IF(Z226="",0,Z226),"0")+IFERROR(IF(Z227="",0,Z227),"0")</f>
        <v>6.5100000000000005E-2</v>
      </c>
      <c r="AA228" s="550"/>
      <c r="AB228" s="550"/>
      <c r="AC228" s="550"/>
    </row>
    <row r="229" spans="1:68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5"/>
      <c r="P229" s="558" t="s">
        <v>75</v>
      </c>
      <c r="Q229" s="559"/>
      <c r="R229" s="559"/>
      <c r="S229" s="559"/>
      <c r="T229" s="559"/>
      <c r="U229" s="559"/>
      <c r="V229" s="560"/>
      <c r="W229" s="37" t="s">
        <v>69</v>
      </c>
      <c r="X229" s="549">
        <f>IFERROR(SUM(X226:X227),"0")</f>
        <v>22</v>
      </c>
      <c r="Y229" s="549">
        <f>IFERROR(SUM(Y226:Y227),"0")</f>
        <v>24</v>
      </c>
      <c r="Z229" s="37"/>
      <c r="AA229" s="550"/>
      <c r="AB229" s="550"/>
      <c r="AC229" s="550"/>
    </row>
    <row r="230" spans="1:68" ht="16.5" hidden="1" customHeight="1" x14ac:dyDescent="0.25">
      <c r="A230" s="556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hidden="1" customHeight="1" x14ac:dyDescent="0.25">
      <c r="A231" s="562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5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4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4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5"/>
      <c r="P241" s="558" t="s">
        <v>75</v>
      </c>
      <c r="Q241" s="559"/>
      <c r="R241" s="559"/>
      <c r="S241" s="559"/>
      <c r="T241" s="559"/>
      <c r="U241" s="559"/>
      <c r="V241" s="560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5"/>
      <c r="P242" s="558" t="s">
        <v>75</v>
      </c>
      <c r="Q242" s="559"/>
      <c r="R242" s="559"/>
      <c r="S242" s="559"/>
      <c r="T242" s="559"/>
      <c r="U242" s="559"/>
      <c r="V242" s="560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2" t="s">
        <v>136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4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5"/>
      <c r="P245" s="558" t="s">
        <v>75</v>
      </c>
      <c r="Q245" s="559"/>
      <c r="R245" s="559"/>
      <c r="S245" s="559"/>
      <c r="T245" s="559"/>
      <c r="U245" s="559"/>
      <c r="V245" s="560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5"/>
      <c r="P246" s="558" t="s">
        <v>75</v>
      </c>
      <c r="Q246" s="559"/>
      <c r="R246" s="559"/>
      <c r="S246" s="559"/>
      <c r="T246" s="559"/>
      <c r="U246" s="559"/>
      <c r="V246" s="560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2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4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5"/>
      <c r="P249" s="558" t="s">
        <v>75</v>
      </c>
      <c r="Q249" s="559"/>
      <c r="R249" s="559"/>
      <c r="S249" s="559"/>
      <c r="T249" s="559"/>
      <c r="U249" s="559"/>
      <c r="V249" s="560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5"/>
      <c r="P250" s="558" t="s">
        <v>75</v>
      </c>
      <c r="Q250" s="559"/>
      <c r="R250" s="559"/>
      <c r="S250" s="559"/>
      <c r="T250" s="559"/>
      <c r="U250" s="559"/>
      <c r="V250" s="560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2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4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5"/>
      <c r="P257" s="558" t="s">
        <v>75</v>
      </c>
      <c r="Q257" s="559"/>
      <c r="R257" s="559"/>
      <c r="S257" s="559"/>
      <c r="T257" s="559"/>
      <c r="U257" s="559"/>
      <c r="V257" s="560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5"/>
      <c r="P258" s="558" t="s">
        <v>75</v>
      </c>
      <c r="Q258" s="559"/>
      <c r="R258" s="559"/>
      <c r="S258" s="559"/>
      <c r="T258" s="559"/>
      <c r="U258" s="559"/>
      <c r="V258" s="560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56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hidden="1" customHeight="1" x14ac:dyDescent="0.25">
      <c r="A260" s="562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4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5"/>
      <c r="P266" s="558" t="s">
        <v>75</v>
      </c>
      <c r="Q266" s="559"/>
      <c r="R266" s="559"/>
      <c r="S266" s="559"/>
      <c r="T266" s="559"/>
      <c r="U266" s="559"/>
      <c r="V266" s="560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5"/>
      <c r="P267" s="558" t="s">
        <v>75</v>
      </c>
      <c r="Q267" s="559"/>
      <c r="R267" s="559"/>
      <c r="S267" s="559"/>
      <c r="T267" s="559"/>
      <c r="U267" s="559"/>
      <c r="V267" s="560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56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hidden="1" customHeight="1" x14ac:dyDescent="0.25">
      <c r="A269" s="562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5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4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5"/>
      <c r="P274" s="558" t="s">
        <v>75</v>
      </c>
      <c r="Q274" s="559"/>
      <c r="R274" s="559"/>
      <c r="S274" s="559"/>
      <c r="T274" s="559"/>
      <c r="U274" s="559"/>
      <c r="V274" s="560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5"/>
      <c r="P275" s="558" t="s">
        <v>75</v>
      </c>
      <c r="Q275" s="559"/>
      <c r="R275" s="559"/>
      <c r="S275" s="559"/>
      <c r="T275" s="559"/>
      <c r="U275" s="559"/>
      <c r="V275" s="560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56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hidden="1" customHeight="1" x14ac:dyDescent="0.25">
      <c r="A277" s="562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223</v>
      </c>
      <c r="M279" s="33" t="s">
        <v>86</v>
      </c>
      <c r="N279" s="33"/>
      <c r="O279" s="32">
        <v>40</v>
      </c>
      <c r="P279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35</v>
      </c>
      <c r="Y279" s="548">
        <f>IFERROR(IF(X279="",0,CEILING((X279/$H279),1)*$H279),"")</f>
        <v>36</v>
      </c>
      <c r="Z279" s="36">
        <f>IFERROR(IF(Y279=0,"",ROUNDUP(Y279/H279,0)*0.00651),"")</f>
        <v>9.7650000000000001E-2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38.675000000000004</v>
      </c>
      <c r="BN279" s="64">
        <f>IFERROR(Y279*I279/H279,"0")</f>
        <v>39.780000000000008</v>
      </c>
      <c r="BO279" s="64">
        <f>IFERROR(1/J279*(X279/H279),"0")</f>
        <v>8.0128205128205135E-2</v>
      </c>
      <c r="BP279" s="64">
        <f>IFERROR(1/J279*(Y279/H279),"0")</f>
        <v>8.241758241758243E-2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223</v>
      </c>
      <c r="M280" s="33" t="s">
        <v>80</v>
      </c>
      <c r="N280" s="33"/>
      <c r="O280" s="32">
        <v>45</v>
      </c>
      <c r="P280" s="6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107</v>
      </c>
      <c r="Y280" s="548">
        <f>IFERROR(IF(X280="",0,CEILING((X280/$H280),1)*$H280),"")</f>
        <v>108</v>
      </c>
      <c r="Z280" s="36">
        <f>IFERROR(IF(Y280=0,"",ROUNDUP(Y280/H280,0)*0.00651),"")</f>
        <v>0.29294999999999999</v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115.02500000000001</v>
      </c>
      <c r="BN280" s="64">
        <f>IFERROR(Y280*I280/H280,"0")</f>
        <v>116.1</v>
      </c>
      <c r="BO280" s="64">
        <f>IFERROR(1/J280*(X280/H280),"0")</f>
        <v>0.24496336996337001</v>
      </c>
      <c r="BP280" s="64">
        <f>IFERROR(1/J280*(Y280/H280),"0")</f>
        <v>0.24725274725274726</v>
      </c>
    </row>
    <row r="281" spans="1:68" x14ac:dyDescent="0.2">
      <c r="A281" s="564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5"/>
      <c r="P281" s="558" t="s">
        <v>75</v>
      </c>
      <c r="Q281" s="559"/>
      <c r="R281" s="559"/>
      <c r="S281" s="559"/>
      <c r="T281" s="559"/>
      <c r="U281" s="559"/>
      <c r="V281" s="560"/>
      <c r="W281" s="37" t="s">
        <v>76</v>
      </c>
      <c r="X281" s="549">
        <f>IFERROR(X278/H278,"0")+IFERROR(X279/H279,"0")+IFERROR(X280/H280,"0")</f>
        <v>59.166666666666671</v>
      </c>
      <c r="Y281" s="549">
        <f>IFERROR(Y278/H278,"0")+IFERROR(Y279/H279,"0")+IFERROR(Y280/H280,"0")</f>
        <v>60</v>
      </c>
      <c r="Z281" s="549">
        <f>IFERROR(IF(Z278="",0,Z278),"0")+IFERROR(IF(Z279="",0,Z279),"0")+IFERROR(IF(Z280="",0,Z280),"0")</f>
        <v>0.3906</v>
      </c>
      <c r="AA281" s="550"/>
      <c r="AB281" s="550"/>
      <c r="AC281" s="550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5"/>
      <c r="P282" s="558" t="s">
        <v>75</v>
      </c>
      <c r="Q282" s="559"/>
      <c r="R282" s="559"/>
      <c r="S282" s="559"/>
      <c r="T282" s="559"/>
      <c r="U282" s="559"/>
      <c r="V282" s="560"/>
      <c r="W282" s="37" t="s">
        <v>69</v>
      </c>
      <c r="X282" s="549">
        <f>IFERROR(SUM(X278:X280),"0")</f>
        <v>142</v>
      </c>
      <c r="Y282" s="549">
        <f>IFERROR(SUM(Y278:Y280),"0")</f>
        <v>144</v>
      </c>
      <c r="Z282" s="37"/>
      <c r="AA282" s="550"/>
      <c r="AB282" s="550"/>
      <c r="AC282" s="550"/>
    </row>
    <row r="283" spans="1:68" ht="16.5" hidden="1" customHeight="1" x14ac:dyDescent="0.25">
      <c r="A283" s="556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hidden="1" customHeight="1" x14ac:dyDescent="0.25">
      <c r="A284" s="562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4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5"/>
      <c r="P287" s="558" t="s">
        <v>75</v>
      </c>
      <c r="Q287" s="559"/>
      <c r="R287" s="559"/>
      <c r="S287" s="559"/>
      <c r="T287" s="559"/>
      <c r="U287" s="559"/>
      <c r="V287" s="560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5"/>
      <c r="P288" s="558" t="s">
        <v>75</v>
      </c>
      <c r="Q288" s="559"/>
      <c r="R288" s="559"/>
      <c r="S288" s="559"/>
      <c r="T288" s="559"/>
      <c r="U288" s="559"/>
      <c r="V288" s="560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2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4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5"/>
      <c r="P292" s="558" t="s">
        <v>75</v>
      </c>
      <c r="Q292" s="559"/>
      <c r="R292" s="559"/>
      <c r="S292" s="559"/>
      <c r="T292" s="559"/>
      <c r="U292" s="559"/>
      <c r="V292" s="560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5"/>
      <c r="P293" s="558" t="s">
        <v>75</v>
      </c>
      <c r="Q293" s="559"/>
      <c r="R293" s="559"/>
      <c r="S293" s="559"/>
      <c r="T293" s="559"/>
      <c r="U293" s="559"/>
      <c r="V293" s="560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56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hidden="1" customHeight="1" x14ac:dyDescent="0.25">
      <c r="A295" s="562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hidden="1" customHeight="1" x14ac:dyDescent="0.25">
      <c r="A296" s="54" t="s">
        <v>473</v>
      </c>
      <c r="B296" s="54" t="s">
        <v>474</v>
      </c>
      <c r="C296" s="31">
        <v>4301012024</v>
      </c>
      <c r="D296" s="554">
        <v>4680115885615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476</v>
      </c>
      <c r="B297" s="54" t="s">
        <v>477</v>
      </c>
      <c r="C297" s="31">
        <v>4301011858</v>
      </c>
      <c r="D297" s="554">
        <v>4680115885646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4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479</v>
      </c>
      <c r="B298" s="54" t="s">
        <v>480</v>
      </c>
      <c r="C298" s="31">
        <v>4301012016</v>
      </c>
      <c r="D298" s="554">
        <v>4680115885554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4301011857</v>
      </c>
      <c r="D299" s="554">
        <v>4680115885622</v>
      </c>
      <c r="E299" s="555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4301011859</v>
      </c>
      <c r="D300" s="554">
        <v>4680115885608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4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5"/>
      <c r="P301" s="558" t="s">
        <v>75</v>
      </c>
      <c r="Q301" s="559"/>
      <c r="R301" s="559"/>
      <c r="S301" s="559"/>
      <c r="T301" s="559"/>
      <c r="U301" s="559"/>
      <c r="V301" s="560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hidden="1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5"/>
      <c r="P302" s="558" t="s">
        <v>75</v>
      </c>
      <c r="Q302" s="559"/>
      <c r="R302" s="559"/>
      <c r="S302" s="559"/>
      <c r="T302" s="559"/>
      <c r="U302" s="559"/>
      <c r="V302" s="560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hidden="1" customHeight="1" x14ac:dyDescent="0.25">
      <c r="A303" s="562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hidden="1" customHeight="1" x14ac:dyDescent="0.25">
      <c r="A304" s="54" t="s">
        <v>487</v>
      </c>
      <c r="B304" s="54" t="s">
        <v>488</v>
      </c>
      <c r="C304" s="31">
        <v>4301030878</v>
      </c>
      <c r="D304" s="554">
        <v>4607091387193</v>
      </c>
      <c r="E304" s="555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4301031153</v>
      </c>
      <c r="D305" s="554">
        <v>4607091387230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4301031154</v>
      </c>
      <c r="D306" s="554">
        <v>4607091387292</v>
      </c>
      <c r="E306" s="555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4301031152</v>
      </c>
      <c r="D307" s="554">
        <v>4607091387285</v>
      </c>
      <c r="E307" s="555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4301031305</v>
      </c>
      <c r="D308" s="554">
        <v>4607091389845</v>
      </c>
      <c r="E308" s="555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4">
        <v>4607091383836</v>
      </c>
      <c r="E309" s="555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13</v>
      </c>
      <c r="Y309" s="548">
        <f t="shared" si="31"/>
        <v>14.4</v>
      </c>
      <c r="Z309" s="36">
        <f>IFERROR(IF(Y309=0,"",ROUNDUP(Y309/H309,0)*0.00651),"")</f>
        <v>5.2080000000000001E-2</v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14.646666666666667</v>
      </c>
      <c r="BN309" s="64">
        <f t="shared" si="33"/>
        <v>16.224</v>
      </c>
      <c r="BO309" s="64">
        <f t="shared" si="34"/>
        <v>3.9682539682539687E-2</v>
      </c>
      <c r="BP309" s="64">
        <f t="shared" si="35"/>
        <v>4.3956043956043959E-2</v>
      </c>
    </row>
    <row r="310" spans="1:68" x14ac:dyDescent="0.2">
      <c r="A310" s="564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5"/>
      <c r="P310" s="558" t="s">
        <v>75</v>
      </c>
      <c r="Q310" s="559"/>
      <c r="R310" s="559"/>
      <c r="S310" s="559"/>
      <c r="T310" s="559"/>
      <c r="U310" s="559"/>
      <c r="V310" s="560"/>
      <c r="W310" s="37" t="s">
        <v>76</v>
      </c>
      <c r="X310" s="549">
        <f>IFERROR(X304/H304,"0")+IFERROR(X305/H305,"0")+IFERROR(X306/H306,"0")+IFERROR(X307/H307,"0")+IFERROR(X308/H308,"0")+IFERROR(X309/H309,"0")</f>
        <v>7.2222222222222223</v>
      </c>
      <c r="Y310" s="549">
        <f>IFERROR(Y304/H304,"0")+IFERROR(Y305/H305,"0")+IFERROR(Y306/H306,"0")+IFERROR(Y307/H307,"0")+IFERROR(Y308/H308,"0")+IFERROR(Y309/H309,"0")</f>
        <v>8</v>
      </c>
      <c r="Z310" s="549">
        <f>IFERROR(IF(Z304="",0,Z304),"0")+IFERROR(IF(Z305="",0,Z305),"0")+IFERROR(IF(Z306="",0,Z306),"0")+IFERROR(IF(Z307="",0,Z307),"0")+IFERROR(IF(Z308="",0,Z308),"0")+IFERROR(IF(Z309="",0,Z309),"0")</f>
        <v>5.2080000000000001E-2</v>
      </c>
      <c r="AA310" s="550"/>
      <c r="AB310" s="550"/>
      <c r="AC310" s="550"/>
    </row>
    <row r="311" spans="1:68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5"/>
      <c r="P311" s="558" t="s">
        <v>75</v>
      </c>
      <c r="Q311" s="559"/>
      <c r="R311" s="559"/>
      <c r="S311" s="559"/>
      <c r="T311" s="559"/>
      <c r="U311" s="559"/>
      <c r="V311" s="560"/>
      <c r="W311" s="37" t="s">
        <v>69</v>
      </c>
      <c r="X311" s="549">
        <f>IFERROR(SUM(X304:X309),"0")</f>
        <v>13</v>
      </c>
      <c r="Y311" s="549">
        <f>IFERROR(SUM(Y304:Y309),"0")</f>
        <v>14.4</v>
      </c>
      <c r="Z311" s="37"/>
      <c r="AA311" s="550"/>
      <c r="AB311" s="550"/>
      <c r="AC311" s="550"/>
    </row>
    <row r="312" spans="1:68" ht="14.25" hidden="1" customHeight="1" x14ac:dyDescent="0.25">
      <c r="A312" s="562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hidden="1" customHeight="1" x14ac:dyDescent="0.25">
      <c r="A313" s="54" t="s">
        <v>504</v>
      </c>
      <c r="B313" s="54" t="s">
        <v>505</v>
      </c>
      <c r="C313" s="31">
        <v>4301051100</v>
      </c>
      <c r="D313" s="554">
        <v>4607091387766</v>
      </c>
      <c r="E313" s="555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507</v>
      </c>
      <c r="B314" s="54" t="s">
        <v>508</v>
      </c>
      <c r="C314" s="31">
        <v>4301051818</v>
      </c>
      <c r="D314" s="554">
        <v>4607091387957</v>
      </c>
      <c r="E314" s="555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4301051819</v>
      </c>
      <c r="D315" s="554">
        <v>4607091387964</v>
      </c>
      <c r="E315" s="555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4301051734</v>
      </c>
      <c r="D316" s="554">
        <v>4680115884588</v>
      </c>
      <c r="E316" s="555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4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5"/>
      <c r="P317" s="558" t="s">
        <v>75</v>
      </c>
      <c r="Q317" s="559"/>
      <c r="R317" s="559"/>
      <c r="S317" s="559"/>
      <c r="T317" s="559"/>
      <c r="U317" s="559"/>
      <c r="V317" s="560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hidden="1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5"/>
      <c r="P318" s="558" t="s">
        <v>75</v>
      </c>
      <c r="Q318" s="559"/>
      <c r="R318" s="559"/>
      <c r="S318" s="559"/>
      <c r="T318" s="559"/>
      <c r="U318" s="559"/>
      <c r="V318" s="560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hidden="1" customHeight="1" x14ac:dyDescent="0.25">
      <c r="A319" s="562" t="s">
        <v>161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hidden="1" customHeight="1" x14ac:dyDescent="0.25">
      <c r="A320" s="54" t="s">
        <v>516</v>
      </c>
      <c r="B320" s="54" t="s">
        <v>517</v>
      </c>
      <c r="C320" s="31">
        <v>4301060387</v>
      </c>
      <c r="D320" s="554">
        <v>4607091380880</v>
      </c>
      <c r="E320" s="555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/>
      <c r="M320" s="33" t="s">
        <v>80</v>
      </c>
      <c r="N320" s="33"/>
      <c r="O320" s="32">
        <v>30</v>
      </c>
      <c r="P320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518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519</v>
      </c>
      <c r="B321" s="54" t="s">
        <v>520</v>
      </c>
      <c r="C321" s="31">
        <v>4301060406</v>
      </c>
      <c r="D321" s="554">
        <v>4607091384482</v>
      </c>
      <c r="E321" s="555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522</v>
      </c>
      <c r="B322" s="54" t="s">
        <v>523</v>
      </c>
      <c r="C322" s="31">
        <v>4301060484</v>
      </c>
      <c r="D322" s="554">
        <v>4607091380897</v>
      </c>
      <c r="E322" s="555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/>
      <c r="M322" s="33" t="s">
        <v>86</v>
      </c>
      <c r="N322" s="33"/>
      <c r="O322" s="32">
        <v>30</v>
      </c>
      <c r="P322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64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5"/>
      <c r="P323" s="558" t="s">
        <v>75</v>
      </c>
      <c r="Q323" s="559"/>
      <c r="R323" s="559"/>
      <c r="S323" s="559"/>
      <c r="T323" s="559"/>
      <c r="U323" s="559"/>
      <c r="V323" s="560"/>
      <c r="W323" s="37" t="s">
        <v>76</v>
      </c>
      <c r="X323" s="549">
        <f>IFERROR(X320/H320,"0")+IFERROR(X321/H321,"0")+IFERROR(X322/H322,"0")</f>
        <v>0</v>
      </c>
      <c r="Y323" s="549">
        <f>IFERROR(Y320/H320,"0")+IFERROR(Y321/H321,"0")+IFERROR(Y322/H322,"0")</f>
        <v>0</v>
      </c>
      <c r="Z323" s="549">
        <f>IFERROR(IF(Z320="",0,Z320),"0")+IFERROR(IF(Z321="",0,Z321),"0")+IFERROR(IF(Z322="",0,Z322),"0")</f>
        <v>0</v>
      </c>
      <c r="AA323" s="550"/>
      <c r="AB323" s="550"/>
      <c r="AC323" s="550"/>
    </row>
    <row r="324" spans="1:68" hidden="1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5"/>
      <c r="P324" s="558" t="s">
        <v>75</v>
      </c>
      <c r="Q324" s="559"/>
      <c r="R324" s="559"/>
      <c r="S324" s="559"/>
      <c r="T324" s="559"/>
      <c r="U324" s="559"/>
      <c r="V324" s="560"/>
      <c r="W324" s="37" t="s">
        <v>69</v>
      </c>
      <c r="X324" s="549">
        <f>IFERROR(SUM(X320:X322),"0")</f>
        <v>0</v>
      </c>
      <c r="Y324" s="549">
        <f>IFERROR(SUM(Y320:Y322),"0")</f>
        <v>0</v>
      </c>
      <c r="Z324" s="37"/>
      <c r="AA324" s="550"/>
      <c r="AB324" s="550"/>
      <c r="AC324" s="550"/>
    </row>
    <row r="325" spans="1:68" ht="14.25" hidden="1" customHeight="1" x14ac:dyDescent="0.25">
      <c r="A325" s="562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hidden="1" customHeight="1" x14ac:dyDescent="0.25">
      <c r="A326" s="54" t="s">
        <v>525</v>
      </c>
      <c r="B326" s="54" t="s">
        <v>526</v>
      </c>
      <c r="C326" s="31">
        <v>4301030235</v>
      </c>
      <c r="D326" s="554">
        <v>4607091388381</v>
      </c>
      <c r="E326" s="555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4">
        <v>4607091388374</v>
      </c>
      <c r="E327" s="555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4</v>
      </c>
      <c r="Y327" s="548">
        <f>IFERROR(IF(X327="",0,CEILING((X327/$H327),1)*$H327),"")</f>
        <v>6.08</v>
      </c>
      <c r="Z327" s="36">
        <f>IFERROR(IF(Y327=0,"",ROUNDUP(Y327/H327,0)*0.00902),"")</f>
        <v>1.804E-2</v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4.3026315789473681</v>
      </c>
      <c r="BN327" s="64">
        <f>IFERROR(Y327*I327/H327,"0")</f>
        <v>6.5399999999999991</v>
      </c>
      <c r="BO327" s="64">
        <f>IFERROR(1/J327*(X327/H327),"0")</f>
        <v>9.9681020733652318E-3</v>
      </c>
      <c r="BP327" s="64">
        <f>IFERROR(1/J327*(Y327/H327),"0")</f>
        <v>1.5151515151515152E-2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4">
        <v>4607091383102</v>
      </c>
      <c r="E328" s="555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3</v>
      </c>
      <c r="Y328" s="548">
        <f>IFERROR(IF(X328="",0,CEILING((X328/$H328),1)*$H328),"")</f>
        <v>5.0999999999999996</v>
      </c>
      <c r="Z328" s="36">
        <f>IFERROR(IF(Y328=0,"",ROUNDUP(Y328/H328,0)*0.00651),"")</f>
        <v>1.302E-2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3.4764705882352946</v>
      </c>
      <c r="BN328" s="64">
        <f>IFERROR(Y328*I328/H328,"0")</f>
        <v>5.91</v>
      </c>
      <c r="BO328" s="64">
        <f>IFERROR(1/J328*(X328/H328),"0")</f>
        <v>6.4641241111829352E-3</v>
      </c>
      <c r="BP328" s="64">
        <f>IFERROR(1/J328*(Y328/H328),"0")</f>
        <v>1.098901098901099E-2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4">
        <v>4607091388404</v>
      </c>
      <c r="E329" s="555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25</v>
      </c>
      <c r="Y329" s="548">
        <f>IFERROR(IF(X329="",0,CEILING((X329/$H329),1)*$H329),"")</f>
        <v>25.5</v>
      </c>
      <c r="Z329" s="36">
        <f>IFERROR(IF(Y329=0,"",ROUNDUP(Y329/H329,0)*0.00651),"")</f>
        <v>6.5100000000000005E-2</v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28.235294117647062</v>
      </c>
      <c r="BN329" s="64">
        <f>IFERROR(Y329*I329/H329,"0")</f>
        <v>28.8</v>
      </c>
      <c r="BO329" s="64">
        <f>IFERROR(1/J329*(X329/H329),"0")</f>
        <v>5.3867700926524466E-2</v>
      </c>
      <c r="BP329" s="64">
        <f>IFERROR(1/J329*(Y329/H329),"0")</f>
        <v>5.4945054945054951E-2</v>
      </c>
    </row>
    <row r="330" spans="1:68" x14ac:dyDescent="0.2">
      <c r="A330" s="564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5"/>
      <c r="P330" s="558" t="s">
        <v>75</v>
      </c>
      <c r="Q330" s="559"/>
      <c r="R330" s="559"/>
      <c r="S330" s="559"/>
      <c r="T330" s="559"/>
      <c r="U330" s="559"/>
      <c r="V330" s="560"/>
      <c r="W330" s="37" t="s">
        <v>76</v>
      </c>
      <c r="X330" s="549">
        <f>IFERROR(X326/H326,"0")+IFERROR(X327/H327,"0")+IFERROR(X328/H328,"0")+IFERROR(X329/H329,"0")</f>
        <v>12.296181630546958</v>
      </c>
      <c r="Y330" s="549">
        <f>IFERROR(Y326/H326,"0")+IFERROR(Y327/H327,"0")+IFERROR(Y328/H328,"0")+IFERROR(Y329/H329,"0")</f>
        <v>14</v>
      </c>
      <c r="Z330" s="549">
        <f>IFERROR(IF(Z326="",0,Z326),"0")+IFERROR(IF(Z327="",0,Z327),"0")+IFERROR(IF(Z328="",0,Z328),"0")+IFERROR(IF(Z329="",0,Z329),"0")</f>
        <v>9.6160000000000009E-2</v>
      </c>
      <c r="AA330" s="550"/>
      <c r="AB330" s="550"/>
      <c r="AC330" s="550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5"/>
      <c r="P331" s="558" t="s">
        <v>75</v>
      </c>
      <c r="Q331" s="559"/>
      <c r="R331" s="559"/>
      <c r="S331" s="559"/>
      <c r="T331" s="559"/>
      <c r="U331" s="559"/>
      <c r="V331" s="560"/>
      <c r="W331" s="37" t="s">
        <v>69</v>
      </c>
      <c r="X331" s="549">
        <f>IFERROR(SUM(X326:X329),"0")</f>
        <v>32</v>
      </c>
      <c r="Y331" s="549">
        <f>IFERROR(SUM(Y326:Y329),"0")</f>
        <v>36.68</v>
      </c>
      <c r="Z331" s="37"/>
      <c r="AA331" s="550"/>
      <c r="AB331" s="550"/>
      <c r="AC331" s="550"/>
    </row>
    <row r="332" spans="1:68" ht="14.25" hidden="1" customHeight="1" x14ac:dyDescent="0.25">
      <c r="A332" s="562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hidden="1" customHeight="1" x14ac:dyDescent="0.25">
      <c r="A333" s="54" t="s">
        <v>536</v>
      </c>
      <c r="B333" s="54" t="s">
        <v>537</v>
      </c>
      <c r="C333" s="31">
        <v>4301180007</v>
      </c>
      <c r="D333" s="554">
        <v>4680115881808</v>
      </c>
      <c r="E333" s="555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540</v>
      </c>
      <c r="B334" s="54" t="s">
        <v>541</v>
      </c>
      <c r="C334" s="31">
        <v>4301180006</v>
      </c>
      <c r="D334" s="554">
        <v>4680115881822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542</v>
      </c>
      <c r="B335" s="54" t="s">
        <v>543</v>
      </c>
      <c r="C335" s="31">
        <v>4301180001</v>
      </c>
      <c r="D335" s="554">
        <v>4680115880016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4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5"/>
      <c r="P336" s="558" t="s">
        <v>75</v>
      </c>
      <c r="Q336" s="559"/>
      <c r="R336" s="559"/>
      <c r="S336" s="559"/>
      <c r="T336" s="559"/>
      <c r="U336" s="559"/>
      <c r="V336" s="560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hidden="1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5"/>
      <c r="P337" s="558" t="s">
        <v>75</v>
      </c>
      <c r="Q337" s="559"/>
      <c r="R337" s="559"/>
      <c r="S337" s="559"/>
      <c r="T337" s="559"/>
      <c r="U337" s="559"/>
      <c r="V337" s="560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hidden="1" customHeight="1" x14ac:dyDescent="0.25">
      <c r="A338" s="556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hidden="1" customHeight="1" x14ac:dyDescent="0.25">
      <c r="A339" s="562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hidden="1" customHeight="1" x14ac:dyDescent="0.25">
      <c r="A340" s="54" t="s">
        <v>545</v>
      </c>
      <c r="B340" s="54" t="s">
        <v>546</v>
      </c>
      <c r="C340" s="31">
        <v>4301051489</v>
      </c>
      <c r="D340" s="554">
        <v>4607091387919</v>
      </c>
      <c r="E340" s="555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548</v>
      </c>
      <c r="B341" s="54" t="s">
        <v>549</v>
      </c>
      <c r="C341" s="31">
        <v>4301051461</v>
      </c>
      <c r="D341" s="554">
        <v>4680115883604</v>
      </c>
      <c r="E341" s="555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4301051864</v>
      </c>
      <c r="D342" s="554">
        <v>4680115883567</v>
      </c>
      <c r="E342" s="555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4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5"/>
      <c r="P343" s="558" t="s">
        <v>75</v>
      </c>
      <c r="Q343" s="559"/>
      <c r="R343" s="559"/>
      <c r="S343" s="559"/>
      <c r="T343" s="559"/>
      <c r="U343" s="559"/>
      <c r="V343" s="560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hidden="1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5"/>
      <c r="P344" s="558" t="s">
        <v>75</v>
      </c>
      <c r="Q344" s="559"/>
      <c r="R344" s="559"/>
      <c r="S344" s="559"/>
      <c r="T344" s="559"/>
      <c r="U344" s="559"/>
      <c r="V344" s="560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hidden="1" customHeight="1" x14ac:dyDescent="0.2">
      <c r="A345" s="652" t="s">
        <v>554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48"/>
      <c r="AB345" s="48"/>
      <c r="AC345" s="48"/>
    </row>
    <row r="346" spans="1:68" ht="16.5" hidden="1" customHeight="1" x14ac:dyDescent="0.25">
      <c r="A346" s="556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hidden="1" customHeight="1" x14ac:dyDescent="0.25">
      <c r="A347" s="562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4">
        <v>4680115884847</v>
      </c>
      <c r="E348" s="555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280</v>
      </c>
      <c r="Y348" s="548">
        <f t="shared" ref="Y348:Y354" si="36">IFERROR(IF(X348="",0,CEILING((X348/$H348),1)*$H348),"")</f>
        <v>285</v>
      </c>
      <c r="Z348" s="36">
        <f>IFERROR(IF(Y348=0,"",ROUNDUP(Y348/H348,0)*0.02175),"")</f>
        <v>0.41324999999999995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288.77333333333337</v>
      </c>
      <c r="BN348" s="64">
        <f t="shared" ref="BN348:BN354" si="38">IFERROR(Y348*I348/H348,"0")</f>
        <v>293.93</v>
      </c>
      <c r="BO348" s="64">
        <f t="shared" ref="BO348:BO354" si="39">IFERROR(1/J348*(X348/H348),"0")</f>
        <v>0.3888888888888889</v>
      </c>
      <c r="BP348" s="64">
        <f t="shared" ref="BP348:BP354" si="40">IFERROR(1/J348*(Y348/H348),"0")</f>
        <v>0.39583333333333331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4">
        <v>4680115884854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155</v>
      </c>
      <c r="Y349" s="548">
        <f t="shared" si="36"/>
        <v>165</v>
      </c>
      <c r="Z349" s="36">
        <f>IFERROR(IF(Y349=0,"",ROUNDUP(Y349/H349,0)*0.02175),"")</f>
        <v>0.23924999999999999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159.85666666666665</v>
      </c>
      <c r="BN349" s="64">
        <f t="shared" si="38"/>
        <v>170.17000000000002</v>
      </c>
      <c r="BO349" s="64">
        <f t="shared" si="39"/>
        <v>0.21527777777777779</v>
      </c>
      <c r="BP349" s="64">
        <f t="shared" si="40"/>
        <v>0.22916666666666666</v>
      </c>
    </row>
    <row r="350" spans="1:68" ht="27" customHeight="1" x14ac:dyDescent="0.25">
      <c r="A350" s="54" t="s">
        <v>562</v>
      </c>
      <c r="B350" s="54" t="s">
        <v>563</v>
      </c>
      <c r="C350" s="31">
        <v>4301012215</v>
      </c>
      <c r="D350" s="554">
        <v>4680115887046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86</v>
      </c>
      <c r="N350" s="33"/>
      <c r="O350" s="32">
        <v>60</v>
      </c>
      <c r="P350" s="67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112</v>
      </c>
      <c r="Y350" s="548">
        <f t="shared" si="36"/>
        <v>120</v>
      </c>
      <c r="Z350" s="36">
        <f>IFERROR(IF(Y350=0,"",ROUNDUP(Y350/H350,0)*0.02175),"")</f>
        <v>0.17399999999999999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115.50933333333334</v>
      </c>
      <c r="BN350" s="64">
        <f t="shared" si="38"/>
        <v>123.76</v>
      </c>
      <c r="BO350" s="64">
        <f t="shared" si="39"/>
        <v>0.15555555555555556</v>
      </c>
      <c r="BP350" s="64">
        <f t="shared" si="40"/>
        <v>0.16666666666666666</v>
      </c>
    </row>
    <row r="351" spans="1:68" ht="37.5" customHeight="1" x14ac:dyDescent="0.25">
      <c r="A351" s="54" t="s">
        <v>565</v>
      </c>
      <c r="B351" s="54" t="s">
        <v>566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5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88</v>
      </c>
      <c r="Y351" s="548">
        <f t="shared" si="36"/>
        <v>90</v>
      </c>
      <c r="Z351" s="36">
        <f>IFERROR(IF(Y351=0,"",ROUNDUP(Y351/H351,0)*0.02175),"")</f>
        <v>0.1305</v>
      </c>
      <c r="AA351" s="56"/>
      <c r="AB351" s="57"/>
      <c r="AC351" s="407" t="s">
        <v>567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90.757333333333335</v>
      </c>
      <c r="BN351" s="64">
        <f t="shared" si="38"/>
        <v>92.82</v>
      </c>
      <c r="BO351" s="64">
        <f t="shared" si="39"/>
        <v>0.1222222222222222</v>
      </c>
      <c r="BP351" s="64">
        <f t="shared" si="40"/>
        <v>0.125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4301011433</v>
      </c>
      <c r="D352" s="554">
        <v>4680115882638</v>
      </c>
      <c r="E352" s="555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4301011952</v>
      </c>
      <c r="D353" s="554">
        <v>4680115884922</v>
      </c>
      <c r="E353" s="555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hidden="1" customHeight="1" x14ac:dyDescent="0.25">
      <c r="A354" s="54" t="s">
        <v>573</v>
      </c>
      <c r="B354" s="54" t="s">
        <v>574</v>
      </c>
      <c r="C354" s="31">
        <v>4301011868</v>
      </c>
      <c r="D354" s="554">
        <v>4680115884861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567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4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5"/>
      <c r="P355" s="558" t="s">
        <v>75</v>
      </c>
      <c r="Q355" s="559"/>
      <c r="R355" s="559"/>
      <c r="S355" s="559"/>
      <c r="T355" s="559"/>
      <c r="U355" s="559"/>
      <c r="V355" s="560"/>
      <c r="W355" s="37" t="s">
        <v>76</v>
      </c>
      <c r="X355" s="549">
        <f>IFERROR(X348/H348,"0")+IFERROR(X349/H349,"0")+IFERROR(X350/H350,"0")+IFERROR(X351/H351,"0")+IFERROR(X352/H352,"0")+IFERROR(X353/H353,"0")+IFERROR(X354/H354,"0")</f>
        <v>42.333333333333336</v>
      </c>
      <c r="Y355" s="549">
        <f>IFERROR(Y348/H348,"0")+IFERROR(Y349/H349,"0")+IFERROR(Y350/H350,"0")+IFERROR(Y351/H351,"0")+IFERROR(Y352/H352,"0")+IFERROR(Y353/H353,"0")+IFERROR(Y354/H354,"0")</f>
        <v>44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0.95700000000000007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5"/>
      <c r="P356" s="558" t="s">
        <v>75</v>
      </c>
      <c r="Q356" s="559"/>
      <c r="R356" s="559"/>
      <c r="S356" s="559"/>
      <c r="T356" s="559"/>
      <c r="U356" s="559"/>
      <c r="V356" s="560"/>
      <c r="W356" s="37" t="s">
        <v>69</v>
      </c>
      <c r="X356" s="549">
        <f>IFERROR(SUM(X348:X354),"0")</f>
        <v>635</v>
      </c>
      <c r="Y356" s="549">
        <f>IFERROR(SUM(Y348:Y354),"0")</f>
        <v>660</v>
      </c>
      <c r="Z356" s="37"/>
      <c r="AA356" s="550"/>
      <c r="AB356" s="550"/>
      <c r="AC356" s="550"/>
    </row>
    <row r="357" spans="1:68" ht="14.25" hidden="1" customHeight="1" x14ac:dyDescent="0.25">
      <c r="A357" s="562" t="s">
        <v>136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4">
        <v>4607091383980</v>
      </c>
      <c r="E358" s="555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279</v>
      </c>
      <c r="Y358" s="548">
        <f>IFERROR(IF(X358="",0,CEILING((X358/$H358),1)*$H358),"")</f>
        <v>285</v>
      </c>
      <c r="Z358" s="36">
        <f>IFERROR(IF(Y358=0,"",ROUNDUP(Y358/H358,0)*0.02175),"")</f>
        <v>0.41324999999999995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287.74200000000002</v>
      </c>
      <c r="BN358" s="64">
        <f>IFERROR(Y358*I358/H358,"0")</f>
        <v>293.93</v>
      </c>
      <c r="BO358" s="64">
        <f>IFERROR(1/J358*(X358/H358),"0")</f>
        <v>0.38750000000000001</v>
      </c>
      <c r="BP358" s="64">
        <f>IFERROR(1/J358*(Y358/H358),"0")</f>
        <v>0.39583333333333331</v>
      </c>
    </row>
    <row r="359" spans="1:68" ht="27" hidden="1" customHeight="1" x14ac:dyDescent="0.25">
      <c r="A359" s="54" t="s">
        <v>578</v>
      </c>
      <c r="B359" s="54" t="s">
        <v>579</v>
      </c>
      <c r="C359" s="31">
        <v>4301020179</v>
      </c>
      <c r="D359" s="554">
        <v>4607091384178</v>
      </c>
      <c r="E359" s="555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4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5"/>
      <c r="P360" s="558" t="s">
        <v>75</v>
      </c>
      <c r="Q360" s="559"/>
      <c r="R360" s="559"/>
      <c r="S360" s="559"/>
      <c r="T360" s="559"/>
      <c r="U360" s="559"/>
      <c r="V360" s="560"/>
      <c r="W360" s="37" t="s">
        <v>76</v>
      </c>
      <c r="X360" s="549">
        <f>IFERROR(X358/H358,"0")+IFERROR(X359/H359,"0")</f>
        <v>18.600000000000001</v>
      </c>
      <c r="Y360" s="549">
        <f>IFERROR(Y358/H358,"0")+IFERROR(Y359/H359,"0")</f>
        <v>19</v>
      </c>
      <c r="Z360" s="549">
        <f>IFERROR(IF(Z358="",0,Z358),"0")+IFERROR(IF(Z359="",0,Z359),"0")</f>
        <v>0.41324999999999995</v>
      </c>
      <c r="AA360" s="550"/>
      <c r="AB360" s="550"/>
      <c r="AC360" s="550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5"/>
      <c r="P361" s="558" t="s">
        <v>75</v>
      </c>
      <c r="Q361" s="559"/>
      <c r="R361" s="559"/>
      <c r="S361" s="559"/>
      <c r="T361" s="559"/>
      <c r="U361" s="559"/>
      <c r="V361" s="560"/>
      <c r="W361" s="37" t="s">
        <v>69</v>
      </c>
      <c r="X361" s="549">
        <f>IFERROR(SUM(X358:X359),"0")</f>
        <v>279</v>
      </c>
      <c r="Y361" s="549">
        <f>IFERROR(SUM(Y358:Y359),"0")</f>
        <v>285</v>
      </c>
      <c r="Z361" s="37"/>
      <c r="AA361" s="550"/>
      <c r="AB361" s="550"/>
      <c r="AC361" s="550"/>
    </row>
    <row r="362" spans="1:68" ht="14.25" hidden="1" customHeight="1" x14ac:dyDescent="0.25">
      <c r="A362" s="562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hidden="1" customHeight="1" x14ac:dyDescent="0.25">
      <c r="A363" s="54" t="s">
        <v>581</v>
      </c>
      <c r="B363" s="54" t="s">
        <v>582</v>
      </c>
      <c r="C363" s="31">
        <v>4301051903</v>
      </c>
      <c r="D363" s="554">
        <v>4607091383928</v>
      </c>
      <c r="E363" s="555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4301051897</v>
      </c>
      <c r="D364" s="554">
        <v>4607091384260</v>
      </c>
      <c r="E364" s="555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4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5"/>
      <c r="P365" s="558" t="s">
        <v>75</v>
      </c>
      <c r="Q365" s="559"/>
      <c r="R365" s="559"/>
      <c r="S365" s="559"/>
      <c r="T365" s="559"/>
      <c r="U365" s="559"/>
      <c r="V365" s="560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hidden="1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5"/>
      <c r="P366" s="558" t="s">
        <v>75</v>
      </c>
      <c r="Q366" s="559"/>
      <c r="R366" s="559"/>
      <c r="S366" s="559"/>
      <c r="T366" s="559"/>
      <c r="U366" s="559"/>
      <c r="V366" s="560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hidden="1" customHeight="1" x14ac:dyDescent="0.25">
      <c r="A367" s="562" t="s">
        <v>161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hidden="1" customHeight="1" x14ac:dyDescent="0.25">
      <c r="A368" s="54" t="s">
        <v>587</v>
      </c>
      <c r="B368" s="54" t="s">
        <v>588</v>
      </c>
      <c r="C368" s="31">
        <v>4301060524</v>
      </c>
      <c r="D368" s="554">
        <v>4607091384673</v>
      </c>
      <c r="E368" s="555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4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5"/>
      <c r="P369" s="558" t="s">
        <v>75</v>
      </c>
      <c r="Q369" s="559"/>
      <c r="R369" s="559"/>
      <c r="S369" s="559"/>
      <c r="T369" s="559"/>
      <c r="U369" s="559"/>
      <c r="V369" s="560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hidden="1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5"/>
      <c r="P370" s="558" t="s">
        <v>75</v>
      </c>
      <c r="Q370" s="559"/>
      <c r="R370" s="559"/>
      <c r="S370" s="559"/>
      <c r="T370" s="559"/>
      <c r="U370" s="559"/>
      <c r="V370" s="560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hidden="1" customHeight="1" x14ac:dyDescent="0.25">
      <c r="A371" s="556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hidden="1" customHeight="1" x14ac:dyDescent="0.25">
      <c r="A372" s="562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hidden="1" customHeight="1" x14ac:dyDescent="0.25">
      <c r="A373" s="54" t="s">
        <v>591</v>
      </c>
      <c r="B373" s="54" t="s">
        <v>592</v>
      </c>
      <c r="C373" s="31">
        <v>4301011875</v>
      </c>
      <c r="D373" s="554">
        <v>4680115884885</v>
      </c>
      <c r="E373" s="555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594</v>
      </c>
      <c r="B374" s="54" t="s">
        <v>595</v>
      </c>
      <c r="C374" s="31">
        <v>4301011871</v>
      </c>
      <c r="D374" s="554">
        <v>4680115884908</v>
      </c>
      <c r="E374" s="555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4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5"/>
      <c r="P375" s="558" t="s">
        <v>75</v>
      </c>
      <c r="Q375" s="559"/>
      <c r="R375" s="559"/>
      <c r="S375" s="559"/>
      <c r="T375" s="559"/>
      <c r="U375" s="559"/>
      <c r="V375" s="560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hidden="1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5"/>
      <c r="P376" s="558" t="s">
        <v>75</v>
      </c>
      <c r="Q376" s="559"/>
      <c r="R376" s="559"/>
      <c r="S376" s="559"/>
      <c r="T376" s="559"/>
      <c r="U376" s="559"/>
      <c r="V376" s="560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hidden="1" customHeight="1" x14ac:dyDescent="0.25">
      <c r="A377" s="562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hidden="1" customHeight="1" x14ac:dyDescent="0.25">
      <c r="A378" s="54" t="s">
        <v>596</v>
      </c>
      <c r="B378" s="54" t="s">
        <v>597</v>
      </c>
      <c r="C378" s="31">
        <v>4301031457</v>
      </c>
      <c r="D378" s="554">
        <v>4607091384802</v>
      </c>
      <c r="E378" s="555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50</v>
      </c>
      <c r="P378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596</v>
      </c>
      <c r="B379" s="54" t="s">
        <v>599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35</v>
      </c>
      <c r="P379" s="59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4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5"/>
      <c r="P380" s="558" t="s">
        <v>75</v>
      </c>
      <c r="Q380" s="559"/>
      <c r="R380" s="559"/>
      <c r="S380" s="559"/>
      <c r="T380" s="559"/>
      <c r="U380" s="559"/>
      <c r="V380" s="560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hidden="1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5"/>
      <c r="P381" s="558" t="s">
        <v>75</v>
      </c>
      <c r="Q381" s="559"/>
      <c r="R381" s="559"/>
      <c r="S381" s="559"/>
      <c r="T381" s="559"/>
      <c r="U381" s="559"/>
      <c r="V381" s="560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hidden="1" customHeight="1" x14ac:dyDescent="0.25">
      <c r="A382" s="562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hidden="1" customHeight="1" x14ac:dyDescent="0.25">
      <c r="A383" s="54" t="s">
        <v>601</v>
      </c>
      <c r="B383" s="54" t="s">
        <v>602</v>
      </c>
      <c r="C383" s="31">
        <v>4301051899</v>
      </c>
      <c r="D383" s="554">
        <v>4607091384246</v>
      </c>
      <c r="E383" s="555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605</v>
      </c>
      <c r="C384" s="31">
        <v>4301051660</v>
      </c>
      <c r="D384" s="554">
        <v>4607091384253</v>
      </c>
      <c r="E384" s="555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604</v>
      </c>
      <c r="B385" s="54" t="s">
        <v>606</v>
      </c>
      <c r="C385" s="31">
        <v>4301052069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64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5"/>
      <c r="P386" s="558" t="s">
        <v>75</v>
      </c>
      <c r="Q386" s="559"/>
      <c r="R386" s="559"/>
      <c r="S386" s="559"/>
      <c r="T386" s="559"/>
      <c r="U386" s="559"/>
      <c r="V386" s="560"/>
      <c r="W386" s="37" t="s">
        <v>76</v>
      </c>
      <c r="X386" s="549">
        <f>IFERROR(X383/H383,"0")+IFERROR(X384/H384,"0")+IFERROR(X385/H385,"0")</f>
        <v>0</v>
      </c>
      <c r="Y386" s="549">
        <f>IFERROR(Y383/H383,"0")+IFERROR(Y384/H384,"0")+IFERROR(Y385/H385,"0")</f>
        <v>0</v>
      </c>
      <c r="Z386" s="549">
        <f>IFERROR(IF(Z383="",0,Z383),"0")+IFERROR(IF(Z384="",0,Z384),"0")+IFERROR(IF(Z385="",0,Z385),"0")</f>
        <v>0</v>
      </c>
      <c r="AA386" s="550"/>
      <c r="AB386" s="550"/>
      <c r="AC386" s="550"/>
    </row>
    <row r="387" spans="1:68" hidden="1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5"/>
      <c r="P387" s="558" t="s">
        <v>75</v>
      </c>
      <c r="Q387" s="559"/>
      <c r="R387" s="559"/>
      <c r="S387" s="559"/>
      <c r="T387" s="559"/>
      <c r="U387" s="559"/>
      <c r="V387" s="560"/>
      <c r="W387" s="37" t="s">
        <v>69</v>
      </c>
      <c r="X387" s="549">
        <f>IFERROR(SUM(X383:X385),"0")</f>
        <v>0</v>
      </c>
      <c r="Y387" s="549">
        <f>IFERROR(SUM(Y383:Y385),"0")</f>
        <v>0</v>
      </c>
      <c r="Z387" s="37"/>
      <c r="AA387" s="550"/>
      <c r="AB387" s="550"/>
      <c r="AC387" s="550"/>
    </row>
    <row r="388" spans="1:68" ht="27.75" hidden="1" customHeight="1" x14ac:dyDescent="0.2">
      <c r="A388" s="652" t="s">
        <v>608</v>
      </c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3"/>
      <c r="P388" s="653"/>
      <c r="Q388" s="653"/>
      <c r="R388" s="653"/>
      <c r="S388" s="653"/>
      <c r="T388" s="653"/>
      <c r="U388" s="653"/>
      <c r="V388" s="653"/>
      <c r="W388" s="653"/>
      <c r="X388" s="653"/>
      <c r="Y388" s="653"/>
      <c r="Z388" s="653"/>
      <c r="AA388" s="48"/>
      <c r="AB388" s="48"/>
      <c r="AC388" s="48"/>
    </row>
    <row r="389" spans="1:68" ht="16.5" hidden="1" customHeight="1" x14ac:dyDescent="0.25">
      <c r="A389" s="556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hidden="1" customHeight="1" x14ac:dyDescent="0.25">
      <c r="A390" s="562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4">
        <v>4680115886100</v>
      </c>
      <c r="E391" s="555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 t="s">
        <v>202</v>
      </c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4</v>
      </c>
      <c r="Y391" s="548">
        <f t="shared" ref="Y391:Y399" si="41">IFERROR(IF(X391="",0,CEILING((X391/$H391),1)*$H391),"")</f>
        <v>5.4</v>
      </c>
      <c r="Z391" s="36">
        <f>IFERROR(IF(Y391=0,"",ROUNDUP(Y391/H391,0)*0.00902),"")</f>
        <v>9.0200000000000002E-3</v>
      </c>
      <c r="AA391" s="56"/>
      <c r="AB391" s="57"/>
      <c r="AC391" s="439" t="s">
        <v>612</v>
      </c>
      <c r="AG391" s="64"/>
      <c r="AJ391" s="68" t="s">
        <v>108</v>
      </c>
      <c r="AK391" s="68">
        <v>64.8</v>
      </c>
      <c r="BB391" s="440" t="s">
        <v>1</v>
      </c>
      <c r="BM391" s="64">
        <f t="shared" ref="BM391:BM399" si="42">IFERROR(X391*I391/H391,"0")</f>
        <v>4.1407407407407399</v>
      </c>
      <c r="BN391" s="64">
        <f t="shared" ref="BN391:BN399" si="43">IFERROR(Y391*I391/H391,"0")</f>
        <v>5.59</v>
      </c>
      <c r="BO391" s="64">
        <f t="shared" ref="BO391:BO399" si="44">IFERROR(1/J391*(X391/H391),"0")</f>
        <v>5.6116722783389446E-3</v>
      </c>
      <c r="BP391" s="64">
        <f t="shared" ref="BP391:BP399" si="45">IFERROR(1/J391*(Y391/H391),"0")</f>
        <v>7.575757575757576E-3</v>
      </c>
    </row>
    <row r="392" spans="1:68" ht="27" hidden="1" customHeight="1" x14ac:dyDescent="0.25">
      <c r="A392" s="54" t="s">
        <v>613</v>
      </c>
      <c r="B392" s="54" t="s">
        <v>614</v>
      </c>
      <c r="C392" s="31">
        <v>4301031406</v>
      </c>
      <c r="D392" s="554">
        <v>4680115886117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4301031402</v>
      </c>
      <c r="D393" s="554">
        <v>4680115886124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5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4301031366</v>
      </c>
      <c r="D394" s="554">
        <v>4680115883147</v>
      </c>
      <c r="E394" s="555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4301031362</v>
      </c>
      <c r="D395" s="554">
        <v>4607091384338</v>
      </c>
      <c r="E395" s="555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hidden="1" customHeight="1" x14ac:dyDescent="0.25">
      <c r="A396" s="54" t="s">
        <v>623</v>
      </c>
      <c r="B396" s="54" t="s">
        <v>624</v>
      </c>
      <c r="C396" s="31">
        <v>4301031361</v>
      </c>
      <c r="D396" s="554">
        <v>4607091389524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4301031364</v>
      </c>
      <c r="D397" s="554">
        <v>4680115883161</v>
      </c>
      <c r="E397" s="555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4301031358</v>
      </c>
      <c r="D398" s="554">
        <v>4607091389531</v>
      </c>
      <c r="E398" s="555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hidden="1" customHeight="1" x14ac:dyDescent="0.25">
      <c r="A399" s="54" t="s">
        <v>632</v>
      </c>
      <c r="B399" s="54" t="s">
        <v>633</v>
      </c>
      <c r="C399" s="31">
        <v>4301031360</v>
      </c>
      <c r="D399" s="554">
        <v>4607091384345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4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5"/>
      <c r="P400" s="558" t="s">
        <v>75</v>
      </c>
      <c r="Q400" s="559"/>
      <c r="R400" s="559"/>
      <c r="S400" s="559"/>
      <c r="T400" s="559"/>
      <c r="U400" s="559"/>
      <c r="V400" s="560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0.7407407407407407</v>
      </c>
      <c r="Y400" s="549">
        <f>IFERROR(Y391/H391,"0")+IFERROR(Y392/H392,"0")+IFERROR(Y393/H393,"0")+IFERROR(Y394/H394,"0")+IFERROR(Y395/H395,"0")+IFERROR(Y396/H396,"0")+IFERROR(Y397/H397,"0")+IFERROR(Y398/H398,"0")+IFERROR(Y399/H399,"0")</f>
        <v>1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9.0200000000000002E-3</v>
      </c>
      <c r="AA400" s="550"/>
      <c r="AB400" s="550"/>
      <c r="AC400" s="550"/>
    </row>
    <row r="401" spans="1:68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5"/>
      <c r="P401" s="558" t="s">
        <v>75</v>
      </c>
      <c r="Q401" s="559"/>
      <c r="R401" s="559"/>
      <c r="S401" s="559"/>
      <c r="T401" s="559"/>
      <c r="U401" s="559"/>
      <c r="V401" s="560"/>
      <c r="W401" s="37" t="s">
        <v>69</v>
      </c>
      <c r="X401" s="549">
        <f>IFERROR(SUM(X391:X399),"0")</f>
        <v>4</v>
      </c>
      <c r="Y401" s="549">
        <f>IFERROR(SUM(Y391:Y399),"0")</f>
        <v>5.4</v>
      </c>
      <c r="Z401" s="37"/>
      <c r="AA401" s="550"/>
      <c r="AB401" s="550"/>
      <c r="AC401" s="550"/>
    </row>
    <row r="402" spans="1:68" ht="14.25" hidden="1" customHeight="1" x14ac:dyDescent="0.25">
      <c r="A402" s="562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hidden="1" customHeight="1" x14ac:dyDescent="0.25">
      <c r="A403" s="54" t="s">
        <v>634</v>
      </c>
      <c r="B403" s="54" t="s">
        <v>635</v>
      </c>
      <c r="C403" s="31">
        <v>4301051284</v>
      </c>
      <c r="D403" s="554">
        <v>4607091384352</v>
      </c>
      <c r="E403" s="555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637</v>
      </c>
      <c r="B404" s="54" t="s">
        <v>638</v>
      </c>
      <c r="C404" s="31">
        <v>4301051431</v>
      </c>
      <c r="D404" s="554">
        <v>4607091389654</v>
      </c>
      <c r="E404" s="555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4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5"/>
      <c r="P405" s="558" t="s">
        <v>75</v>
      </c>
      <c r="Q405" s="559"/>
      <c r="R405" s="559"/>
      <c r="S405" s="559"/>
      <c r="T405" s="559"/>
      <c r="U405" s="559"/>
      <c r="V405" s="560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5"/>
      <c r="P406" s="558" t="s">
        <v>75</v>
      </c>
      <c r="Q406" s="559"/>
      <c r="R406" s="559"/>
      <c r="S406" s="559"/>
      <c r="T406" s="559"/>
      <c r="U406" s="559"/>
      <c r="V406" s="560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hidden="1" customHeight="1" x14ac:dyDescent="0.25">
      <c r="A407" s="556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hidden="1" customHeight="1" x14ac:dyDescent="0.25">
      <c r="A408" s="562" t="s">
        <v>136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hidden="1" customHeight="1" x14ac:dyDescent="0.25">
      <c r="A409" s="54" t="s">
        <v>641</v>
      </c>
      <c r="B409" s="54" t="s">
        <v>642</v>
      </c>
      <c r="C409" s="31">
        <v>4301020319</v>
      </c>
      <c r="D409" s="554">
        <v>4680115885240</v>
      </c>
      <c r="E409" s="555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4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5"/>
      <c r="P410" s="558" t="s">
        <v>75</v>
      </c>
      <c r="Q410" s="559"/>
      <c r="R410" s="559"/>
      <c r="S410" s="559"/>
      <c r="T410" s="559"/>
      <c r="U410" s="559"/>
      <c r="V410" s="560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hidden="1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5"/>
      <c r="P411" s="558" t="s">
        <v>75</v>
      </c>
      <c r="Q411" s="559"/>
      <c r="R411" s="559"/>
      <c r="S411" s="559"/>
      <c r="T411" s="559"/>
      <c r="U411" s="559"/>
      <c r="V411" s="560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hidden="1" customHeight="1" x14ac:dyDescent="0.25">
      <c r="A412" s="562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4">
        <v>4680115886094</v>
      </c>
      <c r="E413" s="555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 t="s">
        <v>202</v>
      </c>
      <c r="M413" s="33" t="s">
        <v>106</v>
      </c>
      <c r="N413" s="33"/>
      <c r="O413" s="32">
        <v>50</v>
      </c>
      <c r="P413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61</v>
      </c>
      <c r="Y413" s="548">
        <f>IFERROR(IF(X413="",0,CEILING((X413/$H413),1)*$H413),"")</f>
        <v>64.800000000000011</v>
      </c>
      <c r="Z413" s="36">
        <f>IFERROR(IF(Y413=0,"",ROUNDUP(Y413/H413,0)*0.00902),"")</f>
        <v>0.10824</v>
      </c>
      <c r="AA413" s="56"/>
      <c r="AB413" s="57"/>
      <c r="AC413" s="463" t="s">
        <v>646</v>
      </c>
      <c r="AG413" s="64"/>
      <c r="AJ413" s="68" t="s">
        <v>108</v>
      </c>
      <c r="AK413" s="68">
        <v>64.8</v>
      </c>
      <c r="BB413" s="464" t="s">
        <v>1</v>
      </c>
      <c r="BM413" s="64">
        <f>IFERROR(X413*I413/H413,"0")</f>
        <v>63.146296296296292</v>
      </c>
      <c r="BN413" s="64">
        <f>IFERROR(Y413*I413/H413,"0")</f>
        <v>67.08</v>
      </c>
      <c r="BO413" s="64">
        <f>IFERROR(1/J413*(X413/H413),"0")</f>
        <v>8.557800224466891E-2</v>
      </c>
      <c r="BP413" s="64">
        <f>IFERROR(1/J413*(Y413/H413),"0")</f>
        <v>9.0909090909090925E-2</v>
      </c>
    </row>
    <row r="414" spans="1:68" ht="27" hidden="1" customHeight="1" x14ac:dyDescent="0.25">
      <c r="A414" s="54" t="s">
        <v>647</v>
      </c>
      <c r="B414" s="54" t="s">
        <v>648</v>
      </c>
      <c r="C414" s="31">
        <v>4301031363</v>
      </c>
      <c r="D414" s="554">
        <v>4607091389425</v>
      </c>
      <c r="E414" s="555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4301031373</v>
      </c>
      <c r="D415" s="554">
        <v>4680115880771</v>
      </c>
      <c r="E415" s="555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4301031359</v>
      </c>
      <c r="D416" s="554">
        <v>4607091389500</v>
      </c>
      <c r="E416" s="555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4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5"/>
      <c r="P417" s="558" t="s">
        <v>75</v>
      </c>
      <c r="Q417" s="559"/>
      <c r="R417" s="559"/>
      <c r="S417" s="559"/>
      <c r="T417" s="559"/>
      <c r="U417" s="559"/>
      <c r="V417" s="560"/>
      <c r="W417" s="37" t="s">
        <v>76</v>
      </c>
      <c r="X417" s="549">
        <f>IFERROR(X413/H413,"0")+IFERROR(X414/H414,"0")+IFERROR(X415/H415,"0")+IFERROR(X416/H416,"0")</f>
        <v>11.296296296296296</v>
      </c>
      <c r="Y417" s="549">
        <f>IFERROR(Y413/H413,"0")+IFERROR(Y414/H414,"0")+IFERROR(Y415/H415,"0")+IFERROR(Y416/H416,"0")</f>
        <v>12.000000000000002</v>
      </c>
      <c r="Z417" s="549">
        <f>IFERROR(IF(Z413="",0,Z413),"0")+IFERROR(IF(Z414="",0,Z414),"0")+IFERROR(IF(Z415="",0,Z415),"0")+IFERROR(IF(Z416="",0,Z416),"0")</f>
        <v>0.10824</v>
      </c>
      <c r="AA417" s="550"/>
      <c r="AB417" s="550"/>
      <c r="AC417" s="550"/>
    </row>
    <row r="418" spans="1:68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5"/>
      <c r="P418" s="558" t="s">
        <v>75</v>
      </c>
      <c r="Q418" s="559"/>
      <c r="R418" s="559"/>
      <c r="S418" s="559"/>
      <c r="T418" s="559"/>
      <c r="U418" s="559"/>
      <c r="V418" s="560"/>
      <c r="W418" s="37" t="s">
        <v>69</v>
      </c>
      <c r="X418" s="549">
        <f>IFERROR(SUM(X413:X416),"0")</f>
        <v>61</v>
      </c>
      <c r="Y418" s="549">
        <f>IFERROR(SUM(Y413:Y416),"0")</f>
        <v>64.800000000000011</v>
      </c>
      <c r="Z418" s="37"/>
      <c r="AA418" s="550"/>
      <c r="AB418" s="550"/>
      <c r="AC418" s="550"/>
    </row>
    <row r="419" spans="1:68" ht="16.5" hidden="1" customHeight="1" x14ac:dyDescent="0.25">
      <c r="A419" s="556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hidden="1" customHeight="1" x14ac:dyDescent="0.25">
      <c r="A420" s="562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hidden="1" customHeight="1" x14ac:dyDescent="0.25">
      <c r="A421" s="54" t="s">
        <v>656</v>
      </c>
      <c r="B421" s="54" t="s">
        <v>657</v>
      </c>
      <c r="C421" s="31">
        <v>4301031347</v>
      </c>
      <c r="D421" s="554">
        <v>4680115885110</v>
      </c>
      <c r="E421" s="555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5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4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5"/>
      <c r="P422" s="558" t="s">
        <v>75</v>
      </c>
      <c r="Q422" s="559"/>
      <c r="R422" s="559"/>
      <c r="S422" s="559"/>
      <c r="T422" s="559"/>
      <c r="U422" s="559"/>
      <c r="V422" s="560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hidden="1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5"/>
      <c r="P423" s="558" t="s">
        <v>75</v>
      </c>
      <c r="Q423" s="559"/>
      <c r="R423" s="559"/>
      <c r="S423" s="559"/>
      <c r="T423" s="559"/>
      <c r="U423" s="559"/>
      <c r="V423" s="560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hidden="1" customHeight="1" x14ac:dyDescent="0.2">
      <c r="A424" s="652" t="s">
        <v>659</v>
      </c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3"/>
      <c r="P424" s="653"/>
      <c r="Q424" s="653"/>
      <c r="R424" s="653"/>
      <c r="S424" s="653"/>
      <c r="T424" s="653"/>
      <c r="U424" s="653"/>
      <c r="V424" s="653"/>
      <c r="W424" s="653"/>
      <c r="X424" s="653"/>
      <c r="Y424" s="653"/>
      <c r="Z424" s="653"/>
      <c r="AA424" s="48"/>
      <c r="AB424" s="48"/>
      <c r="AC424" s="48"/>
    </row>
    <row r="425" spans="1:68" ht="16.5" hidden="1" customHeight="1" x14ac:dyDescent="0.25">
      <c r="A425" s="556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hidden="1" customHeight="1" x14ac:dyDescent="0.25">
      <c r="A426" s="562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4">
        <v>4607091389067</v>
      </c>
      <c r="E427" s="555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/>
      <c r="M427" s="33" t="s">
        <v>106</v>
      </c>
      <c r="N427" s="33"/>
      <c r="O427" s="32">
        <v>60</v>
      </c>
      <c r="P427" s="5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25</v>
      </c>
      <c r="Y427" s="548">
        <f t="shared" ref="Y427:Y438" si="47">IFERROR(IF(X427="",0,CEILING((X427/$H427),1)*$H427),"")</f>
        <v>26.400000000000002</v>
      </c>
      <c r="Z427" s="36">
        <f t="shared" ref="Z427:Z433" si="48">IFERROR(IF(Y427=0,"",ROUNDUP(Y427/H427,0)*0.01196),"")</f>
        <v>5.9799999999999999E-2</v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ref="BM427:BM438" si="49">IFERROR(X427*I427/H427,"0")</f>
        <v>26.657196969696969</v>
      </c>
      <c r="BN427" s="64">
        <f t="shared" ref="BN427:BN438" si="50">IFERROR(Y427*I427/H427,"0")</f>
        <v>28.15</v>
      </c>
      <c r="BO427" s="64">
        <f t="shared" ref="BO427:BO438" si="51">IFERROR(1/J427*(X427/H427),"0")</f>
        <v>4.5527389277389273E-2</v>
      </c>
      <c r="BP427" s="64">
        <f t="shared" ref="BP427:BP438" si="52">IFERROR(1/J427*(Y427/H427),"0")</f>
        <v>4.807692307692308E-2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4301012210</v>
      </c>
      <c r="D428" s="554">
        <v>4607091383522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6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662</v>
      </c>
      <c r="B429" s="54" t="s">
        <v>665</v>
      </c>
      <c r="C429" s="31">
        <v>4301012145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4">
        <v>4680115885271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22</v>
      </c>
      <c r="Y430" s="548">
        <f t="shared" si="47"/>
        <v>26.400000000000002</v>
      </c>
      <c r="Z430" s="36">
        <f t="shared" si="48"/>
        <v>5.9799999999999999E-2</v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23.458333333333332</v>
      </c>
      <c r="BN430" s="64">
        <f t="shared" si="50"/>
        <v>28.15</v>
      </c>
      <c r="BO430" s="64">
        <f t="shared" si="51"/>
        <v>4.0064102564102561E-2</v>
      </c>
      <c r="BP430" s="64">
        <f t="shared" si="52"/>
        <v>4.807692307692308E-2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4">
        <v>4680115885226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123</v>
      </c>
      <c r="Y431" s="548">
        <f t="shared" si="47"/>
        <v>126.72</v>
      </c>
      <c r="Z431" s="36">
        <f t="shared" si="48"/>
        <v>0.28704000000000002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131.15340909090909</v>
      </c>
      <c r="BN431" s="64">
        <f t="shared" si="50"/>
        <v>135.11999999999998</v>
      </c>
      <c r="BO431" s="64">
        <f t="shared" si="51"/>
        <v>0.22399475524475523</v>
      </c>
      <c r="BP431" s="64">
        <f t="shared" si="52"/>
        <v>0.23076923076923078</v>
      </c>
    </row>
    <row r="432" spans="1:68" ht="16.5" hidden="1" customHeight="1" x14ac:dyDescent="0.25">
      <c r="A432" s="54" t="s">
        <v>672</v>
      </c>
      <c r="B432" s="54" t="s">
        <v>673</v>
      </c>
      <c r="C432" s="31">
        <v>4301011774</v>
      </c>
      <c r="D432" s="554">
        <v>4680115884502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4">
        <v>4607091389104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143</v>
      </c>
      <c r="Y433" s="548">
        <f t="shared" si="47"/>
        <v>147.84</v>
      </c>
      <c r="Z433" s="36">
        <f t="shared" si="48"/>
        <v>0.33488000000000001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152.47916666666666</v>
      </c>
      <c r="BN433" s="64">
        <f t="shared" si="50"/>
        <v>157.63999999999999</v>
      </c>
      <c r="BO433" s="64">
        <f t="shared" si="51"/>
        <v>0.26041666666666669</v>
      </c>
      <c r="BP433" s="64">
        <f t="shared" si="52"/>
        <v>0.26923076923076927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4301012125</v>
      </c>
      <c r="D434" s="554">
        <v>4680115886391</v>
      </c>
      <c r="E434" s="555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4">
        <v>4680115880603</v>
      </c>
      <c r="E435" s="555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11</v>
      </c>
      <c r="Y435" s="548">
        <f t="shared" si="47"/>
        <v>14.399999999999999</v>
      </c>
      <c r="Z435" s="36">
        <f>IFERROR(IF(Y435=0,"",ROUNDUP(Y435/H435,0)*0.00902),"")</f>
        <v>2.7060000000000001E-2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15.835416666666669</v>
      </c>
      <c r="BN435" s="64">
        <f t="shared" si="50"/>
        <v>20.73</v>
      </c>
      <c r="BO435" s="64">
        <f t="shared" si="51"/>
        <v>1.7361111111111115E-2</v>
      </c>
      <c r="BP435" s="64">
        <f t="shared" si="52"/>
        <v>2.2727272727272728E-2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4301012036</v>
      </c>
      <c r="D436" s="554">
        <v>4680115882782</v>
      </c>
      <c r="E436" s="555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4301012050</v>
      </c>
      <c r="D437" s="554">
        <v>4680115885479</v>
      </c>
      <c r="E437" s="555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7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4301012034</v>
      </c>
      <c r="D438" s="554">
        <v>4607091389982</v>
      </c>
      <c r="E438" s="555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4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5"/>
      <c r="P439" s="558" t="s">
        <v>75</v>
      </c>
      <c r="Q439" s="559"/>
      <c r="R439" s="559"/>
      <c r="S439" s="559"/>
      <c r="T439" s="559"/>
      <c r="U439" s="559"/>
      <c r="V439" s="560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61.571969696969695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65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0.76857999999999993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5"/>
      <c r="P440" s="558" t="s">
        <v>75</v>
      </c>
      <c r="Q440" s="559"/>
      <c r="R440" s="559"/>
      <c r="S440" s="559"/>
      <c r="T440" s="559"/>
      <c r="U440" s="559"/>
      <c r="V440" s="560"/>
      <c r="W440" s="37" t="s">
        <v>69</v>
      </c>
      <c r="X440" s="549">
        <f>IFERROR(SUM(X427:X438),"0")</f>
        <v>324</v>
      </c>
      <c r="Y440" s="549">
        <f>IFERROR(SUM(Y427:Y438),"0")</f>
        <v>341.76</v>
      </c>
      <c r="Z440" s="37"/>
      <c r="AA440" s="550"/>
      <c r="AB440" s="550"/>
      <c r="AC440" s="550"/>
    </row>
    <row r="441" spans="1:68" ht="14.25" hidden="1" customHeight="1" x14ac:dyDescent="0.25">
      <c r="A441" s="562" t="s">
        <v>136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4">
        <v>4607091388930</v>
      </c>
      <c r="E442" s="555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95</v>
      </c>
      <c r="Y442" s="548">
        <f>IFERROR(IF(X442="",0,CEILING((X442/$H442),1)*$H442),"")</f>
        <v>95.04</v>
      </c>
      <c r="Z442" s="36">
        <f>IFERROR(IF(Y442=0,"",ROUNDUP(Y442/H442,0)*0.01196),"")</f>
        <v>0.21528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101.29734848484848</v>
      </c>
      <c r="BN442" s="64">
        <f>IFERROR(Y442*I442/H442,"0")</f>
        <v>101.33999999999999</v>
      </c>
      <c r="BO442" s="64">
        <f>IFERROR(1/J442*(X442/H442),"0")</f>
        <v>0.17300407925407926</v>
      </c>
      <c r="BP442" s="64">
        <f>IFERROR(1/J442*(Y442/H442),"0")</f>
        <v>0.17307692307692307</v>
      </c>
    </row>
    <row r="443" spans="1:68" ht="16.5" hidden="1" customHeight="1" x14ac:dyDescent="0.25">
      <c r="A443" s="54" t="s">
        <v>692</v>
      </c>
      <c r="B443" s="54" t="s">
        <v>693</v>
      </c>
      <c r="C443" s="31">
        <v>4301020384</v>
      </c>
      <c r="D443" s="554">
        <v>4680115886407</v>
      </c>
      <c r="E443" s="555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4">
        <v>4680115880054</v>
      </c>
      <c r="E444" s="555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/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69</v>
      </c>
      <c r="Y444" s="548">
        <f>IFERROR(IF(X444="",0,CEILING((X444/$H444),1)*$H444),"")</f>
        <v>72</v>
      </c>
      <c r="Z444" s="36">
        <f>IFERROR(IF(Y444=0,"",ROUNDUP(Y444/H444,0)*0.00902),"")</f>
        <v>0.1353</v>
      </c>
      <c r="AA444" s="56"/>
      <c r="AB444" s="57"/>
      <c r="AC444" s="501" t="s">
        <v>691</v>
      </c>
      <c r="AG444" s="64"/>
      <c r="AJ444" s="68"/>
      <c r="AK444" s="68">
        <v>0</v>
      </c>
      <c r="BB444" s="502" t="s">
        <v>1</v>
      </c>
      <c r="BM444" s="64">
        <f>IFERROR(X444*I444/H444,"0")</f>
        <v>99.331250000000011</v>
      </c>
      <c r="BN444" s="64">
        <f>IFERROR(Y444*I444/H444,"0")</f>
        <v>103.65</v>
      </c>
      <c r="BO444" s="64">
        <f>IFERROR(1/J444*(X444/H444),"0")</f>
        <v>0.10890151515151515</v>
      </c>
      <c r="BP444" s="64">
        <f>IFERROR(1/J444*(Y444/H444),"0")</f>
        <v>0.11363636363636365</v>
      </c>
    </row>
    <row r="445" spans="1:68" x14ac:dyDescent="0.2">
      <c r="A445" s="564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5"/>
      <c r="P445" s="558" t="s">
        <v>75</v>
      </c>
      <c r="Q445" s="559"/>
      <c r="R445" s="559"/>
      <c r="S445" s="559"/>
      <c r="T445" s="559"/>
      <c r="U445" s="559"/>
      <c r="V445" s="560"/>
      <c r="W445" s="37" t="s">
        <v>76</v>
      </c>
      <c r="X445" s="549">
        <f>IFERROR(X442/H442,"0")+IFERROR(X443/H443,"0")+IFERROR(X444/H444,"0")</f>
        <v>32.367424242424242</v>
      </c>
      <c r="Y445" s="549">
        <f>IFERROR(Y442/H442,"0")+IFERROR(Y443/H443,"0")+IFERROR(Y444/H444,"0")</f>
        <v>33</v>
      </c>
      <c r="Z445" s="549">
        <f>IFERROR(IF(Z442="",0,Z442),"0")+IFERROR(IF(Z443="",0,Z443),"0")+IFERROR(IF(Z444="",0,Z444),"0")</f>
        <v>0.35058</v>
      </c>
      <c r="AA445" s="550"/>
      <c r="AB445" s="550"/>
      <c r="AC445" s="550"/>
    </row>
    <row r="446" spans="1:68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5"/>
      <c r="P446" s="558" t="s">
        <v>75</v>
      </c>
      <c r="Q446" s="559"/>
      <c r="R446" s="559"/>
      <c r="S446" s="559"/>
      <c r="T446" s="559"/>
      <c r="U446" s="559"/>
      <c r="V446" s="560"/>
      <c r="W446" s="37" t="s">
        <v>69</v>
      </c>
      <c r="X446" s="549">
        <f>IFERROR(SUM(X442:X444),"0")</f>
        <v>164</v>
      </c>
      <c r="Y446" s="549">
        <f>IFERROR(SUM(Y442:Y444),"0")</f>
        <v>167.04000000000002</v>
      </c>
      <c r="Z446" s="37"/>
      <c r="AA446" s="550"/>
      <c r="AB446" s="550"/>
      <c r="AC446" s="550"/>
    </row>
    <row r="447" spans="1:68" ht="14.25" hidden="1" customHeight="1" x14ac:dyDescent="0.25">
      <c r="A447" s="562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4">
        <v>4680115883116</v>
      </c>
      <c r="E448" s="555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93</v>
      </c>
      <c r="Y448" s="548">
        <f t="shared" ref="Y448:Y453" si="53">IFERROR(IF(X448="",0,CEILING((X448/$H448),1)*$H448),"")</f>
        <v>95.04</v>
      </c>
      <c r="Z448" s="36">
        <f>IFERROR(IF(Y448=0,"",ROUNDUP(Y448/H448,0)*0.01196),"")</f>
        <v>0.21528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99.164772727272734</v>
      </c>
      <c r="BN448" s="64">
        <f t="shared" ref="BN448:BN453" si="55">IFERROR(Y448*I448/H448,"0")</f>
        <v>101.33999999999999</v>
      </c>
      <c r="BO448" s="64">
        <f t="shared" ref="BO448:BO453" si="56">IFERROR(1/J448*(X448/H448),"0")</f>
        <v>0.16936188811188813</v>
      </c>
      <c r="BP448" s="64">
        <f t="shared" ref="BP448:BP453" si="57">IFERROR(1/J448*(Y448/H448),"0")</f>
        <v>0.17307692307692307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4">
        <v>4680115883093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77</v>
      </c>
      <c r="Y449" s="548">
        <f t="shared" si="53"/>
        <v>79.2</v>
      </c>
      <c r="Z449" s="36">
        <f>IFERROR(IF(Y449=0,"",ROUNDUP(Y449/H449,0)*0.01196),"")</f>
        <v>0.1794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82.104166666666657</v>
      </c>
      <c r="BN449" s="64">
        <f t="shared" si="55"/>
        <v>84.45</v>
      </c>
      <c r="BO449" s="64">
        <f t="shared" si="56"/>
        <v>0.14022435897435898</v>
      </c>
      <c r="BP449" s="64">
        <f t="shared" si="57"/>
        <v>0.14423076923076925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4">
        <v>4680115883109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5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97</v>
      </c>
      <c r="Y450" s="548">
        <f t="shared" si="53"/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103.42992424242424</v>
      </c>
      <c r="BN450" s="64">
        <f t="shared" si="55"/>
        <v>106.97</v>
      </c>
      <c r="BO450" s="64">
        <f t="shared" si="56"/>
        <v>0.1766462703962704</v>
      </c>
      <c r="BP450" s="64">
        <f t="shared" si="57"/>
        <v>0.18269230769230771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4301031419</v>
      </c>
      <c r="D451" s="554">
        <v>4680115882072</v>
      </c>
      <c r="E451" s="555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4301031418</v>
      </c>
      <c r="D452" s="554">
        <v>4680115882102</v>
      </c>
      <c r="E452" s="555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709</v>
      </c>
      <c r="B453" s="54" t="s">
        <v>710</v>
      </c>
      <c r="C453" s="31">
        <v>4301031417</v>
      </c>
      <c r="D453" s="554">
        <v>4680115882096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4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5"/>
      <c r="P454" s="558" t="s">
        <v>75</v>
      </c>
      <c r="Q454" s="559"/>
      <c r="R454" s="559"/>
      <c r="S454" s="559"/>
      <c r="T454" s="559"/>
      <c r="U454" s="559"/>
      <c r="V454" s="560"/>
      <c r="W454" s="37" t="s">
        <v>76</v>
      </c>
      <c r="X454" s="549">
        <f>IFERROR(X448/H448,"0")+IFERROR(X449/H449,"0")+IFERROR(X450/H450,"0")+IFERROR(X451/H451,"0")+IFERROR(X452/H452,"0")+IFERROR(X453/H453,"0")</f>
        <v>50.568181818181813</v>
      </c>
      <c r="Y454" s="549">
        <f>IFERROR(Y448/H448,"0")+IFERROR(Y449/H449,"0")+IFERROR(Y450/H450,"0")+IFERROR(Y451/H451,"0")+IFERROR(Y452/H452,"0")+IFERROR(Y453/H453,"0")</f>
        <v>52</v>
      </c>
      <c r="Z454" s="549">
        <f>IFERROR(IF(Z448="",0,Z448),"0")+IFERROR(IF(Z449="",0,Z449),"0")+IFERROR(IF(Z450="",0,Z450),"0")+IFERROR(IF(Z451="",0,Z451),"0")+IFERROR(IF(Z452="",0,Z452),"0")+IFERROR(IF(Z453="",0,Z453),"0")</f>
        <v>0.62192000000000003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5"/>
      <c r="P455" s="558" t="s">
        <v>75</v>
      </c>
      <c r="Q455" s="559"/>
      <c r="R455" s="559"/>
      <c r="S455" s="559"/>
      <c r="T455" s="559"/>
      <c r="U455" s="559"/>
      <c r="V455" s="560"/>
      <c r="W455" s="37" t="s">
        <v>69</v>
      </c>
      <c r="X455" s="549">
        <f>IFERROR(SUM(X448:X453),"0")</f>
        <v>267</v>
      </c>
      <c r="Y455" s="549">
        <f>IFERROR(SUM(Y448:Y453),"0")</f>
        <v>274.56</v>
      </c>
      <c r="Z455" s="37"/>
      <c r="AA455" s="550"/>
      <c r="AB455" s="550"/>
      <c r="AC455" s="550"/>
    </row>
    <row r="456" spans="1:68" ht="14.25" hidden="1" customHeight="1" x14ac:dyDescent="0.25">
      <c r="A456" s="562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hidden="1" customHeight="1" x14ac:dyDescent="0.25">
      <c r="A457" s="54" t="s">
        <v>711</v>
      </c>
      <c r="B457" s="54" t="s">
        <v>712</v>
      </c>
      <c r="C457" s="31">
        <v>4301051064</v>
      </c>
      <c r="D457" s="554">
        <v>4680115883536</v>
      </c>
      <c r="E457" s="555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64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5"/>
      <c r="P458" s="558" t="s">
        <v>75</v>
      </c>
      <c r="Q458" s="559"/>
      <c r="R458" s="559"/>
      <c r="S458" s="559"/>
      <c r="T458" s="559"/>
      <c r="U458" s="559"/>
      <c r="V458" s="560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hidden="1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5"/>
      <c r="P459" s="558" t="s">
        <v>75</v>
      </c>
      <c r="Q459" s="559"/>
      <c r="R459" s="559"/>
      <c r="S459" s="559"/>
      <c r="T459" s="559"/>
      <c r="U459" s="559"/>
      <c r="V459" s="560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hidden="1" customHeight="1" x14ac:dyDescent="0.2">
      <c r="A460" s="652" t="s">
        <v>714</v>
      </c>
      <c r="B460" s="653"/>
      <c r="C460" s="653"/>
      <c r="D460" s="653"/>
      <c r="E460" s="653"/>
      <c r="F460" s="653"/>
      <c r="G460" s="653"/>
      <c r="H460" s="653"/>
      <c r="I460" s="653"/>
      <c r="J460" s="653"/>
      <c r="K460" s="653"/>
      <c r="L460" s="653"/>
      <c r="M460" s="653"/>
      <c r="N460" s="653"/>
      <c r="O460" s="653"/>
      <c r="P460" s="653"/>
      <c r="Q460" s="653"/>
      <c r="R460" s="653"/>
      <c r="S460" s="653"/>
      <c r="T460" s="653"/>
      <c r="U460" s="653"/>
      <c r="V460" s="653"/>
      <c r="W460" s="653"/>
      <c r="X460" s="653"/>
      <c r="Y460" s="653"/>
      <c r="Z460" s="653"/>
      <c r="AA460" s="48"/>
      <c r="AB460" s="48"/>
      <c r="AC460" s="48"/>
    </row>
    <row r="461" spans="1:68" ht="16.5" hidden="1" customHeight="1" x14ac:dyDescent="0.25">
      <c r="A461" s="556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hidden="1" customHeight="1" x14ac:dyDescent="0.25">
      <c r="A462" s="562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hidden="1" customHeight="1" x14ac:dyDescent="0.25">
      <c r="A463" s="54" t="s">
        <v>715</v>
      </c>
      <c r="B463" s="54" t="s">
        <v>716</v>
      </c>
      <c r="C463" s="31">
        <v>4301011763</v>
      </c>
      <c r="D463" s="554">
        <v>4640242181011</v>
      </c>
      <c r="E463" s="555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718</v>
      </c>
      <c r="B464" s="54" t="s">
        <v>719</v>
      </c>
      <c r="C464" s="31">
        <v>4301011585</v>
      </c>
      <c r="D464" s="554">
        <v>4640242180441</v>
      </c>
      <c r="E464" s="555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4301011584</v>
      </c>
      <c r="D465" s="554">
        <v>4640242180564</v>
      </c>
      <c r="E465" s="555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4301011764</v>
      </c>
      <c r="D466" s="554">
        <v>4640242181189</v>
      </c>
      <c r="E466" s="555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4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5"/>
      <c r="P467" s="558" t="s">
        <v>75</v>
      </c>
      <c r="Q467" s="559"/>
      <c r="R467" s="559"/>
      <c r="S467" s="559"/>
      <c r="T467" s="559"/>
      <c r="U467" s="559"/>
      <c r="V467" s="560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hidden="1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5"/>
      <c r="P468" s="558" t="s">
        <v>75</v>
      </c>
      <c r="Q468" s="559"/>
      <c r="R468" s="559"/>
      <c r="S468" s="559"/>
      <c r="T468" s="559"/>
      <c r="U468" s="559"/>
      <c r="V468" s="560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hidden="1" customHeight="1" x14ac:dyDescent="0.25">
      <c r="A469" s="562" t="s">
        <v>136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hidden="1" customHeight="1" x14ac:dyDescent="0.25">
      <c r="A470" s="54" t="s">
        <v>726</v>
      </c>
      <c r="B470" s="54" t="s">
        <v>727</v>
      </c>
      <c r="C470" s="31">
        <v>4301020400</v>
      </c>
      <c r="D470" s="554">
        <v>4640242180519</v>
      </c>
      <c r="E470" s="555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729</v>
      </c>
      <c r="B471" s="54" t="s">
        <v>730</v>
      </c>
      <c r="C471" s="31">
        <v>4301020260</v>
      </c>
      <c r="D471" s="554">
        <v>4640242180526</v>
      </c>
      <c r="E471" s="555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4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5"/>
      <c r="P472" s="558" t="s">
        <v>75</v>
      </c>
      <c r="Q472" s="559"/>
      <c r="R472" s="559"/>
      <c r="S472" s="559"/>
      <c r="T472" s="559"/>
      <c r="U472" s="559"/>
      <c r="V472" s="560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hidden="1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5"/>
      <c r="P473" s="558" t="s">
        <v>75</v>
      </c>
      <c r="Q473" s="559"/>
      <c r="R473" s="559"/>
      <c r="S473" s="559"/>
      <c r="T473" s="559"/>
      <c r="U473" s="559"/>
      <c r="V473" s="560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hidden="1" customHeight="1" x14ac:dyDescent="0.25">
      <c r="A474" s="562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hidden="1" customHeight="1" x14ac:dyDescent="0.25">
      <c r="A475" s="54" t="s">
        <v>732</v>
      </c>
      <c r="B475" s="54" t="s">
        <v>733</v>
      </c>
      <c r="C475" s="31">
        <v>4301031244</v>
      </c>
      <c r="D475" s="554">
        <v>4640242180595</v>
      </c>
      <c r="E475" s="555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4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5"/>
      <c r="P476" s="558" t="s">
        <v>75</v>
      </c>
      <c r="Q476" s="559"/>
      <c r="R476" s="559"/>
      <c r="S476" s="559"/>
      <c r="T476" s="559"/>
      <c r="U476" s="559"/>
      <c r="V476" s="560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5"/>
      <c r="P477" s="558" t="s">
        <v>75</v>
      </c>
      <c r="Q477" s="559"/>
      <c r="R477" s="559"/>
      <c r="S477" s="559"/>
      <c r="T477" s="559"/>
      <c r="U477" s="559"/>
      <c r="V477" s="560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62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4">
        <v>4640242180533</v>
      </c>
      <c r="E479" s="555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47</v>
      </c>
      <c r="Y479" s="548">
        <f>IFERROR(IF(X479="",0,CEILING((X479/$H479),1)*$H479),"")</f>
        <v>54</v>
      </c>
      <c r="Z479" s="36">
        <f>IFERROR(IF(Y479=0,"",ROUNDUP(Y479/H479,0)*0.01898),"")</f>
        <v>0.11388000000000001</v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49.579777777777771</v>
      </c>
      <c r="BN479" s="64">
        <f>IFERROR(Y479*I479/H479,"0")</f>
        <v>56.963999999999992</v>
      </c>
      <c r="BO479" s="64">
        <f>IFERROR(1/J479*(X479/H479),"0")</f>
        <v>8.1597222222222224E-2</v>
      </c>
      <c r="BP479" s="64">
        <f>IFERROR(1/J479*(Y479/H479),"0")</f>
        <v>9.375E-2</v>
      </c>
    </row>
    <row r="480" spans="1:68" x14ac:dyDescent="0.2">
      <c r="A480" s="564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5"/>
      <c r="P480" s="558" t="s">
        <v>75</v>
      </c>
      <c r="Q480" s="559"/>
      <c r="R480" s="559"/>
      <c r="S480" s="559"/>
      <c r="T480" s="559"/>
      <c r="U480" s="559"/>
      <c r="V480" s="560"/>
      <c r="W480" s="37" t="s">
        <v>76</v>
      </c>
      <c r="X480" s="549">
        <f>IFERROR(X479/H479,"0")</f>
        <v>5.2222222222222223</v>
      </c>
      <c r="Y480" s="549">
        <f>IFERROR(Y479/H479,"0")</f>
        <v>6</v>
      </c>
      <c r="Z480" s="549">
        <f>IFERROR(IF(Z479="",0,Z479),"0")</f>
        <v>0.11388000000000001</v>
      </c>
      <c r="AA480" s="550"/>
      <c r="AB480" s="550"/>
      <c r="AC480" s="550"/>
    </row>
    <row r="481" spans="1:68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5"/>
      <c r="P481" s="558" t="s">
        <v>75</v>
      </c>
      <c r="Q481" s="559"/>
      <c r="R481" s="559"/>
      <c r="S481" s="559"/>
      <c r="T481" s="559"/>
      <c r="U481" s="559"/>
      <c r="V481" s="560"/>
      <c r="W481" s="37" t="s">
        <v>69</v>
      </c>
      <c r="X481" s="549">
        <f>IFERROR(SUM(X479:X479),"0")</f>
        <v>47</v>
      </c>
      <c r="Y481" s="549">
        <f>IFERROR(SUM(Y479:Y479),"0")</f>
        <v>54</v>
      </c>
      <c r="Z481" s="37"/>
      <c r="AA481" s="550"/>
      <c r="AB481" s="550"/>
      <c r="AC481" s="550"/>
    </row>
    <row r="482" spans="1:68" ht="14.25" hidden="1" customHeight="1" x14ac:dyDescent="0.25">
      <c r="A482" s="562" t="s">
        <v>161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738</v>
      </c>
      <c r="B483" s="54" t="s">
        <v>739</v>
      </c>
      <c r="C483" s="31">
        <v>4301060491</v>
      </c>
      <c r="D483" s="554">
        <v>4640242180120</v>
      </c>
      <c r="E483" s="555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1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741</v>
      </c>
      <c r="B484" s="54" t="s">
        <v>742</v>
      </c>
      <c r="C484" s="31">
        <v>4301060493</v>
      </c>
      <c r="D484" s="554">
        <v>4640242180137</v>
      </c>
      <c r="E484" s="555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4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4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5"/>
      <c r="P485" s="558" t="s">
        <v>75</v>
      </c>
      <c r="Q485" s="559"/>
      <c r="R485" s="559"/>
      <c r="S485" s="559"/>
      <c r="T485" s="559"/>
      <c r="U485" s="559"/>
      <c r="V485" s="560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5"/>
      <c r="P486" s="558" t="s">
        <v>75</v>
      </c>
      <c r="Q486" s="559"/>
      <c r="R486" s="559"/>
      <c r="S486" s="559"/>
      <c r="T486" s="559"/>
      <c r="U486" s="559"/>
      <c r="V486" s="560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56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62" t="s">
        <v>136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745</v>
      </c>
      <c r="B489" s="54" t="s">
        <v>746</v>
      </c>
      <c r="C489" s="31">
        <v>4301020314</v>
      </c>
      <c r="D489" s="554">
        <v>4640242180090</v>
      </c>
      <c r="E489" s="555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2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4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5"/>
      <c r="P490" s="558" t="s">
        <v>75</v>
      </c>
      <c r="Q490" s="559"/>
      <c r="R490" s="559"/>
      <c r="S490" s="559"/>
      <c r="T490" s="559"/>
      <c r="U490" s="559"/>
      <c r="V490" s="560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5"/>
      <c r="P491" s="558" t="s">
        <v>75</v>
      </c>
      <c r="Q491" s="559"/>
      <c r="R491" s="559"/>
      <c r="S491" s="559"/>
      <c r="T491" s="559"/>
      <c r="U491" s="559"/>
      <c r="V491" s="560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90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25"/>
      <c r="P492" s="717" t="s">
        <v>748</v>
      </c>
      <c r="Q492" s="663"/>
      <c r="R492" s="663"/>
      <c r="S492" s="663"/>
      <c r="T492" s="663"/>
      <c r="U492" s="663"/>
      <c r="V492" s="664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3497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3628.7000000000003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5"/>
      <c r="P493" s="717" t="s">
        <v>749</v>
      </c>
      <c r="Q493" s="663"/>
      <c r="R493" s="663"/>
      <c r="S493" s="663"/>
      <c r="T493" s="663"/>
      <c r="U493" s="663"/>
      <c r="V493" s="664"/>
      <c r="W493" s="37" t="s">
        <v>69</v>
      </c>
      <c r="X493" s="549">
        <f>IFERROR(SUM(BM22:BM489),"0")</f>
        <v>3730.3699915754487</v>
      </c>
      <c r="Y493" s="549">
        <f>IFERROR(SUM(BN22:BN489),"0")</f>
        <v>3871.63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5"/>
      <c r="P494" s="717" t="s">
        <v>750</v>
      </c>
      <c r="Q494" s="663"/>
      <c r="R494" s="663"/>
      <c r="S494" s="663"/>
      <c r="T494" s="663"/>
      <c r="U494" s="663"/>
      <c r="V494" s="664"/>
      <c r="W494" s="37" t="s">
        <v>751</v>
      </c>
      <c r="X494" s="38">
        <f>ROUNDUP(SUM(BO22:BO489),0)</f>
        <v>7</v>
      </c>
      <c r="Y494" s="38">
        <f>ROUNDUP(SUM(BP22:BP489),0)</f>
        <v>7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5"/>
      <c r="P495" s="717" t="s">
        <v>752</v>
      </c>
      <c r="Q495" s="663"/>
      <c r="R495" s="663"/>
      <c r="S495" s="663"/>
      <c r="T495" s="663"/>
      <c r="U495" s="663"/>
      <c r="V495" s="664"/>
      <c r="W495" s="37" t="s">
        <v>69</v>
      </c>
      <c r="X495" s="549">
        <f>GrossWeightTotal+PalletQtyTotal*25</f>
        <v>3905.3699915754487</v>
      </c>
      <c r="Y495" s="549">
        <f>GrossWeightTotalR+PalletQtyTotalR*25</f>
        <v>4046.63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5"/>
      <c r="P496" s="717" t="s">
        <v>753</v>
      </c>
      <c r="Q496" s="663"/>
      <c r="R496" s="663"/>
      <c r="S496" s="663"/>
      <c r="T496" s="663"/>
      <c r="U496" s="663"/>
      <c r="V496" s="664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690.30740939809652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713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5"/>
      <c r="P497" s="717" t="s">
        <v>754</v>
      </c>
      <c r="Q497" s="663"/>
      <c r="R497" s="663"/>
      <c r="S497" s="663"/>
      <c r="T497" s="663"/>
      <c r="U497" s="663"/>
      <c r="V497" s="664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7.3613900000000001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9" t="s">
        <v>99</v>
      </c>
      <c r="D499" s="607"/>
      <c r="E499" s="607"/>
      <c r="F499" s="607"/>
      <c r="G499" s="607"/>
      <c r="H499" s="608"/>
      <c r="I499" s="599" t="s">
        <v>273</v>
      </c>
      <c r="J499" s="607"/>
      <c r="K499" s="607"/>
      <c r="L499" s="607"/>
      <c r="M499" s="607"/>
      <c r="N499" s="607"/>
      <c r="O499" s="607"/>
      <c r="P499" s="607"/>
      <c r="Q499" s="607"/>
      <c r="R499" s="608"/>
      <c r="S499" s="599" t="s">
        <v>554</v>
      </c>
      <c r="T499" s="608"/>
      <c r="U499" s="599" t="s">
        <v>608</v>
      </c>
      <c r="V499" s="607"/>
      <c r="W499" s="608"/>
      <c r="X499" s="544" t="s">
        <v>659</v>
      </c>
      <c r="Y499" s="599" t="s">
        <v>714</v>
      </c>
      <c r="Z499" s="608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9" t="s">
        <v>63</v>
      </c>
      <c r="C500" s="599" t="s">
        <v>100</v>
      </c>
      <c r="D500" s="599" t="s">
        <v>117</v>
      </c>
      <c r="E500" s="599" t="s">
        <v>168</v>
      </c>
      <c r="F500" s="599" t="s">
        <v>191</v>
      </c>
      <c r="G500" s="599" t="s">
        <v>230</v>
      </c>
      <c r="H500" s="599" t="s">
        <v>99</v>
      </c>
      <c r="I500" s="599" t="s">
        <v>274</v>
      </c>
      <c r="J500" s="599" t="s">
        <v>324</v>
      </c>
      <c r="K500" s="599" t="s">
        <v>383</v>
      </c>
      <c r="L500" s="599" t="s">
        <v>423</v>
      </c>
      <c r="M500" s="599" t="s">
        <v>439</v>
      </c>
      <c r="N500" s="545"/>
      <c r="O500" s="599" t="s">
        <v>450</v>
      </c>
      <c r="P500" s="599" t="s">
        <v>459</v>
      </c>
      <c r="Q500" s="599" t="s">
        <v>472</v>
      </c>
      <c r="R500" s="599" t="s">
        <v>544</v>
      </c>
      <c r="S500" s="599" t="s">
        <v>555</v>
      </c>
      <c r="T500" s="599" t="s">
        <v>590</v>
      </c>
      <c r="U500" s="599" t="s">
        <v>609</v>
      </c>
      <c r="V500" s="599" t="s">
        <v>640</v>
      </c>
      <c r="W500" s="599" t="s">
        <v>655</v>
      </c>
      <c r="X500" s="599" t="s">
        <v>659</v>
      </c>
      <c r="Y500" s="599" t="s">
        <v>714</v>
      </c>
      <c r="Z500" s="599" t="s">
        <v>744</v>
      </c>
      <c r="AB500" s="52"/>
      <c r="AC500" s="52"/>
      <c r="AF500" s="545"/>
    </row>
    <row r="501" spans="1:32" ht="13.5" customHeight="1" thickBot="1" x14ac:dyDescent="0.25">
      <c r="A501" s="872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545"/>
      <c r="O501" s="600"/>
      <c r="P501" s="600"/>
      <c r="Q501" s="600"/>
      <c r="R501" s="600"/>
      <c r="S501" s="600"/>
      <c r="T501" s="600"/>
      <c r="U501" s="600"/>
      <c r="V501" s="600"/>
      <c r="W501" s="600"/>
      <c r="X501" s="600"/>
      <c r="Y501" s="600"/>
      <c r="Z501" s="600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64.800000000000011</v>
      </c>
      <c r="E502" s="46">
        <f>IFERROR(Y85*1,"0")+IFERROR(Y86*1,"0")+IFERROR(Y87*1,"0")+IFERROR(Y88*1,"0")+IFERROR(Y92*1,"0")+IFERROR(Y93*1,"0")+IFERROR(Y94*1,"0")+IFERROR(Y95*1,"0")</f>
        <v>213.3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339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17.460000000000004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946.5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144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51.08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945</v>
      </c>
      <c r="T502" s="46">
        <f>IFERROR(Y373*1,"0")+IFERROR(Y374*1,"0")+IFERROR(Y378*1,"0")+IFERROR(Y379*1,"0")+IFERROR(Y383*1,"0")+IFERROR(Y384*1,"0")+IFERROR(Y385*1,"0")</f>
        <v>0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5.4</v>
      </c>
      <c r="V502" s="46">
        <f>IFERROR(Y409*1,"0")+IFERROR(Y413*1,"0")+IFERROR(Y414*1,"0")+IFERROR(Y415*1,"0")+IFERROR(Y416*1,"0")</f>
        <v>64.800000000000011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783.36000000000013</v>
      </c>
      <c r="Y502" s="46">
        <f>IFERROR(Y463*1,"0")+IFERROR(Y464*1,"0")+IFERROR(Y465*1,"0")+IFERROR(Y466*1,"0")+IFERROR(Y470*1,"0")+IFERROR(Y471*1,"0")+IFERROR(Y475*1,"0")+IFERROR(Y479*1,"0")+IFERROR(Y483*1,"0")+IFERROR(Y484*1,"0")</f>
        <v>54</v>
      </c>
      <c r="Z502" s="46">
        <f>IFERROR(Y489*1,"0")</f>
        <v>0</v>
      </c>
      <c r="AB502" s="52"/>
      <c r="AC502" s="52"/>
      <c r="AF502" s="545"/>
    </row>
  </sheetData>
  <sheetProtection algorithmName="SHA-512" hashValue="P2AJkf1NOkNR4s5EfV+vtnQzqJjx9R3o2FLZ/AzLypHGMYEvQJyBz2XJ0fB560l3hsfSBXD82NPMkC5LIEXdNA==" saltValue="JRwDUAqnKnJN04KXrxfHTg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4"/>
        <filter val="0,79"/>
        <filter val="1,00"/>
        <filter val="101,00"/>
        <filter val="107,00"/>
        <filter val="11,00"/>
        <filter val="11,30"/>
        <filter val="112,00"/>
        <filter val="12,30"/>
        <filter val="120,00"/>
        <filter val="123,00"/>
        <filter val="127,00"/>
        <filter val="13,00"/>
        <filter val="134,00"/>
        <filter val="14,00"/>
        <filter val="142,00"/>
        <filter val="143,00"/>
        <filter val="145,00"/>
        <filter val="15,13"/>
        <filter val="15,42"/>
        <filter val="155,00"/>
        <filter val="164,00"/>
        <filter val="173,00"/>
        <filter val="18,60"/>
        <filter val="195,07"/>
        <filter val="20,30"/>
        <filter val="21,00"/>
        <filter val="22,00"/>
        <filter val="25,00"/>
        <filter val="26,00"/>
        <filter val="26,54"/>
        <filter val="267,00"/>
        <filter val="27,00"/>
        <filter val="279,00"/>
        <filter val="280,00"/>
        <filter val="3 497,00"/>
        <filter val="3 730,37"/>
        <filter val="3 905,37"/>
        <filter val="3,00"/>
        <filter val="31,00"/>
        <filter val="318,00"/>
        <filter val="32,00"/>
        <filter val="32,37"/>
        <filter val="324,00"/>
        <filter val="33,70"/>
        <filter val="35,00"/>
        <filter val="4,00"/>
        <filter val="4,29"/>
        <filter val="42,33"/>
        <filter val="47,00"/>
        <filter val="48,00"/>
        <filter val="5,22"/>
        <filter val="5,56"/>
        <filter val="50,57"/>
        <filter val="53,00"/>
        <filter val="58,00"/>
        <filter val="584,00"/>
        <filter val="59,17"/>
        <filter val="60,00"/>
        <filter val="61,00"/>
        <filter val="61,57"/>
        <filter val="62,96"/>
        <filter val="635,00"/>
        <filter val="65,00"/>
        <filter val="69,00"/>
        <filter val="690,31"/>
        <filter val="7"/>
        <filter val="7,22"/>
        <filter val="75,00"/>
        <filter val="76,00"/>
        <filter val="77,00"/>
        <filter val="8,00"/>
        <filter val="84,00"/>
        <filter val="88,00"/>
        <filter val="9,17"/>
        <filter val="92,00"/>
        <filter val="93,00"/>
        <filter val="95,00"/>
        <filter val="97,00"/>
      </filters>
    </filterColumn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393:T393"/>
    <mergeCell ref="D374:E374"/>
    <mergeCell ref="A338:Z338"/>
    <mergeCell ref="D203:E203"/>
    <mergeCell ref="P165:V165"/>
    <mergeCell ref="P232:T232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D133:E133"/>
    <mergeCell ref="P381:V381"/>
    <mergeCell ref="A231:Z231"/>
    <mergeCell ref="D54:E54"/>
    <mergeCell ref="P185:V18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7 X169 X171 X203:X204 X206 X217 X219:X222 X279:X280 X321 X348:X349 X351 X358 X383 X391 X413 X431 X433 X442 X448:X450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LxOucxi5Ypb2ev8UpYeMTqLsnvFjAt7mFyQUm5GGysoNvNqjQ9eiQ1AFzi9E7/ztzpwhMalwx96+ypUZcOYjpw==" saltValue="qJNxBZ0VqRku1S70UbyaN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2025-12-19T11:49:35Z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