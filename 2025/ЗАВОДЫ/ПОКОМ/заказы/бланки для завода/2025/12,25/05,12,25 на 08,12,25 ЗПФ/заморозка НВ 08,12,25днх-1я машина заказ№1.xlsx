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00D6F91-E302-4A2C-990C-72F636F7FA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Z147" i="1" s="1"/>
  <c r="Y146" i="1"/>
  <c r="P146" i="1"/>
  <c r="BO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Y28" i="1" l="1"/>
  <c r="X271" i="1"/>
  <c r="BN23" i="1"/>
  <c r="BN25" i="1"/>
  <c r="BN27" i="1"/>
  <c r="X270" i="1"/>
  <c r="Y34" i="1"/>
  <c r="Z48" i="1"/>
  <c r="BN46" i="1"/>
  <c r="Z56" i="1"/>
  <c r="BN60" i="1"/>
  <c r="BP60" i="1"/>
  <c r="Y61" i="1"/>
  <c r="BN64" i="1"/>
  <c r="BP64" i="1"/>
  <c r="Y65" i="1"/>
  <c r="Z70" i="1"/>
  <c r="BN68" i="1"/>
  <c r="Y83" i="1"/>
  <c r="BN81" i="1"/>
  <c r="Z200" i="1"/>
  <c r="Y148" i="1"/>
  <c r="Y245" i="1"/>
  <c r="Z28" i="1"/>
  <c r="X272" i="1"/>
  <c r="X274" i="1"/>
  <c r="BN32" i="1"/>
  <c r="BN33" i="1"/>
  <c r="Z41" i="1"/>
  <c r="BN39" i="1"/>
  <c r="Y42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Z103" i="1"/>
  <c r="Z109" i="1"/>
  <c r="BN107" i="1"/>
  <c r="BP107" i="1"/>
  <c r="Z121" i="1"/>
  <c r="BN124" i="1"/>
  <c r="BP124" i="1"/>
  <c r="Z135" i="1"/>
  <c r="Z141" i="1"/>
  <c r="BN145" i="1"/>
  <c r="BP145" i="1"/>
  <c r="Z174" i="1"/>
  <c r="Z182" i="1"/>
  <c r="BN179" i="1"/>
  <c r="BP179" i="1"/>
  <c r="BN181" i="1"/>
  <c r="Y201" i="1"/>
  <c r="BN196" i="1"/>
  <c r="BN198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P252" i="1"/>
  <c r="BN254" i="1"/>
  <c r="Y268" i="1"/>
  <c r="F9" i="1"/>
  <c r="J9" i="1"/>
  <c r="F10" i="1"/>
  <c r="BN22" i="1"/>
  <c r="BP22" i="1"/>
  <c r="BN24" i="1"/>
  <c r="BN26" i="1"/>
  <c r="Y29" i="1"/>
  <c r="Y35" i="1"/>
  <c r="BP32" i="1"/>
  <c r="Y41" i="1"/>
  <c r="Y48" i="1"/>
  <c r="BP45" i="1"/>
  <c r="BN45" i="1"/>
  <c r="Y49" i="1"/>
  <c r="H9" i="1"/>
  <c r="BP40" i="1"/>
  <c r="BN40" i="1"/>
  <c r="Y56" i="1"/>
  <c r="Y71" i="1"/>
  <c r="Y77" i="1"/>
  <c r="Y82" i="1"/>
  <c r="Y94" i="1"/>
  <c r="Y103" i="1"/>
  <c r="Y110" i="1"/>
  <c r="Y121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BN139" i="1"/>
  <c r="BP139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Y274" i="1"/>
  <c r="Y270" i="1"/>
  <c r="Y271" i="1"/>
  <c r="Y272" i="1"/>
  <c r="B283" i="1" l="1"/>
  <c r="Y273" i="1"/>
  <c r="A283" i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<sst xmlns="http://schemas.openxmlformats.org/spreadsheetml/2006/main" count="1223" uniqueCount="395">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</sst>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45999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36</v>
      </c>
      <c r="Y24" s="269">
        <f t="shared" si="0"/>
        <v>36</v>
      </c>
      <c r="Z24" s="36">
        <f t="shared" si="1"/>
        <v>0.55800000000000005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48</v>
      </c>
      <c r="Y28" s="270">
        <f>IFERROR(SUM(Y22:Y27),"0")</f>
        <v>48</v>
      </c>
      <c r="Z28" s="270">
        <f>IFERROR(IF(Z22="",0,Z22),"0")+IFERROR(IF(Z23="",0,Z23),"0")+IFERROR(IF(Z24="",0,Z24),"0")+IFERROR(IF(Z25="",0,Z25),"0")+IFERROR(IF(Z26="",0,Z26),"0")+IFERROR(IF(Z27="",0,Z27),"0")</f>
        <v>0.74399999999999999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345.6</v>
      </c>
      <c r="Y29" s="270">
        <f>IFERROR(SUMPRODUCT(Y22:Y27*H22:H27),"0")</f>
        <v>345.6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42</v>
      </c>
      <c r="Y39" s="269">
        <f>IFERROR(IF(X39="","",X39),"")</f>
        <v>42</v>
      </c>
      <c r="Z39" s="36">
        <f>IFERROR(IF(X39="","",X39*0.00941),"")</f>
        <v>0.39522000000000002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80.715599999999995</v>
      </c>
      <c r="BN39" s="67">
        <f>IFERROR(Y39*I39,"0")</f>
        <v>80.715599999999995</v>
      </c>
      <c r="BO39" s="67">
        <f>IFERROR(X39/J39,"0")</f>
        <v>0.3</v>
      </c>
      <c r="BP39" s="67">
        <f>IFERROR(Y39/J39,"0")</f>
        <v>0.3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28</v>
      </c>
      <c r="Y40" s="269">
        <f>IFERROR(IF(X40="","",X40),"")</f>
        <v>28</v>
      </c>
      <c r="Z40" s="36">
        <f>IFERROR(IF(X40="","",X40*0.00941),"")</f>
        <v>0.26347999999999999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53.810400000000001</v>
      </c>
      <c r="BN40" s="67">
        <f>IFERROR(Y40*I40,"0")</f>
        <v>53.810400000000001</v>
      </c>
      <c r="BO40" s="67">
        <f>IFERROR(X40/J40,"0")</f>
        <v>0.2</v>
      </c>
      <c r="BP40" s="67">
        <f>IFERROR(Y40/J40,"0")</f>
        <v>0.2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70</v>
      </c>
      <c r="Y41" s="270">
        <f>IFERROR(SUM(Y39:Y40),"0")</f>
        <v>70</v>
      </c>
      <c r="Z41" s="270">
        <f>IFERROR(IF(Z39="",0,Z39),"0")+IFERROR(IF(Z40="",0,Z40),"0")</f>
        <v>0.65870000000000006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105</v>
      </c>
      <c r="Y42" s="270">
        <f>IFERROR(SUMPRODUCT(Y39:Y40*H39:H40),"0")</f>
        <v>105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201.59999999999997</v>
      </c>
      <c r="Y49" s="270">
        <f>IFERROR(SUMPRODUCT(Y45:Y47*H45:H47),"0")</f>
        <v>201.59999999999997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48</v>
      </c>
      <c r="Y52" s="269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36</v>
      </c>
      <c r="Y53" s="26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588</v>
      </c>
      <c r="Y57" s="270">
        <f>IFERROR(SUMPRODUCT(Y52:Y55*H52:H55),"0")</f>
        <v>588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84</v>
      </c>
      <c r="Y82" s="270">
        <f>IFERROR(SUM(Y80:Y81),"0")</f>
        <v>84</v>
      </c>
      <c r="Z82" s="270">
        <f>IFERROR(IF(Z80="",0,Z80),"0")+IFERROR(IF(Z81="",0,Z81),"0")</f>
        <v>0.72743999999999998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420</v>
      </c>
      <c r="Y83" s="270">
        <f>IFERROR(SUMPRODUCT(Y80:Y81*H80:H81),"0")</f>
        <v>420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56</v>
      </c>
      <c r="Y91" s="269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1.2515999999999998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28</v>
      </c>
      <c r="Y98" s="269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84</v>
      </c>
      <c r="Y103" s="270">
        <f>IFERROR(SUM(Y97:Y102),"0")</f>
        <v>84</v>
      </c>
      <c r="Z103" s="270">
        <f>IFERROR(IF(Z97="",0,Z97),"0")+IFERROR(IF(Z98="",0,Z98),"0")+IFERROR(IF(Z99="",0,Z99),"0")+IFERROR(IF(Z100="",0,Z100),"0")+IFERROR(IF(Z101="",0,Z101),"0")+IFERROR(IF(Z102="",0,Z102),"0")</f>
        <v>1.5019199999999997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241.92000000000002</v>
      </c>
      <c r="Y104" s="270">
        <f>IFERROR(SUMPRODUCT(Y97:Y102*H97:H102),"0")</f>
        <v>241.92000000000002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0.38135999999999998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80.64</v>
      </c>
      <c r="Y110" s="270">
        <f>IFERROR(SUMPRODUCT(Y107:Y108*H107:H108),"0")</f>
        <v>80.64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24</v>
      </c>
      <c r="Y114" s="269">
        <f t="shared" si="12"/>
        <v>24</v>
      </c>
      <c r="Z114" s="36">
        <f t="shared" si="13"/>
        <v>0.372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174.72</v>
      </c>
      <c r="BN114" s="67">
        <f t="shared" si="15"/>
        <v>174.72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12</v>
      </c>
      <c r="Y116" s="269">
        <f t="shared" si="12"/>
        <v>12</v>
      </c>
      <c r="Z116" s="36">
        <f t="shared" si="13"/>
        <v>0.186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96</v>
      </c>
      <c r="Y119" s="269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144</v>
      </c>
      <c r="Y121" s="270">
        <f>IFERROR(SUM(Y113:Y120),"0")</f>
        <v>144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2.2320000000000002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1000.8</v>
      </c>
      <c r="Y122" s="270">
        <f>IFERROR(SUMPRODUCT(Y113:Y120*H113:H120),"0")</f>
        <v>1000.8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70</v>
      </c>
      <c r="Y133" s="269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56</v>
      </c>
      <c r="Y134" s="269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126</v>
      </c>
      <c r="Y135" s="270">
        <f>IFERROR(SUM(Y133:Y134),"0")</f>
        <v>126</v>
      </c>
      <c r="Z135" s="270">
        <f>IFERROR(IF(Z133="",0,Z133),"0")+IFERROR(IF(Z134="",0,Z134),"0")</f>
        <v>2.2528800000000002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378</v>
      </c>
      <c r="Y136" s="270">
        <f>IFERROR(SUMPRODUCT(Y133:Y134*H133:H134),"0")</f>
        <v>378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14</v>
      </c>
      <c r="Y141" s="270">
        <f>IFERROR(SUM(Y139:Y140),"0")</f>
        <v>14</v>
      </c>
      <c r="Z141" s="270">
        <f>IFERROR(IF(Z139="",0,Z139),"0")+IFERROR(IF(Z140="",0,Z140),"0")</f>
        <v>0.25031999999999999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42</v>
      </c>
      <c r="Y142" s="270">
        <f>IFERROR(SUMPRODUCT(Y139:Y140*H139:H140),"0")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14</v>
      </c>
      <c r="Y145" s="269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14</v>
      </c>
      <c r="Y151" s="269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14</v>
      </c>
      <c r="Y152" s="270">
        <f>IFERROR(SUM(Y151:Y151),"0")</f>
        <v>14</v>
      </c>
      <c r="Z152" s="270">
        <f>IFERROR(IF(Z151="",0,Z151),"0")</f>
        <v>0.25031999999999999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42</v>
      </c>
      <c r="Y153" s="270">
        <f>IFERROR(SUMPRODUCT(Y151:Y151*H151:H151),"0")</f>
        <v>42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14</v>
      </c>
      <c r="Y166" s="269">
        <f>IFERROR(IF(X166="","",X166),"")</f>
        <v>14</v>
      </c>
      <c r="Z166" s="36">
        <f>IFERROR(IF(X166="","",X166*0.00941),"")</f>
        <v>0.13174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29.425199999999997</v>
      </c>
      <c r="BN166" s="67">
        <f>IFERROR(Y166*I166,"0")</f>
        <v>29.425199999999997</v>
      </c>
      <c r="BO166" s="67">
        <f>IFERROR(X166/J166,"0")</f>
        <v>0.1</v>
      </c>
      <c r="BP166" s="67">
        <f>IFERROR(Y166/J166,"0")</f>
        <v>0.1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14</v>
      </c>
      <c r="Y167" s="270">
        <f>IFERROR(SUM(Y166:Y166),"0")</f>
        <v>14</v>
      </c>
      <c r="Z167" s="270">
        <f>IFERROR(IF(Z166="",0,Z166),"0")</f>
        <v>0.13174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23.52</v>
      </c>
      <c r="Y168" s="270">
        <f>IFERROR(SUMPRODUCT(Y166:Y166*H166:H166),"0")</f>
        <v>23.52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84</v>
      </c>
      <c r="Y173" s="269">
        <f>IFERROR(IF(X173="","",X173),"")</f>
        <v>84</v>
      </c>
      <c r="Z173" s="36">
        <f>IFERROR(IF(X173="","",X173*0.00866),"")</f>
        <v>0.72743999999999998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437.90879999999999</v>
      </c>
      <c r="BN173" s="67">
        <f>IFERROR(Y173*I173,"0")</f>
        <v>437.90879999999999</v>
      </c>
      <c r="BO173" s="67">
        <f>IFERROR(X173/J173,"0")</f>
        <v>0.58333333333333337</v>
      </c>
      <c r="BP173" s="67">
        <f>IFERROR(Y173/J173,"0")</f>
        <v>0.58333333333333337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84</v>
      </c>
      <c r="Y174" s="270">
        <f>IFERROR(SUM(Y172:Y173),"0")</f>
        <v>84</v>
      </c>
      <c r="Z174" s="270">
        <f>IFERROR(IF(Z172="",0,Z172),"0")+IFERROR(IF(Z173="",0,Z173),"0")</f>
        <v>0.72743999999999998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420</v>
      </c>
      <c r="Y175" s="270">
        <f>IFERROR(SUMPRODUCT(Y172:Y173*H172:H173),"0")</f>
        <v>420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84</v>
      </c>
      <c r="Y179" s="269">
        <f>IFERROR(IF(X179="","",X179),"")</f>
        <v>84</v>
      </c>
      <c r="Z179" s="36">
        <f>IFERROR(IF(X179="","",X179*0.01788),"")</f>
        <v>1.5019199999999999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284.59199999999998</v>
      </c>
      <c r="BN179" s="67">
        <f>IFERROR(Y179*I179,"0")</f>
        <v>284.59199999999998</v>
      </c>
      <c r="BO179" s="67">
        <f>IFERROR(X179/J179,"0")</f>
        <v>1.2</v>
      </c>
      <c r="BP179" s="67">
        <f>IFERROR(Y179/J179,"0")</f>
        <v>1.2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14</v>
      </c>
      <c r="Y181" s="269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98</v>
      </c>
      <c r="Y182" s="270">
        <f>IFERROR(SUM(Y179:Y181),"0")</f>
        <v>98</v>
      </c>
      <c r="Z182" s="270">
        <f>IFERROR(IF(Z179="",0,Z179),"0")+IFERROR(IF(Z180="",0,Z180),"0")+IFERROR(IF(Z181="",0,Z181),"0")</f>
        <v>1.75224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294</v>
      </c>
      <c r="Y183" s="270">
        <f>IFERROR(SUMPRODUCT(Y179:Y181*H179:H181),"0")</f>
        <v>294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96</v>
      </c>
      <c r="Y204" s="269">
        <f>IFERROR(IF(X204="","",X204),"")</f>
        <v>96</v>
      </c>
      <c r="Z204" s="36">
        <f>IFERROR(IF(X204="","",X204*0.0155),"")</f>
        <v>1.488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502.08000000000004</v>
      </c>
      <c r="BN204" s="67">
        <f>IFERROR(Y204*I204,"0")</f>
        <v>502.08000000000004</v>
      </c>
      <c r="BO204" s="67">
        <f>IFERROR(X204/J204,"0")</f>
        <v>1.1428571428571428</v>
      </c>
      <c r="BP204" s="67">
        <f>IFERROR(Y204/J204,"0")</f>
        <v>1.1428571428571428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96</v>
      </c>
      <c r="Y205" s="270">
        <f>IFERROR(SUM(Y204:Y204),"0")</f>
        <v>96</v>
      </c>
      <c r="Z205" s="270">
        <f>IFERROR(IF(Z204="",0,Z204),"0")</f>
        <v>1.488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480</v>
      </c>
      <c r="Y206" s="270">
        <f>IFERROR(SUMPRODUCT(Y204:Y204*H204:H204),"0")</f>
        <v>480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14</v>
      </c>
      <c r="Y252" s="269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40.468400000000003</v>
      </c>
      <c r="BN252" s="67">
        <f>IFERROR(Y252*I252,"0")</f>
        <v>40.468400000000003</v>
      </c>
      <c r="BO252" s="67">
        <f>IFERROR(X252/J252,"0")</f>
        <v>0.1111111111111111</v>
      </c>
      <c r="BP252" s="67">
        <f>IFERROR(Y252/J252,"0")</f>
        <v>0.1111111111111111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84</v>
      </c>
      <c r="Y253" s="269">
        <f>IFERROR(IF(X253="","",X253),"")</f>
        <v>84</v>
      </c>
      <c r="Z253" s="36">
        <f>IFERROR(IF(X253="","",X253*0.0155),"")</f>
        <v>1.302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439.74</v>
      </c>
      <c r="BN253" s="67">
        <f>IFERROR(Y253*I253,"0")</f>
        <v>439.74</v>
      </c>
      <c r="BO253" s="67">
        <f>IFERROR(X253/J253,"0")</f>
        <v>1</v>
      </c>
      <c r="BP253" s="67">
        <f>IFERROR(Y253/J253,"0")</f>
        <v>1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98</v>
      </c>
      <c r="Y255" s="270">
        <f>IFERROR(SUM(Y252:Y254),"0")</f>
        <v>98</v>
      </c>
      <c r="Z255" s="270">
        <f>IFERROR(IF(Z252="",0,Z252),"0")+IFERROR(IF(Z253="",0,Z253),"0")+IFERROR(IF(Z254="",0,Z254),"0")</f>
        <v>1.4330400000000001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457.8</v>
      </c>
      <c r="Y256" s="270">
        <f>IFERROR(SUMPRODUCT(Y252:Y254*H252:H254),"0")</f>
        <v>457.8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14</v>
      </c>
      <c r="Y262" s="269">
        <f t="shared" si="18"/>
        <v>14</v>
      </c>
      <c r="Z262" s="36">
        <f t="shared" si="23"/>
        <v>0.13103999999999999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54.488</v>
      </c>
      <c r="BN262" s="67">
        <f t="shared" si="20"/>
        <v>54.488</v>
      </c>
      <c r="BO262" s="67">
        <f t="shared" si="21"/>
        <v>0.1111111111111111</v>
      </c>
      <c r="BP262" s="67">
        <f t="shared" si="22"/>
        <v>0.1111111111111111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14</v>
      </c>
      <c r="Y268" s="270">
        <f>IFERROR(SUM(Y258:Y267),"0")</f>
        <v>14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0.13103999999999999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51.800000000000004</v>
      </c>
      <c r="Y269" s="270">
        <f>IFERROR(SUMPRODUCT(Y258:Y267*H258:H267),"0")</f>
        <v>51.800000000000004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5792.3600000000006</v>
      </c>
      <c r="Y270" s="270">
        <f>IFERROR(Y29+Y35+Y42+Y49+Y57+Y62+Y66+Y71+Y77+Y83+Y88+Y94+Y104+Y110+Y122+Y126+Y130+Y136+Y142+Y148+Y153+Y158+Y163+Y168+Y175+Y183+Y187+Y193+Y201+Y206+Y211+Y216+Y222+Y228+Y234+Y238+Y245+Y250+Y256+Y269,"0")</f>
        <v>5792.3600000000006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6319.0347999999994</v>
      </c>
      <c r="Y271" s="270">
        <f>IFERROR(SUM(BN22:BN267),"0")</f>
        <v>6319.0347999999994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16</v>
      </c>
      <c r="Y272" s="38">
        <f>ROUNDUP(SUM(BP22:BP267),0)</f>
        <v>16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6719.0347999999994</v>
      </c>
      <c r="Y273" s="270">
        <f>GrossWeightTotalR+PalletQtyTotalR*25</f>
        <v>6719.0347999999994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1330</v>
      </c>
      <c r="Y274" s="270">
        <f>IFERROR(Y28+Y34+Y41+Y48+Y56+Y61+Y65+Y70+Y76+Y82+Y87+Y93+Y103+Y109+Y121+Y125+Y129+Y135+Y141+Y147+Y152+Y157+Y162+Y167+Y174+Y182+Y186+Y192+Y200+Y205+Y210+Y215+Y221+Y227+Y233+Y237+Y244+Y249+Y255+Y268,"0")</f>
        <v>1330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19.962600000000002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345.6</v>
      </c>
      <c r="C280" s="46">
        <f>IFERROR(X32*H32,"0")+IFERROR(X33*H33,"0")</f>
        <v>0</v>
      </c>
      <c r="D280" s="46">
        <f>IFERROR(X39*H39,"0")+IFERROR(X40*H40,"0")</f>
        <v>105</v>
      </c>
      <c r="E280" s="46">
        <f>IFERROR(X45*H45,"0")+IFERROR(X46*H46,"0")+IFERROR(X47*H47,"0")</f>
        <v>201.59999999999997</v>
      </c>
      <c r="F280" s="46">
        <f>IFERROR(X52*H52,"0")+IFERROR(X53*H53,"0")+IFERROR(X54*H54,"0")+IFERROR(X55*H55,"0")</f>
        <v>588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420</v>
      </c>
      <c r="I280" s="46">
        <f>IFERROR(X86*H86,"0")</f>
        <v>50.4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241.92000000000002</v>
      </c>
      <c r="L280" s="46">
        <f>IFERROR(X107*H107,"0")+IFERROR(X108*H108,"0")</f>
        <v>80.64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1000.8</v>
      </c>
      <c r="N280" s="266"/>
      <c r="O280" s="46">
        <f>IFERROR(X133*H133,"0")+IFERROR(X134*H134,"0")</f>
        <v>378</v>
      </c>
      <c r="P280" s="46">
        <f>IFERROR(X139*H139,"0")+IFERROR(X140*H140,"0")</f>
        <v>42</v>
      </c>
      <c r="Q280" s="46">
        <f>IFERROR(X145*H145,"0")+IFERROR(X146*H146,"0")</f>
        <v>134.4</v>
      </c>
      <c r="R280" s="46">
        <f>IFERROR(X151*H151,"0")</f>
        <v>42</v>
      </c>
      <c r="S280" s="46">
        <f>IFERROR(X156*H156,"0")</f>
        <v>0</v>
      </c>
      <c r="T280" s="46">
        <f>IFERROR(X161*H161,"0")</f>
        <v>0</v>
      </c>
      <c r="U280" s="46">
        <f>IFERROR(X166*H166,"0")</f>
        <v>23.52</v>
      </c>
      <c r="V280" s="46">
        <f>IFERROR(X172*H172,"0")+IFERROR(X173*H173,"0")</f>
        <v>420</v>
      </c>
      <c r="W280" s="46">
        <f>IFERROR(X179*H179,"0")+IFERROR(X180*H180,"0")+IFERROR(X181*H181,"0")+IFERROR(X185*H185,"0")</f>
        <v>294</v>
      </c>
      <c r="X280" s="46">
        <f>IFERROR(X191*H191,"0")+IFERROR(X195*H195,"0")+IFERROR(X196*H196,"0")+IFERROR(X197*H197,"0")+IFERROR(X198*H198,"0")+IFERROR(X199*H199,"0")</f>
        <v>110.88</v>
      </c>
      <c r="Y280" s="46">
        <f>IFERROR(X204*H204,"0")</f>
        <v>480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581.59999999999991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3456</v>
      </c>
      <c r="B283" s="60">
        <f>SUMPRODUCT(--(BB:BB="ПГП"),--(W:W="кор"),H:H,Y:Y)+SUMPRODUCT(--(BB:BB="ПГП"),--(W:W="кг"),Y:Y)</f>
        <v>2336.3599999999997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80"/>
        <filter val="1 330,00"/>
        <filter val="105,00"/>
        <filter val="12,00"/>
        <filter val="126,00"/>
        <filter val="134,40"/>
        <filter val="14,00"/>
        <filter val="144,00"/>
        <filter val="16"/>
        <filter val="201,60"/>
        <filter val="23,52"/>
        <filter val="24,00"/>
        <filter val="241,92"/>
        <filter val="252,00"/>
        <filter val="28,00"/>
        <filter val="294,00"/>
        <filter val="33,60"/>
        <filter val="345,60"/>
        <filter val="36,00"/>
        <filter val="378,00"/>
        <filter val="42,00"/>
        <filter val="420,00"/>
        <filter val="457,80"/>
        <filter val="48,00"/>
        <filter val="480,00"/>
        <filter val="5 792,36"/>
        <filter val="50,40"/>
        <filter val="51,80"/>
        <filter val="56,00"/>
        <filter val="588,00"/>
        <filter val="6 319,03"/>
        <filter val="6 719,03"/>
        <filter val="70,00"/>
        <filter val="72,00"/>
        <filter val="77,28"/>
        <filter val="80,64"/>
        <filter val="84,00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