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130A772-A9F3-4887-9BE2-05997A5574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O367" i="1"/>
  <c r="BM367" i="1"/>
  <c r="Y367" i="1"/>
  <c r="BP367" i="1" s="1"/>
  <c r="P367" i="1"/>
  <c r="X364" i="1"/>
  <c r="X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Z53" i="1" l="1"/>
  <c r="BN53" i="1"/>
  <c r="Z92" i="1"/>
  <c r="BN92" i="1"/>
  <c r="Z130" i="1"/>
  <c r="BN130" i="1"/>
  <c r="Z134" i="1"/>
  <c r="BN134" i="1"/>
  <c r="Z176" i="1"/>
  <c r="BN176" i="1"/>
  <c r="Z207" i="1"/>
  <c r="BN207" i="1"/>
  <c r="Z231" i="1"/>
  <c r="BN231" i="1"/>
  <c r="Z263" i="1"/>
  <c r="BN263" i="1"/>
  <c r="Z302" i="1"/>
  <c r="BN302" i="1"/>
  <c r="Z328" i="1"/>
  <c r="BN328" i="1"/>
  <c r="Z362" i="1"/>
  <c r="Z363" i="1" s="1"/>
  <c r="BN362" i="1"/>
  <c r="BP362" i="1"/>
  <c r="Y363" i="1"/>
  <c r="Z367" i="1"/>
  <c r="BN367" i="1"/>
  <c r="Z388" i="1"/>
  <c r="BN388" i="1"/>
  <c r="Z428" i="1"/>
  <c r="BN428" i="1"/>
  <c r="Z460" i="1"/>
  <c r="BN460" i="1"/>
  <c r="BP26" i="1"/>
  <c r="BN26" i="1"/>
  <c r="BP42" i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F9" i="1"/>
  <c r="F10" i="1"/>
  <c r="Y17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Z359" i="1"/>
  <c r="BP358" i="1"/>
  <c r="BN358" i="1"/>
  <c r="Z35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59" i="1" l="1"/>
  <c r="Z374" i="1"/>
  <c r="Z324" i="1"/>
  <c r="Z438" i="1"/>
  <c r="Z411" i="1"/>
  <c r="Z250" i="1"/>
  <c r="Z148" i="1"/>
  <c r="Z126" i="1"/>
  <c r="Z95" i="1"/>
  <c r="Z43" i="1"/>
  <c r="Z187" i="1"/>
  <c r="Z142" i="1"/>
  <c r="Y491" i="1"/>
  <c r="Z57" i="1"/>
  <c r="Z31" i="1"/>
  <c r="X492" i="1"/>
  <c r="Y493" i="1"/>
  <c r="Z349" i="1"/>
  <c r="Z380" i="1"/>
  <c r="Z171" i="1"/>
  <c r="Y490" i="1"/>
  <c r="Y492" i="1" s="1"/>
  <c r="Z432" i="1"/>
  <c r="Z88" i="1"/>
  <c r="Z76" i="1"/>
  <c r="Z447" i="1"/>
  <c r="Z215" i="1"/>
  <c r="Z468" i="1"/>
  <c r="Z394" i="1"/>
  <c r="Z311" i="1"/>
  <c r="Z304" i="1"/>
  <c r="Z294" i="1"/>
  <c r="Z274" i="1"/>
  <c r="Z116" i="1"/>
  <c r="Z103" i="1"/>
  <c r="Z69" i="1"/>
  <c r="Y489" i="1"/>
  <c r="Z337" i="1"/>
  <c r="Z234" i="1"/>
  <c r="Z109" i="1"/>
  <c r="Z494" i="1" l="1"/>
</calcChain>
</file>

<file path=xl/sharedStrings.xml><?xml version="1.0" encoding="utf-8"?>
<sst xmlns="http://schemas.openxmlformats.org/spreadsheetml/2006/main" count="2275" uniqueCount="763">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</sst>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45996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Пятница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68.518518518518519</v>
      </c>
      <c r="Y57" s="543">
        <f>IFERROR(Y51/H51,"0")+IFERROR(Y52/H52,"0")+IFERROR(Y53/H53,"0")+IFERROR(Y54/H54,"0")+IFERROR(Y55/H55,"0")+IFERROR(Y56/H56,"0")</f>
        <v>69</v>
      </c>
      <c r="Z57" s="543">
        <f>IFERROR(IF(Z51="",0,Z51),"0")+IFERROR(IF(Z52="",0,Z52),"0")+IFERROR(IF(Z53="",0,Z53),"0")+IFERROR(IF(Z54="",0,Z54),"0")+IFERROR(IF(Z55="",0,Z55),"0")+IFERROR(IF(Z56="",0,Z56),"0")</f>
        <v>0.81162000000000001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425</v>
      </c>
      <c r="Y58" s="543">
        <f>IFERROR(SUM(Y51:Y56),"0")</f>
        <v>430.20000000000005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68.518518518518519</v>
      </c>
      <c r="Y63" s="543">
        <f>IFERROR(Y60/H60,"0")+IFERROR(Y61/H61,"0")+IFERROR(Y62/H62,"0")</f>
        <v>69</v>
      </c>
      <c r="Z63" s="543">
        <f>IFERROR(IF(Z60="",0,Z60),"0")+IFERROR(IF(Z61="",0,Z61),"0")+IFERROR(IF(Z62="",0,Z62),"0")</f>
        <v>0.68612000000000006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335</v>
      </c>
      <c r="Y64" s="543">
        <f>IFERROR(SUM(Y60:Y62),"0")</f>
        <v>340.20000000000005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200</v>
      </c>
      <c r="Y85" s="542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450</v>
      </c>
      <c r="Y87" s="542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118.51851851851852</v>
      </c>
      <c r="Y88" s="543">
        <f>IFERROR(Y85/H85,"0")+IFERROR(Y86/H86,"0")+IFERROR(Y87/H87,"0")</f>
        <v>119</v>
      </c>
      <c r="Z88" s="543">
        <f>IFERROR(IF(Z85="",0,Z85),"0")+IFERROR(IF(Z86="",0,Z86),"0")+IFERROR(IF(Z87="",0,Z87),"0")</f>
        <v>1.2626200000000001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650</v>
      </c>
      <c r="Y89" s="543">
        <f>IFERROR(SUM(Y85:Y87),"0")</f>
        <v>655.20000000000005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585</v>
      </c>
      <c r="Y93" s="542">
        <f>IFERROR(IF(X93="",0,CEILING((X93/$H93),1)*$H93),"")</f>
        <v>585.90000000000009</v>
      </c>
      <c r="Z93" s="36">
        <f>IFERROR(IF(Y93=0,"",ROUNDUP(Y93/H93,0)*0.00651),"")</f>
        <v>1.4126700000000001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639.6</v>
      </c>
      <c r="BN93" s="64">
        <f>IFERROR(Y93*I93/H93,"0")</f>
        <v>640.58400000000006</v>
      </c>
      <c r="BO93" s="64">
        <f>IFERROR(1/J93*(X93/H93),"0")</f>
        <v>1.1904761904761905</v>
      </c>
      <c r="BP93" s="64">
        <f>IFERROR(1/J93*(Y93/H93),"0")</f>
        <v>1.1923076923076925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241.35802469135803</v>
      </c>
      <c r="Y95" s="543">
        <f>IFERROR(Y91/H91,"0")+IFERROR(Y92/H92,"0")+IFERROR(Y93/H93,"0")+IFERROR(Y94/H94,"0")</f>
        <v>242.00000000000003</v>
      </c>
      <c r="Z95" s="543">
        <f>IFERROR(IF(Z91="",0,Z91),"0")+IFERROR(IF(Z92="",0,Z92),"0")+IFERROR(IF(Z93="",0,Z93),"0")+IFERROR(IF(Z94="",0,Z94),"0")</f>
        <v>1.8871700000000002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785</v>
      </c>
      <c r="Y96" s="543">
        <f>IFERROR(SUM(Y91:Y94),"0")</f>
        <v>788.40000000000009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360</v>
      </c>
      <c r="Y101" s="542">
        <f>IFERROR(IF(X101="",0,CEILING((X101/$H101),1)*$H101),"")</f>
        <v>360</v>
      </c>
      <c r="Z101" s="36">
        <f>IFERROR(IF(Y101=0,"",ROUNDUP(Y101/H101,0)*0.00902),"")</f>
        <v>0.72160000000000002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375.20000000000005</v>
      </c>
      <c r="BN101" s="64">
        <f>IFERROR(Y101*I101/H101,"0")</f>
        <v>375.20000000000005</v>
      </c>
      <c r="BO101" s="64">
        <f>IFERROR(1/J101*(X101/H101),"0")</f>
        <v>0.60606060606060608</v>
      </c>
      <c r="BP101" s="64">
        <f>IFERROR(1/J101*(Y101/H101),"0")</f>
        <v>0.60606060606060608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85.555555555555557</v>
      </c>
      <c r="Y103" s="543">
        <f>IFERROR(Y99/H99,"0")+IFERROR(Y100/H100,"0")+IFERROR(Y101/H101,"0")+IFERROR(Y102/H102,"0")</f>
        <v>86</v>
      </c>
      <c r="Z103" s="543">
        <f>IFERROR(IF(Z99="",0,Z99),"0")+IFERROR(IF(Z100="",0,Z100),"0")+IFERROR(IF(Z101="",0,Z101),"0")+IFERROR(IF(Z102="",0,Z102),"0")</f>
        <v>0.83548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420</v>
      </c>
      <c r="Y104" s="543">
        <f>IFERROR(SUM(Y99:Y102),"0")</f>
        <v>424.8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150</v>
      </c>
      <c r="Y112" s="542">
        <f>IFERROR(IF(X112="",0,CEILING((X112/$H112),1)*$H112),"")</f>
        <v>153.9</v>
      </c>
      <c r="Z112" s="36">
        <f>IFERROR(IF(Y112=0,"",ROUNDUP(Y112/H112,0)*0.01898),"")</f>
        <v>0.36062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159.03703703703701</v>
      </c>
      <c r="BN112" s="64">
        <f>IFERROR(Y112*I112/H112,"0")</f>
        <v>163.172</v>
      </c>
      <c r="BO112" s="64">
        <f>IFERROR(1/J112*(X112/H112),"0")</f>
        <v>0.28935185185185186</v>
      </c>
      <c r="BP112" s="64">
        <f>IFERROR(1/J112*(Y112/H112),"0")</f>
        <v>0.296875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36</v>
      </c>
      <c r="Y115" s="542">
        <f>IFERROR(IF(X115="",0,CEILING((X115/$H115),1)*$H115),"")</f>
        <v>36</v>
      </c>
      <c r="Z115" s="36">
        <f>IFERROR(IF(Y115=0,"",ROUNDUP(Y115/H115,0)*0.00651),"")</f>
        <v>0.13020000000000001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39.6</v>
      </c>
      <c r="BN115" s="64">
        <f>IFERROR(Y115*I115/H115,"0")</f>
        <v>39.6</v>
      </c>
      <c r="BO115" s="64">
        <f>IFERROR(1/J115*(X115/H115),"0")</f>
        <v>0.1098901098901099</v>
      </c>
      <c r="BP115" s="64">
        <f>IFERROR(1/J115*(Y115/H115),"0")</f>
        <v>0.1098901098901099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121.85185185185185</v>
      </c>
      <c r="Y116" s="543">
        <f>IFERROR(Y112/H112,"0")+IFERROR(Y113/H113,"0")+IFERROR(Y114/H114,"0")+IFERROR(Y115/H115,"0")</f>
        <v>123</v>
      </c>
      <c r="Z116" s="543">
        <f>IFERROR(IF(Z112="",0,Z112),"0")+IFERROR(IF(Z113="",0,Z113),"0")+IFERROR(IF(Z114="",0,Z114),"0")+IFERROR(IF(Z115="",0,Z115),"0")</f>
        <v>1.03766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411</v>
      </c>
      <c r="Y117" s="543">
        <f>IFERROR(SUM(Y112:Y115),"0")</f>
        <v>416.70000000000005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33</v>
      </c>
      <c r="Y119" s="542">
        <f>IFERROR(IF(X119="",0,CEILING((X119/$H119),1)*$H119),"")</f>
        <v>33.659999999999997</v>
      </c>
      <c r="Z119" s="36">
        <f>IFERROR(IF(Y119=0,"",ROUNDUP(Y119/H119,0)*0.00651),"")</f>
        <v>0.11067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37.299999999999997</v>
      </c>
      <c r="BN119" s="64">
        <f>IFERROR(Y119*I119/H119,"0")</f>
        <v>38.045999999999992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16.666666666666668</v>
      </c>
      <c r="Y120" s="543">
        <f>IFERROR(Y119/H119,"0")</f>
        <v>17</v>
      </c>
      <c r="Z120" s="543">
        <f>IFERROR(IF(Z119="",0,Z119),"0")</f>
        <v>0.11067</v>
      </c>
      <c r="AA120" s="544"/>
      <c r="AB120" s="544"/>
      <c r="AC120" s="544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33</v>
      </c>
      <c r="Y121" s="543">
        <f>IFERROR(SUM(Y119:Y119),"0")</f>
        <v>33.659999999999997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72</v>
      </c>
      <c r="Y124" s="542">
        <f>IFERROR(IF(X124="",0,CEILING((X124/$H124),1)*$H124),"")</f>
        <v>73.600000000000009</v>
      </c>
      <c r="Z124" s="36">
        <f>IFERROR(IF(Y124=0,"",ROUNDUP(Y124/H124,0)*0.00651),"")</f>
        <v>0.14973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76.05</v>
      </c>
      <c r="BN124" s="64">
        <f>IFERROR(Y124*I124/H124,"0")</f>
        <v>77.740000000000009</v>
      </c>
      <c r="BO124" s="64">
        <f>IFERROR(1/J124*(X124/H124),"0")</f>
        <v>0.12362637362637363</v>
      </c>
      <c r="BP124" s="64">
        <f>IFERROR(1/J124*(Y124/H124),"0")</f>
        <v>0.1263736263736264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22.5</v>
      </c>
      <c r="Y126" s="543">
        <f>IFERROR(Y124/H124,"0")+IFERROR(Y125/H125,"0")</f>
        <v>23</v>
      </c>
      <c r="Z126" s="543">
        <f>IFERROR(IF(Z124="",0,Z124),"0")+IFERROR(IF(Z125="",0,Z125),"0")</f>
        <v>0.14973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72</v>
      </c>
      <c r="Y127" s="543">
        <f>IFERROR(SUM(Y124:Y125),"0")</f>
        <v>73.600000000000009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72.600000000000009</v>
      </c>
      <c r="Y135" s="542">
        <f>IFERROR(IF(X135="",0,CEILING((X135/$H135),1)*$H135),"")</f>
        <v>73.92</v>
      </c>
      <c r="Z135" s="36">
        <f>IFERROR(IF(Y135=0,"",ROUNDUP(Y135/H135,0)*0.00651),"")</f>
        <v>0.18228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79.970000000000013</v>
      </c>
      <c r="BN135" s="64">
        <f>IFERROR(Y135*I135/H135,"0")</f>
        <v>81.423999999999992</v>
      </c>
      <c r="BO135" s="64">
        <f>IFERROR(1/J135*(X135/H135),"0")</f>
        <v>0.15109890109890112</v>
      </c>
      <c r="BP135" s="64">
        <f>IFERROR(1/J135*(Y135/H135),"0")</f>
        <v>0.15384615384615385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27.500000000000004</v>
      </c>
      <c r="Y136" s="543">
        <f>IFERROR(Y134/H134,"0")+IFERROR(Y135/H135,"0")</f>
        <v>28</v>
      </c>
      <c r="Z136" s="543">
        <f>IFERROR(IF(Z134="",0,Z134),"0")+IFERROR(IF(Z135="",0,Z135),"0")</f>
        <v>0.18228</v>
      </c>
      <c r="AA136" s="544"/>
      <c r="AB136" s="544"/>
      <c r="AC136" s="544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72.600000000000009</v>
      </c>
      <c r="Y137" s="543">
        <f>IFERROR(SUM(Y134:Y135),"0")</f>
        <v>73.92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100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105.95238095238095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0.18037518037518038</v>
      </c>
      <c r="BP161" s="64">
        <f t="shared" ref="BP161:BP170" si="9">IFERROR(1/J161*(Y161/H161),"0")</f>
        <v>0.18181818181818182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70</v>
      </c>
      <c r="Y162" s="542">
        <f t="shared" si="5"/>
        <v>71.400000000000006</v>
      </c>
      <c r="Z162" s="36">
        <f>IFERROR(IF(Y162=0,"",ROUNDUP(Y162/H162,0)*0.00902),"")</f>
        <v>0.15334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74.166666666666657</v>
      </c>
      <c r="BN162" s="64">
        <f t="shared" si="7"/>
        <v>75.650000000000006</v>
      </c>
      <c r="BO162" s="64">
        <f t="shared" si="8"/>
        <v>0.12626262626262624</v>
      </c>
      <c r="BP162" s="64">
        <f t="shared" si="9"/>
        <v>0.12878787878787878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100</v>
      </c>
      <c r="Y163" s="542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70</v>
      </c>
      <c r="Y164" s="542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210</v>
      </c>
      <c r="Y168" s="542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255.95238095238093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258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1.5551600000000001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672.5</v>
      </c>
      <c r="Y172" s="543">
        <f>IFERROR(SUM(Y161:Y170),"0")</f>
        <v>678.3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14</v>
      </c>
      <c r="Y174" s="542">
        <f>IFERROR(IF(X174="",0,CEILING((X174/$H174),1)*$H174),"")</f>
        <v>15.120000000000001</v>
      </c>
      <c r="Z174" s="36">
        <f>IFERROR(IF(Y174=0,"",ROUNDUP(Y174/H174,0)*0.0059),"")</f>
        <v>7.0800000000000002E-2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16.111111111111111</v>
      </c>
      <c r="BN174" s="64">
        <f>IFERROR(Y174*I174/H174,"0")</f>
        <v>17.399999999999999</v>
      </c>
      <c r="BO174" s="64">
        <f>IFERROR(1/J174*(X174/H174),"0")</f>
        <v>5.1440329218106991E-2</v>
      </c>
      <c r="BP174" s="64">
        <f>IFERROR(1/J174*(Y174/H174),"0")</f>
        <v>5.5555555555555552E-2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14</v>
      </c>
      <c r="Y175" s="542">
        <f>IFERROR(IF(X175="",0,CEILING((X175/$H175),1)*$H175),"")</f>
        <v>15.120000000000001</v>
      </c>
      <c r="Z175" s="36">
        <f>IFERROR(IF(Y175=0,"",ROUNDUP(Y175/H175,0)*0.0059),"")</f>
        <v>7.0800000000000002E-2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16.111111111111111</v>
      </c>
      <c r="BN175" s="64">
        <f>IFERROR(Y175*I175/H175,"0")</f>
        <v>17.399999999999999</v>
      </c>
      <c r="BO175" s="64">
        <f>IFERROR(1/J175*(X175/H175),"0")</f>
        <v>5.1440329218106991E-2</v>
      </c>
      <c r="BP175" s="64">
        <f>IFERROR(1/J175*(Y175/H175),"0")</f>
        <v>5.5555555555555552E-2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33.333333333333329</v>
      </c>
      <c r="Y177" s="543">
        <f>IFERROR(Y174/H174,"0")+IFERROR(Y175/H175,"0")+IFERROR(Y176/H176,"0")</f>
        <v>36</v>
      </c>
      <c r="Z177" s="543">
        <f>IFERROR(IF(Z174="",0,Z174),"0")+IFERROR(IF(Z175="",0,Z175),"0")+IFERROR(IF(Z176="",0,Z176),"0")</f>
        <v>0.21240000000000001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42</v>
      </c>
      <c r="Y178" s="543">
        <f>IFERROR(SUM(Y174:Y176),"0")</f>
        <v>45.36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14</v>
      </c>
      <c r="Y180" s="542">
        <f>IFERROR(IF(X180="",0,CEILING((X180/$H180),1)*$H180),"")</f>
        <v>15.120000000000001</v>
      </c>
      <c r="Z180" s="36">
        <f>IFERROR(IF(Y180=0,"",ROUNDUP(Y180/H180,0)*0.0059),"")</f>
        <v>7.0800000000000002E-2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16.111111111111111</v>
      </c>
      <c r="BN180" s="64">
        <f>IFERROR(Y180*I180/H180,"0")</f>
        <v>17.399999999999999</v>
      </c>
      <c r="BO180" s="64">
        <f>IFERROR(1/J180*(X180/H180),"0")</f>
        <v>5.1440329218106991E-2</v>
      </c>
      <c r="BP180" s="64">
        <f>IFERROR(1/J180*(Y180/H180),"0")</f>
        <v>5.5555555555555552E-2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11.111111111111111</v>
      </c>
      <c r="Y181" s="543">
        <f>IFERROR(Y180/H180,"0")</f>
        <v>12</v>
      </c>
      <c r="Z181" s="543">
        <f>IFERROR(IF(Z180="",0,Z180),"0")</f>
        <v>7.0800000000000002E-2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14</v>
      </c>
      <c r="Y182" s="543">
        <f>IFERROR(SUM(Y180:Y180),"0")</f>
        <v>15.120000000000001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80</v>
      </c>
      <c r="Y195" s="542">
        <f t="shared" ref="Y195:Y202" si="10">IFERROR(IF(X195="",0,CEILING((X195/$H195),1)*$H195),"")</f>
        <v>81</v>
      </c>
      <c r="Z195" s="36">
        <f>IFERROR(IF(Y195=0,"",ROUNDUP(Y195/H195,0)*0.00902),"")</f>
        <v>0.1353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82.81481481481481</v>
      </c>
      <c r="BN195" s="64">
        <f t="shared" ref="BN195:BN202" si="12">IFERROR(Y195*I195/H195,"0")</f>
        <v>83.85</v>
      </c>
      <c r="BO195" s="64">
        <f t="shared" ref="BO195:BO202" si="13">IFERROR(1/J195*(X195/H195),"0")</f>
        <v>0.11223344556677889</v>
      </c>
      <c r="BP195" s="64">
        <f t="shared" ref="BP195:BP202" si="14">IFERROR(1/J195*(Y195/H195),"0")</f>
        <v>0.11363636363636363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400</v>
      </c>
      <c r="Y197" s="542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80</v>
      </c>
      <c r="Y198" s="542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120</v>
      </c>
      <c r="Y199" s="542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60</v>
      </c>
      <c r="Y200" s="542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60</v>
      </c>
      <c r="Y202" s="542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279.62962962962962</v>
      </c>
      <c r="Y203" s="543">
        <f>IFERROR(Y195/H195,"0")+IFERROR(Y196/H196,"0")+IFERROR(Y197/H197,"0")+IFERROR(Y198/H198,"0")+IFERROR(Y199/H199,"0")+IFERROR(Y200/H200,"0")+IFERROR(Y201/H201,"0")+IFERROR(Y202/H202,"0")</f>
        <v>284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1.88568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910</v>
      </c>
      <c r="Y204" s="543">
        <f>IFERROR(SUM(Y195:Y202),"0")</f>
        <v>925.20000000000016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200</v>
      </c>
      <c r="Y208" s="542">
        <f t="shared" si="15"/>
        <v>200.1</v>
      </c>
      <c r="Z208" s="36">
        <f>IFERROR(IF(Y208=0,"",ROUNDUP(Y208/H208,0)*0.01898),"")</f>
        <v>0.43653999999999998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211.35632183908049</v>
      </c>
      <c r="BN208" s="64">
        <f t="shared" si="17"/>
        <v>211.46200000000005</v>
      </c>
      <c r="BO208" s="64">
        <f t="shared" si="18"/>
        <v>0.35919540229885061</v>
      </c>
      <c r="BP208" s="64">
        <f t="shared" si="19"/>
        <v>0.359375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280</v>
      </c>
      <c r="Y209" s="542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240</v>
      </c>
      <c r="Y211" s="542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120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280</v>
      </c>
      <c r="Y214" s="542">
        <f t="shared" si="15"/>
        <v>280.8</v>
      </c>
      <c r="Z214" s="36">
        <f t="shared" si="20"/>
        <v>0.76167000000000007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310.10000000000002</v>
      </c>
      <c r="BN214" s="64">
        <f t="shared" si="17"/>
        <v>310.98599999999999</v>
      </c>
      <c r="BO214" s="64">
        <f t="shared" si="18"/>
        <v>0.64102564102564108</v>
      </c>
      <c r="BP214" s="64">
        <f t="shared" si="19"/>
        <v>0.64285714285714302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406.32183908045982</v>
      </c>
      <c r="Y215" s="543">
        <f>IFERROR(Y206/H206,"0")+IFERROR(Y207/H207,"0")+IFERROR(Y208/H208,"0")+IFERROR(Y209/H209,"0")+IFERROR(Y210/H210,"0")+IFERROR(Y211/H211,"0")+IFERROR(Y212/H212,"0")+IFERROR(Y213/H213,"0")+IFERROR(Y214/H214,"0")</f>
        <v>407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2.9363800000000002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1120</v>
      </c>
      <c r="Y216" s="543">
        <f>IFERROR(SUM(Y206:Y214),"0")</f>
        <v>1121.7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32</v>
      </c>
      <c r="Y218" s="542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23.333333333333336</v>
      </c>
      <c r="Y220" s="543">
        <f>IFERROR(Y218/H218,"0")+IFERROR(Y219/H219,"0")</f>
        <v>24</v>
      </c>
      <c r="Z220" s="543">
        <f>IFERROR(IF(Z218="",0,Z218),"0")+IFERROR(IF(Z219="",0,Z219),"0")</f>
        <v>0.15623999999999999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56</v>
      </c>
      <c r="Y221" s="543">
        <f>IFERROR(SUM(Y218:Y219),"0")</f>
        <v>57.6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50</v>
      </c>
      <c r="Y224" s="542">
        <f t="shared" ref="Y224:Y233" si="21">IFERROR(IF(X224="",0,CEILING((X224/$H224),1)*$H224),"")</f>
        <v>58</v>
      </c>
      <c r="Z224" s="36">
        <f>IFERROR(IF(Y224=0,"",ROUNDUP(Y224/H224,0)*0.01898),"")</f>
        <v>9.4899999999999998E-2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51.767241379310349</v>
      </c>
      <c r="BN224" s="64">
        <f t="shared" ref="BN224:BN233" si="23">IFERROR(Y224*I224/H224,"0")</f>
        <v>60.050000000000004</v>
      </c>
      <c r="BO224" s="64">
        <f t="shared" ref="BO224:BO233" si="24">IFERROR(1/J224*(X224/H224),"0")</f>
        <v>6.7349137931034489E-2</v>
      </c>
      <c r="BP224" s="64">
        <f t="shared" ref="BP224:BP233" si="25">IFERROR(1/J224*(Y224/H224),"0")</f>
        <v>7.8125E-2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60</v>
      </c>
      <c r="Y226" s="542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19.482758620689655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21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0.29898000000000002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150</v>
      </c>
      <c r="Y235" s="543">
        <f>IFERROR(SUM(Y224:Y233),"0")</f>
        <v>167.6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24</v>
      </c>
      <c r="Y241" s="542">
        <f>IFERROR(IF(X241="",0,CEILING((X241/$H241),1)*$H241),"")</f>
        <v>25.2</v>
      </c>
      <c r="Z241" s="36">
        <f>IFERROR(IF(Y241=0,"",ROUNDUP(Y241/H241,0)*0.0059),"")</f>
        <v>8.2599999999999993E-2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26.333333333333336</v>
      </c>
      <c r="BN241" s="64">
        <f>IFERROR(Y241*I241/H241,"0")</f>
        <v>27.650000000000002</v>
      </c>
      <c r="BO241" s="64">
        <f>IFERROR(1/J241*(X241/H241),"0")</f>
        <v>6.1728395061728385E-2</v>
      </c>
      <c r="BP241" s="64">
        <f>IFERROR(1/J241*(Y241/H241),"0")</f>
        <v>6.4814814814814811E-2</v>
      </c>
    </row>
    <row r="242" spans="1:68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13.333333333333332</v>
      </c>
      <c r="Y242" s="543">
        <f>IFERROR(Y241/H241,"0")</f>
        <v>14</v>
      </c>
      <c r="Z242" s="543">
        <f>IFERROR(IF(Z241="",0,Z241),"0")</f>
        <v>8.2599999999999993E-2</v>
      </c>
      <c r="AA242" s="544"/>
      <c r="AB242" s="544"/>
      <c r="AC242" s="544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24</v>
      </c>
      <c r="Y243" s="543">
        <f>IFERROR(SUM(Y241:Y241),"0")</f>
        <v>25.2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14</v>
      </c>
      <c r="Y246" s="542">
        <f>IFERROR(IF(X246="",0,CEILING((X246/$H246),1)*$H246),"")</f>
        <v>14.4</v>
      </c>
      <c r="Z246" s="36">
        <f>IFERROR(IF(Y246=0,"",ROUNDUP(Y246/H246,0)*0.0059),"")</f>
        <v>4.7199999999999999E-2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15.361111111111112</v>
      </c>
      <c r="BN246" s="64">
        <f>IFERROR(Y246*I246/H246,"0")</f>
        <v>15.8</v>
      </c>
      <c r="BO246" s="64">
        <f>IFERROR(1/J246*(X246/H246),"0")</f>
        <v>3.6008230452674893E-2</v>
      </c>
      <c r="BP246" s="64">
        <f>IFERROR(1/J246*(Y246/H246),"0")</f>
        <v>3.7037037037037035E-2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5.5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6.6611111111111114</v>
      </c>
      <c r="BN247" s="64">
        <f>IFERROR(Y247*I247/H247,"0")</f>
        <v>7.63</v>
      </c>
      <c r="BO247" s="64">
        <f>IFERROR(1/J247*(X247/H247),"0")</f>
        <v>2.8292181069958844E-2</v>
      </c>
      <c r="BP247" s="64">
        <f>IFERROR(1/J247*(Y247/H247),"0")</f>
        <v>3.2407407407407406E-2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13.888888888888889</v>
      </c>
      <c r="Y250" s="543">
        <f>IFERROR(Y245/H245,"0")+IFERROR(Y246/H246,"0")+IFERROR(Y247/H247,"0")+IFERROR(Y248/H248,"0")+IFERROR(Y249/H249,"0")</f>
        <v>15</v>
      </c>
      <c r="Z250" s="543">
        <f>IFERROR(IF(Z245="",0,Z245),"0")+IFERROR(IF(Z246="",0,Z246),"0")+IFERROR(IF(Z247="",0,Z247),"0")+IFERROR(IF(Z248="",0,Z248),"0")+IFERROR(IF(Z249="",0,Z249),"0")</f>
        <v>8.8499999999999995E-2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19.5</v>
      </c>
      <c r="Y251" s="543">
        <f>IFERROR(SUM(Y245:Y249),"0")</f>
        <v>20.7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116.66666666666667</v>
      </c>
      <c r="Y274" s="543">
        <f>IFERROR(Y271/H271,"0")+IFERROR(Y272/H272,"0")+IFERROR(Y273/H273,"0")</f>
        <v>117</v>
      </c>
      <c r="Z274" s="543">
        <f>IFERROR(IF(Z271="",0,Z271),"0")+IFERROR(IF(Z272="",0,Z272),"0")+IFERROR(IF(Z273="",0,Z273),"0")</f>
        <v>0.76167000000000007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280</v>
      </c>
      <c r="Y275" s="543">
        <f>IFERROR(SUM(Y271:Y273),"0")</f>
        <v>280.79999999999995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140</v>
      </c>
      <c r="Y301" s="542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24</v>
      </c>
      <c r="Y303" s="542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79.999999999999986</v>
      </c>
      <c r="Y304" s="543">
        <f>IFERROR(Y297/H297,"0")+IFERROR(Y298/H298,"0")+IFERROR(Y299/H299,"0")+IFERROR(Y300/H300,"0")+IFERROR(Y301/H301,"0")+IFERROR(Y302/H302,"0")+IFERROR(Y303/H303,"0")</f>
        <v>81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164</v>
      </c>
      <c r="Y305" s="543">
        <f>IFERROR(SUM(Y297:Y303),"0")</f>
        <v>165.9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20</v>
      </c>
      <c r="Y314" s="542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320</v>
      </c>
      <c r="Y315" s="542">
        <f>IFERROR(IF(X315="",0,CEILING((X315/$H315),1)*$H315),"")</f>
        <v>327.59999999999997</v>
      </c>
      <c r="Z315" s="36">
        <f>IFERROR(IF(Y315=0,"",ROUNDUP(Y315/H315,0)*0.01898),"")</f>
        <v>0.79715999999999998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340.26666666666665</v>
      </c>
      <c r="BN315" s="64">
        <f>IFERROR(Y315*I315/H315,"0")</f>
        <v>348.34800000000001</v>
      </c>
      <c r="BO315" s="64">
        <f>IFERROR(1/J315*(X315/H315),"0")</f>
        <v>0.64102564102564108</v>
      </c>
      <c r="BP315" s="64">
        <f>IFERROR(1/J315*(Y315/H315),"0")</f>
        <v>0.65625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79.120879120879124</v>
      </c>
      <c r="Y317" s="543">
        <f>IFERROR(Y314/H314,"0")+IFERROR(Y315/H315,"0")+IFERROR(Y316/H316,"0")</f>
        <v>81</v>
      </c>
      <c r="Z317" s="543">
        <f>IFERROR(IF(Z314="",0,Z314),"0")+IFERROR(IF(Z315="",0,Z315),"0")+IFERROR(IF(Z316="",0,Z316),"0")</f>
        <v>1.53738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640</v>
      </c>
      <c r="Y318" s="543">
        <f>IFERROR(SUM(Y314:Y316),"0")</f>
        <v>655.20000000000005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85</v>
      </c>
      <c r="Y322" s="542">
        <f>IFERROR(IF(X322="",0,CEILING((X322/$H322),1)*$H322),"")</f>
        <v>86.699999999999989</v>
      </c>
      <c r="Z322" s="36">
        <f>IFERROR(IF(Y322=0,"",ROUNDUP(Y322/H322,0)*0.00651),"")</f>
        <v>0.22134000000000001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98.500000000000014</v>
      </c>
      <c r="BN322" s="64">
        <f>IFERROR(Y322*I322/H322,"0")</f>
        <v>100.47</v>
      </c>
      <c r="BO322" s="64">
        <f>IFERROR(1/J322*(X322/H322),"0")</f>
        <v>0.18315018315018317</v>
      </c>
      <c r="BP322" s="64">
        <f>IFERROR(1/J322*(Y322/H322),"0")</f>
        <v>0.18681318681318682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340</v>
      </c>
      <c r="Y323" s="542">
        <f>IFERROR(IF(X323="",0,CEILING((X323/$H323),1)*$H323),"")</f>
        <v>341.7</v>
      </c>
      <c r="Z323" s="36">
        <f>IFERROR(IF(Y323=0,"",ROUNDUP(Y323/H323,0)*0.00651),"")</f>
        <v>0.87234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384</v>
      </c>
      <c r="BN323" s="64">
        <f>IFERROR(Y323*I323/H323,"0")</f>
        <v>385.91999999999996</v>
      </c>
      <c r="BO323" s="64">
        <f>IFERROR(1/J323*(X323/H323),"0")</f>
        <v>0.73260073260073266</v>
      </c>
      <c r="BP323" s="64">
        <f>IFERROR(1/J323*(Y323/H323),"0")</f>
        <v>0.73626373626373631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166.66666666666669</v>
      </c>
      <c r="Y324" s="543">
        <f>IFERROR(Y320/H320,"0")+IFERROR(Y321/H321,"0")+IFERROR(Y322/H322,"0")+IFERROR(Y323/H323,"0")</f>
        <v>168</v>
      </c>
      <c r="Z324" s="543">
        <f>IFERROR(IF(Z320="",0,Z320),"0")+IFERROR(IF(Z321="",0,Z321),"0")+IFERROR(IF(Z322="",0,Z322),"0")+IFERROR(IF(Z323="",0,Z323),"0")</f>
        <v>1.09368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425</v>
      </c>
      <c r="Y325" s="543">
        <f>IFERROR(SUM(Y320:Y323),"0")</f>
        <v>428.4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100</v>
      </c>
      <c r="Y327" s="542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200</v>
      </c>
      <c r="Y329" s="542">
        <f>IFERROR(IF(X329="",0,CEILING((X329/$H329),1)*$H329),"")</f>
        <v>200</v>
      </c>
      <c r="Z329" s="36">
        <f>IFERROR(IF(Y329=0,"",ROUNDUP(Y329/H329,0)*0.00474),"")</f>
        <v>0.47400000000000003</v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224.00000000000003</v>
      </c>
      <c r="BN329" s="64">
        <f>IFERROR(Y329*I329/H329,"0")</f>
        <v>224.00000000000003</v>
      </c>
      <c r="BO329" s="64">
        <f>IFERROR(1/J329*(X329/H329),"0")</f>
        <v>0.42016806722689076</v>
      </c>
      <c r="BP329" s="64">
        <f>IFERROR(1/J329*(Y329/H329),"0")</f>
        <v>0.42016806722689076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150</v>
      </c>
      <c r="Y330" s="543">
        <f>IFERROR(Y327/H327,"0")+IFERROR(Y328/H328,"0")+IFERROR(Y329/H329,"0")</f>
        <v>150</v>
      </c>
      <c r="Z330" s="543">
        <f>IFERROR(IF(Z327="",0,Z327),"0")+IFERROR(IF(Z328="",0,Z328),"0")+IFERROR(IF(Z329="",0,Z329),"0")</f>
        <v>0.71100000000000008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300</v>
      </c>
      <c r="Y331" s="543">
        <f>IFERROR(SUM(Y327:Y329),"0")</f>
        <v>300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840</v>
      </c>
      <c r="Y335" s="542">
        <f>IFERROR(IF(X335="",0,CEILING((X335/$H335),1)*$H335),"")</f>
        <v>840</v>
      </c>
      <c r="Z335" s="36">
        <f>IFERROR(IF(Y335=0,"",ROUNDUP(Y335/H335,0)*0.00651),"")</f>
        <v>2.6040000000000001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940.79999999999984</v>
      </c>
      <c r="BN335" s="64">
        <f>IFERROR(Y335*I335/H335,"0")</f>
        <v>940.79999999999984</v>
      </c>
      <c r="BO335" s="64">
        <f>IFERROR(1/J335*(X335/H335),"0")</f>
        <v>2.197802197802198</v>
      </c>
      <c r="BP335" s="64">
        <f>IFERROR(1/J335*(Y335/H335),"0")</f>
        <v>2.197802197802198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420</v>
      </c>
      <c r="Y336" s="542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600</v>
      </c>
      <c r="Y337" s="543">
        <f>IFERROR(Y334/H334,"0")+IFERROR(Y335/H335,"0")+IFERROR(Y336/H336,"0")</f>
        <v>600</v>
      </c>
      <c r="Z337" s="543">
        <f>IFERROR(IF(Z334="",0,Z334),"0")+IFERROR(IF(Z335="",0,Z335),"0")+IFERROR(IF(Z336="",0,Z336),"0")</f>
        <v>3.9060000000000001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1260</v>
      </c>
      <c r="Y338" s="543">
        <f>IFERROR(SUM(Y334:Y336),"0")</f>
        <v>1260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1000</v>
      </c>
      <c r="Y342" s="542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900</v>
      </c>
      <c r="Y343" s="542">
        <f t="shared" si="31"/>
        <v>900</v>
      </c>
      <c r="Z343" s="36">
        <f>IFERROR(IF(Y343=0,"",ROUNDUP(Y343/H343,0)*0.02175),"")</f>
        <v>1.3049999999999999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928.2</v>
      </c>
      <c r="BN343" s="64">
        <f t="shared" si="33"/>
        <v>928.2</v>
      </c>
      <c r="BO343" s="64">
        <f t="shared" si="34"/>
        <v>1.25</v>
      </c>
      <c r="BP343" s="64">
        <f t="shared" si="35"/>
        <v>1.25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260</v>
      </c>
      <c r="Y349" s="543">
        <f>IFERROR(Y342/H342,"0")+IFERROR(Y343/H343,"0")+IFERROR(Y344/H344,"0")+IFERROR(Y345/H345,"0")+IFERROR(Y346/H346,"0")+IFERROR(Y347/H347,"0")+IFERROR(Y348/H348,"0")</f>
        <v>261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5.6767500000000002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3900</v>
      </c>
      <c r="Y350" s="543">
        <f>IFERROR(SUM(Y342:Y348),"0")</f>
        <v>3915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1400</v>
      </c>
      <c r="Y352" s="542">
        <f>IFERROR(IF(X352="",0,CEILING((X352/$H352),1)*$H352),"")</f>
        <v>1410</v>
      </c>
      <c r="Z352" s="36">
        <f>IFERROR(IF(Y352=0,"",ROUNDUP(Y352/H352,0)*0.02175),"")</f>
        <v>2.0444999999999998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1443.8666666666666</v>
      </c>
      <c r="BN352" s="64">
        <f>IFERROR(Y352*I352/H352,"0")</f>
        <v>1454.18</v>
      </c>
      <c r="BO352" s="64">
        <f>IFERROR(1/J352*(X352/H352),"0")</f>
        <v>1.9444444444444442</v>
      </c>
      <c r="BP352" s="64">
        <f>IFERROR(1/J352*(Y352/H352),"0")</f>
        <v>1.9583333333333333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8</v>
      </c>
      <c r="Y353" s="542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95.333333333333329</v>
      </c>
      <c r="Y354" s="543">
        <f>IFERROR(Y352/H352,"0")+IFERROR(Y353/H353,"0")</f>
        <v>96</v>
      </c>
      <c r="Z354" s="543">
        <f>IFERROR(IF(Z352="",0,Z352),"0")+IFERROR(IF(Z353="",0,Z353),"0")</f>
        <v>2.0625399999999998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1408</v>
      </c>
      <c r="Y355" s="543">
        <f>IFERROR(SUM(Y352:Y353),"0")</f>
        <v>1418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60</v>
      </c>
      <c r="Y362" s="542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63.293333333333329</v>
      </c>
      <c r="BN362" s="64">
        <f>IFERROR(Y362*I362/H362,"0")</f>
        <v>66.457999999999998</v>
      </c>
      <c r="BO362" s="64">
        <f>IFERROR(1/J362*(X362/H362),"0")</f>
        <v>0.10416666666666667</v>
      </c>
      <c r="BP362" s="64">
        <f>IFERROR(1/J362*(Y362/H362),"0")</f>
        <v>0.109375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6.666666666666667</v>
      </c>
      <c r="Y363" s="543">
        <f>IFERROR(Y362/H362,"0")</f>
        <v>7</v>
      </c>
      <c r="Z363" s="543">
        <f>IFERROR(IF(Z362="",0,Z362),"0")</f>
        <v>0.13286000000000001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60</v>
      </c>
      <c r="Y364" s="543">
        <f>IFERROR(SUM(Y362:Y362),"0")</f>
        <v>63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100</v>
      </c>
      <c r="Y367" s="542">
        <f>IFERROR(IF(X367="",0,CEILING((X367/$H367),1)*$H367),"")</f>
        <v>108</v>
      </c>
      <c r="Z367" s="36">
        <f>IFERROR(IF(Y367=0,"",ROUNDUP(Y367/H367,0)*0.01898),"")</f>
        <v>0.17082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103.41666666666667</v>
      </c>
      <c r="BN367" s="64">
        <f>IFERROR(Y367*I367/H367,"0")</f>
        <v>111.69</v>
      </c>
      <c r="BO367" s="64">
        <f>IFERROR(1/J367*(X367/H367),"0")</f>
        <v>0.13020833333333334</v>
      </c>
      <c r="BP367" s="64">
        <f>IFERROR(1/J367*(Y367/H367),"0")</f>
        <v>0.140625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8.3333333333333339</v>
      </c>
      <c r="Y369" s="543">
        <f>IFERROR(Y367/H367,"0")+IFERROR(Y368/H368,"0")</f>
        <v>9</v>
      </c>
      <c r="Z369" s="543">
        <f>IFERROR(IF(Z367="",0,Z367),"0")+IFERROR(IF(Z368="",0,Z368),"0")</f>
        <v>0.17082</v>
      </c>
      <c r="AA369" s="544"/>
      <c r="AB369" s="544"/>
      <c r="AC369" s="544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100</v>
      </c>
      <c r="Y370" s="543">
        <f>IFERROR(SUM(Y367:Y368),"0")</f>
        <v>108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20</v>
      </c>
      <c r="Y377" s="542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2.2222222222222223</v>
      </c>
      <c r="Y380" s="543">
        <f>IFERROR(Y377/H377,"0")+IFERROR(Y378/H378,"0")+IFERROR(Y379/H379,"0")</f>
        <v>3</v>
      </c>
      <c r="Z380" s="543">
        <f>IFERROR(IF(Z377="",0,Z377),"0")+IFERROR(IF(Z378="",0,Z378),"0")+IFERROR(IF(Z379="",0,Z379),"0")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20</v>
      </c>
      <c r="Y381" s="543">
        <f>IFERROR(SUM(Y377:Y379),"0")</f>
        <v>27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35</v>
      </c>
      <c r="Y389" s="542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49.999999999999993</v>
      </c>
      <c r="Y394" s="543">
        <f>IFERROR(Y385/H385,"0")+IFERROR(Y386/H386,"0")+IFERROR(Y387/H387,"0")+IFERROR(Y388/H388,"0")+IFERROR(Y389/H389,"0")+IFERROR(Y390/H390,"0")+IFERROR(Y391/H391,"0")+IFERROR(Y392/H392,"0")+IFERROR(Y393/H393,"0")</f>
        <v>51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0.25602000000000003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105</v>
      </c>
      <c r="Y395" s="543">
        <f>IFERROR(SUM(Y385:Y393),"0")</f>
        <v>107.10000000000001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10.5</v>
      </c>
      <c r="Y410" s="542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5</v>
      </c>
      <c r="Y411" s="543">
        <f>IFERROR(Y407/H407,"0")+IFERROR(Y408/H408,"0")+IFERROR(Y409/H409,"0")+IFERROR(Y410/H410,"0")</f>
        <v>5</v>
      </c>
      <c r="Z411" s="543">
        <f>IFERROR(IF(Z407="",0,Z407),"0")+IFERROR(IF(Z408="",0,Z408),"0")+IFERROR(IF(Z409="",0,Z409),"0")+IFERROR(IF(Z410="",0,Z410),"0")</f>
        <v>2.5100000000000001E-2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10.5</v>
      </c>
      <c r="Y412" s="543">
        <f>IFERROR(SUM(Y407:Y410),"0")</f>
        <v>10.5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30</v>
      </c>
      <c r="Y415" s="542">
        <f>IFERROR(IF(X415="",0,CEILING((X415/$H415),1)*$H415),"")</f>
        <v>30</v>
      </c>
      <c r="Z415" s="36">
        <f>IFERROR(IF(Y415=0,"",ROUNDUP(Y415/H415,0)*0.00651),"")</f>
        <v>0.16275000000000001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52.5</v>
      </c>
      <c r="BN415" s="64">
        <f>IFERROR(Y415*I415/H415,"0")</f>
        <v>52.5</v>
      </c>
      <c r="BO415" s="64">
        <f>IFERROR(1/J415*(X415/H415),"0")</f>
        <v>0.13736263736263737</v>
      </c>
      <c r="BP415" s="64">
        <f>IFERROR(1/J415*(Y415/H415),"0")</f>
        <v>0.13736263736263737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25</v>
      </c>
      <c r="Y416" s="543">
        <f>IFERROR(Y415/H415,"0")</f>
        <v>25</v>
      </c>
      <c r="Z416" s="543">
        <f>IFERROR(IF(Z415="",0,Z415),"0")</f>
        <v>0.16275000000000001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30</v>
      </c>
      <c r="Y417" s="543">
        <f>IFERROR(SUM(Y415:Y415),"0")</f>
        <v>30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200</v>
      </c>
      <c r="Y424" s="542">
        <f t="shared" si="42"/>
        <v>200.64000000000001</v>
      </c>
      <c r="Z424" s="36">
        <f t="shared" si="43"/>
        <v>0.45448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213.25757575757575</v>
      </c>
      <c r="BN424" s="64">
        <f t="shared" si="45"/>
        <v>213.94</v>
      </c>
      <c r="BO424" s="64">
        <f t="shared" si="46"/>
        <v>0.36421911421911418</v>
      </c>
      <c r="BP424" s="64">
        <f t="shared" si="47"/>
        <v>0.36538461538461542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120</v>
      </c>
      <c r="Y431" s="542">
        <f t="shared" si="42"/>
        <v>120</v>
      </c>
      <c r="Z431" s="36">
        <f>IFERROR(IF(Y431=0,"",ROUNDUP(Y431/H431,0)*0.00902),"")</f>
        <v>0.22550000000000001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172.75000000000003</v>
      </c>
      <c r="BN431" s="64">
        <f t="shared" si="45"/>
        <v>172.75000000000003</v>
      </c>
      <c r="BO431" s="64">
        <f t="shared" si="46"/>
        <v>0.18939393939393939</v>
      </c>
      <c r="BP431" s="64">
        <f t="shared" si="47"/>
        <v>0.18939393939393939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94.318181818181813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1.0244800000000001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480</v>
      </c>
      <c r="Y433" s="543">
        <f>IFERROR(SUM(Y421:Y431),"0")</f>
        <v>483.36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106.62878787878788</v>
      </c>
      <c r="BN435" s="64">
        <f>IFERROR(Y435*I435/H435,"0")</f>
        <v>106.97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127.95454545454545</v>
      </c>
      <c r="BN443" s="64">
        <f t="shared" si="50"/>
        <v>129.49</v>
      </c>
      <c r="BO443" s="64">
        <f t="shared" si="51"/>
        <v>0.21853146853146854</v>
      </c>
      <c r="BP443" s="64">
        <f t="shared" si="52"/>
        <v>0.22115384615384617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48</v>
      </c>
      <c r="Y444" s="542">
        <f t="shared" si="48"/>
        <v>48</v>
      </c>
      <c r="Z444" s="36">
        <f>IFERROR(IF(Y444=0,"",ROUNDUP(Y444/H444,0)*0.00902),"")</f>
        <v>9.0200000000000002E-2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69.100000000000009</v>
      </c>
      <c r="BN444" s="64">
        <f t="shared" si="50"/>
        <v>69.100000000000009</v>
      </c>
      <c r="BO444" s="64">
        <f t="shared" si="51"/>
        <v>7.575757575757576E-2</v>
      </c>
      <c r="BP444" s="64">
        <f t="shared" si="52"/>
        <v>7.575757575757576E-2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60</v>
      </c>
      <c r="Y446" s="542">
        <f t="shared" si="48"/>
        <v>62.4</v>
      </c>
      <c r="Z446" s="36">
        <f>IFERROR(IF(Y446=0,"",ROUNDUP(Y446/H446,0)*0.00902),"")</f>
        <v>0.11726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83.375</v>
      </c>
      <c r="BN446" s="64">
        <f t="shared" si="50"/>
        <v>86.71</v>
      </c>
      <c r="BO446" s="64">
        <f t="shared" si="51"/>
        <v>9.4696969696969696E-2</v>
      </c>
      <c r="BP446" s="64">
        <f t="shared" si="52"/>
        <v>9.8484848484848481E-2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73.636363636363626</v>
      </c>
      <c r="Y447" s="543">
        <f>IFERROR(Y441/H441,"0")+IFERROR(Y442/H442,"0")+IFERROR(Y443/H443,"0")+IFERROR(Y444/H444,"0")+IFERROR(Y445/H445,"0")+IFERROR(Y446/H446,"0")</f>
        <v>75</v>
      </c>
      <c r="Z447" s="543">
        <f>IFERROR(IF(Z441="",0,Z441),"0")+IFERROR(IF(Z442="",0,Z442),"0")+IFERROR(IF(Z443="",0,Z443),"0")+IFERROR(IF(Z444="",0,Z444),"0")+IFERROR(IF(Z445="",0,Z445),"0")+IFERROR(IF(Z446="",0,Z446),"0")</f>
        <v>0.82938000000000012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378</v>
      </c>
      <c r="Y448" s="543">
        <f>IFERROR(SUM(Y441:Y446),"0")</f>
        <v>384.96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1200</v>
      </c>
      <c r="Y476" s="542">
        <f>IFERROR(IF(X476="",0,CEILING((X476/$H476),1)*$H476),"")</f>
        <v>1206</v>
      </c>
      <c r="Z476" s="36">
        <f>IFERROR(IF(Y476=0,"",ROUNDUP(Y476/H476,0)*0.01898),"")</f>
        <v>2.54332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1265.8666666666666</v>
      </c>
      <c r="BN476" s="64">
        <f>IFERROR(Y476*I476/H476,"0")</f>
        <v>1272.1959999999999</v>
      </c>
      <c r="BO476" s="64">
        <f>IFERROR(1/J476*(X476/H476),"0")</f>
        <v>2.0833333333333335</v>
      </c>
      <c r="BP476" s="64">
        <f>IFERROR(1/J476*(Y476/H476),"0")</f>
        <v>2.09375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133.33333333333334</v>
      </c>
      <c r="Y477" s="543">
        <f>IFERROR(Y476/H476,"0")</f>
        <v>134</v>
      </c>
      <c r="Z477" s="543">
        <f>IFERROR(IF(Z476="",0,Z476),"0")</f>
        <v>2.54332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1200</v>
      </c>
      <c r="Y478" s="543">
        <f>IFERROR(SUM(Y476:Y476),"0")</f>
        <v>1206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17484.599999999999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17661.599999999999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18665.672478968449</v>
      </c>
      <c r="Y490" s="543">
        <f>IFERROR(SUM(BN22:BN486),"0")</f>
        <v>18853.994000000002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32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19465.672478968449</v>
      </c>
      <c r="Y492" s="543">
        <f>GrossWeightTotalR+PalletQtyTotalR*25</f>
        <v>19653.994000000002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3883.1846651645501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3916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36.767130000000002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793.80000000000007</v>
      </c>
      <c r="E499" s="46">
        <f>IFERROR(Y85*1,"0")+IFERROR(Y86*1,"0")+IFERROR(Y87*1,"0")+IFERROR(Y91*1,"0")+IFERROR(Y92*1,"0")+IFERROR(Y93*1,"0")+IFERROR(Y94*1,"0")</f>
        <v>1443.6000000000001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875.16</v>
      </c>
      <c r="G499" s="46">
        <f>IFERROR(Y124*1,"0")+IFERROR(Y125*1,"0")+IFERROR(Y129*1,"0")+IFERROR(Y130*1,"0")+IFERROR(Y134*1,"0")+IFERROR(Y135*1,"0")</f>
        <v>200.72000000000003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738.78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2104.5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213.5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280.79999999999995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1549.5000000000002</v>
      </c>
      <c r="R499" s="46">
        <f>IFERROR(Y334*1,"0")+IFERROR(Y335*1,"0")+IFERROR(Y336*1,"0")</f>
        <v>1260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5396</v>
      </c>
      <c r="T499" s="46">
        <f>IFERROR(Y367*1,"0")+IFERROR(Y368*1,"0")+IFERROR(Y372*1,"0")+IFERROR(Y373*1,"0")+IFERROR(Y377*1,"0")+IFERROR(Y378*1,"0")+IFERROR(Y379*1,"0")</f>
        <v>135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107.10000000000001</v>
      </c>
      <c r="V499" s="46">
        <f>IFERROR(Y403*1,"0")+IFERROR(Y407*1,"0")+IFERROR(Y408*1,"0")+IFERROR(Y409*1,"0")+IFERROR(Y410*1,"0")</f>
        <v>10.5</v>
      </c>
      <c r="W499" s="46">
        <f>IFERROR(Y415*1,"0")</f>
        <v>30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968.6400000000001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1206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0,00"/>
        <filter val="1 200,00"/>
        <filter val="1 260,00"/>
        <filter val="1 400,00"/>
        <filter val="1 408,00"/>
        <filter val="10,50"/>
        <filter val="100,00"/>
        <filter val="105,00"/>
        <filter val="11,11"/>
        <filter val="116,67"/>
        <filter val="118,52"/>
        <filter val="120,00"/>
        <filter val="121,85"/>
        <filter val="122,50"/>
        <filter val="13,33"/>
        <filter val="13,89"/>
        <filter val="133,33"/>
        <filter val="135,00"/>
        <filter val="14,00"/>
        <filter val="140,00"/>
        <filter val="150,00"/>
        <filter val="16,67"/>
        <filter val="160,00"/>
        <filter val="164,00"/>
        <filter val="166,67"/>
        <filter val="17 484,60"/>
        <filter val="18 665,67"/>
        <filter val="18,75"/>
        <filter val="18,94"/>
        <filter val="19 465,67"/>
        <filter val="19,48"/>
        <filter val="19,50"/>
        <filter val="2,22"/>
        <filter val="2,56"/>
        <filter val="20,00"/>
        <filter val="200,00"/>
        <filter val="210,00"/>
        <filter val="22,50"/>
        <filter val="225,00"/>
        <filter val="23,33"/>
        <filter val="24,00"/>
        <filter val="240,00"/>
        <filter val="241,36"/>
        <filter val="25,00"/>
        <filter val="255,95"/>
        <filter val="260,00"/>
        <filter val="27,50"/>
        <filter val="279,63"/>
        <filter val="280,00"/>
        <filter val="3 883,18"/>
        <filter val="3 900,00"/>
        <filter val="30,00"/>
        <filter val="300,00"/>
        <filter val="32"/>
        <filter val="32,00"/>
        <filter val="320,00"/>
        <filter val="33,00"/>
        <filter val="33,33"/>
        <filter val="335,00"/>
        <filter val="340,00"/>
        <filter val="35,00"/>
        <filter val="36,00"/>
        <filter val="360,00"/>
        <filter val="378,00"/>
        <filter val="40,00"/>
        <filter val="400,00"/>
        <filter val="406,32"/>
        <filter val="411,00"/>
        <filter val="42,00"/>
        <filter val="420,00"/>
        <filter val="425,00"/>
        <filter val="450,00"/>
        <filter val="48,00"/>
        <filter val="480,00"/>
        <filter val="5,00"/>
        <filter val="5,50"/>
        <filter val="50,00"/>
        <filter val="52,50"/>
        <filter val="56,00"/>
        <filter val="585,00"/>
        <filter val="6,67"/>
        <filter val="60,00"/>
        <filter val="600,00"/>
        <filter val="640,00"/>
        <filter val="650,00"/>
        <filter val="672,50"/>
        <filter val="68,52"/>
        <filter val="69,26"/>
        <filter val="70,00"/>
        <filter val="72,00"/>
        <filter val="72,60"/>
        <filter val="73,64"/>
        <filter val="785,00"/>
        <filter val="79,12"/>
        <filter val="8,00"/>
        <filter val="8,33"/>
        <filter val="80,00"/>
        <filter val="840,00"/>
        <filter val="85,00"/>
        <filter val="85,56"/>
        <filter val="900,00"/>
        <filter val="910,00"/>
        <filter val="94,32"/>
        <filter val="95,33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