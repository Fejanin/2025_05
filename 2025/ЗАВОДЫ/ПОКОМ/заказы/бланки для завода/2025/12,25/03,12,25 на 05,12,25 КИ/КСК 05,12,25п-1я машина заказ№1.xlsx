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EA9E09-9A83-4BC2-9878-A7CEA35E158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Z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BP219" i="1" s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BP26" i="1" s="1"/>
  <c r="P26" i="1"/>
  <c r="X24" i="1"/>
  <c r="X23" i="1"/>
  <c r="BO22" i="1"/>
  <c r="BM22" i="1"/>
  <c r="Y22" i="1"/>
  <c r="Y24" i="1" s="1"/>
  <c r="P22" i="1"/>
  <c r="H10" i="1"/>
  <c r="A9" i="1"/>
  <c r="A10" i="1" s="1"/>
  <c r="D7" i="1"/>
  <c r="Q6" i="1"/>
  <c r="P2" i="1"/>
  <c r="BP101" i="1" l="1"/>
  <c r="BN101" i="1"/>
  <c r="Z101" i="1"/>
  <c r="BP147" i="1"/>
  <c r="BN147" i="1"/>
  <c r="Z147" i="1"/>
  <c r="BP191" i="1"/>
  <c r="BN191" i="1"/>
  <c r="Z191" i="1"/>
  <c r="BP213" i="1"/>
  <c r="BN213" i="1"/>
  <c r="Z213" i="1"/>
  <c r="BP248" i="1"/>
  <c r="BN248" i="1"/>
  <c r="Z248" i="1"/>
  <c r="BP298" i="1"/>
  <c r="BN298" i="1"/>
  <c r="Z298" i="1"/>
  <c r="BP328" i="1"/>
  <c r="BN328" i="1"/>
  <c r="Z328" i="1"/>
  <c r="BP378" i="1"/>
  <c r="BN378" i="1"/>
  <c r="Z378" i="1"/>
  <c r="BP391" i="1"/>
  <c r="BN391" i="1"/>
  <c r="Z391" i="1"/>
  <c r="BP426" i="1"/>
  <c r="BN426" i="1"/>
  <c r="Z426" i="1"/>
  <c r="BP452" i="1"/>
  <c r="BN452" i="1"/>
  <c r="Z452" i="1"/>
  <c r="Z28" i="1"/>
  <c r="BN28" i="1"/>
  <c r="Z46" i="1"/>
  <c r="Z47" i="1" s="1"/>
  <c r="BN46" i="1"/>
  <c r="BP46" i="1"/>
  <c r="Y47" i="1"/>
  <c r="Z51" i="1"/>
  <c r="BN51" i="1"/>
  <c r="Z67" i="1"/>
  <c r="BN67" i="1"/>
  <c r="BP86" i="1"/>
  <c r="BN86" i="1"/>
  <c r="Z86" i="1"/>
  <c r="Y121" i="1"/>
  <c r="Y120" i="1"/>
  <c r="BP119" i="1"/>
  <c r="BN119" i="1"/>
  <c r="Z119" i="1"/>
  <c r="Z120" i="1" s="1"/>
  <c r="BP124" i="1"/>
  <c r="BN124" i="1"/>
  <c r="Z124" i="1"/>
  <c r="BP170" i="1"/>
  <c r="BN170" i="1"/>
  <c r="Z170" i="1"/>
  <c r="BP201" i="1"/>
  <c r="BN201" i="1"/>
  <c r="Z201" i="1"/>
  <c r="BP228" i="1"/>
  <c r="BN228" i="1"/>
  <c r="Z228" i="1"/>
  <c r="BP272" i="1"/>
  <c r="BN272" i="1"/>
  <c r="Z272" i="1"/>
  <c r="BP310" i="1"/>
  <c r="BN310" i="1"/>
  <c r="Z310" i="1"/>
  <c r="BP347" i="1"/>
  <c r="BN347" i="1"/>
  <c r="Z347" i="1"/>
  <c r="BP379" i="1"/>
  <c r="BN379" i="1"/>
  <c r="Z379" i="1"/>
  <c r="BP410" i="1"/>
  <c r="BN410" i="1"/>
  <c r="Z410" i="1"/>
  <c r="BP442" i="1"/>
  <c r="BN442" i="1"/>
  <c r="Z44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172" i="1"/>
  <c r="Y203" i="1"/>
  <c r="Y215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89" i="1"/>
  <c r="BN389" i="1"/>
  <c r="Z389" i="1"/>
  <c r="BP408" i="1"/>
  <c r="BN408" i="1"/>
  <c r="Z408" i="1"/>
  <c r="BP424" i="1"/>
  <c r="BN424" i="1"/>
  <c r="Z424" i="1"/>
  <c r="BP436" i="1"/>
  <c r="BN436" i="1"/>
  <c r="Z436" i="1"/>
  <c r="BP450" i="1"/>
  <c r="BN450" i="1"/>
  <c r="Z450" i="1"/>
  <c r="BP466" i="1"/>
  <c r="BN466" i="1"/>
  <c r="Z466" i="1"/>
  <c r="J9" i="1"/>
  <c r="F9" i="1"/>
  <c r="F10" i="1"/>
  <c r="Z22" i="1"/>
  <c r="Z23" i="1" s="1"/>
  <c r="BN22" i="1"/>
  <c r="BP22" i="1"/>
  <c r="Y23" i="1"/>
  <c r="Z26" i="1"/>
  <c r="BN26" i="1"/>
  <c r="Z30" i="1"/>
  <c r="BN30" i="1"/>
  <c r="Z42" i="1"/>
  <c r="BN42" i="1"/>
  <c r="Z53" i="1"/>
  <c r="BN53" i="1"/>
  <c r="Z61" i="1"/>
  <c r="BN61" i="1"/>
  <c r="Z73" i="1"/>
  <c r="BN73" i="1"/>
  <c r="Z79" i="1"/>
  <c r="BN79" i="1"/>
  <c r="BP79" i="1"/>
  <c r="Z92" i="1"/>
  <c r="BN92" i="1"/>
  <c r="Z99" i="1"/>
  <c r="BN99" i="1"/>
  <c r="Z107" i="1"/>
  <c r="BN107" i="1"/>
  <c r="Z115" i="1"/>
  <c r="BN115" i="1"/>
  <c r="Z130" i="1"/>
  <c r="BN130" i="1"/>
  <c r="Y136" i="1"/>
  <c r="Z141" i="1"/>
  <c r="BN141" i="1"/>
  <c r="Z145" i="1"/>
  <c r="BN145" i="1"/>
  <c r="Z151" i="1"/>
  <c r="Z152" i="1" s="1"/>
  <c r="BN151" i="1"/>
  <c r="BP151" i="1"/>
  <c r="Y152" i="1"/>
  <c r="Z157" i="1"/>
  <c r="Z158" i="1" s="1"/>
  <c r="BN157" i="1"/>
  <c r="BP157" i="1"/>
  <c r="Z161" i="1"/>
  <c r="BN161" i="1"/>
  <c r="BP161" i="1"/>
  <c r="Z168" i="1"/>
  <c r="BN168" i="1"/>
  <c r="Z174" i="1"/>
  <c r="BN174" i="1"/>
  <c r="BP174" i="1"/>
  <c r="Z180" i="1"/>
  <c r="Z181" i="1" s="1"/>
  <c r="BN180" i="1"/>
  <c r="BP180" i="1"/>
  <c r="Y181" i="1"/>
  <c r="Z185" i="1"/>
  <c r="BN185" i="1"/>
  <c r="BP185" i="1"/>
  <c r="Z195" i="1"/>
  <c r="BN195" i="1"/>
  <c r="BP195" i="1"/>
  <c r="Z199" i="1"/>
  <c r="BN199" i="1"/>
  <c r="Z207" i="1"/>
  <c r="BN207" i="1"/>
  <c r="Z211" i="1"/>
  <c r="BN211" i="1"/>
  <c r="Z219" i="1"/>
  <c r="BN219" i="1"/>
  <c r="Z226" i="1"/>
  <c r="BN226" i="1"/>
  <c r="Z230" i="1"/>
  <c r="BN230" i="1"/>
  <c r="Z246" i="1"/>
  <c r="BN246" i="1"/>
  <c r="Z255" i="1"/>
  <c r="BN255" i="1"/>
  <c r="BP257" i="1"/>
  <c r="BN257" i="1"/>
  <c r="Z257" i="1"/>
  <c r="BP279" i="1"/>
  <c r="BN279" i="1"/>
  <c r="Z279" i="1"/>
  <c r="BP283" i="1"/>
  <c r="BN283" i="1"/>
  <c r="Z283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U499" i="1"/>
  <c r="BP385" i="1"/>
  <c r="BN385" i="1"/>
  <c r="Z385" i="1"/>
  <c r="BP393" i="1"/>
  <c r="BN393" i="1"/>
  <c r="Z393" i="1"/>
  <c r="Y417" i="1"/>
  <c r="W499" i="1"/>
  <c r="Y416" i="1"/>
  <c r="BP415" i="1"/>
  <c r="BN415" i="1"/>
  <c r="Z415" i="1"/>
  <c r="Z416" i="1" s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359" i="1"/>
  <c r="Y399" i="1"/>
  <c r="BP27" i="1"/>
  <c r="BN27" i="1"/>
  <c r="Z27" i="1"/>
  <c r="Z31" i="1" s="1"/>
  <c r="B499" i="1"/>
  <c r="Y31" i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6" i="1"/>
  <c r="BN146" i="1"/>
  <c r="Z146" i="1"/>
  <c r="Y148" i="1"/>
  <c r="X489" i="1"/>
  <c r="Y32" i="1"/>
  <c r="BP29" i="1"/>
  <c r="BN29" i="1"/>
  <c r="Z29" i="1"/>
  <c r="Y43" i="1"/>
  <c r="BP52" i="1"/>
  <c r="BN52" i="1"/>
  <c r="Z52" i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F499" i="1"/>
  <c r="BP102" i="1"/>
  <c r="BN102" i="1"/>
  <c r="Z102" i="1"/>
  <c r="Z103" i="1" s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499" i="1"/>
  <c r="Y143" i="1"/>
  <c r="BP140" i="1"/>
  <c r="BN140" i="1"/>
  <c r="Z140" i="1"/>
  <c r="Z142" i="1" s="1"/>
  <c r="Y149" i="1"/>
  <c r="Y171" i="1"/>
  <c r="Y177" i="1"/>
  <c r="Y188" i="1"/>
  <c r="Y192" i="1"/>
  <c r="Y204" i="1"/>
  <c r="Y216" i="1"/>
  <c r="Y220" i="1"/>
  <c r="Y235" i="1"/>
  <c r="Y239" i="1"/>
  <c r="Y243" i="1"/>
  <c r="Y251" i="1"/>
  <c r="Y260" i="1"/>
  <c r="M499" i="1"/>
  <c r="Y267" i="1"/>
  <c r="Y268" i="1"/>
  <c r="Y274" i="1"/>
  <c r="BP271" i="1"/>
  <c r="BN271" i="1"/>
  <c r="Z271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BP329" i="1"/>
  <c r="BN329" i="1"/>
  <c r="Z329" i="1"/>
  <c r="Y331" i="1"/>
  <c r="R499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1" i="1"/>
  <c r="BP377" i="1"/>
  <c r="BN377" i="1"/>
  <c r="Z377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J499" i="1"/>
  <c r="S499" i="1"/>
  <c r="H9" i="1"/>
  <c r="X490" i="1"/>
  <c r="X491" i="1"/>
  <c r="X493" i="1"/>
  <c r="C499" i="1"/>
  <c r="Y44" i="1"/>
  <c r="D499" i="1"/>
  <c r="Y57" i="1"/>
  <c r="Y103" i="1"/>
  <c r="G499" i="1"/>
  <c r="Y126" i="1"/>
  <c r="I499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Z186" i="1"/>
  <c r="BN186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BN218" i="1"/>
  <c r="BP218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25" i="1"/>
  <c r="Y330" i="1"/>
  <c r="BP327" i="1"/>
  <c r="BN327" i="1"/>
  <c r="Z327" i="1"/>
  <c r="BP336" i="1"/>
  <c r="BN336" i="1"/>
  <c r="Z336" i="1"/>
  <c r="Y338" i="1"/>
  <c r="Y349" i="1"/>
  <c r="BP342" i="1"/>
  <c r="BN342" i="1"/>
  <c r="Z342" i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9" i="1"/>
  <c r="Y370" i="1"/>
  <c r="BP367" i="1"/>
  <c r="BN367" i="1"/>
  <c r="Z367" i="1"/>
  <c r="Z369" i="1" s="1"/>
  <c r="Y374" i="1"/>
  <c r="Y380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Y483" i="1"/>
  <c r="Z499" i="1"/>
  <c r="Y487" i="1"/>
  <c r="BP486" i="1"/>
  <c r="BN486" i="1"/>
  <c r="Z486" i="1"/>
  <c r="Z487" i="1" s="1"/>
  <c r="Y488" i="1"/>
  <c r="O49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Y482" i="1"/>
  <c r="Y499" i="1"/>
  <c r="Z473" i="1" l="1"/>
  <c r="Z482" i="1"/>
  <c r="Z324" i="1"/>
  <c r="Z234" i="1"/>
  <c r="Z220" i="1"/>
  <c r="Z187" i="1"/>
  <c r="Z171" i="1"/>
  <c r="Z285" i="1"/>
  <c r="Z57" i="1"/>
  <c r="Z148" i="1"/>
  <c r="Z126" i="1"/>
  <c r="Y489" i="1"/>
  <c r="Y491" i="1"/>
  <c r="Y492" i="1" s="1"/>
  <c r="Y490" i="1"/>
  <c r="Z394" i="1"/>
  <c r="Z250" i="1"/>
  <c r="Z215" i="1"/>
  <c r="Z203" i="1"/>
  <c r="Y493" i="1"/>
  <c r="Z337" i="1"/>
  <c r="Z304" i="1"/>
  <c r="Z294" i="1"/>
  <c r="Z69" i="1"/>
  <c r="Z447" i="1"/>
  <c r="Z468" i="1"/>
  <c r="Z432" i="1"/>
  <c r="Z411" i="1"/>
  <c r="Z349" i="1"/>
  <c r="Z330" i="1"/>
  <c r="Z311" i="1"/>
  <c r="Z267" i="1"/>
  <c r="Z259" i="1"/>
  <c r="X492" i="1"/>
  <c r="Z438" i="1"/>
  <c r="Z274" i="1"/>
  <c r="Z109" i="1"/>
  <c r="Z88" i="1"/>
  <c r="Z116" i="1"/>
  <c r="Z95" i="1"/>
  <c r="Z494" i="1" l="1"/>
</calcChain>
</file>

<file path=xl/sharedStrings.xml><?xml version="1.0" encoding="utf-8"?>
<sst xmlns="http://schemas.openxmlformats.org/spreadsheetml/2006/main" count="2147" uniqueCount="762">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</sst>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761</v>
      </c>
      <c r="I5" s="779"/>
      <c r="J5" s="779"/>
      <c r="K5" s="779"/>
      <c r="L5" s="779"/>
      <c r="M5" s="619"/>
      <c r="N5" s="58"/>
      <c r="P5" s="24" t="s">
        <v>10</v>
      </c>
      <c r="Q5" s="841">
        <v>45996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Пятница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0.375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280</v>
      </c>
      <c r="Y41" s="542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hidden="1" customHeight="1" x14ac:dyDescent="0.25">
      <c r="A42" s="54" t="s">
        <v>108</v>
      </c>
      <c r="B42" s="54" t="s">
        <v>109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70</v>
      </c>
      <c r="Y43" s="543">
        <f>IFERROR(Y40/H40,"0")+IFERROR(Y41/H41,"0")+IFERROR(Y42/H42,"0")</f>
        <v>70</v>
      </c>
      <c r="Z43" s="543">
        <f>IFERROR(IF(Z40="",0,Z40),"0")+IFERROR(IF(Z41="",0,Z41),"0")+IFERROR(IF(Z42="",0,Z42),"0")</f>
        <v>0.63139999999999996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280</v>
      </c>
      <c r="Y44" s="543">
        <f>IFERROR(SUM(Y40:Y42),"0")</f>
        <v>280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110</v>
      </c>
      <c r="B46" s="54" t="s">
        <v>111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113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114</v>
      </c>
      <c r="B51" s="54" t="s">
        <v>115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117</v>
      </c>
      <c r="B52" s="54" t="s">
        <v>118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120</v>
      </c>
      <c r="B53" s="54" t="s">
        <v>121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123</v>
      </c>
      <c r="B54" s="54" t="s">
        <v>124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126</v>
      </c>
      <c r="B55" s="54" t="s">
        <v>127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405</v>
      </c>
      <c r="Y56" s="542">
        <f t="shared" si="0"/>
        <v>405</v>
      </c>
      <c r="Z56" s="36">
        <f>IFERROR(IF(Y56=0,"",ROUNDUP(Y56/H56,0)*0.00902),"")</f>
        <v>0.81180000000000008</v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422.1</v>
      </c>
      <c r="BN56" s="64">
        <f t="shared" si="2"/>
        <v>422.1</v>
      </c>
      <c r="BO56" s="64">
        <f t="shared" si="3"/>
        <v>0.68181818181818188</v>
      </c>
      <c r="BP56" s="64">
        <f t="shared" si="4"/>
        <v>0.68181818181818188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90</v>
      </c>
      <c r="Y57" s="543">
        <f>IFERROR(Y51/H51,"0")+IFERROR(Y52/H52,"0")+IFERROR(Y53/H53,"0")+IFERROR(Y54/H54,"0")+IFERROR(Y55/H55,"0")+IFERROR(Y56/H56,"0")</f>
        <v>90</v>
      </c>
      <c r="Z57" s="543">
        <f>IFERROR(IF(Z51="",0,Z51),"0")+IFERROR(IF(Z52="",0,Z52),"0")+IFERROR(IF(Z53="",0,Z53),"0")+IFERROR(IF(Z54="",0,Z54),"0")+IFERROR(IF(Z55="",0,Z55),"0")+IFERROR(IF(Z56="",0,Z56),"0")</f>
        <v>0.81180000000000008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405</v>
      </c>
      <c r="Y58" s="543">
        <f>IFERROR(SUM(Y51:Y56),"0")</f>
        <v>405</v>
      </c>
      <c r="Z58" s="37"/>
      <c r="AA58" s="544"/>
      <c r="AB58" s="544"/>
      <c r="AC58" s="544"/>
    </row>
    <row r="59" spans="1:68" ht="14.25" hidden="1" customHeight="1" x14ac:dyDescent="0.25">
      <c r="A59" s="561" t="s">
        <v>132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133</v>
      </c>
      <c r="B60" s="54" t="s">
        <v>134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136</v>
      </c>
      <c r="B61" s="54" t="s">
        <v>137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138</v>
      </c>
      <c r="B62" s="54" t="s">
        <v>139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140</v>
      </c>
      <c r="B66" s="54" t="s">
        <v>141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143</v>
      </c>
      <c r="B67" s="54" t="s">
        <v>144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146</v>
      </c>
      <c r="B68" s="54" t="s">
        <v>147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149</v>
      </c>
      <c r="B72" s="54" t="s">
        <v>150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152</v>
      </c>
      <c r="B73" s="54" t="s">
        <v>153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155</v>
      </c>
      <c r="B74" s="54" t="s">
        <v>156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157</v>
      </c>
      <c r="B75" s="54" t="s">
        <v>158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160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161</v>
      </c>
      <c r="B79" s="54" t="s">
        <v>162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164</v>
      </c>
      <c r="B80" s="54" t="s">
        <v>165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107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167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168</v>
      </c>
      <c r="B85" s="54" t="s">
        <v>169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/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170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171</v>
      </c>
      <c r="B86" s="54" t="s">
        <v>172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107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173</v>
      </c>
      <c r="B87" s="54" t="s">
        <v>174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107</v>
      </c>
      <c r="L87" s="32"/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720</v>
      </c>
      <c r="Y87" s="542">
        <f>IFERROR(IF(X87="",0,CEILING((X87/$H87),1)*$H87),"")</f>
        <v>720</v>
      </c>
      <c r="Z87" s="36">
        <f>IFERROR(IF(Y87=0,"",ROUNDUP(Y87/H87,0)*0.00902),"")</f>
        <v>1.4432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750.40000000000009</v>
      </c>
      <c r="BN87" s="64">
        <f>IFERROR(Y87*I87/H87,"0")</f>
        <v>750.40000000000009</v>
      </c>
      <c r="BO87" s="64">
        <f>IFERROR(1/J87*(X87/H87),"0")</f>
        <v>1.2121212121212122</v>
      </c>
      <c r="BP87" s="64">
        <f>IFERROR(1/J87*(Y87/H87),"0")</f>
        <v>1.2121212121212122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160</v>
      </c>
      <c r="Y88" s="543">
        <f>IFERROR(Y85/H85,"0")+IFERROR(Y86/H86,"0")+IFERROR(Y87/H87,"0")</f>
        <v>160</v>
      </c>
      <c r="Z88" s="543">
        <f>IFERROR(IF(Z85="",0,Z85),"0")+IFERROR(IF(Z86="",0,Z86),"0")+IFERROR(IF(Z87="",0,Z87),"0")</f>
        <v>1.4432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720</v>
      </c>
      <c r="Y89" s="543">
        <f>IFERROR(SUM(Y85:Y87),"0")</f>
        <v>720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175</v>
      </c>
      <c r="B91" s="54" t="s">
        <v>176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/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177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178</v>
      </c>
      <c r="B92" s="54" t="s">
        <v>179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294.3</v>
      </c>
      <c r="Y93" s="542">
        <f>IFERROR(IF(X93="",0,CEILING((X93/$H93),1)*$H93),"")</f>
        <v>294.3</v>
      </c>
      <c r="Z93" s="36">
        <f>IFERROR(IF(Y93=0,"",ROUNDUP(Y93/H93,0)*0.00651),"")</f>
        <v>0.70959000000000005</v>
      </c>
      <c r="AA93" s="56"/>
      <c r="AB93" s="57"/>
      <c r="AC93" s="137" t="s">
        <v>177</v>
      </c>
      <c r="AG93" s="64"/>
      <c r="AJ93" s="68"/>
      <c r="AK93" s="68">
        <v>0</v>
      </c>
      <c r="BB93" s="138" t="s">
        <v>1</v>
      </c>
      <c r="BM93" s="64">
        <f>IFERROR(X93*I93/H93,"0")</f>
        <v>321.76799999999997</v>
      </c>
      <c r="BN93" s="64">
        <f>IFERROR(Y93*I93/H93,"0")</f>
        <v>321.76799999999997</v>
      </c>
      <c r="BO93" s="64">
        <f>IFERROR(1/J93*(X93/H93),"0")</f>
        <v>0.59890109890109899</v>
      </c>
      <c r="BP93" s="64">
        <f>IFERROR(1/J93*(Y93/H93),"0")</f>
        <v>0.59890109890109899</v>
      </c>
    </row>
    <row r="94" spans="1:68" ht="16.5" hidden="1" customHeight="1" x14ac:dyDescent="0.25">
      <c r="A94" s="54" t="s">
        <v>183</v>
      </c>
      <c r="B94" s="54" t="s">
        <v>184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109</v>
      </c>
      <c r="Y95" s="543">
        <f>IFERROR(Y91/H91,"0")+IFERROR(Y92/H92,"0")+IFERROR(Y93/H93,"0")+IFERROR(Y94/H94,"0")</f>
        <v>109</v>
      </c>
      <c r="Z95" s="543">
        <f>IFERROR(IF(Z91="",0,Z91),"0")+IFERROR(IF(Z92="",0,Z92),"0")+IFERROR(IF(Z93="",0,Z93),"0")+IFERROR(IF(Z94="",0,Z94),"0")</f>
        <v>0.70959000000000005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294.3</v>
      </c>
      <c r="Y96" s="543">
        <f>IFERROR(SUM(Y91:Y94),"0")</f>
        <v>294.3</v>
      </c>
      <c r="Z96" s="37"/>
      <c r="AA96" s="544"/>
      <c r="AB96" s="544"/>
      <c r="AC96" s="544"/>
    </row>
    <row r="97" spans="1:68" ht="16.5" hidden="1" customHeight="1" x14ac:dyDescent="0.25">
      <c r="A97" s="560" t="s">
        <v>186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187</v>
      </c>
      <c r="B99" s="54" t="s">
        <v>188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190</v>
      </c>
      <c r="B100" s="54" t="s">
        <v>191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107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192</v>
      </c>
      <c r="B101" s="54" t="s">
        <v>193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107</v>
      </c>
      <c r="L101" s="32" t="s">
        <v>194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2250</v>
      </c>
      <c r="Y101" s="542">
        <f>IFERROR(IF(X101="",0,CEILING((X101/$H101),1)*$H101),"")</f>
        <v>2250</v>
      </c>
      <c r="Z101" s="36">
        <f>IFERROR(IF(Y101=0,"",ROUNDUP(Y101/H101,0)*0.00902),"")</f>
        <v>4.51</v>
      </c>
      <c r="AA101" s="56"/>
      <c r="AB101" s="57"/>
      <c r="AC101" s="145" t="s">
        <v>189</v>
      </c>
      <c r="AG101" s="64"/>
      <c r="AJ101" s="68" t="s">
        <v>195</v>
      </c>
      <c r="AK101" s="68">
        <v>54</v>
      </c>
      <c r="BB101" s="146" t="s">
        <v>1</v>
      </c>
      <c r="BM101" s="64">
        <f>IFERROR(X101*I101/H101,"0")</f>
        <v>2345</v>
      </c>
      <c r="BN101" s="64">
        <f>IFERROR(Y101*I101/H101,"0")</f>
        <v>2345</v>
      </c>
      <c r="BO101" s="64">
        <f>IFERROR(1/J101*(X101/H101),"0")</f>
        <v>3.7878787878787881</v>
      </c>
      <c r="BP101" s="64">
        <f>IFERROR(1/J101*(Y101/H101),"0")</f>
        <v>3.7878787878787881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107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500</v>
      </c>
      <c r="Y103" s="543">
        <f>IFERROR(Y99/H99,"0")+IFERROR(Y100/H100,"0")+IFERROR(Y101/H101,"0")+IFERROR(Y102/H102,"0")</f>
        <v>500</v>
      </c>
      <c r="Z103" s="543">
        <f>IFERROR(IF(Z99="",0,Z99),"0")+IFERROR(IF(Z100="",0,Z100),"0")+IFERROR(IF(Z101="",0,Z101),"0")+IFERROR(IF(Z102="",0,Z102),"0")</f>
        <v>4.51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2250</v>
      </c>
      <c r="Y104" s="543">
        <f>IFERROR(SUM(Y99:Y102),"0")</f>
        <v>2250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132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198</v>
      </c>
      <c r="B106" s="54" t="s">
        <v>199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103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103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203</v>
      </c>
      <c r="B108" s="54" t="s">
        <v>204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103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205</v>
      </c>
      <c r="B112" s="54" t="s">
        <v>206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/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208</v>
      </c>
      <c r="B113" s="54" t="s">
        <v>209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212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488.7</v>
      </c>
      <c r="Y114" s="542">
        <f>IFERROR(IF(X114="",0,CEILING((X114/$H114),1)*$H114),"")</f>
        <v>488.70000000000005</v>
      </c>
      <c r="Z114" s="36">
        <f>IFERROR(IF(Y114=0,"",ROUNDUP(Y114/H114,0)*0.00651),"")</f>
        <v>1.17831</v>
      </c>
      <c r="AA114" s="56"/>
      <c r="AB114" s="57"/>
      <c r="AC114" s="159" t="s">
        <v>207</v>
      </c>
      <c r="AG114" s="64"/>
      <c r="AJ114" s="68" t="s">
        <v>195</v>
      </c>
      <c r="AK114" s="68">
        <v>37.799999999999997</v>
      </c>
      <c r="BB114" s="160" t="s">
        <v>1</v>
      </c>
      <c r="BM114" s="64">
        <f>IFERROR(X114*I114/H114,"0")</f>
        <v>534.3119999999999</v>
      </c>
      <c r="BN114" s="64">
        <f>IFERROR(Y114*I114/H114,"0")</f>
        <v>534.31200000000001</v>
      </c>
      <c r="BO114" s="64">
        <f>IFERROR(1/J114*(X114/H114),"0")</f>
        <v>0.99450549450549441</v>
      </c>
      <c r="BP114" s="64">
        <f>IFERROR(1/J114*(Y114/H114),"0")</f>
        <v>0.99450549450549464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180.99999999999997</v>
      </c>
      <c r="Y116" s="543">
        <f>IFERROR(Y112/H112,"0")+IFERROR(Y113/H113,"0")+IFERROR(Y114/H114,"0")+IFERROR(Y115/H115,"0")</f>
        <v>181</v>
      </c>
      <c r="Z116" s="543">
        <f>IFERROR(IF(Z112="",0,Z112),"0")+IFERROR(IF(Z113="",0,Z113),"0")+IFERROR(IF(Z114="",0,Z114),"0")+IFERROR(IF(Z115="",0,Z115),"0")</f>
        <v>1.17831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488.7</v>
      </c>
      <c r="Y117" s="543">
        <f>IFERROR(SUM(Y112:Y115),"0")</f>
        <v>488.70000000000005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160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103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107</v>
      </c>
      <c r="L141" s="32"/>
      <c r="M141" s="33" t="s">
        <v>103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103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248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249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250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132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251</v>
      </c>
      <c r="B157" s="54" t="s">
        <v>252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253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254</v>
      </c>
      <c r="B161" s="54" t="s">
        <v>255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107</v>
      </c>
      <c r="L161" s="32"/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256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257</v>
      </c>
      <c r="B162" s="54" t="s">
        <v>258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107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259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260</v>
      </c>
      <c r="B163" s="54" t="s">
        <v>261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262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263</v>
      </c>
      <c r="B164" s="54" t="s">
        <v>264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/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256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265</v>
      </c>
      <c r="B165" s="54" t="s">
        <v>266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267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268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269</v>
      </c>
      <c r="B166" s="54" t="s">
        <v>270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259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271</v>
      </c>
      <c r="B167" s="54" t="s">
        <v>272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273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274</v>
      </c>
      <c r="B168" s="54" t="s">
        <v>275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262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276</v>
      </c>
      <c r="B169" s="54" t="s">
        <v>277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262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278</v>
      </c>
      <c r="B170" s="54" t="s">
        <v>279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281</v>
      </c>
      <c r="B174" s="54" t="s">
        <v>282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283</v>
      </c>
      <c r="L174" s="32"/>
      <c r="M174" s="33" t="s">
        <v>284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285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286</v>
      </c>
      <c r="B175" s="54" t="s">
        <v>287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283</v>
      </c>
      <c r="L175" s="32"/>
      <c r="M175" s="33" t="s">
        <v>284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288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289</v>
      </c>
      <c r="B176" s="54" t="s">
        <v>290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283</v>
      </c>
      <c r="L176" s="32"/>
      <c r="M176" s="33" t="s">
        <v>284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288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291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292</v>
      </c>
      <c r="B180" s="54" t="s">
        <v>293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283</v>
      </c>
      <c r="L180" s="32"/>
      <c r="M180" s="33" t="s">
        <v>284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288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294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295</v>
      </c>
      <c r="B185" s="54" t="s">
        <v>296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103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297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298</v>
      </c>
      <c r="B186" s="54" t="s">
        <v>299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103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297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132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300</v>
      </c>
      <c r="B190" s="54" t="s">
        <v>301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103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302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303</v>
      </c>
      <c r="B191" s="54" t="s">
        <v>304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103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302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305</v>
      </c>
      <c r="B195" s="54" t="s">
        <v>306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107</v>
      </c>
      <c r="L195" s="32"/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307</v>
      </c>
      <c r="AG195" s="64"/>
      <c r="AJ195" s="68"/>
      <c r="AK195" s="68">
        <v>0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308</v>
      </c>
      <c r="B196" s="54" t="s">
        <v>309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310</v>
      </c>
      <c r="AG196" s="64"/>
      <c r="AJ196" s="68"/>
      <c r="AK196" s="68">
        <v>0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311</v>
      </c>
      <c r="B197" s="54" t="s">
        <v>312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313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314</v>
      </c>
      <c r="B198" s="54" t="s">
        <v>315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316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317</v>
      </c>
      <c r="B199" s="54" t="s">
        <v>318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319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61.2</v>
      </c>
      <c r="Y199" s="542">
        <f t="shared" si="10"/>
        <v>61.2</v>
      </c>
      <c r="Z199" s="36">
        <f>IFERROR(IF(Y199=0,"",ROUNDUP(Y199/H199,0)*0.00502),"")</f>
        <v>0.17068</v>
      </c>
      <c r="AA199" s="56"/>
      <c r="AB199" s="57"/>
      <c r="AC199" s="235" t="s">
        <v>307</v>
      </c>
      <c r="AG199" s="64"/>
      <c r="AJ199" s="68" t="s">
        <v>195</v>
      </c>
      <c r="AK199" s="68">
        <v>32.4</v>
      </c>
      <c r="BB199" s="236" t="s">
        <v>1</v>
      </c>
      <c r="BM199" s="64">
        <f t="shared" si="11"/>
        <v>65.62</v>
      </c>
      <c r="BN199" s="64">
        <f t="shared" si="12"/>
        <v>65.62</v>
      </c>
      <c r="BO199" s="64">
        <f t="shared" si="13"/>
        <v>0.14529914529914531</v>
      </c>
      <c r="BP199" s="64">
        <f t="shared" si="14"/>
        <v>0.14529914529914531</v>
      </c>
    </row>
    <row r="200" spans="1:68" ht="27" hidden="1" customHeight="1" x14ac:dyDescent="0.25">
      <c r="A200" s="54" t="s">
        <v>320</v>
      </c>
      <c r="B200" s="54" t="s">
        <v>321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310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322</v>
      </c>
      <c r="B201" s="54" t="s">
        <v>323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90</v>
      </c>
      <c r="Y201" s="542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313</v>
      </c>
      <c r="AG201" s="64"/>
      <c r="AJ201" s="68"/>
      <c r="AK201" s="68">
        <v>0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hidden="1" customHeight="1" x14ac:dyDescent="0.25">
      <c r="A202" s="54" t="s">
        <v>324</v>
      </c>
      <c r="B202" s="54" t="s">
        <v>325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316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84</v>
      </c>
      <c r="Y203" s="543">
        <f>IFERROR(Y195/H195,"0")+IFERROR(Y196/H196,"0")+IFERROR(Y197/H197,"0")+IFERROR(Y198/H198,"0")+IFERROR(Y199/H199,"0")+IFERROR(Y200/H200,"0")+IFERROR(Y201/H201,"0")+IFERROR(Y202/H202,"0")</f>
        <v>84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0.42168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151.19999999999999</v>
      </c>
      <c r="Y204" s="543">
        <f>IFERROR(SUM(Y195:Y202),"0")</f>
        <v>151.19999999999999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326</v>
      </c>
      <c r="B206" s="54" t="s">
        <v>327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328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329</v>
      </c>
      <c r="B207" s="54" t="s">
        <v>330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331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332</v>
      </c>
      <c r="B208" s="54" t="s">
        <v>333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334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335</v>
      </c>
      <c r="B209" s="54" t="s">
        <v>336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212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400.8</v>
      </c>
      <c r="Y209" s="542">
        <f t="shared" si="15"/>
        <v>400.8</v>
      </c>
      <c r="Z209" s="36">
        <f t="shared" ref="Z209:Z214" si="20">IFERROR(IF(Y209=0,"",ROUNDUP(Y209/H209,0)*0.00651),"")</f>
        <v>1.08717</v>
      </c>
      <c r="AA209" s="56"/>
      <c r="AB209" s="57"/>
      <c r="AC209" s="249" t="s">
        <v>328</v>
      </c>
      <c r="AG209" s="64"/>
      <c r="AJ209" s="68" t="s">
        <v>195</v>
      </c>
      <c r="AK209" s="68">
        <v>33.6</v>
      </c>
      <c r="BB209" s="250" t="s">
        <v>1</v>
      </c>
      <c r="BM209" s="64">
        <f t="shared" si="16"/>
        <v>445.89</v>
      </c>
      <c r="BN209" s="64">
        <f t="shared" si="17"/>
        <v>445.89</v>
      </c>
      <c r="BO209" s="64">
        <f t="shared" si="18"/>
        <v>0.91758241758241765</v>
      </c>
      <c r="BP209" s="64">
        <f t="shared" si="19"/>
        <v>0.91758241758241765</v>
      </c>
    </row>
    <row r="210" spans="1:68" ht="27" hidden="1" customHeight="1" x14ac:dyDescent="0.25">
      <c r="A210" s="54" t="s">
        <v>337</v>
      </c>
      <c r="B210" s="54" t="s">
        <v>338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334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339</v>
      </c>
      <c r="B211" s="54" t="s">
        <v>340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212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201.6</v>
      </c>
      <c r="Y211" s="542">
        <f t="shared" si="15"/>
        <v>201.6</v>
      </c>
      <c r="Z211" s="36">
        <f t="shared" si="20"/>
        <v>0.54683999999999999</v>
      </c>
      <c r="AA211" s="56"/>
      <c r="AB211" s="57"/>
      <c r="AC211" s="253" t="s">
        <v>334</v>
      </c>
      <c r="AG211" s="64"/>
      <c r="AJ211" s="68" t="s">
        <v>195</v>
      </c>
      <c r="AK211" s="68">
        <v>33.6</v>
      </c>
      <c r="BB211" s="254" t="s">
        <v>1</v>
      </c>
      <c r="BM211" s="64">
        <f t="shared" si="16"/>
        <v>222.768</v>
      </c>
      <c r="BN211" s="64">
        <f t="shared" si="17"/>
        <v>222.768</v>
      </c>
      <c r="BO211" s="64">
        <f t="shared" si="18"/>
        <v>0.46153846153846156</v>
      </c>
      <c r="BP211" s="64">
        <f t="shared" si="19"/>
        <v>0.46153846153846156</v>
      </c>
    </row>
    <row r="212" spans="1:68" ht="27" hidden="1" customHeight="1" x14ac:dyDescent="0.25">
      <c r="A212" s="54" t="s">
        <v>341</v>
      </c>
      <c r="B212" s="54" t="s">
        <v>342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334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343</v>
      </c>
      <c r="B213" s="54" t="s">
        <v>344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345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346</v>
      </c>
      <c r="B214" s="54" t="s">
        <v>347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/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331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251</v>
      </c>
      <c r="Y215" s="543">
        <f>IFERROR(Y206/H206,"0")+IFERROR(Y207/H207,"0")+IFERROR(Y208/H208,"0")+IFERROR(Y209/H209,"0")+IFERROR(Y210/H210,"0")+IFERROR(Y211/H211,"0")+IFERROR(Y212/H212,"0")+IFERROR(Y213/H213,"0")+IFERROR(Y214/H214,"0")</f>
        <v>251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1.63401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602.4</v>
      </c>
      <c r="Y216" s="543">
        <f>IFERROR(SUM(Y206:Y214),"0")</f>
        <v>602.4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160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348</v>
      </c>
      <c r="B218" s="54" t="s">
        <v>349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350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351</v>
      </c>
      <c r="B219" s="54" t="s">
        <v>352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353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354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355</v>
      </c>
      <c r="B224" s="54" t="s">
        <v>356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103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357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358</v>
      </c>
      <c r="B225" s="54" t="s">
        <v>359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360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361</v>
      </c>
      <c r="B226" s="54" t="s">
        <v>362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363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364</v>
      </c>
      <c r="B227" s="54" t="s">
        <v>365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107</v>
      </c>
      <c r="L227" s="32"/>
      <c r="M227" s="33" t="s">
        <v>103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364</v>
      </c>
      <c r="B228" s="54" t="s">
        <v>366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357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367</v>
      </c>
      <c r="B229" s="54" t="s">
        <v>368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369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370</v>
      </c>
      <c r="B230" s="54" t="s">
        <v>371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360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372</v>
      </c>
      <c r="B231" s="54" t="s">
        <v>373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103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360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374</v>
      </c>
      <c r="B232" s="54" t="s">
        <v>375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107</v>
      </c>
      <c r="L232" s="32"/>
      <c r="M232" s="33" t="s">
        <v>103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363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374</v>
      </c>
      <c r="B233" s="54" t="s">
        <v>376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132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customHeight="1" x14ac:dyDescent="0.25">
      <c r="A237" s="54" t="s">
        <v>377</v>
      </c>
      <c r="B237" s="54" t="s">
        <v>378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33.659999999999997</v>
      </c>
      <c r="Y237" s="542">
        <f>IFERROR(IF(X237="",0,CEILING((X237/$H237),1)*$H237),"")</f>
        <v>33.659999999999997</v>
      </c>
      <c r="Z237" s="36">
        <f>IFERROR(IF(Y237=0,"",ROUNDUP(Y237/H237,0)*0.00502),"")</f>
        <v>8.5339999999999999E-2</v>
      </c>
      <c r="AA237" s="56"/>
      <c r="AB237" s="57"/>
      <c r="AC237" s="285" t="s">
        <v>379</v>
      </c>
      <c r="AG237" s="64"/>
      <c r="AJ237" s="68"/>
      <c r="AK237" s="68">
        <v>0</v>
      </c>
      <c r="BB237" s="286" t="s">
        <v>1</v>
      </c>
      <c r="BM237" s="64">
        <f>IFERROR(X237*I237/H237,"0")</f>
        <v>35.36</v>
      </c>
      <c r="BN237" s="64">
        <f>IFERROR(Y237*I237/H237,"0")</f>
        <v>35.36</v>
      </c>
      <c r="BO237" s="64">
        <f>IFERROR(1/J237*(X237/H237),"0")</f>
        <v>7.2649572649572655E-2</v>
      </c>
      <c r="BP237" s="64">
        <f>IFERROR(1/J237*(Y237/H237),"0")</f>
        <v>7.2649572649572655E-2</v>
      </c>
    </row>
    <row r="238" spans="1:68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17</v>
      </c>
      <c r="Y238" s="543">
        <f>IFERROR(Y237/H237,"0")</f>
        <v>17</v>
      </c>
      <c r="Z238" s="543">
        <f>IFERROR(IF(Z237="",0,Z237),"0")</f>
        <v>8.5339999999999999E-2</v>
      </c>
      <c r="AA238" s="544"/>
      <c r="AB238" s="544"/>
      <c r="AC238" s="544"/>
    </row>
    <row r="239" spans="1:68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33.659999999999997</v>
      </c>
      <c r="Y239" s="543">
        <f>IFERROR(SUM(Y237:Y237),"0")</f>
        <v>33.659999999999997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380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381</v>
      </c>
      <c r="B241" s="54" t="s">
        <v>382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283</v>
      </c>
      <c r="L241" s="32"/>
      <c r="M241" s="33" t="s">
        <v>284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383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384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385</v>
      </c>
      <c r="B245" s="54" t="s">
        <v>386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283</v>
      </c>
      <c r="L245" s="32"/>
      <c r="M245" s="33" t="s">
        <v>284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387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388</v>
      </c>
      <c r="B246" s="54" t="s">
        <v>389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283</v>
      </c>
      <c r="L246" s="32"/>
      <c r="M246" s="33" t="s">
        <v>284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387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390</v>
      </c>
      <c r="B247" s="54" t="s">
        <v>391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283</v>
      </c>
      <c r="L247" s="32"/>
      <c r="M247" s="33" t="s">
        <v>284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387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392</v>
      </c>
      <c r="B248" s="54" t="s">
        <v>393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283</v>
      </c>
      <c r="L248" s="32"/>
      <c r="M248" s="33" t="s">
        <v>284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387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394</v>
      </c>
      <c r="B249" s="54" t="s">
        <v>395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283</v>
      </c>
      <c r="L249" s="32"/>
      <c r="M249" s="33" t="s">
        <v>284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387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396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397</v>
      </c>
      <c r="B254" s="54" t="s">
        <v>398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103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399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400</v>
      </c>
      <c r="B255" s="54" t="s">
        <v>401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402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403</v>
      </c>
      <c r="B256" s="54" t="s">
        <v>404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405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406</v>
      </c>
      <c r="B257" s="54" t="s">
        <v>407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107</v>
      </c>
      <c r="L257" s="32"/>
      <c r="M257" s="33" t="s">
        <v>103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408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409</v>
      </c>
      <c r="B258" s="54" t="s">
        <v>410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411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412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413</v>
      </c>
      <c r="B263" s="54" t="s">
        <v>414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415</v>
      </c>
      <c r="B264" s="54" t="s">
        <v>416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418</v>
      </c>
      <c r="B265" s="54" t="s">
        <v>419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363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420</v>
      </c>
      <c r="B266" s="54" t="s">
        <v>421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103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422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423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424</v>
      </c>
      <c r="B271" s="54" t="s">
        <v>425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426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427</v>
      </c>
      <c r="B272" s="54" t="s">
        <v>428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429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430</v>
      </c>
      <c r="B273" s="54" t="s">
        <v>431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432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433</v>
      </c>
      <c r="B278" s="54" t="s">
        <v>434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435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436</v>
      </c>
      <c r="B279" s="54" t="s">
        <v>437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438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439</v>
      </c>
      <c r="B283" s="54" t="s">
        <v>440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107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441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442</v>
      </c>
      <c r="B284" s="54" t="s">
        <v>443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107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444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445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446</v>
      </c>
      <c r="B289" s="54" t="s">
        <v>447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448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449</v>
      </c>
      <c r="B290" s="54" t="s">
        <v>450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103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451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452</v>
      </c>
      <c r="B291" s="54" t="s">
        <v>453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454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455</v>
      </c>
      <c r="B292" s="54" t="s">
        <v>456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107</v>
      </c>
      <c r="L292" s="32"/>
      <c r="M292" s="33" t="s">
        <v>103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457</v>
      </c>
      <c r="B293" s="54" t="s">
        <v>458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107</v>
      </c>
      <c r="L293" s="32"/>
      <c r="M293" s="33" t="s">
        <v>103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459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460</v>
      </c>
      <c r="B297" s="54" t="s">
        <v>461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107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462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463</v>
      </c>
      <c r="B298" s="54" t="s">
        <v>464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465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466</v>
      </c>
      <c r="B299" s="54" t="s">
        <v>467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107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468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469</v>
      </c>
      <c r="B300" s="54" t="s">
        <v>470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465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471</v>
      </c>
      <c r="B301" s="54" t="s">
        <v>472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474</v>
      </c>
      <c r="B302" s="54" t="s">
        <v>475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473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476</v>
      </c>
      <c r="B303" s="54" t="s">
        <v>477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479</v>
      </c>
      <c r="B307" s="54" t="s">
        <v>480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481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482</v>
      </c>
      <c r="B308" s="54" t="s">
        <v>483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484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487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488</v>
      </c>
      <c r="B310" s="54" t="s">
        <v>489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490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160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491</v>
      </c>
      <c r="B314" s="54" t="s">
        <v>492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493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494</v>
      </c>
      <c r="B315" s="54" t="s">
        <v>495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496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497</v>
      </c>
      <c r="B316" s="54" t="s">
        <v>498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499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500</v>
      </c>
      <c r="B320" s="54" t="s">
        <v>501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107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502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503</v>
      </c>
      <c r="B321" s="54" t="s">
        <v>504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502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505</v>
      </c>
      <c r="B322" s="54" t="s">
        <v>506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508</v>
      </c>
      <c r="B323" s="54" t="s">
        <v>509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510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511</v>
      </c>
      <c r="B327" s="54" t="s">
        <v>512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513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514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515</v>
      </c>
      <c r="B328" s="54" t="s">
        <v>516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513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514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517</v>
      </c>
      <c r="B329" s="54" t="s">
        <v>518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513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519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520</v>
      </c>
      <c r="B334" s="54" t="s">
        <v>521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522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523</v>
      </c>
      <c r="B335" s="54" t="s">
        <v>524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212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875.69999999999993</v>
      </c>
      <c r="Y335" s="542">
        <f>IFERROR(IF(X335="",0,CEILING((X335/$H335),1)*$H335),"")</f>
        <v>875.7</v>
      </c>
      <c r="Z335" s="36">
        <f>IFERROR(IF(Y335=0,"",ROUNDUP(Y335/H335,0)*0.00651),"")</f>
        <v>2.7146699999999999</v>
      </c>
      <c r="AA335" s="56"/>
      <c r="AB335" s="57"/>
      <c r="AC335" s="385" t="s">
        <v>525</v>
      </c>
      <c r="AG335" s="64"/>
      <c r="AJ335" s="68" t="s">
        <v>195</v>
      </c>
      <c r="AK335" s="68">
        <v>29.4</v>
      </c>
      <c r="BB335" s="386" t="s">
        <v>1</v>
      </c>
      <c r="BM335" s="64">
        <f>IFERROR(X335*I335/H335,"0")</f>
        <v>980.78399999999976</v>
      </c>
      <c r="BN335" s="64">
        <f>IFERROR(Y335*I335/H335,"0")</f>
        <v>980.78399999999999</v>
      </c>
      <c r="BO335" s="64">
        <f>IFERROR(1/J335*(X335/H335),"0")</f>
        <v>2.2912087912087911</v>
      </c>
      <c r="BP335" s="64">
        <f>IFERROR(1/J335*(Y335/H335),"0")</f>
        <v>2.2912087912087915</v>
      </c>
    </row>
    <row r="336" spans="1:68" ht="27" customHeight="1" x14ac:dyDescent="0.25">
      <c r="A336" s="54" t="s">
        <v>526</v>
      </c>
      <c r="B336" s="54" t="s">
        <v>527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212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350.7</v>
      </c>
      <c r="Y336" s="542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528</v>
      </c>
      <c r="AG336" s="64"/>
      <c r="AJ336" s="68" t="s">
        <v>195</v>
      </c>
      <c r="AK336" s="68">
        <v>29.4</v>
      </c>
      <c r="BB336" s="388" t="s">
        <v>1</v>
      </c>
      <c r="BM336" s="64">
        <f>IFERROR(X336*I336/H336,"0")</f>
        <v>390.78</v>
      </c>
      <c r="BN336" s="64">
        <f>IFERROR(Y336*I336/H336,"0")</f>
        <v>390.78</v>
      </c>
      <c r="BO336" s="64">
        <f>IFERROR(1/J336*(X336/H336),"0")</f>
        <v>0.91758241758241765</v>
      </c>
      <c r="BP336" s="64">
        <f>IFERROR(1/J336*(Y336/H336),"0")</f>
        <v>0.91758241758241765</v>
      </c>
    </row>
    <row r="337" spans="1:68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584</v>
      </c>
      <c r="Y337" s="543">
        <f>IFERROR(Y334/H334,"0")+IFERROR(Y335/H335,"0")+IFERROR(Y336/H336,"0")</f>
        <v>584</v>
      </c>
      <c r="Z337" s="543">
        <f>IFERROR(IF(Z334="",0,Z334),"0")+IFERROR(IF(Z335="",0,Z335),"0")+IFERROR(IF(Z336="",0,Z336),"0")</f>
        <v>3.8018399999999999</v>
      </c>
      <c r="AA337" s="544"/>
      <c r="AB337" s="544"/>
      <c r="AC337" s="544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1226.3999999999999</v>
      </c>
      <c r="Y338" s="543">
        <f>IFERROR(SUM(Y334:Y336),"0")</f>
        <v>1226.4000000000001</v>
      </c>
      <c r="Z338" s="37"/>
      <c r="AA338" s="544"/>
      <c r="AB338" s="544"/>
      <c r="AC338" s="544"/>
    </row>
    <row r="339" spans="1:68" ht="27.75" hidden="1" customHeight="1" x14ac:dyDescent="0.2">
      <c r="A339" s="631" t="s">
        <v>529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530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531</v>
      </c>
      <c r="B342" s="54" t="s">
        <v>532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30</v>
      </c>
      <c r="Y342" s="542">
        <f t="shared" ref="Y342:Y348" si="31">IFERROR(IF(X342="",0,CEILING((X342/$H342),1)*$H342),"")</f>
        <v>30</v>
      </c>
      <c r="Z342" s="36">
        <f>IFERROR(IF(Y342=0,"",ROUNDUP(Y342/H342,0)*0.02175),"")</f>
        <v>4.3499999999999997E-2</v>
      </c>
      <c r="AA342" s="56"/>
      <c r="AB342" s="57"/>
      <c r="AC342" s="389" t="s">
        <v>533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30.94</v>
      </c>
      <c r="BN342" s="64">
        <f t="shared" ref="BN342:BN348" si="33">IFERROR(Y342*I342/H342,"0")</f>
        <v>30.94</v>
      </c>
      <c r="BO342" s="64">
        <f t="shared" ref="BO342:BO348" si="34">IFERROR(1/J342*(X342/H342),"0")</f>
        <v>4.1666666666666664E-2</v>
      </c>
      <c r="BP342" s="64">
        <f t="shared" ref="BP342:BP348" si="35">IFERROR(1/J342*(Y342/H342),"0")</f>
        <v>4.1666666666666664E-2</v>
      </c>
    </row>
    <row r="343" spans="1:68" ht="27" hidden="1" customHeight="1" x14ac:dyDescent="0.25">
      <c r="A343" s="54" t="s">
        <v>534</v>
      </c>
      <c r="B343" s="54" t="s">
        <v>535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536</v>
      </c>
      <c r="AG343" s="64"/>
      <c r="AJ343" s="68"/>
      <c r="AK343" s="68">
        <v>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537</v>
      </c>
      <c r="B344" s="54" t="s">
        <v>538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30</v>
      </c>
      <c r="Y344" s="542">
        <f t="shared" si="31"/>
        <v>30</v>
      </c>
      <c r="Z344" s="36">
        <f>IFERROR(IF(Y344=0,"",ROUNDUP(Y344/H344,0)*0.02175),"")</f>
        <v>4.3499999999999997E-2</v>
      </c>
      <c r="AA344" s="56"/>
      <c r="AB344" s="57"/>
      <c r="AC344" s="393" t="s">
        <v>539</v>
      </c>
      <c r="AG344" s="64"/>
      <c r="AJ344" s="68"/>
      <c r="AK344" s="68">
        <v>0</v>
      </c>
      <c r="BB344" s="394" t="s">
        <v>1</v>
      </c>
      <c r="BM344" s="64">
        <f t="shared" si="32"/>
        <v>30.94</v>
      </c>
      <c r="BN344" s="64">
        <f t="shared" si="33"/>
        <v>30.94</v>
      </c>
      <c r="BO344" s="64">
        <f t="shared" si="34"/>
        <v>4.1666666666666664E-2</v>
      </c>
      <c r="BP344" s="64">
        <f t="shared" si="35"/>
        <v>4.1666666666666664E-2</v>
      </c>
    </row>
    <row r="345" spans="1:68" ht="27" hidden="1" customHeight="1" x14ac:dyDescent="0.25">
      <c r="A345" s="54" t="s">
        <v>540</v>
      </c>
      <c r="B345" s="54" t="s">
        <v>541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542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543</v>
      </c>
      <c r="B346" s="54" t="s">
        <v>544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107</v>
      </c>
      <c r="L346" s="32"/>
      <c r="M346" s="33" t="s">
        <v>103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545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546</v>
      </c>
      <c r="B347" s="54" t="s">
        <v>547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107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548</v>
      </c>
      <c r="B348" s="54" t="s">
        <v>549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539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4</v>
      </c>
      <c r="Y349" s="543">
        <f>IFERROR(Y342/H342,"0")+IFERROR(Y343/H343,"0")+IFERROR(Y344/H344,"0")+IFERROR(Y345/H345,"0")+IFERROR(Y346/H346,"0")+IFERROR(Y347/H347,"0")+IFERROR(Y348/H348,"0")</f>
        <v>4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8.6999999999999994E-2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60</v>
      </c>
      <c r="Y350" s="543">
        <f>IFERROR(SUM(Y342:Y348),"0")</f>
        <v>60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132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550</v>
      </c>
      <c r="B352" s="54" t="s">
        <v>551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103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30</v>
      </c>
      <c r="Y352" s="542">
        <f>IFERROR(IF(X352="",0,CEILING((X352/$H352),1)*$H352),"")</f>
        <v>30</v>
      </c>
      <c r="Z352" s="36">
        <f>IFERROR(IF(Y352=0,"",ROUNDUP(Y352/H352,0)*0.02175),"")</f>
        <v>4.3499999999999997E-2</v>
      </c>
      <c r="AA352" s="56"/>
      <c r="AB352" s="57"/>
      <c r="AC352" s="403" t="s">
        <v>552</v>
      </c>
      <c r="AG352" s="64"/>
      <c r="AJ352" s="68"/>
      <c r="AK352" s="68">
        <v>0</v>
      </c>
      <c r="BB352" s="404" t="s">
        <v>1</v>
      </c>
      <c r="BM352" s="64">
        <f>IFERROR(X352*I352/H352,"0")</f>
        <v>30.94</v>
      </c>
      <c r="BN352" s="64">
        <f>IFERROR(Y352*I352/H352,"0")</f>
        <v>30.94</v>
      </c>
      <c r="BO352" s="64">
        <f>IFERROR(1/J352*(X352/H352),"0")</f>
        <v>4.1666666666666664E-2</v>
      </c>
      <c r="BP352" s="64">
        <f>IFERROR(1/J352*(Y352/H352),"0")</f>
        <v>4.1666666666666664E-2</v>
      </c>
    </row>
    <row r="353" spans="1:68" ht="27" hidden="1" customHeight="1" x14ac:dyDescent="0.25">
      <c r="A353" s="54" t="s">
        <v>553</v>
      </c>
      <c r="B353" s="54" t="s">
        <v>554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107</v>
      </c>
      <c r="L353" s="32"/>
      <c r="M353" s="33" t="s">
        <v>103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2</v>
      </c>
      <c r="Y354" s="543">
        <f>IFERROR(Y352/H352,"0")+IFERROR(Y353/H353,"0")</f>
        <v>2</v>
      </c>
      <c r="Z354" s="543">
        <f>IFERROR(IF(Z352="",0,Z352),"0")+IFERROR(IF(Z353="",0,Z353),"0")</f>
        <v>4.3499999999999997E-2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30</v>
      </c>
      <c r="Y355" s="543">
        <f>IFERROR(SUM(Y352:Y353),"0")</f>
        <v>30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556</v>
      </c>
      <c r="B357" s="54" t="s">
        <v>557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558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561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160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562</v>
      </c>
      <c r="B362" s="54" t="s">
        <v>563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564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565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566</v>
      </c>
      <c r="B367" s="54" t="s">
        <v>567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568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569</v>
      </c>
      <c r="B368" s="54" t="s">
        <v>570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107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568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571</v>
      </c>
      <c r="B372" s="54" t="s">
        <v>572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107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573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571</v>
      </c>
      <c r="B373" s="54" t="s">
        <v>574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575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576</v>
      </c>
      <c r="B377" s="54" t="s">
        <v>577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/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578</v>
      </c>
      <c r="AG377" s="64"/>
      <c r="AJ377" s="68"/>
      <c r="AK377" s="68">
        <v>0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579</v>
      </c>
      <c r="B378" s="54" t="s">
        <v>580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578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579</v>
      </c>
      <c r="B379" s="54" t="s">
        <v>581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582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584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585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586</v>
      </c>
      <c r="B385" s="54" t="s">
        <v>587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588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589</v>
      </c>
      <c r="B386" s="54" t="s">
        <v>590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591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592</v>
      </c>
      <c r="B387" s="54" t="s">
        <v>593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107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594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588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597</v>
      </c>
      <c r="B389" s="54" t="s">
        <v>598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588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599</v>
      </c>
      <c r="B390" s="54" t="s">
        <v>600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601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602</v>
      </c>
      <c r="B391" s="54" t="s">
        <v>603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604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605</v>
      </c>
      <c r="B392" s="54" t="s">
        <v>606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607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608</v>
      </c>
      <c r="B393" s="54" t="s">
        <v>609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610</v>
      </c>
      <c r="B397" s="54" t="s">
        <v>611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107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612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613</v>
      </c>
      <c r="B398" s="54" t="s">
        <v>614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615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616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132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617</v>
      </c>
      <c r="B403" s="54" t="s">
        <v>618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619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620</v>
      </c>
      <c r="B407" s="54" t="s">
        <v>621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107</v>
      </c>
      <c r="L407" s="32"/>
      <c r="M407" s="33" t="s">
        <v>103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622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623</v>
      </c>
      <c r="B408" s="54" t="s">
        <v>624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625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626</v>
      </c>
      <c r="B409" s="54" t="s">
        <v>627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628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629</v>
      </c>
      <c r="B410" s="54" t="s">
        <v>630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 t="s">
        <v>319</v>
      </c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628</v>
      </c>
      <c r="AG410" s="64"/>
      <c r="AJ410" s="68" t="s">
        <v>195</v>
      </c>
      <c r="AK410" s="68">
        <v>37.799999999999997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631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632</v>
      </c>
      <c r="B415" s="54" t="s">
        <v>633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634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635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635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636</v>
      </c>
      <c r="B421" s="54" t="s">
        <v>637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104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638</v>
      </c>
      <c r="B422" s="54" t="s">
        <v>639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103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640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641</v>
      </c>
      <c r="B423" s="54" t="s">
        <v>642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103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643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644</v>
      </c>
      <c r="B424" s="54" t="s">
        <v>645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647</v>
      </c>
      <c r="B425" s="54" t="s">
        <v>648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/>
      <c r="M426" s="33" t="s">
        <v>103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107</v>
      </c>
      <c r="L428" s="32"/>
      <c r="M428" s="33" t="s">
        <v>103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104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107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659</v>
      </c>
      <c r="B430" s="54" t="s">
        <v>660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103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661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107</v>
      </c>
      <c r="L431" s="32"/>
      <c r="M431" s="33" t="s">
        <v>103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652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idden="1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132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664</v>
      </c>
      <c r="B435" s="54" t="s">
        <v>665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/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666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666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669</v>
      </c>
      <c r="B437" s="54" t="s">
        <v>670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107</v>
      </c>
      <c r="L437" s="32"/>
      <c r="M437" s="33" t="s">
        <v>103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666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671</v>
      </c>
      <c r="B441" s="54" t="s">
        <v>672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/>
      <c r="M441" s="33" t="s">
        <v>103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673</v>
      </c>
      <c r="AG441" s="64"/>
      <c r="AJ441" s="68"/>
      <c r="AK441" s="68">
        <v>0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674</v>
      </c>
      <c r="B442" s="54" t="s">
        <v>675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676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677</v>
      </c>
      <c r="B443" s="54" t="s">
        <v>678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/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107</v>
      </c>
      <c r="L444" s="32"/>
      <c r="M444" s="33" t="s">
        <v>103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673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684</v>
      </c>
      <c r="B446" s="54" t="s">
        <v>685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107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686</v>
      </c>
      <c r="B450" s="54" t="s">
        <v>687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688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689</v>
      </c>
      <c r="B451" s="54" t="s">
        <v>690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691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692</v>
      </c>
      <c r="B452" s="54" t="s">
        <v>693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694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695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695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696</v>
      </c>
      <c r="B458" s="54" t="s">
        <v>697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698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699</v>
      </c>
      <c r="B459" s="54" t="s">
        <v>700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701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702</v>
      </c>
      <c r="B460" s="54" t="s">
        <v>703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103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704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705</v>
      </c>
      <c r="B461" s="54" t="s">
        <v>706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107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132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707</v>
      </c>
      <c r="B465" s="54" t="s">
        <v>708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709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710</v>
      </c>
      <c r="B466" s="54" t="s">
        <v>711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712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713</v>
      </c>
      <c r="B467" s="54" t="s">
        <v>714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107</v>
      </c>
      <c r="L467" s="32"/>
      <c r="M467" s="33" t="s">
        <v>103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715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716</v>
      </c>
      <c r="B471" s="54" t="s">
        <v>717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718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719</v>
      </c>
      <c r="B472" s="54" t="s">
        <v>720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107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721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722</v>
      </c>
      <c r="B476" s="54" t="s">
        <v>723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724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160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725</v>
      </c>
      <c r="B480" s="54" t="s">
        <v>726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727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728</v>
      </c>
      <c r="B481" s="54" t="s">
        <v>729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730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731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132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732</v>
      </c>
      <c r="B486" s="54" t="s">
        <v>733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103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734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735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6541.6599999999989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6541.66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736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6995.9019999999982</v>
      </c>
      <c r="Y490" s="543">
        <f>IFERROR(SUM(BN22:BN486),"0")</f>
        <v>6995.9019999999982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737</v>
      </c>
      <c r="Q491" s="626"/>
      <c r="R491" s="626"/>
      <c r="S491" s="626"/>
      <c r="T491" s="626"/>
      <c r="U491" s="626"/>
      <c r="V491" s="627"/>
      <c r="W491" s="37" t="s">
        <v>738</v>
      </c>
      <c r="X491" s="38">
        <f>ROUNDUP(SUM(BO22:BO486),0)</f>
        <v>13</v>
      </c>
      <c r="Y491" s="38">
        <f>ROUNDUP(SUM(BP22:BP486),0)</f>
        <v>13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739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7320.9019999999982</v>
      </c>
      <c r="Y492" s="543">
        <f>GrossWeightTotalR+PalletQtyTotalR*25</f>
        <v>7320.9019999999982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740</v>
      </c>
      <c r="Q493" s="626"/>
      <c r="R493" s="626"/>
      <c r="S493" s="626"/>
      <c r="T493" s="626"/>
      <c r="U493" s="626"/>
      <c r="V493" s="627"/>
      <c r="W493" s="37" t="s">
        <v>738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2052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2052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741</v>
      </c>
      <c r="Q494" s="626"/>
      <c r="R494" s="626"/>
      <c r="S494" s="626"/>
      <c r="T494" s="626"/>
      <c r="U494" s="626"/>
      <c r="V494" s="627"/>
      <c r="W494" s="39" t="s">
        <v>742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15.357670000000001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743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249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529</v>
      </c>
      <c r="T496" s="621"/>
      <c r="U496" s="592" t="s">
        <v>584</v>
      </c>
      <c r="V496" s="663"/>
      <c r="W496" s="621"/>
      <c r="X496" s="538" t="s">
        <v>635</v>
      </c>
      <c r="Y496" s="592" t="s">
        <v>695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744</v>
      </c>
      <c r="B497" s="592" t="s">
        <v>63</v>
      </c>
      <c r="C497" s="592" t="s">
        <v>98</v>
      </c>
      <c r="D497" s="592" t="s">
        <v>113</v>
      </c>
      <c r="E497" s="592" t="s">
        <v>167</v>
      </c>
      <c r="F497" s="592" t="s">
        <v>186</v>
      </c>
      <c r="G497" s="592" t="s">
        <v>219</v>
      </c>
      <c r="H497" s="592" t="s">
        <v>97</v>
      </c>
      <c r="I497" s="592" t="s">
        <v>250</v>
      </c>
      <c r="J497" s="592" t="s">
        <v>294</v>
      </c>
      <c r="K497" s="592" t="s">
        <v>354</v>
      </c>
      <c r="L497" s="592" t="s">
        <v>396</v>
      </c>
      <c r="M497" s="592" t="s">
        <v>412</v>
      </c>
      <c r="N497" s="539"/>
      <c r="O497" s="592" t="s">
        <v>423</v>
      </c>
      <c r="P497" s="592" t="s">
        <v>432</v>
      </c>
      <c r="Q497" s="592" t="s">
        <v>445</v>
      </c>
      <c r="R497" s="592" t="s">
        <v>519</v>
      </c>
      <c r="S497" s="592" t="s">
        <v>530</v>
      </c>
      <c r="T497" s="592" t="s">
        <v>565</v>
      </c>
      <c r="U497" s="592" t="s">
        <v>585</v>
      </c>
      <c r="V497" s="592" t="s">
        <v>616</v>
      </c>
      <c r="W497" s="592" t="s">
        <v>631</v>
      </c>
      <c r="X497" s="592" t="s">
        <v>635</v>
      </c>
      <c r="Y497" s="592" t="s">
        <v>695</v>
      </c>
      <c r="Z497" s="592" t="s">
        <v>731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745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280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405</v>
      </c>
      <c r="E499" s="46">
        <f>IFERROR(Y85*1,"0")+IFERROR(Y86*1,"0")+IFERROR(Y87*1,"0")+IFERROR(Y91*1,"0")+IFERROR(Y92*1,"0")+IFERROR(Y93*1,"0")+IFERROR(Y94*1,"0")</f>
        <v>1014.3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2738.7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753.6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33.659999999999997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1226.4000000000001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90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UwsC8Lxy8mArJPFfUN2uuqm0IAEDxEYuh4AxqLEtKYXoBXsodzr1AyF3rgHi6CcMFKOVo6KoW4Y+EarXsA/aw==" saltValue="Va5lUmsDyYSUYjKL0splO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6,40"/>
        <filter val="109,00"/>
        <filter val="13"/>
        <filter val="151,20"/>
        <filter val="160,00"/>
        <filter val="17,00"/>
        <filter val="181,00"/>
        <filter val="2 052,00"/>
        <filter val="2 250,00"/>
        <filter val="2,00"/>
        <filter val="201,60"/>
        <filter val="251,00"/>
        <filter val="280,00"/>
        <filter val="294,30"/>
        <filter val="30,00"/>
        <filter val="33,66"/>
        <filter val="350,70"/>
        <filter val="4,00"/>
        <filter val="400,80"/>
        <filter val="405,00"/>
        <filter val="488,70"/>
        <filter val="500,00"/>
        <filter val="584,00"/>
        <filter val="6 541,66"/>
        <filter val="6 995,90"/>
        <filter val="60,00"/>
        <filter val="602,40"/>
        <filter val="61,20"/>
        <filter val="7 320,90"/>
        <filter val="70,00"/>
        <filter val="720,00"/>
        <filter val="84,00"/>
        <filter val="875,70"/>
        <filter val="90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114 X199 X209 X211 X335:X336 X410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746</v>
      </c>
      <c r="H1" s="52"/>
    </row>
    <row r="3" spans="2:8" x14ac:dyDescent="0.2">
      <c r="B3" s="47" t="s">
        <v>747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748</v>
      </c>
      <c r="D6" s="47" t="s">
        <v>749</v>
      </c>
      <c r="E6" s="47"/>
    </row>
    <row r="8" spans="2:8" x14ac:dyDescent="0.2">
      <c r="B8" s="47" t="s">
        <v>19</v>
      </c>
      <c r="C8" s="47" t="s">
        <v>748</v>
      </c>
      <c r="D8" s="47"/>
      <c r="E8" s="47"/>
    </row>
    <row r="10" spans="2:8" x14ac:dyDescent="0.2">
      <c r="B10" s="47" t="s">
        <v>750</v>
      </c>
      <c r="C10" s="47"/>
      <c r="D10" s="47"/>
      <c r="E10" s="47"/>
    </row>
    <row r="11" spans="2:8" x14ac:dyDescent="0.2">
      <c r="B11" s="47" t="s">
        <v>751</v>
      </c>
      <c r="C11" s="47"/>
      <c r="D11" s="47"/>
      <c r="E11" s="47"/>
    </row>
    <row r="12" spans="2:8" x14ac:dyDescent="0.2">
      <c r="B12" s="47" t="s">
        <v>752</v>
      </c>
      <c r="C12" s="47"/>
      <c r="D12" s="47"/>
      <c r="E12" s="47"/>
    </row>
    <row r="13" spans="2:8" x14ac:dyDescent="0.2">
      <c r="B13" s="47" t="s">
        <v>753</v>
      </c>
      <c r="C13" s="47"/>
      <c r="D13" s="47"/>
      <c r="E13" s="47"/>
    </row>
    <row r="14" spans="2:8" x14ac:dyDescent="0.2">
      <c r="B14" s="47" t="s">
        <v>754</v>
      </c>
      <c r="C14" s="47"/>
      <c r="D14" s="47"/>
      <c r="E14" s="47"/>
    </row>
    <row r="15" spans="2:8" x14ac:dyDescent="0.2">
      <c r="B15" s="47" t="s">
        <v>755</v>
      </c>
      <c r="C15" s="47"/>
      <c r="D15" s="47"/>
      <c r="E15" s="47"/>
    </row>
    <row r="16" spans="2:8" x14ac:dyDescent="0.2">
      <c r="B16" s="47" t="s">
        <v>756</v>
      </c>
      <c r="C16" s="47"/>
      <c r="D16" s="47"/>
      <c r="E16" s="47"/>
    </row>
    <row r="17" spans="2:5" x14ac:dyDescent="0.2">
      <c r="B17" s="47" t="s">
        <v>757</v>
      </c>
      <c r="C17" s="47"/>
      <c r="D17" s="47"/>
      <c r="E17" s="47"/>
    </row>
    <row r="18" spans="2:5" x14ac:dyDescent="0.2">
      <c r="B18" s="47" t="s">
        <v>758</v>
      </c>
      <c r="C18" s="47"/>
      <c r="D18" s="47"/>
      <c r="E18" s="47"/>
    </row>
    <row r="19" spans="2:5" x14ac:dyDescent="0.2">
      <c r="B19" s="47" t="s">
        <v>759</v>
      </c>
      <c r="C19" s="47"/>
      <c r="D19" s="47"/>
      <c r="E19" s="47"/>
    </row>
    <row r="20" spans="2:5" x14ac:dyDescent="0.2">
      <c r="B20" s="47" t="s">
        <v>760</v>
      </c>
      <c r="C20" s="47"/>
      <c r="D20" s="47"/>
      <c r="E20" s="47"/>
    </row>
  </sheetData>
  <sheetProtection algorithmName="SHA-512" hashValue="Xkfqj2vh2Jjj2eb0GuWpiWKCFXXHzmF2XN7l5l+eEkMzDRivTO36dM8f7dKTzabW0oWTT1R5dMxPOMrCvwj04A==" saltValue="XE/djHkZ0V2vPuSrwdvM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2025-12-03T10:39:31Z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