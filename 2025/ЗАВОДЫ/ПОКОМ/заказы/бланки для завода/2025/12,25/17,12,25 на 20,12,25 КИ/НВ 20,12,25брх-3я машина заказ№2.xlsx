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8ACCEB0-9737-42A0-849D-43F55F486D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O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BP250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Y184" i="1" s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BP149" i="1" s="1"/>
  <c r="P149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1" i="1"/>
  <c r="X140" i="1"/>
  <c r="BO139" i="1"/>
  <c r="BM139" i="1"/>
  <c r="Y139" i="1"/>
  <c r="P139" i="1"/>
  <c r="BO138" i="1"/>
  <c r="BM138" i="1"/>
  <c r="Y138" i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5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42" i="1" l="1"/>
  <c r="BN42" i="1"/>
  <c r="BP68" i="1"/>
  <c r="BN68" i="1"/>
  <c r="Z68" i="1"/>
  <c r="BP102" i="1"/>
  <c r="BN102" i="1"/>
  <c r="Z102" i="1"/>
  <c r="BP138" i="1"/>
  <c r="BN138" i="1"/>
  <c r="Z138" i="1"/>
  <c r="BP175" i="1"/>
  <c r="BN175" i="1"/>
  <c r="Z175" i="1"/>
  <c r="BP217" i="1"/>
  <c r="BN217" i="1"/>
  <c r="Z217" i="1"/>
  <c r="BP252" i="1"/>
  <c r="BN252" i="1"/>
  <c r="Z252" i="1"/>
  <c r="BP277" i="1"/>
  <c r="BN277" i="1"/>
  <c r="Z277" i="1"/>
  <c r="BP311" i="1"/>
  <c r="BN311" i="1"/>
  <c r="Z311" i="1"/>
  <c r="BP340" i="1"/>
  <c r="BN340" i="1"/>
  <c r="Z340" i="1"/>
  <c r="BP377" i="1"/>
  <c r="BN377" i="1"/>
  <c r="Z377" i="1"/>
  <c r="BP397" i="1"/>
  <c r="BN397" i="1"/>
  <c r="Z397" i="1"/>
  <c r="BP428" i="1"/>
  <c r="BN428" i="1"/>
  <c r="Z428" i="1"/>
  <c r="BP450" i="1"/>
  <c r="BN450" i="1"/>
  <c r="Z450" i="1"/>
  <c r="Z42" i="1"/>
  <c r="BP101" i="1"/>
  <c r="BN101" i="1"/>
  <c r="Z101" i="1"/>
  <c r="BP117" i="1"/>
  <c r="BN117" i="1"/>
  <c r="Z117" i="1"/>
  <c r="BP170" i="1"/>
  <c r="BN170" i="1"/>
  <c r="Z170" i="1"/>
  <c r="BP205" i="1"/>
  <c r="BN205" i="1"/>
  <c r="Z205" i="1"/>
  <c r="BP234" i="1"/>
  <c r="BN234" i="1"/>
  <c r="Z234" i="1"/>
  <c r="BP263" i="1"/>
  <c r="BN263" i="1"/>
  <c r="Z263" i="1"/>
  <c r="BP297" i="1"/>
  <c r="BN297" i="1"/>
  <c r="Z297" i="1"/>
  <c r="BP327" i="1"/>
  <c r="BN327" i="1"/>
  <c r="Z327" i="1"/>
  <c r="BP350" i="1"/>
  <c r="BN350" i="1"/>
  <c r="Z350" i="1"/>
  <c r="BP389" i="1"/>
  <c r="BN389" i="1"/>
  <c r="Z389" i="1"/>
  <c r="Y421" i="1"/>
  <c r="Y420" i="1"/>
  <c r="BP419" i="1"/>
  <c r="BN419" i="1"/>
  <c r="Z419" i="1"/>
  <c r="Z420" i="1" s="1"/>
  <c r="BP425" i="1"/>
  <c r="BN425" i="1"/>
  <c r="Z425" i="1"/>
  <c r="BP436" i="1"/>
  <c r="BN436" i="1"/>
  <c r="Z436" i="1"/>
  <c r="BP474" i="1"/>
  <c r="BN474" i="1"/>
  <c r="Z474" i="1"/>
  <c r="Y58" i="1"/>
  <c r="BP295" i="1"/>
  <c r="BN295" i="1"/>
  <c r="Z295" i="1"/>
  <c r="BP307" i="1"/>
  <c r="BN307" i="1"/>
  <c r="Z307" i="1"/>
  <c r="BP325" i="1"/>
  <c r="BN325" i="1"/>
  <c r="Z325" i="1"/>
  <c r="BP338" i="1"/>
  <c r="BN338" i="1"/>
  <c r="Z338" i="1"/>
  <c r="BP352" i="1"/>
  <c r="BN352" i="1"/>
  <c r="Z352" i="1"/>
  <c r="Y385" i="1"/>
  <c r="BP381" i="1"/>
  <c r="BN381" i="1"/>
  <c r="Z381" i="1"/>
  <c r="BP395" i="1"/>
  <c r="BN395" i="1"/>
  <c r="Z395" i="1"/>
  <c r="BP414" i="1"/>
  <c r="BN414" i="1"/>
  <c r="Z414" i="1"/>
  <c r="BP434" i="1"/>
  <c r="BN434" i="1"/>
  <c r="Z434" i="1"/>
  <c r="BP448" i="1"/>
  <c r="BN448" i="1"/>
  <c r="Z448" i="1"/>
  <c r="BP468" i="1"/>
  <c r="BN468" i="1"/>
  <c r="Z468" i="1"/>
  <c r="Z22" i="1"/>
  <c r="BN22" i="1"/>
  <c r="Y25" i="1"/>
  <c r="Y33" i="1"/>
  <c r="Z30" i="1"/>
  <c r="BN30" i="1"/>
  <c r="C501" i="1"/>
  <c r="Z53" i="1"/>
  <c r="BN53" i="1"/>
  <c r="Z57" i="1"/>
  <c r="BN57" i="1"/>
  <c r="Z62" i="1"/>
  <c r="BN62" i="1"/>
  <c r="Y71" i="1"/>
  <c r="Z74" i="1"/>
  <c r="BN74" i="1"/>
  <c r="Z80" i="1"/>
  <c r="BN80" i="1"/>
  <c r="BP80" i="1"/>
  <c r="Z88" i="1"/>
  <c r="BN88" i="1"/>
  <c r="Z96" i="1"/>
  <c r="BN96" i="1"/>
  <c r="Z104" i="1"/>
  <c r="BN104" i="1"/>
  <c r="Z111" i="1"/>
  <c r="BN111" i="1"/>
  <c r="Z119" i="1"/>
  <c r="BN119" i="1"/>
  <c r="Z134" i="1"/>
  <c r="BN134" i="1"/>
  <c r="Y140" i="1"/>
  <c r="Z145" i="1"/>
  <c r="BN145" i="1"/>
  <c r="Z149" i="1"/>
  <c r="Z152" i="1" s="1"/>
  <c r="BN149" i="1"/>
  <c r="Y152" i="1"/>
  <c r="Z155" i="1"/>
  <c r="Z156" i="1" s="1"/>
  <c r="BN155" i="1"/>
  <c r="BP155" i="1"/>
  <c r="Y156" i="1"/>
  <c r="Z161" i="1"/>
  <c r="Z162" i="1" s="1"/>
  <c r="BN161" i="1"/>
  <c r="BP161" i="1"/>
  <c r="Z168" i="1"/>
  <c r="BN168" i="1"/>
  <c r="Z172" i="1"/>
  <c r="BN172" i="1"/>
  <c r="Z173" i="1"/>
  <c r="BN173" i="1"/>
  <c r="Z181" i="1"/>
  <c r="BN181" i="1"/>
  <c r="Z203" i="1"/>
  <c r="BN203" i="1"/>
  <c r="Z207" i="1"/>
  <c r="BN207" i="1"/>
  <c r="Z215" i="1"/>
  <c r="BN215" i="1"/>
  <c r="Z219" i="1"/>
  <c r="BN219" i="1"/>
  <c r="Z232" i="1"/>
  <c r="BN232" i="1"/>
  <c r="Z236" i="1"/>
  <c r="BN236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Z254" i="1"/>
  <c r="BN254" i="1"/>
  <c r="Z261" i="1"/>
  <c r="BN261" i="1"/>
  <c r="Z268" i="1"/>
  <c r="BN268" i="1"/>
  <c r="BP270" i="1"/>
  <c r="BN270" i="1"/>
  <c r="BP284" i="1"/>
  <c r="BN284" i="1"/>
  <c r="Z284" i="1"/>
  <c r="BP303" i="1"/>
  <c r="BN303" i="1"/>
  <c r="Z303" i="1"/>
  <c r="BP313" i="1"/>
  <c r="BN313" i="1"/>
  <c r="Z313" i="1"/>
  <c r="BP331" i="1"/>
  <c r="BN331" i="1"/>
  <c r="Z331" i="1"/>
  <c r="Y341" i="1"/>
  <c r="BP348" i="1"/>
  <c r="BN348" i="1"/>
  <c r="Z348" i="1"/>
  <c r="BP362" i="1"/>
  <c r="BN362" i="1"/>
  <c r="Z362" i="1"/>
  <c r="Y368" i="1"/>
  <c r="Y367" i="1"/>
  <c r="BP366" i="1"/>
  <c r="BN366" i="1"/>
  <c r="Z366" i="1"/>
  <c r="Z367" i="1" s="1"/>
  <c r="BP371" i="1"/>
  <c r="BN371" i="1"/>
  <c r="Z371" i="1"/>
  <c r="Y384" i="1"/>
  <c r="BP391" i="1"/>
  <c r="BN391" i="1"/>
  <c r="Z391" i="1"/>
  <c r="BP401" i="1"/>
  <c r="BN401" i="1"/>
  <c r="Z401" i="1"/>
  <c r="BP430" i="1"/>
  <c r="BN430" i="1"/>
  <c r="Z430" i="1"/>
  <c r="Y444" i="1"/>
  <c r="BP440" i="1"/>
  <c r="BN440" i="1"/>
  <c r="Z440" i="1"/>
  <c r="BP462" i="1"/>
  <c r="BN462" i="1"/>
  <c r="Z462" i="1"/>
  <c r="Y480" i="1"/>
  <c r="Y479" i="1"/>
  <c r="BP478" i="1"/>
  <c r="BN478" i="1"/>
  <c r="Z478" i="1"/>
  <c r="Z479" i="1" s="1"/>
  <c r="Y484" i="1"/>
  <c r="BP482" i="1"/>
  <c r="BN482" i="1"/>
  <c r="Z482" i="1"/>
  <c r="Y290" i="1"/>
  <c r="Y358" i="1"/>
  <c r="H9" i="1"/>
  <c r="A10" i="1"/>
  <c r="B501" i="1"/>
  <c r="X492" i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53" i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Y45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Z130" i="1" s="1"/>
  <c r="Y131" i="1"/>
  <c r="Y136" i="1"/>
  <c r="BP133" i="1"/>
  <c r="BN133" i="1"/>
  <c r="Z133" i="1"/>
  <c r="Z135" i="1" s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L501" i="1"/>
  <c r="Y264" i="1"/>
  <c r="BP269" i="1"/>
  <c r="BN269" i="1"/>
  <c r="Z269" i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BP347" i="1"/>
  <c r="BN347" i="1"/>
  <c r="Z347" i="1"/>
  <c r="BP351" i="1"/>
  <c r="BN351" i="1"/>
  <c r="Z351" i="1"/>
  <c r="BP390" i="1"/>
  <c r="BN390" i="1"/>
  <c r="Z390" i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BP382" i="1"/>
  <c r="BN382" i="1"/>
  <c r="Z382" i="1"/>
  <c r="Z384" i="1" s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363" i="1" l="1"/>
  <c r="Z378" i="1"/>
  <c r="Z321" i="1"/>
  <c r="Z315" i="1"/>
  <c r="Z279" i="1"/>
  <c r="Z255" i="1"/>
  <c r="Z209" i="1"/>
  <c r="Z475" i="1"/>
  <c r="Z120" i="1"/>
  <c r="Z113" i="1"/>
  <c r="Z82" i="1"/>
  <c r="Z239" i="1"/>
  <c r="Z452" i="1"/>
  <c r="Z398" i="1"/>
  <c r="Z353" i="1"/>
  <c r="Z272" i="1"/>
  <c r="Y492" i="1"/>
  <c r="Y491" i="1"/>
  <c r="Z437" i="1"/>
  <c r="Z264" i="1"/>
  <c r="Y493" i="1"/>
  <c r="Z415" i="1"/>
  <c r="Z328" i="1"/>
  <c r="Z64" i="1"/>
  <c r="X494" i="1"/>
  <c r="Z308" i="1"/>
  <c r="Z299" i="1"/>
  <c r="Z221" i="1"/>
  <c r="Z465" i="1"/>
  <c r="Z177" i="1"/>
  <c r="Z106" i="1"/>
  <c r="Z97" i="1"/>
  <c r="Z90" i="1"/>
  <c r="Z77" i="1"/>
  <c r="Z58" i="1"/>
  <c r="Z44" i="1"/>
  <c r="Z32" i="1"/>
  <c r="Y495" i="1"/>
  <c r="Z496" i="1" l="1"/>
  <c r="Y494" i="1"/>
</calcChain>
</file>

<file path=xl/sharedStrings.xml><?xml version="1.0" encoding="utf-8"?>
<sst xmlns="http://schemas.openxmlformats.org/spreadsheetml/2006/main" count="2220" uniqueCount="776">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</sst>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46011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0.45833333333333331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205</v>
      </c>
      <c r="Y41" s="546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212.78240740740742</v>
      </c>
      <c r="BN41" s="64">
        <f>IFERROR(Y41*I41/H41,"0")</f>
        <v>212.99</v>
      </c>
      <c r="BO41" s="64">
        <f>IFERROR(1/J41*(X41/H41),"0")</f>
        <v>0.29658564814814814</v>
      </c>
      <c r="BP41" s="64">
        <f>IFERROR(1/J41*(Y41/H41),"0")</f>
        <v>0.296875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4">
        <v>4680115882539</v>
      </c>
      <c r="E42" s="555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11</v>
      </c>
      <c r="Y42" s="546">
        <f>IFERROR(IF(X42="",0,CEILING((X42/$H42),1)*$H42),"")</f>
        <v>11.100000000000001</v>
      </c>
      <c r="Z42" s="36">
        <f>IFERROR(IF(Y42=0,"",ROUNDUP(Y42/H42,0)*0.00902),"")</f>
        <v>2.7060000000000001E-2</v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11.564864864864864</v>
      </c>
      <c r="BN42" s="64">
        <f>IFERROR(Y42*I42/H42,"0")</f>
        <v>11.670000000000002</v>
      </c>
      <c r="BO42" s="64">
        <f>IFERROR(1/J42*(X42/H42),"0")</f>
        <v>2.2522522522522521E-2</v>
      </c>
      <c r="BP42" s="64">
        <f>IFERROR(1/J42*(Y42/H42),"0")</f>
        <v>2.2727272727272731E-2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54">
        <v>4607091385687</v>
      </c>
      <c r="E43" s="555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21.954454454454453</v>
      </c>
      <c r="Y44" s="547">
        <f>IFERROR(Y41/H41,"0")+IFERROR(Y42/H42,"0")+IFERROR(Y43/H43,"0")</f>
        <v>22</v>
      </c>
      <c r="Z44" s="547">
        <f>IFERROR(IF(Z41="",0,Z41),"0")+IFERROR(IF(Z42="",0,Z42),"0")+IFERROR(IF(Z43="",0,Z43),"0")</f>
        <v>0.38768000000000002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216</v>
      </c>
      <c r="Y45" s="547">
        <f>IFERROR(SUM(Y41:Y43),"0")</f>
        <v>216.3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44</v>
      </c>
      <c r="Y55" s="546">
        <f t="shared" si="0"/>
        <v>44</v>
      </c>
      <c r="Z55" s="36">
        <f>IFERROR(IF(Y55=0,"",ROUNDUP(Y55/H55,0)*0.00902),"")</f>
        <v>9.9220000000000003E-2</v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46.09</v>
      </c>
      <c r="BN55" s="64">
        <f t="shared" si="2"/>
        <v>46.09</v>
      </c>
      <c r="BO55" s="64">
        <f t="shared" si="3"/>
        <v>8.3333333333333343E-2</v>
      </c>
      <c r="BP55" s="64">
        <f t="shared" si="4"/>
        <v>8.3333333333333343E-2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11</v>
      </c>
      <c r="Y58" s="547">
        <f>IFERROR(Y52/H52,"0")+IFERROR(Y53/H53,"0")+IFERROR(Y54/H54,"0")+IFERROR(Y55/H55,"0")+IFERROR(Y56/H56,"0")+IFERROR(Y57/H57,"0")</f>
        <v>11</v>
      </c>
      <c r="Z58" s="547">
        <f>IFERROR(IF(Z52="",0,Z52),"0")+IFERROR(IF(Z53="",0,Z53),"0")+IFERROR(IF(Z54="",0,Z54),"0")+IFERROR(IF(Z55="",0,Z55),"0")+IFERROR(IF(Z56="",0,Z56),"0")+IFERROR(IF(Z57="",0,Z57),"0")</f>
        <v>9.9220000000000003E-2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44</v>
      </c>
      <c r="Y59" s="547">
        <f>IFERROR(SUM(Y52:Y57),"0")</f>
        <v>44</v>
      </c>
      <c r="Z59" s="37"/>
      <c r="AA59" s="548"/>
      <c r="AB59" s="548"/>
      <c r="AC59" s="548"/>
    </row>
    <row r="60" spans="1:68" ht="14.25" hidden="1" customHeight="1" x14ac:dyDescent="0.25">
      <c r="A60" s="556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/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151</v>
      </c>
      <c r="B69" s="54" t="s">
        <v>152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153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154</v>
      </c>
      <c r="B73" s="54" t="s">
        <v>155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157</v>
      </c>
      <c r="B74" s="54" t="s">
        <v>158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156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162</v>
      </c>
      <c r="B76" s="54" t="s">
        <v>163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165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166</v>
      </c>
      <c r="B80" s="54" t="s">
        <v>167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/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169</v>
      </c>
      <c r="B81" s="54" t="s">
        <v>170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172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171</v>
      </c>
      <c r="Y86" s="546">
        <f>IFERROR(IF(X86="",0,CEILING((X86/$H86),1)*$H86),"")</f>
        <v>172.8</v>
      </c>
      <c r="Z86" s="36">
        <f>IFERROR(IF(Y86=0,"",ROUNDUP(Y86/H86,0)*0.01898),"")</f>
        <v>0.30368000000000001</v>
      </c>
      <c r="AA86" s="56"/>
      <c r="AB86" s="57"/>
      <c r="AC86" s="129" t="s">
        <v>175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177.49166666666667</v>
      </c>
      <c r="BN86" s="64">
        <f>IFERROR(Y86*I86/H86,"0")</f>
        <v>179.36</v>
      </c>
      <c r="BO86" s="64">
        <f>IFERROR(1/J86*(X86/H86),"0")</f>
        <v>0.24739583333333331</v>
      </c>
      <c r="BP86" s="64">
        <f>IFERROR(1/J86*(Y86/H86),"0")</f>
        <v>0.25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178</v>
      </c>
      <c r="L87" s="32"/>
      <c r="M87" s="33" t="s">
        <v>68</v>
      </c>
      <c r="N87" s="33"/>
      <c r="O87" s="32">
        <v>30</v>
      </c>
      <c r="P87" s="723" t="s">
        <v>179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180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181</v>
      </c>
      <c r="B88" s="54" t="s">
        <v>182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127</v>
      </c>
      <c r="Y89" s="546">
        <f>IFERROR(IF(X89="",0,CEILING((X89/$H89),1)*$H89),"")</f>
        <v>130.5</v>
      </c>
      <c r="Z89" s="36">
        <f>IFERROR(IF(Y89=0,"",ROUNDUP(Y89/H89,0)*0.00902),"")</f>
        <v>0.26158000000000003</v>
      </c>
      <c r="AA89" s="56"/>
      <c r="AB89" s="57"/>
      <c r="AC89" s="135" t="s">
        <v>175</v>
      </c>
      <c r="AG89" s="64"/>
      <c r="AJ89" s="68"/>
      <c r="AK89" s="68">
        <v>0</v>
      </c>
      <c r="BB89" s="136" t="s">
        <v>1</v>
      </c>
      <c r="BM89" s="64">
        <f>IFERROR(X89*I89/H89,"0")</f>
        <v>132.36222222222221</v>
      </c>
      <c r="BN89" s="64">
        <f>IFERROR(Y89*I89/H89,"0")</f>
        <v>136.01000000000002</v>
      </c>
      <c r="BO89" s="64">
        <f>IFERROR(1/J89*(X89/H89),"0")</f>
        <v>0.2138047138047138</v>
      </c>
      <c r="BP89" s="64">
        <f>IFERROR(1/J89*(Y89/H89),"0")</f>
        <v>0.2196969696969697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44.055555555555557</v>
      </c>
      <c r="Y90" s="547">
        <f>IFERROR(Y86/H86,"0")+IFERROR(Y87/H87,"0")+IFERROR(Y88/H88,"0")+IFERROR(Y89/H89,"0")</f>
        <v>45</v>
      </c>
      <c r="Z90" s="547">
        <f>IFERROR(IF(Z86="",0,Z86),"0")+IFERROR(IF(Z87="",0,Z87),"0")+IFERROR(IF(Z88="",0,Z88),"0")+IFERROR(IF(Z89="",0,Z89),"0")</f>
        <v>0.5652600000000001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298</v>
      </c>
      <c r="Y91" s="547">
        <f>IFERROR(SUM(Y86:Y89),"0")</f>
        <v>303.3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185</v>
      </c>
      <c r="B93" s="54" t="s">
        <v>186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28</v>
      </c>
      <c r="Y93" s="546">
        <f>IFERROR(IF(X93="",0,CEILING((X93/$H93),1)*$H93),"")</f>
        <v>32.4</v>
      </c>
      <c r="Z93" s="36">
        <f>IFERROR(IF(Y93=0,"",ROUNDUP(Y93/H93,0)*0.01898),"")</f>
        <v>7.5920000000000001E-2</v>
      </c>
      <c r="AA93" s="56"/>
      <c r="AB93" s="57"/>
      <c r="AC93" s="137" t="s">
        <v>187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29.707654320987654</v>
      </c>
      <c r="BN93" s="64">
        <f>IFERROR(Y93*I93/H93,"0")</f>
        <v>34.375999999999998</v>
      </c>
      <c r="BO93" s="64">
        <f>IFERROR(1/J93*(X93/H93),"0")</f>
        <v>5.401234567901235E-2</v>
      </c>
      <c r="BP93" s="64">
        <f>IFERROR(1/J93*(Y93/H93),"0")</f>
        <v>6.25E-2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190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176</v>
      </c>
      <c r="Y95" s="546">
        <f>IFERROR(IF(X95="",0,CEILING((X95/$H95),1)*$H95),"")</f>
        <v>178.20000000000002</v>
      </c>
      <c r="Z95" s="36">
        <f>IFERROR(IF(Y95=0,"",ROUNDUP(Y95/H95,0)*0.00651),"")</f>
        <v>0.42965999999999999</v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192.42666666666665</v>
      </c>
      <c r="BN95" s="64">
        <f>IFERROR(Y95*I95/H95,"0")</f>
        <v>194.83200000000002</v>
      </c>
      <c r="BO95" s="64">
        <f>IFERROR(1/J95*(X95/H95),"0")</f>
        <v>0.35816035816035813</v>
      </c>
      <c r="BP95" s="64">
        <f>IFERROR(1/J95*(Y95/H95),"0")</f>
        <v>0.36263736263736268</v>
      </c>
    </row>
    <row r="96" spans="1:68" ht="16.5" hidden="1" customHeight="1" x14ac:dyDescent="0.25">
      <c r="A96" s="54" t="s">
        <v>193</v>
      </c>
      <c r="B96" s="54" t="s">
        <v>194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195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68.64197530864196</v>
      </c>
      <c r="Y97" s="547">
        <f>IFERROR(Y93/H93,"0")+IFERROR(Y94/H94,"0")+IFERROR(Y95/H95,"0")+IFERROR(Y96/H96,"0")</f>
        <v>70</v>
      </c>
      <c r="Z97" s="547">
        <f>IFERROR(IF(Z93="",0,Z93),"0")+IFERROR(IF(Z94="",0,Z94),"0")+IFERROR(IF(Z95="",0,Z95),"0")+IFERROR(IF(Z96="",0,Z96),"0")</f>
        <v>0.50558000000000003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204</v>
      </c>
      <c r="Y98" s="547">
        <f>IFERROR(SUM(Y93:Y96),"0")</f>
        <v>210.60000000000002</v>
      </c>
      <c r="Z98" s="37"/>
      <c r="AA98" s="548"/>
      <c r="AB98" s="548"/>
      <c r="AC98" s="548"/>
    </row>
    <row r="99" spans="1:68" ht="16.5" hidden="1" customHeight="1" x14ac:dyDescent="0.25">
      <c r="A99" s="574" t="s">
        <v>196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197</v>
      </c>
      <c r="B101" s="54" t="s">
        <v>198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207</v>
      </c>
      <c r="Y101" s="546">
        <f>IFERROR(IF(X101="",0,CEILING((X101/$H101),1)*$H101),"")</f>
        <v>216</v>
      </c>
      <c r="Z101" s="36">
        <f>IFERROR(IF(Y101=0,"",ROUNDUP(Y101/H101,0)*0.01898),"")</f>
        <v>0.37959999999999999</v>
      </c>
      <c r="AA101" s="56"/>
      <c r="AB101" s="57"/>
      <c r="AC101" s="145" t="s">
        <v>199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214.85833333333335</v>
      </c>
      <c r="BN101" s="64">
        <f>IFERROR(Y101*I101/H101,"0")</f>
        <v>224.2</v>
      </c>
      <c r="BO101" s="64">
        <f>IFERROR(1/J101*(X101/H101),"0")</f>
        <v>0.29947916666666663</v>
      </c>
      <c r="BP101" s="64">
        <f>IFERROR(1/J101*(Y101/H101),"0")</f>
        <v>0.3125</v>
      </c>
    </row>
    <row r="102" spans="1:68" ht="27" hidden="1" customHeight="1" x14ac:dyDescent="0.25">
      <c r="A102" s="54" t="s">
        <v>200</v>
      </c>
      <c r="B102" s="54" t="s">
        <v>201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178</v>
      </c>
      <c r="L102" s="32"/>
      <c r="M102" s="33" t="s">
        <v>68</v>
      </c>
      <c r="N102" s="33"/>
      <c r="O102" s="32">
        <v>30</v>
      </c>
      <c r="P102" s="818" t="s">
        <v>202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204</v>
      </c>
      <c r="B103" s="54" t="s">
        <v>205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199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206</v>
      </c>
      <c r="B104" s="54" t="s">
        <v>207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208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99</v>
      </c>
      <c r="Y104" s="546">
        <f>IFERROR(IF(X104="",0,CEILING((X104/$H104),1)*$H104),"")</f>
        <v>99</v>
      </c>
      <c r="Z104" s="36">
        <f>IFERROR(IF(Y104=0,"",ROUNDUP(Y104/H104,0)*0.00902),"")</f>
        <v>0.19844000000000001</v>
      </c>
      <c r="AA104" s="56"/>
      <c r="AB104" s="57"/>
      <c r="AC104" s="151" t="s">
        <v>199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103.18</v>
      </c>
      <c r="BN104" s="64">
        <f>IFERROR(Y104*I104/H104,"0")</f>
        <v>103.18</v>
      </c>
      <c r="BO104" s="64">
        <f>IFERROR(1/J104*(X104/H104),"0")</f>
        <v>0.16666666666666669</v>
      </c>
      <c r="BP104" s="64">
        <f>IFERROR(1/J104*(Y104/H104),"0")</f>
        <v>0.16666666666666669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199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41.166666666666664</v>
      </c>
      <c r="Y106" s="547">
        <f>IFERROR(Y101/H101,"0")+IFERROR(Y102/H102,"0")+IFERROR(Y103/H103,"0")+IFERROR(Y104/H104,"0")+IFERROR(Y105/H105,"0")</f>
        <v>42</v>
      </c>
      <c r="Z106" s="547">
        <f>IFERROR(IF(Z101="",0,Z101),"0")+IFERROR(IF(Z102="",0,Z102),"0")+IFERROR(IF(Z103="",0,Z103),"0")+IFERROR(IF(Z104="",0,Z104),"0")+IFERROR(IF(Z105="",0,Z105),"0")</f>
        <v>0.57804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306</v>
      </c>
      <c r="Y107" s="547">
        <f>IFERROR(SUM(Y101:Y105),"0")</f>
        <v>315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137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/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99</v>
      </c>
      <c r="Y109" s="546">
        <f>IFERROR(IF(X109="",0,CEILING((X109/$H109),1)*$H109),"")</f>
        <v>108</v>
      </c>
      <c r="Z109" s="36">
        <f>IFERROR(IF(Y109=0,"",ROUNDUP(Y109/H109,0)*0.01898),"")</f>
        <v>0.1898</v>
      </c>
      <c r="AA109" s="56"/>
      <c r="AB109" s="57"/>
      <c r="AC109" s="155" t="s">
        <v>213</v>
      </c>
      <c r="AG109" s="64"/>
      <c r="AJ109" s="68"/>
      <c r="AK109" s="68">
        <v>0</v>
      </c>
      <c r="BB109" s="156" t="s">
        <v>1</v>
      </c>
      <c r="BM109" s="64">
        <f>IFERROR(X109*I109/H109,"0")</f>
        <v>102.75833333333334</v>
      </c>
      <c r="BN109" s="64">
        <f>IFERROR(Y109*I109/H109,"0")</f>
        <v>112.1</v>
      </c>
      <c r="BO109" s="64">
        <f>IFERROR(1/J109*(X109/H109),"0")</f>
        <v>0.14322916666666666</v>
      </c>
      <c r="BP109" s="64">
        <f>IFERROR(1/J109*(Y109/H109),"0")</f>
        <v>0.15625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12</v>
      </c>
      <c r="Y112" s="546">
        <f>IFERROR(IF(X112="",0,CEILING((X112/$H112),1)*$H112),"")</f>
        <v>12</v>
      </c>
      <c r="Z112" s="36">
        <f>IFERROR(IF(Y112=0,"",ROUNDUP(Y112/H112,0)*0.00651),"")</f>
        <v>3.2550000000000003E-2</v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12.9</v>
      </c>
      <c r="BN112" s="64">
        <f>IFERROR(Y112*I112/H112,"0")</f>
        <v>12.9</v>
      </c>
      <c r="BO112" s="64">
        <f>IFERROR(1/J112*(X112/H112),"0")</f>
        <v>2.7472527472527476E-2</v>
      </c>
      <c r="BP112" s="64">
        <f>IFERROR(1/J112*(Y112/H112),"0")</f>
        <v>2.7472527472527476E-2</v>
      </c>
    </row>
    <row r="113" spans="1:68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14.166666666666666</v>
      </c>
      <c r="Y113" s="547">
        <f>IFERROR(Y109/H109,"0")+IFERROR(Y110/H110,"0")+IFERROR(Y111/H111,"0")+IFERROR(Y112/H112,"0")</f>
        <v>15</v>
      </c>
      <c r="Z113" s="547">
        <f>IFERROR(IF(Z109="",0,Z109),"0")+IFERROR(IF(Z110="",0,Z110),"0")+IFERROR(IF(Z111="",0,Z111),"0")+IFERROR(IF(Z112="",0,Z112),"0")</f>
        <v>0.22234999999999999</v>
      </c>
      <c r="AA113" s="548"/>
      <c r="AB113" s="548"/>
      <c r="AC113" s="548"/>
    </row>
    <row r="114" spans="1:68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111</v>
      </c>
      <c r="Y114" s="547">
        <f>IFERROR(SUM(Y109:Y112),"0")</f>
        <v>120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127</v>
      </c>
      <c r="Y116" s="546">
        <f>IFERROR(IF(X116="",0,CEILING((X116/$H116),1)*$H116),"")</f>
        <v>129.6</v>
      </c>
      <c r="Z116" s="36">
        <f>IFERROR(IF(Y116=0,"",ROUNDUP(Y116/H116,0)*0.01898),"")</f>
        <v>0.30368000000000001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134.65135802469135</v>
      </c>
      <c r="BN116" s="64">
        <f>IFERROR(Y116*I116/H116,"0")</f>
        <v>137.40799999999999</v>
      </c>
      <c r="BO116" s="64">
        <f>IFERROR(1/J116*(X116/H116),"0")</f>
        <v>0.24498456790123457</v>
      </c>
      <c r="BP116" s="64">
        <f>IFERROR(1/J116*(Y116/H116),"0")</f>
        <v>0.25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223</v>
      </c>
      <c r="Y118" s="546">
        <f>IFERROR(IF(X118="",0,CEILING((X118/$H118),1)*$H118),"")</f>
        <v>224.10000000000002</v>
      </c>
      <c r="Z118" s="36">
        <f>IFERROR(IF(Y118=0,"",ROUNDUP(Y118/H118,0)*0.00651),"")</f>
        <v>0.54032999999999998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243.8133333333333</v>
      </c>
      <c r="BN118" s="64">
        <f>IFERROR(Y118*I118/H118,"0")</f>
        <v>245.01600000000002</v>
      </c>
      <c r="BO118" s="64">
        <f>IFERROR(1/J118*(X118/H118),"0")</f>
        <v>0.45380545380545378</v>
      </c>
      <c r="BP118" s="64">
        <f>IFERROR(1/J118*(Y118/H118),"0")</f>
        <v>0.45604395604395609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98.271604938271594</v>
      </c>
      <c r="Y120" s="547">
        <f>IFERROR(Y116/H116,"0")+IFERROR(Y117/H117,"0")+IFERROR(Y118/H118,"0")+IFERROR(Y119/H119,"0")</f>
        <v>99</v>
      </c>
      <c r="Z120" s="547">
        <f>IFERROR(IF(Z116="",0,Z116),"0")+IFERROR(IF(Z117="",0,Z117),"0")+IFERROR(IF(Z118="",0,Z118),"0")+IFERROR(IF(Z119="",0,Z119),"0")</f>
        <v>0.84400999999999993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350</v>
      </c>
      <c r="Y121" s="547">
        <f>IFERROR(SUM(Y116:Y119),"0")</f>
        <v>353.70000000000005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165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137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208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35</v>
      </c>
      <c r="Y166" s="546">
        <f t="shared" si="5"/>
        <v>37.800000000000004</v>
      </c>
      <c r="Z166" s="36">
        <f>IFERROR(IF(Y166=0,"",ROUNDUP(Y166/H166,0)*0.00902),"")</f>
        <v>8.1180000000000002E-2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37.083333333333329</v>
      </c>
      <c r="BN166" s="64">
        <f t="shared" si="7"/>
        <v>40.050000000000004</v>
      </c>
      <c r="BO166" s="64">
        <f t="shared" si="8"/>
        <v>6.3131313131313122E-2</v>
      </c>
      <c r="BP166" s="64">
        <f t="shared" si="9"/>
        <v>6.8181818181818177E-2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208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143</v>
      </c>
      <c r="Y168" s="546">
        <f t="shared" si="5"/>
        <v>147</v>
      </c>
      <c r="Z168" s="36">
        <f>IFERROR(IF(Y168=0,"",ROUNDUP(Y168/H168,0)*0.00902),"")</f>
        <v>0.31569999999999998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149.46904761904761</v>
      </c>
      <c r="BN168" s="64">
        <f t="shared" si="7"/>
        <v>153.64999999999998</v>
      </c>
      <c r="BO168" s="64">
        <f t="shared" si="8"/>
        <v>0.25793650793650791</v>
      </c>
      <c r="BP168" s="64">
        <f t="shared" si="9"/>
        <v>0.26515151515151514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49</v>
      </c>
      <c r="Y169" s="546">
        <f t="shared" si="5"/>
        <v>50.400000000000006</v>
      </c>
      <c r="Z169" s="36">
        <f>IFERROR(IF(Y169=0,"",ROUNDUP(Y169/H169,0)*0.00502),"")</f>
        <v>0.12048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52.033333333333331</v>
      </c>
      <c r="BN169" s="64">
        <f t="shared" si="7"/>
        <v>53.52</v>
      </c>
      <c r="BO169" s="64">
        <f t="shared" si="8"/>
        <v>9.9715099715099717E-2</v>
      </c>
      <c r="BP169" s="64">
        <f t="shared" si="9"/>
        <v>0.10256410256410257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22</v>
      </c>
      <c r="Y172" s="546">
        <f t="shared" si="5"/>
        <v>23.400000000000002</v>
      </c>
      <c r="Z172" s="36">
        <f>IFERROR(IF(Y172=0,"",ROUNDUP(Y172/H172,0)*0.00502),"")</f>
        <v>6.5259999999999999E-2</v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23.588888888888889</v>
      </c>
      <c r="BN172" s="64">
        <f t="shared" si="7"/>
        <v>25.090000000000003</v>
      </c>
      <c r="BO172" s="64">
        <f t="shared" si="8"/>
        <v>5.2231718898385564E-2</v>
      </c>
      <c r="BP172" s="64">
        <f t="shared" si="9"/>
        <v>5.5555555555555559E-2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178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122</v>
      </c>
      <c r="Y174" s="546">
        <f t="shared" si="5"/>
        <v>123.9</v>
      </c>
      <c r="Z174" s="36">
        <f>IFERROR(IF(Y174=0,"",ROUNDUP(Y174/H174,0)*0.00502),"")</f>
        <v>0.29618</v>
      </c>
      <c r="AA174" s="56"/>
      <c r="AB174" s="57"/>
      <c r="AC174" s="217" t="s">
        <v>285</v>
      </c>
      <c r="AG174" s="64"/>
      <c r="AJ174" s="68"/>
      <c r="AK174" s="68">
        <v>0</v>
      </c>
      <c r="BB174" s="218" t="s">
        <v>1</v>
      </c>
      <c r="BM174" s="64">
        <f t="shared" si="6"/>
        <v>127.80952380952382</v>
      </c>
      <c r="BN174" s="64">
        <f t="shared" si="7"/>
        <v>129.80000000000001</v>
      </c>
      <c r="BO174" s="64">
        <f t="shared" si="8"/>
        <v>0.24827024827024829</v>
      </c>
      <c r="BP174" s="64">
        <f t="shared" si="9"/>
        <v>0.25213675213675218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136.03174603174602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140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0.87880000000000003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371</v>
      </c>
      <c r="Y178" s="547">
        <f>IFERROR(SUM(Y165:Y176),"0")</f>
        <v>382.5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3</v>
      </c>
      <c r="Y181" s="546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4</v>
      </c>
      <c r="Y182" s="546">
        <f>IFERROR(IF(X182="",0,CEILING((X182/$H182),1)*$H182),"")</f>
        <v>5.04</v>
      </c>
      <c r="Z182" s="36">
        <f>IFERROR(IF(Y182=0,"",ROUNDUP(Y182/H182,0)*0.0059),"")</f>
        <v>2.3599999999999999E-2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4.6031746031746028</v>
      </c>
      <c r="BN182" s="64">
        <f>IFERROR(Y182*I182/H182,"0")</f>
        <v>5.8</v>
      </c>
      <c r="BO182" s="64">
        <f>IFERROR(1/J182*(X182/H182),"0")</f>
        <v>1.469723691945914E-2</v>
      </c>
      <c r="BP182" s="64">
        <f>IFERROR(1/J182*(Y182/H182),"0")</f>
        <v>1.8518518518518517E-2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5.5555555555555554</v>
      </c>
      <c r="Y183" s="547">
        <f>IFERROR(Y180/H180,"0")+IFERROR(Y181/H181,"0")+IFERROR(Y182/H182,"0")</f>
        <v>7</v>
      </c>
      <c r="Z183" s="547">
        <f>IFERROR(IF(Z180="",0,Z180),"0")+IFERROR(IF(Z181="",0,Z181),"0")+IFERROR(IF(Z182="",0,Z182),"0")</f>
        <v>4.1300000000000003E-2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7</v>
      </c>
      <c r="Y184" s="547">
        <f>IFERROR(SUM(Y180:Y182),"0")</f>
        <v>8.82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3</v>
      </c>
      <c r="Y186" s="54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3.4523809523809521</v>
      </c>
      <c r="BN186" s="64">
        <f>IFERROR(Y186*I186/H186,"0")</f>
        <v>4.3499999999999996</v>
      </c>
      <c r="BO186" s="64">
        <f>IFERROR(1/J186*(X186/H186),"0")</f>
        <v>1.1022927689594356E-2</v>
      </c>
      <c r="BP186" s="64">
        <f>IFERROR(1/J186*(Y186/H186),"0")</f>
        <v>1.3888888888888888E-2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2.3809523809523809</v>
      </c>
      <c r="Y187" s="547">
        <f>IFERROR(Y186/H186,"0")</f>
        <v>3</v>
      </c>
      <c r="Z187" s="547">
        <f>IFERROR(IF(Z186="",0,Z186),"0")</f>
        <v>1.77E-2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3</v>
      </c>
      <c r="Y188" s="547">
        <f>IFERROR(SUM(Y186:Y186),"0")</f>
        <v>3.7800000000000002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137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208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50</v>
      </c>
      <c r="Y201" s="546">
        <f t="shared" ref="Y201:Y208" si="10">IFERROR(IF(X201="",0,CEILING((X201/$H201),1)*$H201),"")</f>
        <v>54</v>
      </c>
      <c r="Z201" s="36">
        <f>IFERROR(IF(Y201=0,"",ROUNDUP(Y201/H201,0)*0.00902),"")</f>
        <v>9.0200000000000002E-2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51.759259259259252</v>
      </c>
      <c r="BN201" s="64">
        <f t="shared" ref="BN201:BN208" si="12">IFERROR(Y201*I201/H201,"0")</f>
        <v>55.9</v>
      </c>
      <c r="BO201" s="64">
        <f t="shared" ref="BO201:BO208" si="13">IFERROR(1/J201*(X201/H201),"0")</f>
        <v>7.0145903479236812E-2</v>
      </c>
      <c r="BP201" s="64">
        <f t="shared" ref="BP201:BP208" si="14">IFERROR(1/J201*(Y201/H201),"0")</f>
        <v>7.575757575757576E-2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208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51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52.794444444444437</v>
      </c>
      <c r="BN202" s="64">
        <f t="shared" si="12"/>
        <v>55.9</v>
      </c>
      <c r="BO202" s="64">
        <f t="shared" si="13"/>
        <v>7.1548821548821556E-2</v>
      </c>
      <c r="BP202" s="64">
        <f t="shared" si="14"/>
        <v>7.575757575757576E-2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208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85</v>
      </c>
      <c r="Y204" s="546">
        <f t="shared" si="10"/>
        <v>86.4</v>
      </c>
      <c r="Z204" s="36">
        <f>IFERROR(IF(Y204=0,"",ROUNDUP(Y204/H204,0)*0.00902),"")</f>
        <v>0.14432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87.990740740740733</v>
      </c>
      <c r="BN204" s="64">
        <f t="shared" si="12"/>
        <v>89.44</v>
      </c>
      <c r="BO204" s="64">
        <f t="shared" si="13"/>
        <v>0.11924803591470258</v>
      </c>
      <c r="BP204" s="64">
        <f t="shared" si="14"/>
        <v>0.12121212121212122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/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45</v>
      </c>
      <c r="Y205" s="546">
        <f t="shared" si="10"/>
        <v>45</v>
      </c>
      <c r="Z205" s="36">
        <f>IFERROR(IF(Y205=0,"",ROUNDUP(Y205/H205,0)*0.00502),"")</f>
        <v>0.1255</v>
      </c>
      <c r="AA205" s="56"/>
      <c r="AB205" s="57"/>
      <c r="AC205" s="247" t="s">
        <v>334</v>
      </c>
      <c r="AG205" s="64"/>
      <c r="AJ205" s="68"/>
      <c r="AK205" s="68">
        <v>0</v>
      </c>
      <c r="BB205" s="248" t="s">
        <v>1</v>
      </c>
      <c r="BM205" s="64">
        <f t="shared" si="11"/>
        <v>48.249999999999993</v>
      </c>
      <c r="BN205" s="64">
        <f t="shared" si="12"/>
        <v>48.249999999999993</v>
      </c>
      <c r="BO205" s="64">
        <f t="shared" si="13"/>
        <v>0.10683760683760685</v>
      </c>
      <c r="BP205" s="64">
        <f t="shared" si="14"/>
        <v>0.10683760683760685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34</v>
      </c>
      <c r="Y206" s="546">
        <f t="shared" si="10"/>
        <v>34.200000000000003</v>
      </c>
      <c r="Z206" s="36">
        <f>IFERROR(IF(Y206=0,"",ROUNDUP(Y206/H206,0)*0.00502),"")</f>
        <v>9.5380000000000006E-2</v>
      </c>
      <c r="AA206" s="56"/>
      <c r="AB206" s="57"/>
      <c r="AC206" s="249" t="s">
        <v>337</v>
      </c>
      <c r="AG206" s="64"/>
      <c r="AJ206" s="68"/>
      <c r="AK206" s="68">
        <v>0</v>
      </c>
      <c r="BB206" s="250" t="s">
        <v>1</v>
      </c>
      <c r="BM206" s="64">
        <f t="shared" si="11"/>
        <v>35.888888888888886</v>
      </c>
      <c r="BN206" s="64">
        <f t="shared" si="12"/>
        <v>36.1</v>
      </c>
      <c r="BO206" s="64">
        <f t="shared" si="13"/>
        <v>8.0721747388414061E-2</v>
      </c>
      <c r="BP206" s="64">
        <f t="shared" si="14"/>
        <v>8.11965811965812E-2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19</v>
      </c>
      <c r="Y208" s="546">
        <f t="shared" si="10"/>
        <v>19.8</v>
      </c>
      <c r="Z208" s="36">
        <f>IFERROR(IF(Y208=0,"",ROUNDUP(Y208/H208,0)*0.00502),"")</f>
        <v>5.5220000000000005E-2</v>
      </c>
      <c r="AA208" s="56"/>
      <c r="AB208" s="57"/>
      <c r="AC208" s="253" t="s">
        <v>343</v>
      </c>
      <c r="AG208" s="64"/>
      <c r="AJ208" s="68"/>
      <c r="AK208" s="68">
        <v>0</v>
      </c>
      <c r="BB208" s="254" t="s">
        <v>1</v>
      </c>
      <c r="BM208" s="64">
        <f t="shared" si="11"/>
        <v>20.055555555555557</v>
      </c>
      <c r="BN208" s="64">
        <f t="shared" si="12"/>
        <v>20.9</v>
      </c>
      <c r="BO208" s="64">
        <f t="shared" si="13"/>
        <v>4.5109211775878448E-2</v>
      </c>
      <c r="BP208" s="64">
        <f t="shared" si="14"/>
        <v>4.7008547008547015E-2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88.888888888888886</v>
      </c>
      <c r="Y209" s="547">
        <f>IFERROR(Y201/H201,"0")+IFERROR(Y202/H202,"0")+IFERROR(Y203/H203,"0")+IFERROR(Y204/H204,"0")+IFERROR(Y205/H205,"0")+IFERROR(Y206/H206,"0")+IFERROR(Y207/H207,"0")+IFERROR(Y208/H208,"0")</f>
        <v>91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0.60082000000000002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284</v>
      </c>
      <c r="Y210" s="547">
        <f>IFERROR(SUM(Y201:Y208),"0")</f>
        <v>293.40000000000003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84</v>
      </c>
      <c r="Y213" s="546">
        <f t="shared" si="15"/>
        <v>89.1</v>
      </c>
      <c r="Z213" s="36">
        <f>IFERROR(IF(Y213=0,"",ROUNDUP(Y213/H213,0)*0.01898),"")</f>
        <v>0.20877999999999999</v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88.936296296296305</v>
      </c>
      <c r="BN213" s="64">
        <f t="shared" si="17"/>
        <v>94.335999999999999</v>
      </c>
      <c r="BO213" s="64">
        <f t="shared" si="18"/>
        <v>0.16203703703703703</v>
      </c>
      <c r="BP213" s="64">
        <f t="shared" si="19"/>
        <v>0.171875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/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16</v>
      </c>
      <c r="Y214" s="546">
        <f t="shared" si="15"/>
        <v>17.399999999999999</v>
      </c>
      <c r="Z214" s="36">
        <f>IFERROR(IF(Y214=0,"",ROUNDUP(Y214/H214,0)*0.01898),"")</f>
        <v>3.7960000000000001E-2</v>
      </c>
      <c r="AA214" s="56"/>
      <c r="AB214" s="57"/>
      <c r="AC214" s="259" t="s">
        <v>360</v>
      </c>
      <c r="AG214" s="64"/>
      <c r="AJ214" s="68"/>
      <c r="AK214" s="68">
        <v>0</v>
      </c>
      <c r="BB214" s="260" t="s">
        <v>1</v>
      </c>
      <c r="BM214" s="64">
        <f t="shared" si="16"/>
        <v>16.908505747126441</v>
      </c>
      <c r="BN214" s="64">
        <f t="shared" si="17"/>
        <v>18.388000000000002</v>
      </c>
      <c r="BO214" s="64">
        <f t="shared" si="18"/>
        <v>2.8735632183908049E-2</v>
      </c>
      <c r="BP214" s="64">
        <f t="shared" si="19"/>
        <v>3.125E-2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78</v>
      </c>
      <c r="Y215" s="546">
        <f t="shared" si="15"/>
        <v>79.2</v>
      </c>
      <c r="Z215" s="36">
        <f t="shared" ref="Z215:Z220" si="20">IFERROR(IF(Y215=0,"",ROUNDUP(Y215/H215,0)*0.00651),"")</f>
        <v>0.21482999999999999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86.775000000000006</v>
      </c>
      <c r="BN215" s="64">
        <f t="shared" si="17"/>
        <v>88.11</v>
      </c>
      <c r="BO215" s="64">
        <f t="shared" si="18"/>
        <v>0.17857142857142858</v>
      </c>
      <c r="BP215" s="64">
        <f t="shared" si="19"/>
        <v>0.18131868131868134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374</v>
      </c>
      <c r="Y217" s="546">
        <f t="shared" si="15"/>
        <v>374.4</v>
      </c>
      <c r="Z217" s="36">
        <f t="shared" si="20"/>
        <v>1.01556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413.27000000000004</v>
      </c>
      <c r="BN217" s="64">
        <f t="shared" si="17"/>
        <v>413.71200000000005</v>
      </c>
      <c r="BO217" s="64">
        <f t="shared" si="18"/>
        <v>0.85622710622710629</v>
      </c>
      <c r="BP217" s="64">
        <f t="shared" si="19"/>
        <v>0.85714285714285721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230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308</v>
      </c>
      <c r="Y218" s="546">
        <f t="shared" si="15"/>
        <v>309.59999999999997</v>
      </c>
      <c r="Z218" s="36">
        <f t="shared" si="20"/>
        <v>0.83979000000000004</v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340.34000000000003</v>
      </c>
      <c r="BN218" s="64">
        <f t="shared" si="17"/>
        <v>342.108</v>
      </c>
      <c r="BO218" s="64">
        <f t="shared" si="18"/>
        <v>0.70512820512820529</v>
      </c>
      <c r="BP218" s="64">
        <f t="shared" si="19"/>
        <v>0.70879120879120883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144</v>
      </c>
      <c r="Y219" s="546">
        <f t="shared" si="15"/>
        <v>144</v>
      </c>
      <c r="Z219" s="36">
        <f t="shared" si="20"/>
        <v>0.3906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159.12000000000003</v>
      </c>
      <c r="BN219" s="64">
        <f t="shared" si="17"/>
        <v>159.12000000000003</v>
      </c>
      <c r="BO219" s="64">
        <f t="shared" si="18"/>
        <v>0.32967032967032972</v>
      </c>
      <c r="BP219" s="64">
        <f t="shared" si="19"/>
        <v>0.32967032967032972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154</v>
      </c>
      <c r="Y220" s="546">
        <f t="shared" si="15"/>
        <v>156</v>
      </c>
      <c r="Z220" s="36">
        <f t="shared" si="20"/>
        <v>0.42315000000000003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170.55500000000001</v>
      </c>
      <c r="BN220" s="64">
        <f t="shared" si="17"/>
        <v>172.76999999999998</v>
      </c>
      <c r="BO220" s="64">
        <f t="shared" si="18"/>
        <v>0.35256410256410264</v>
      </c>
      <c r="BP220" s="64">
        <f t="shared" si="19"/>
        <v>0.35714285714285715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453.04278416347387</v>
      </c>
      <c r="Y221" s="547">
        <f>IFERROR(Y212/H212,"0")+IFERROR(Y213/H213,"0")+IFERROR(Y214/H214,"0")+IFERROR(Y215/H215,"0")+IFERROR(Y216/H216,"0")+IFERROR(Y217/H217,"0")+IFERROR(Y218/H218,"0")+IFERROR(Y219/H219,"0")+IFERROR(Y220/H220,"0")</f>
        <v>456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3.1306700000000003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1158</v>
      </c>
      <c r="Y222" s="547">
        <f>IFERROR(SUM(Y212:Y220),"0")</f>
        <v>1169.6999999999998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165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24</v>
      </c>
      <c r="Y224" s="546">
        <f>IFERROR(IF(X224="",0,CEILING((X224/$H224),1)*$H224),"")</f>
        <v>24</v>
      </c>
      <c r="Z224" s="36">
        <f>IFERROR(IF(Y224=0,"",ROUNDUP(Y224/H224,0)*0.00651),"")</f>
        <v>6.5100000000000005E-2</v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26.520000000000003</v>
      </c>
      <c r="BN224" s="64">
        <f>IFERROR(Y224*I224/H224,"0")</f>
        <v>26.520000000000003</v>
      </c>
      <c r="BO224" s="64">
        <f>IFERROR(1/J224*(X224/H224),"0")</f>
        <v>5.4945054945054951E-2</v>
      </c>
      <c r="BP224" s="64">
        <f>IFERROR(1/J224*(Y224/H224),"0")</f>
        <v>5.4945054945054951E-2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4</v>
      </c>
      <c r="Y225" s="546">
        <f>IFERROR(IF(X225="",0,CEILING((X225/$H225),1)*$H225),"")</f>
        <v>4.8</v>
      </c>
      <c r="Z225" s="36">
        <f>IFERROR(IF(Y225=0,"",ROUNDUP(Y225/H225,0)*0.00651),"")</f>
        <v>1.302E-2</v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4.4200000000000008</v>
      </c>
      <c r="BN225" s="64">
        <f>IFERROR(Y225*I225/H225,"0")</f>
        <v>5.3040000000000003</v>
      </c>
      <c r="BO225" s="64">
        <f>IFERROR(1/J225*(X225/H225),"0")</f>
        <v>9.1575091575091579E-3</v>
      </c>
      <c r="BP225" s="64">
        <f>IFERROR(1/J225*(Y225/H225),"0")</f>
        <v>1.098901098901099E-2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11.666666666666666</v>
      </c>
      <c r="Y226" s="547">
        <f>IFERROR(Y224/H224,"0")+IFERROR(Y225/H225,"0")</f>
        <v>12</v>
      </c>
      <c r="Z226" s="547">
        <f>IFERROR(IF(Z224="",0,Z224),"0")+IFERROR(IF(Z225="",0,Z225),"0")</f>
        <v>7.8120000000000009E-2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28</v>
      </c>
      <c r="Y227" s="547">
        <f>IFERROR(SUM(Y224:Y225),"0")</f>
        <v>28.8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4301012196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4301011824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4301012195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4301011722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137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3</v>
      </c>
      <c r="Y253" s="546">
        <f>IFERROR(IF(X253="",0,CEILING((X253/$H253),1)*$H253),"")</f>
        <v>3.96</v>
      </c>
      <c r="Z253" s="36">
        <f>IFERROR(IF(Y253=0,"",ROUNDUP(Y253/H253,0)*0.0059),"")</f>
        <v>2.3599999999999999E-2</v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3.5757575757575757</v>
      </c>
      <c r="BN253" s="64">
        <f>IFERROR(Y253*I253/H253,"0")</f>
        <v>4.72</v>
      </c>
      <c r="BO253" s="64">
        <f>IFERROR(1/J253*(X253/H253),"0")</f>
        <v>1.4029180695847361E-2</v>
      </c>
      <c r="BP253" s="64">
        <f>IFERROR(1/J253*(Y253/H253),"0")</f>
        <v>1.8518518518518517E-2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1</v>
      </c>
      <c r="Y254" s="546">
        <f>IFERROR(IF(X254="",0,CEILING((X254/$H254),1)*$H254),"")</f>
        <v>1.98</v>
      </c>
      <c r="Z254" s="36">
        <f>IFERROR(IF(Y254=0,"",ROUNDUP(Y254/H254,0)*0.0059),"")</f>
        <v>1.18E-2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1.1919191919191918</v>
      </c>
      <c r="BN254" s="64">
        <f>IFERROR(Y254*I254/H254,"0")</f>
        <v>2.36</v>
      </c>
      <c r="BO254" s="64">
        <f>IFERROR(1/J254*(X254/H254),"0")</f>
        <v>4.6763935652824546E-3</v>
      </c>
      <c r="BP254" s="64">
        <f>IFERROR(1/J254*(Y254/H254),"0")</f>
        <v>9.2592592592592587E-3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5.1515151515151523</v>
      </c>
      <c r="Y255" s="547">
        <f>IFERROR(Y250/H250,"0")+IFERROR(Y251/H251,"0")+IFERROR(Y252/H252,"0")+IFERROR(Y253/H253,"0")+IFERROR(Y254/H254,"0")</f>
        <v>8</v>
      </c>
      <c r="Z255" s="547">
        <f>IFERROR(IF(Z250="",0,Z250),"0")+IFERROR(IF(Z251="",0,Z251),"0")+IFERROR(IF(Z252="",0,Z252),"0")+IFERROR(IF(Z253="",0,Z253),"0")+IFERROR(IF(Z254="",0,Z254),"0")</f>
        <v>4.7199999999999999E-2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5</v>
      </c>
      <c r="Y256" s="547">
        <f>IFERROR(SUM(Y250:Y254),"0")</f>
        <v>7.74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82</v>
      </c>
      <c r="Y277" s="546">
        <f>IFERROR(IF(X277="",0,CEILING((X277/$H277),1)*$H277),"")</f>
        <v>84</v>
      </c>
      <c r="Z277" s="36">
        <f>IFERROR(IF(Y277=0,"",ROUNDUP(Y277/H277,0)*0.00651),"")</f>
        <v>0.22785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90.61</v>
      </c>
      <c r="BN277" s="64">
        <f>IFERROR(Y277*I277/H277,"0")</f>
        <v>92.820000000000007</v>
      </c>
      <c r="BO277" s="64">
        <f>IFERROR(1/J277*(X277/H277),"0")</f>
        <v>0.18772893772893776</v>
      </c>
      <c r="BP277" s="64">
        <f>IFERROR(1/J277*(Y277/H277),"0")</f>
        <v>0.19230769230769232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230</v>
      </c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34.166666666666671</v>
      </c>
      <c r="Y279" s="547">
        <f>IFERROR(Y276/H276,"0")+IFERROR(Y277/H277,"0")+IFERROR(Y278/H278,"0")</f>
        <v>35</v>
      </c>
      <c r="Z279" s="547">
        <f>IFERROR(IF(Z276="",0,Z276),"0")+IFERROR(IF(Z277="",0,Z277),"0")+IFERROR(IF(Z278="",0,Z278),"0")</f>
        <v>0.22785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82</v>
      </c>
      <c r="Y280" s="547">
        <f>IFERROR(SUM(Y276:Y278),"0")</f>
        <v>84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2</v>
      </c>
      <c r="Y307" s="546">
        <f t="shared" si="26"/>
        <v>3.6</v>
      </c>
      <c r="Z307" s="36">
        <f>IFERROR(IF(Y307=0,"",ROUNDUP(Y307/H307,0)*0.00651),"")</f>
        <v>1.302E-2</v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2.2533333333333334</v>
      </c>
      <c r="BN307" s="64">
        <f t="shared" si="28"/>
        <v>4.056</v>
      </c>
      <c r="BO307" s="64">
        <f t="shared" si="29"/>
        <v>6.1050061050061059E-3</v>
      </c>
      <c r="BP307" s="64">
        <f t="shared" si="30"/>
        <v>1.098901098901099E-2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1.1111111111111112</v>
      </c>
      <c r="Y308" s="547">
        <f>IFERROR(Y302/H302,"0")+IFERROR(Y303/H303,"0")+IFERROR(Y304/H304,"0")+IFERROR(Y305/H305,"0")+IFERROR(Y306/H306,"0")+IFERROR(Y307/H307,"0")</f>
        <v>2</v>
      </c>
      <c r="Z308" s="547">
        <f>IFERROR(IF(Z302="",0,Z302),"0")+IFERROR(IF(Z303="",0,Z303),"0")+IFERROR(IF(Z304="",0,Z304),"0")+IFERROR(IF(Z305="",0,Z305),"0")+IFERROR(IF(Z306="",0,Z306),"0")+IFERROR(IF(Z307="",0,Z307),"0")</f>
        <v>1.302E-2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2</v>
      </c>
      <c r="Y309" s="547">
        <f>IFERROR(SUM(Y302:Y307),"0")</f>
        <v>3.6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165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hidden="1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127</v>
      </c>
      <c r="Y319" s="546">
        <f>IFERROR(IF(X319="",0,CEILING((X319/$H319),1)*$H319),"")</f>
        <v>132.6</v>
      </c>
      <c r="Z319" s="36">
        <f>IFERROR(IF(Y319=0,"",ROUNDUP(Y319/H319,0)*0.01898),"")</f>
        <v>0.32266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135.04333333333332</v>
      </c>
      <c r="BN319" s="64">
        <f>IFERROR(Y319*I319/H319,"0")</f>
        <v>140.99799999999999</v>
      </c>
      <c r="BO319" s="64">
        <f>IFERROR(1/J319*(X319/H319),"0")</f>
        <v>0.25440705128205127</v>
      </c>
      <c r="BP319" s="64">
        <f>IFERROR(1/J319*(Y319/H319),"0")</f>
        <v>0.265625</v>
      </c>
    </row>
    <row r="320" spans="1:68" ht="16.5" hidden="1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16.282051282051281</v>
      </c>
      <c r="Y321" s="547">
        <f>IFERROR(Y318/H318,"0")+IFERROR(Y319/H319,"0")+IFERROR(Y320/H320,"0")</f>
        <v>17</v>
      </c>
      <c r="Z321" s="547">
        <f>IFERROR(IF(Z318="",0,Z318),"0")+IFERROR(IF(Z319="",0,Z319),"0")+IFERROR(IF(Z320="",0,Z320),"0")</f>
        <v>0.32266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127</v>
      </c>
      <c r="Y322" s="547">
        <f>IFERROR(SUM(Y318:Y320),"0")</f>
        <v>132.6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5</v>
      </c>
      <c r="Y325" s="546">
        <f>IFERROR(IF(X325="",0,CEILING((X325/$H325),1)*$H325),"")</f>
        <v>6.08</v>
      </c>
      <c r="Z325" s="36">
        <f>IFERROR(IF(Y325=0,"",ROUNDUP(Y325/H325,0)*0.00902),"")</f>
        <v>1.804E-2</v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5.3782894736842106</v>
      </c>
      <c r="BN325" s="64">
        <f>IFERROR(Y325*I325/H325,"0")</f>
        <v>6.5399999999999991</v>
      </c>
      <c r="BO325" s="64">
        <f>IFERROR(1/J325*(X325/H325),"0")</f>
        <v>1.2460127591706539E-2</v>
      </c>
      <c r="BP325" s="64">
        <f>IFERROR(1/J325*(Y325/H325),"0")</f>
        <v>1.5151515151515152E-2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6</v>
      </c>
      <c r="Y326" s="546">
        <f>IFERROR(IF(X326="",0,CEILING((X326/$H326),1)*$H326),"")</f>
        <v>7.6499999999999995</v>
      </c>
      <c r="Z326" s="36">
        <f>IFERROR(IF(Y326=0,"",ROUNDUP(Y326/H326,0)*0.00651),"")</f>
        <v>1.9529999999999999E-2</v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6.9529411764705893</v>
      </c>
      <c r="BN326" s="64">
        <f>IFERROR(Y326*I326/H326,"0")</f>
        <v>8.8650000000000002</v>
      </c>
      <c r="BO326" s="64">
        <f>IFERROR(1/J326*(X326/H326),"0")</f>
        <v>1.292824822236587E-2</v>
      </c>
      <c r="BP326" s="64">
        <f>IFERROR(1/J326*(Y326/H326),"0")</f>
        <v>1.6483516483516484E-2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/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5</v>
      </c>
      <c r="Y327" s="546">
        <f>IFERROR(IF(X327="",0,CEILING((X327/$H327),1)*$H327),"")</f>
        <v>5.0999999999999996</v>
      </c>
      <c r="Z327" s="36">
        <f>IFERROR(IF(Y327=0,"",ROUNDUP(Y327/H327,0)*0.00651),"")</f>
        <v>1.302E-2</v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5.6470588235294112</v>
      </c>
      <c r="BN327" s="64">
        <f>IFERROR(Y327*I327/H327,"0")</f>
        <v>5.76</v>
      </c>
      <c r="BO327" s="64">
        <f>IFERROR(1/J327*(X327/H327),"0")</f>
        <v>1.0773540185304893E-2</v>
      </c>
      <c r="BP327" s="64">
        <f>IFERROR(1/J327*(Y327/H327),"0")</f>
        <v>1.098901098901099E-2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5.9584623323013419</v>
      </c>
      <c r="Y328" s="547">
        <f>IFERROR(Y324/H324,"0")+IFERROR(Y325/H325,"0")+IFERROR(Y326/H326,"0")+IFERROR(Y327/H327,"0")</f>
        <v>7</v>
      </c>
      <c r="Z328" s="547">
        <f>IFERROR(IF(Z324="",0,Z324),"0")+IFERROR(IF(Z325="",0,Z325),"0")+IFERROR(IF(Z326="",0,Z326),"0")+IFERROR(IF(Z327="",0,Z327),"0")</f>
        <v>5.0589999999999996E-2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16</v>
      </c>
      <c r="Y329" s="547">
        <f>IFERROR(SUM(Y324:Y327),"0")</f>
        <v>18.829999999999998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5</v>
      </c>
      <c r="Y331" s="546">
        <f>IFERROR(IF(X331="",0,CEILING((X331/$H331),1)*$H331),"")</f>
        <v>6</v>
      </c>
      <c r="Z331" s="36">
        <f>IFERROR(IF(Y331=0,"",ROUNDUP(Y331/H331,0)*0.00474),"")</f>
        <v>1.422E-2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5.6000000000000005</v>
      </c>
      <c r="BN331" s="64">
        <f>IFERROR(Y331*I331/H331,"0")</f>
        <v>6.7200000000000006</v>
      </c>
      <c r="BO331" s="64">
        <f>IFERROR(1/J331*(X331/H331),"0")</f>
        <v>1.0504201680672268E-2</v>
      </c>
      <c r="BP331" s="64">
        <f>IFERROR(1/J331*(Y331/H331),"0")</f>
        <v>1.2605042016806723E-2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9</v>
      </c>
      <c r="Y332" s="546">
        <f>IFERROR(IF(X332="",0,CEILING((X332/$H332),1)*$H332),"")</f>
        <v>10</v>
      </c>
      <c r="Z332" s="36">
        <f>IFERROR(IF(Y332=0,"",ROUNDUP(Y332/H332,0)*0.00474),"")</f>
        <v>2.3700000000000002E-2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10.080000000000002</v>
      </c>
      <c r="BN332" s="64">
        <f>IFERROR(Y332*I332/H332,"0")</f>
        <v>11.200000000000001</v>
      </c>
      <c r="BO332" s="64">
        <f>IFERROR(1/J332*(X332/H332),"0")</f>
        <v>1.8907563025210083E-2</v>
      </c>
      <c r="BP332" s="64">
        <f>IFERROR(1/J332*(Y332/H332),"0")</f>
        <v>2.1008403361344536E-2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11</v>
      </c>
      <c r="Y333" s="546">
        <f>IFERROR(IF(X333="",0,CEILING((X333/$H333),1)*$H333),"")</f>
        <v>12</v>
      </c>
      <c r="Z333" s="36">
        <f>IFERROR(IF(Y333=0,"",ROUNDUP(Y333/H333,0)*0.00474),"")</f>
        <v>2.844E-2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12.32</v>
      </c>
      <c r="BN333" s="64">
        <f>IFERROR(Y333*I333/H333,"0")</f>
        <v>13.440000000000001</v>
      </c>
      <c r="BO333" s="64">
        <f>IFERROR(1/J333*(X333/H333),"0")</f>
        <v>2.3109243697478989E-2</v>
      </c>
      <c r="BP333" s="64">
        <f>IFERROR(1/J333*(Y333/H333),"0")</f>
        <v>2.5210084033613446E-2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12.5</v>
      </c>
      <c r="Y334" s="547">
        <f>IFERROR(Y331/H331,"0")+IFERROR(Y332/H332,"0")+IFERROR(Y333/H333,"0")</f>
        <v>14</v>
      </c>
      <c r="Z334" s="547">
        <f>IFERROR(IF(Z331="",0,Z331),"0")+IFERROR(IF(Z332="",0,Z332),"0")+IFERROR(IF(Z333="",0,Z333),"0")</f>
        <v>6.6360000000000002E-2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25</v>
      </c>
      <c r="Y335" s="547">
        <f>IFERROR(SUM(Y331:Y333),"0")</f>
        <v>28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hidden="1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1095</v>
      </c>
      <c r="Y346" s="546">
        <f t="shared" ref="Y346:Y352" si="31">IFERROR(IF(X346="",0,CEILING((X346/$H346),1)*$H346),"")</f>
        <v>1095</v>
      </c>
      <c r="Z346" s="36">
        <f>IFERROR(IF(Y346=0,"",ROUNDUP(Y346/H346,0)*0.02175),"")</f>
        <v>1.58775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1129.3100000000002</v>
      </c>
      <c r="BN346" s="64">
        <f t="shared" ref="BN346:BN352" si="33">IFERROR(Y346*I346/H346,"0")</f>
        <v>1129.3100000000002</v>
      </c>
      <c r="BO346" s="64">
        <f t="shared" ref="BO346:BO352" si="34">IFERROR(1/J346*(X346/H346),"0")</f>
        <v>1.5208333333333333</v>
      </c>
      <c r="BP346" s="64">
        <f t="shared" ref="BP346:BP352" si="35">IFERROR(1/J346*(Y346/H346),"0")</f>
        <v>1.5208333333333333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619</v>
      </c>
      <c r="Y347" s="546">
        <f t="shared" si="31"/>
        <v>630</v>
      </c>
      <c r="Z347" s="36">
        <f>IFERROR(IF(Y347=0,"",ROUNDUP(Y347/H347,0)*0.02175),"")</f>
        <v>0.91349999999999998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638.39533333333338</v>
      </c>
      <c r="BN347" s="64">
        <f t="shared" si="33"/>
        <v>649.74</v>
      </c>
      <c r="BO347" s="64">
        <f t="shared" si="34"/>
        <v>0.85972222222222217</v>
      </c>
      <c r="BP347" s="64">
        <f t="shared" si="35"/>
        <v>0.875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54">
        <v>4680115887046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797</v>
      </c>
      <c r="Y348" s="546">
        <f t="shared" si="31"/>
        <v>810</v>
      </c>
      <c r="Z348" s="36">
        <f>IFERROR(IF(Y348=0,"",ROUNDUP(Y348/H348,0)*0.02175),"")</f>
        <v>1.1744999999999999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821.97266666666667</v>
      </c>
      <c r="BN348" s="64">
        <f t="shared" si="33"/>
        <v>835.38</v>
      </c>
      <c r="BO348" s="64">
        <f t="shared" si="34"/>
        <v>1.1069444444444443</v>
      </c>
      <c r="BP348" s="64">
        <f t="shared" si="35"/>
        <v>1.125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4">
        <v>4680115884830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498</v>
      </c>
      <c r="Y349" s="546">
        <f t="shared" si="31"/>
        <v>510</v>
      </c>
      <c r="Z349" s="36">
        <f>IFERROR(IF(Y349=0,"",ROUNDUP(Y349/H349,0)*0.02175),"")</f>
        <v>0.73949999999999994</v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513.60400000000004</v>
      </c>
      <c r="BN349" s="64">
        <f t="shared" si="33"/>
        <v>525.98</v>
      </c>
      <c r="BO349" s="64">
        <f t="shared" si="34"/>
        <v>0.69166666666666665</v>
      </c>
      <c r="BP349" s="64">
        <f t="shared" si="35"/>
        <v>0.70833333333333326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hidden="1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200.60000000000002</v>
      </c>
      <c r="Y353" s="547">
        <f>IFERROR(Y346/H346,"0")+IFERROR(Y347/H347,"0")+IFERROR(Y348/H348,"0")+IFERROR(Y349/H349,"0")+IFERROR(Y350/H350,"0")+IFERROR(Y351/H351,"0")+IFERROR(Y352/H352,"0")</f>
        <v>203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4.4152499999999995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3009</v>
      </c>
      <c r="Y354" s="547">
        <f>IFERROR(SUM(Y346:Y352),"0")</f>
        <v>3045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137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1313</v>
      </c>
      <c r="Y356" s="546">
        <f>IFERROR(IF(X356="",0,CEILING((X356/$H356),1)*$H356),"")</f>
        <v>1320</v>
      </c>
      <c r="Z356" s="36">
        <f>IFERROR(IF(Y356=0,"",ROUNDUP(Y356/H356,0)*0.02175),"")</f>
        <v>1.9139999999999999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1354.1406666666667</v>
      </c>
      <c r="BN356" s="64">
        <f>IFERROR(Y356*I356/H356,"0")</f>
        <v>1361.3600000000001</v>
      </c>
      <c r="BO356" s="64">
        <f>IFERROR(1/J356*(X356/H356),"0")</f>
        <v>1.8236111111111111</v>
      </c>
      <c r="BP356" s="64">
        <f>IFERROR(1/J356*(Y356/H356),"0")</f>
        <v>1.8333333333333333</v>
      </c>
    </row>
    <row r="357" spans="1:68" ht="27" hidden="1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87.533333333333331</v>
      </c>
      <c r="Y358" s="547">
        <f>IFERROR(Y356/H356,"0")+IFERROR(Y357/H357,"0")</f>
        <v>88</v>
      </c>
      <c r="Z358" s="547">
        <f>IFERROR(IF(Z356="",0,Z356),"0")+IFERROR(IF(Z357="",0,Z357),"0")</f>
        <v>1.9139999999999999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1313</v>
      </c>
      <c r="Y359" s="547">
        <f>IFERROR(SUM(Y356:Y357),"0")</f>
        <v>1320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20</v>
      </c>
      <c r="Y362" s="546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2.2222222222222223</v>
      </c>
      <c r="Y363" s="547">
        <f>IFERROR(Y361/H361,"0")+IFERROR(Y362/H362,"0")</f>
        <v>3</v>
      </c>
      <c r="Z363" s="547">
        <f>IFERROR(IF(Z361="",0,Z361),"0")+IFERROR(IF(Z362="",0,Z362),"0")</f>
        <v>5.6940000000000004E-2</v>
      </c>
      <c r="AA363" s="548"/>
      <c r="AB363" s="548"/>
      <c r="AC363" s="548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20</v>
      </c>
      <c r="Y364" s="547">
        <f>IFERROR(SUM(Y361:Y362),"0")</f>
        <v>27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165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74</v>
      </c>
      <c r="Y366" s="546">
        <f>IFERROR(IF(X366="",0,CEILING((X366/$H366),1)*$H366),"")</f>
        <v>81</v>
      </c>
      <c r="Z366" s="36">
        <f>IFERROR(IF(Y366=0,"",ROUNDUP(Y366/H366,0)*0.01898),"")</f>
        <v>0.17082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78.061777777777777</v>
      </c>
      <c r="BN366" s="64">
        <f>IFERROR(Y366*I366/H366,"0")</f>
        <v>85.445999999999998</v>
      </c>
      <c r="BO366" s="64">
        <f>IFERROR(1/J366*(X366/H366),"0")</f>
        <v>0.12847222222222221</v>
      </c>
      <c r="BP366" s="64">
        <f>IFERROR(1/J366*(Y366/H366),"0")</f>
        <v>0.140625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8.2222222222222214</v>
      </c>
      <c r="Y367" s="547">
        <f>IFERROR(Y366/H366,"0")</f>
        <v>9</v>
      </c>
      <c r="Z367" s="547">
        <f>IFERROR(IF(Z366="",0,Z366),"0")</f>
        <v>0.17082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74</v>
      </c>
      <c r="Y368" s="547">
        <f>IFERROR(SUM(Y366:Y366),"0")</f>
        <v>81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hidden="1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idden="1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hidden="1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4301031457</v>
      </c>
      <c r="D376" s="554">
        <v>4607091384802</v>
      </c>
      <c r="E376" s="555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4301031303</v>
      </c>
      <c r="D377" s="554">
        <v>4607091384802</v>
      </c>
      <c r="E377" s="555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35</v>
      </c>
      <c r="P377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476</v>
      </c>
      <c r="Y381" s="546">
        <f>IFERROR(IF(X381="",0,CEILING((X381/$H381),1)*$H381),"")</f>
        <v>477</v>
      </c>
      <c r="Z381" s="36">
        <f>IFERROR(IF(Y381=0,"",ROUNDUP(Y381/H381,0)*0.01898),"")</f>
        <v>1.0059400000000001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502.12711111111116</v>
      </c>
      <c r="BN381" s="64">
        <f>IFERROR(Y381*I381/H381,"0")</f>
        <v>503.18200000000002</v>
      </c>
      <c r="BO381" s="64">
        <f>IFERROR(1/J381*(X381/H381),"0")</f>
        <v>0.82638888888888884</v>
      </c>
      <c r="BP381" s="64">
        <f>IFERROR(1/J381*(Y381/H381),"0")</f>
        <v>0.828125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4301052069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603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604</v>
      </c>
      <c r="C383" s="31">
        <v>4301051660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600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52.888888888888886</v>
      </c>
      <c r="Y384" s="547">
        <f>IFERROR(Y381/H381,"0")+IFERROR(Y382/H382,"0")+IFERROR(Y383/H383,"0")</f>
        <v>53</v>
      </c>
      <c r="Z384" s="547">
        <f>IFERROR(IF(Z381="",0,Z381),"0")+IFERROR(IF(Z382="",0,Z382),"0")+IFERROR(IF(Z383="",0,Z383),"0")</f>
        <v>1.0059400000000001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476</v>
      </c>
      <c r="Y385" s="547">
        <f>IFERROR(SUM(Y381:Y383),"0")</f>
        <v>477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208</v>
      </c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24</v>
      </c>
      <c r="Y389" s="546">
        <f t="shared" ref="Y389:Y397" si="36">IFERROR(IF(X389="",0,CEILING((X389/$H389),1)*$H389),"")</f>
        <v>27</v>
      </c>
      <c r="Z389" s="36">
        <f>IFERROR(IF(Y389=0,"",ROUNDUP(Y389/H389,0)*0.00902),"")</f>
        <v>4.5100000000000001E-2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24.844444444444441</v>
      </c>
      <c r="BN389" s="64">
        <f t="shared" ref="BN389:BN397" si="38">IFERROR(Y389*I389/H389,"0")</f>
        <v>27.95</v>
      </c>
      <c r="BO389" s="64">
        <f t="shared" ref="BO389:BO397" si="39">IFERROR(1/J389*(X389/H389),"0")</f>
        <v>3.3670033670033662E-2</v>
      </c>
      <c r="BP389" s="64">
        <f t="shared" ref="BP389:BP397" si="40">IFERROR(1/J389*(Y389/H389),"0")</f>
        <v>3.787878787878788E-2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hidden="1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4.4444444444444438</v>
      </c>
      <c r="Y398" s="547">
        <f>IFERROR(Y389/H389,"0")+IFERROR(Y390/H390,"0")+IFERROR(Y391/H391,"0")+IFERROR(Y392/H392,"0")+IFERROR(Y393/H393,"0")+IFERROR(Y394/H394,"0")+IFERROR(Y395/H395,"0")+IFERROR(Y396/H396,"0")+IFERROR(Y397/H397,"0")</f>
        <v>5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4.5100000000000001E-2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24</v>
      </c>
      <c r="Y399" s="547">
        <f>IFERROR(SUM(Y389:Y397),"0")</f>
        <v>27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137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208</v>
      </c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76</v>
      </c>
      <c r="Y411" s="546">
        <f>IFERROR(IF(X411="",0,CEILING((X411/$H411),1)*$H411),"")</f>
        <v>81</v>
      </c>
      <c r="Z411" s="36">
        <f>IFERROR(IF(Y411=0,"",ROUNDUP(Y411/H411,0)*0.00902),"")</f>
        <v>0.1353</v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78.67407407407407</v>
      </c>
      <c r="BN411" s="64">
        <f>IFERROR(Y411*I411/H411,"0")</f>
        <v>83.85</v>
      </c>
      <c r="BO411" s="64">
        <f>IFERROR(1/J411*(X411/H411),"0")</f>
        <v>0.10662177328843994</v>
      </c>
      <c r="BP411" s="64">
        <f>IFERROR(1/J411*(Y411/H411),"0")</f>
        <v>0.11363636363636363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14.074074074074073</v>
      </c>
      <c r="Y415" s="547">
        <f>IFERROR(Y411/H411,"0")+IFERROR(Y412/H412,"0")+IFERROR(Y413/H413,"0")+IFERROR(Y414/H414,"0")</f>
        <v>14.999999999999998</v>
      </c>
      <c r="Z415" s="547">
        <f>IFERROR(IF(Z411="",0,Z411),"0")+IFERROR(IF(Z412="",0,Z412),"0")+IFERROR(IF(Z413="",0,Z413),"0")+IFERROR(IF(Z414="",0,Z414),"0")</f>
        <v>0.1353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76</v>
      </c>
      <c r="Y416" s="547">
        <f>IFERROR(SUM(Y411:Y414),"0")</f>
        <v>81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hidden="1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hidden="1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/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49</v>
      </c>
      <c r="Y425" s="546">
        <f t="shared" ref="Y425:Y436" si="42">IFERROR(IF(X425="",0,CEILING((X425/$H425),1)*$H425),"")</f>
        <v>52.800000000000004</v>
      </c>
      <c r="Z425" s="36">
        <f t="shared" ref="Z425:Z431" si="43">IFERROR(IF(Y425=0,"",ROUNDUP(Y425/H425,0)*0.01196),"")</f>
        <v>0.1196</v>
      </c>
      <c r="AA425" s="56"/>
      <c r="AB425" s="57"/>
      <c r="AC425" s="469" t="s">
        <v>108</v>
      </c>
      <c r="AG425" s="64"/>
      <c r="AJ425" s="68"/>
      <c r="AK425" s="68">
        <v>0</v>
      </c>
      <c r="BB425" s="470" t="s">
        <v>1</v>
      </c>
      <c r="BM425" s="64">
        <f t="shared" ref="BM425:BM436" si="44">IFERROR(X425*I425/H425,"0")</f>
        <v>52.248106060606062</v>
      </c>
      <c r="BN425" s="64">
        <f t="shared" ref="BN425:BN436" si="45">IFERROR(Y425*I425/H425,"0")</f>
        <v>56.3</v>
      </c>
      <c r="BO425" s="64">
        <f t="shared" ref="BO425:BO436" si="46">IFERROR(1/J425*(X425/H425),"0")</f>
        <v>8.9233682983682977E-2</v>
      </c>
      <c r="BP425" s="64">
        <f t="shared" ref="BP425:BP436" si="47">IFERROR(1/J425*(Y425/H425),"0")</f>
        <v>9.6153846153846159E-2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21</v>
      </c>
      <c r="Y428" s="546">
        <f t="shared" si="42"/>
        <v>21.12</v>
      </c>
      <c r="Z428" s="36">
        <f t="shared" si="43"/>
        <v>4.7840000000000001E-2</v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22.392045454545453</v>
      </c>
      <c r="BN428" s="64">
        <f t="shared" si="45"/>
        <v>22.52</v>
      </c>
      <c r="BO428" s="64">
        <f t="shared" si="46"/>
        <v>3.8243006993006992E-2</v>
      </c>
      <c r="BP428" s="64">
        <f t="shared" si="47"/>
        <v>3.8461538461538464E-2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79</v>
      </c>
      <c r="Y429" s="546">
        <f t="shared" si="42"/>
        <v>79.2</v>
      </c>
      <c r="Z429" s="36">
        <f t="shared" si="43"/>
        <v>0.1794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84.236742424242422</v>
      </c>
      <c r="BN429" s="64">
        <f t="shared" si="45"/>
        <v>84.45</v>
      </c>
      <c r="BO429" s="64">
        <f t="shared" si="46"/>
        <v>0.14386655011655011</v>
      </c>
      <c r="BP429" s="64">
        <f t="shared" si="47"/>
        <v>0.14423076923076925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398</v>
      </c>
      <c r="Y431" s="546">
        <f t="shared" si="42"/>
        <v>401.28000000000003</v>
      </c>
      <c r="Z431" s="36">
        <f t="shared" si="43"/>
        <v>0.90895999999999999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424.38257575757569</v>
      </c>
      <c r="BN431" s="64">
        <f t="shared" si="45"/>
        <v>427.88</v>
      </c>
      <c r="BO431" s="64">
        <f t="shared" si="46"/>
        <v>0.72479603729603725</v>
      </c>
      <c r="BP431" s="64">
        <f t="shared" si="47"/>
        <v>0.73076923076923084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11</v>
      </c>
      <c r="Y433" s="546">
        <f t="shared" si="42"/>
        <v>14.399999999999999</v>
      </c>
      <c r="Z433" s="36">
        <f>IFERROR(IF(Y433=0,"",ROUNDUP(Y433/H433,0)*0.00902),"")</f>
        <v>2.7060000000000001E-2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15.835416666666669</v>
      </c>
      <c r="BN433" s="64">
        <f t="shared" si="45"/>
        <v>20.73</v>
      </c>
      <c r="BO433" s="64">
        <f t="shared" si="46"/>
        <v>1.7361111111111115E-2</v>
      </c>
      <c r="BP433" s="64">
        <f t="shared" si="47"/>
        <v>2.2727272727272728E-2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105.89015151515152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108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1.2828600000000001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558</v>
      </c>
      <c r="Y438" s="547">
        <f>IFERROR(SUM(Y425:Y436),"0")</f>
        <v>568.80000000000007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137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118</v>
      </c>
      <c r="Y440" s="546">
        <f>IFERROR(IF(X440="",0,CEILING((X440/$H440),1)*$H440),"")</f>
        <v>121.44000000000001</v>
      </c>
      <c r="Z440" s="36">
        <f>IFERROR(IF(Y440=0,"",ROUNDUP(Y440/H440,0)*0.01196),"")</f>
        <v>0.27507999999999999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125.8219696969697</v>
      </c>
      <c r="BN440" s="64">
        <f>IFERROR(Y440*I440/H440,"0")</f>
        <v>129.49</v>
      </c>
      <c r="BO440" s="64">
        <f>IFERROR(1/J440*(X440/H440),"0")</f>
        <v>0.21488927738927741</v>
      </c>
      <c r="BP440" s="64">
        <f>IFERROR(1/J440*(Y440/H440),"0")</f>
        <v>0.22115384615384617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11</v>
      </c>
      <c r="Y442" s="546">
        <f>IFERROR(IF(X442="",0,CEILING((X442/$H442),1)*$H442),"")</f>
        <v>14.399999999999999</v>
      </c>
      <c r="Z442" s="36">
        <f>IFERROR(IF(Y442=0,"",ROUNDUP(Y442/H442,0)*0.00902),"")</f>
        <v>2.7060000000000001E-2</v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15.835416666666669</v>
      </c>
      <c r="BN442" s="64">
        <f>IFERROR(Y442*I442/H442,"0")</f>
        <v>20.73</v>
      </c>
      <c r="BO442" s="64">
        <f>IFERROR(1/J442*(X442/H442),"0")</f>
        <v>1.7361111111111115E-2</v>
      </c>
      <c r="BP442" s="64">
        <f>IFERROR(1/J442*(Y442/H442),"0")</f>
        <v>2.2727272727272728E-2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24.640151515151516</v>
      </c>
      <c r="Y443" s="547">
        <f>IFERROR(Y440/H440,"0")+IFERROR(Y441/H441,"0")+IFERROR(Y442/H442,"0")</f>
        <v>26</v>
      </c>
      <c r="Z443" s="547">
        <f>IFERROR(IF(Z440="",0,Z440),"0")+IFERROR(IF(Z441="",0,Z441),"0")+IFERROR(IF(Z442="",0,Z442),"0")</f>
        <v>0.30213999999999996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129</v>
      </c>
      <c r="Y444" s="547">
        <f>IFERROR(SUM(Y440:Y442),"0")</f>
        <v>135.84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141</v>
      </c>
      <c r="Y446" s="546">
        <f t="shared" ref="Y446:Y451" si="48">IFERROR(IF(X446="",0,CEILING((X446/$H446),1)*$H446),"")</f>
        <v>142.56</v>
      </c>
      <c r="Z446" s="36">
        <f>IFERROR(IF(Y446=0,"",ROUNDUP(Y446/H446,0)*0.01196),"")</f>
        <v>0.32291999999999998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150.34659090909091</v>
      </c>
      <c r="BN446" s="64">
        <f t="shared" ref="BN446:BN451" si="50">IFERROR(Y446*I446/H446,"0")</f>
        <v>152.01</v>
      </c>
      <c r="BO446" s="64">
        <f t="shared" ref="BO446:BO451" si="51">IFERROR(1/J446*(X446/H446),"0")</f>
        <v>0.25677447552447552</v>
      </c>
      <c r="BP446" s="64">
        <f t="shared" ref="BP446:BP451" si="52">IFERROR(1/J446*(Y446/H446),"0")</f>
        <v>0.25961538461538464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76</v>
      </c>
      <c r="Y447" s="546">
        <f t="shared" si="48"/>
        <v>79.2</v>
      </c>
      <c r="Z447" s="36">
        <f>IFERROR(IF(Y447=0,"",ROUNDUP(Y447/H447,0)*0.01196),"")</f>
        <v>0.1794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81.037878787878782</v>
      </c>
      <c r="BN447" s="64">
        <f t="shared" si="50"/>
        <v>84.45</v>
      </c>
      <c r="BO447" s="64">
        <f t="shared" si="51"/>
        <v>0.13840326340326339</v>
      </c>
      <c r="BP447" s="64">
        <f t="shared" si="52"/>
        <v>0.14423076923076925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286</v>
      </c>
      <c r="Y448" s="546">
        <f t="shared" si="48"/>
        <v>290.40000000000003</v>
      </c>
      <c r="Z448" s="36">
        <f>IFERROR(IF(Y448=0,"",ROUNDUP(Y448/H448,0)*0.01196),"")</f>
        <v>0.65780000000000005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304.95833333333331</v>
      </c>
      <c r="BN448" s="64">
        <f t="shared" si="50"/>
        <v>309.65000000000003</v>
      </c>
      <c r="BO448" s="64">
        <f t="shared" si="51"/>
        <v>0.52083333333333337</v>
      </c>
      <c r="BP448" s="64">
        <f t="shared" si="52"/>
        <v>0.52884615384615397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95.265151515151501</v>
      </c>
      <c r="Y452" s="547">
        <f>IFERROR(Y446/H446,"0")+IFERROR(Y447/H447,"0")+IFERROR(Y448/H448,"0")+IFERROR(Y449/H449,"0")+IFERROR(Y450/H450,"0")+IFERROR(Y451/H451,"0")</f>
        <v>97</v>
      </c>
      <c r="Z452" s="547">
        <f>IFERROR(IF(Z446="",0,Z446),"0")+IFERROR(IF(Z447="",0,Z447),"0")+IFERROR(IF(Z448="",0,Z448),"0")+IFERROR(IF(Z449="",0,Z449),"0")+IFERROR(IF(Z450="",0,Z450),"0")+IFERROR(IF(Z451="",0,Z451),"0")</f>
        <v>1.16012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503</v>
      </c>
      <c r="Y453" s="547">
        <f>IFERROR(SUM(Y446:Y451),"0")</f>
        <v>512.16000000000008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137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21</v>
      </c>
      <c r="Y478" s="546">
        <f>IFERROR(IF(X478="",0,CEILING((X478/$H478),1)*$H478),"")</f>
        <v>27</v>
      </c>
      <c r="Z478" s="36">
        <f>IFERROR(IF(Y478=0,"",ROUNDUP(Y478/H478,0)*0.01898),"")</f>
        <v>5.6940000000000004E-2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22.152666666666665</v>
      </c>
      <c r="BN478" s="64">
        <f>IFERROR(Y478*I478/H478,"0")</f>
        <v>28.481999999999996</v>
      </c>
      <c r="BO478" s="64">
        <f>IFERROR(1/J478*(X478/H478),"0")</f>
        <v>3.6458333333333336E-2</v>
      </c>
      <c r="BP478" s="64">
        <f>IFERROR(1/J478*(Y478/H478),"0")</f>
        <v>4.6875E-2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2.3333333333333335</v>
      </c>
      <c r="Y479" s="547">
        <f>IFERROR(Y478/H478,"0")</f>
        <v>3</v>
      </c>
      <c r="Z479" s="547">
        <f>IFERROR(IF(Z478="",0,Z478),"0")</f>
        <v>5.6940000000000004E-2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21</v>
      </c>
      <c r="Y480" s="547">
        <f>IFERROR(SUM(Y478:Y478),"0")</f>
        <v>27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165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137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9840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10026.469999999999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10361.001932893114</v>
      </c>
      <c r="Y492" s="547">
        <f>IFERROR(SUM(BN22:BN488),"0")</f>
        <v>10560.631000000001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17</v>
      </c>
      <c r="Y493" s="38">
        <f>ROUNDUP(SUM(BP22:BP488),0)</f>
        <v>17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10786.001932893114</v>
      </c>
      <c r="Y494" s="547">
        <f>GrossWeightTotalR+PalletQtyTotalR*25</f>
        <v>10985.631000000001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1670.1072968851588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1706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19.222640000000002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118</v>
      </c>
      <c r="E499" s="570" t="s">
        <v>172</v>
      </c>
      <c r="F499" s="570" t="s">
        <v>196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216.3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44</v>
      </c>
      <c r="E501" s="46">
        <f>IFERROR(Y86*1,"0")+IFERROR(Y87*1,"0")+IFERROR(Y88*1,"0")+IFERROR(Y89*1,"0")+IFERROR(Y93*1,"0")+IFERROR(Y94*1,"0")+IFERROR(Y95*1,"0")+IFERROR(Y96*1,"0")</f>
        <v>513.9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788.7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395.09999999999997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1491.8999999999999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7.74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84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183.03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4473</v>
      </c>
      <c r="T501" s="46">
        <f>IFERROR(Y371*1,"0")+IFERROR(Y372*1,"0")+IFERROR(Y376*1,"0")+IFERROR(Y377*1,"0")+IFERROR(Y381*1,"0")+IFERROR(Y382*1,"0")+IFERROR(Y383*1,"0")</f>
        <v>477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27</v>
      </c>
      <c r="V501" s="46">
        <f>IFERROR(Y407*1,"0")+IFERROR(Y411*1,"0")+IFERROR(Y412*1,"0")+IFERROR(Y413*1,"0")+IFERROR(Y414*1,"0")</f>
        <v>81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1216.8000000000002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27</v>
      </c>
      <c r="Z501" s="46">
        <f>IFERROR(Y488*1,"0")</f>
        <v>0</v>
      </c>
      <c r="AB501" s="52"/>
      <c r="AC501" s="52"/>
      <c r="AF501" s="543"/>
    </row>
  </sheetData>
  <sheetProtection algorithmName="SHA-512" hashValue="oCdOgtkUbzxhjDfjKecSysnGrm6WYw83YzigAkyIyyTgM4dpsTOyPAkeeWmwJ/jv1z+HJbJoVyz6tsKXrn4fGw==" saltValue="ZnxxvsBM2R3sI+Zgat7cS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5,00"/>
        <filter val="1 158,00"/>
        <filter val="1 313,00"/>
        <filter val="1 670,11"/>
        <filter val="1,00"/>
        <filter val="1,11"/>
        <filter val="10 361,00"/>
        <filter val="10 786,00"/>
        <filter val="105,89"/>
        <filter val="11,00"/>
        <filter val="11,67"/>
        <filter val="111,00"/>
        <filter val="118,00"/>
        <filter val="12,00"/>
        <filter val="12,50"/>
        <filter val="122,00"/>
        <filter val="127,00"/>
        <filter val="129,00"/>
        <filter val="136,03"/>
        <filter val="14,07"/>
        <filter val="14,17"/>
        <filter val="141,00"/>
        <filter val="143,00"/>
        <filter val="144,00"/>
        <filter val="154,00"/>
        <filter val="16,00"/>
        <filter val="16,28"/>
        <filter val="17"/>
        <filter val="171,00"/>
        <filter val="176,00"/>
        <filter val="19,00"/>
        <filter val="2,00"/>
        <filter val="2,22"/>
        <filter val="2,33"/>
        <filter val="2,38"/>
        <filter val="20,00"/>
        <filter val="200,60"/>
        <filter val="204,00"/>
        <filter val="205,00"/>
        <filter val="207,00"/>
        <filter val="21,00"/>
        <filter val="21,95"/>
        <filter val="216,00"/>
        <filter val="22,00"/>
        <filter val="223,00"/>
        <filter val="24,00"/>
        <filter val="24,64"/>
        <filter val="25,00"/>
        <filter val="28,00"/>
        <filter val="284,00"/>
        <filter val="286,00"/>
        <filter val="298,00"/>
        <filter val="3 009,00"/>
        <filter val="3,00"/>
        <filter val="306,00"/>
        <filter val="308,00"/>
        <filter val="34,00"/>
        <filter val="34,17"/>
        <filter val="35,00"/>
        <filter val="350,00"/>
        <filter val="371,00"/>
        <filter val="374,00"/>
        <filter val="398,00"/>
        <filter val="4,00"/>
        <filter val="4,44"/>
        <filter val="41,17"/>
        <filter val="44,00"/>
        <filter val="44,06"/>
        <filter val="45,00"/>
        <filter val="453,04"/>
        <filter val="476,00"/>
        <filter val="49,00"/>
        <filter val="498,00"/>
        <filter val="5,00"/>
        <filter val="5,15"/>
        <filter val="5,56"/>
        <filter val="5,96"/>
        <filter val="50,00"/>
        <filter val="503,00"/>
        <filter val="51,00"/>
        <filter val="52,89"/>
        <filter val="558,00"/>
        <filter val="6,00"/>
        <filter val="619,00"/>
        <filter val="68,64"/>
        <filter val="7,00"/>
        <filter val="74,00"/>
        <filter val="76,00"/>
        <filter val="78,00"/>
        <filter val="79,00"/>
        <filter val="797,00"/>
        <filter val="8,22"/>
        <filter val="82,00"/>
        <filter val="84,00"/>
        <filter val="85,00"/>
        <filter val="87,53"/>
        <filter val="88,89"/>
        <filter val="9 840,00"/>
        <filter val="9,00"/>
        <filter val="95,27"/>
        <filter val="98,27"/>
        <filter val="99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6 X93 X101 X104 X116 X118 X166 X168:X169 X201:X202 X204 X215 X217:X220 X277:X278 X319 X346:X347 X349 X356 X381 X389 X411 X429 X431 X440 X446:X448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yAY1Il2C0DYVIoexGDUnpMFt07IYurfY1Ospbqr2DYvW/45esaxcCkdxAfnt5qpNoZnXUsDpnnp51wRGOJQTbg==" saltValue="PKC8C7FchOAOxyfTyUzbb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2025-12-17T11:29:05Z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