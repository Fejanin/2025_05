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86777D-FACF-4265-8451-C3584420AB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Y420" i="1" s="1"/>
  <c r="P419" i="1"/>
  <c r="X416" i="1"/>
  <c r="X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O402" i="1"/>
  <c r="BM402" i="1"/>
  <c r="Y402" i="1"/>
  <c r="P402" i="1"/>
  <c r="BO401" i="1"/>
  <c r="BM401" i="1"/>
  <c r="Y401" i="1"/>
  <c r="Y403" i="1" s="1"/>
  <c r="P401" i="1"/>
  <c r="X399" i="1"/>
  <c r="X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X342" i="1"/>
  <c r="X341" i="1"/>
  <c r="BO340" i="1"/>
  <c r="BM340" i="1"/>
  <c r="Y340" i="1"/>
  <c r="P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BP332" i="1" s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Y328" i="1" s="1"/>
  <c r="P324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Y322" i="1" s="1"/>
  <c r="P318" i="1"/>
  <c r="X316" i="1"/>
  <c r="X315" i="1"/>
  <c r="BO314" i="1"/>
  <c r="BM314" i="1"/>
  <c r="Y314" i="1"/>
  <c r="BP314" i="1" s="1"/>
  <c r="P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Y291" i="1" s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Y273" i="1" s="1"/>
  <c r="P269" i="1"/>
  <c r="BP268" i="1"/>
  <c r="BO268" i="1"/>
  <c r="BN268" i="1"/>
  <c r="BM268" i="1"/>
  <c r="Z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BP259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BP238" i="1" s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Y153" i="1" s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8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69" i="1" l="1"/>
  <c r="BN69" i="1"/>
  <c r="Z69" i="1"/>
  <c r="BP87" i="1"/>
  <c r="BN87" i="1"/>
  <c r="Z87" i="1"/>
  <c r="BP144" i="1"/>
  <c r="BN144" i="1"/>
  <c r="Z144" i="1"/>
  <c r="BP180" i="1"/>
  <c r="BN180" i="1"/>
  <c r="Z180" i="1"/>
  <c r="Z183" i="1" s="1"/>
  <c r="BP215" i="1"/>
  <c r="BN215" i="1"/>
  <c r="Z215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77" i="1"/>
  <c r="BN277" i="1"/>
  <c r="Z277" i="1"/>
  <c r="BP311" i="1"/>
  <c r="BN311" i="1"/>
  <c r="Z311" i="1"/>
  <c r="BP357" i="1"/>
  <c r="BN357" i="1"/>
  <c r="Z357" i="1"/>
  <c r="BP396" i="1"/>
  <c r="BN396" i="1"/>
  <c r="Z396" i="1"/>
  <c r="BP428" i="1"/>
  <c r="BN428" i="1"/>
  <c r="Z428" i="1"/>
  <c r="BP448" i="1"/>
  <c r="BN448" i="1"/>
  <c r="Z448" i="1"/>
  <c r="Z30" i="1"/>
  <c r="BN30" i="1"/>
  <c r="Z57" i="1"/>
  <c r="BN57" i="1"/>
  <c r="BP86" i="1"/>
  <c r="BN86" i="1"/>
  <c r="Z86" i="1"/>
  <c r="BP118" i="1"/>
  <c r="BN118" i="1"/>
  <c r="Z118" i="1"/>
  <c r="Y177" i="1"/>
  <c r="BP167" i="1"/>
  <c r="BN167" i="1"/>
  <c r="Z167" i="1"/>
  <c r="BP203" i="1"/>
  <c r="BN203" i="1"/>
  <c r="Z203" i="1"/>
  <c r="BP232" i="1"/>
  <c r="BN232" i="1"/>
  <c r="Z232" i="1"/>
  <c r="BP261" i="1"/>
  <c r="BN261" i="1"/>
  <c r="Z261" i="1"/>
  <c r="Q501" i="1"/>
  <c r="BP297" i="1"/>
  <c r="BN297" i="1"/>
  <c r="Z297" i="1"/>
  <c r="BP346" i="1"/>
  <c r="BN346" i="1"/>
  <c r="Z346" i="1"/>
  <c r="BP382" i="1"/>
  <c r="BN382" i="1"/>
  <c r="Z382" i="1"/>
  <c r="BP425" i="1"/>
  <c r="BN425" i="1"/>
  <c r="Z425" i="1"/>
  <c r="BP436" i="1"/>
  <c r="BN436" i="1"/>
  <c r="Z436" i="1"/>
  <c r="BP468" i="1"/>
  <c r="BN468" i="1"/>
  <c r="Z468" i="1"/>
  <c r="Y77" i="1"/>
  <c r="Y90" i="1"/>
  <c r="G501" i="1"/>
  <c r="Y147" i="1"/>
  <c r="Y255" i="1"/>
  <c r="BP270" i="1"/>
  <c r="BN270" i="1"/>
  <c r="Z270" i="1"/>
  <c r="BP295" i="1"/>
  <c r="BN295" i="1"/>
  <c r="Z295" i="1"/>
  <c r="BP307" i="1"/>
  <c r="BN307" i="1"/>
  <c r="Z307" i="1"/>
  <c r="BP340" i="1"/>
  <c r="Z340" i="1"/>
  <c r="BP351" i="1"/>
  <c r="BN351" i="1"/>
  <c r="Z351" i="1"/>
  <c r="Y378" i="1"/>
  <c r="BP376" i="1"/>
  <c r="BN376" i="1"/>
  <c r="Z376" i="1"/>
  <c r="BP394" i="1"/>
  <c r="BN394" i="1"/>
  <c r="Z394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X495" i="1"/>
  <c r="Z28" i="1"/>
  <c r="BN28" i="1"/>
  <c r="Z42" i="1"/>
  <c r="BN42" i="1"/>
  <c r="D501" i="1"/>
  <c r="Z55" i="1"/>
  <c r="BN55" i="1"/>
  <c r="Z61" i="1"/>
  <c r="BN61" i="1"/>
  <c r="BP61" i="1"/>
  <c r="Y64" i="1"/>
  <c r="Z67" i="1"/>
  <c r="BN67" i="1"/>
  <c r="BP67" i="1"/>
  <c r="Y70" i="1"/>
  <c r="Z73" i="1"/>
  <c r="BN73" i="1"/>
  <c r="BP73" i="1"/>
  <c r="Y78" i="1"/>
  <c r="Z81" i="1"/>
  <c r="BN81" i="1"/>
  <c r="Z89" i="1"/>
  <c r="BN89" i="1"/>
  <c r="Y97" i="1"/>
  <c r="Z95" i="1"/>
  <c r="BN95" i="1"/>
  <c r="F501" i="1"/>
  <c r="Z103" i="1"/>
  <c r="BN103" i="1"/>
  <c r="Z109" i="1"/>
  <c r="BN109" i="1"/>
  <c r="BP109" i="1"/>
  <c r="Z110" i="1"/>
  <c r="BN110" i="1"/>
  <c r="Y113" i="1"/>
  <c r="Z116" i="1"/>
  <c r="BN116" i="1"/>
  <c r="BP116" i="1"/>
  <c r="Y121" i="1"/>
  <c r="Z129" i="1"/>
  <c r="BN129" i="1"/>
  <c r="Y135" i="1"/>
  <c r="Z139" i="1"/>
  <c r="BN139" i="1"/>
  <c r="Z150" i="1"/>
  <c r="BN150" i="1"/>
  <c r="I501" i="1"/>
  <c r="Z165" i="1"/>
  <c r="BN165" i="1"/>
  <c r="BP165" i="1"/>
  <c r="Z169" i="1"/>
  <c r="BN169" i="1"/>
  <c r="Z176" i="1"/>
  <c r="BN176" i="1"/>
  <c r="Z182" i="1"/>
  <c r="BN182" i="1"/>
  <c r="Z197" i="1"/>
  <c r="BN197" i="1"/>
  <c r="Z201" i="1"/>
  <c r="BN201" i="1"/>
  <c r="Y210" i="1"/>
  <c r="Z205" i="1"/>
  <c r="BN205" i="1"/>
  <c r="Z213" i="1"/>
  <c r="BN213" i="1"/>
  <c r="Z217" i="1"/>
  <c r="BN217" i="1"/>
  <c r="Z225" i="1"/>
  <c r="BN225" i="1"/>
  <c r="Z230" i="1"/>
  <c r="BN230" i="1"/>
  <c r="Y239" i="1"/>
  <c r="Z234" i="1"/>
  <c r="BN234" i="1"/>
  <c r="Z238" i="1"/>
  <c r="BN238" i="1"/>
  <c r="Y256" i="1"/>
  <c r="Z252" i="1"/>
  <c r="BN252" i="1"/>
  <c r="Z259" i="1"/>
  <c r="BN259" i="1"/>
  <c r="BP263" i="1"/>
  <c r="BN263" i="1"/>
  <c r="Z263" i="1"/>
  <c r="P501" i="1"/>
  <c r="BP284" i="1"/>
  <c r="BN284" i="1"/>
  <c r="Z284" i="1"/>
  <c r="Y308" i="1"/>
  <c r="BP303" i="1"/>
  <c r="BN303" i="1"/>
  <c r="Z303" i="1"/>
  <c r="BP313" i="1"/>
  <c r="BN313" i="1"/>
  <c r="Z313" i="1"/>
  <c r="BP348" i="1"/>
  <c r="Z348" i="1"/>
  <c r="Y363" i="1"/>
  <c r="BP361" i="1"/>
  <c r="BN361" i="1"/>
  <c r="Z361" i="1"/>
  <c r="U501" i="1"/>
  <c r="BP390" i="1"/>
  <c r="BN390" i="1"/>
  <c r="Z390" i="1"/>
  <c r="BP402" i="1"/>
  <c r="BN402" i="1"/>
  <c r="Z402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Y484" i="1"/>
  <c r="BP482" i="1"/>
  <c r="BN482" i="1"/>
  <c r="Z482" i="1"/>
  <c r="Y264" i="1"/>
  <c r="O501" i="1"/>
  <c r="Y290" i="1"/>
  <c r="Y316" i="1"/>
  <c r="R501" i="1"/>
  <c r="T501" i="1"/>
  <c r="Y379" i="1"/>
  <c r="Y385" i="1"/>
  <c r="Y416" i="1"/>
  <c r="Y443" i="1"/>
  <c r="Y470" i="1"/>
  <c r="H9" i="1"/>
  <c r="A10" i="1"/>
  <c r="B501" i="1"/>
  <c r="X492" i="1"/>
  <c r="X493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Z68" i="1"/>
  <c r="BN68" i="1"/>
  <c r="BP68" i="1"/>
  <c r="Z74" i="1"/>
  <c r="BN74" i="1"/>
  <c r="BP74" i="1"/>
  <c r="Z76" i="1"/>
  <c r="BN76" i="1"/>
  <c r="Z80" i="1"/>
  <c r="BN80" i="1"/>
  <c r="BP80" i="1"/>
  <c r="Y83" i="1"/>
  <c r="E501" i="1"/>
  <c r="Z88" i="1"/>
  <c r="Z90" i="1" s="1"/>
  <c r="BN88" i="1"/>
  <c r="BP88" i="1"/>
  <c r="Y91" i="1"/>
  <c r="Z94" i="1"/>
  <c r="BN94" i="1"/>
  <c r="BP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BN117" i="1"/>
  <c r="BP117" i="1"/>
  <c r="Z119" i="1"/>
  <c r="BN119" i="1"/>
  <c r="Z123" i="1"/>
  <c r="Z124" i="1" s="1"/>
  <c r="BN123" i="1"/>
  <c r="BP123" i="1"/>
  <c r="Y124" i="1"/>
  <c r="Z128" i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Z146" i="1" s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Y184" i="1"/>
  <c r="Z181" i="1"/>
  <c r="BN181" i="1"/>
  <c r="Y183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F9" i="1"/>
  <c r="J9" i="1"/>
  <c r="Y45" i="1"/>
  <c r="Y58" i="1"/>
  <c r="Y106" i="1"/>
  <c r="Y130" i="1"/>
  <c r="Y163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J501" i="1"/>
  <c r="Y193" i="1"/>
  <c r="K501" i="1"/>
  <c r="Z231" i="1"/>
  <c r="BN231" i="1"/>
  <c r="BP231" i="1"/>
  <c r="Z233" i="1"/>
  <c r="BN233" i="1"/>
  <c r="Z235" i="1"/>
  <c r="BN235" i="1"/>
  <c r="Z237" i="1"/>
  <c r="BN237" i="1"/>
  <c r="Y240" i="1"/>
  <c r="Z251" i="1"/>
  <c r="BN251" i="1"/>
  <c r="BP251" i="1"/>
  <c r="Z253" i="1"/>
  <c r="BN253" i="1"/>
  <c r="L501" i="1"/>
  <c r="Z260" i="1"/>
  <c r="BN260" i="1"/>
  <c r="BP260" i="1"/>
  <c r="Z262" i="1"/>
  <c r="BN262" i="1"/>
  <c r="Y265" i="1"/>
  <c r="M501" i="1"/>
  <c r="Z269" i="1"/>
  <c r="BN269" i="1"/>
  <c r="BP269" i="1"/>
  <c r="Z271" i="1"/>
  <c r="BN271" i="1"/>
  <c r="Y272" i="1"/>
  <c r="Z276" i="1"/>
  <c r="BN276" i="1"/>
  <c r="BP276" i="1"/>
  <c r="Z278" i="1"/>
  <c r="BN278" i="1"/>
  <c r="Y279" i="1"/>
  <c r="Z283" i="1"/>
  <c r="Z285" i="1" s="1"/>
  <c r="BN283" i="1"/>
  <c r="BP283" i="1"/>
  <c r="Y286" i="1"/>
  <c r="Z289" i="1"/>
  <c r="Z290" i="1" s="1"/>
  <c r="BN289" i="1"/>
  <c r="BP289" i="1"/>
  <c r="Z294" i="1"/>
  <c r="BN294" i="1"/>
  <c r="BP294" i="1"/>
  <c r="Z296" i="1"/>
  <c r="BN296" i="1"/>
  <c r="Z298" i="1"/>
  <c r="BN298" i="1"/>
  <c r="Y299" i="1"/>
  <c r="Z302" i="1"/>
  <c r="BN302" i="1"/>
  <c r="BP302" i="1"/>
  <c r="Z304" i="1"/>
  <c r="BN304" i="1"/>
  <c r="Z306" i="1"/>
  <c r="BN306" i="1"/>
  <c r="Y309" i="1"/>
  <c r="Z312" i="1"/>
  <c r="BN312" i="1"/>
  <c r="Z314" i="1"/>
  <c r="BN314" i="1"/>
  <c r="Y315" i="1"/>
  <c r="Z318" i="1"/>
  <c r="BN318" i="1"/>
  <c r="BP318" i="1"/>
  <c r="Z320" i="1"/>
  <c r="BN320" i="1"/>
  <c r="Y321" i="1"/>
  <c r="Z324" i="1"/>
  <c r="BN324" i="1"/>
  <c r="BP324" i="1"/>
  <c r="Z326" i="1"/>
  <c r="BN326" i="1"/>
  <c r="Y329" i="1"/>
  <c r="Z332" i="1"/>
  <c r="BN332" i="1"/>
  <c r="Y335" i="1"/>
  <c r="Z339" i="1"/>
  <c r="BN339" i="1"/>
  <c r="Y342" i="1"/>
  <c r="S501" i="1"/>
  <c r="Y353" i="1"/>
  <c r="Z347" i="1"/>
  <c r="BN347" i="1"/>
  <c r="BP352" i="1"/>
  <c r="BN352" i="1"/>
  <c r="Z352" i="1"/>
  <c r="Y354" i="1"/>
  <c r="Y359" i="1"/>
  <c r="BP356" i="1"/>
  <c r="BN356" i="1"/>
  <c r="Z356" i="1"/>
  <c r="Z358" i="1" s="1"/>
  <c r="Y280" i="1"/>
  <c r="Y285" i="1"/>
  <c r="Y300" i="1"/>
  <c r="Z319" i="1"/>
  <c r="BN319" i="1"/>
  <c r="Z325" i="1"/>
  <c r="BN325" i="1"/>
  <c r="Z327" i="1"/>
  <c r="BN327" i="1"/>
  <c r="Z331" i="1"/>
  <c r="BN331" i="1"/>
  <c r="BP331" i="1"/>
  <c r="Z333" i="1"/>
  <c r="BN333" i="1"/>
  <c r="BN340" i="1"/>
  <c r="Y341" i="1"/>
  <c r="BN348" i="1"/>
  <c r="BP350" i="1"/>
  <c r="BN350" i="1"/>
  <c r="Z350" i="1"/>
  <c r="Y358" i="1"/>
  <c r="Y364" i="1"/>
  <c r="BP362" i="1"/>
  <c r="BN362" i="1"/>
  <c r="Z362" i="1"/>
  <c r="Z363" i="1" s="1"/>
  <c r="Z366" i="1"/>
  <c r="Z367" i="1" s="1"/>
  <c r="BN366" i="1"/>
  <c r="BP366" i="1"/>
  <c r="Y367" i="1"/>
  <c r="Z371" i="1"/>
  <c r="Z373" i="1" s="1"/>
  <c r="BN371" i="1"/>
  <c r="BP371" i="1"/>
  <c r="Y374" i="1"/>
  <c r="Z377" i="1"/>
  <c r="Z378" i="1" s="1"/>
  <c r="BN377" i="1"/>
  <c r="BP377" i="1"/>
  <c r="Z381" i="1"/>
  <c r="BN381" i="1"/>
  <c r="BP381" i="1"/>
  <c r="Z383" i="1"/>
  <c r="BN383" i="1"/>
  <c r="Y384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Z403" i="1" s="1"/>
  <c r="BN401" i="1"/>
  <c r="BP401" i="1"/>
  <c r="Y404" i="1"/>
  <c r="V501" i="1"/>
  <c r="Y409" i="1"/>
  <c r="Z412" i="1"/>
  <c r="BN412" i="1"/>
  <c r="Z414" i="1"/>
  <c r="BN414" i="1"/>
  <c r="Y415" i="1"/>
  <c r="Z419" i="1"/>
  <c r="Z420" i="1" s="1"/>
  <c r="BN419" i="1"/>
  <c r="BP41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373" i="1"/>
  <c r="Y399" i="1"/>
  <c r="Y421" i="1"/>
  <c r="W501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BP449" i="1"/>
  <c r="BN449" i="1"/>
  <c r="Z449" i="1"/>
  <c r="BP463" i="1"/>
  <c r="BN463" i="1"/>
  <c r="Z463" i="1"/>
  <c r="Y485" i="1"/>
  <c r="Y490" i="1"/>
  <c r="Y438" i="1"/>
  <c r="Z483" i="1"/>
  <c r="Z484" i="1" s="1"/>
  <c r="BN483" i="1"/>
  <c r="Z488" i="1"/>
  <c r="Z489" i="1" s="1"/>
  <c r="BN488" i="1"/>
  <c r="BP488" i="1"/>
  <c r="Y489" i="1"/>
  <c r="Z443" i="1" l="1"/>
  <c r="Z437" i="1"/>
  <c r="Z470" i="1"/>
  <c r="Z452" i="1"/>
  <c r="Z334" i="1"/>
  <c r="Z341" i="1"/>
  <c r="Z264" i="1"/>
  <c r="Z255" i="1"/>
  <c r="Z239" i="1"/>
  <c r="Z226" i="1"/>
  <c r="Z152" i="1"/>
  <c r="Z130" i="1"/>
  <c r="Z113" i="1"/>
  <c r="Z82" i="1"/>
  <c r="Z70" i="1"/>
  <c r="Z315" i="1"/>
  <c r="Y493" i="1"/>
  <c r="Y492" i="1"/>
  <c r="Y494" i="1" s="1"/>
  <c r="Z177" i="1"/>
  <c r="Z106" i="1"/>
  <c r="Z415" i="1"/>
  <c r="Z353" i="1"/>
  <c r="Z272" i="1"/>
  <c r="Z209" i="1"/>
  <c r="Y491" i="1"/>
  <c r="Z120" i="1"/>
  <c r="Z97" i="1"/>
  <c r="Z77" i="1"/>
  <c r="Z328" i="1"/>
  <c r="Z321" i="1"/>
  <c r="Z279" i="1"/>
  <c r="Z221" i="1"/>
  <c r="Z58" i="1"/>
  <c r="Z44" i="1"/>
  <c r="Z32" i="1"/>
  <c r="X494" i="1"/>
  <c r="Z465" i="1"/>
  <c r="Z398" i="1"/>
  <c r="Z384" i="1"/>
  <c r="Z308" i="1"/>
  <c r="Z299" i="1"/>
  <c r="Y495" i="1"/>
  <c r="Z496" i="1" l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<sst xmlns="http://schemas.openxmlformats.org/spreadsheetml/2006/main" count="2296" uniqueCount="776">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</sst>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94</v>
      </c>
      <c r="Y93" s="546">
        <f>IFERROR(IF(X93="",0,CEILING((X93/$H93),1)*$H93),"")</f>
        <v>97.199999999999989</v>
      </c>
      <c r="Z93" s="36">
        <f>IFERROR(IF(Y93=0,"",ROUNDUP(Y93/H93,0)*0.01898),"")</f>
        <v>0.22776000000000002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99.732839506172837</v>
      </c>
      <c r="BN93" s="64">
        <f>IFERROR(Y93*I93/H93,"0")</f>
        <v>103.12799999999999</v>
      </c>
      <c r="BO93" s="64">
        <f>IFERROR(1/J93*(X93/H93),"0")</f>
        <v>0.18132716049382716</v>
      </c>
      <c r="BP93" s="64">
        <f>IFERROR(1/J93*(Y93/H93),"0")</f>
        <v>0.1875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11.604938271604938</v>
      </c>
      <c r="Y97" s="547">
        <f>IFERROR(Y93/H93,"0")+IFERROR(Y94/H94,"0")+IFERROR(Y95/H95,"0")+IFERROR(Y96/H96,"0")</f>
        <v>12</v>
      </c>
      <c r="Z97" s="547">
        <f>IFERROR(IF(Z93="",0,Z93),"0")+IFERROR(IF(Z94="",0,Z94),"0")+IFERROR(IF(Z95="",0,Z95),"0")+IFERROR(IF(Z96="",0,Z96),"0")</f>
        <v>0.22776000000000002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94</v>
      </c>
      <c r="Y98" s="547">
        <f>IFERROR(SUM(Y93:Y96),"0")</f>
        <v>97.199999999999989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110</v>
      </c>
      <c r="Y116" s="546">
        <f>IFERROR(IF(X116="",0,CEILING((X116/$H116),1)*$H116),"")</f>
        <v>113.39999999999999</v>
      </c>
      <c r="Z116" s="36">
        <f>IFERROR(IF(Y116=0,"",ROUNDUP(Y116/H116,0)*0.01898),"")</f>
        <v>0.26572000000000001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116.62716049382716</v>
      </c>
      <c r="BN116" s="64">
        <f>IFERROR(Y116*I116/H116,"0")</f>
        <v>120.23199999999999</v>
      </c>
      <c r="BO116" s="64">
        <f>IFERROR(1/J116*(X116/H116),"0")</f>
        <v>0.21219135802469136</v>
      </c>
      <c r="BP116" s="64">
        <f>IFERROR(1/J116*(Y116/H116),"0")</f>
        <v>0.21875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13.580246913580247</v>
      </c>
      <c r="Y120" s="547">
        <f>IFERROR(Y116/H116,"0")+IFERROR(Y117/H117,"0")+IFERROR(Y118/H118,"0")+IFERROR(Y119/H119,"0")</f>
        <v>14</v>
      </c>
      <c r="Z120" s="547">
        <f>IFERROR(IF(Z116="",0,Z116),"0")+IFERROR(IF(Z117="",0,Z117),"0")+IFERROR(IF(Z118="",0,Z118),"0")+IFERROR(IF(Z119="",0,Z119),"0")</f>
        <v>0.26572000000000001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110</v>
      </c>
      <c r="Y121" s="547">
        <f>IFERROR(SUM(Y116:Y119),"0")</f>
        <v>113.39999999999999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84</v>
      </c>
      <c r="Y217" s="546">
        <f t="shared" si="15"/>
        <v>84</v>
      </c>
      <c r="Z217" s="36">
        <f t="shared" si="20"/>
        <v>0.22785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92.820000000000007</v>
      </c>
      <c r="BN217" s="64">
        <f t="shared" si="17"/>
        <v>92.820000000000007</v>
      </c>
      <c r="BO217" s="64">
        <f t="shared" si="18"/>
        <v>0.19230769230769232</v>
      </c>
      <c r="BP217" s="64">
        <f t="shared" si="19"/>
        <v>0.19230769230769232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84</v>
      </c>
      <c r="Y218" s="546">
        <f t="shared" si="15"/>
        <v>84</v>
      </c>
      <c r="Z218" s="36">
        <f t="shared" si="20"/>
        <v>0.22785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92.820000000000007</v>
      </c>
      <c r="BN218" s="64">
        <f t="shared" si="17"/>
        <v>92.820000000000007</v>
      </c>
      <c r="BO218" s="64">
        <f t="shared" si="18"/>
        <v>0.19230769230769232</v>
      </c>
      <c r="BP218" s="64">
        <f t="shared" si="19"/>
        <v>0.19230769230769232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70</v>
      </c>
      <c r="Y221" s="547">
        <f>IFERROR(Y212/H212,"0")+IFERROR(Y213/H213,"0")+IFERROR(Y214/H214,"0")+IFERROR(Y215/H215,"0")+IFERROR(Y216/H216,"0")+IFERROR(Y217/H217,"0")+IFERROR(Y218/H218,"0")+IFERROR(Y219/H219,"0")+IFERROR(Y220/H220,"0")</f>
        <v>70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0.45569999999999999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168</v>
      </c>
      <c r="Y222" s="547">
        <f>IFERROR(SUM(Y212:Y220),"0")</f>
        <v>168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34</v>
      </c>
      <c r="Y277" s="546">
        <f>IFERROR(IF(X277="",0,CEILING((X277/$H277),1)*$H277),"")</f>
        <v>36</v>
      </c>
      <c r="Z277" s="36">
        <f>IFERROR(IF(Y277=0,"",ROUNDUP(Y277/H277,0)*0.00651),"")</f>
        <v>9.7650000000000001E-2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37.570000000000007</v>
      </c>
      <c r="BN277" s="64">
        <f>IFERROR(Y277*I277/H277,"0")</f>
        <v>39.780000000000008</v>
      </c>
      <c r="BO277" s="64">
        <f>IFERROR(1/J277*(X277/H277),"0")</f>
        <v>7.7838827838827854E-2</v>
      </c>
      <c r="BP277" s="64">
        <f>IFERROR(1/J277*(Y277/H277),"0")</f>
        <v>8.241758241758243E-2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31</v>
      </c>
      <c r="Y278" s="546">
        <f>IFERROR(IF(X278="",0,CEILING((X278/$H278),1)*$H278),"")</f>
        <v>31.2</v>
      </c>
      <c r="Z278" s="36">
        <f>IFERROR(IF(Y278=0,"",ROUNDUP(Y278/H278,0)*0.00651),"")</f>
        <v>8.4629999999999997E-2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33.325000000000003</v>
      </c>
      <c r="BN278" s="64">
        <f>IFERROR(Y278*I278/H278,"0")</f>
        <v>33.54</v>
      </c>
      <c r="BO278" s="64">
        <f>IFERROR(1/J278*(X278/H278),"0")</f>
        <v>7.0970695970695982E-2</v>
      </c>
      <c r="BP278" s="64">
        <f>IFERROR(1/J278*(Y278/H278),"0")</f>
        <v>7.1428571428571438E-2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27.083333333333336</v>
      </c>
      <c r="Y279" s="547">
        <f>IFERROR(Y276/H276,"0")+IFERROR(Y277/H277,"0")+IFERROR(Y278/H278,"0")</f>
        <v>28</v>
      </c>
      <c r="Z279" s="547">
        <f>IFERROR(IF(Z276="",0,Z276),"0")+IFERROR(IF(Z277="",0,Z277),"0")+IFERROR(IF(Z278="",0,Z278),"0")</f>
        <v>0.18228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65</v>
      </c>
      <c r="Y280" s="547">
        <f>IFERROR(SUM(Y276:Y278),"0")</f>
        <v>67.2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60</v>
      </c>
      <c r="Y319" s="546">
        <f>IFERROR(IF(X319="",0,CEILING((X319/$H319),1)*$H319),"")</f>
        <v>62.4</v>
      </c>
      <c r="Z319" s="36">
        <f>IFERROR(IF(Y319=0,"",ROUNDUP(Y319/H319,0)*0.01898),"")</f>
        <v>0.15184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63.800000000000004</v>
      </c>
      <c r="BN319" s="64">
        <f>IFERROR(Y319*I319/H319,"0")</f>
        <v>66.352000000000004</v>
      </c>
      <c r="BO319" s="64">
        <f>IFERROR(1/J319*(X319/H319),"0")</f>
        <v>0.1201923076923077</v>
      </c>
      <c r="BP319" s="64">
        <f>IFERROR(1/J319*(Y319/H319),"0")</f>
        <v>0.125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7.6923076923076925</v>
      </c>
      <c r="Y321" s="547">
        <f>IFERROR(Y318/H318,"0")+IFERROR(Y319/H319,"0")+IFERROR(Y320/H320,"0")</f>
        <v>8</v>
      </c>
      <c r="Z321" s="547">
        <f>IFERROR(IF(Z318="",0,Z318),"0")+IFERROR(IF(Z319="",0,Z319),"0")+IFERROR(IF(Z320="",0,Z320),"0")</f>
        <v>0.15184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60</v>
      </c>
      <c r="Y322" s="547">
        <f>IFERROR(SUM(Y318:Y320),"0")</f>
        <v>62.4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127</v>
      </c>
      <c r="Y346" s="546">
        <f t="shared" ref="Y346:Y352" si="31">IFERROR(IF(X346="",0,CEILING((X346/$H346),1)*$H346),"")</f>
        <v>135</v>
      </c>
      <c r="Z346" s="36">
        <f>IFERROR(IF(Y346=0,"",ROUNDUP(Y346/H346,0)*0.02175),"")</f>
        <v>0.19574999999999998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130.97933333333333</v>
      </c>
      <c r="BN346" s="64">
        <f t="shared" ref="BN346:BN352" si="33">IFERROR(Y346*I346/H346,"0")</f>
        <v>139.23000000000002</v>
      </c>
      <c r="BO346" s="64">
        <f t="shared" ref="BO346:BO352" si="34">IFERROR(1/J346*(X346/H346),"0")</f>
        <v>0.17638888888888887</v>
      </c>
      <c r="BP346" s="64">
        <f t="shared" ref="BP346:BP352" si="35">IFERROR(1/J346*(Y346/H346),"0")</f>
        <v>0.1875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128</v>
      </c>
      <c r="Y348" s="546">
        <f t="shared" si="31"/>
        <v>135</v>
      </c>
      <c r="Z348" s="36">
        <f>IFERROR(IF(Y348=0,"",ROUNDUP(Y348/H348,0)*0.02175),"")</f>
        <v>0.19574999999999998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132.01066666666668</v>
      </c>
      <c r="BN348" s="64">
        <f t="shared" si="33"/>
        <v>139.23000000000002</v>
      </c>
      <c r="BO348" s="64">
        <f t="shared" si="34"/>
        <v>0.17777777777777776</v>
      </c>
      <c r="BP348" s="64">
        <f t="shared" si="35"/>
        <v>0.1875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17</v>
      </c>
      <c r="Y353" s="547">
        <f>IFERROR(Y346/H346,"0")+IFERROR(Y347/H347,"0")+IFERROR(Y348/H348,"0")+IFERROR(Y349/H349,"0")+IFERROR(Y350/H350,"0")+IFERROR(Y351/H351,"0")+IFERROR(Y352/H352,"0")</f>
        <v>18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0.39149999999999996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255</v>
      </c>
      <c r="Y354" s="547">
        <f>IFERROR(SUM(Y346:Y352),"0")</f>
        <v>270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132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136.13600000000002</v>
      </c>
      <c r="BN356" s="64">
        <f>IFERROR(Y356*I356/H356,"0")</f>
        <v>139.23000000000002</v>
      </c>
      <c r="BO356" s="64">
        <f>IFERROR(1/J356*(X356/H356),"0")</f>
        <v>0.18333333333333335</v>
      </c>
      <c r="BP356" s="64">
        <f>IFERROR(1/J356*(Y356/H356),"0")</f>
        <v>0.1875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8.8000000000000007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132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314</v>
      </c>
      <c r="Y431" s="546">
        <f t="shared" si="42"/>
        <v>316.8</v>
      </c>
      <c r="Z431" s="36">
        <f t="shared" si="43"/>
        <v>0.71760000000000002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334.81439393939394</v>
      </c>
      <c r="BN431" s="64">
        <f t="shared" si="45"/>
        <v>337.8</v>
      </c>
      <c r="BO431" s="64">
        <f t="shared" si="46"/>
        <v>0.57182400932400934</v>
      </c>
      <c r="BP431" s="64">
        <f t="shared" si="47"/>
        <v>0.57692307692307698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59.469696969696969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0.71760000000000002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314</v>
      </c>
      <c r="Y438" s="547">
        <f>IFERROR(SUM(Y425:Y436),"0")</f>
        <v>316.8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105</v>
      </c>
      <c r="Y440" s="546">
        <f>IFERROR(IF(X440="",0,CEILING((X440/$H440),1)*$H440),"")</f>
        <v>105.60000000000001</v>
      </c>
      <c r="Z440" s="36">
        <f>IFERROR(IF(Y440=0,"",ROUNDUP(Y440/H440,0)*0.01196),"")</f>
        <v>0.2392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111.96022727272727</v>
      </c>
      <c r="BN440" s="64">
        <f>IFERROR(Y440*I440/H440,"0")</f>
        <v>112.6</v>
      </c>
      <c r="BO440" s="64">
        <f>IFERROR(1/J440*(X440/H440),"0")</f>
        <v>0.19121503496503497</v>
      </c>
      <c r="BP440" s="64">
        <f>IFERROR(1/J440*(Y440/H440),"0")</f>
        <v>0.19230769230769232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19.886363636363637</v>
      </c>
      <c r="Y443" s="547">
        <f>IFERROR(Y440/H440,"0")+IFERROR(Y441/H441,"0")+IFERROR(Y442/H442,"0")</f>
        <v>20</v>
      </c>
      <c r="Z443" s="547">
        <f>IFERROR(IF(Z440="",0,Z440),"0")+IFERROR(IF(Z441="",0,Z441),"0")+IFERROR(IF(Z442="",0,Z442),"0")</f>
        <v>0.2392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105</v>
      </c>
      <c r="Y444" s="547">
        <f>IFERROR(SUM(Y440:Y442),"0")</f>
        <v>105.60000000000001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88</v>
      </c>
      <c r="Y446" s="546">
        <f t="shared" ref="Y446:Y451" si="48">IFERROR(IF(X446="",0,CEILING((X446/$H446),1)*$H446),"")</f>
        <v>89.76</v>
      </c>
      <c r="Z446" s="36">
        <f>IFERROR(IF(Y446=0,"",ROUNDUP(Y446/H446,0)*0.01196),"")</f>
        <v>0.20332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93.833333333333329</v>
      </c>
      <c r="BN446" s="64">
        <f t="shared" ref="BN446:BN451" si="50">IFERROR(Y446*I446/H446,"0")</f>
        <v>95.710000000000008</v>
      </c>
      <c r="BO446" s="64">
        <f t="shared" ref="BO446:BO451" si="51">IFERROR(1/J446*(X446/H446),"0")</f>
        <v>0.16025641025641024</v>
      </c>
      <c r="BP446" s="64">
        <f t="shared" ref="BP446:BP451" si="52">IFERROR(1/J446*(Y446/H446),"0")</f>
        <v>0.16346153846153846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64</v>
      </c>
      <c r="Y447" s="546">
        <f t="shared" si="48"/>
        <v>68.64</v>
      </c>
      <c r="Z447" s="36">
        <f>IFERROR(IF(Y447=0,"",ROUNDUP(Y447/H447,0)*0.01196),"")</f>
        <v>0.15548000000000001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68.242424242424235</v>
      </c>
      <c r="BN447" s="64">
        <f t="shared" si="50"/>
        <v>73.19</v>
      </c>
      <c r="BO447" s="64">
        <f t="shared" si="51"/>
        <v>0.11655011655011656</v>
      </c>
      <c r="BP447" s="64">
        <f t="shared" si="52"/>
        <v>0.125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63</v>
      </c>
      <c r="Y448" s="546">
        <f t="shared" si="48"/>
        <v>63.36</v>
      </c>
      <c r="Z448" s="36">
        <f>IFERROR(IF(Y448=0,"",ROUNDUP(Y448/H448,0)*0.01196),"")</f>
        <v>0.14352000000000001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67.17613636363636</v>
      </c>
      <c r="BN448" s="64">
        <f t="shared" si="50"/>
        <v>67.559999999999988</v>
      </c>
      <c r="BO448" s="64">
        <f t="shared" si="51"/>
        <v>0.11472902097902099</v>
      </c>
      <c r="BP448" s="64">
        <f t="shared" si="52"/>
        <v>0.11538461538461539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40.719696969696969</v>
      </c>
      <c r="Y452" s="547">
        <f>IFERROR(Y446/H446,"0")+IFERROR(Y447/H447,"0")+IFERROR(Y448/H448,"0")+IFERROR(Y449/H449,"0")+IFERROR(Y450/H450,"0")+IFERROR(Y451/H451,"0")</f>
        <v>42</v>
      </c>
      <c r="Z452" s="547">
        <f>IFERROR(IF(Z446="",0,Z446),"0")+IFERROR(IF(Z447="",0,Z447),"0")+IFERROR(IF(Z448="",0,Z448),"0")+IFERROR(IF(Z449="",0,Z449),"0")+IFERROR(IF(Z450="",0,Z450),"0")+IFERROR(IF(Z451="",0,Z451),"0")</f>
        <v>0.50231999999999999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215</v>
      </c>
      <c r="Y453" s="547">
        <f>IFERROR(SUM(Y446:Y451),"0")</f>
        <v>221.76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1518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1557.36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1611.8475151515149</v>
      </c>
      <c r="Y492" s="547">
        <f>IFERROR(SUM(BN22:BN488),"0")</f>
        <v>1653.222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1686.8475151515149</v>
      </c>
      <c r="Y494" s="547">
        <f>GrossWeightTotalR+PalletQtyTotalR*25</f>
        <v>1728.222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275.83658378658379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281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3.3296700000000001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97.199999999999989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113.39999999999999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67.2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62.4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405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644.16000000000008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8,00"/>
        <filter val="1 611,85"/>
        <filter val="1 686,85"/>
        <filter val="105,00"/>
        <filter val="11,60"/>
        <filter val="110,00"/>
        <filter val="127,00"/>
        <filter val="128,00"/>
        <filter val="13,58"/>
        <filter val="132,00"/>
        <filter val="168,00"/>
        <filter val="17,00"/>
        <filter val="19,89"/>
        <filter val="215,00"/>
        <filter val="255,00"/>
        <filter val="27,08"/>
        <filter val="275,84"/>
        <filter val="3"/>
        <filter val="31,00"/>
        <filter val="314,00"/>
        <filter val="34,00"/>
        <filter val="40,72"/>
        <filter val="59,47"/>
        <filter val="60,00"/>
        <filter val="63,00"/>
        <filter val="64,00"/>
        <filter val="65,00"/>
        <filter val="7,69"/>
        <filter val="70,00"/>
        <filter val="8,80"/>
        <filter val="84,00"/>
        <filter val="88,00"/>
        <filter val="94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