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F9B013A-46F3-4B65-836B-9344BFA7FA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BP339" i="1" s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Y321" i="1" s="1"/>
  <c r="P318" i="1"/>
  <c r="X316" i="1"/>
  <c r="X315" i="1"/>
  <c r="BO314" i="1"/>
  <c r="BM314" i="1"/>
  <c r="Y314" i="1"/>
  <c r="BP314" i="1" s="1"/>
  <c r="P314" i="1"/>
  <c r="BP313" i="1"/>
  <c r="BO313" i="1"/>
  <c r="BN313" i="1"/>
  <c r="BM313" i="1"/>
  <c r="Z313" i="1"/>
  <c r="Y313" i="1"/>
  <c r="P313" i="1"/>
  <c r="BO312" i="1"/>
  <c r="BM312" i="1"/>
  <c r="Y312" i="1"/>
  <c r="BP312" i="1" s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BP289" i="1" s="1"/>
  <c r="P289" i="1"/>
  <c r="BO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O252" i="1"/>
  <c r="BM252" i="1"/>
  <c r="Y252" i="1"/>
  <c r="P252" i="1"/>
  <c r="BO251" i="1"/>
  <c r="BM251" i="1"/>
  <c r="Y251" i="1"/>
  <c r="BP251" i="1" s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Y183" i="1" s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1" i="1"/>
  <c r="X140" i="1"/>
  <c r="BO139" i="1"/>
  <c r="BM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Y90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33" i="1" l="1"/>
  <c r="BN133" i="1"/>
  <c r="Z133" i="1"/>
  <c r="BP174" i="1"/>
  <c r="BN174" i="1"/>
  <c r="Z174" i="1"/>
  <c r="BP205" i="1"/>
  <c r="BN205" i="1"/>
  <c r="Z205" i="1"/>
  <c r="BP232" i="1"/>
  <c r="BN232" i="1"/>
  <c r="Z232" i="1"/>
  <c r="BP261" i="1"/>
  <c r="BN261" i="1"/>
  <c r="Z261" i="1"/>
  <c r="BP295" i="1"/>
  <c r="BN295" i="1"/>
  <c r="Z295" i="1"/>
  <c r="BP325" i="1"/>
  <c r="BN325" i="1"/>
  <c r="Z325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Z22" i="1"/>
  <c r="BN22" i="1"/>
  <c r="X491" i="1"/>
  <c r="Y32" i="1"/>
  <c r="Z53" i="1"/>
  <c r="BN53" i="1"/>
  <c r="Z63" i="1"/>
  <c r="BN63" i="1"/>
  <c r="Z75" i="1"/>
  <c r="BN75" i="1"/>
  <c r="Z93" i="1"/>
  <c r="BN93" i="1"/>
  <c r="Y98" i="1"/>
  <c r="Z105" i="1"/>
  <c r="BN105" i="1"/>
  <c r="BP112" i="1"/>
  <c r="BN112" i="1"/>
  <c r="Z112" i="1"/>
  <c r="BP171" i="1"/>
  <c r="BN171" i="1"/>
  <c r="Z171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77" i="1"/>
  <c r="BN277" i="1"/>
  <c r="Z277" i="1"/>
  <c r="BP307" i="1"/>
  <c r="BN307" i="1"/>
  <c r="Z307" i="1"/>
  <c r="BP338" i="1"/>
  <c r="BN338" i="1"/>
  <c r="Z338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Y136" i="1"/>
  <c r="Y194" i="1"/>
  <c r="P501" i="1"/>
  <c r="BP103" i="1"/>
  <c r="BN103" i="1"/>
  <c r="Z103" i="1"/>
  <c r="BP110" i="1"/>
  <c r="BN110" i="1"/>
  <c r="Z110" i="1"/>
  <c r="BP129" i="1"/>
  <c r="BN129" i="1"/>
  <c r="Z129" i="1"/>
  <c r="BP150" i="1"/>
  <c r="BN150" i="1"/>
  <c r="Z150" i="1"/>
  <c r="BP169" i="1"/>
  <c r="BN169" i="1"/>
  <c r="Z169" i="1"/>
  <c r="BP182" i="1"/>
  <c r="BN182" i="1"/>
  <c r="Z182" i="1"/>
  <c r="BP203" i="1"/>
  <c r="BN203" i="1"/>
  <c r="Z203" i="1"/>
  <c r="BP215" i="1"/>
  <c r="BN215" i="1"/>
  <c r="Z215" i="1"/>
  <c r="BP230" i="1"/>
  <c r="BN230" i="1"/>
  <c r="Z230" i="1"/>
  <c r="BP238" i="1"/>
  <c r="BN238" i="1"/>
  <c r="Z238" i="1"/>
  <c r="Y265" i="1"/>
  <c r="BP259" i="1"/>
  <c r="BN259" i="1"/>
  <c r="Z259" i="1"/>
  <c r="BP270" i="1"/>
  <c r="BN270" i="1"/>
  <c r="Z270" i="1"/>
  <c r="BP305" i="1"/>
  <c r="BN305" i="1"/>
  <c r="Z305" i="1"/>
  <c r="BP319" i="1"/>
  <c r="BN319" i="1"/>
  <c r="Z319" i="1"/>
  <c r="BP333" i="1"/>
  <c r="BN333" i="1"/>
  <c r="Z333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X495" i="1"/>
  <c r="Z28" i="1"/>
  <c r="BN28" i="1"/>
  <c r="Z42" i="1"/>
  <c r="BN42" i="1"/>
  <c r="Y58" i="1"/>
  <c r="Z55" i="1"/>
  <c r="BN55" i="1"/>
  <c r="Z61" i="1"/>
  <c r="BN61" i="1"/>
  <c r="BP61" i="1"/>
  <c r="Z67" i="1"/>
  <c r="BN67" i="1"/>
  <c r="BP67" i="1"/>
  <c r="Y70" i="1"/>
  <c r="Z73" i="1"/>
  <c r="BN73" i="1"/>
  <c r="BP73" i="1"/>
  <c r="Y78" i="1"/>
  <c r="Z81" i="1"/>
  <c r="BN81" i="1"/>
  <c r="Z89" i="1"/>
  <c r="BN89" i="1"/>
  <c r="Y97" i="1"/>
  <c r="Z95" i="1"/>
  <c r="BN95" i="1"/>
  <c r="F501" i="1"/>
  <c r="Y114" i="1"/>
  <c r="BP109" i="1"/>
  <c r="BN109" i="1"/>
  <c r="Z109" i="1"/>
  <c r="Y120" i="1"/>
  <c r="BP116" i="1"/>
  <c r="BN116" i="1"/>
  <c r="Z116" i="1"/>
  <c r="BP139" i="1"/>
  <c r="BN139" i="1"/>
  <c r="Z139" i="1"/>
  <c r="Y177" i="1"/>
  <c r="BP165" i="1"/>
  <c r="BN165" i="1"/>
  <c r="Z165" i="1"/>
  <c r="BP176" i="1"/>
  <c r="BN176" i="1"/>
  <c r="Z176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13" i="1"/>
  <c r="Y121" i="1"/>
  <c r="Y135" i="1"/>
  <c r="I501" i="1"/>
  <c r="Y184" i="1"/>
  <c r="Y209" i="1"/>
  <c r="Y256" i="1"/>
  <c r="O501" i="1"/>
  <c r="Y290" i="1"/>
  <c r="BP288" i="1"/>
  <c r="BN288" i="1"/>
  <c r="BP297" i="1"/>
  <c r="BN297" i="1"/>
  <c r="Z297" i="1"/>
  <c r="Y315" i="1"/>
  <c r="BP311" i="1"/>
  <c r="BN311" i="1"/>
  <c r="Z311" i="1"/>
  <c r="BP327" i="1"/>
  <c r="BN327" i="1"/>
  <c r="Z327" i="1"/>
  <c r="BP340" i="1"/>
  <c r="BN340" i="1"/>
  <c r="Z340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Q501" i="1"/>
  <c r="Y309" i="1"/>
  <c r="Y329" i="1"/>
  <c r="Y335" i="1"/>
  <c r="Y358" i="1"/>
  <c r="H9" i="1"/>
  <c r="A10" i="1"/>
  <c r="B501" i="1"/>
  <c r="X492" i="1"/>
  <c r="X493" i="1"/>
  <c r="Z23" i="1"/>
  <c r="BN23" i="1"/>
  <c r="Y24" i="1"/>
  <c r="Z27" i="1"/>
  <c r="BN27" i="1"/>
  <c r="BP27" i="1"/>
  <c r="Z29" i="1"/>
  <c r="BN29" i="1"/>
  <c r="BP31" i="1"/>
  <c r="BN31" i="1"/>
  <c r="Z31" i="1"/>
  <c r="Y33" i="1"/>
  <c r="Y36" i="1"/>
  <c r="BP35" i="1"/>
  <c r="BN35" i="1"/>
  <c r="Z35" i="1"/>
  <c r="Z36" i="1" s="1"/>
  <c r="Y37" i="1"/>
  <c r="C501" i="1"/>
  <c r="Y44" i="1"/>
  <c r="BP41" i="1"/>
  <c r="BN41" i="1"/>
  <c r="Z41" i="1"/>
  <c r="BP54" i="1"/>
  <c r="BN54" i="1"/>
  <c r="Z54" i="1"/>
  <c r="Y64" i="1"/>
  <c r="BP62" i="1"/>
  <c r="BN62" i="1"/>
  <c r="Z62" i="1"/>
  <c r="F9" i="1"/>
  <c r="J9" i="1"/>
  <c r="Y25" i="1"/>
  <c r="BP43" i="1"/>
  <c r="BN43" i="1"/>
  <c r="Z43" i="1"/>
  <c r="Y45" i="1"/>
  <c r="Y48" i="1"/>
  <c r="BP47" i="1"/>
  <c r="BN47" i="1"/>
  <c r="Z47" i="1"/>
  <c r="Z48" i="1" s="1"/>
  <c r="Y49" i="1"/>
  <c r="D501" i="1"/>
  <c r="Y59" i="1"/>
  <c r="BP52" i="1"/>
  <c r="BN52" i="1"/>
  <c r="Z52" i="1"/>
  <c r="BP56" i="1"/>
  <c r="BN56" i="1"/>
  <c r="Z56" i="1"/>
  <c r="Z68" i="1"/>
  <c r="Z70" i="1" s="1"/>
  <c r="BN68" i="1"/>
  <c r="BP68" i="1"/>
  <c r="Z74" i="1"/>
  <c r="BN74" i="1"/>
  <c r="BP74" i="1"/>
  <c r="Z76" i="1"/>
  <c r="BN76" i="1"/>
  <c r="Z80" i="1"/>
  <c r="Z82" i="1" s="1"/>
  <c r="BN80" i="1"/>
  <c r="BP80" i="1"/>
  <c r="Y83" i="1"/>
  <c r="E501" i="1"/>
  <c r="Z88" i="1"/>
  <c r="BN88" i="1"/>
  <c r="BP88" i="1"/>
  <c r="Y91" i="1"/>
  <c r="Z94" i="1"/>
  <c r="BN94" i="1"/>
  <c r="BP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BN138" i="1"/>
  <c r="BP138" i="1"/>
  <c r="Y141" i="1"/>
  <c r="H501" i="1"/>
  <c r="Z145" i="1"/>
  <c r="Z146" i="1" s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Y178" i="1"/>
  <c r="Z181" i="1"/>
  <c r="BN181" i="1"/>
  <c r="BP181" i="1"/>
  <c r="J501" i="1"/>
  <c r="Z192" i="1"/>
  <c r="BN192" i="1"/>
  <c r="BP192" i="1"/>
  <c r="Y193" i="1"/>
  <c r="Z196" i="1"/>
  <c r="BN196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Y239" i="1"/>
  <c r="Y106" i="1"/>
  <c r="Y130" i="1"/>
  <c r="Y163" i="1"/>
  <c r="Y199" i="1"/>
  <c r="BP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Y255" i="1"/>
  <c r="Y264" i="1"/>
  <c r="Y273" i="1"/>
  <c r="Y280" i="1"/>
  <c r="Y285" i="1"/>
  <c r="Y291" i="1"/>
  <c r="Y300" i="1"/>
  <c r="Y308" i="1"/>
  <c r="Y316" i="1"/>
  <c r="Y322" i="1"/>
  <c r="Y328" i="1"/>
  <c r="Y334" i="1"/>
  <c r="Y341" i="1"/>
  <c r="BP349" i="1"/>
  <c r="BN349" i="1"/>
  <c r="BP351" i="1"/>
  <c r="BN351" i="1"/>
  <c r="Z351" i="1"/>
  <c r="BP372" i="1"/>
  <c r="BN372" i="1"/>
  <c r="Z372" i="1"/>
  <c r="Y374" i="1"/>
  <c r="Y379" i="1"/>
  <c r="BP376" i="1"/>
  <c r="BN376" i="1"/>
  <c r="Z376" i="1"/>
  <c r="Z378" i="1" s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L501" i="1"/>
  <c r="U501" i="1"/>
  <c r="K501" i="1"/>
  <c r="Z235" i="1"/>
  <c r="BN235" i="1"/>
  <c r="Z237" i="1"/>
  <c r="BN237" i="1"/>
  <c r="Y240" i="1"/>
  <c r="Z251" i="1"/>
  <c r="BN251" i="1"/>
  <c r="Z253" i="1"/>
  <c r="BN253" i="1"/>
  <c r="Z260" i="1"/>
  <c r="BN260" i="1"/>
  <c r="Z262" i="1"/>
  <c r="BN262" i="1"/>
  <c r="M501" i="1"/>
  <c r="Z269" i="1"/>
  <c r="BN269" i="1"/>
  <c r="Z271" i="1"/>
  <c r="BN271" i="1"/>
  <c r="Y272" i="1"/>
  <c r="Z276" i="1"/>
  <c r="BN276" i="1"/>
  <c r="BP276" i="1"/>
  <c r="Z278" i="1"/>
  <c r="BN278" i="1"/>
  <c r="Y279" i="1"/>
  <c r="Z283" i="1"/>
  <c r="BN283" i="1"/>
  <c r="BP283" i="1"/>
  <c r="Y286" i="1"/>
  <c r="Z289" i="1"/>
  <c r="Z290" i="1" s="1"/>
  <c r="BN289" i="1"/>
  <c r="Z294" i="1"/>
  <c r="BN294" i="1"/>
  <c r="BP294" i="1"/>
  <c r="Z296" i="1"/>
  <c r="BN296" i="1"/>
  <c r="Z298" i="1"/>
  <c r="BN298" i="1"/>
  <c r="Y299" i="1"/>
  <c r="Z302" i="1"/>
  <c r="BN302" i="1"/>
  <c r="BP302" i="1"/>
  <c r="Z304" i="1"/>
  <c r="BN304" i="1"/>
  <c r="Z306" i="1"/>
  <c r="BN306" i="1"/>
  <c r="Z312" i="1"/>
  <c r="BN312" i="1"/>
  <c r="Z314" i="1"/>
  <c r="BN314" i="1"/>
  <c r="Z318" i="1"/>
  <c r="BN318" i="1"/>
  <c r="BP318" i="1"/>
  <c r="Z320" i="1"/>
  <c r="BN320" i="1"/>
  <c r="Z324" i="1"/>
  <c r="BN324" i="1"/>
  <c r="BP324" i="1"/>
  <c r="Z326" i="1"/>
  <c r="BN326" i="1"/>
  <c r="Z332" i="1"/>
  <c r="Z334" i="1" s="1"/>
  <c r="BN332" i="1"/>
  <c r="R501" i="1"/>
  <c r="Z339" i="1"/>
  <c r="BN339" i="1"/>
  <c r="Y342" i="1"/>
  <c r="S501" i="1"/>
  <c r="Y354" i="1"/>
  <c r="Z347" i="1"/>
  <c r="BN347" i="1"/>
  <c r="Z349" i="1"/>
  <c r="Y353" i="1"/>
  <c r="BP357" i="1"/>
  <c r="BN357" i="1"/>
  <c r="Z357" i="1"/>
  <c r="Z358" i="1" s="1"/>
  <c r="Y359" i="1"/>
  <c r="Y364" i="1"/>
  <c r="BP361" i="1"/>
  <c r="BN361" i="1"/>
  <c r="Z361" i="1"/>
  <c r="Y378" i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Y501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353" i="1" l="1"/>
  <c r="Z177" i="1"/>
  <c r="Z113" i="1"/>
  <c r="Z484" i="1"/>
  <c r="Z437" i="1"/>
  <c r="Z239" i="1"/>
  <c r="Z193" i="1"/>
  <c r="Z64" i="1"/>
  <c r="Z24" i="1"/>
  <c r="Z315" i="1"/>
  <c r="Z272" i="1"/>
  <c r="Z465" i="1"/>
  <c r="Z398" i="1"/>
  <c r="Y493" i="1"/>
  <c r="Z363" i="1"/>
  <c r="Z341" i="1"/>
  <c r="Z328" i="1"/>
  <c r="Z308" i="1"/>
  <c r="Z299" i="1"/>
  <c r="Z285" i="1"/>
  <c r="Z279" i="1"/>
  <c r="Z264" i="1"/>
  <c r="Z255" i="1"/>
  <c r="Z452" i="1"/>
  <c r="Z373" i="1"/>
  <c r="Z198" i="1"/>
  <c r="Z183" i="1"/>
  <c r="Z140" i="1"/>
  <c r="Z120" i="1"/>
  <c r="Z97" i="1"/>
  <c r="Z90" i="1"/>
  <c r="Z77" i="1"/>
  <c r="Y492" i="1"/>
  <c r="X494" i="1"/>
  <c r="Z209" i="1"/>
  <c r="Y495" i="1"/>
  <c r="Z321" i="1"/>
  <c r="Z415" i="1"/>
  <c r="Z221" i="1"/>
  <c r="Z152" i="1"/>
  <c r="Z106" i="1"/>
  <c r="Z58" i="1"/>
  <c r="Y491" i="1"/>
  <c r="Z44" i="1"/>
  <c r="Z32" i="1"/>
  <c r="Y494" i="1" l="1"/>
  <c r="Z496" i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<sst xmlns="http://schemas.openxmlformats.org/spreadsheetml/2006/main" count="2296" uniqueCount="776">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</sst>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771</v>
      </c>
      <c r="Y41" s="546">
        <f>IFERROR(IF(X41="",0,CEILING((X41/$H41),1)*$H41),"")</f>
        <v>777.6</v>
      </c>
      <c r="Z41" s="36">
        <f>IFERROR(IF(Y41=0,"",ROUNDUP(Y41/H41,0)*0.01898),"")</f>
        <v>1.36656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800.26944444444439</v>
      </c>
      <c r="BN41" s="64">
        <f>IFERROR(Y41*I41/H41,"0")</f>
        <v>807.12</v>
      </c>
      <c r="BO41" s="64">
        <f>IFERROR(1/J41*(X41/H41),"0")</f>
        <v>1.1154513888888888</v>
      </c>
      <c r="BP41" s="64">
        <f>IFERROR(1/J41*(Y41/H41),"0")</f>
        <v>1.125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71.388888888888886</v>
      </c>
      <c r="Y44" s="547">
        <f>IFERROR(Y41/H41,"0")+IFERROR(Y42/H42,"0")+IFERROR(Y43/H43,"0")</f>
        <v>72</v>
      </c>
      <c r="Z44" s="547">
        <f>IFERROR(IF(Z41="",0,Z41),"0")+IFERROR(IF(Z42="",0,Z42),"0")+IFERROR(IF(Z43="",0,Z43),"0")</f>
        <v>1.36656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771</v>
      </c>
      <c r="Y45" s="547">
        <f>IFERROR(SUM(Y41:Y43),"0")</f>
        <v>777.6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65</v>
      </c>
      <c r="Y52" s="546">
        <f t="shared" ref="Y52:Y57" si="0">IFERROR(IF(X52="",0,CEILING((X52/$H52),1)*$H52),"")</f>
        <v>67.199999999999989</v>
      </c>
      <c r="Z52" s="36">
        <f>IFERROR(IF(Y52=0,"",ROUNDUP(Y52/H52,0)*0.01898),"")</f>
        <v>0.11388000000000001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67.379464285714292</v>
      </c>
      <c r="BN52" s="64">
        <f t="shared" ref="BN52:BN57" si="2">IFERROR(Y52*I52/H52,"0")</f>
        <v>69.659999999999982</v>
      </c>
      <c r="BO52" s="64">
        <f t="shared" ref="BO52:BO57" si="3">IFERROR(1/J52*(X52/H52),"0")</f>
        <v>9.0680803571428575E-2</v>
      </c>
      <c r="BP52" s="64">
        <f t="shared" ref="BP52:BP57" si="4">IFERROR(1/J52*(Y52/H52),"0")</f>
        <v>9.3749999999999986E-2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301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312.42685185185184</v>
      </c>
      <c r="BN53" s="64">
        <f t="shared" si="2"/>
        <v>313.88</v>
      </c>
      <c r="BO53" s="64">
        <f t="shared" si="3"/>
        <v>0.43547453703703703</v>
      </c>
      <c r="BP53" s="64">
        <f t="shared" si="4"/>
        <v>0.4375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24</v>
      </c>
      <c r="Y55" s="546">
        <f t="shared" si="0"/>
        <v>24</v>
      </c>
      <c r="Z55" s="36">
        <f>IFERROR(IF(Y55=0,"",ROUNDUP(Y55/H55,0)*0.00902),"")</f>
        <v>5.4120000000000001E-2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25.14</v>
      </c>
      <c r="BN55" s="64">
        <f t="shared" si="2"/>
        <v>25.14</v>
      </c>
      <c r="BO55" s="64">
        <f t="shared" si="3"/>
        <v>4.5454545454545456E-2</v>
      </c>
      <c r="BP55" s="64">
        <f t="shared" si="4"/>
        <v>4.5454545454545456E-2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39.673941798941797</v>
      </c>
      <c r="Y58" s="547">
        <f>IFERROR(Y52/H52,"0")+IFERROR(Y53/H53,"0")+IFERROR(Y54/H54,"0")+IFERROR(Y55/H55,"0")+IFERROR(Y56/H56,"0")+IFERROR(Y57/H57,"0")</f>
        <v>40</v>
      </c>
      <c r="Z58" s="547">
        <f>IFERROR(IF(Z52="",0,Z52),"0")+IFERROR(IF(Z53="",0,Z53),"0")+IFERROR(IF(Z54="",0,Z54),"0")+IFERROR(IF(Z55="",0,Z55),"0")+IFERROR(IF(Z56="",0,Z56),"0")+IFERROR(IF(Z57="",0,Z57),"0")</f>
        <v>0.69944000000000006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390</v>
      </c>
      <c r="Y59" s="547">
        <f>IFERROR(SUM(Y52:Y57),"0")</f>
        <v>393.6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161</v>
      </c>
      <c r="Y61" s="546">
        <f>IFERROR(IF(X61="",0,CEILING((X61/$H61),1)*$H61),"")</f>
        <v>162</v>
      </c>
      <c r="Z61" s="36">
        <f>IFERROR(IF(Y61=0,"",ROUNDUP(Y61/H61,0)*0.01898),"")</f>
        <v>0.28470000000000001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167.11203703703706</v>
      </c>
      <c r="BN61" s="64">
        <f>IFERROR(Y61*I61/H61,"0")</f>
        <v>168.15</v>
      </c>
      <c r="BO61" s="64">
        <f>IFERROR(1/J61*(X61/H61),"0")</f>
        <v>0.23292824074074073</v>
      </c>
      <c r="BP61" s="64">
        <f>IFERROR(1/J61*(Y61/H61),"0")</f>
        <v>0.23437499999999997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14.907407407407407</v>
      </c>
      <c r="Y64" s="547">
        <f>IFERROR(Y61/H61,"0")+IFERROR(Y62/H62,"0")+IFERROR(Y63/H63,"0")</f>
        <v>14.999999999999998</v>
      </c>
      <c r="Z64" s="547">
        <f>IFERROR(IF(Z61="",0,Z61),"0")+IFERROR(IF(Z62="",0,Z62),"0")+IFERROR(IF(Z63="",0,Z63),"0")</f>
        <v>0.28470000000000001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161</v>
      </c>
      <c r="Y65" s="547">
        <f>IFERROR(SUM(Y61:Y63),"0")</f>
        <v>162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26</v>
      </c>
      <c r="Y80" s="546">
        <f>IFERROR(IF(X80="",0,CEILING((X80/$H80),1)*$H80),"")</f>
        <v>31.2</v>
      </c>
      <c r="Z80" s="36">
        <f>IFERROR(IF(Y80=0,"",ROUNDUP(Y80/H80,0)*0.01898),"")</f>
        <v>7.5920000000000001E-2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27.366666666666671</v>
      </c>
      <c r="BN80" s="64">
        <f>IFERROR(Y80*I80/H80,"0")</f>
        <v>32.840000000000003</v>
      </c>
      <c r="BO80" s="64">
        <f>IFERROR(1/J80*(X80/H80),"0")</f>
        <v>5.2083333333333336E-2</v>
      </c>
      <c r="BP80" s="64">
        <f>IFERROR(1/J80*(Y80/H80),"0")</f>
        <v>6.25E-2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3.3333333333333335</v>
      </c>
      <c r="Y82" s="547">
        <f>IFERROR(Y80/H80,"0")+IFERROR(Y81/H81,"0")</f>
        <v>4</v>
      </c>
      <c r="Z82" s="547">
        <f>IFERROR(IF(Z80="",0,Z80),"0")+IFERROR(IF(Z81="",0,Z81),"0")</f>
        <v>7.5920000000000001E-2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26</v>
      </c>
      <c r="Y83" s="547">
        <f>IFERROR(SUM(Y80:Y81),"0")</f>
        <v>31.2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199</v>
      </c>
      <c r="Y89" s="546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207.40222222222224</v>
      </c>
      <c r="BN89" s="64">
        <f>IFERROR(Y89*I89/H89,"0")</f>
        <v>211.05</v>
      </c>
      <c r="BO89" s="64">
        <f>IFERROR(1/J89*(X89/H89),"0")</f>
        <v>0.33501683501683505</v>
      </c>
      <c r="BP89" s="64">
        <f>IFERROR(1/J89*(Y89/H89),"0")</f>
        <v>0.34090909090909094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44.222222222222221</v>
      </c>
      <c r="Y90" s="547">
        <f>IFERROR(Y86/H86,"0")+IFERROR(Y87/H87,"0")+IFERROR(Y88/H88,"0")+IFERROR(Y89/H89,"0")</f>
        <v>45</v>
      </c>
      <c r="Z90" s="547">
        <f>IFERROR(IF(Z86="",0,Z86),"0")+IFERROR(IF(Z87="",0,Z87),"0")+IFERROR(IF(Z88="",0,Z88),"0")+IFERROR(IF(Z89="",0,Z89),"0")</f>
        <v>0.40590000000000004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199</v>
      </c>
      <c r="Y91" s="547">
        <f>IFERROR(SUM(Y86:Y89),"0")</f>
        <v>202.5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20</v>
      </c>
      <c r="Y93" s="546">
        <f>IFERROR(IF(X93="",0,CEILING((X93/$H93),1)*$H93),"")</f>
        <v>24.299999999999997</v>
      </c>
      <c r="Z93" s="36">
        <f>IFERROR(IF(Y93=0,"",ROUNDUP(Y93/H93,0)*0.01898),"")</f>
        <v>5.6940000000000004E-2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21.219753086419754</v>
      </c>
      <c r="BN93" s="64">
        <f>IFERROR(Y93*I93/H93,"0")</f>
        <v>25.781999999999996</v>
      </c>
      <c r="BO93" s="64">
        <f>IFERROR(1/J93*(X93/H93),"0")</f>
        <v>3.8580246913580252E-2</v>
      </c>
      <c r="BP93" s="64">
        <f>IFERROR(1/J93*(Y93/H93),"0")</f>
        <v>4.6875E-2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169.1358024691358</v>
      </c>
      <c r="Y97" s="547">
        <f>IFERROR(Y93/H93,"0")+IFERROR(Y94/H94,"0")+IFERROR(Y95/H95,"0")+IFERROR(Y96/H96,"0")</f>
        <v>170</v>
      </c>
      <c r="Z97" s="547">
        <f>IFERROR(IF(Z93="",0,Z93),"0")+IFERROR(IF(Z94="",0,Z94),"0")+IFERROR(IF(Z95="",0,Z95),"0")+IFERROR(IF(Z96="",0,Z96),"0")</f>
        <v>1.14411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470</v>
      </c>
      <c r="Y98" s="547">
        <f>IFERROR(SUM(Y93:Y96),"0")</f>
        <v>475.20000000000005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474</v>
      </c>
      <c r="Y101" s="546">
        <f>IFERROR(IF(X101="",0,CEILING((X101/$H101),1)*$H101),"")</f>
        <v>475.20000000000005</v>
      </c>
      <c r="Z101" s="36">
        <f>IFERROR(IF(Y101=0,"",ROUNDUP(Y101/H101,0)*0.01898),"")</f>
        <v>0.83511999999999997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491.99444444444441</v>
      </c>
      <c r="BN101" s="64">
        <f>IFERROR(Y101*I101/H101,"0")</f>
        <v>493.24000000000007</v>
      </c>
      <c r="BO101" s="64">
        <f>IFERROR(1/J101*(X101/H101),"0")</f>
        <v>0.68576388888888884</v>
      </c>
      <c r="BP101" s="64">
        <f>IFERROR(1/J101*(Y101/H101),"0")</f>
        <v>0.6875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142</v>
      </c>
      <c r="Y104" s="546">
        <f>IFERROR(IF(X104="",0,CEILING((X104/$H104),1)*$H104),"")</f>
        <v>144</v>
      </c>
      <c r="Z104" s="36">
        <f>IFERROR(IF(Y104=0,"",ROUNDUP(Y104/H104,0)*0.00902),"")</f>
        <v>0.28864000000000001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147.99555555555557</v>
      </c>
      <c r="BN104" s="64">
        <f>IFERROR(Y104*I104/H104,"0")</f>
        <v>150.08000000000001</v>
      </c>
      <c r="BO104" s="64">
        <f>IFERROR(1/J104*(X104/H104),"0")</f>
        <v>0.23905723905723908</v>
      </c>
      <c r="BP104" s="64">
        <f>IFERROR(1/J104*(Y104/H104),"0")</f>
        <v>0.24242424242424243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75.444444444444443</v>
      </c>
      <c r="Y106" s="547">
        <f>IFERROR(Y101/H101,"0")+IFERROR(Y102/H102,"0")+IFERROR(Y103/H103,"0")+IFERROR(Y104/H104,"0")+IFERROR(Y105/H105,"0")</f>
        <v>76</v>
      </c>
      <c r="Z106" s="547">
        <f>IFERROR(IF(Z101="",0,Z101),"0")+IFERROR(IF(Z102="",0,Z102),"0")+IFERROR(IF(Z103="",0,Z103),"0")+IFERROR(IF(Z104="",0,Z104),"0")+IFERROR(IF(Z105="",0,Z105),"0")</f>
        <v>1.1237599999999999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616</v>
      </c>
      <c r="Y107" s="547">
        <f>IFERROR(SUM(Y101:Y105),"0")</f>
        <v>619.20000000000005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68</v>
      </c>
      <c r="Y109" s="546">
        <f>IFERROR(IF(X109="",0,CEILING((X109/$H109),1)*$H109),"")</f>
        <v>75.600000000000009</v>
      </c>
      <c r="Z109" s="36">
        <f>IFERROR(IF(Y109=0,"",ROUNDUP(Y109/H109,0)*0.01898),"")</f>
        <v>0.13286000000000001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70.581481481481489</v>
      </c>
      <c r="BN109" s="64">
        <f>IFERROR(Y109*I109/H109,"0")</f>
        <v>78.47</v>
      </c>
      <c r="BO109" s="64">
        <f>IFERROR(1/J109*(X109/H109),"0")</f>
        <v>9.8379629629629622E-2</v>
      </c>
      <c r="BP109" s="64">
        <f>IFERROR(1/J109*(Y109/H109),"0")</f>
        <v>0.109375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14</v>
      </c>
      <c r="Y112" s="546">
        <f>IFERROR(IF(X112="",0,CEILING((X112/$H112),1)*$H112),"")</f>
        <v>14.399999999999999</v>
      </c>
      <c r="Z112" s="36">
        <f>IFERROR(IF(Y112=0,"",ROUNDUP(Y112/H112,0)*0.00651),"")</f>
        <v>3.9059999999999997E-2</v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15.050000000000002</v>
      </c>
      <c r="BN112" s="64">
        <f>IFERROR(Y112*I112/H112,"0")</f>
        <v>15.479999999999999</v>
      </c>
      <c r="BO112" s="64">
        <f>IFERROR(1/J112*(X112/H112),"0")</f>
        <v>3.2051282051282055E-2</v>
      </c>
      <c r="BP112" s="64">
        <f>IFERROR(1/J112*(Y112/H112),"0")</f>
        <v>3.2967032967032968E-2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12.12962962962963</v>
      </c>
      <c r="Y113" s="547">
        <f>IFERROR(Y109/H109,"0")+IFERROR(Y110/H110,"0")+IFERROR(Y111/H111,"0")+IFERROR(Y112/H112,"0")</f>
        <v>13</v>
      </c>
      <c r="Z113" s="547">
        <f>IFERROR(IF(Z109="",0,Z109),"0")+IFERROR(IF(Z110="",0,Z110),"0")+IFERROR(IF(Z111="",0,Z111),"0")+IFERROR(IF(Z112="",0,Z112),"0")</f>
        <v>0.17192000000000002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82</v>
      </c>
      <c r="Y114" s="547">
        <f>IFERROR(SUM(Y109:Y112),"0")</f>
        <v>90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481</v>
      </c>
      <c r="Y118" s="546">
        <f>IFERROR(IF(X118="",0,CEILING((X118/$H118),1)*$H118),"")</f>
        <v>483.3</v>
      </c>
      <c r="Z118" s="36">
        <f>IFERROR(IF(Y118=0,"",ROUNDUP(Y118/H118,0)*0.00651),"")</f>
        <v>1.1652899999999999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525.89333333333332</v>
      </c>
      <c r="BN118" s="64">
        <f>IFERROR(Y118*I118/H118,"0")</f>
        <v>528.40800000000002</v>
      </c>
      <c r="BO118" s="64">
        <f>IFERROR(1/J118*(X118/H118),"0")</f>
        <v>0.97883597883597873</v>
      </c>
      <c r="BP118" s="64">
        <f>IFERROR(1/J118*(Y118/H118),"0")</f>
        <v>0.98351648351648358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178.14814814814812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1.1652899999999999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481</v>
      </c>
      <c r="Y121" s="547">
        <f>IFERROR(SUM(Y116:Y119),"0")</f>
        <v>483.3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145</v>
      </c>
      <c r="Y168" s="546">
        <f t="shared" si="5"/>
        <v>147</v>
      </c>
      <c r="Z168" s="36">
        <f>IFERROR(IF(Y168=0,"",ROUNDUP(Y168/H168,0)*0.00902),"")</f>
        <v>0.31569999999999998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151.5595238095238</v>
      </c>
      <c r="BN168" s="64">
        <f t="shared" si="7"/>
        <v>153.64999999999998</v>
      </c>
      <c r="BO168" s="64">
        <f t="shared" si="8"/>
        <v>0.26154401154401158</v>
      </c>
      <c r="BP168" s="64">
        <f t="shared" si="9"/>
        <v>0.26515151515151514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182</v>
      </c>
      <c r="Y169" s="546">
        <f t="shared" si="5"/>
        <v>182.70000000000002</v>
      </c>
      <c r="Z169" s="36">
        <f>IFERROR(IF(Y169=0,"",ROUNDUP(Y169/H169,0)*0.00502),"")</f>
        <v>0.43674000000000002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193.26666666666665</v>
      </c>
      <c r="BN169" s="64">
        <f t="shared" si="7"/>
        <v>194.01000000000002</v>
      </c>
      <c r="BO169" s="64">
        <f t="shared" si="8"/>
        <v>0.37037037037037035</v>
      </c>
      <c r="BP169" s="64">
        <f t="shared" si="9"/>
        <v>0.37179487179487181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72</v>
      </c>
      <c r="Y174" s="546">
        <f t="shared" si="5"/>
        <v>73.5</v>
      </c>
      <c r="Z174" s="36">
        <f>IFERROR(IF(Y174=0,"",ROUNDUP(Y174/H174,0)*0.00502),"")</f>
        <v>0.1757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75.428571428571431</v>
      </c>
      <c r="BN174" s="64">
        <f t="shared" si="7"/>
        <v>77</v>
      </c>
      <c r="BO174" s="64">
        <f t="shared" si="8"/>
        <v>0.14652014652014653</v>
      </c>
      <c r="BP174" s="64">
        <f t="shared" si="9"/>
        <v>0.1495726495726496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155.47619047619045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157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0.92813999999999997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399</v>
      </c>
      <c r="Y178" s="547">
        <f>IFERROR(SUM(Y165:Y176),"0")</f>
        <v>403.20000000000005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2</v>
      </c>
      <c r="Y182" s="546">
        <f>IFERROR(IF(X182="",0,CEILING((X182/$H182),1)*$H182),"")</f>
        <v>2.52</v>
      </c>
      <c r="Z182" s="36">
        <f>IFERROR(IF(Y182=0,"",ROUNDUP(Y182/H182,0)*0.0059),"")</f>
        <v>1.18E-2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2.3015873015873014</v>
      </c>
      <c r="BN182" s="64">
        <f>IFERROR(Y182*I182/H182,"0")</f>
        <v>2.9</v>
      </c>
      <c r="BO182" s="64">
        <f>IFERROR(1/J182*(X182/H182),"0")</f>
        <v>7.3486184597295699E-3</v>
      </c>
      <c r="BP182" s="64">
        <f>IFERROR(1/J182*(Y182/H182),"0")</f>
        <v>9.2592592592592587E-3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1.5873015873015872</v>
      </c>
      <c r="Y183" s="547">
        <f>IFERROR(Y180/H180,"0")+IFERROR(Y181/H181,"0")+IFERROR(Y182/H182,"0")</f>
        <v>2</v>
      </c>
      <c r="Z183" s="547">
        <f>IFERROR(IF(Z180="",0,Z180),"0")+IFERROR(IF(Z181="",0,Z181),"0")+IFERROR(IF(Z182="",0,Z182),"0")</f>
        <v>1.18E-2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2</v>
      </c>
      <c r="Y184" s="547">
        <f>IFERROR(SUM(Y180:Y182),"0")</f>
        <v>2.52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351</v>
      </c>
      <c r="Y201" s="546">
        <f t="shared" ref="Y201:Y208" si="10">IFERROR(IF(X201="",0,CEILING((X201/$H201),1)*$H201),"")</f>
        <v>351</v>
      </c>
      <c r="Z201" s="36">
        <f>IFERROR(IF(Y201=0,"",ROUNDUP(Y201/H201,0)*0.00902),"")</f>
        <v>0.58630000000000004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363.34999999999997</v>
      </c>
      <c r="BN201" s="64">
        <f t="shared" ref="BN201:BN208" si="12">IFERROR(Y201*I201/H201,"0")</f>
        <v>363.34999999999997</v>
      </c>
      <c r="BO201" s="64">
        <f t="shared" ref="BO201:BO208" si="13">IFERROR(1/J201*(X201/H201),"0")</f>
        <v>0.49242424242424243</v>
      </c>
      <c r="BP201" s="64">
        <f t="shared" ref="BP201:BP208" si="14">IFERROR(1/J201*(Y201/H201),"0")</f>
        <v>0.49242424242424243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241</v>
      </c>
      <c r="Y202" s="546">
        <f t="shared" si="10"/>
        <v>243.00000000000003</v>
      </c>
      <c r="Z202" s="36">
        <f>IFERROR(IF(Y202=0,"",ROUNDUP(Y202/H202,0)*0.00902),"")</f>
        <v>0.40590000000000004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249.47962962962961</v>
      </c>
      <c r="BN202" s="64">
        <f t="shared" si="12"/>
        <v>251.55</v>
      </c>
      <c r="BO202" s="64">
        <f t="shared" si="13"/>
        <v>0.33810325476992142</v>
      </c>
      <c r="BP202" s="64">
        <f t="shared" si="14"/>
        <v>0.34090909090909094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54</v>
      </c>
      <c r="Y205" s="546">
        <f t="shared" si="10"/>
        <v>54</v>
      </c>
      <c r="Z205" s="36">
        <f>IFERROR(IF(Y205=0,"",ROUNDUP(Y205/H205,0)*0.00502),"")</f>
        <v>0.15060000000000001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57.9</v>
      </c>
      <c r="BN205" s="64">
        <f t="shared" si="12"/>
        <v>57.9</v>
      </c>
      <c r="BO205" s="64">
        <f t="shared" si="13"/>
        <v>0.12820512820512822</v>
      </c>
      <c r="BP205" s="64">
        <f t="shared" si="14"/>
        <v>0.12820512820512822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23</v>
      </c>
      <c r="Y206" s="546">
        <f t="shared" si="10"/>
        <v>23.400000000000002</v>
      </c>
      <c r="Z206" s="36">
        <f>IFERROR(IF(Y206=0,"",ROUNDUP(Y206/H206,0)*0.00502),"")</f>
        <v>6.5259999999999999E-2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24.277777777777775</v>
      </c>
      <c r="BN206" s="64">
        <f t="shared" si="12"/>
        <v>24.7</v>
      </c>
      <c r="BO206" s="64">
        <f t="shared" si="13"/>
        <v>5.4605887939221276E-2</v>
      </c>
      <c r="BP206" s="64">
        <f t="shared" si="14"/>
        <v>5.5555555555555559E-2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37</v>
      </c>
      <c r="Y208" s="546">
        <f t="shared" si="10"/>
        <v>37.800000000000004</v>
      </c>
      <c r="Z208" s="36">
        <f>IFERROR(IF(Y208=0,"",ROUNDUP(Y208/H208,0)*0.00502),"")</f>
        <v>0.10542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39.05555555555555</v>
      </c>
      <c r="BN208" s="64">
        <f t="shared" si="12"/>
        <v>39.900000000000006</v>
      </c>
      <c r="BO208" s="64">
        <f t="shared" si="13"/>
        <v>8.7844254510921177E-2</v>
      </c>
      <c r="BP208" s="64">
        <f t="shared" si="14"/>
        <v>8.9743589743589772E-2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172.96296296296293</v>
      </c>
      <c r="Y209" s="547">
        <f>IFERROR(Y201/H201,"0")+IFERROR(Y202/H202,"0")+IFERROR(Y203/H203,"0")+IFERROR(Y204/H204,"0")+IFERROR(Y205/H205,"0")+IFERROR(Y206/H206,"0")+IFERROR(Y207/H207,"0")+IFERROR(Y208/H208,"0")</f>
        <v>174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1.3134800000000002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706</v>
      </c>
      <c r="Y210" s="547">
        <f>IFERROR(SUM(Y201:Y208),"0")</f>
        <v>709.19999999999993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113</v>
      </c>
      <c r="Y212" s="546">
        <f t="shared" ref="Y212:Y220" si="15">IFERROR(IF(X212="",0,CEILING((X212/$H212),1)*$H212),"")</f>
        <v>113.39999999999999</v>
      </c>
      <c r="Z212" s="36">
        <f>IFERROR(IF(Y212=0,"",ROUNDUP(Y212/H212,0)*0.01898),"")</f>
        <v>0.26572000000000001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119.8916049382716</v>
      </c>
      <c r="BN212" s="64">
        <f t="shared" ref="BN212:BN220" si="17">IFERROR(Y212*I212/H212,"0")</f>
        <v>120.31599999999999</v>
      </c>
      <c r="BO212" s="64">
        <f t="shared" ref="BO212:BO220" si="18">IFERROR(1/J212*(X212/H212),"0")</f>
        <v>0.21797839506172839</v>
      </c>
      <c r="BP212" s="64">
        <f t="shared" ref="BP212:BP220" si="19">IFERROR(1/J212*(Y212/H212),"0")</f>
        <v>0.21875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205</v>
      </c>
      <c r="Y214" s="546">
        <f t="shared" si="15"/>
        <v>208.79999999999998</v>
      </c>
      <c r="Z214" s="36">
        <f>IFERROR(IF(Y214=0,"",ROUNDUP(Y214/H214,0)*0.01898),"")</f>
        <v>0.45552000000000004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216.64022988505752</v>
      </c>
      <c r="BN214" s="64">
        <f t="shared" si="17"/>
        <v>220.65600000000003</v>
      </c>
      <c r="BO214" s="64">
        <f t="shared" si="18"/>
        <v>0.36817528735632188</v>
      </c>
      <c r="BP214" s="64">
        <f t="shared" si="19"/>
        <v>0.375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388</v>
      </c>
      <c r="Y215" s="546">
        <f t="shared" si="15"/>
        <v>388.8</v>
      </c>
      <c r="Z215" s="36">
        <f t="shared" ref="Z215:Z220" si="20">IFERROR(IF(Y215=0,"",ROUNDUP(Y215/H215,0)*0.00651),"")</f>
        <v>1.0546200000000001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431.65000000000003</v>
      </c>
      <c r="BN215" s="64">
        <f t="shared" si="17"/>
        <v>432.54</v>
      </c>
      <c r="BO215" s="64">
        <f t="shared" si="18"/>
        <v>0.88827838827838845</v>
      </c>
      <c r="BP215" s="64">
        <f t="shared" si="19"/>
        <v>0.89010989010989017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506</v>
      </c>
      <c r="Y217" s="546">
        <f t="shared" si="15"/>
        <v>506.4</v>
      </c>
      <c r="Z217" s="36">
        <f t="shared" si="20"/>
        <v>1.37361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559.13</v>
      </c>
      <c r="BN217" s="64">
        <f t="shared" si="17"/>
        <v>559.572</v>
      </c>
      <c r="BO217" s="64">
        <f t="shared" si="18"/>
        <v>1.1584249084249085</v>
      </c>
      <c r="BP217" s="64">
        <f t="shared" si="19"/>
        <v>1.1593406593406594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675</v>
      </c>
      <c r="Y218" s="546">
        <f t="shared" si="15"/>
        <v>676.8</v>
      </c>
      <c r="Z218" s="36">
        <f t="shared" si="20"/>
        <v>1.83582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745.87500000000011</v>
      </c>
      <c r="BN218" s="64">
        <f t="shared" si="17"/>
        <v>747.86400000000003</v>
      </c>
      <c r="BO218" s="64">
        <f t="shared" si="18"/>
        <v>1.5453296703296704</v>
      </c>
      <c r="BP218" s="64">
        <f t="shared" si="19"/>
        <v>1.5494505494505495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55</v>
      </c>
      <c r="Y219" s="546">
        <f t="shared" si="15"/>
        <v>55.199999999999996</v>
      </c>
      <c r="Z219" s="36">
        <f t="shared" si="20"/>
        <v>0.14973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60.775000000000006</v>
      </c>
      <c r="BN219" s="64">
        <f t="shared" si="17"/>
        <v>60.996000000000002</v>
      </c>
      <c r="BO219" s="64">
        <f t="shared" si="18"/>
        <v>0.12591575091575094</v>
      </c>
      <c r="BP219" s="64">
        <f t="shared" si="19"/>
        <v>0.1263736263736264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213</v>
      </c>
      <c r="Y220" s="546">
        <f t="shared" si="15"/>
        <v>213.6</v>
      </c>
      <c r="Z220" s="36">
        <f t="shared" si="20"/>
        <v>0.57938999999999996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235.89750000000001</v>
      </c>
      <c r="BN220" s="64">
        <f t="shared" si="17"/>
        <v>236.56199999999998</v>
      </c>
      <c r="BO220" s="64">
        <f t="shared" si="18"/>
        <v>0.48763736263736268</v>
      </c>
      <c r="BP220" s="64">
        <f t="shared" si="19"/>
        <v>0.48901098901098905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802.93050234142186</v>
      </c>
      <c r="Y221" s="547">
        <f>IFERROR(Y212/H212,"0")+IFERROR(Y213/H213,"0")+IFERROR(Y214/H214,"0")+IFERROR(Y215/H215,"0")+IFERROR(Y216/H216,"0")+IFERROR(Y217/H217,"0")+IFERROR(Y218/H218,"0")+IFERROR(Y219/H219,"0")+IFERROR(Y220/H220,"0")</f>
        <v>805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5.71441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2155</v>
      </c>
      <c r="Y222" s="547">
        <f>IFERROR(SUM(Y212:Y220),"0")</f>
        <v>2163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18</v>
      </c>
      <c r="Y224" s="546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19.890000000000004</v>
      </c>
      <c r="BN224" s="64">
        <f>IFERROR(Y224*I224/H224,"0")</f>
        <v>21.216000000000001</v>
      </c>
      <c r="BO224" s="64">
        <f>IFERROR(1/J224*(X224/H224),"0")</f>
        <v>4.1208791208791215E-2</v>
      </c>
      <c r="BP224" s="64">
        <f>IFERROR(1/J224*(Y224/H224),"0")</f>
        <v>4.3956043956043959E-2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12</v>
      </c>
      <c r="Y225" s="54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12.5</v>
      </c>
      <c r="Y226" s="547">
        <f>IFERROR(Y224/H224,"0")+IFERROR(Y225/H225,"0")</f>
        <v>13</v>
      </c>
      <c r="Z226" s="547">
        <f>IFERROR(IF(Z224="",0,Z224),"0")+IFERROR(IF(Z225="",0,Z225),"0")</f>
        <v>8.4630000000000011E-2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30</v>
      </c>
      <c r="Y227" s="547">
        <f>IFERROR(SUM(Y224:Y225),"0")</f>
        <v>31.2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4</v>
      </c>
      <c r="Y230" s="546">
        <f t="shared" ref="Y230:Y238" si="21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4.1413793103448278</v>
      </c>
      <c r="BN230" s="64">
        <f t="shared" ref="BN230:BN238" si="23">IFERROR(Y230*I230/H230,"0")</f>
        <v>12.01</v>
      </c>
      <c r="BO230" s="64">
        <f t="shared" ref="BO230:BO238" si="24">IFERROR(1/J230*(X230/H230),"0")</f>
        <v>5.387931034482759E-3</v>
      </c>
      <c r="BP230" s="64">
        <f t="shared" ref="BP230:BP238" si="25">IFERROR(1/J230*(Y230/H230),"0")</f>
        <v>1.5625E-2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0.34482758620689657</v>
      </c>
      <c r="Y239" s="547">
        <f>IFERROR(Y230/H230,"0")+IFERROR(Y231/H231,"0")+IFERROR(Y232/H232,"0")+IFERROR(Y233/H233,"0")+IFERROR(Y234/H234,"0")+IFERROR(Y235/H235,"0")+IFERROR(Y236/H236,"0")+IFERROR(Y237/H237,"0")+IFERROR(Y238/H238,"0")</f>
        <v>1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1.898E-2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4</v>
      </c>
      <c r="Y240" s="547">
        <f>IFERROR(SUM(Y230:Y238),"0")</f>
        <v>11.6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1</v>
      </c>
      <c r="Y246" s="546">
        <f>IFERROR(IF(X246="",0,CEILING((X246/$H246),1)*$H246),"")</f>
        <v>1.8</v>
      </c>
      <c r="Z246" s="36">
        <f>IFERROR(IF(Y246=0,"",ROUNDUP(Y246/H246,0)*0.0059),"")</f>
        <v>5.8999999999999999E-3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1.0972222222222223</v>
      </c>
      <c r="BN246" s="64">
        <f>IFERROR(Y246*I246/H246,"0")</f>
        <v>1.9750000000000001</v>
      </c>
      <c r="BO246" s="64">
        <f>IFERROR(1/J246*(X246/H246),"0")</f>
        <v>2.5720164609053498E-3</v>
      </c>
      <c r="BP246" s="64">
        <f>IFERROR(1/J246*(Y246/H246),"0")</f>
        <v>4.6296296296296294E-3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0.55555555555555558</v>
      </c>
      <c r="Y247" s="547">
        <f>IFERROR(Y246/H246,"0")</f>
        <v>1</v>
      </c>
      <c r="Z247" s="547">
        <f>IFERROR(IF(Z246="",0,Z246),"0")</f>
        <v>5.8999999999999999E-3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1</v>
      </c>
      <c r="Y248" s="547">
        <f>IFERROR(SUM(Y246:Y246),"0")</f>
        <v>1.8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1</v>
      </c>
      <c r="Y253" s="546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1.1919191919191918</v>
      </c>
      <c r="BN253" s="64">
        <f>IFERROR(Y253*I253/H253,"0")</f>
        <v>2.36</v>
      </c>
      <c r="BO253" s="64">
        <f>IFERROR(1/J253*(X253/H253),"0")</f>
        <v>4.6763935652824546E-3</v>
      </c>
      <c r="BP253" s="64">
        <f>IFERROR(1/J253*(Y253/H253),"0")</f>
        <v>9.2592592592592587E-3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2.1212121212121211</v>
      </c>
      <c r="Y255" s="547">
        <f>IFERROR(Y250/H250,"0")+IFERROR(Y251/H251,"0")+IFERROR(Y252/H252,"0")+IFERROR(Y253/H253,"0")+IFERROR(Y254/H254,"0")</f>
        <v>4</v>
      </c>
      <c r="Z255" s="547">
        <f>IFERROR(IF(Z250="",0,Z250),"0")+IFERROR(IF(Z251="",0,Z251),"0")+IFERROR(IF(Z252="",0,Z252),"0")+IFERROR(IF(Z253="",0,Z253),"0")+IFERROR(IF(Z254="",0,Z254),"0")</f>
        <v>2.3599999999999999E-2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2</v>
      </c>
      <c r="Y256" s="547">
        <f>IFERROR(SUM(Y250:Y254),"0")</f>
        <v>3.7800000000000002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3</v>
      </c>
      <c r="Y277" s="546">
        <f>IFERROR(IF(X277="",0,CEILING((X277/$H277),1)*$H277),"")</f>
        <v>4.8</v>
      </c>
      <c r="Z277" s="36">
        <f>IFERROR(IF(Y277=0,"",ROUNDUP(Y277/H277,0)*0.00651),"")</f>
        <v>1.302E-2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3.3150000000000004</v>
      </c>
      <c r="BN277" s="64">
        <f>IFERROR(Y277*I277/H277,"0")</f>
        <v>5.3040000000000003</v>
      </c>
      <c r="BO277" s="64">
        <f>IFERROR(1/J277*(X277/H277),"0")</f>
        <v>6.8681318681318689E-3</v>
      </c>
      <c r="BP277" s="64">
        <f>IFERROR(1/J277*(Y277/H277),"0")</f>
        <v>1.098901098901099E-2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135</v>
      </c>
      <c r="Y278" s="546">
        <f>IFERROR(IF(X278="",0,CEILING((X278/$H278),1)*$H278),"")</f>
        <v>136.79999999999998</v>
      </c>
      <c r="Z278" s="36">
        <f>IFERROR(IF(Y278=0,"",ROUNDUP(Y278/H278,0)*0.00651),"")</f>
        <v>0.37107000000000001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145.125</v>
      </c>
      <c r="BN278" s="64">
        <f>IFERROR(Y278*I278/H278,"0")</f>
        <v>147.06</v>
      </c>
      <c r="BO278" s="64">
        <f>IFERROR(1/J278*(X278/H278),"0")</f>
        <v>0.30906593406593408</v>
      </c>
      <c r="BP278" s="64">
        <f>IFERROR(1/J278*(Y278/H278),"0")</f>
        <v>0.31318681318681318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57.5</v>
      </c>
      <c r="Y279" s="547">
        <f>IFERROR(Y276/H276,"0")+IFERROR(Y277/H277,"0")+IFERROR(Y278/H278,"0")</f>
        <v>58.999999999999993</v>
      </c>
      <c r="Z279" s="547">
        <f>IFERROR(IF(Z276="",0,Z276),"0")+IFERROR(IF(Z277="",0,Z277),"0")+IFERROR(IF(Z278="",0,Z278),"0")</f>
        <v>0.38408999999999999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138</v>
      </c>
      <c r="Y280" s="547">
        <f>IFERROR(SUM(Y276:Y278),"0")</f>
        <v>141.6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1473</v>
      </c>
      <c r="Y319" s="546">
        <f>IFERROR(IF(X319="",0,CEILING((X319/$H319),1)*$H319),"")</f>
        <v>1474.2</v>
      </c>
      <c r="Z319" s="36">
        <f>IFERROR(IF(Y319=0,"",ROUNDUP(Y319/H319,0)*0.01898),"")</f>
        <v>3.5872199999999999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1566.29</v>
      </c>
      <c r="BN319" s="64">
        <f>IFERROR(Y319*I319/H319,"0")</f>
        <v>1567.566</v>
      </c>
      <c r="BO319" s="64">
        <f>IFERROR(1/J319*(X319/H319),"0")</f>
        <v>2.9507211538461537</v>
      </c>
      <c r="BP319" s="64">
        <f>IFERROR(1/J319*(Y319/H319),"0")</f>
        <v>2.953125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188.84615384615384</v>
      </c>
      <c r="Y321" s="547">
        <f>IFERROR(Y318/H318,"0")+IFERROR(Y319/H319,"0")+IFERROR(Y320/H320,"0")</f>
        <v>189</v>
      </c>
      <c r="Z321" s="547">
        <f>IFERROR(IF(Z318="",0,Z318),"0")+IFERROR(IF(Z319="",0,Z319),"0")+IFERROR(IF(Z320="",0,Z320),"0")</f>
        <v>3.5872199999999999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1473</v>
      </c>
      <c r="Y322" s="547">
        <f>IFERROR(SUM(Y318:Y320),"0")</f>
        <v>1474.2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4</v>
      </c>
      <c r="Y324" s="546">
        <f>IFERROR(IF(X324="",0,CEILING((X324/$H324),1)*$H324),"")</f>
        <v>6.08</v>
      </c>
      <c r="Z324" s="36">
        <f>IFERROR(IF(Y324=0,"",ROUNDUP(Y324/H324,0)*0.00902),"")</f>
        <v>1.804E-2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4.3552631578947372</v>
      </c>
      <c r="BN324" s="64">
        <f>IFERROR(Y324*I324/H324,"0")</f>
        <v>6.62</v>
      </c>
      <c r="BO324" s="64">
        <f>IFERROR(1/J324*(X324/H324),"0")</f>
        <v>9.9681020733652318E-3</v>
      </c>
      <c r="BP324" s="64">
        <f>IFERROR(1/J324*(Y324/H324),"0")</f>
        <v>1.5151515151515152E-2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21</v>
      </c>
      <c r="Y326" s="546">
        <f>IFERROR(IF(X326="",0,CEILING((X326/$H326),1)*$H326),"")</f>
        <v>22.95</v>
      </c>
      <c r="Z326" s="36">
        <f>IFERROR(IF(Y326=0,"",ROUNDUP(Y326/H326,0)*0.00651),"")</f>
        <v>5.8590000000000003E-2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24.335294117647059</v>
      </c>
      <c r="BN326" s="64">
        <f>IFERROR(Y326*I326/H326,"0")</f>
        <v>26.595000000000002</v>
      </c>
      <c r="BO326" s="64">
        <f>IFERROR(1/J326*(X326/H326),"0")</f>
        <v>4.5248868778280549E-2</v>
      </c>
      <c r="BP326" s="64">
        <f>IFERROR(1/J326*(Y326/H326),"0")</f>
        <v>4.9450549450549455E-2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22</v>
      </c>
      <c r="Y327" s="546">
        <f>IFERROR(IF(X327="",0,CEILING((X327/$H327),1)*$H327),"")</f>
        <v>22.95</v>
      </c>
      <c r="Z327" s="36">
        <f>IFERROR(IF(Y327=0,"",ROUNDUP(Y327/H327,0)*0.00651),"")</f>
        <v>5.8590000000000003E-2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24.847058823529412</v>
      </c>
      <c r="BN327" s="64">
        <f>IFERROR(Y327*I327/H327,"0")</f>
        <v>25.919999999999998</v>
      </c>
      <c r="BO327" s="64">
        <f>IFERROR(1/J327*(X327/H327),"0")</f>
        <v>4.7403576815341533E-2</v>
      </c>
      <c r="BP327" s="64">
        <f>IFERROR(1/J327*(Y327/H327),"0")</f>
        <v>4.9450549450549455E-2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18.178534571723429</v>
      </c>
      <c r="Y328" s="547">
        <f>IFERROR(Y324/H324,"0")+IFERROR(Y325/H325,"0")+IFERROR(Y326/H326,"0")+IFERROR(Y327/H327,"0")</f>
        <v>20</v>
      </c>
      <c r="Z328" s="547">
        <f>IFERROR(IF(Z324="",0,Z324),"0")+IFERROR(IF(Z325="",0,Z325),"0")+IFERROR(IF(Z326="",0,Z326),"0")+IFERROR(IF(Z327="",0,Z327),"0")</f>
        <v>0.13522000000000001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47</v>
      </c>
      <c r="Y329" s="547">
        <f>IFERROR(SUM(Y324:Y327),"0")</f>
        <v>51.980000000000004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16</v>
      </c>
      <c r="Y331" s="546">
        <f>IFERROR(IF(X331="",0,CEILING((X331/$H331),1)*$H331),"")</f>
        <v>16</v>
      </c>
      <c r="Z331" s="36">
        <f>IFERROR(IF(Y331=0,"",ROUNDUP(Y331/H331,0)*0.00474),"")</f>
        <v>3.7920000000000002E-2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17.920000000000002</v>
      </c>
      <c r="BN331" s="64">
        <f>IFERROR(Y331*I331/H331,"0")</f>
        <v>17.920000000000002</v>
      </c>
      <c r="BO331" s="64">
        <f>IFERROR(1/J331*(X331/H331),"0")</f>
        <v>3.3613445378151259E-2</v>
      </c>
      <c r="BP331" s="64">
        <f>IFERROR(1/J331*(Y331/H331),"0")</f>
        <v>3.3613445378151259E-2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17</v>
      </c>
      <c r="Y332" s="546">
        <f>IFERROR(IF(X332="",0,CEILING((X332/$H332),1)*$H332),"")</f>
        <v>18</v>
      </c>
      <c r="Z332" s="36">
        <f>IFERROR(IF(Y332=0,"",ROUNDUP(Y332/H332,0)*0.00474),"")</f>
        <v>4.2660000000000003E-2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19.040000000000003</v>
      </c>
      <c r="BN332" s="64">
        <f>IFERROR(Y332*I332/H332,"0")</f>
        <v>20.160000000000004</v>
      </c>
      <c r="BO332" s="64">
        <f>IFERROR(1/J332*(X332/H332),"0")</f>
        <v>3.5714285714285712E-2</v>
      </c>
      <c r="BP332" s="64">
        <f>IFERROR(1/J332*(Y332/H332),"0")</f>
        <v>3.7815126050420166E-2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19</v>
      </c>
      <c r="Y334" s="547">
        <f>IFERROR(Y331/H331,"0")+IFERROR(Y332/H332,"0")+IFERROR(Y333/H333,"0")</f>
        <v>20</v>
      </c>
      <c r="Z334" s="547">
        <f>IFERROR(IF(Z331="",0,Z331),"0")+IFERROR(IF(Z332="",0,Z332),"0")+IFERROR(IF(Z333="",0,Z333),"0")</f>
        <v>9.4800000000000009E-2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38</v>
      </c>
      <c r="Y335" s="547">
        <f>IFERROR(SUM(Y331:Y333),"0")</f>
        <v>40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883</v>
      </c>
      <c r="Y346" s="546">
        <f t="shared" ref="Y346:Y352" si="31">IFERROR(IF(X346="",0,CEILING((X346/$H346),1)*$H346),"")</f>
        <v>885</v>
      </c>
      <c r="Z346" s="36">
        <f>IFERROR(IF(Y346=0,"",ROUNDUP(Y346/H346,0)*0.02175),"")</f>
        <v>1.28325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910.66733333333332</v>
      </c>
      <c r="BN346" s="64">
        <f t="shared" ref="BN346:BN352" si="33">IFERROR(Y346*I346/H346,"0")</f>
        <v>912.73</v>
      </c>
      <c r="BO346" s="64">
        <f t="shared" ref="BO346:BO352" si="34">IFERROR(1/J346*(X346/H346),"0")</f>
        <v>1.2263888888888888</v>
      </c>
      <c r="BP346" s="64">
        <f t="shared" ref="BP346:BP352" si="35">IFERROR(1/J346*(Y346/H346),"0")</f>
        <v>1.2291666666666665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353</v>
      </c>
      <c r="Y347" s="546">
        <f t="shared" si="31"/>
        <v>360</v>
      </c>
      <c r="Z347" s="36">
        <f>IFERROR(IF(Y347=0,"",ROUNDUP(Y347/H347,0)*0.02175),"")</f>
        <v>0.52200000000000002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364.06066666666663</v>
      </c>
      <c r="BN347" s="64">
        <f t="shared" si="33"/>
        <v>371.28</v>
      </c>
      <c r="BO347" s="64">
        <f t="shared" si="34"/>
        <v>0.49027777777777781</v>
      </c>
      <c r="BP347" s="64">
        <f t="shared" si="35"/>
        <v>0.5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1734</v>
      </c>
      <c r="Y349" s="546">
        <f t="shared" si="31"/>
        <v>1740</v>
      </c>
      <c r="Z349" s="36">
        <f>IFERROR(IF(Y349=0,"",ROUNDUP(Y349/H349,0)*0.02175),"")</f>
        <v>2.5229999999999997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1788.3319999999999</v>
      </c>
      <c r="BN349" s="64">
        <f t="shared" si="33"/>
        <v>1794.5200000000002</v>
      </c>
      <c r="BO349" s="64">
        <f t="shared" si="34"/>
        <v>2.4083333333333332</v>
      </c>
      <c r="BP349" s="64">
        <f t="shared" si="35"/>
        <v>2.4166666666666665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198</v>
      </c>
      <c r="Y353" s="547">
        <f>IFERROR(Y346/H346,"0")+IFERROR(Y347/H347,"0")+IFERROR(Y348/H348,"0")+IFERROR(Y349/H349,"0")+IFERROR(Y350/H350,"0")+IFERROR(Y351/H351,"0")+IFERROR(Y352/H352,"0")</f>
        <v>199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4.3282499999999997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2970</v>
      </c>
      <c r="Y354" s="547">
        <f>IFERROR(SUM(Y346:Y352),"0")</f>
        <v>2985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122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125.82266666666668</v>
      </c>
      <c r="BN356" s="64">
        <f>IFERROR(Y356*I356/H356,"0")</f>
        <v>139.23000000000002</v>
      </c>
      <c r="BO356" s="64">
        <f>IFERROR(1/J356*(X356/H356),"0")</f>
        <v>0.16944444444444443</v>
      </c>
      <c r="BP356" s="64">
        <f>IFERROR(1/J356*(Y356/H356),"0")</f>
        <v>0.1875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8.1333333333333329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122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3546</v>
      </c>
      <c r="Y381" s="546">
        <f>IFERROR(IF(X381="",0,CEILING((X381/$H381),1)*$H381),"")</f>
        <v>3546</v>
      </c>
      <c r="Z381" s="36">
        <f>IFERROR(IF(Y381=0,"",ROUNDUP(Y381/H381,0)*0.01898),"")</f>
        <v>7.4781200000000005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3740.6360000000004</v>
      </c>
      <c r="BN381" s="64">
        <f>IFERROR(Y381*I381/H381,"0")</f>
        <v>3740.6360000000004</v>
      </c>
      <c r="BO381" s="64">
        <f>IFERROR(1/J381*(X381/H381),"0")</f>
        <v>6.15625</v>
      </c>
      <c r="BP381" s="64">
        <f>IFERROR(1/J381*(Y381/H381),"0")</f>
        <v>6.15625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80</v>
      </c>
      <c r="Y382" s="546">
        <f>IFERROR(IF(X382="",0,CEILING((X382/$H382),1)*$H382),"")</f>
        <v>81.599999999999994</v>
      </c>
      <c r="Z382" s="36">
        <f>IFERROR(IF(Y382=0,"",ROUNDUP(Y382/H382,0)*0.00651),"")</f>
        <v>0.22134000000000001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88.800000000000011</v>
      </c>
      <c r="BN382" s="64">
        <f>IFERROR(Y382*I382/H382,"0")</f>
        <v>90.575999999999993</v>
      </c>
      <c r="BO382" s="64">
        <f>IFERROR(1/J382*(X382/H382),"0")</f>
        <v>0.18315018315018317</v>
      </c>
      <c r="BP382" s="64">
        <f>IFERROR(1/J382*(Y382/H382),"0")</f>
        <v>0.18681318681318682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427.33333333333331</v>
      </c>
      <c r="Y384" s="547">
        <f>IFERROR(Y381/H381,"0")+IFERROR(Y382/H382,"0")+IFERROR(Y383/H383,"0")</f>
        <v>428</v>
      </c>
      <c r="Z384" s="547">
        <f>IFERROR(IF(Z381="",0,Z381),"0")+IFERROR(IF(Z382="",0,Z382),"0")+IFERROR(IF(Z383="",0,Z383),"0")</f>
        <v>7.6994600000000002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3626</v>
      </c>
      <c r="Y385" s="547">
        <f>IFERROR(SUM(Y381:Y383),"0")</f>
        <v>3627.6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222</v>
      </c>
      <c r="Y425" s="546">
        <f t="shared" ref="Y425:Y436" si="42">IFERROR(IF(X425="",0,CEILING((X425/$H425),1)*$H425),"")</f>
        <v>227.04000000000002</v>
      </c>
      <c r="Z425" s="36">
        <f t="shared" ref="Z425:Z431" si="43">IFERROR(IF(Y425=0,"",ROUNDUP(Y425/H425,0)*0.01196),"")</f>
        <v>0.51427999999999996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236.71590909090907</v>
      </c>
      <c r="BN425" s="64">
        <f t="shared" ref="BN425:BN436" si="45">IFERROR(Y425*I425/H425,"0")</f>
        <v>242.09</v>
      </c>
      <c r="BO425" s="64">
        <f t="shared" ref="BO425:BO436" si="46">IFERROR(1/J425*(X425/H425),"0")</f>
        <v>0.40428321678321683</v>
      </c>
      <c r="BP425" s="64">
        <f t="shared" ref="BP425:BP436" si="47">IFERROR(1/J425*(Y425/H425),"0")</f>
        <v>0.41346153846153849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706</v>
      </c>
      <c r="Y429" s="546">
        <f t="shared" si="42"/>
        <v>707.52</v>
      </c>
      <c r="Z429" s="36">
        <f t="shared" si="43"/>
        <v>1.6026400000000001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752.79924242424238</v>
      </c>
      <c r="BN429" s="64">
        <f t="shared" si="45"/>
        <v>754.42</v>
      </c>
      <c r="BO429" s="64">
        <f t="shared" si="46"/>
        <v>1.2856934731934733</v>
      </c>
      <c r="BP429" s="64">
        <f t="shared" si="47"/>
        <v>1.2884615384615385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1135</v>
      </c>
      <c r="Y431" s="546">
        <f t="shared" si="42"/>
        <v>1135.2</v>
      </c>
      <c r="Z431" s="36">
        <f t="shared" si="43"/>
        <v>2.5714000000000001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1210.2367424242425</v>
      </c>
      <c r="BN431" s="64">
        <f t="shared" si="45"/>
        <v>1210.45</v>
      </c>
      <c r="BO431" s="64">
        <f t="shared" si="46"/>
        <v>2.066943473193473</v>
      </c>
      <c r="BP431" s="64">
        <f t="shared" si="47"/>
        <v>2.0673076923076925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151</v>
      </c>
      <c r="Y433" s="546">
        <f t="shared" si="42"/>
        <v>153.6</v>
      </c>
      <c r="Z433" s="36">
        <f>IFERROR(IF(Y433=0,"",ROUNDUP(Y433/H433,0)*0.00902),"")</f>
        <v>0.28864000000000001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217.37708333333336</v>
      </c>
      <c r="BN433" s="64">
        <f t="shared" si="45"/>
        <v>221.12</v>
      </c>
      <c r="BO433" s="64">
        <f t="shared" si="46"/>
        <v>0.2383207070707071</v>
      </c>
      <c r="BP433" s="64">
        <f t="shared" si="47"/>
        <v>0.24242424242424243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422.17803030303025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424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4.9769600000000001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2214</v>
      </c>
      <c r="Y438" s="547">
        <f>IFERROR(SUM(Y425:Y436),"0")</f>
        <v>2223.36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259</v>
      </c>
      <c r="Y440" s="546">
        <f>IFERROR(IF(X440="",0,CEILING((X440/$H440),1)*$H440),"")</f>
        <v>264</v>
      </c>
      <c r="Z440" s="36">
        <f>IFERROR(IF(Y440=0,"",ROUNDUP(Y440/H440,0)*0.01196),"")</f>
        <v>0.59799999999999998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276.16856060606062</v>
      </c>
      <c r="BN440" s="64">
        <f>IFERROR(Y440*I440/H440,"0")</f>
        <v>281.5</v>
      </c>
      <c r="BO440" s="64">
        <f>IFERROR(1/J440*(X440/H440),"0")</f>
        <v>0.4716637529137529</v>
      </c>
      <c r="BP440" s="64">
        <f>IFERROR(1/J440*(Y440/H440),"0")</f>
        <v>0.48076923076923078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125</v>
      </c>
      <c r="Y442" s="546">
        <f>IFERROR(IF(X442="",0,CEILING((X442/$H442),1)*$H442),"")</f>
        <v>129.6</v>
      </c>
      <c r="Z442" s="36">
        <f>IFERROR(IF(Y442=0,"",ROUNDUP(Y442/H442,0)*0.00902),"")</f>
        <v>0.24354000000000001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179.94791666666669</v>
      </c>
      <c r="BN442" s="64">
        <f>IFERROR(Y442*I442/H442,"0")</f>
        <v>186.57</v>
      </c>
      <c r="BO442" s="64">
        <f>IFERROR(1/J442*(X442/H442),"0")</f>
        <v>0.19728535353535356</v>
      </c>
      <c r="BP442" s="64">
        <f>IFERROR(1/J442*(Y442/H442),"0")</f>
        <v>0.20454545454545456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75.094696969696969</v>
      </c>
      <c r="Y443" s="547">
        <f>IFERROR(Y440/H440,"0")+IFERROR(Y441/H441,"0")+IFERROR(Y442/H442,"0")</f>
        <v>77</v>
      </c>
      <c r="Z443" s="547">
        <f>IFERROR(IF(Z440="",0,Z440),"0")+IFERROR(IF(Z441="",0,Z441),"0")+IFERROR(IF(Z442="",0,Z442),"0")</f>
        <v>0.84153999999999995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384</v>
      </c>
      <c r="Y444" s="547">
        <f>IFERROR(SUM(Y440:Y442),"0")</f>
        <v>393.6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103</v>
      </c>
      <c r="Y447" s="546">
        <f t="shared" si="48"/>
        <v>105.60000000000001</v>
      </c>
      <c r="Z447" s="36">
        <f>IFERROR(IF(Y447=0,"",ROUNDUP(Y447/H447,0)*0.01196),"")</f>
        <v>0.2392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109.8276515151515</v>
      </c>
      <c r="BN447" s="64">
        <f t="shared" si="50"/>
        <v>112.6</v>
      </c>
      <c r="BO447" s="64">
        <f t="shared" si="51"/>
        <v>0.18757284382284384</v>
      </c>
      <c r="BP447" s="64">
        <f t="shared" si="52"/>
        <v>0.19230769230769232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85</v>
      </c>
      <c r="Y448" s="546">
        <f t="shared" si="48"/>
        <v>89.76</v>
      </c>
      <c r="Z448" s="36">
        <f>IFERROR(IF(Y448=0,"",ROUNDUP(Y448/H448,0)*0.01196),"")</f>
        <v>0.20332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90.634469696969688</v>
      </c>
      <c r="BN448" s="64">
        <f t="shared" si="50"/>
        <v>95.710000000000008</v>
      </c>
      <c r="BO448" s="64">
        <f t="shared" si="51"/>
        <v>0.15479312354312355</v>
      </c>
      <c r="BP448" s="64">
        <f t="shared" si="52"/>
        <v>0.16346153846153846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35.606060606060609</v>
      </c>
      <c r="Y452" s="547">
        <f>IFERROR(Y446/H446,"0")+IFERROR(Y447/H447,"0")+IFERROR(Y448/H448,"0")+IFERROR(Y449/H449,"0")+IFERROR(Y450/H450,"0")+IFERROR(Y451/H451,"0")</f>
        <v>37</v>
      </c>
      <c r="Z452" s="547">
        <f>IFERROR(IF(Z446="",0,Z446),"0")+IFERROR(IF(Z447="",0,Z447),"0")+IFERROR(IF(Z448="",0,Z448),"0")+IFERROR(IF(Z449="",0,Z449),"0")+IFERROR(IF(Z450="",0,Z450),"0")+IFERROR(IF(Z451="",0,Z451),"0")</f>
        <v>0.44252000000000002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188</v>
      </c>
      <c r="Y453" s="547">
        <f>IFERROR(SUM(Y446:Y451),"0")</f>
        <v>195.36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17698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17832.38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18845.407772713108</v>
      </c>
      <c r="Y492" s="547">
        <f>IFERROR(SUM(BN22:BN488),"0")</f>
        <v>18990.397999999997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19645.407772713108</v>
      </c>
      <c r="Y494" s="547">
        <f>GrossWeightTotalR+PalletQtyTotalR*25</f>
        <v>19790.397999999997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3209.1134663172875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3236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37.242050000000006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777.6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586.80000000000007</v>
      </c>
      <c r="E501" s="46">
        <f>IFERROR(Y86*1,"0")+IFERROR(Y87*1,"0")+IFERROR(Y88*1,"0")+IFERROR(Y89*1,"0")+IFERROR(Y93*1,"0")+IFERROR(Y94*1,"0")+IFERROR(Y95*1,"0")+IFERROR(Y96*1,"0")</f>
        <v>677.7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1192.5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409.5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2903.3999999999992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17.18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141.6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1566.18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3120</v>
      </c>
      <c r="T501" s="46">
        <f>IFERROR(Y371*1,"0")+IFERROR(Y372*1,"0")+IFERROR(Y376*1,"0")+IFERROR(Y377*1,"0")+IFERROR(Y381*1,"0")+IFERROR(Y382*1,"0")+IFERROR(Y383*1,"0")</f>
        <v>3627.6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2812.32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0,56"/>
        <filter val="1 135,00"/>
        <filter val="1 473,00"/>
        <filter val="1 734,00"/>
        <filter val="1,00"/>
        <filter val="1,59"/>
        <filter val="103,00"/>
        <filter val="113,00"/>
        <filter val="12,00"/>
        <filter val="12,13"/>
        <filter val="12,50"/>
        <filter val="122,00"/>
        <filter val="125,00"/>
        <filter val="135,00"/>
        <filter val="138,00"/>
        <filter val="14,00"/>
        <filter val="14,91"/>
        <filter val="142,00"/>
        <filter val="145,00"/>
        <filter val="151,00"/>
        <filter val="155,48"/>
        <filter val="16,00"/>
        <filter val="161,00"/>
        <filter val="169,14"/>
        <filter val="17 698,00"/>
        <filter val="17,00"/>
        <filter val="172,96"/>
        <filter val="178,15"/>
        <filter val="18 845,41"/>
        <filter val="18,00"/>
        <filter val="18,18"/>
        <filter val="182,00"/>
        <filter val="188,00"/>
        <filter val="188,85"/>
        <filter val="19 645,41"/>
        <filter val="19,00"/>
        <filter val="198,00"/>
        <filter val="199,00"/>
        <filter val="2 155,00"/>
        <filter val="2 214,00"/>
        <filter val="2 970,00"/>
        <filter val="2,00"/>
        <filter val="2,12"/>
        <filter val="2,38"/>
        <filter val="20,00"/>
        <filter val="205,00"/>
        <filter val="21,00"/>
        <filter val="213,00"/>
        <filter val="22,00"/>
        <filter val="222,00"/>
        <filter val="23,00"/>
        <filter val="24,00"/>
        <filter val="241,00"/>
        <filter val="259,00"/>
        <filter val="26,00"/>
        <filter val="3 209,11"/>
        <filter val="3 546,00"/>
        <filter val="3 626,00"/>
        <filter val="3,00"/>
        <filter val="3,33"/>
        <filter val="30,00"/>
        <filter val="301,00"/>
        <filter val="32"/>
        <filter val="35,61"/>
        <filter val="351,00"/>
        <filter val="353,00"/>
        <filter val="37,00"/>
        <filter val="38,00"/>
        <filter val="384,00"/>
        <filter val="388,00"/>
        <filter val="39,67"/>
        <filter val="390,00"/>
        <filter val="399,00"/>
        <filter val="4,00"/>
        <filter val="422,18"/>
        <filter val="427,33"/>
        <filter val="44,22"/>
        <filter val="450,00"/>
        <filter val="47,00"/>
        <filter val="470,00"/>
        <filter val="474,00"/>
        <filter val="481,00"/>
        <filter val="5,00"/>
        <filter val="506,00"/>
        <filter val="54,00"/>
        <filter val="55,00"/>
        <filter val="57,50"/>
        <filter val="616,00"/>
        <filter val="65,00"/>
        <filter val="675,00"/>
        <filter val="68,00"/>
        <filter val="706,00"/>
        <filter val="71,39"/>
        <filter val="72,00"/>
        <filter val="75,09"/>
        <filter val="75,44"/>
        <filter val="771,00"/>
        <filter val="8,13"/>
        <filter val="80,00"/>
        <filter val="802,93"/>
        <filter val="82,00"/>
        <filter val="85,00"/>
        <filter val="883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