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654AABF-4AAF-4107-AF83-9E5525112F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BP442" i="1" s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BP412" i="1" s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BP288" i="1" s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N270" i="1"/>
  <c r="BM270" i="1"/>
  <c r="Z270" i="1"/>
  <c r="Y270" i="1"/>
  <c r="BP270" i="1" s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Y146" i="1" s="1"/>
  <c r="P144" i="1"/>
  <c r="X141" i="1"/>
  <c r="X140" i="1"/>
  <c r="BO139" i="1"/>
  <c r="BM139" i="1"/>
  <c r="Y139" i="1"/>
  <c r="P139" i="1"/>
  <c r="BO138" i="1"/>
  <c r="BM138" i="1"/>
  <c r="Y138" i="1"/>
  <c r="BP138" i="1" s="1"/>
  <c r="P138" i="1"/>
  <c r="X136" i="1"/>
  <c r="X135" i="1"/>
  <c r="BO134" i="1"/>
  <c r="BM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P104" i="1"/>
  <c r="BO103" i="1"/>
  <c r="BM103" i="1"/>
  <c r="Y103" i="1"/>
  <c r="P103" i="1"/>
  <c r="BO102" i="1"/>
  <c r="BM102" i="1"/>
  <c r="Y102" i="1"/>
  <c r="BP102" i="1" s="1"/>
  <c r="BO101" i="1"/>
  <c r="BM101" i="1"/>
  <c r="Y101" i="1"/>
  <c r="BP101" i="1" s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5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42" i="1" l="1"/>
  <c r="BN42" i="1"/>
  <c r="Y59" i="1"/>
  <c r="Z68" i="1"/>
  <c r="BN68" i="1"/>
  <c r="Z101" i="1"/>
  <c r="BN101" i="1"/>
  <c r="Z102" i="1"/>
  <c r="BN102" i="1"/>
  <c r="Z117" i="1"/>
  <c r="BN117" i="1"/>
  <c r="Z138" i="1"/>
  <c r="BN138" i="1"/>
  <c r="Z170" i="1"/>
  <c r="BN170" i="1"/>
  <c r="Z175" i="1"/>
  <c r="BN175" i="1"/>
  <c r="Z205" i="1"/>
  <c r="BN205" i="1"/>
  <c r="Z217" i="1"/>
  <c r="BN217" i="1"/>
  <c r="Z234" i="1"/>
  <c r="BN234" i="1"/>
  <c r="Z252" i="1"/>
  <c r="BN252" i="1"/>
  <c r="Z263" i="1"/>
  <c r="BN263" i="1"/>
  <c r="Z288" i="1"/>
  <c r="BN288" i="1"/>
  <c r="Z305" i="1"/>
  <c r="BN305" i="1"/>
  <c r="Z319" i="1"/>
  <c r="BN319" i="1"/>
  <c r="Z333" i="1"/>
  <c r="BN333" i="1"/>
  <c r="Z350" i="1"/>
  <c r="BN350" i="1"/>
  <c r="Z377" i="1"/>
  <c r="BN377" i="1"/>
  <c r="Z393" i="1"/>
  <c r="BN393" i="1"/>
  <c r="Z412" i="1"/>
  <c r="BN412" i="1"/>
  <c r="Z432" i="1"/>
  <c r="BN432" i="1"/>
  <c r="Z442" i="1"/>
  <c r="BN442" i="1"/>
  <c r="Z450" i="1"/>
  <c r="BN450" i="1"/>
  <c r="Z474" i="1"/>
  <c r="BN474" i="1"/>
  <c r="BP111" i="1"/>
  <c r="BN111" i="1"/>
  <c r="Z111" i="1"/>
  <c r="BP134" i="1"/>
  <c r="BN134" i="1"/>
  <c r="Z134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BP203" i="1"/>
  <c r="BN203" i="1"/>
  <c r="Z203" i="1"/>
  <c r="BP215" i="1"/>
  <c r="BN215" i="1"/>
  <c r="Z215" i="1"/>
  <c r="BP232" i="1"/>
  <c r="BN232" i="1"/>
  <c r="Z232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BP250" i="1"/>
  <c r="BN250" i="1"/>
  <c r="Z250" i="1"/>
  <c r="BP261" i="1"/>
  <c r="BN261" i="1"/>
  <c r="Z261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Z22" i="1"/>
  <c r="BN22" i="1"/>
  <c r="Y25" i="1"/>
  <c r="X491" i="1"/>
  <c r="Y33" i="1"/>
  <c r="Z30" i="1"/>
  <c r="BN30" i="1"/>
  <c r="C501" i="1"/>
  <c r="Z53" i="1"/>
  <c r="BN53" i="1"/>
  <c r="Z57" i="1"/>
  <c r="BN57" i="1"/>
  <c r="Z62" i="1"/>
  <c r="BN62" i="1"/>
  <c r="Y71" i="1"/>
  <c r="Z74" i="1"/>
  <c r="BN74" i="1"/>
  <c r="Z80" i="1"/>
  <c r="BN80" i="1"/>
  <c r="BP80" i="1"/>
  <c r="Z88" i="1"/>
  <c r="BN88" i="1"/>
  <c r="Z96" i="1"/>
  <c r="BN96" i="1"/>
  <c r="BP104" i="1"/>
  <c r="BN104" i="1"/>
  <c r="Z104" i="1"/>
  <c r="BP119" i="1"/>
  <c r="BN119" i="1"/>
  <c r="Z119" i="1"/>
  <c r="BP145" i="1"/>
  <c r="BN145" i="1"/>
  <c r="Z145" i="1"/>
  <c r="BP149" i="1"/>
  <c r="BN149" i="1"/>
  <c r="Z149" i="1"/>
  <c r="BP172" i="1"/>
  <c r="BN172" i="1"/>
  <c r="Z172" i="1"/>
  <c r="BP181" i="1"/>
  <c r="BN181" i="1"/>
  <c r="Z181" i="1"/>
  <c r="BP207" i="1"/>
  <c r="BN207" i="1"/>
  <c r="Z207" i="1"/>
  <c r="BP219" i="1"/>
  <c r="BN219" i="1"/>
  <c r="Z219" i="1"/>
  <c r="BP236" i="1"/>
  <c r="BN236" i="1"/>
  <c r="Z236" i="1"/>
  <c r="BP254" i="1"/>
  <c r="BN254" i="1"/>
  <c r="Z254" i="1"/>
  <c r="BP268" i="1"/>
  <c r="BN268" i="1"/>
  <c r="Z268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40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290" i="1"/>
  <c r="Y334" i="1"/>
  <c r="Y358" i="1"/>
  <c r="H9" i="1"/>
  <c r="A10" i="1"/>
  <c r="B501" i="1"/>
  <c r="X492" i="1"/>
  <c r="X493" i="1"/>
  <c r="Z23" i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Y141" i="1"/>
  <c r="H501" i="1"/>
  <c r="Y147" i="1"/>
  <c r="BP144" i="1"/>
  <c r="BN144" i="1"/>
  <c r="Z144" i="1"/>
  <c r="Y153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F9" i="1"/>
  <c r="J9" i="1"/>
  <c r="Y45" i="1"/>
  <c r="D501" i="1"/>
  <c r="Y58" i="1"/>
  <c r="BP63" i="1"/>
  <c r="BN63" i="1"/>
  <c r="Z63" i="1"/>
  <c r="Y65" i="1"/>
  <c r="Y70" i="1"/>
  <c r="BP67" i="1"/>
  <c r="BN67" i="1"/>
  <c r="Z67" i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Z135" i="1" s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Z272" i="1" s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Y374" i="1"/>
  <c r="Y379" i="1"/>
  <c r="BP376" i="1"/>
  <c r="BN376" i="1"/>
  <c r="Z376" i="1"/>
  <c r="Y378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BP347" i="1"/>
  <c r="BN347" i="1"/>
  <c r="Z347" i="1"/>
  <c r="BP351" i="1"/>
  <c r="BN351" i="1"/>
  <c r="Z351" i="1"/>
  <c r="Z353" i="1" s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Y471" i="1"/>
  <c r="Y476" i="1"/>
  <c r="BP473" i="1"/>
  <c r="BN473" i="1"/>
  <c r="Z473" i="1"/>
  <c r="Z475" i="1" s="1"/>
  <c r="Y475" i="1"/>
  <c r="U501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Y485" i="1"/>
  <c r="Z501" i="1"/>
  <c r="Y489" i="1"/>
  <c r="BP488" i="1"/>
  <c r="BN488" i="1"/>
  <c r="Z488" i="1"/>
  <c r="Z489" i="1" s="1"/>
  <c r="Y490" i="1"/>
  <c r="W501" i="1"/>
  <c r="Y438" i="1"/>
  <c r="Z484" i="1" l="1"/>
  <c r="Z470" i="1"/>
  <c r="Z378" i="1"/>
  <c r="Z315" i="1"/>
  <c r="Z279" i="1"/>
  <c r="Z264" i="1"/>
  <c r="Z70" i="1"/>
  <c r="Z146" i="1"/>
  <c r="Z140" i="1"/>
  <c r="Z58" i="1"/>
  <c r="Z44" i="1"/>
  <c r="Z24" i="1"/>
  <c r="Z334" i="1"/>
  <c r="Z321" i="1"/>
  <c r="Z255" i="1"/>
  <c r="Z209" i="1"/>
  <c r="Y492" i="1"/>
  <c r="Y491" i="1"/>
  <c r="Z437" i="1"/>
  <c r="Z363" i="1"/>
  <c r="Z452" i="1"/>
  <c r="Z328" i="1"/>
  <c r="Z373" i="1"/>
  <c r="Z239" i="1"/>
  <c r="Z183" i="1"/>
  <c r="Z152" i="1"/>
  <c r="Z120" i="1"/>
  <c r="Y493" i="1"/>
  <c r="Z82" i="1"/>
  <c r="Z415" i="1"/>
  <c r="Z308" i="1"/>
  <c r="Z299" i="1"/>
  <c r="Z221" i="1"/>
  <c r="Z113" i="1"/>
  <c r="Z177" i="1"/>
  <c r="Z106" i="1"/>
  <c r="Z97" i="1"/>
  <c r="Z90" i="1"/>
  <c r="Z77" i="1"/>
  <c r="Y495" i="1"/>
  <c r="Z465" i="1"/>
  <c r="Z64" i="1"/>
  <c r="Z32" i="1"/>
  <c r="X494" i="1"/>
  <c r="Z496" i="1" l="1"/>
  <c r="Y494" i="1"/>
</calcChain>
</file>

<file path=xl/sharedStrings.xml><?xml version="1.0" encoding="utf-8"?>
<sst xmlns="http://schemas.openxmlformats.org/spreadsheetml/2006/main" count="2336" uniqueCount="776">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</sst>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46011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0.41666666666666669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70</v>
      </c>
      <c r="Y41" s="546">
        <f>IFERROR(IF(X41="",0,CEILING((X41/$H41),1)*$H41),"")</f>
        <v>75.600000000000009</v>
      </c>
      <c r="Z41" s="36">
        <f>IFERROR(IF(Y41=0,"",ROUNDUP(Y41/H41,0)*0.01898),"")</f>
        <v>0.13286000000000001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72.657407407407405</v>
      </c>
      <c r="BN41" s="64">
        <f>IFERROR(Y41*I41/H41,"0")</f>
        <v>78.47</v>
      </c>
      <c r="BO41" s="64">
        <f>IFERROR(1/J41*(X41/H41),"0")</f>
        <v>0.10127314814814814</v>
      </c>
      <c r="BP41" s="64">
        <f>IFERROR(1/J41*(Y41/H41),"0")</f>
        <v>0.109375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6.481481481481481</v>
      </c>
      <c r="Y44" s="547">
        <f>IFERROR(Y41/H41,"0")+IFERROR(Y42/H42,"0")+IFERROR(Y43/H43,"0")</f>
        <v>7</v>
      </c>
      <c r="Z44" s="547">
        <f>IFERROR(IF(Z41="",0,Z41),"0")+IFERROR(IF(Z42="",0,Z42),"0")+IFERROR(IF(Z43="",0,Z43),"0")</f>
        <v>0.13286000000000001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70</v>
      </c>
      <c r="Y45" s="547">
        <f>IFERROR(SUM(Y41:Y43),"0")</f>
        <v>75.600000000000009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120</v>
      </c>
      <c r="Y86" s="546">
        <f>IFERROR(IF(X86="",0,CEILING((X86/$H86),1)*$H86),"")</f>
        <v>129.60000000000002</v>
      </c>
      <c r="Z86" s="36">
        <f>IFERROR(IF(Y86=0,"",ROUNDUP(Y86/H86,0)*0.01898),"")</f>
        <v>0.22776000000000002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124.55555555555556</v>
      </c>
      <c r="BN86" s="64">
        <f>IFERROR(Y86*I86/H86,"0")</f>
        <v>134.52000000000001</v>
      </c>
      <c r="BO86" s="64">
        <f>IFERROR(1/J86*(X86/H86),"0")</f>
        <v>0.1736111111111111</v>
      </c>
      <c r="BP86" s="64">
        <f>IFERROR(1/J86*(Y86/H86),"0")</f>
        <v>0.18750000000000003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11.111111111111111</v>
      </c>
      <c r="Y90" s="547">
        <f>IFERROR(Y86/H86,"0")+IFERROR(Y87/H87,"0")+IFERROR(Y88/H88,"0")+IFERROR(Y89/H89,"0")</f>
        <v>12.000000000000002</v>
      </c>
      <c r="Z90" s="547">
        <f>IFERROR(IF(Z86="",0,Z86),"0")+IFERROR(IF(Z87="",0,Z87),"0")+IFERROR(IF(Z88="",0,Z88),"0")+IFERROR(IF(Z89="",0,Z89),"0")</f>
        <v>0.22776000000000002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120</v>
      </c>
      <c r="Y91" s="547">
        <f>IFERROR(SUM(Y86:Y89),"0")</f>
        <v>129.60000000000002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150</v>
      </c>
      <c r="Y93" s="546">
        <f>IFERROR(IF(X93="",0,CEILING((X93/$H93),1)*$H93),"")</f>
        <v>153.9</v>
      </c>
      <c r="Z93" s="36">
        <f>IFERROR(IF(Y93=0,"",ROUNDUP(Y93/H93,0)*0.01898),"")</f>
        <v>0.36062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159.14814814814815</v>
      </c>
      <c r="BN93" s="64">
        <f>IFERROR(Y93*I93/H93,"0")</f>
        <v>163.286</v>
      </c>
      <c r="BO93" s="64">
        <f>IFERROR(1/J93*(X93/H93),"0")</f>
        <v>0.28935185185185186</v>
      </c>
      <c r="BP93" s="64">
        <f>IFERROR(1/J93*(Y93/H93),"0")</f>
        <v>0.296875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67.5</v>
      </c>
      <c r="Y95" s="546">
        <f>IFERROR(IF(X95="",0,CEILING((X95/$H95),1)*$H95),"")</f>
        <v>67.5</v>
      </c>
      <c r="Z95" s="36">
        <f>IFERROR(IF(Y95=0,"",ROUNDUP(Y95/H95,0)*0.00651),"")</f>
        <v>0.16275000000000001</v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73.8</v>
      </c>
      <c r="BN95" s="64">
        <f>IFERROR(Y95*I95/H95,"0")</f>
        <v>73.8</v>
      </c>
      <c r="BO95" s="64">
        <f>IFERROR(1/J95*(X95/H95),"0")</f>
        <v>0.13736263736263737</v>
      </c>
      <c r="BP95" s="64">
        <f>IFERROR(1/J95*(Y95/H95),"0")</f>
        <v>0.13736263736263737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43.518518518518519</v>
      </c>
      <c r="Y97" s="547">
        <f>IFERROR(Y93/H93,"0")+IFERROR(Y94/H94,"0")+IFERROR(Y95/H95,"0")+IFERROR(Y96/H96,"0")</f>
        <v>44</v>
      </c>
      <c r="Z97" s="547">
        <f>IFERROR(IF(Z93="",0,Z93),"0")+IFERROR(IF(Z94="",0,Z94),"0")+IFERROR(IF(Z95="",0,Z95),"0")+IFERROR(IF(Z96="",0,Z96),"0")</f>
        <v>0.52337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217.5</v>
      </c>
      <c r="Y98" s="547">
        <f>IFERROR(SUM(Y93:Y96),"0")</f>
        <v>221.4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100</v>
      </c>
      <c r="Y101" s="546">
        <f>IFERROR(IF(X101="",0,CEILING((X101/$H101),1)*$H101),"")</f>
        <v>108</v>
      </c>
      <c r="Z101" s="36">
        <f>IFERROR(IF(Y101=0,"",ROUNDUP(Y101/H101,0)*0.01898),"")</f>
        <v>0.1898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103.79629629629629</v>
      </c>
      <c r="BN101" s="64">
        <f>IFERROR(Y101*I101/H101,"0")</f>
        <v>112.1</v>
      </c>
      <c r="BO101" s="64">
        <f>IFERROR(1/J101*(X101/H101),"0")</f>
        <v>0.14467592592592593</v>
      </c>
      <c r="BP101" s="64">
        <f>IFERROR(1/J101*(Y101/H101),"0")</f>
        <v>0.15625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9.2592592592592595</v>
      </c>
      <c r="Y106" s="547">
        <f>IFERROR(Y101/H101,"0")+IFERROR(Y102/H102,"0")+IFERROR(Y103/H103,"0")+IFERROR(Y104/H104,"0")+IFERROR(Y105/H105,"0")</f>
        <v>10</v>
      </c>
      <c r="Z106" s="547">
        <f>IFERROR(IF(Z101="",0,Z101),"0")+IFERROR(IF(Z102="",0,Z102),"0")+IFERROR(IF(Z103="",0,Z103),"0")+IFERROR(IF(Z104="",0,Z104),"0")+IFERROR(IF(Z105="",0,Z105),"0")</f>
        <v>0.1898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100</v>
      </c>
      <c r="Y107" s="547">
        <f>IFERROR(SUM(Y101:Y105),"0")</f>
        <v>108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450</v>
      </c>
      <c r="Y116" s="546">
        <f>IFERROR(IF(X116="",0,CEILING((X116/$H116),1)*$H116),"")</f>
        <v>453.59999999999997</v>
      </c>
      <c r="Z116" s="36">
        <f>IFERROR(IF(Y116=0,"",ROUNDUP(Y116/H116,0)*0.01898),"")</f>
        <v>1.06288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477.11111111111109</v>
      </c>
      <c r="BN116" s="64">
        <f>IFERROR(Y116*I116/H116,"0")</f>
        <v>480.92799999999994</v>
      </c>
      <c r="BO116" s="64">
        <f>IFERROR(1/J116*(X116/H116),"0")</f>
        <v>0.86805555555555558</v>
      </c>
      <c r="BP116" s="64">
        <f>IFERROR(1/J116*(Y116/H116),"0")</f>
        <v>0.875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67.5</v>
      </c>
      <c r="Y118" s="546">
        <f>IFERROR(IF(X118="",0,CEILING((X118/$H118),1)*$H118),"")</f>
        <v>67.5</v>
      </c>
      <c r="Z118" s="36">
        <f>IFERROR(IF(Y118=0,"",ROUNDUP(Y118/H118,0)*0.00651),"")</f>
        <v>0.16275000000000001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73.8</v>
      </c>
      <c r="BN118" s="64">
        <f>IFERROR(Y118*I118/H118,"0")</f>
        <v>73.8</v>
      </c>
      <c r="BO118" s="64">
        <f>IFERROR(1/J118*(X118/H118),"0")</f>
        <v>0.13736263736263737</v>
      </c>
      <c r="BP118" s="64">
        <f>IFERROR(1/J118*(Y118/H118),"0")</f>
        <v>0.13736263736263737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80.555555555555557</v>
      </c>
      <c r="Y120" s="547">
        <f>IFERROR(Y116/H116,"0")+IFERROR(Y117/H117,"0")+IFERROR(Y118/H118,"0")+IFERROR(Y119/H119,"0")</f>
        <v>81</v>
      </c>
      <c r="Z120" s="547">
        <f>IFERROR(IF(Z116="",0,Z116),"0")+IFERROR(IF(Z117="",0,Z117),"0")+IFERROR(IF(Z118="",0,Z118),"0")+IFERROR(IF(Z119="",0,Z119),"0")</f>
        <v>1.22563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517.5</v>
      </c>
      <c r="Y121" s="547">
        <f>IFERROR(SUM(Y116:Y119),"0")</f>
        <v>521.09999999999991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50</v>
      </c>
      <c r="Y167" s="546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52.976190476190474</v>
      </c>
      <c r="BN167" s="64">
        <f t="shared" si="7"/>
        <v>53.400000000000006</v>
      </c>
      <c r="BO167" s="64">
        <f t="shared" si="8"/>
        <v>9.0187590187590191E-2</v>
      </c>
      <c r="BP167" s="64">
        <f t="shared" si="9"/>
        <v>9.0909090909090912E-2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11.904761904761905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12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0.10824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50</v>
      </c>
      <c r="Y178" s="547">
        <f>IFERROR(SUM(Y165:Y176),"0")</f>
        <v>50.400000000000006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200</v>
      </c>
      <c r="Y201" s="546">
        <f t="shared" ref="Y201:Y208" si="10">IFERROR(IF(X201="",0,CEILING((X201/$H201),1)*$H201),"")</f>
        <v>205.20000000000002</v>
      </c>
      <c r="Z201" s="36">
        <f>IFERROR(IF(Y201=0,"",ROUNDUP(Y201/H201,0)*0.00902),"")</f>
        <v>0.34276000000000001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207.03703703703701</v>
      </c>
      <c r="BN201" s="64">
        <f t="shared" ref="BN201:BN208" si="12">IFERROR(Y201*I201/H201,"0")</f>
        <v>212.42</v>
      </c>
      <c r="BO201" s="64">
        <f t="shared" ref="BO201:BO208" si="13">IFERROR(1/J201*(X201/H201),"0")</f>
        <v>0.28058361391694725</v>
      </c>
      <c r="BP201" s="64">
        <f t="shared" ref="BP201:BP208" si="14">IFERROR(1/J201*(Y201/H201),"0")</f>
        <v>0.2878787878787879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250</v>
      </c>
      <c r="Y203" s="546">
        <f t="shared" si="10"/>
        <v>253.8</v>
      </c>
      <c r="Z203" s="36">
        <f>IFERROR(IF(Y203=0,"",ROUNDUP(Y203/H203,0)*0.00902),"")</f>
        <v>0.42393999999999998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258.7962962962963</v>
      </c>
      <c r="BN203" s="64">
        <f t="shared" si="12"/>
        <v>262.72999999999996</v>
      </c>
      <c r="BO203" s="64">
        <f t="shared" si="13"/>
        <v>0.35072951739618402</v>
      </c>
      <c r="BP203" s="64">
        <f t="shared" si="14"/>
        <v>0.35606060606060608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101.85185185185185</v>
      </c>
      <c r="Y209" s="547">
        <f>IFERROR(Y201/H201,"0")+IFERROR(Y202/H202,"0")+IFERROR(Y203/H203,"0")+IFERROR(Y204/H204,"0")+IFERROR(Y205/H205,"0")+IFERROR(Y206/H206,"0")+IFERROR(Y207/H207,"0")+IFERROR(Y208/H208,"0")</f>
        <v>104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0.93807999999999991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550</v>
      </c>
      <c r="Y210" s="547">
        <f>IFERROR(SUM(Y201:Y208),"0")</f>
        <v>561.6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80</v>
      </c>
      <c r="Y212" s="546">
        <f t="shared" ref="Y212:Y220" si="15">IFERROR(IF(X212="",0,CEILING((X212/$H212),1)*$H212),"")</f>
        <v>81</v>
      </c>
      <c r="Z212" s="36">
        <f>IFERROR(IF(Y212=0,"",ROUNDUP(Y212/H212,0)*0.01898),"")</f>
        <v>0.1898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84.879012345679016</v>
      </c>
      <c r="BN212" s="64">
        <f t="shared" ref="BN212:BN220" si="17">IFERROR(Y212*I212/H212,"0")</f>
        <v>85.94</v>
      </c>
      <c r="BO212" s="64">
        <f t="shared" ref="BO212:BO220" si="18">IFERROR(1/J212*(X212/H212),"0")</f>
        <v>0.15432098765432101</v>
      </c>
      <c r="BP212" s="64">
        <f t="shared" ref="BP212:BP220" si="19">IFERROR(1/J212*(Y212/H212),"0")</f>
        <v>0.15625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30</v>
      </c>
      <c r="Y214" s="546">
        <f t="shared" si="15"/>
        <v>34.799999999999997</v>
      </c>
      <c r="Z214" s="36">
        <f>IFERROR(IF(Y214=0,"",ROUNDUP(Y214/H214,0)*0.01898),"")</f>
        <v>7.5920000000000001E-2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31.703448275862076</v>
      </c>
      <c r="BN214" s="64">
        <f t="shared" si="17"/>
        <v>36.776000000000003</v>
      </c>
      <c r="BO214" s="64">
        <f t="shared" si="18"/>
        <v>5.387931034482759E-2</v>
      </c>
      <c r="BP214" s="64">
        <f t="shared" si="19"/>
        <v>6.25E-2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480</v>
      </c>
      <c r="Y215" s="546">
        <f t="shared" si="15"/>
        <v>480</v>
      </c>
      <c r="Z215" s="36">
        <f t="shared" ref="Z215:Z220" si="20">IFERROR(IF(Y215=0,"",ROUNDUP(Y215/H215,0)*0.00651),"")</f>
        <v>1.302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534</v>
      </c>
      <c r="BN215" s="64">
        <f t="shared" si="17"/>
        <v>534</v>
      </c>
      <c r="BO215" s="64">
        <f t="shared" si="18"/>
        <v>1.098901098901099</v>
      </c>
      <c r="BP215" s="64">
        <f t="shared" si="19"/>
        <v>1.098901098901099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432</v>
      </c>
      <c r="Y217" s="546">
        <f t="shared" si="15"/>
        <v>432</v>
      </c>
      <c r="Z217" s="36">
        <f t="shared" si="20"/>
        <v>1.1718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477.36</v>
      </c>
      <c r="BN217" s="64">
        <f t="shared" si="17"/>
        <v>477.36</v>
      </c>
      <c r="BO217" s="64">
        <f t="shared" si="18"/>
        <v>0.98901098901098905</v>
      </c>
      <c r="BP217" s="64">
        <f t="shared" si="19"/>
        <v>0.98901098901098905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432</v>
      </c>
      <c r="Y218" s="546">
        <f t="shared" si="15"/>
        <v>432</v>
      </c>
      <c r="Z218" s="36">
        <f t="shared" si="20"/>
        <v>1.1718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477.36</v>
      </c>
      <c r="BN218" s="64">
        <f t="shared" si="17"/>
        <v>477.36</v>
      </c>
      <c r="BO218" s="64">
        <f t="shared" si="18"/>
        <v>0.98901098901098905</v>
      </c>
      <c r="BP218" s="64">
        <f t="shared" si="19"/>
        <v>0.98901098901098905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432</v>
      </c>
      <c r="Y219" s="546">
        <f t="shared" si="15"/>
        <v>432</v>
      </c>
      <c r="Z219" s="36">
        <f t="shared" si="20"/>
        <v>1.1718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477.36</v>
      </c>
      <c r="BN219" s="64">
        <f t="shared" si="17"/>
        <v>477.36</v>
      </c>
      <c r="BO219" s="64">
        <f t="shared" si="18"/>
        <v>0.98901098901098905</v>
      </c>
      <c r="BP219" s="64">
        <f t="shared" si="19"/>
        <v>0.98901098901098905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432</v>
      </c>
      <c r="Y220" s="546">
        <f t="shared" si="15"/>
        <v>432</v>
      </c>
      <c r="Z220" s="36">
        <f t="shared" si="20"/>
        <v>1.1718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478.43999999999994</v>
      </c>
      <c r="BN220" s="64">
        <f t="shared" si="17"/>
        <v>478.43999999999994</v>
      </c>
      <c r="BO220" s="64">
        <f t="shared" si="18"/>
        <v>0.98901098901098905</v>
      </c>
      <c r="BP220" s="64">
        <f t="shared" si="19"/>
        <v>0.98901098901098905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933.32481907194551</v>
      </c>
      <c r="Y221" s="547">
        <f>IFERROR(Y212/H212,"0")+IFERROR(Y213/H213,"0")+IFERROR(Y214/H214,"0")+IFERROR(Y215/H215,"0")+IFERROR(Y216/H216,"0")+IFERROR(Y217/H217,"0")+IFERROR(Y218/H218,"0")+IFERROR(Y219/H219,"0")+IFERROR(Y220/H220,"0")</f>
        <v>934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6.2549200000000003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2318</v>
      </c>
      <c r="Y222" s="547">
        <f>IFERROR(SUM(Y212:Y220),"0")</f>
        <v>2323.8000000000002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9.6000000000000014</v>
      </c>
      <c r="Y224" s="546">
        <f>IFERROR(IF(X224="",0,CEILING((X224/$H224),1)*$H224),"")</f>
        <v>9.6</v>
      </c>
      <c r="Z224" s="36">
        <f>IFERROR(IF(Y224=0,"",ROUNDUP(Y224/H224,0)*0.00651),"")</f>
        <v>2.6040000000000001E-2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10.608000000000002</v>
      </c>
      <c r="BN224" s="64">
        <f>IFERROR(Y224*I224/H224,"0")</f>
        <v>10.608000000000001</v>
      </c>
      <c r="BO224" s="64">
        <f>IFERROR(1/J224*(X224/H224),"0")</f>
        <v>2.1978021978021983E-2</v>
      </c>
      <c r="BP224" s="64">
        <f>IFERROR(1/J224*(Y224/H224),"0")</f>
        <v>2.197802197802198E-2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9.6000000000000014</v>
      </c>
      <c r="Y225" s="546">
        <f>IFERROR(IF(X225="",0,CEILING((X225/$H225),1)*$H225),"")</f>
        <v>9.6</v>
      </c>
      <c r="Z225" s="36">
        <f>IFERROR(IF(Y225=0,"",ROUNDUP(Y225/H225,0)*0.00651),"")</f>
        <v>2.6040000000000001E-2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10.608000000000002</v>
      </c>
      <c r="BN225" s="64">
        <f>IFERROR(Y225*I225/H225,"0")</f>
        <v>10.608000000000001</v>
      </c>
      <c r="BO225" s="64">
        <f>IFERROR(1/J225*(X225/H225),"0")</f>
        <v>2.1978021978021983E-2</v>
      </c>
      <c r="BP225" s="64">
        <f>IFERROR(1/J225*(Y225/H225),"0")</f>
        <v>2.197802197802198E-2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8.0000000000000018</v>
      </c>
      <c r="Y226" s="547">
        <f>IFERROR(Y224/H224,"0")+IFERROR(Y225/H225,"0")</f>
        <v>8</v>
      </c>
      <c r="Z226" s="547">
        <f>IFERROR(IF(Z224="",0,Z224),"0")+IFERROR(IF(Z225="",0,Z225),"0")</f>
        <v>5.2080000000000001E-2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19.200000000000003</v>
      </c>
      <c r="Y227" s="547">
        <f>IFERROR(SUM(Y224:Y225),"0")</f>
        <v>19.2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50</v>
      </c>
      <c r="Y318" s="546">
        <f>IFERROR(IF(X318="",0,CEILING((X318/$H318),1)*$H318),"")</f>
        <v>50.400000000000006</v>
      </c>
      <c r="Z318" s="36">
        <f>IFERROR(IF(Y318=0,"",ROUNDUP(Y318/H318,0)*0.01898),"")</f>
        <v>0.11388000000000001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52.94047619047619</v>
      </c>
      <c r="BN318" s="64">
        <f>IFERROR(Y318*I318/H318,"0")</f>
        <v>53.364000000000004</v>
      </c>
      <c r="BO318" s="64">
        <f>IFERROR(1/J318*(X318/H318),"0")</f>
        <v>9.3005952380952384E-2</v>
      </c>
      <c r="BP318" s="64">
        <f>IFERROR(1/J318*(Y318/H318),"0")</f>
        <v>9.375E-2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200</v>
      </c>
      <c r="Y319" s="546">
        <f>IFERROR(IF(X319="",0,CEILING((X319/$H319),1)*$H319),"")</f>
        <v>202.79999999999998</v>
      </c>
      <c r="Z319" s="36">
        <f>IFERROR(IF(Y319=0,"",ROUNDUP(Y319/H319,0)*0.01898),"")</f>
        <v>0.49348000000000003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212.66666666666669</v>
      </c>
      <c r="BN319" s="64">
        <f>IFERROR(Y319*I319/H319,"0")</f>
        <v>215.64399999999998</v>
      </c>
      <c r="BO319" s="64">
        <f>IFERROR(1/J319*(X319/H319),"0")</f>
        <v>0.40064102564102566</v>
      </c>
      <c r="BP319" s="64">
        <f>IFERROR(1/J319*(Y319/H319),"0")</f>
        <v>0.40625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15</v>
      </c>
      <c r="Y320" s="546">
        <f>IFERROR(IF(X320="",0,CEILING((X320/$H320),1)*$H320),"")</f>
        <v>16.8</v>
      </c>
      <c r="Z320" s="36">
        <f>IFERROR(IF(Y320=0,"",ROUNDUP(Y320/H320,0)*0.01898),"")</f>
        <v>3.7960000000000001E-2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15.882142857142856</v>
      </c>
      <c r="BN320" s="64">
        <f>IFERROR(Y320*I320/H320,"0")</f>
        <v>17.788</v>
      </c>
      <c r="BO320" s="64">
        <f>IFERROR(1/J320*(X320/H320),"0")</f>
        <v>2.7901785714285712E-2</v>
      </c>
      <c r="BP320" s="64">
        <f>IFERROR(1/J320*(Y320/H320),"0")</f>
        <v>3.125E-2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33.379120879120883</v>
      </c>
      <c r="Y321" s="547">
        <f>IFERROR(Y318/H318,"0")+IFERROR(Y319/H319,"0")+IFERROR(Y320/H320,"0")</f>
        <v>34</v>
      </c>
      <c r="Z321" s="547">
        <f>IFERROR(IF(Z318="",0,Z318),"0")+IFERROR(IF(Z319="",0,Z319),"0")+IFERROR(IF(Z320="",0,Z320),"0")</f>
        <v>0.64532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265</v>
      </c>
      <c r="Y322" s="547">
        <f>IFERROR(SUM(Y318:Y320),"0")</f>
        <v>270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2000</v>
      </c>
      <c r="Y346" s="546">
        <f t="shared" ref="Y346:Y352" si="31">IFERROR(IF(X346="",0,CEILING((X346/$H346),1)*$H346),"")</f>
        <v>2010</v>
      </c>
      <c r="Z346" s="36">
        <f>IFERROR(IF(Y346=0,"",ROUNDUP(Y346/H346,0)*0.02175),"")</f>
        <v>2.9144999999999999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2062.6666666666665</v>
      </c>
      <c r="BN346" s="64">
        <f t="shared" ref="BN346:BN352" si="33">IFERROR(Y346*I346/H346,"0")</f>
        <v>2072.98</v>
      </c>
      <c r="BO346" s="64">
        <f t="shared" ref="BO346:BO352" si="34">IFERROR(1/J346*(X346/H346),"0")</f>
        <v>2.7777777777777777</v>
      </c>
      <c r="BP346" s="64">
        <f t="shared" ref="BP346:BP352" si="35">IFERROR(1/J346*(Y346/H346),"0")</f>
        <v>2.7916666666666665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2000</v>
      </c>
      <c r="Y348" s="546">
        <f t="shared" si="31"/>
        <v>2010</v>
      </c>
      <c r="Z348" s="36">
        <f>IFERROR(IF(Y348=0,"",ROUNDUP(Y348/H348,0)*0.02175),"")</f>
        <v>2.9144999999999999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2062.6666666666665</v>
      </c>
      <c r="BN348" s="64">
        <f t="shared" si="33"/>
        <v>2072.98</v>
      </c>
      <c r="BO348" s="64">
        <f t="shared" si="34"/>
        <v>2.7777777777777777</v>
      </c>
      <c r="BP348" s="64">
        <f t="shared" si="35"/>
        <v>2.7916666666666665</v>
      </c>
    </row>
    <row r="349" spans="1:68" ht="27" hidden="1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266.66666666666669</v>
      </c>
      <c r="Y353" s="547">
        <f>IFERROR(Y346/H346,"0")+IFERROR(Y347/H347,"0")+IFERROR(Y348/H348,"0")+IFERROR(Y349/H349,"0")+IFERROR(Y350/H350,"0")+IFERROR(Y351/H351,"0")+IFERROR(Y352/H352,"0")</f>
        <v>268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5.8289999999999997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4000</v>
      </c>
      <c r="Y354" s="547">
        <f>IFERROR(SUM(Y346:Y352),"0")</f>
        <v>4020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4000</v>
      </c>
      <c r="Y356" s="546">
        <f>IFERROR(IF(X356="",0,CEILING((X356/$H356),1)*$H356),"")</f>
        <v>4005</v>
      </c>
      <c r="Z356" s="36">
        <f>IFERROR(IF(Y356=0,"",ROUNDUP(Y356/H356,0)*0.02175),"")</f>
        <v>5.8072499999999998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4125.333333333333</v>
      </c>
      <c r="BN356" s="64">
        <f>IFERROR(Y356*I356/H356,"0")</f>
        <v>4130.4900000000007</v>
      </c>
      <c r="BO356" s="64">
        <f>IFERROR(1/J356*(X356/H356),"0")</f>
        <v>5.5555555555555554</v>
      </c>
      <c r="BP356" s="64">
        <f>IFERROR(1/J356*(Y356/H356),"0")</f>
        <v>5.5625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266.66666666666669</v>
      </c>
      <c r="Y358" s="547">
        <f>IFERROR(Y356/H356,"0")+IFERROR(Y357/H357,"0")</f>
        <v>267</v>
      </c>
      <c r="Z358" s="547">
        <f>IFERROR(IF(Z356="",0,Z356),"0")+IFERROR(IF(Z357="",0,Z357),"0")</f>
        <v>5.8072499999999998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4000</v>
      </c>
      <c r="Y359" s="547">
        <f>IFERROR(SUM(Y356:Y357),"0")</f>
        <v>4005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200</v>
      </c>
      <c r="Y362" s="546">
        <f>IFERROR(IF(X362="",0,CEILING((X362/$H362),1)*$H362),"")</f>
        <v>207</v>
      </c>
      <c r="Z362" s="36">
        <f>IFERROR(IF(Y362=0,"",ROUNDUP(Y362/H362,0)*0.01898),"")</f>
        <v>0.43653999999999998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210.97777777777776</v>
      </c>
      <c r="BN362" s="64">
        <f>IFERROR(Y362*I362/H362,"0")</f>
        <v>218.36199999999999</v>
      </c>
      <c r="BO362" s="64">
        <f>IFERROR(1/J362*(X362/H362),"0")</f>
        <v>0.34722222222222221</v>
      </c>
      <c r="BP362" s="64">
        <f>IFERROR(1/J362*(Y362/H362),"0")</f>
        <v>0.359375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22.222222222222221</v>
      </c>
      <c r="Y363" s="547">
        <f>IFERROR(Y361/H361,"0")+IFERROR(Y362/H362,"0")</f>
        <v>23</v>
      </c>
      <c r="Z363" s="547">
        <f>IFERROR(IF(Z361="",0,Z361),"0")+IFERROR(IF(Z362="",0,Z362),"0")</f>
        <v>0.43653999999999998</v>
      </c>
      <c r="AA363" s="548"/>
      <c r="AB363" s="548"/>
      <c r="AC363" s="548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200</v>
      </c>
      <c r="Y364" s="547">
        <f>IFERROR(SUM(Y361:Y362),"0")</f>
        <v>207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300</v>
      </c>
      <c r="Y366" s="546">
        <f>IFERROR(IF(X366="",0,CEILING((X366/$H366),1)*$H366),"")</f>
        <v>306</v>
      </c>
      <c r="Z366" s="36">
        <f>IFERROR(IF(Y366=0,"",ROUNDUP(Y366/H366,0)*0.01898),"")</f>
        <v>0.64532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316.46666666666664</v>
      </c>
      <c r="BN366" s="64">
        <f>IFERROR(Y366*I366/H366,"0")</f>
        <v>322.79599999999999</v>
      </c>
      <c r="BO366" s="64">
        <f>IFERROR(1/J366*(X366/H366),"0")</f>
        <v>0.52083333333333337</v>
      </c>
      <c r="BP366" s="64">
        <f>IFERROR(1/J366*(Y366/H366),"0")</f>
        <v>0.53125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33.333333333333336</v>
      </c>
      <c r="Y367" s="547">
        <f>IFERROR(Y366/H366,"0")</f>
        <v>34</v>
      </c>
      <c r="Z367" s="547">
        <f>IFERROR(IF(Z366="",0,Z366),"0")</f>
        <v>0.64532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300</v>
      </c>
      <c r="Y368" s="547">
        <f>IFERROR(SUM(Y366:Y366),"0")</f>
        <v>306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50</v>
      </c>
      <c r="Y381" s="546">
        <f>IFERROR(IF(X381="",0,CEILING((X381/$H381),1)*$H381),"")</f>
        <v>54</v>
      </c>
      <c r="Z381" s="36">
        <f>IFERROR(IF(Y381=0,"",ROUNDUP(Y381/H381,0)*0.01898),"")</f>
        <v>0.11388000000000001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52.74444444444444</v>
      </c>
      <c r="BN381" s="64">
        <f>IFERROR(Y381*I381/H381,"0")</f>
        <v>56.963999999999992</v>
      </c>
      <c r="BO381" s="64">
        <f>IFERROR(1/J381*(X381/H381),"0")</f>
        <v>8.6805555555555552E-2</v>
      </c>
      <c r="BP381" s="64">
        <f>IFERROR(1/J381*(Y381/H381),"0")</f>
        <v>9.375E-2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5.5555555555555554</v>
      </c>
      <c r="Y384" s="547">
        <f>IFERROR(Y381/H381,"0")+IFERROR(Y382/H382,"0")+IFERROR(Y383/H383,"0")</f>
        <v>6</v>
      </c>
      <c r="Z384" s="547">
        <f>IFERROR(IF(Z381="",0,Z381),"0")+IFERROR(IF(Z382="",0,Z382),"0")+IFERROR(IF(Z383="",0,Z383),"0")</f>
        <v>0.11388000000000001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50</v>
      </c>
      <c r="Y385" s="547">
        <f>IFERROR(SUM(Y381:Y383),"0")</f>
        <v>54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70</v>
      </c>
      <c r="Y389" s="546">
        <f t="shared" ref="Y389:Y397" si="36">IFERROR(IF(X389="",0,CEILING((X389/$H389),1)*$H389),"")</f>
        <v>70.2</v>
      </c>
      <c r="Z389" s="36">
        <f>IFERROR(IF(Y389=0,"",ROUNDUP(Y389/H389,0)*0.00902),"")</f>
        <v>0.11726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72.462962962962962</v>
      </c>
      <c r="BN389" s="64">
        <f t="shared" ref="BN389:BN397" si="38">IFERROR(Y389*I389/H389,"0")</f>
        <v>72.67</v>
      </c>
      <c r="BO389" s="64">
        <f t="shared" ref="BO389:BO397" si="39">IFERROR(1/J389*(X389/H389),"0")</f>
        <v>9.8204264870931535E-2</v>
      </c>
      <c r="BP389" s="64">
        <f t="shared" ref="BP389:BP397" si="40">IFERROR(1/J389*(Y389/H389),"0")</f>
        <v>9.8484848484848481E-2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100</v>
      </c>
      <c r="Y391" s="546">
        <f t="shared" si="36"/>
        <v>102.60000000000001</v>
      </c>
      <c r="Z391" s="36">
        <f>IFERROR(IF(Y391=0,"",ROUNDUP(Y391/H391,0)*0.00902),"")</f>
        <v>0.17138</v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103.5185185185185</v>
      </c>
      <c r="BN391" s="64">
        <f t="shared" si="38"/>
        <v>106.21</v>
      </c>
      <c r="BO391" s="64">
        <f t="shared" si="39"/>
        <v>0.14029180695847362</v>
      </c>
      <c r="BP391" s="64">
        <f t="shared" si="40"/>
        <v>0.14393939393939395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31.481481481481481</v>
      </c>
      <c r="Y398" s="547">
        <f>IFERROR(Y389/H389,"0")+IFERROR(Y390/H390,"0")+IFERROR(Y391/H391,"0")+IFERROR(Y392/H392,"0")+IFERROR(Y393/H393,"0")+IFERROR(Y394/H394,"0")+IFERROR(Y395/H395,"0")+IFERROR(Y396/H396,"0")+IFERROR(Y397/H397,"0")</f>
        <v>32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0.28864000000000001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170</v>
      </c>
      <c r="Y399" s="547">
        <f>IFERROR(SUM(Y389:Y397),"0")</f>
        <v>172.8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200</v>
      </c>
      <c r="Y411" s="546">
        <f>IFERROR(IF(X411="",0,CEILING((X411/$H411),1)*$H411),"")</f>
        <v>205.20000000000002</v>
      </c>
      <c r="Z411" s="36">
        <f>IFERROR(IF(Y411=0,"",ROUNDUP(Y411/H411,0)*0.00902),"")</f>
        <v>0.34276000000000001</v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207.03703703703701</v>
      </c>
      <c r="BN411" s="64">
        <f>IFERROR(Y411*I411/H411,"0")</f>
        <v>212.42</v>
      </c>
      <c r="BO411" s="64">
        <f>IFERROR(1/J411*(X411/H411),"0")</f>
        <v>0.28058361391694725</v>
      </c>
      <c r="BP411" s="64">
        <f>IFERROR(1/J411*(Y411/H411),"0")</f>
        <v>0.2878787878787879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37.037037037037038</v>
      </c>
      <c r="Y415" s="547">
        <f>IFERROR(Y411/H411,"0")+IFERROR(Y412/H412,"0")+IFERROR(Y413/H413,"0")+IFERROR(Y414/H414,"0")</f>
        <v>38</v>
      </c>
      <c r="Z415" s="547">
        <f>IFERROR(IF(Z411="",0,Z411),"0")+IFERROR(IF(Z412="",0,Z412),"0")+IFERROR(IF(Z413="",0,Z413),"0")+IFERROR(IF(Z414="",0,Z414),"0")</f>
        <v>0.34276000000000001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200</v>
      </c>
      <c r="Y416" s="547">
        <f>IFERROR(SUM(Y411:Y414),"0")</f>
        <v>205.20000000000002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100</v>
      </c>
      <c r="Y429" s="546">
        <f t="shared" si="42"/>
        <v>100.32000000000001</v>
      </c>
      <c r="Z429" s="36">
        <f t="shared" si="43"/>
        <v>0.22724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500</v>
      </c>
      <c r="Y431" s="546">
        <f t="shared" si="42"/>
        <v>501.6</v>
      </c>
      <c r="Z431" s="36">
        <f t="shared" si="43"/>
        <v>1.1362000000000001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533.14393939393938</v>
      </c>
      <c r="BN431" s="64">
        <f t="shared" si="45"/>
        <v>534.85</v>
      </c>
      <c r="BO431" s="64">
        <f t="shared" si="46"/>
        <v>0.91054778554778548</v>
      </c>
      <c r="BP431" s="64">
        <f t="shared" si="47"/>
        <v>0.91346153846153855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113.63636363636363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114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1.3634400000000002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600</v>
      </c>
      <c r="Y438" s="547">
        <f>IFERROR(SUM(Y425:Y436),"0")</f>
        <v>601.92000000000007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250</v>
      </c>
      <c r="Y440" s="546">
        <f>IFERROR(IF(X440="",0,CEILING((X440/$H440),1)*$H440),"")</f>
        <v>253.44</v>
      </c>
      <c r="Z440" s="36">
        <f>IFERROR(IF(Y440=0,"",ROUNDUP(Y440/H440,0)*0.01196),"")</f>
        <v>0.57408000000000003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266.57196969696969</v>
      </c>
      <c r="BN440" s="64">
        <f>IFERROR(Y440*I440/H440,"0")</f>
        <v>270.23999999999995</v>
      </c>
      <c r="BO440" s="64">
        <f>IFERROR(1/J440*(X440/H440),"0")</f>
        <v>0.45527389277389274</v>
      </c>
      <c r="BP440" s="64">
        <f>IFERROR(1/J440*(Y440/H440),"0")</f>
        <v>0.46153846153846156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47.348484848484844</v>
      </c>
      <c r="Y443" s="547">
        <f>IFERROR(Y440/H440,"0")+IFERROR(Y441/H441,"0")+IFERROR(Y442/H442,"0")</f>
        <v>48</v>
      </c>
      <c r="Z443" s="547">
        <f>IFERROR(IF(Z440="",0,Z440),"0")+IFERROR(IF(Z441="",0,Z441),"0")+IFERROR(IF(Z442="",0,Z442),"0")</f>
        <v>0.57408000000000003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250</v>
      </c>
      <c r="Y444" s="547">
        <f>IFERROR(SUM(Y440:Y442),"0")</f>
        <v>253.44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hidden="1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idden="1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0</v>
      </c>
      <c r="Y452" s="547">
        <f>IFERROR(Y446/H446,"0")+IFERROR(Y447/H447,"0")+IFERROR(Y448/H448,"0")+IFERROR(Y449/H449,"0")+IFERROR(Y450/H450,"0")+IFERROR(Y451/H451,"0")</f>
        <v>0</v>
      </c>
      <c r="Z452" s="547">
        <f>IFERROR(IF(Z446="",0,Z446),"0")+IFERROR(IF(Z447="",0,Z447),"0")+IFERROR(IF(Z448="",0,Z448),"0")+IFERROR(IF(Z449="",0,Z449),"0")+IFERROR(IF(Z450="",0,Z450),"0")+IFERROR(IF(Z451="",0,Z451),"0")</f>
        <v>0</v>
      </c>
      <c r="AA452" s="548"/>
      <c r="AB452" s="548"/>
      <c r="AC452" s="548"/>
    </row>
    <row r="453" spans="1:68" hidden="1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0</v>
      </c>
      <c r="Y453" s="547">
        <f>IFERROR(SUM(Y446:Y451),"0")</f>
        <v>0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140</v>
      </c>
      <c r="Y473" s="546">
        <f>IFERROR(IF(X473="",0,CEILING((X473/$H473),1)*$H473),"")</f>
        <v>142.80000000000001</v>
      </c>
      <c r="Z473" s="36">
        <f>IFERROR(IF(Y473=0,"",ROUNDUP(Y473/H473,0)*0.00902),"")</f>
        <v>0.30668000000000001</v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148.33333333333331</v>
      </c>
      <c r="BN473" s="64">
        <f>IFERROR(Y473*I473/H473,"0")</f>
        <v>151.30000000000001</v>
      </c>
      <c r="BO473" s="64">
        <f>IFERROR(1/J473*(X473/H473),"0")</f>
        <v>0.25252525252525249</v>
      </c>
      <c r="BP473" s="64">
        <f>IFERROR(1/J473*(Y473/H473),"0")</f>
        <v>0.25757575757575757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33.333333333333329</v>
      </c>
      <c r="Y475" s="547">
        <f>IFERROR(Y473/H473,"0")+IFERROR(Y474/H474,"0")</f>
        <v>34</v>
      </c>
      <c r="Z475" s="547">
        <f>IFERROR(IF(Z473="",0,Z473),"0")+IFERROR(IF(Z474="",0,Z474),"0")</f>
        <v>0.30668000000000001</v>
      </c>
      <c r="AA475" s="548"/>
      <c r="AB475" s="548"/>
      <c r="AC475" s="548"/>
    </row>
    <row r="476" spans="1:68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140</v>
      </c>
      <c r="Y476" s="547">
        <f>IFERROR(SUM(Y473:Y474),"0")</f>
        <v>142.80000000000001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1800</v>
      </c>
      <c r="Y478" s="546">
        <f>IFERROR(IF(X478="",0,CEILING((X478/$H478),1)*$H478),"")</f>
        <v>1800</v>
      </c>
      <c r="Z478" s="36">
        <f>IFERROR(IF(Y478=0,"",ROUNDUP(Y478/H478,0)*0.01898),"")</f>
        <v>3.7960000000000003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1898.8000000000002</v>
      </c>
      <c r="BN478" s="64">
        <f>IFERROR(Y478*I478/H478,"0")</f>
        <v>1898.8000000000002</v>
      </c>
      <c r="BO478" s="64">
        <f>IFERROR(1/J478*(X478/H478),"0")</f>
        <v>3.125</v>
      </c>
      <c r="BP478" s="64">
        <f>IFERROR(1/J478*(Y478/H478),"0")</f>
        <v>3.125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200</v>
      </c>
      <c r="Y479" s="547">
        <f>IFERROR(Y478/H478,"0")</f>
        <v>200</v>
      </c>
      <c r="Z479" s="547">
        <f>IFERROR(IF(Z478="",0,Z478),"0")</f>
        <v>3.7960000000000003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1800</v>
      </c>
      <c r="Y480" s="547">
        <f>IFERROR(SUM(Y478:Y478),"0")</f>
        <v>1800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15937.2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16048.86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16738.356411559493</v>
      </c>
      <c r="Y492" s="547">
        <f>IFERROR(SUM(BN22:BN488),"0")</f>
        <v>16854.944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27</v>
      </c>
      <c r="Y493" s="38">
        <f>ROUNDUP(SUM(BP22:BP488),0)</f>
        <v>27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17413.356411559493</v>
      </c>
      <c r="Y494" s="547">
        <f>GrossWeightTotalR+PalletQtyTotalR*25</f>
        <v>17529.944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2296.6676244147511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2310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29.801650000000002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75.600000000000009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351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629.09999999999991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50.400000000000006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2904.6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270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8538</v>
      </c>
      <c r="T501" s="46">
        <f>IFERROR(Y371*1,"0")+IFERROR(Y372*1,"0")+IFERROR(Y376*1,"0")+IFERROR(Y377*1,"0")+IFERROR(Y381*1,"0")+IFERROR(Y382*1,"0")+IFERROR(Y383*1,"0")</f>
        <v>54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172.8</v>
      </c>
      <c r="V501" s="46">
        <f>IFERROR(Y407*1,"0")+IFERROR(Y411*1,"0")+IFERROR(Y412*1,"0")+IFERROR(Y413*1,"0")+IFERROR(Y414*1,"0")</f>
        <v>205.20000000000002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855.36000000000013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1942.8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00,00"/>
        <filter val="100,00"/>
        <filter val="101,85"/>
        <filter val="11,11"/>
        <filter val="11,90"/>
        <filter val="113,64"/>
        <filter val="120,00"/>
        <filter val="140,00"/>
        <filter val="15 937,20"/>
        <filter val="15,00"/>
        <filter val="150,00"/>
        <filter val="16 738,36"/>
        <filter val="17 413,36"/>
        <filter val="170,00"/>
        <filter val="19,20"/>
        <filter val="2 000,00"/>
        <filter val="2 296,67"/>
        <filter val="2 318,00"/>
        <filter val="200,00"/>
        <filter val="217,50"/>
        <filter val="22,22"/>
        <filter val="250,00"/>
        <filter val="265,00"/>
        <filter val="266,67"/>
        <filter val="27"/>
        <filter val="30,00"/>
        <filter val="300,00"/>
        <filter val="31,48"/>
        <filter val="33,33"/>
        <filter val="33,38"/>
        <filter val="37,04"/>
        <filter val="4 000,00"/>
        <filter val="43,52"/>
        <filter val="432,00"/>
        <filter val="450,00"/>
        <filter val="47,35"/>
        <filter val="480,00"/>
        <filter val="5,56"/>
        <filter val="50,00"/>
        <filter val="500,00"/>
        <filter val="517,50"/>
        <filter val="550,00"/>
        <filter val="6,48"/>
        <filter val="600,00"/>
        <filter val="67,50"/>
        <filter val="70,00"/>
        <filter val="8,00"/>
        <filter val="80,00"/>
        <filter val="80,56"/>
        <filter val="9,26"/>
        <filter val="9,60"/>
        <filter val="933,32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2025-12-17T11:27:31Z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