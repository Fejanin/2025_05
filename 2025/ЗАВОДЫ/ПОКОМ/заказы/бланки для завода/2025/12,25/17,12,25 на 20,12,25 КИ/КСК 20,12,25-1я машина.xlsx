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98F0A1-0B18-4609-9280-E5A64D439E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Y373" i="1" s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Y279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Y222" i="1" s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N81" i="1"/>
  <c r="BM81" i="1"/>
  <c r="Z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Y70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5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9" i="1" l="1"/>
  <c r="BN89" i="1"/>
  <c r="Z89" i="1"/>
  <c r="BP110" i="1"/>
  <c r="BN110" i="1"/>
  <c r="Z110" i="1"/>
  <c r="BP150" i="1"/>
  <c r="BN150" i="1"/>
  <c r="Z150" i="1"/>
  <c r="BP182" i="1"/>
  <c r="BN182" i="1"/>
  <c r="Z182" i="1"/>
  <c r="BP215" i="1"/>
  <c r="BN215" i="1"/>
  <c r="Z215" i="1"/>
  <c r="BP238" i="1"/>
  <c r="BN238" i="1"/>
  <c r="Z238" i="1"/>
  <c r="BP278" i="1"/>
  <c r="BN278" i="1"/>
  <c r="Z278" i="1"/>
  <c r="BP283" i="1"/>
  <c r="BN283" i="1"/>
  <c r="Z283" i="1"/>
  <c r="BP312" i="1"/>
  <c r="BN312" i="1"/>
  <c r="Z312" i="1"/>
  <c r="BP349" i="1"/>
  <c r="BN349" i="1"/>
  <c r="Z349" i="1"/>
  <c r="BP394" i="1"/>
  <c r="BN394" i="1"/>
  <c r="Z394" i="1"/>
  <c r="BP428" i="1"/>
  <c r="BN428" i="1"/>
  <c r="Z428" i="1"/>
  <c r="BP448" i="1"/>
  <c r="BN448" i="1"/>
  <c r="Z448" i="1"/>
  <c r="Z42" i="1"/>
  <c r="BN42" i="1"/>
  <c r="Z61" i="1"/>
  <c r="BN61" i="1"/>
  <c r="Y64" i="1"/>
  <c r="Z73" i="1"/>
  <c r="BN73" i="1"/>
  <c r="Y78" i="1"/>
  <c r="F501" i="1"/>
  <c r="BP109" i="1"/>
  <c r="BN109" i="1"/>
  <c r="Z109" i="1"/>
  <c r="BP129" i="1"/>
  <c r="BN129" i="1"/>
  <c r="Z129" i="1"/>
  <c r="BP165" i="1"/>
  <c r="BN165" i="1"/>
  <c r="Z165" i="1"/>
  <c r="BP203" i="1"/>
  <c r="BN203" i="1"/>
  <c r="Z203" i="1"/>
  <c r="BP230" i="1"/>
  <c r="BN230" i="1"/>
  <c r="Z230" i="1"/>
  <c r="BP260" i="1"/>
  <c r="BN260" i="1"/>
  <c r="Z260" i="1"/>
  <c r="BP262" i="1"/>
  <c r="BN262" i="1"/>
  <c r="Z262" i="1"/>
  <c r="BP298" i="1"/>
  <c r="BN298" i="1"/>
  <c r="Z298" i="1"/>
  <c r="BP326" i="1"/>
  <c r="BN326" i="1"/>
  <c r="Z326" i="1"/>
  <c r="BP372" i="1"/>
  <c r="BN372" i="1"/>
  <c r="Z372" i="1"/>
  <c r="BP376" i="1"/>
  <c r="BN376" i="1"/>
  <c r="Z376" i="1"/>
  <c r="BP425" i="1"/>
  <c r="BN425" i="1"/>
  <c r="Z425" i="1"/>
  <c r="BP436" i="1"/>
  <c r="BN436" i="1"/>
  <c r="Z436" i="1"/>
  <c r="BP468" i="1"/>
  <c r="BN468" i="1"/>
  <c r="Z468" i="1"/>
  <c r="Y97" i="1"/>
  <c r="Y113" i="1"/>
  <c r="J9" i="1"/>
  <c r="BP105" i="1"/>
  <c r="BN105" i="1"/>
  <c r="Z105" i="1"/>
  <c r="BP118" i="1"/>
  <c r="BN118" i="1"/>
  <c r="Z118" i="1"/>
  <c r="BP144" i="1"/>
  <c r="BN144" i="1"/>
  <c r="Z144" i="1"/>
  <c r="BP171" i="1"/>
  <c r="BN171" i="1"/>
  <c r="Z171" i="1"/>
  <c r="Y184" i="1"/>
  <c r="BP180" i="1"/>
  <c r="BN180" i="1"/>
  <c r="Z180" i="1"/>
  <c r="Y209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F9" i="1"/>
  <c r="F10" i="1"/>
  <c r="Z22" i="1"/>
  <c r="BN22" i="1"/>
  <c r="X491" i="1"/>
  <c r="Z30" i="1"/>
  <c r="BN30" i="1"/>
  <c r="Z53" i="1"/>
  <c r="BN53" i="1"/>
  <c r="Z57" i="1"/>
  <c r="BN57" i="1"/>
  <c r="Y65" i="1"/>
  <c r="Z63" i="1"/>
  <c r="BN63" i="1"/>
  <c r="Y71" i="1"/>
  <c r="Z69" i="1"/>
  <c r="BN69" i="1"/>
  <c r="Y77" i="1"/>
  <c r="Z75" i="1"/>
  <c r="BN75" i="1"/>
  <c r="Z86" i="1"/>
  <c r="BN86" i="1"/>
  <c r="Z87" i="1"/>
  <c r="BN87" i="1"/>
  <c r="Y90" i="1"/>
  <c r="Z93" i="1"/>
  <c r="BN93" i="1"/>
  <c r="BP93" i="1"/>
  <c r="Y98" i="1"/>
  <c r="BP112" i="1"/>
  <c r="BN112" i="1"/>
  <c r="Z112" i="1"/>
  <c r="Y135" i="1"/>
  <c r="BP133" i="1"/>
  <c r="BN133" i="1"/>
  <c r="Z133" i="1"/>
  <c r="I501" i="1"/>
  <c r="BP167" i="1"/>
  <c r="BN167" i="1"/>
  <c r="Z167" i="1"/>
  <c r="BP174" i="1"/>
  <c r="BN174" i="1"/>
  <c r="Z174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BP269" i="1"/>
  <c r="BN269" i="1"/>
  <c r="Z269" i="1"/>
  <c r="BP289" i="1"/>
  <c r="BN289" i="1"/>
  <c r="Z289" i="1"/>
  <c r="Y308" i="1"/>
  <c r="BP302" i="1"/>
  <c r="BN302" i="1"/>
  <c r="Z302" i="1"/>
  <c r="BP314" i="1"/>
  <c r="BN314" i="1"/>
  <c r="Z314" i="1"/>
  <c r="BP332" i="1"/>
  <c r="BN332" i="1"/>
  <c r="Z332" i="1"/>
  <c r="BP351" i="1"/>
  <c r="BN351" i="1"/>
  <c r="Z351" i="1"/>
  <c r="BP382" i="1"/>
  <c r="BN382" i="1"/>
  <c r="Z382" i="1"/>
  <c r="BP396" i="1"/>
  <c r="BN396" i="1"/>
  <c r="Z396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114" i="1"/>
  <c r="Y120" i="1"/>
  <c r="G501" i="1"/>
  <c r="Y136" i="1"/>
  <c r="Y147" i="1"/>
  <c r="Y153" i="1"/>
  <c r="Y177" i="1"/>
  <c r="Y183" i="1"/>
  <c r="Y194" i="1"/>
  <c r="Y255" i="1"/>
  <c r="L501" i="1"/>
  <c r="Y280" i="1"/>
  <c r="BP276" i="1"/>
  <c r="BN276" i="1"/>
  <c r="Z276" i="1"/>
  <c r="BP296" i="1"/>
  <c r="BN296" i="1"/>
  <c r="Z296" i="1"/>
  <c r="BP306" i="1"/>
  <c r="BN306" i="1"/>
  <c r="Z306" i="1"/>
  <c r="BP320" i="1"/>
  <c r="BN320" i="1"/>
  <c r="Z320" i="1"/>
  <c r="BP324" i="1"/>
  <c r="BN324" i="1"/>
  <c r="Z324" i="1"/>
  <c r="S501" i="1"/>
  <c r="BP347" i="1"/>
  <c r="BN347" i="1"/>
  <c r="Z347" i="1"/>
  <c r="Y363" i="1"/>
  <c r="BP361" i="1"/>
  <c r="BN361" i="1"/>
  <c r="Z361" i="1"/>
  <c r="BP392" i="1"/>
  <c r="BN392" i="1"/>
  <c r="Z392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Q501" i="1"/>
  <c r="Y322" i="1"/>
  <c r="Y321" i="1"/>
  <c r="Y470" i="1"/>
  <c r="Y32" i="1"/>
  <c r="BP27" i="1"/>
  <c r="BP31" i="1"/>
  <c r="BN31" i="1"/>
  <c r="Z31" i="1"/>
  <c r="Y33" i="1"/>
  <c r="C501" i="1"/>
  <c r="Y44" i="1"/>
  <c r="BP41" i="1"/>
  <c r="BN41" i="1"/>
  <c r="Z41" i="1"/>
  <c r="BP54" i="1"/>
  <c r="BN54" i="1"/>
  <c r="Z54" i="1"/>
  <c r="Y25" i="1"/>
  <c r="Y36" i="1"/>
  <c r="BP35" i="1"/>
  <c r="BN35" i="1"/>
  <c r="Z35" i="1"/>
  <c r="Z36" i="1" s="1"/>
  <c r="Y37" i="1"/>
  <c r="H9" i="1"/>
  <c r="B501" i="1"/>
  <c r="X492" i="1"/>
  <c r="X494" i="1" s="1"/>
  <c r="X493" i="1"/>
  <c r="Z23" i="1"/>
  <c r="Z24" i="1" s="1"/>
  <c r="BN23" i="1"/>
  <c r="Y24" i="1"/>
  <c r="Z27" i="1"/>
  <c r="BN27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1" i="1"/>
  <c r="Y58" i="1"/>
  <c r="Y59" i="1"/>
  <c r="BP52" i="1"/>
  <c r="BN52" i="1"/>
  <c r="Z52" i="1"/>
  <c r="BP56" i="1"/>
  <c r="BN56" i="1"/>
  <c r="Z56" i="1"/>
  <c r="Z62" i="1"/>
  <c r="Z64" i="1" s="1"/>
  <c r="BN62" i="1"/>
  <c r="BP62" i="1"/>
  <c r="Z68" i="1"/>
  <c r="Z70" i="1" s="1"/>
  <c r="BN68" i="1"/>
  <c r="BP68" i="1"/>
  <c r="Z74" i="1"/>
  <c r="Z77" i="1" s="1"/>
  <c r="BN74" i="1"/>
  <c r="BP74" i="1"/>
  <c r="Z76" i="1"/>
  <c r="BN76" i="1"/>
  <c r="Z80" i="1"/>
  <c r="Z82" i="1" s="1"/>
  <c r="BN80" i="1"/>
  <c r="BP80" i="1"/>
  <c r="Y83" i="1"/>
  <c r="E501" i="1"/>
  <c r="Z88" i="1"/>
  <c r="Z90" i="1" s="1"/>
  <c r="BN88" i="1"/>
  <c r="BP88" i="1"/>
  <c r="Y91" i="1"/>
  <c r="Z94" i="1"/>
  <c r="Z97" i="1" s="1"/>
  <c r="BN94" i="1"/>
  <c r="BP94" i="1"/>
  <c r="Z96" i="1"/>
  <c r="BN96" i="1"/>
  <c r="Z101" i="1"/>
  <c r="BN101" i="1"/>
  <c r="BP101" i="1"/>
  <c r="Z102" i="1"/>
  <c r="BN102" i="1"/>
  <c r="Z104" i="1"/>
  <c r="BN104" i="1"/>
  <c r="Y107" i="1"/>
  <c r="Z111" i="1"/>
  <c r="BN111" i="1"/>
  <c r="BP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Y178" i="1"/>
  <c r="Z181" i="1"/>
  <c r="Z183" i="1" s="1"/>
  <c r="BN181" i="1"/>
  <c r="BP181" i="1"/>
  <c r="J501" i="1"/>
  <c r="Z192" i="1"/>
  <c r="Z193" i="1" s="1"/>
  <c r="BN192" i="1"/>
  <c r="BP192" i="1"/>
  <c r="Y193" i="1"/>
  <c r="Z196" i="1"/>
  <c r="Z198" i="1" s="1"/>
  <c r="BN196" i="1"/>
  <c r="Y210" i="1"/>
  <c r="BP202" i="1"/>
  <c r="BN202" i="1"/>
  <c r="Z202" i="1"/>
  <c r="BP206" i="1"/>
  <c r="BN206" i="1"/>
  <c r="Z206" i="1"/>
  <c r="Y106" i="1"/>
  <c r="Y130" i="1"/>
  <c r="Y163" i="1"/>
  <c r="Y199" i="1"/>
  <c r="BP196" i="1"/>
  <c r="BP204" i="1"/>
  <c r="BN204" i="1"/>
  <c r="Z204" i="1"/>
  <c r="BP208" i="1"/>
  <c r="BN208" i="1"/>
  <c r="Z208" i="1"/>
  <c r="Z212" i="1"/>
  <c r="BN212" i="1"/>
  <c r="BP212" i="1"/>
  <c r="Z214" i="1"/>
  <c r="BN214" i="1"/>
  <c r="Z216" i="1"/>
  <c r="BN216" i="1"/>
  <c r="Z218" i="1"/>
  <c r="BN218" i="1"/>
  <c r="Z220" i="1"/>
  <c r="BN220" i="1"/>
  <c r="Y221" i="1"/>
  <c r="Z224" i="1"/>
  <c r="Z226" i="1" s="1"/>
  <c r="BN224" i="1"/>
  <c r="BP224" i="1"/>
  <c r="Y227" i="1"/>
  <c r="K501" i="1"/>
  <c r="Z231" i="1"/>
  <c r="BN231" i="1"/>
  <c r="Z233" i="1"/>
  <c r="BN233" i="1"/>
  <c r="Z235" i="1"/>
  <c r="BN235" i="1"/>
  <c r="Z237" i="1"/>
  <c r="BN237" i="1"/>
  <c r="Y240" i="1"/>
  <c r="Z251" i="1"/>
  <c r="Z255" i="1" s="1"/>
  <c r="BN251" i="1"/>
  <c r="BP251" i="1"/>
  <c r="Z253" i="1"/>
  <c r="BN253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5" i="1"/>
  <c r="BN325" i="1"/>
  <c r="Z325" i="1"/>
  <c r="BP333" i="1"/>
  <c r="BN333" i="1"/>
  <c r="Z333" i="1"/>
  <c r="Y335" i="1"/>
  <c r="R501" i="1"/>
  <c r="Y341" i="1"/>
  <c r="BP338" i="1"/>
  <c r="BN338" i="1"/>
  <c r="Z338" i="1"/>
  <c r="BP348" i="1"/>
  <c r="BN348" i="1"/>
  <c r="Z348" i="1"/>
  <c r="BP352" i="1"/>
  <c r="BN352" i="1"/>
  <c r="Z352" i="1"/>
  <c r="Y354" i="1"/>
  <c r="Y359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BP449" i="1"/>
  <c r="BN449" i="1"/>
  <c r="Z449" i="1"/>
  <c r="BP463" i="1"/>
  <c r="BN463" i="1"/>
  <c r="Z463" i="1"/>
  <c r="Y239" i="1"/>
  <c r="Z259" i="1"/>
  <c r="Z264" i="1" s="1"/>
  <c r="BN259" i="1"/>
  <c r="BP259" i="1"/>
  <c r="Z261" i="1"/>
  <c r="BN261" i="1"/>
  <c r="Z263" i="1"/>
  <c r="BN263" i="1"/>
  <c r="Y264" i="1"/>
  <c r="Z268" i="1"/>
  <c r="Z272" i="1" s="1"/>
  <c r="BN268" i="1"/>
  <c r="BP268" i="1"/>
  <c r="Z270" i="1"/>
  <c r="BN270" i="1"/>
  <c r="Y272" i="1"/>
  <c r="Z279" i="1"/>
  <c r="BP277" i="1"/>
  <c r="BN277" i="1"/>
  <c r="Z277" i="1"/>
  <c r="Y290" i="1"/>
  <c r="BP295" i="1"/>
  <c r="BN295" i="1"/>
  <c r="Z295" i="1"/>
  <c r="Y299" i="1"/>
  <c r="BP303" i="1"/>
  <c r="BN303" i="1"/>
  <c r="Z303" i="1"/>
  <c r="BP307" i="1"/>
  <c r="BN307" i="1"/>
  <c r="Z307" i="1"/>
  <c r="Y309" i="1"/>
  <c r="Y316" i="1"/>
  <c r="BP311" i="1"/>
  <c r="BN311" i="1"/>
  <c r="Z311" i="1"/>
  <c r="Y315" i="1"/>
  <c r="BP319" i="1"/>
  <c r="BN319" i="1"/>
  <c r="Z319" i="1"/>
  <c r="Y328" i="1"/>
  <c r="BP327" i="1"/>
  <c r="BN327" i="1"/>
  <c r="Z327" i="1"/>
  <c r="Y329" i="1"/>
  <c r="Y334" i="1"/>
  <c r="BP331" i="1"/>
  <c r="BN331" i="1"/>
  <c r="Z331" i="1"/>
  <c r="BP340" i="1"/>
  <c r="BN340" i="1"/>
  <c r="Z340" i="1"/>
  <c r="Y342" i="1"/>
  <c r="Y353" i="1"/>
  <c r="BP346" i="1"/>
  <c r="BN346" i="1"/>
  <c r="Z346" i="1"/>
  <c r="BP350" i="1"/>
  <c r="BN350" i="1"/>
  <c r="Z350" i="1"/>
  <c r="Y358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Y378" i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16" i="1"/>
  <c r="Y421" i="1"/>
  <c r="Y420" i="1"/>
  <c r="BP419" i="1"/>
  <c r="BN419" i="1"/>
  <c r="Z419" i="1"/>
  <c r="Z420" i="1" s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43" i="1"/>
  <c r="BP483" i="1"/>
  <c r="BN483" i="1"/>
  <c r="Z483" i="1"/>
  <c r="Y485" i="1"/>
  <c r="Z501" i="1"/>
  <c r="Y489" i="1"/>
  <c r="BP488" i="1"/>
  <c r="BN488" i="1"/>
  <c r="Z488" i="1"/>
  <c r="Z489" i="1" s="1"/>
  <c r="Y490" i="1"/>
  <c r="O501" i="1"/>
  <c r="W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465" i="1"/>
  <c r="BP469" i="1"/>
  <c r="BN469" i="1"/>
  <c r="Z469" i="1"/>
  <c r="Y471" i="1"/>
  <c r="Y476" i="1"/>
  <c r="BP473" i="1"/>
  <c r="BN473" i="1"/>
  <c r="Z473" i="1"/>
  <c r="Y484" i="1"/>
  <c r="Y501" i="1"/>
  <c r="Y438" i="1"/>
  <c r="Z470" i="1" l="1"/>
  <c r="Z465" i="1"/>
  <c r="Z452" i="1"/>
  <c r="Z321" i="1"/>
  <c r="Z130" i="1"/>
  <c r="Z113" i="1"/>
  <c r="Z437" i="1"/>
  <c r="Z415" i="1"/>
  <c r="Z475" i="1"/>
  <c r="Z484" i="1"/>
  <c r="Z443" i="1"/>
  <c r="Z353" i="1"/>
  <c r="Z334" i="1"/>
  <c r="Z315" i="1"/>
  <c r="Z308" i="1"/>
  <c r="Z299" i="1"/>
  <c r="Z328" i="1"/>
  <c r="Z239" i="1"/>
  <c r="Z209" i="1"/>
  <c r="Z177" i="1"/>
  <c r="Z152" i="1"/>
  <c r="Z146" i="1"/>
  <c r="Z106" i="1"/>
  <c r="Y493" i="1"/>
  <c r="Y492" i="1"/>
  <c r="Y494" i="1"/>
  <c r="Z341" i="1"/>
  <c r="Z221" i="1"/>
  <c r="Z58" i="1"/>
  <c r="Y495" i="1"/>
  <c r="Y491" i="1"/>
  <c r="Z44" i="1"/>
  <c r="Z398" i="1"/>
  <c r="Z384" i="1"/>
  <c r="Z32" i="1"/>
  <c r="Z496" i="1" l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<sst xmlns="http://schemas.openxmlformats.org/spreadsheetml/2006/main" count="2294" uniqueCount="776">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</sst>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200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400</v>
      </c>
      <c r="Y42" s="546">
        <f>IFERROR(IF(X42="",0,CEILING((X42/$H42),1)*$H42),"")</f>
        <v>400</v>
      </c>
      <c r="Z42" s="36">
        <f>IFERROR(IF(Y42=0,"",ROUNDUP(Y42/H42,0)*0.00902),"")</f>
        <v>0.90200000000000002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419.00000000000006</v>
      </c>
      <c r="BN42" s="64">
        <f>IFERROR(Y42*I42/H42,"0")</f>
        <v>419.00000000000006</v>
      </c>
      <c r="BO42" s="64">
        <f>IFERROR(1/J42*(X42/H42),"0")</f>
        <v>0.75757575757575757</v>
      </c>
      <c r="BP42" s="64">
        <f>IFERROR(1/J42*(Y42/H42),"0")</f>
        <v>0.75757575757575757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118.51851851851852</v>
      </c>
      <c r="Y44" s="547">
        <f>IFERROR(Y41/H41,"0")+IFERROR(Y42/H42,"0")+IFERROR(Y43/H43,"0")</f>
        <v>119</v>
      </c>
      <c r="Z44" s="547">
        <f>IFERROR(IF(Z41="",0,Z41),"0")+IFERROR(IF(Z42="",0,Z42),"0")+IFERROR(IF(Z43="",0,Z43),"0")</f>
        <v>1.2626200000000001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600</v>
      </c>
      <c r="Y45" s="547">
        <f>IFERROR(SUM(Y41:Y43),"0")</f>
        <v>605.20000000000005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450</v>
      </c>
      <c r="Y57" s="546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127.77777777777777</v>
      </c>
      <c r="Y58" s="547">
        <f>IFERROR(Y52/H52,"0")+IFERROR(Y53/H53,"0")+IFERROR(Y54/H54,"0")+IFERROR(Y55/H55,"0")+IFERROR(Y56/H56,"0")+IFERROR(Y57/H57,"0")</f>
        <v>128</v>
      </c>
      <c r="Z58" s="547">
        <f>IFERROR(IF(Z52="",0,Z52),"0")+IFERROR(IF(Z53="",0,Z53),"0")+IFERROR(IF(Z54="",0,Z54),"0")+IFERROR(IF(Z55="",0,Z55),"0")+IFERROR(IF(Z56="",0,Z56),"0")+IFERROR(IF(Z57="",0,Z57),"0")</f>
        <v>1.43344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750</v>
      </c>
      <c r="Y59" s="547">
        <f>IFERROR(SUM(Y52:Y57),"0")</f>
        <v>752.40000000000009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300</v>
      </c>
      <c r="Y61" s="54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180</v>
      </c>
      <c r="Y63" s="546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94.444444444444429</v>
      </c>
      <c r="Y64" s="547">
        <f>IFERROR(Y61/H61,"0")+IFERROR(Y62/H62,"0")+IFERROR(Y63/H63,"0")</f>
        <v>95</v>
      </c>
      <c r="Z64" s="547">
        <f>IFERROR(IF(Z61="",0,Z61),"0")+IFERROR(IF(Z62="",0,Z62),"0")+IFERROR(IF(Z63="",0,Z63),"0")</f>
        <v>0.96761000000000008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480</v>
      </c>
      <c r="Y65" s="547">
        <f>IFERROR(SUM(Y61:Y63),"0")</f>
        <v>483.30000000000007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300</v>
      </c>
      <c r="Y86" s="54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450</v>
      </c>
      <c r="Y89" s="546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469</v>
      </c>
      <c r="BN89" s="64">
        <f>IFERROR(Y89*I89/H89,"0")</f>
        <v>469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127.77777777777777</v>
      </c>
      <c r="Y90" s="547">
        <f>IFERROR(Y86/H86,"0")+IFERROR(Y87/H87,"0")+IFERROR(Y88/H88,"0")+IFERROR(Y89/H89,"0")</f>
        <v>128</v>
      </c>
      <c r="Z90" s="547">
        <f>IFERROR(IF(Z86="",0,Z86),"0")+IFERROR(IF(Z87="",0,Z87),"0")+IFERROR(IF(Z88="",0,Z88),"0")+IFERROR(IF(Z89="",0,Z89),"0")</f>
        <v>1.43344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750</v>
      </c>
      <c r="Y91" s="547">
        <f>IFERROR(SUM(Y86:Y89),"0")</f>
        <v>752.40000000000009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350</v>
      </c>
      <c r="Y93" s="546">
        <f>IFERROR(IF(X93="",0,CEILING((X93/$H93),1)*$H93),"")</f>
        <v>356.4</v>
      </c>
      <c r="Z93" s="36">
        <f>IFERROR(IF(Y93=0,"",ROUNDUP(Y93/H93,0)*0.01898),"")</f>
        <v>0.83511999999999997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371.34567901234567</v>
      </c>
      <c r="BN93" s="64">
        <f>IFERROR(Y93*I93/H93,"0")</f>
        <v>378.13599999999997</v>
      </c>
      <c r="BO93" s="64">
        <f>IFERROR(1/J93*(X93/H93),"0")</f>
        <v>0.67515432098765438</v>
      </c>
      <c r="BP93" s="64">
        <f>IFERROR(1/J93*(Y93/H93),"0")</f>
        <v>0.6875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540</v>
      </c>
      <c r="Y95" s="546">
        <f>IFERROR(IF(X95="",0,CEILING((X95/$H95),1)*$H95),"")</f>
        <v>540</v>
      </c>
      <c r="Z95" s="36">
        <f>IFERROR(IF(Y95=0,"",ROUNDUP(Y95/H95,0)*0.00651),"")</f>
        <v>1.302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590.4</v>
      </c>
      <c r="BN95" s="64">
        <f>IFERROR(Y95*I95/H95,"0")</f>
        <v>590.4</v>
      </c>
      <c r="BO95" s="64">
        <f>IFERROR(1/J95*(X95/H95),"0")</f>
        <v>1.098901098901099</v>
      </c>
      <c r="BP95" s="64">
        <f>IFERROR(1/J95*(Y95/H95),"0")</f>
        <v>1.098901098901099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243.20987654320987</v>
      </c>
      <c r="Y97" s="547">
        <f>IFERROR(Y93/H93,"0")+IFERROR(Y94/H94,"0")+IFERROR(Y95/H95,"0")+IFERROR(Y96/H96,"0")</f>
        <v>244</v>
      </c>
      <c r="Z97" s="547">
        <f>IFERROR(IF(Z93="",0,Z93),"0")+IFERROR(IF(Z94="",0,Z94),"0")+IFERROR(IF(Z95="",0,Z95),"0")+IFERROR(IF(Z96="",0,Z96),"0")</f>
        <v>2.1371199999999999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890</v>
      </c>
      <c r="Y98" s="547">
        <f>IFERROR(SUM(Y93:Y96),"0")</f>
        <v>896.4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50</v>
      </c>
      <c r="Y101" s="546">
        <f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51.898148148148145</v>
      </c>
      <c r="BN101" s="64">
        <f>IFERROR(Y101*I101/H101,"0")</f>
        <v>56.05</v>
      </c>
      <c r="BO101" s="64">
        <f>IFERROR(1/J101*(X101/H101),"0")</f>
        <v>7.2337962962962965E-2</v>
      </c>
      <c r="BP101" s="64">
        <f>IFERROR(1/J101*(Y101/H101),"0")</f>
        <v>7.8125E-2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450</v>
      </c>
      <c r="Y104" s="546">
        <f>IFERROR(IF(X104="",0,CEILING((X104/$H104),1)*$H104),"")</f>
        <v>450</v>
      </c>
      <c r="Z104" s="36">
        <f>IFERROR(IF(Y104=0,"",ROUNDUP(Y104/H104,0)*0.00902),"")</f>
        <v>0.90200000000000002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469</v>
      </c>
      <c r="BN104" s="64">
        <f>IFERROR(Y104*I104/H104,"0")</f>
        <v>469</v>
      </c>
      <c r="BO104" s="64">
        <f>IFERROR(1/J104*(X104/H104),"0")</f>
        <v>0.75757575757575757</v>
      </c>
      <c r="BP104" s="64">
        <f>IFERROR(1/J104*(Y104/H104),"0")</f>
        <v>0.75757575757575757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104.62962962962963</v>
      </c>
      <c r="Y106" s="547">
        <f>IFERROR(Y101/H101,"0")+IFERROR(Y102/H102,"0")+IFERROR(Y103/H103,"0")+IFERROR(Y104/H104,"0")+IFERROR(Y105/H105,"0")</f>
        <v>105</v>
      </c>
      <c r="Z106" s="547">
        <f>IFERROR(IF(Z101="",0,Z101),"0")+IFERROR(IF(Z102="",0,Z102),"0")+IFERROR(IF(Z103="",0,Z103),"0")+IFERROR(IF(Z104="",0,Z104),"0")+IFERROR(IF(Z105="",0,Z105),"0")</f>
        <v>0.99690000000000001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500</v>
      </c>
      <c r="Y107" s="547">
        <f>IFERROR(SUM(Y101:Y105),"0")</f>
        <v>504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500</v>
      </c>
      <c r="Y116" s="546">
        <f>IFERROR(IF(X116="",0,CEILING((X116/$H116),1)*$H116),"")</f>
        <v>502.2</v>
      </c>
      <c r="Z116" s="36">
        <f>IFERROR(IF(Y116=0,"",ROUNDUP(Y116/H116,0)*0.01898),"")</f>
        <v>1.17676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530.12345679012344</v>
      </c>
      <c r="BN116" s="64">
        <f>IFERROR(Y116*I116/H116,"0")</f>
        <v>532.4559999999999</v>
      </c>
      <c r="BO116" s="64">
        <f>IFERROR(1/J116*(X116/H116),"0")</f>
        <v>0.96450617283950624</v>
      </c>
      <c r="BP116" s="64">
        <f>IFERROR(1/J116*(Y116/H116),"0")</f>
        <v>0.96875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405</v>
      </c>
      <c r="Y118" s="546">
        <f>IFERROR(IF(X118="",0,CEILING((X118/$H118),1)*$H118),"")</f>
        <v>405</v>
      </c>
      <c r="Z118" s="36">
        <f>IFERROR(IF(Y118=0,"",ROUNDUP(Y118/H118,0)*0.00651),"")</f>
        <v>0.97650000000000003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442.79999999999995</v>
      </c>
      <c r="BN118" s="64">
        <f>IFERROR(Y118*I118/H118,"0")</f>
        <v>442.79999999999995</v>
      </c>
      <c r="BO118" s="64">
        <f>IFERROR(1/J118*(X118/H118),"0")</f>
        <v>0.82417582417582425</v>
      </c>
      <c r="BP118" s="64">
        <f>IFERROR(1/J118*(Y118/H118),"0")</f>
        <v>0.82417582417582425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24</v>
      </c>
      <c r="Y119" s="546">
        <f>IFERROR(IF(X119="",0,CEILING((X119/$H119),1)*$H119),"")</f>
        <v>25.2</v>
      </c>
      <c r="Z119" s="36">
        <f>IFERROR(IF(Y119=0,"",ROUNDUP(Y119/H119,0)*0.00651),"")</f>
        <v>9.1139999999999999E-2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26.4</v>
      </c>
      <c r="BN119" s="64">
        <f>IFERROR(Y119*I119/H119,"0")</f>
        <v>27.72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225.06172839506175</v>
      </c>
      <c r="Y120" s="547">
        <f>IFERROR(Y116/H116,"0")+IFERROR(Y117/H117,"0")+IFERROR(Y118/H118,"0")+IFERROR(Y119/H119,"0")</f>
        <v>226</v>
      </c>
      <c r="Z120" s="547">
        <f>IFERROR(IF(Z116="",0,Z116),"0")+IFERROR(IF(Z117="",0,Z117),"0")+IFERROR(IF(Z118="",0,Z118),"0")+IFERROR(IF(Z119="",0,Z119),"0")</f>
        <v>2.2443999999999997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929</v>
      </c>
      <c r="Y121" s="547">
        <f>IFERROR(SUM(Y116:Y119),"0")</f>
        <v>932.40000000000009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16.5</v>
      </c>
      <c r="Y123" s="546">
        <f>IFERROR(IF(X123="",0,CEILING((X123/$H123),1)*$H123),"")</f>
        <v>17.82</v>
      </c>
      <c r="Z123" s="36">
        <f>IFERROR(IF(Y123=0,"",ROUNDUP(Y123/H123,0)*0.00651),"")</f>
        <v>5.8590000000000003E-2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18.649999999999999</v>
      </c>
      <c r="BN123" s="64">
        <f>IFERROR(Y123*I123/H123,"0")</f>
        <v>20.141999999999999</v>
      </c>
      <c r="BO123" s="64">
        <f>IFERROR(1/J123*(X123/H123),"0")</f>
        <v>4.5787545787545791E-2</v>
      </c>
      <c r="BP123" s="64">
        <f>IFERROR(1/J123*(Y123/H123),"0")</f>
        <v>4.9450549450549455E-2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8.3333333333333339</v>
      </c>
      <c r="Y124" s="547">
        <f>IFERROR(Y123/H123,"0")</f>
        <v>9</v>
      </c>
      <c r="Z124" s="547">
        <f>IFERROR(IF(Z123="",0,Z123),"0")</f>
        <v>5.8590000000000003E-2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16.5</v>
      </c>
      <c r="Y125" s="547">
        <f>IFERROR(SUM(Y123:Y123),"0")</f>
        <v>17.82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80</v>
      </c>
      <c r="Y128" s="546">
        <f>IFERROR(IF(X128="",0,CEILING((X128/$H128),1)*$H128),"")</f>
        <v>80</v>
      </c>
      <c r="Z128" s="36">
        <f>IFERROR(IF(Y128=0,"",ROUNDUP(Y128/H128,0)*0.00651),"")</f>
        <v>0.16275000000000001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84.499999999999986</v>
      </c>
      <c r="BN128" s="64">
        <f>IFERROR(Y128*I128/H128,"0")</f>
        <v>84.499999999999986</v>
      </c>
      <c r="BO128" s="64">
        <f>IFERROR(1/J128*(X128/H128),"0")</f>
        <v>0.13736263736263737</v>
      </c>
      <c r="BP128" s="64">
        <f>IFERROR(1/J128*(Y128/H128),"0")</f>
        <v>0.13736263736263737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25</v>
      </c>
      <c r="Y130" s="547">
        <f>IFERROR(Y128/H128,"0")+IFERROR(Y129/H129,"0")</f>
        <v>25</v>
      </c>
      <c r="Z130" s="547">
        <f>IFERROR(IF(Z128="",0,Z128),"0")+IFERROR(IF(Z129="",0,Z129),"0")</f>
        <v>0.16275000000000001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80</v>
      </c>
      <c r="Y131" s="547">
        <f>IFERROR(SUM(Y128:Y129),"0")</f>
        <v>80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70</v>
      </c>
      <c r="Y134" s="546">
        <f>IFERROR(IF(X134="",0,CEILING((X134/$H134),1)*$H134),"")</f>
        <v>70</v>
      </c>
      <c r="Z134" s="36">
        <f>IFERROR(IF(Y134=0,"",ROUNDUP(Y134/H134,0)*0.00651),"")</f>
        <v>0.16275000000000001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76.7</v>
      </c>
      <c r="BN134" s="64">
        <f>IFERROR(Y134*I134/H134,"0")</f>
        <v>76.7</v>
      </c>
      <c r="BO134" s="64">
        <f>IFERROR(1/J134*(X134/H134),"0")</f>
        <v>0.13736263736263737</v>
      </c>
      <c r="BP134" s="64">
        <f>IFERROR(1/J134*(Y134/H134),"0")</f>
        <v>0.13736263736263737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25</v>
      </c>
      <c r="Y135" s="547">
        <f>IFERROR(Y133/H133,"0")+IFERROR(Y134/H134,"0")</f>
        <v>25</v>
      </c>
      <c r="Z135" s="547">
        <f>IFERROR(IF(Z133="",0,Z133),"0")+IFERROR(IF(Z134="",0,Z134),"0")</f>
        <v>0.16275000000000001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70</v>
      </c>
      <c r="Y136" s="547">
        <f>IFERROR(SUM(Y133:Y134),"0")</f>
        <v>70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49.5</v>
      </c>
      <c r="Y139" s="546">
        <f>IFERROR(IF(X139="",0,CEILING((X139/$H139),1)*$H139),"")</f>
        <v>50.160000000000004</v>
      </c>
      <c r="Z139" s="36">
        <f>IFERROR(IF(Y139=0,"",ROUNDUP(Y139/H139,0)*0.00651),"")</f>
        <v>0.12369000000000001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54.524999999999999</v>
      </c>
      <c r="BN139" s="64">
        <f>IFERROR(Y139*I139/H139,"0")</f>
        <v>55.252000000000002</v>
      </c>
      <c r="BO139" s="64">
        <f>IFERROR(1/J139*(X139/H139),"0")</f>
        <v>0.10302197802197803</v>
      </c>
      <c r="BP139" s="64">
        <f>IFERROR(1/J139*(Y139/H139),"0")</f>
        <v>0.1043956043956044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18.75</v>
      </c>
      <c r="Y140" s="547">
        <f>IFERROR(Y138/H138,"0")+IFERROR(Y139/H139,"0")</f>
        <v>19</v>
      </c>
      <c r="Z140" s="547">
        <f>IFERROR(IF(Z138="",0,Z138),"0")+IFERROR(IF(Z139="",0,Z139),"0")</f>
        <v>0.12369000000000001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49.5</v>
      </c>
      <c r="Y141" s="547">
        <f>IFERROR(SUM(Y138:Y139),"0")</f>
        <v>50.160000000000004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70</v>
      </c>
      <c r="Y166" s="546">
        <f t="shared" si="5"/>
        <v>71.400000000000006</v>
      </c>
      <c r="Z166" s="36">
        <f>IFERROR(IF(Y166=0,"",ROUNDUP(Y166/H166,0)*0.00902),"")</f>
        <v>0.15334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74.166666666666657</v>
      </c>
      <c r="BN166" s="64">
        <f t="shared" si="7"/>
        <v>75.650000000000006</v>
      </c>
      <c r="BO166" s="64">
        <f t="shared" si="8"/>
        <v>0.12626262626262624</v>
      </c>
      <c r="BP166" s="64">
        <f t="shared" si="9"/>
        <v>0.12878787878787878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60</v>
      </c>
      <c r="Y167" s="546">
        <f t="shared" si="5"/>
        <v>63</v>
      </c>
      <c r="Z167" s="36">
        <f>IFERROR(IF(Y167=0,"",ROUNDUP(Y167/H167,0)*0.00902),"")</f>
        <v>0.1353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63.571428571428569</v>
      </c>
      <c r="BN167" s="64">
        <f t="shared" si="7"/>
        <v>66.75</v>
      </c>
      <c r="BO167" s="64">
        <f t="shared" si="8"/>
        <v>0.10822510822510822</v>
      </c>
      <c r="BP167" s="64">
        <f t="shared" si="9"/>
        <v>0.11363636363636365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120</v>
      </c>
      <c r="Y168" s="546">
        <f t="shared" si="5"/>
        <v>121.80000000000001</v>
      </c>
      <c r="Z168" s="36">
        <f>IFERROR(IF(Y168=0,"",ROUNDUP(Y168/H168,0)*0.00902),"")</f>
        <v>0.26158000000000003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125.42857142857142</v>
      </c>
      <c r="BN168" s="64">
        <f t="shared" si="7"/>
        <v>127.30999999999999</v>
      </c>
      <c r="BO168" s="64">
        <f t="shared" si="8"/>
        <v>0.21645021645021645</v>
      </c>
      <c r="BP168" s="64">
        <f t="shared" si="9"/>
        <v>0.2196969696969697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140</v>
      </c>
      <c r="Y171" s="546">
        <f t="shared" si="5"/>
        <v>140.70000000000002</v>
      </c>
      <c r="Z171" s="36">
        <f>IFERROR(IF(Y171=0,"",ROUNDUP(Y171/H171,0)*0.00502),"")</f>
        <v>0.33634000000000003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148.66666666666666</v>
      </c>
      <c r="BN171" s="64">
        <f t="shared" si="7"/>
        <v>149.41</v>
      </c>
      <c r="BO171" s="64">
        <f t="shared" si="8"/>
        <v>0.28490028490028491</v>
      </c>
      <c r="BP171" s="64">
        <f t="shared" si="9"/>
        <v>0.28632478632478636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210</v>
      </c>
      <c r="Y174" s="546">
        <f t="shared" si="5"/>
        <v>210</v>
      </c>
      <c r="Z174" s="36">
        <f>IFERROR(IF(Y174=0,"",ROUNDUP(Y174/H174,0)*0.00502),"")</f>
        <v>0.502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220.00000000000003</v>
      </c>
      <c r="BN174" s="64">
        <f t="shared" si="7"/>
        <v>220.00000000000003</v>
      </c>
      <c r="BO174" s="64">
        <f t="shared" si="8"/>
        <v>0.42735042735042739</v>
      </c>
      <c r="BP174" s="64">
        <f t="shared" si="9"/>
        <v>0.42735042735042739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267.85714285714283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270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1.5994000000000002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687.5</v>
      </c>
      <c r="Y178" s="547">
        <f>IFERROR(SUM(Y165:Y176),"0")</f>
        <v>695.1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10.5</v>
      </c>
      <c r="Y180" s="546">
        <f>IFERROR(IF(X180="",0,CEILING((X180/$H180),1)*$H180),"")</f>
        <v>11.34</v>
      </c>
      <c r="Z180" s="36">
        <f>IFERROR(IF(Y180=0,"",ROUNDUP(Y180/H180,0)*0.0059),"")</f>
        <v>5.3100000000000001E-2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12.083333333333332</v>
      </c>
      <c r="BN180" s="64">
        <f>IFERROR(Y180*I180/H180,"0")</f>
        <v>13.049999999999999</v>
      </c>
      <c r="BO180" s="64">
        <f>IFERROR(1/J180*(X180/H180),"0")</f>
        <v>3.8580246913580245E-2</v>
      </c>
      <c r="BP180" s="64">
        <f>IFERROR(1/J180*(Y180/H180),"0")</f>
        <v>4.1666666666666664E-2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14</v>
      </c>
      <c r="Y181" s="546">
        <f>IFERROR(IF(X181="",0,CEILING((X181/$H181),1)*$H181),"")</f>
        <v>15.120000000000001</v>
      </c>
      <c r="Z181" s="36">
        <f>IFERROR(IF(Y181=0,"",ROUNDUP(Y181/H181,0)*0.0059),"")</f>
        <v>7.0800000000000002E-2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16.111111111111111</v>
      </c>
      <c r="BN181" s="64">
        <f>IFERROR(Y181*I181/H181,"0")</f>
        <v>17.399999999999999</v>
      </c>
      <c r="BO181" s="64">
        <f>IFERROR(1/J181*(X181/H181),"0")</f>
        <v>5.1440329218106991E-2</v>
      </c>
      <c r="BP181" s="64">
        <f>IFERROR(1/J181*(Y181/H181),"0")</f>
        <v>5.5555555555555552E-2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17.5</v>
      </c>
      <c r="Y182" s="546">
        <f>IFERROR(IF(X182="",0,CEILING((X182/$H182),1)*$H182),"")</f>
        <v>17.64</v>
      </c>
      <c r="Z182" s="36">
        <f>IFERROR(IF(Y182=0,"",ROUNDUP(Y182/H182,0)*0.0059),"")</f>
        <v>8.2599999999999993E-2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20.138888888888889</v>
      </c>
      <c r="BN182" s="64">
        <f>IFERROR(Y182*I182/H182,"0")</f>
        <v>20.3</v>
      </c>
      <c r="BO182" s="64">
        <f>IFERROR(1/J182*(X182/H182),"0")</f>
        <v>6.4300411522633744E-2</v>
      </c>
      <c r="BP182" s="64">
        <f>IFERROR(1/J182*(Y182/H182),"0")</f>
        <v>6.4814814814814811E-2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33.333333333333329</v>
      </c>
      <c r="Y183" s="547">
        <f>IFERROR(Y180/H180,"0")+IFERROR(Y181/H181,"0")+IFERROR(Y182/H182,"0")</f>
        <v>35</v>
      </c>
      <c r="Z183" s="547">
        <f>IFERROR(IF(Z180="",0,Z180),"0")+IFERROR(IF(Z181="",0,Z181),"0")+IFERROR(IF(Z182="",0,Z182),"0")</f>
        <v>0.20650000000000002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42</v>
      </c>
      <c r="Y184" s="547">
        <f>IFERROR(SUM(Y180:Y182),"0")</f>
        <v>44.1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3.5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4.0277777777777777</v>
      </c>
      <c r="BN186" s="64">
        <f>IFERROR(Y186*I186/H186,"0")</f>
        <v>4.3499999999999996</v>
      </c>
      <c r="BO186" s="64">
        <f>IFERROR(1/J186*(X186/H186),"0")</f>
        <v>1.2860082304526748E-2</v>
      </c>
      <c r="BP186" s="64">
        <f>IFERROR(1/J186*(Y186/H186),"0")</f>
        <v>1.3888888888888888E-2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2.7777777777777777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3.5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130</v>
      </c>
      <c r="Y201" s="546">
        <f t="shared" ref="Y201:Y208" si="10">IFERROR(IF(X201="",0,CEILING((X201/$H201),1)*$H201),"")</f>
        <v>135</v>
      </c>
      <c r="Z201" s="36">
        <f>IFERROR(IF(Y201=0,"",ROUNDUP(Y201/H201,0)*0.00902),"")</f>
        <v>0.22550000000000001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134.57407407407405</v>
      </c>
      <c r="BN201" s="64">
        <f t="shared" ref="BN201:BN208" si="12">IFERROR(Y201*I201/H201,"0")</f>
        <v>139.75</v>
      </c>
      <c r="BO201" s="64">
        <f t="shared" ref="BO201:BO208" si="13">IFERROR(1/J201*(X201/H201),"0")</f>
        <v>0.18237934904601572</v>
      </c>
      <c r="BP201" s="64">
        <f t="shared" ref="BP201:BP208" si="14">IFERROR(1/J201*(Y201/H201),"0")</f>
        <v>0.18939393939393939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400</v>
      </c>
      <c r="Y203" s="546">
        <f t="shared" si="10"/>
        <v>405</v>
      </c>
      <c r="Z203" s="36">
        <f>IFERROR(IF(Y203=0,"",ROUNDUP(Y203/H203,0)*0.00902),"")</f>
        <v>0.67649999999999999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414.07407407407402</v>
      </c>
      <c r="BN203" s="64">
        <f t="shared" si="12"/>
        <v>419.24999999999994</v>
      </c>
      <c r="BO203" s="64">
        <f t="shared" si="13"/>
        <v>0.5611672278338945</v>
      </c>
      <c r="BP203" s="64">
        <f t="shared" si="14"/>
        <v>0.56818181818181823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80</v>
      </c>
      <c r="Y204" s="546">
        <f t="shared" si="10"/>
        <v>81</v>
      </c>
      <c r="Z204" s="36">
        <f>IFERROR(IF(Y204=0,"",ROUNDUP(Y204/H204,0)*0.00902),"")</f>
        <v>0.1353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82.81481481481481</v>
      </c>
      <c r="BN204" s="64">
        <f t="shared" si="12"/>
        <v>83.85</v>
      </c>
      <c r="BO204" s="64">
        <f t="shared" si="13"/>
        <v>0.11223344556677889</v>
      </c>
      <c r="BP204" s="64">
        <f t="shared" si="14"/>
        <v>0.11363636363636363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105</v>
      </c>
      <c r="Y205" s="546">
        <f t="shared" si="10"/>
        <v>106.2</v>
      </c>
      <c r="Z205" s="36">
        <f>IFERROR(IF(Y205=0,"",ROUNDUP(Y205/H205,0)*0.00502),"")</f>
        <v>0.29618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112.58333333333333</v>
      </c>
      <c r="BN205" s="64">
        <f t="shared" si="12"/>
        <v>113.87</v>
      </c>
      <c r="BO205" s="64">
        <f t="shared" si="13"/>
        <v>0.2492877492877493</v>
      </c>
      <c r="BP205" s="64">
        <f t="shared" si="14"/>
        <v>0.25213675213675218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45</v>
      </c>
      <c r="Y206" s="546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75</v>
      </c>
      <c r="Y207" s="546">
        <f t="shared" si="10"/>
        <v>75.600000000000009</v>
      </c>
      <c r="Z207" s="36">
        <f>IFERROR(IF(Y207=0,"",ROUNDUP(Y207/H207,0)*0.00502),"")</f>
        <v>0.21084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79.166666666666671</v>
      </c>
      <c r="BN207" s="64">
        <f t="shared" si="12"/>
        <v>79.800000000000011</v>
      </c>
      <c r="BO207" s="64">
        <f t="shared" si="13"/>
        <v>0.17806267806267806</v>
      </c>
      <c r="BP207" s="64">
        <f t="shared" si="14"/>
        <v>0.17948717948717954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60</v>
      </c>
      <c r="Y208" s="546">
        <f t="shared" si="10"/>
        <v>61.2</v>
      </c>
      <c r="Z208" s="36">
        <f>IFERROR(IF(Y208=0,"",ROUNDUP(Y208/H208,0)*0.00502),"")</f>
        <v>0.17068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63.333333333333329</v>
      </c>
      <c r="BN208" s="64">
        <f t="shared" si="12"/>
        <v>64.599999999999994</v>
      </c>
      <c r="BO208" s="64">
        <f t="shared" si="13"/>
        <v>0.14245014245014248</v>
      </c>
      <c r="BP208" s="64">
        <f t="shared" si="14"/>
        <v>0.14529914529914531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280.55555555555554</v>
      </c>
      <c r="Y209" s="547">
        <f>IFERROR(Y201/H201,"0")+IFERROR(Y202/H202,"0")+IFERROR(Y203/H203,"0")+IFERROR(Y204/H204,"0")+IFERROR(Y205/H205,"0")+IFERROR(Y206/H206,"0")+IFERROR(Y207/H207,"0")+IFERROR(Y208/H208,"0")</f>
        <v>285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1.9306999999999999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945</v>
      </c>
      <c r="Y210" s="547">
        <f>IFERROR(SUM(Y201:Y208),"0")</f>
        <v>963.00000000000011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50</v>
      </c>
      <c r="Y214" s="546">
        <f t="shared" si="15"/>
        <v>52.199999999999996</v>
      </c>
      <c r="Z214" s="36">
        <f>IFERROR(IF(Y214=0,"",ROUNDUP(Y214/H214,0)*0.01898),"")</f>
        <v>0.11388000000000001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52.839080459770123</v>
      </c>
      <c r="BN214" s="64">
        <f t="shared" si="17"/>
        <v>55.164000000000009</v>
      </c>
      <c r="BO214" s="64">
        <f t="shared" si="18"/>
        <v>8.9798850574712652E-2</v>
      </c>
      <c r="BP214" s="64">
        <f t="shared" si="19"/>
        <v>9.375E-2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280</v>
      </c>
      <c r="Y215" s="546">
        <f t="shared" si="15"/>
        <v>280.8</v>
      </c>
      <c r="Z215" s="36">
        <f t="shared" ref="Z215:Z220" si="20">IFERROR(IF(Y215=0,"",ROUNDUP(Y215/H215,0)*0.00651),"")</f>
        <v>0.76167000000000007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311.5</v>
      </c>
      <c r="BN215" s="64">
        <f t="shared" si="17"/>
        <v>312.39</v>
      </c>
      <c r="BO215" s="64">
        <f t="shared" si="18"/>
        <v>0.64102564102564108</v>
      </c>
      <c r="BP215" s="64">
        <f t="shared" si="19"/>
        <v>0.64285714285714302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320</v>
      </c>
      <c r="Y217" s="546">
        <f t="shared" si="15"/>
        <v>321.59999999999997</v>
      </c>
      <c r="Z217" s="36">
        <f t="shared" si="20"/>
        <v>0.87234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353.60000000000008</v>
      </c>
      <c r="BN217" s="64">
        <f t="shared" si="17"/>
        <v>355.36799999999999</v>
      </c>
      <c r="BO217" s="64">
        <f t="shared" si="18"/>
        <v>0.73260073260073266</v>
      </c>
      <c r="BP217" s="64">
        <f t="shared" si="19"/>
        <v>0.73626373626373631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240</v>
      </c>
      <c r="Y220" s="546">
        <f t="shared" si="15"/>
        <v>240</v>
      </c>
      <c r="Z220" s="36">
        <f t="shared" si="20"/>
        <v>0.65100000000000002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265.8</v>
      </c>
      <c r="BN220" s="64">
        <f t="shared" si="17"/>
        <v>265.8</v>
      </c>
      <c r="BO220" s="64">
        <f t="shared" si="18"/>
        <v>0.5494505494505495</v>
      </c>
      <c r="BP220" s="64">
        <f t="shared" si="19"/>
        <v>0.5494505494505495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397.41379310344831</v>
      </c>
      <c r="Y221" s="547">
        <f>IFERROR(Y212/H212,"0")+IFERROR(Y213/H213,"0")+IFERROR(Y214/H214,"0")+IFERROR(Y215/H215,"0")+IFERROR(Y216/H216,"0")+IFERROR(Y217/H217,"0")+IFERROR(Y218/H218,"0")+IFERROR(Y219/H219,"0")+IFERROR(Y220/H220,"0")</f>
        <v>399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2.6723099999999995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990</v>
      </c>
      <c r="Y222" s="547">
        <f>IFERROR(SUM(Y212:Y220),"0")</f>
        <v>995.39999999999986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28</v>
      </c>
      <c r="Y224" s="546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30.94</v>
      </c>
      <c r="BN224" s="64">
        <f>IFERROR(Y224*I224/H224,"0")</f>
        <v>31.824000000000002</v>
      </c>
      <c r="BO224" s="64">
        <f>IFERROR(1/J224*(X224/H224),"0")</f>
        <v>6.4102564102564111E-2</v>
      </c>
      <c r="BP224" s="64">
        <f>IFERROR(1/J224*(Y224/H224),"0")</f>
        <v>6.5934065934065936E-2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28</v>
      </c>
      <c r="Y225" s="546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30.94</v>
      </c>
      <c r="BN225" s="64">
        <f>IFERROR(Y225*I225/H225,"0")</f>
        <v>31.824000000000002</v>
      </c>
      <c r="BO225" s="64">
        <f>IFERROR(1/J225*(X225/H225),"0")</f>
        <v>6.4102564102564111E-2</v>
      </c>
      <c r="BP225" s="64">
        <f>IFERROR(1/J225*(Y225/H225),"0")</f>
        <v>6.5934065934065936E-2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23.333333333333336</v>
      </c>
      <c r="Y226" s="547">
        <f>IFERROR(Y224/H224,"0")+IFERROR(Y225/H225,"0")</f>
        <v>24</v>
      </c>
      <c r="Z226" s="547">
        <f>IFERROR(IF(Z224="",0,Z224),"0")+IFERROR(IF(Z225="",0,Z225),"0")</f>
        <v>0.15623999999999999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56</v>
      </c>
      <c r="Y227" s="547">
        <f>IFERROR(SUM(Y224:Y225),"0")</f>
        <v>57.599999999999994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20</v>
      </c>
      <c r="Y230" s="546">
        <f t="shared" ref="Y230:Y238" si="21">IFERROR(IF(X230="",0,CEILING((X230/$H230),1)*$H230),"")</f>
        <v>23.2</v>
      </c>
      <c r="Z230" s="36">
        <f>IFERROR(IF(Y230=0,"",ROUNDUP(Y230/H230,0)*0.01898),"")</f>
        <v>3.7960000000000001E-2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20.706896551724139</v>
      </c>
      <c r="BN230" s="64">
        <f t="shared" ref="BN230:BN238" si="23">IFERROR(Y230*I230/H230,"0")</f>
        <v>24.02</v>
      </c>
      <c r="BO230" s="64">
        <f t="shared" ref="BO230:BO238" si="24">IFERROR(1/J230*(X230/H230),"0")</f>
        <v>2.6939655172413795E-2</v>
      </c>
      <c r="BP230" s="64">
        <f t="shared" ref="BP230:BP238" si="25">IFERROR(1/J230*(Y230/H230),"0")</f>
        <v>3.125E-2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60</v>
      </c>
      <c r="Y232" s="546">
        <f t="shared" si="21"/>
        <v>69.599999999999994</v>
      </c>
      <c r="Z232" s="36">
        <f>IFERROR(IF(Y232=0,"",ROUNDUP(Y232/H232,0)*0.01898),"")</f>
        <v>0.11388000000000001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62.12068965517242</v>
      </c>
      <c r="BN232" s="64">
        <f t="shared" si="23"/>
        <v>72.06</v>
      </c>
      <c r="BO232" s="64">
        <f t="shared" si="24"/>
        <v>8.0818965517241381E-2</v>
      </c>
      <c r="BP232" s="64">
        <f t="shared" si="25"/>
        <v>9.375E-2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32</v>
      </c>
      <c r="Y233" s="546">
        <f t="shared" si="21"/>
        <v>32</v>
      </c>
      <c r="Z233" s="36">
        <f>IFERROR(IF(Y233=0,"",ROUNDUP(Y233/H233,0)*0.00902),"")</f>
        <v>7.2160000000000002E-2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33.520000000000003</v>
      </c>
      <c r="BN233" s="64">
        <f t="shared" si="23"/>
        <v>33.520000000000003</v>
      </c>
      <c r="BO233" s="64">
        <f t="shared" si="24"/>
        <v>6.0606060606060608E-2</v>
      </c>
      <c r="BP233" s="64">
        <f t="shared" si="25"/>
        <v>6.0606060606060608E-2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52</v>
      </c>
      <c r="Y237" s="546">
        <f t="shared" si="21"/>
        <v>52</v>
      </c>
      <c r="Z237" s="36">
        <f>IFERROR(IF(Y237=0,"",ROUNDUP(Y237/H237,0)*0.00902),"")</f>
        <v>0.11726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54.470000000000006</v>
      </c>
      <c r="BN237" s="64">
        <f t="shared" si="23"/>
        <v>54.470000000000006</v>
      </c>
      <c r="BO237" s="64">
        <f t="shared" si="24"/>
        <v>9.8484848484848481E-2</v>
      </c>
      <c r="BP237" s="64">
        <f t="shared" si="25"/>
        <v>9.8484848484848481E-2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27.896551724137932</v>
      </c>
      <c r="Y239" s="547">
        <f>IFERROR(Y230/H230,"0")+IFERROR(Y231/H231,"0")+IFERROR(Y232/H232,"0")+IFERROR(Y233/H233,"0")+IFERROR(Y234/H234,"0")+IFERROR(Y235/H235,"0")+IFERROR(Y236/H236,"0")+IFERROR(Y237/H237,"0")+IFERROR(Y238/H238,"0")</f>
        <v>29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0.34126000000000001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164</v>
      </c>
      <c r="Y240" s="547">
        <f>IFERROR(SUM(Y230:Y238),"0")</f>
        <v>176.8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12</v>
      </c>
      <c r="Y246" s="546">
        <f>IFERROR(IF(X246="",0,CEILING((X246/$H246),1)*$H246),"")</f>
        <v>12.6</v>
      </c>
      <c r="Z246" s="36">
        <f>IFERROR(IF(Y246=0,"",ROUNDUP(Y246/H246,0)*0.0059),"")</f>
        <v>4.1299999999999996E-2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13.166666666666668</v>
      </c>
      <c r="BN246" s="64">
        <f>IFERROR(Y246*I246/H246,"0")</f>
        <v>13.825000000000001</v>
      </c>
      <c r="BO246" s="64">
        <f>IFERROR(1/J246*(X246/H246),"0")</f>
        <v>3.0864197530864192E-2</v>
      </c>
      <c r="BP246" s="64">
        <f>IFERROR(1/J246*(Y246/H246),"0")</f>
        <v>3.2407407407407406E-2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6.6666666666666661</v>
      </c>
      <c r="Y247" s="547">
        <f>IFERROR(Y246/H246,"0")</f>
        <v>7</v>
      </c>
      <c r="Z247" s="547">
        <f>IFERROR(IF(Z246="",0,Z246),"0")</f>
        <v>4.1299999999999996E-2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12</v>
      </c>
      <c r="Y248" s="547">
        <f>IFERROR(SUM(Y246:Y246),"0")</f>
        <v>12.6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12</v>
      </c>
      <c r="Y251" s="546">
        <f>IFERROR(IF(X251="",0,CEILING((X251/$H251),1)*$H251),"")</f>
        <v>12.6</v>
      </c>
      <c r="Z251" s="36">
        <f>IFERROR(IF(Y251=0,"",ROUNDUP(Y251/H251,0)*0.0059),"")</f>
        <v>4.1299999999999996E-2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13.166666666666668</v>
      </c>
      <c r="BN251" s="64">
        <f>IFERROR(Y251*I251/H251,"0")</f>
        <v>13.825000000000001</v>
      </c>
      <c r="BO251" s="64">
        <f>IFERROR(1/J251*(X251/H251),"0")</f>
        <v>3.0864197530864192E-2</v>
      </c>
      <c r="BP251" s="64">
        <f>IFERROR(1/J251*(Y251/H251),"0")</f>
        <v>3.2407407407407406E-2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6.6666666666666661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4.1299999999999996E-2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12</v>
      </c>
      <c r="Y256" s="547">
        <f>IFERROR(SUM(Y250:Y254),"0")</f>
        <v>12.6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80</v>
      </c>
      <c r="Y277" s="546">
        <f>IFERROR(IF(X277="",0,CEILING((X277/$H277),1)*$H277),"")</f>
        <v>81.599999999999994</v>
      </c>
      <c r="Z277" s="36">
        <f>IFERROR(IF(Y277=0,"",ROUNDUP(Y277/H277,0)*0.00651),"")</f>
        <v>0.22134000000000001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88.40000000000002</v>
      </c>
      <c r="BN277" s="64">
        <f>IFERROR(Y277*I277/H277,"0")</f>
        <v>90.168000000000006</v>
      </c>
      <c r="BO277" s="64">
        <f>IFERROR(1/J277*(X277/H277),"0")</f>
        <v>0.18315018315018317</v>
      </c>
      <c r="BP277" s="64">
        <f>IFERROR(1/J277*(Y277/H277),"0")</f>
        <v>0.18681318681318682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120</v>
      </c>
      <c r="Y278" s="546">
        <f>IFERROR(IF(X278="",0,CEILING((X278/$H278),1)*$H278),"")</f>
        <v>120</v>
      </c>
      <c r="Z278" s="36">
        <f>IFERROR(IF(Y278=0,"",ROUNDUP(Y278/H278,0)*0.00651),"")</f>
        <v>0.32550000000000001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129.00000000000003</v>
      </c>
      <c r="BN278" s="64">
        <f>IFERROR(Y278*I278/H278,"0")</f>
        <v>129.00000000000003</v>
      </c>
      <c r="BO278" s="64">
        <f>IFERROR(1/J278*(X278/H278),"0")</f>
        <v>0.27472527472527475</v>
      </c>
      <c r="BP278" s="64">
        <f>IFERROR(1/J278*(Y278/H278),"0")</f>
        <v>0.27472527472527475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83.333333333333343</v>
      </c>
      <c r="Y279" s="547">
        <f>IFERROR(Y276/H276,"0")+IFERROR(Y277/H277,"0")+IFERROR(Y278/H278,"0")</f>
        <v>84</v>
      </c>
      <c r="Z279" s="547">
        <f>IFERROR(IF(Z276="",0,Z276),"0")+IFERROR(IF(Z277="",0,Z277),"0")+IFERROR(IF(Z278="",0,Z278),"0")</f>
        <v>0.54683999999999999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200</v>
      </c>
      <c r="Y280" s="547">
        <f>IFERROR(SUM(Y276:Y278),"0")</f>
        <v>201.6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210</v>
      </c>
      <c r="Y306" s="546">
        <f t="shared" si="26"/>
        <v>210</v>
      </c>
      <c r="Z306" s="36">
        <f>IFERROR(IF(Y306=0,"",ROUNDUP(Y306/H306,0)*0.00502),"")</f>
        <v>0.502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220.00000000000003</v>
      </c>
      <c r="BN306" s="64">
        <f t="shared" si="28"/>
        <v>220.00000000000003</v>
      </c>
      <c r="BO306" s="64">
        <f t="shared" si="29"/>
        <v>0.42735042735042739</v>
      </c>
      <c r="BP306" s="64">
        <f t="shared" si="30"/>
        <v>0.42735042735042739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30</v>
      </c>
      <c r="Y307" s="546">
        <f t="shared" si="26"/>
        <v>30.6</v>
      </c>
      <c r="Z307" s="36">
        <f>IFERROR(IF(Y307=0,"",ROUNDUP(Y307/H307,0)*0.00651),"")</f>
        <v>0.11067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33.800000000000004</v>
      </c>
      <c r="BN307" s="64">
        <f t="shared" si="28"/>
        <v>34.475999999999999</v>
      </c>
      <c r="BO307" s="64">
        <f t="shared" si="29"/>
        <v>9.1575091575091583E-2</v>
      </c>
      <c r="BP307" s="64">
        <f t="shared" si="30"/>
        <v>9.3406593406593408E-2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116.66666666666667</v>
      </c>
      <c r="Y308" s="547">
        <f>IFERROR(Y302/H302,"0")+IFERROR(Y303/H303,"0")+IFERROR(Y304/H304,"0")+IFERROR(Y305/H305,"0")+IFERROR(Y306/H306,"0")+IFERROR(Y307/H307,"0")</f>
        <v>117</v>
      </c>
      <c r="Z308" s="547">
        <f>IFERROR(IF(Z302="",0,Z302),"0")+IFERROR(IF(Z303="",0,Z303),"0")+IFERROR(IF(Z304="",0,Z304),"0")+IFERROR(IF(Z305="",0,Z305),"0")+IFERROR(IF(Z306="",0,Z306),"0")+IFERROR(IF(Z307="",0,Z307),"0")</f>
        <v>0.61267000000000005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240</v>
      </c>
      <c r="Y309" s="547">
        <f>IFERROR(SUM(Y302:Y307),"0")</f>
        <v>240.6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20</v>
      </c>
      <c r="Y318" s="546">
        <f>IFERROR(IF(X318="",0,CEILING((X318/$H318),1)*$H318),"")</f>
        <v>25.200000000000003</v>
      </c>
      <c r="Z318" s="36">
        <f>IFERROR(IF(Y318=0,"",ROUNDUP(Y318/H318,0)*0.01898),"")</f>
        <v>5.6940000000000004E-2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21.176190476190474</v>
      </c>
      <c r="BN318" s="64">
        <f>IFERROR(Y318*I318/H318,"0")</f>
        <v>26.682000000000002</v>
      </c>
      <c r="BO318" s="64">
        <f>IFERROR(1/J318*(X318/H318),"0")</f>
        <v>3.7202380952380952E-2</v>
      </c>
      <c r="BP318" s="64">
        <f>IFERROR(1/J318*(Y318/H318),"0")</f>
        <v>4.6875E-2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300</v>
      </c>
      <c r="Y319" s="546">
        <f>IFERROR(IF(X319="",0,CEILING((X319/$H319),1)*$H319),"")</f>
        <v>304.2</v>
      </c>
      <c r="Z319" s="36">
        <f>IFERROR(IF(Y319=0,"",ROUNDUP(Y319/H319,0)*0.01898),"")</f>
        <v>0.74021999999999999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319.00000000000006</v>
      </c>
      <c r="BN319" s="64">
        <f>IFERROR(Y319*I319/H319,"0")</f>
        <v>323.46600000000001</v>
      </c>
      <c r="BO319" s="64">
        <f>IFERROR(1/J319*(X319/H319),"0")</f>
        <v>0.60096153846153844</v>
      </c>
      <c r="BP319" s="64">
        <f>IFERROR(1/J319*(Y319/H319),"0")</f>
        <v>0.609375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200</v>
      </c>
      <c r="Y320" s="546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211.76190476190476</v>
      </c>
      <c r="BN320" s="64">
        <f>IFERROR(Y320*I320/H320,"0")</f>
        <v>213.45600000000002</v>
      </c>
      <c r="BO320" s="64">
        <f>IFERROR(1/J320*(X320/H320),"0")</f>
        <v>0.37202380952380953</v>
      </c>
      <c r="BP320" s="64">
        <f>IFERROR(1/J320*(Y320/H320),"0")</f>
        <v>0.375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64.652014652014657</v>
      </c>
      <c r="Y321" s="547">
        <f>IFERROR(Y318/H318,"0")+IFERROR(Y319/H319,"0")+IFERROR(Y320/H320,"0")</f>
        <v>66</v>
      </c>
      <c r="Z321" s="547">
        <f>IFERROR(IF(Z318="",0,Z318),"0")+IFERROR(IF(Z319="",0,Z319),"0")+IFERROR(IF(Z320="",0,Z320),"0")</f>
        <v>1.25268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520</v>
      </c>
      <c r="Y322" s="547">
        <f>IFERROR(SUM(Y318:Y320),"0")</f>
        <v>531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665</v>
      </c>
      <c r="Y339" s="546">
        <f>IFERROR(IF(X339="",0,CEILING((X339/$H339),1)*$H339),"")</f>
        <v>665.7</v>
      </c>
      <c r="Z339" s="36">
        <f>IFERROR(IF(Y339=0,"",ROUNDUP(Y339/H339,0)*0.00651),"")</f>
        <v>2.0636700000000001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744.8</v>
      </c>
      <c r="BN339" s="64">
        <f>IFERROR(Y339*I339/H339,"0")</f>
        <v>745.58399999999995</v>
      </c>
      <c r="BO339" s="64">
        <f>IFERROR(1/J339*(X339/H339),"0")</f>
        <v>1.73992673992674</v>
      </c>
      <c r="BP339" s="64">
        <f>IFERROR(1/J339*(Y339/H339),"0")</f>
        <v>1.7417582417582418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665</v>
      </c>
      <c r="Y340" s="546">
        <f>IFERROR(IF(X340="",0,CEILING((X340/$H340),1)*$H340),"")</f>
        <v>665.7</v>
      </c>
      <c r="Z340" s="36">
        <f>IFERROR(IF(Y340=0,"",ROUNDUP(Y340/H340,0)*0.00651),"")</f>
        <v>2.0636700000000001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740.99999999999989</v>
      </c>
      <c r="BN340" s="64">
        <f>IFERROR(Y340*I340/H340,"0")</f>
        <v>741.78</v>
      </c>
      <c r="BO340" s="64">
        <f>IFERROR(1/J340*(X340/H340),"0")</f>
        <v>1.73992673992674</v>
      </c>
      <c r="BP340" s="64">
        <f>IFERROR(1/J340*(Y340/H340),"0")</f>
        <v>1.7417582417582418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633.33333333333326</v>
      </c>
      <c r="Y341" s="547">
        <f>IFERROR(Y338/H338,"0")+IFERROR(Y339/H339,"0")+IFERROR(Y340/H340,"0")</f>
        <v>634</v>
      </c>
      <c r="Z341" s="547">
        <f>IFERROR(IF(Z338="",0,Z338),"0")+IFERROR(IF(Z339="",0,Z339),"0")+IFERROR(IF(Z340="",0,Z340),"0")</f>
        <v>4.1273400000000002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1330</v>
      </c>
      <c r="Y342" s="547">
        <f>IFERROR(SUM(Y338:Y340),"0")</f>
        <v>1331.4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1400</v>
      </c>
      <c r="Y346" s="546">
        <f t="shared" ref="Y346:Y352" si="31">IFERROR(IF(X346="",0,CEILING((X346/$H346),1)*$H346),"")</f>
        <v>1410</v>
      </c>
      <c r="Z346" s="36">
        <f>IFERROR(IF(Y346=0,"",ROUNDUP(Y346/H346,0)*0.02175),"")</f>
        <v>2.0444999999999998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1443.8666666666666</v>
      </c>
      <c r="BN346" s="64">
        <f t="shared" ref="BN346:BN352" si="33">IFERROR(Y346*I346/H346,"0")</f>
        <v>1454.18</v>
      </c>
      <c r="BO346" s="64">
        <f t="shared" ref="BO346:BO352" si="34">IFERROR(1/J346*(X346/H346),"0")</f>
        <v>1.9444444444444442</v>
      </c>
      <c r="BP346" s="64">
        <f t="shared" ref="BP346:BP352" si="35">IFERROR(1/J346*(Y346/H346),"0")</f>
        <v>1.9583333333333333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1400</v>
      </c>
      <c r="Y348" s="546">
        <f t="shared" si="31"/>
        <v>1410</v>
      </c>
      <c r="Z348" s="36">
        <f>IFERROR(IF(Y348=0,"",ROUNDUP(Y348/H348,0)*0.02175),"")</f>
        <v>2.0444999999999998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1443.8666666666666</v>
      </c>
      <c r="BN348" s="64">
        <f t="shared" si="33"/>
        <v>1454.18</v>
      </c>
      <c r="BO348" s="64">
        <f t="shared" si="34"/>
        <v>1.9444444444444442</v>
      </c>
      <c r="BP348" s="64">
        <f t="shared" si="35"/>
        <v>1.9583333333333333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400</v>
      </c>
      <c r="Y349" s="546">
        <f t="shared" si="31"/>
        <v>405</v>
      </c>
      <c r="Z349" s="36">
        <f>IFERROR(IF(Y349=0,"",ROUNDUP(Y349/H349,0)*0.02175),"")</f>
        <v>0.58724999999999994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412.53333333333336</v>
      </c>
      <c r="BN349" s="64">
        <f t="shared" si="33"/>
        <v>417.69</v>
      </c>
      <c r="BO349" s="64">
        <f t="shared" si="34"/>
        <v>0.55555555555555558</v>
      </c>
      <c r="BP349" s="64">
        <f t="shared" si="35"/>
        <v>0.5625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213.33333333333331</v>
      </c>
      <c r="Y353" s="547">
        <f>IFERROR(Y346/H346,"0")+IFERROR(Y347/H347,"0")+IFERROR(Y348/H348,"0")+IFERROR(Y349/H349,"0")+IFERROR(Y350/H350,"0")+IFERROR(Y351/H351,"0")+IFERROR(Y352/H352,"0")</f>
        <v>215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4.6762499999999996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3200</v>
      </c>
      <c r="Y354" s="547">
        <f>IFERROR(SUM(Y346:Y352),"0")</f>
        <v>3225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1400</v>
      </c>
      <c r="Y356" s="546">
        <f>IFERROR(IF(X356="",0,CEILING((X356/$H356),1)*$H356),"")</f>
        <v>1410</v>
      </c>
      <c r="Z356" s="36">
        <f>IFERROR(IF(Y356=0,"",ROUNDUP(Y356/H356,0)*0.02175),"")</f>
        <v>2.0444999999999998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1443.8666666666666</v>
      </c>
      <c r="BN356" s="64">
        <f>IFERROR(Y356*I356/H356,"0")</f>
        <v>1454.18</v>
      </c>
      <c r="BO356" s="64">
        <f>IFERROR(1/J356*(X356/H356),"0")</f>
        <v>1.9444444444444442</v>
      </c>
      <c r="BP356" s="64">
        <f>IFERROR(1/J356*(Y356/H356),"0")</f>
        <v>1.9583333333333333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93.333333333333329</v>
      </c>
      <c r="Y358" s="547">
        <f>IFERROR(Y356/H356,"0")+IFERROR(Y357/H357,"0")</f>
        <v>94</v>
      </c>
      <c r="Z358" s="547">
        <f>IFERROR(IF(Z356="",0,Z356),"0")+IFERROR(IF(Z357="",0,Z357),"0")</f>
        <v>2.0444999999999998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1400</v>
      </c>
      <c r="Y359" s="547">
        <f>IFERROR(SUM(Y356:Y357),"0")</f>
        <v>1410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40</v>
      </c>
      <c r="Y366" s="546">
        <f>IFERROR(IF(X366="",0,CEILING((X366/$H366),1)*$H366),"")</f>
        <v>45</v>
      </c>
      <c r="Z366" s="36">
        <f>IFERROR(IF(Y366=0,"",ROUNDUP(Y366/H366,0)*0.01898),"")</f>
        <v>9.4899999999999998E-2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42.195555555555558</v>
      </c>
      <c r="BN366" s="64">
        <f>IFERROR(Y366*I366/H366,"0")</f>
        <v>47.47</v>
      </c>
      <c r="BO366" s="64">
        <f>IFERROR(1/J366*(X366/H366),"0")</f>
        <v>6.9444444444444448E-2</v>
      </c>
      <c r="BP366" s="64">
        <f>IFERROR(1/J366*(Y366/H366),"0")</f>
        <v>7.8125E-2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4.4444444444444446</v>
      </c>
      <c r="Y367" s="547">
        <f>IFERROR(Y366/H366,"0")</f>
        <v>5</v>
      </c>
      <c r="Z367" s="547">
        <f>IFERROR(IF(Z366="",0,Z366),"0")</f>
        <v>9.4899999999999998E-2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40</v>
      </c>
      <c r="Y368" s="547">
        <f>IFERROR(SUM(Y366:Y366),"0")</f>
        <v>45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35</v>
      </c>
      <c r="Y393" s="546">
        <f t="shared" si="36"/>
        <v>35.700000000000003</v>
      </c>
      <c r="Z393" s="36">
        <f t="shared" si="41"/>
        <v>8.5339999999999999E-2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37.166666666666664</v>
      </c>
      <c r="BN393" s="64">
        <f t="shared" si="38"/>
        <v>37.910000000000004</v>
      </c>
      <c r="BO393" s="64">
        <f t="shared" si="39"/>
        <v>7.1225071225071226E-2</v>
      </c>
      <c r="BP393" s="64">
        <f t="shared" si="40"/>
        <v>7.2649572649572655E-2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7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7.4333333333333327</v>
      </c>
      <c r="BN394" s="64">
        <f t="shared" si="38"/>
        <v>8.92</v>
      </c>
      <c r="BO394" s="64">
        <f t="shared" si="39"/>
        <v>1.4245014245014245E-2</v>
      </c>
      <c r="BP394" s="64">
        <f t="shared" si="40"/>
        <v>1.7094017094017096E-2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70</v>
      </c>
      <c r="Y396" s="546">
        <f t="shared" si="36"/>
        <v>71.400000000000006</v>
      </c>
      <c r="Z396" s="36">
        <f t="shared" si="41"/>
        <v>0.17068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74.333333333333329</v>
      </c>
      <c r="BN396" s="64">
        <f t="shared" si="38"/>
        <v>75.820000000000007</v>
      </c>
      <c r="BO396" s="64">
        <f t="shared" si="39"/>
        <v>0.14245014245014245</v>
      </c>
      <c r="BP396" s="64">
        <f t="shared" si="40"/>
        <v>0.14529914529914531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53.333333333333329</v>
      </c>
      <c r="Y398" s="547">
        <f>IFERROR(Y389/H389,"0")+IFERROR(Y390/H390,"0")+IFERROR(Y391/H391,"0")+IFERROR(Y392/H392,"0")+IFERROR(Y393/H393,"0")+IFERROR(Y394/H394,"0")+IFERROR(Y395/H395,"0")+IFERROR(Y396/H396,"0")+IFERROR(Y397/H397,"0")</f>
        <v>55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0.27610000000000001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112</v>
      </c>
      <c r="Y399" s="547">
        <f>IFERROR(SUM(Y389:Y397),"0")</f>
        <v>115.5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14</v>
      </c>
      <c r="Y414" s="546">
        <f>IFERROR(IF(X414="",0,CEILING((X414/$H414),1)*$H414),"")</f>
        <v>14.700000000000001</v>
      </c>
      <c r="Z414" s="36">
        <f>IFERROR(IF(Y414=0,"",ROUNDUP(Y414/H414,0)*0.00502),"")</f>
        <v>3.5140000000000005E-2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14.866666666666665</v>
      </c>
      <c r="BN414" s="64">
        <f>IFERROR(Y414*I414/H414,"0")</f>
        <v>15.61</v>
      </c>
      <c r="BO414" s="64">
        <f>IFERROR(1/J414*(X414/H414),"0")</f>
        <v>2.8490028490028491E-2</v>
      </c>
      <c r="BP414" s="64">
        <f>IFERROR(1/J414*(Y414/H414),"0")</f>
        <v>2.9914529914529919E-2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6.6666666666666661</v>
      </c>
      <c r="Y415" s="547">
        <f>IFERROR(Y411/H411,"0")+IFERROR(Y412/H412,"0")+IFERROR(Y413/H413,"0")+IFERROR(Y414/H414,"0")</f>
        <v>7</v>
      </c>
      <c r="Z415" s="547">
        <f>IFERROR(IF(Z411="",0,Z411),"0")+IFERROR(IF(Z412="",0,Z412),"0")+IFERROR(IF(Z413="",0,Z413),"0")+IFERROR(IF(Z414="",0,Z414),"0")</f>
        <v>3.5140000000000005E-2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14</v>
      </c>
      <c r="Y416" s="547">
        <f>IFERROR(SUM(Y411:Y414),"0")</f>
        <v>14.700000000000001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100</v>
      </c>
      <c r="Y425" s="546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106.62878787878788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0.18210955710955709</v>
      </c>
      <c r="BP425" s="64">
        <f t="shared" ref="BP425:BP436" si="47">IFERROR(1/J425*(Y425/H425),"0")</f>
        <v>0.18269230769230771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140</v>
      </c>
      <c r="Y429" s="546">
        <f t="shared" si="42"/>
        <v>142.56</v>
      </c>
      <c r="Z429" s="36">
        <f t="shared" si="43"/>
        <v>0.32291999999999998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149.280303030303</v>
      </c>
      <c r="BN429" s="64">
        <f t="shared" si="45"/>
        <v>152.01</v>
      </c>
      <c r="BO429" s="64">
        <f t="shared" si="46"/>
        <v>0.25495337995337997</v>
      </c>
      <c r="BP429" s="64">
        <f t="shared" si="47"/>
        <v>0.25961538461538464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100</v>
      </c>
      <c r="Y431" s="546">
        <f t="shared" si="42"/>
        <v>100.32000000000001</v>
      </c>
      <c r="Z431" s="36">
        <f t="shared" si="43"/>
        <v>0.22724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180</v>
      </c>
      <c r="Y436" s="546">
        <f t="shared" si="42"/>
        <v>182.4</v>
      </c>
      <c r="Z436" s="36">
        <f>IFERROR(IF(Y436=0,"",ROUNDUP(Y436/H436,0)*0.00902),"")</f>
        <v>0.34276000000000001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259.125</v>
      </c>
      <c r="BN436" s="64">
        <f t="shared" si="45"/>
        <v>262.58000000000004</v>
      </c>
      <c r="BO436" s="64">
        <f t="shared" si="46"/>
        <v>0.28409090909090912</v>
      </c>
      <c r="BP436" s="64">
        <f t="shared" si="47"/>
        <v>0.2878787878787879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126.89393939393939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128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1.3456599999999999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640</v>
      </c>
      <c r="Y438" s="547">
        <f>IFERROR(SUM(Y425:Y436),"0")</f>
        <v>645.6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100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106.62878787878788</v>
      </c>
      <c r="BN440" s="64">
        <f>IFERROR(Y440*I440/H440,"0")</f>
        <v>106.97</v>
      </c>
      <c r="BO440" s="64">
        <f>IFERROR(1/J440*(X440/H440),"0")</f>
        <v>0.18210955710955709</v>
      </c>
      <c r="BP440" s="64">
        <f>IFERROR(1/J440*(Y440/H440),"0")</f>
        <v>0.18269230769230771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18.939393939393938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100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30</v>
      </c>
      <c r="Y446" s="546">
        <f t="shared" ref="Y446:Y451" si="48">IFERROR(IF(X446="",0,CEILING((X446/$H446),1)*$H446),"")</f>
        <v>31.68</v>
      </c>
      <c r="Z446" s="36">
        <f>IFERROR(IF(Y446=0,"",ROUNDUP(Y446/H446,0)*0.01196),"")</f>
        <v>7.1760000000000004E-2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31.988636363636363</v>
      </c>
      <c r="BN446" s="64">
        <f t="shared" ref="BN446:BN451" si="50">IFERROR(Y446*I446/H446,"0")</f>
        <v>33.779999999999994</v>
      </c>
      <c r="BO446" s="64">
        <f t="shared" ref="BO446:BO451" si="51">IFERROR(1/J446*(X446/H446),"0")</f>
        <v>5.4632867132867136E-2</v>
      </c>
      <c r="BP446" s="64">
        <f t="shared" ref="BP446:BP451" si="52">IFERROR(1/J446*(Y446/H446),"0")</f>
        <v>5.7692307692307696E-2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48</v>
      </c>
      <c r="Y449" s="546">
        <f t="shared" si="48"/>
        <v>48</v>
      </c>
      <c r="Z449" s="36">
        <f>IFERROR(IF(Y449=0,"",ROUNDUP(Y449/H449,0)*0.00902),"")</f>
        <v>9.0200000000000002E-2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69.100000000000009</v>
      </c>
      <c r="BN449" s="64">
        <f t="shared" si="50"/>
        <v>69.100000000000009</v>
      </c>
      <c r="BO449" s="64">
        <f t="shared" si="51"/>
        <v>7.575757575757576E-2</v>
      </c>
      <c r="BP449" s="64">
        <f t="shared" si="52"/>
        <v>7.575757575757576E-2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90</v>
      </c>
      <c r="Y451" s="546">
        <f t="shared" si="48"/>
        <v>91.2</v>
      </c>
      <c r="Z451" s="36">
        <f>IFERROR(IF(Y451=0,"",ROUNDUP(Y451/H451,0)*0.00902),"")</f>
        <v>0.17138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125.0625</v>
      </c>
      <c r="BN451" s="64">
        <f t="shared" si="50"/>
        <v>126.73</v>
      </c>
      <c r="BO451" s="64">
        <f t="shared" si="51"/>
        <v>0.14204545454545456</v>
      </c>
      <c r="BP451" s="64">
        <f t="shared" si="52"/>
        <v>0.14393939393939395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76.060606060606062</v>
      </c>
      <c r="Y452" s="547">
        <f>IFERROR(Y446/H446,"0")+IFERROR(Y447/H447,"0")+IFERROR(Y448/H448,"0")+IFERROR(Y449/H449,"0")+IFERROR(Y450/H450,"0")+IFERROR(Y451/H451,"0")</f>
        <v>77</v>
      </c>
      <c r="Z452" s="547">
        <f>IFERROR(IF(Z446="",0,Z446),"0")+IFERROR(IF(Z447="",0,Z447),"0")+IFERROR(IF(Z448="",0,Z448),"0")+IFERROR(IF(Z449="",0,Z449),"0")+IFERROR(IF(Z450="",0,Z450),"0")+IFERROR(IF(Z451="",0,Z451),"0")</f>
        <v>0.82390000000000008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386</v>
      </c>
      <c r="Y453" s="547">
        <f>IFERROR(SUM(Y446:Y451),"0")</f>
        <v>390.71999999999997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1300</v>
      </c>
      <c r="Y478" s="546">
        <f>IFERROR(IF(X478="",0,CEILING((X478/$H478),1)*$H478),"")</f>
        <v>1305</v>
      </c>
      <c r="Z478" s="36">
        <f>IFERROR(IF(Y478=0,"",ROUNDUP(Y478/H478,0)*0.01898),"")</f>
        <v>2.7521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1371.3555555555554</v>
      </c>
      <c r="BN478" s="64">
        <f>IFERROR(Y478*I478/H478,"0")</f>
        <v>1376.63</v>
      </c>
      <c r="BO478" s="64">
        <f>IFERROR(1/J478*(X478/H478),"0")</f>
        <v>2.2569444444444446</v>
      </c>
      <c r="BP478" s="64">
        <f>IFERROR(1/J478*(Y478/H478),"0")</f>
        <v>2.265625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144.44444444444446</v>
      </c>
      <c r="Y479" s="547">
        <f>IFERROR(Y478/H478,"0")</f>
        <v>145</v>
      </c>
      <c r="Z479" s="547">
        <f>IFERROR(IF(Z478="",0,Z478),"0")</f>
        <v>2.7521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1300</v>
      </c>
      <c r="Y480" s="547">
        <f>IFERROR(SUM(Y478:Y478),"0")</f>
        <v>1305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17549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17708.900000000001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18745.271406124732</v>
      </c>
      <c r="Y492" s="547">
        <f>IFERROR(SUM(BN22:BN488),"0")</f>
        <v>18915.484000000011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19545.271406124732</v>
      </c>
      <c r="Y494" s="547">
        <f>GrossWeightTotalR+PalletQtyTotalR*25</f>
        <v>19715.484000000011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3819.3276392615476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3848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36.972949999999997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605.20000000000005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1235.7000000000003</v>
      </c>
      <c r="E501" s="46">
        <f>IFERROR(Y86*1,"0")+IFERROR(Y87*1,"0")+IFERROR(Y88*1,"0")+IFERROR(Y89*1,"0")+IFERROR(Y93*1,"0")+IFERROR(Y94*1,"0")+IFERROR(Y95*1,"0")+IFERROR(Y96*1,"0")</f>
        <v>1648.8000000000002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1454.22</v>
      </c>
      <c r="G501" s="46">
        <f>IFERROR(Y128*1,"0")+IFERROR(Y129*1,"0")+IFERROR(Y133*1,"0")+IFERROR(Y134*1,"0")+IFERROR(Y138*1,"0")+IFERROR(Y139*1,"0")</f>
        <v>200.16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742.98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2016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202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201.6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771.6</v>
      </c>
      <c r="R501" s="46">
        <f>IFERROR(Y338*1,"0")+IFERROR(Y339*1,"0")+IFERROR(Y340*1,"0")</f>
        <v>1331.4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4707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115.5</v>
      </c>
      <c r="V501" s="46">
        <f>IFERROR(Y407*1,"0")+IFERROR(Y411*1,"0")+IFERROR(Y412*1,"0")+IFERROR(Y413*1,"0")+IFERROR(Y414*1,"0")</f>
        <v>14.700000000000001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1136.6400000000003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1305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330,00"/>
        <filter val="1 400,00"/>
        <filter val="10,50"/>
        <filter val="100,00"/>
        <filter val="104,63"/>
        <filter val="105,00"/>
        <filter val="112,00"/>
        <filter val="116,67"/>
        <filter val="118,52"/>
        <filter val="12,00"/>
        <filter val="120,00"/>
        <filter val="126,89"/>
        <filter val="127,78"/>
        <filter val="130,00"/>
        <filter val="14,00"/>
        <filter val="140,00"/>
        <filter val="144,44"/>
        <filter val="16,50"/>
        <filter val="16,67"/>
        <filter val="164,00"/>
        <filter val="17 549,00"/>
        <filter val="17,50"/>
        <filter val="18 745,27"/>
        <filter val="18,00"/>
        <filter val="18,75"/>
        <filter val="18,94"/>
        <filter val="180,00"/>
        <filter val="19 545,27"/>
        <filter val="2,22"/>
        <filter val="2,78"/>
        <filter val="20,00"/>
        <filter val="200,00"/>
        <filter val="210,00"/>
        <filter val="213,33"/>
        <filter val="225,06"/>
        <filter val="23,33"/>
        <filter val="24,00"/>
        <filter val="240,00"/>
        <filter val="243,21"/>
        <filter val="25,00"/>
        <filter val="267,86"/>
        <filter val="27,90"/>
        <filter val="28,00"/>
        <filter val="280,00"/>
        <filter val="280,56"/>
        <filter val="3 200,00"/>
        <filter val="3 819,33"/>
        <filter val="3,50"/>
        <filter val="30,00"/>
        <filter val="300,00"/>
        <filter val="32"/>
        <filter val="32,00"/>
        <filter val="320,00"/>
        <filter val="33,33"/>
        <filter val="35,00"/>
        <filter val="350,00"/>
        <filter val="386,00"/>
        <filter val="397,41"/>
        <filter val="4,44"/>
        <filter val="40,00"/>
        <filter val="400,00"/>
        <filter val="405,00"/>
        <filter val="42,00"/>
        <filter val="45,00"/>
        <filter val="450,00"/>
        <filter val="48,00"/>
        <filter val="480,00"/>
        <filter val="49,50"/>
        <filter val="50,00"/>
        <filter val="500,00"/>
        <filter val="52,00"/>
        <filter val="520,00"/>
        <filter val="53,33"/>
        <filter val="540,00"/>
        <filter val="56,00"/>
        <filter val="6,67"/>
        <filter val="60,00"/>
        <filter val="600,00"/>
        <filter val="633,33"/>
        <filter val="64,65"/>
        <filter val="640,00"/>
        <filter val="665,00"/>
        <filter val="687,50"/>
        <filter val="7,00"/>
        <filter val="70,00"/>
        <filter val="75,00"/>
        <filter val="750,00"/>
        <filter val="76,06"/>
        <filter val="8,33"/>
        <filter val="80,00"/>
        <filter val="83,33"/>
        <filter val="87,50"/>
        <filter val="890,00"/>
        <filter val="90,00"/>
        <filter val="929,00"/>
        <filter val="93,33"/>
        <filter val="94,44"/>
        <filter val="945,00"/>
        <filter val="990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2025-12-17T09:31:19Z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