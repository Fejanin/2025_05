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1461FF7-118C-416C-A0E7-D4113230D8F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Y337" i="1" s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Z203" i="1" s="1"/>
  <c r="P203" i="1"/>
  <c r="X201" i="1"/>
  <c r="X200" i="1"/>
  <c r="BO199" i="1"/>
  <c r="BM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N128" i="1"/>
  <c r="BM128" i="1"/>
  <c r="Z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O111" i="1"/>
  <c r="BM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Z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2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2" i="1" s="1"/>
  <c r="X24" i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BP168" i="1" l="1"/>
  <c r="BN168" i="1"/>
  <c r="Z168" i="1"/>
  <c r="Y190" i="1"/>
  <c r="Y189" i="1"/>
  <c r="BP188" i="1"/>
  <c r="BN188" i="1"/>
  <c r="Z188" i="1"/>
  <c r="Z189" i="1" s="1"/>
  <c r="BP193" i="1"/>
  <c r="BN193" i="1"/>
  <c r="Z193" i="1"/>
  <c r="BP218" i="1"/>
  <c r="BN218" i="1"/>
  <c r="Z218" i="1"/>
  <c r="BP253" i="1"/>
  <c r="BN253" i="1"/>
  <c r="Z253" i="1"/>
  <c r="BP285" i="1"/>
  <c r="BN285" i="1"/>
  <c r="Z285" i="1"/>
  <c r="BP316" i="1"/>
  <c r="BN316" i="1"/>
  <c r="Z316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30" i="1"/>
  <c r="BN30" i="1"/>
  <c r="Z57" i="1"/>
  <c r="BN57" i="1"/>
  <c r="Z86" i="1"/>
  <c r="BN86" i="1"/>
  <c r="Z101" i="1"/>
  <c r="BN101" i="1"/>
  <c r="Z115" i="1"/>
  <c r="BN115" i="1"/>
  <c r="Y120" i="1"/>
  <c r="BP132" i="1"/>
  <c r="BN132" i="1"/>
  <c r="Z132" i="1"/>
  <c r="BP176" i="1"/>
  <c r="BN176" i="1"/>
  <c r="Z176" i="1"/>
  <c r="BP208" i="1"/>
  <c r="BN208" i="1"/>
  <c r="Z208" i="1"/>
  <c r="BP233" i="1"/>
  <c r="BN233" i="1"/>
  <c r="Z233" i="1"/>
  <c r="BP271" i="1"/>
  <c r="BN271" i="1"/>
  <c r="Z271" i="1"/>
  <c r="BP304" i="1"/>
  <c r="BN304" i="1"/>
  <c r="Z304" i="1"/>
  <c r="BP328" i="1"/>
  <c r="BN328" i="1"/>
  <c r="Z328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7" i="1"/>
  <c r="Y476" i="1"/>
  <c r="BP475" i="1"/>
  <c r="BN475" i="1"/>
  <c r="Z475" i="1"/>
  <c r="Z476" i="1" s="1"/>
  <c r="Y481" i="1"/>
  <c r="Y480" i="1"/>
  <c r="BP479" i="1"/>
  <c r="BN479" i="1"/>
  <c r="Z479" i="1"/>
  <c r="Z480" i="1" s="1"/>
  <c r="BP483" i="1"/>
  <c r="BN483" i="1"/>
  <c r="Z483" i="1"/>
  <c r="BP88" i="1"/>
  <c r="BN88" i="1"/>
  <c r="Z88" i="1"/>
  <c r="BP103" i="1"/>
  <c r="BN103" i="1"/>
  <c r="Z103" i="1"/>
  <c r="BP117" i="1"/>
  <c r="BN117" i="1"/>
  <c r="Z117" i="1"/>
  <c r="BP152" i="1"/>
  <c r="BN152" i="1"/>
  <c r="Z152" i="1"/>
  <c r="BP174" i="1"/>
  <c r="BN174" i="1"/>
  <c r="Z174" i="1"/>
  <c r="BP184" i="1"/>
  <c r="BN184" i="1"/>
  <c r="Z184" i="1"/>
  <c r="BP206" i="1"/>
  <c r="BN206" i="1"/>
  <c r="Z206" i="1"/>
  <c r="BP216" i="1"/>
  <c r="BN216" i="1"/>
  <c r="Z216" i="1"/>
  <c r="BP226" i="1"/>
  <c r="BN226" i="1"/>
  <c r="Z226" i="1"/>
  <c r="BP239" i="1"/>
  <c r="BN239" i="1"/>
  <c r="Z239" i="1"/>
  <c r="BP264" i="1"/>
  <c r="BN264" i="1"/>
  <c r="Z264" i="1"/>
  <c r="BP280" i="1"/>
  <c r="BN280" i="1"/>
  <c r="Z280" i="1"/>
  <c r="X496" i="1"/>
  <c r="Z28" i="1"/>
  <c r="BN28" i="1"/>
  <c r="Z42" i="1"/>
  <c r="BN42" i="1"/>
  <c r="Z55" i="1"/>
  <c r="BN55" i="1"/>
  <c r="Z61" i="1"/>
  <c r="BN61" i="1"/>
  <c r="Y64" i="1"/>
  <c r="Z67" i="1"/>
  <c r="BN67" i="1"/>
  <c r="BP67" i="1"/>
  <c r="BP73" i="1"/>
  <c r="BN7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70" i="1"/>
  <c r="BN170" i="1"/>
  <c r="Z170" i="1"/>
  <c r="BP178" i="1"/>
  <c r="BN178" i="1"/>
  <c r="Z178" i="1"/>
  <c r="BP199" i="1"/>
  <c r="BN199" i="1"/>
  <c r="Z199" i="1"/>
  <c r="BP210" i="1"/>
  <c r="BN210" i="1"/>
  <c r="Z210" i="1"/>
  <c r="BP220" i="1"/>
  <c r="BN220" i="1"/>
  <c r="Z220" i="1"/>
  <c r="BP235" i="1"/>
  <c r="BN235" i="1"/>
  <c r="Z235" i="1"/>
  <c r="BP255" i="1"/>
  <c r="BN255" i="1"/>
  <c r="Z255" i="1"/>
  <c r="BP273" i="1"/>
  <c r="BN273" i="1"/>
  <c r="Z273" i="1"/>
  <c r="BP291" i="1"/>
  <c r="BN291" i="1"/>
  <c r="Z291" i="1"/>
  <c r="BP296" i="1"/>
  <c r="BN296" i="1"/>
  <c r="Z296" i="1"/>
  <c r="BP306" i="1"/>
  <c r="BN306" i="1"/>
  <c r="Z306" i="1"/>
  <c r="BP320" i="1"/>
  <c r="BN320" i="1"/>
  <c r="Z320" i="1"/>
  <c r="BP334" i="1"/>
  <c r="BN334" i="1"/>
  <c r="Z334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59" i="1"/>
  <c r="Y458" i="1"/>
  <c r="BP457" i="1"/>
  <c r="BN457" i="1"/>
  <c r="Z457" i="1"/>
  <c r="Z458" i="1" s="1"/>
  <c r="Y467" i="1"/>
  <c r="BP463" i="1"/>
  <c r="BN463" i="1"/>
  <c r="Z463" i="1"/>
  <c r="Y96" i="1"/>
  <c r="H502" i="1"/>
  <c r="Y154" i="1"/>
  <c r="BP300" i="1"/>
  <c r="BN300" i="1"/>
  <c r="Z300" i="1"/>
  <c r="BP314" i="1"/>
  <c r="BN314" i="1"/>
  <c r="Z314" i="1"/>
  <c r="Y330" i="1"/>
  <c r="BP326" i="1"/>
  <c r="BN326" i="1"/>
  <c r="Z326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502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71" i="1"/>
  <c r="BN471" i="1"/>
  <c r="Z471" i="1"/>
  <c r="Q502" i="1"/>
  <c r="Y323" i="1"/>
  <c r="Y387" i="1"/>
  <c r="Y386" i="1"/>
  <c r="Y485" i="1"/>
  <c r="H9" i="1"/>
  <c r="A10" i="1"/>
  <c r="B502" i="1"/>
  <c r="X493" i="1"/>
  <c r="X494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D502" i="1"/>
  <c r="Y59" i="1"/>
  <c r="BP52" i="1"/>
  <c r="BN52" i="1"/>
  <c r="Z52" i="1"/>
  <c r="BP56" i="1"/>
  <c r="BN56" i="1"/>
  <c r="Z56" i="1"/>
  <c r="Y65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Y134" i="1"/>
  <c r="BP144" i="1"/>
  <c r="BN144" i="1"/>
  <c r="Z144" i="1"/>
  <c r="Z145" i="1" s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1" i="1"/>
  <c r="BP198" i="1"/>
  <c r="BN198" i="1"/>
  <c r="Z198" i="1"/>
  <c r="Z200" i="1" s="1"/>
  <c r="F9" i="1"/>
  <c r="J9" i="1"/>
  <c r="Y45" i="1"/>
  <c r="Y48" i="1"/>
  <c r="BP47" i="1"/>
  <c r="BN47" i="1"/>
  <c r="BP54" i="1"/>
  <c r="BN54" i="1"/>
  <c r="Z54" i="1"/>
  <c r="Y58" i="1"/>
  <c r="BP62" i="1"/>
  <c r="BN62" i="1"/>
  <c r="Z62" i="1"/>
  <c r="Z64" i="1" s="1"/>
  <c r="BP74" i="1"/>
  <c r="BN74" i="1"/>
  <c r="Z74" i="1"/>
  <c r="BP87" i="1"/>
  <c r="BN87" i="1"/>
  <c r="Z87" i="1"/>
  <c r="BP95" i="1"/>
  <c r="BN95" i="1"/>
  <c r="Z95" i="1"/>
  <c r="Y97" i="1"/>
  <c r="F502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Y145" i="1"/>
  <c r="J502" i="1"/>
  <c r="Y195" i="1"/>
  <c r="Y212" i="1"/>
  <c r="BP203" i="1"/>
  <c r="BN203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502" i="1"/>
  <c r="Y344" i="1"/>
  <c r="Y343" i="1"/>
  <c r="BP340" i="1"/>
  <c r="BN340" i="1"/>
  <c r="Z340" i="1"/>
  <c r="BP374" i="1"/>
  <c r="BN374" i="1"/>
  <c r="Z374" i="1"/>
  <c r="Z375" i="1" s="1"/>
  <c r="Y376" i="1"/>
  <c r="Y381" i="1"/>
  <c r="BP378" i="1"/>
  <c r="BN378" i="1"/>
  <c r="Z378" i="1"/>
  <c r="Y380" i="1"/>
  <c r="L502" i="1"/>
  <c r="Y266" i="1"/>
  <c r="BP261" i="1"/>
  <c r="BN261" i="1"/>
  <c r="Z261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BP297" i="1"/>
  <c r="BN297" i="1"/>
  <c r="Z297" i="1"/>
  <c r="Z301" i="1" s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BP329" i="1"/>
  <c r="BN329" i="1"/>
  <c r="Z329" i="1"/>
  <c r="Y331" i="1"/>
  <c r="Y336" i="1"/>
  <c r="BP333" i="1"/>
  <c r="BN333" i="1"/>
  <c r="Z333" i="1"/>
  <c r="BP342" i="1"/>
  <c r="BN342" i="1"/>
  <c r="Z342" i="1"/>
  <c r="BP349" i="1"/>
  <c r="BN349" i="1"/>
  <c r="Z349" i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Z405" i="1" s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502" i="1"/>
  <c r="Y282" i="1"/>
  <c r="P502" i="1"/>
  <c r="Y287" i="1"/>
  <c r="S502" i="1"/>
  <c r="BP351" i="1"/>
  <c r="BN351" i="1"/>
  <c r="Z351" i="1"/>
  <c r="BP359" i="1"/>
  <c r="BN359" i="1"/>
  <c r="Z359" i="1"/>
  <c r="Y361" i="1"/>
  <c r="Y366" i="1"/>
  <c r="BP363" i="1"/>
  <c r="BN363" i="1"/>
  <c r="Z363" i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Y472" i="1"/>
  <c r="Y502" i="1"/>
  <c r="Y356" i="1"/>
  <c r="T502" i="1"/>
  <c r="Y375" i="1"/>
  <c r="X502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439" i="1" l="1"/>
  <c r="Z472" i="1"/>
  <c r="Z365" i="1"/>
  <c r="Z317" i="1"/>
  <c r="Z310" i="1"/>
  <c r="Z266" i="1"/>
  <c r="Z380" i="1"/>
  <c r="Z292" i="1"/>
  <c r="Z211" i="1"/>
  <c r="Z228" i="1"/>
  <c r="Z69" i="1"/>
  <c r="Z44" i="1"/>
  <c r="Y494" i="1"/>
  <c r="Y492" i="1"/>
  <c r="Z400" i="1"/>
  <c r="Z360" i="1"/>
  <c r="Z417" i="1"/>
  <c r="Z355" i="1"/>
  <c r="Z281" i="1"/>
  <c r="Z223" i="1"/>
  <c r="Z139" i="1"/>
  <c r="Y493" i="1"/>
  <c r="Y495" i="1" s="1"/>
  <c r="Z454" i="1"/>
  <c r="Z343" i="1"/>
  <c r="Z467" i="1"/>
  <c r="Z336" i="1"/>
  <c r="Z274" i="1"/>
  <c r="Z330" i="1"/>
  <c r="Z257" i="1"/>
  <c r="Z179" i="1"/>
  <c r="Z154" i="1"/>
  <c r="Z96" i="1"/>
  <c r="Z89" i="1"/>
  <c r="Z76" i="1"/>
  <c r="Z58" i="1"/>
  <c r="Y496" i="1"/>
  <c r="Z241" i="1"/>
  <c r="Z105" i="1"/>
  <c r="Z32" i="1"/>
  <c r="X495" i="1"/>
  <c r="Z497" i="1" l="1"/>
</calcChain>
</file>

<file path=xl/sharedStrings.xml><?xml version="1.0" encoding="utf-8"?>
<sst xmlns="http://schemas.openxmlformats.org/spreadsheetml/2006/main" count="2276" uniqueCount="775">
  <si>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</si>
  <si>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</si>
  <si>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</si>
  <si>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</si>
  <si>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</si>
  <si>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</si>
  <si>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</si>
  <si>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</si>
  <si>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</si>
  <si>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</si>
  <si>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</si>
  <si>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</si>
  <si>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</si>
  <si>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</si>
  <si>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</si>
  <si>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</si>
  <si>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</si>
  <si>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</si>
  <si>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</si>
  <si>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</si>
  <si>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</si>
  <si>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</si>
  <si>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</si>
  <si>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</si>
  <si>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</si>
  <si>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</si>
  <si>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</si>
  <si>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</si>
  <si>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</si>
  <si>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</si>
  <si>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</si>
  <si>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</si>
  <si>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</si>
  <si>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</si>
  <si>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</si>
  <si>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</si>
  <si>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</si>
  <si>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</si>
  <si>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</si>
  <si>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</si>
  <si>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</si>
  <si>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</si>
  <si>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</si>
  <si>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</si>
  <si>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</si>
  <si>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</si>
  <si>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</si>
  <si>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</si>
  <si>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</si>
  <si>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</si>
  <si>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</si>
  <si>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</si>
  <si>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</si>
  <si>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</si>
  <si>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</si>
  <si>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</si>
  <si>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</si>
  <si>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</si>
  <si>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</si>
  <si>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</si>
  <si>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</si>
  <si>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</si>
  <si>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</si>
  <si>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</si>
  <si>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</si>
  <si>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</si>
  <si>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</si>
  <si>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</si>
  <si>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</si>
  <si>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</si>
  <si>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</si>
  <si>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</si>
  <si>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</si>
  <si>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</si>
  <si>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</si>
  <si>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</si>
  <si>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</si>
  <si>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</si>
  <si>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</si>
  <si>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</si>
  <si>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</si>
  <si>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</si>
  <si>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</si>
  <si>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</si>
  <si>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</si>
  <si>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</si>
  <si>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</si>
  <si>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</si>
  <si>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</si>
  <si>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</si>
  <si>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</si>
  <si>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</si>
  <si>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</si>
  <si>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</si>
  <si>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</si>
  <si>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</si>
  <si>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</si>
  <si>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</si>
  <si>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</si>
  <si>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</si>
  <si>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</si>
  <si>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</si>
  <si>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</si>
  <si>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</si>
  <si>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</si>
  <si>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</si>
  <si>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</si>
  <si>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</si>
  <si>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</si>
  <si>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</si>
  <si>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</si>
  <si>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</si>
  <si>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</si>
  <si>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</si>
  <si>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</si>
  <si>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</si>
  <si>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</si>
  <si>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</si>
  <si>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</si>
  <si>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</si>
  <si>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</si>
  <si>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</si>
  <si>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</si>
  <si>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</si>
  <si>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</si>
  <si>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</si>
  <si>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</si>
  <si>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</si>
  <si>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</si>
  <si>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</si>
  <si>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</si>
  <si>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</si>
  <si>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</si>
  <si>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</si>
  <si>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</si>
  <si>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</si>
  <si>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</si>
  <si>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</si>
  <si>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</si>
  <si>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</si>
  <si>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</si>
  <si>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</si>
  <si>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</si>
  <si>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</si>
  <si>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</si>
  <si>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</si>
  <si>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</si>
  <si>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</si>
  <si>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</si>
  <si>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</si>
  <si>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</si>
  <si>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</si>
  <si>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</si>
  <si>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</si>
  <si>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</si>
  <si>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</si>
  <si>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</si>
  <si>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</si>
  <si>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</si>
  <si>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</si>
  <si>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</si>
  <si>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</si>
  <si>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</si>
  <si>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</si>
  <si>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</si>
  <si>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</si>
  <si>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</si>
  <si>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</si>
  <si>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</si>
  <si>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</si>
  <si>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</si>
  <si>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</si>
  <si>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</si>
  <si>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</si>
  <si>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</si>
  <si>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</si>
  <si>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</si>
  <si>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</si>
  <si>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</si>
  <si>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</si>
  <si>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</si>
  <si>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</si>
  <si>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</si>
  <si>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</si>
  <si>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</si>
  <si>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</si>
  <si>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</si>
  <si>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</si>
  <si>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</si>
  <si>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</si>
  <si>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</si>
  <si>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</si>
  <si>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</si>
  <si>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</si>
  <si>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</si>
  <si>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</si>
  <si>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</si>
  <si>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</si>
  <si>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</si>
  <si>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</si>
  <si>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</si>
  <si>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</si>
  <si>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</si>
  <si>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</si>
  <si>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</si>
  <si>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</si>
  <si>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</si>
  <si>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</si>
  <si>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</si>
  <si>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</si>
  <si>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</si>
  <si>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</si>
  <si>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</si>
  <si>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</si>
  <si>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</si>
  <si>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</si>
  <si>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</si>
  <si>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</si>
  <si>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</si>
  <si>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</si>
  <si>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</si>
  <si>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</si>
  <si>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</si>
  <si>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</si>
  <si>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</si>
  <si>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</si>
  <si>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</si>
  <si>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</si>
  <si>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</si>
  <si>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</si>
  <si>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</si>
  <si>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</si>
  <si>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</si>
  <si>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</si>
  <si>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</si>
  <si>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</si>
  <si>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</si>
  <si>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</si>
  <si>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</si>
  <si>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</si>
  <si>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</si>
  <si>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</si>
  <si>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</si>
  <si>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</si>
  <si>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</si>
  <si>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</si>
  <si>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</si>
  <si>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</si>
  <si>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</si>
  <si>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</si>
  <si>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</si>
  <si>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</si>
  <si>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</si>
  <si>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</si>
  <si>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</si>
  <si>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</si>
  <si>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</si>
  <si>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</si>
  <si>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</si>
  <si>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</si>
  <si>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</si>
  <si>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</si>
  <si>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</si>
  <si>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</si>
  <si>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</si>
  <si>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</si>
  <si>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</si>
  <si>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</si>
  <si>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</si>
  <si>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</si>
  <si>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</si>
  <si>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</si>
  <si>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</si>
  <si>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</si>
  <si>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</si>
  <si>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</si>
  <si>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</si>
  <si>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</si>
  <si>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</si>
  <si>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</si>
  <si>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</si>
  <si>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</si>
  <si>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</si>
  <si>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</si>
  <si>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</si>
  <si>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</si>
  <si>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</si>
  <si>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</si>
  <si>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</si>
  <si>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</si>
  <si>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</si>
  <si>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</si>
  <si>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</si>
  <si>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</si>
  <si>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</si>
  <si>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</si>
  <si>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</si>
  <si>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</si>
  <si>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</si>
  <si>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</si>
  <si>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</si>
  <si>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</si>
  <si>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</si>
  <si>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</si>
  <si>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</si>
  <si>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</si>
  <si>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</si>
  <si>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</si>
  <si>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</si>
  <si>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</si>
  <si>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</si>
  <si>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</si>
  <si>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</si>
  <si>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</si>
  <si>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</si>
  <si>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</si>
  <si>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</si>
  <si>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</si>
  <si>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</si>
  <si>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</si>
  <si>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</si>
  <si>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</si>
  <si>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</si>
  <si>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</si>
  <si>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</si>
  <si>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</si>
  <si>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</si>
  <si>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</si>
  <si>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</si>
  <si>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</si>
  <si>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</si>
  <si>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</si>
  <si>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</si>
  <si>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</si>
  <si>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</si>
  <si>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</si>
  <si>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</si>
  <si>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</si>
  <si>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</si>
  <si>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</si>
  <si>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</si>
  <si>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</si>
  <si>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</si>
  <si>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</si>
  <si>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</si>
  <si>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</si>
  <si>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</si>
  <si>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</si>
  <si>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</si>
  <si>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</si>
  <si>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</si>
  <si>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</si>
  <si>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</si>
  <si>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</si>
  <si>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</si>
  <si>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</si>
  <si>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</si>
  <si>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</si>
  <si>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</si>
  <si>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</si>
  <si>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</si>
  <si>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</si>
  <si>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</si>
  <si>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</si>
  <si>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</si>
  <si>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</si>
  <si>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</si>
  <si>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</si>
  <si>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</si>
  <si>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</si>
  <si>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</si>
  <si>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</si>
  <si>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</si>
  <si>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</si>
  <si>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</si>
  <si>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</si>
  <si>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</si>
  <si>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</si>
  <si>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</si>
  <si>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</si>
  <si>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</si>
  <si>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</si>
  <si>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</si>
  <si>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</si>
  <si>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</si>
  <si>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</si>
  <si>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</si>
  <si>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</si>
  <si>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</si>
  <si>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</si>
  <si>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</si>
  <si>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</si>
  <si>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</si>
  <si>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</si>
  <si>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</si>
  <si>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</si>
  <si>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</si>
  <si>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</si>
  <si>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</si>
  <si>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</si>
  <si>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</si>
  <si>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</si>
  <si>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</si>
  <si>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</si>
  <si>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</si>
  <si>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</si>
  <si>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</si>
  <si>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</si>
  <si>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</si>
  <si>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</si>
  <si>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</si>
  <si>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</si>
  <si>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</si>
  <si>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</si>
  <si>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</si>
  <si>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</si>
  <si>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</si>
  <si>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</si>
  <si>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</si>
  <si>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</si>
  <si>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</si>
  <si>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</si>
  <si>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</si>
  <si>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</si>
  <si>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</si>
  <si>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</si>
  <si>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</si>
  <si>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</si>
  <si>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</si>
  <si>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</si>
  <si>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</si>
  <si>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</si>
  <si>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</si>
  <si>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</si>
  <si>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</si>
  <si>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</si>
  <si>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</si>
  <si>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</si>
  <si>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</si>
  <si>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</si>
  <si>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</si>
  <si>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</si>
  <si>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</si>
  <si>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</si>
  <si>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</si>
  <si>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</si>
  <si>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</si>
  <si>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</si>
  <si>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</si>
  <si>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</si>
  <si>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</si>
  <si>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</si>
  <si>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</si>
  <si>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</si>
  <si>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</si>
  <si>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</si>
  <si>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</si>
  <si>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</si>
  <si>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</si>
  <si>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</si>
  <si>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</si>
  <si>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</si>
  <si>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</si>
  <si>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</si>
  <si>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</si>
  <si>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</si>
  <si>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</si>
  <si>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</si>
  <si>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</si>
  <si>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</si>
  <si>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</si>
  <si>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</si>
  <si>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</si>
  <si>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</si>
  <si>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</si>
  <si>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</si>
  <si>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</si>
  <si>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</si>
  <si>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</si>
  <si>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</si>
  <si>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</si>
  <si>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</si>
  <si>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</si>
  <si>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</si>
  <si>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</si>
  <si>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</si>
  <si>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</si>
  <si>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</si>
  <si>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</si>
  <si>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</si>
  <si>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</si>
  <si>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</si>
  <si>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</si>
  <si>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</si>
  <si>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</si>
  <si>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</si>
  <si>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</si>
  <si>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</si>
  <si>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</si>
  <si>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</si>
  <si>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</si>
  <si>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</si>
  <si>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</si>
  <si>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</si>
  <si>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</si>
  <si>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</si>
  <si>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</si>
  <si>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</si>
  <si>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</si>
  <si>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</si>
  <si>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</si>
  <si>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</si>
  <si>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</si>
  <si>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</si>
  <si>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</si>
  <si>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</si>
  <si>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</si>
  <si>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</si>
  <si>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</si>
  <si>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</si>
  <si>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</si>
  <si>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</si>
  <si>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</si>
  <si>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</si>
  <si>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</si>
  <si>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</si>
  <si>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</si>
  <si>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</si>
  <si>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</si>
  <si>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</si>
  <si>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</si>
  <si>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</si>
  <si>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</si>
  <si>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</si>
  <si>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</si>
  <si>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</si>
  <si>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</si>
  <si>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</si>
  <si>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</si>
  <si>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</si>
  <si>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</si>
  <si>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</si>
  <si>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</si>
  <si>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</si>
  <si>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</si>
  <si>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</si>
  <si>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</si>
  <si>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</si>
  <si>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</si>
  <si>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</si>
  <si>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</si>
  <si>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</si>
  <si>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</si>
  <si>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</si>
  <si>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</si>
  <si>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</si>
  <si>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</si>
  <si>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</si>
  <si>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</si>
  <si>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</si>
  <si>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</si>
  <si>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</si>
  <si>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</si>
  <si>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</si>
  <si>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</si>
  <si>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</si>
  <si>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</si>
  <si>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</si>
  <si>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</si>
  <si>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</si>
  <si>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</si>
  <si>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</si>
  <si>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</si>
  <si>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</si>
  <si>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</si>
  <si>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</si>
  <si>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</si>
  <si>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</si>
  <si>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</si>
  <si>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</si>
  <si>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</si>
  <si>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</si>
  <si>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</si>
  <si>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</si>
  <si>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</si>
  <si>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</si>
  <si>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</si>
  <si>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</si>
  <si>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</si>
  <si>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</si>
  <si>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</si>
  <si>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</si>
  <si>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</si>
  <si>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</si>
  <si>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</si>
  <si>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</si>
  <si>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</si>
  <si>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</si>
  <si>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</si>
  <si>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</si>
  <si>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</si>
  <si>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</si>
  <si>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</si>
  <si>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</si>
  <si>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</si>
  <si>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</si>
  <si>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</si>
  <si>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</si>
  <si>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</si>
  <si>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</si>
  <si>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</si>
  <si>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</si>
  <si>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</si>
  <si>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</si>
  <si>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</si>
  <si>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</si>
  <si>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</si>
  <si>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</si>
  <si>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</si>
  <si>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</si>
  <si>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</si>
  <si>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</si>
  <si>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</si>
  <si>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</si>
  <si>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</si>
  <si>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</si>
  <si>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</si>
  <si>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</si>
  <si>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</si>
  <si>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</si>
  <si>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</si>
  <si>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</si>
  <si>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</si>
  <si>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</si>
  <si>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</si>
  <si>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</si>
  <si>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</si>
  <si>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</si>
  <si>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</si>
  <si>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</si>
  <si>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</si>
  <si>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</si>
  <si>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</si>
  <si>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</si>
  <si>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</si>
  <si>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</si>
  <si>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</si>
  <si>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</si>
  <si>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</si>
  <si>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</si>
  <si>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</si>
  <si>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</si>
  <si>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</si>
  <si>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</si>
  <si>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</si>
  <si>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</si>
  <si>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</si>
  <si>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</si>
  <si>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</si>
  <si>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</si>
  <si>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</si>
  <si>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</si>
  <si>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</si>
  <si>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</si>
  <si>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</si>
  <si>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</si>
  <si>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</si>
  <si>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</si>
  <si>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</si>
  <si>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</si>
  <si>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</si>
  <si>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</si>
  <si>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</si>
  <si>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</si>
  <si>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</si>
  <si>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</si>
  <si>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</si>
  <si>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</si>
  <si>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</si>
  <si>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</si>
  <si>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</si>
  <si>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</si>
  <si>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</si>
  <si>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</si>
  <si>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</si>
  <si>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</si>
  <si>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</si>
  <si>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</si>
  <si>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</si>
  <si>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</si>
  <si>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</si>
  <si>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</si>
  <si>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</si>
  <si>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</si>
  <si>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</si>
  <si>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</si>
  <si>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</si>
  <si>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</si>
  <si>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</si>
  <si>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</si>
  <si>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</si>
  <si>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</si>
  <si>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</si>
  <si>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</si>
  <si>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</si>
  <si>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</si>
  <si>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</si>
  <si>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</si>
  <si>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</si>
  <si>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</si>
  <si>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</si>
  <si>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</si>
  <si>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</si>
  <si>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</si>
  <si>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</si>
  <si>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</si>
  <si>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</si>
  <si>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</si>
  <si>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</si>
  <si>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</si>
  <si>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</si>
  <si>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</si>
  <si>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</si>
  <si>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</si>
  <si>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</si>
  <si>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</si>
  <si>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</si>
  <si>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</si>
  <si>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</si>
  <si>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</si>
  <si>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</si>
  <si>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</si>
  <si>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</si>
  <si>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</si>
  <si>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</si>
  <si>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</si>
  <si>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</si>
  <si>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</si>
  <si>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</si>
  <si>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</si>
  <si>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</si>
  <si>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</si>
  <si>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</si>
  <si>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</si>
  <si>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</si>
  <si>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</si>
  <si>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</si>
  <si>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</si>
  <si>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</si>
  <si>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</si>
  <si>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</si>
  <si>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</si>
  <si>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</si>
  <si>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</si>
  <si>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</si>
  <si>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</si>
  <si>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</si>
  <si>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</si>
  <si>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</si>
  <si>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</si>
  <si>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</si>
  <si>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</si>
  <si>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</si>
  <si>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</si>
  <si>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</si>
  <si>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</si>
  <si>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</si>
  <si>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</si>
  <si>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</si>
  <si>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</si>
  <si>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</si>
  <si>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</si>
  <si>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</si>
  <si>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</si>
  <si>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отщдельно, подписать №1,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</si>
</sst>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9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3" t="s">
        <v>0</v>
      </c>
      <c r="E1" s="634"/>
      <c r="F1" s="634"/>
      <c r="G1" s="12" t="s">
        <v>1</v>
      </c>
      <c r="H1" s="633" t="s">
        <v>2</v>
      </c>
      <c r="I1" s="634"/>
      <c r="J1" s="634"/>
      <c r="K1" s="634"/>
      <c r="L1" s="634"/>
      <c r="M1" s="634"/>
      <c r="N1" s="634"/>
      <c r="O1" s="634"/>
      <c r="P1" s="634"/>
      <c r="Q1" s="634"/>
      <c r="R1" s="730" t="s">
        <v>3</v>
      </c>
      <c r="S1" s="634"/>
      <c r="T1" s="63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2" t="s">
        <v>8</v>
      </c>
      <c r="B5" s="663"/>
      <c r="C5" s="664"/>
      <c r="D5" s="638"/>
      <c r="E5" s="639"/>
      <c r="F5" s="827" t="s">
        <v>9</v>
      </c>
      <c r="G5" s="664"/>
      <c r="H5" s="638" t="s">
        <v>774</v>
      </c>
      <c r="I5" s="786"/>
      <c r="J5" s="786"/>
      <c r="K5" s="786"/>
      <c r="L5" s="786"/>
      <c r="M5" s="639"/>
      <c r="N5" s="58"/>
      <c r="P5" s="24" t="s">
        <v>10</v>
      </c>
      <c r="Q5" s="847">
        <v>46011</v>
      </c>
      <c r="R5" s="682"/>
      <c r="T5" s="738" t="s">
        <v>11</v>
      </c>
      <c r="U5" s="725"/>
      <c r="V5" s="739" t="s">
        <v>12</v>
      </c>
      <c r="W5" s="682"/>
      <c r="AB5" s="51"/>
      <c r="AC5" s="51"/>
      <c r="AD5" s="51"/>
      <c r="AE5" s="51"/>
    </row>
    <row r="6" spans="1:32" s="541" customFormat="1" ht="24" customHeight="1" x14ac:dyDescent="0.2">
      <c r="A6" s="662" t="s">
        <v>13</v>
      </c>
      <c r="B6" s="663"/>
      <c r="C6" s="664"/>
      <c r="D6" s="788" t="s">
        <v>14</v>
      </c>
      <c r="E6" s="789"/>
      <c r="F6" s="789"/>
      <c r="G6" s="789"/>
      <c r="H6" s="789"/>
      <c r="I6" s="789"/>
      <c r="J6" s="789"/>
      <c r="K6" s="789"/>
      <c r="L6" s="789"/>
      <c r="M6" s="682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Суббота</v>
      </c>
      <c r="R6" s="555"/>
      <c r="T6" s="724" t="s">
        <v>16</v>
      </c>
      <c r="U6" s="725"/>
      <c r="V6" s="773" t="s">
        <v>17</v>
      </c>
      <c r="W6" s="60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25"/>
      <c r="V7" s="774"/>
      <c r="W7" s="775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9"/>
      <c r="C8" s="560"/>
      <c r="D8" s="623" t="s">
        <v>19</v>
      </c>
      <c r="E8" s="624"/>
      <c r="F8" s="624"/>
      <c r="G8" s="624"/>
      <c r="H8" s="624"/>
      <c r="I8" s="624"/>
      <c r="J8" s="624"/>
      <c r="K8" s="624"/>
      <c r="L8" s="624"/>
      <c r="M8" s="625"/>
      <c r="N8" s="61"/>
      <c r="P8" s="24" t="s">
        <v>20</v>
      </c>
      <c r="Q8" s="650">
        <v>0.58333333333333337</v>
      </c>
      <c r="R8" s="612"/>
      <c r="T8" s="557"/>
      <c r="U8" s="725"/>
      <c r="V8" s="774"/>
      <c r="W8" s="775"/>
      <c r="AB8" s="51"/>
      <c r="AC8" s="51"/>
      <c r="AD8" s="51"/>
      <c r="AE8" s="51"/>
    </row>
    <row r="9" spans="1:32" s="541" customFormat="1" ht="39.950000000000003" customHeight="1" x14ac:dyDescent="0.2">
      <c r="A9" s="6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4"/>
      <c r="E9" s="569"/>
      <c r="F9" s="6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79"/>
      <c r="R9" s="680"/>
      <c r="T9" s="557"/>
      <c r="U9" s="725"/>
      <c r="V9" s="776"/>
      <c r="W9" s="77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4"/>
      <c r="E10" s="569"/>
      <c r="F10" s="6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1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26"/>
      <c r="R10" s="727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07" t="s">
        <v>28</v>
      </c>
      <c r="W11" s="68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2" t="s">
        <v>29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4"/>
      <c r="N12" s="62"/>
      <c r="P12" s="24" t="s">
        <v>30</v>
      </c>
      <c r="Q12" s="650"/>
      <c r="R12" s="612"/>
      <c r="S12" s="23"/>
      <c r="U12" s="24"/>
      <c r="V12" s="634"/>
      <c r="W12" s="557"/>
      <c r="AB12" s="51"/>
      <c r="AC12" s="51"/>
      <c r="AD12" s="51"/>
      <c r="AE12" s="51"/>
    </row>
    <row r="13" spans="1:32" s="541" customFormat="1" ht="23.25" customHeight="1" x14ac:dyDescent="0.2">
      <c r="A13" s="712" t="s">
        <v>31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4"/>
      <c r="N13" s="62"/>
      <c r="O13" s="26"/>
      <c r="P13" s="26" t="s">
        <v>32</v>
      </c>
      <c r="Q13" s="807"/>
      <c r="R13" s="68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2" t="s">
        <v>33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3"/>
      <c r="C15" s="663"/>
      <c r="D15" s="663"/>
      <c r="E15" s="663"/>
      <c r="F15" s="663"/>
      <c r="G15" s="663"/>
      <c r="H15" s="663"/>
      <c r="I15" s="663"/>
      <c r="J15" s="663"/>
      <c r="K15" s="663"/>
      <c r="L15" s="663"/>
      <c r="M15" s="664"/>
      <c r="N15" s="63"/>
      <c r="P15" s="702" t="s">
        <v>35</v>
      </c>
      <c r="Q15" s="634"/>
      <c r="R15" s="634"/>
      <c r="S15" s="634"/>
      <c r="T15" s="63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90" t="s">
        <v>38</v>
      </c>
      <c r="D17" s="589" t="s">
        <v>39</v>
      </c>
      <c r="E17" s="668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67"/>
      <c r="R17" s="667"/>
      <c r="S17" s="667"/>
      <c r="T17" s="668"/>
      <c r="U17" s="861" t="s">
        <v>51</v>
      </c>
      <c r="V17" s="664"/>
      <c r="W17" s="589" t="s">
        <v>52</v>
      </c>
      <c r="X17" s="589" t="s">
        <v>53</v>
      </c>
      <c r="Y17" s="862" t="s">
        <v>54</v>
      </c>
      <c r="Z17" s="784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4"/>
      <c r="AF17" s="835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69"/>
      <c r="E18" s="671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69"/>
      <c r="Q18" s="670"/>
      <c r="R18" s="670"/>
      <c r="S18" s="670"/>
      <c r="T18" s="671"/>
      <c r="U18" s="67" t="s">
        <v>61</v>
      </c>
      <c r="V18" s="67" t="s">
        <v>62</v>
      </c>
      <c r="W18" s="590"/>
      <c r="X18" s="590"/>
      <c r="Y18" s="863"/>
      <c r="Z18" s="785"/>
      <c r="AA18" s="763"/>
      <c r="AB18" s="763"/>
      <c r="AC18" s="763"/>
      <c r="AD18" s="836"/>
      <c r="AE18" s="837"/>
      <c r="AF18" s="838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56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62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4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5"/>
      <c r="P24" s="558" t="s">
        <v>75</v>
      </c>
      <c r="Q24" s="559"/>
      <c r="R24" s="559"/>
      <c r="S24" s="559"/>
      <c r="T24" s="559"/>
      <c r="U24" s="559"/>
      <c r="V24" s="560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5"/>
      <c r="P25" s="558" t="s">
        <v>75</v>
      </c>
      <c r="Q25" s="559"/>
      <c r="R25" s="559"/>
      <c r="S25" s="559"/>
      <c r="T25" s="559"/>
      <c r="U25" s="559"/>
      <c r="V25" s="560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2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4">
        <v>4607091388244</v>
      </c>
      <c r="E31" s="555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4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5"/>
      <c r="P32" s="558" t="s">
        <v>75</v>
      </c>
      <c r="Q32" s="559"/>
      <c r="R32" s="559"/>
      <c r="S32" s="559"/>
      <c r="T32" s="559"/>
      <c r="U32" s="559"/>
      <c r="V32" s="560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5"/>
      <c r="P33" s="558" t="s">
        <v>75</v>
      </c>
      <c r="Q33" s="559"/>
      <c r="R33" s="559"/>
      <c r="S33" s="559"/>
      <c r="T33" s="559"/>
      <c r="U33" s="559"/>
      <c r="V33" s="560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2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4">
        <v>4607091388503</v>
      </c>
      <c r="E35" s="555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4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5"/>
      <c r="P36" s="558" t="s">
        <v>75</v>
      </c>
      <c r="Q36" s="559"/>
      <c r="R36" s="559"/>
      <c r="S36" s="559"/>
      <c r="T36" s="559"/>
      <c r="U36" s="559"/>
      <c r="V36" s="560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5"/>
      <c r="P37" s="558" t="s">
        <v>75</v>
      </c>
      <c r="Q37" s="559"/>
      <c r="R37" s="559"/>
      <c r="S37" s="559"/>
      <c r="T37" s="559"/>
      <c r="U37" s="559"/>
      <c r="V37" s="560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99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56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62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4">
        <v>4607091385670</v>
      </c>
      <c r="E41" s="555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172.8</v>
      </c>
      <c r="Y41" s="548">
        <f>IFERROR(IF(X41="",0,CEILING((X41/$H41),1)*$H41),"")</f>
        <v>172.8</v>
      </c>
      <c r="Z41" s="36">
        <f>IFERROR(IF(Y41=0,"",ROUNDUP(Y41/H41,0)*0.01898),"")</f>
        <v>0.30368000000000001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179.36</v>
      </c>
      <c r="BN41" s="64">
        <f>IFERROR(Y41*I41/H41,"0")</f>
        <v>179.36</v>
      </c>
      <c r="BO41" s="64">
        <f>IFERROR(1/J41*(X41/H41),"0")</f>
        <v>0.25</v>
      </c>
      <c r="BP41" s="64">
        <f>IFERROR(1/J41*(Y41/H41),"0")</f>
        <v>0.25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4301011565</v>
      </c>
      <c r="D43" s="554">
        <v>4680115882539</v>
      </c>
      <c r="E43" s="555"/>
      <c r="F43" s="546">
        <v>0.37</v>
      </c>
      <c r="G43" s="32">
        <v>10</v>
      </c>
      <c r="H43" s="546">
        <v>3.7</v>
      </c>
      <c r="I43" s="546">
        <v>3.89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4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5"/>
      <c r="P44" s="558" t="s">
        <v>75</v>
      </c>
      <c r="Q44" s="559"/>
      <c r="R44" s="559"/>
      <c r="S44" s="559"/>
      <c r="T44" s="559"/>
      <c r="U44" s="559"/>
      <c r="V44" s="560"/>
      <c r="W44" s="37" t="s">
        <v>76</v>
      </c>
      <c r="X44" s="549">
        <f>IFERROR(X41/H41,"0")+IFERROR(X42/H42,"0")+IFERROR(X43/H43,"0")</f>
        <v>16</v>
      </c>
      <c r="Y44" s="549">
        <f>IFERROR(Y41/H41,"0")+IFERROR(Y42/H42,"0")+IFERROR(Y43/H43,"0")</f>
        <v>16</v>
      </c>
      <c r="Z44" s="549">
        <f>IFERROR(IF(Z41="",0,Z41),"0")+IFERROR(IF(Z42="",0,Z42),"0")+IFERROR(IF(Z43="",0,Z43),"0")</f>
        <v>0.30368000000000001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5"/>
      <c r="P45" s="558" t="s">
        <v>75</v>
      </c>
      <c r="Q45" s="559"/>
      <c r="R45" s="559"/>
      <c r="S45" s="559"/>
      <c r="T45" s="559"/>
      <c r="U45" s="559"/>
      <c r="V45" s="560"/>
      <c r="W45" s="37" t="s">
        <v>69</v>
      </c>
      <c r="X45" s="549">
        <f>IFERROR(SUM(X41:X43),"0")</f>
        <v>172.8</v>
      </c>
      <c r="Y45" s="549">
        <f>IFERROR(SUM(Y41:Y43),"0")</f>
        <v>172.8</v>
      </c>
      <c r="Z45" s="37"/>
      <c r="AA45" s="550"/>
      <c r="AB45" s="550"/>
      <c r="AC45" s="550"/>
    </row>
    <row r="46" spans="1:68" ht="14.25" hidden="1" customHeight="1" x14ac:dyDescent="0.25">
      <c r="A46" s="562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4">
        <v>4680115884915</v>
      </c>
      <c r="E47" s="555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4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5"/>
      <c r="P48" s="558" t="s">
        <v>75</v>
      </c>
      <c r="Q48" s="559"/>
      <c r="R48" s="559"/>
      <c r="S48" s="559"/>
      <c r="T48" s="559"/>
      <c r="U48" s="559"/>
      <c r="V48" s="560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5"/>
      <c r="P49" s="558" t="s">
        <v>75</v>
      </c>
      <c r="Q49" s="559"/>
      <c r="R49" s="559"/>
      <c r="S49" s="559"/>
      <c r="T49" s="559"/>
      <c r="U49" s="559"/>
      <c r="V49" s="560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56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62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54">
        <v>4680115885882</v>
      </c>
      <c r="E52" s="555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4">
        <v>4680115881426</v>
      </c>
      <c r="E53" s="555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5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172.8</v>
      </c>
      <c r="Y53" s="548">
        <f t="shared" si="0"/>
        <v>172.8</v>
      </c>
      <c r="Z53" s="36">
        <f>IFERROR(IF(Y53=0,"",ROUNDUP(Y53/H53,0)*0.01898),"")</f>
        <v>0.30368000000000001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179.36</v>
      </c>
      <c r="BN53" s="64">
        <f t="shared" si="2"/>
        <v>179.36</v>
      </c>
      <c r="BO53" s="64">
        <f t="shared" si="3"/>
        <v>0.25</v>
      </c>
      <c r="BP53" s="64">
        <f t="shared" si="4"/>
        <v>0.25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4">
        <v>4680115880283</v>
      </c>
      <c r="E54" s="555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54">
        <v>4680115881525</v>
      </c>
      <c r="E55" s="555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4">
        <v>4680115885899</v>
      </c>
      <c r="E56" s="555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54">
        <v>4680115881419</v>
      </c>
      <c r="E57" s="555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4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5"/>
      <c r="P58" s="558" t="s">
        <v>75</v>
      </c>
      <c r="Q58" s="559"/>
      <c r="R58" s="559"/>
      <c r="S58" s="559"/>
      <c r="T58" s="559"/>
      <c r="U58" s="559"/>
      <c r="V58" s="560"/>
      <c r="W58" s="37" t="s">
        <v>76</v>
      </c>
      <c r="X58" s="549">
        <f>IFERROR(X52/H52,"0")+IFERROR(X53/H53,"0")+IFERROR(X54/H54,"0")+IFERROR(X55/H55,"0")+IFERROR(X56/H56,"0")+IFERROR(X57/H57,"0")</f>
        <v>16</v>
      </c>
      <c r="Y58" s="549">
        <f>IFERROR(Y52/H52,"0")+IFERROR(Y53/H53,"0")+IFERROR(Y54/H54,"0")+IFERROR(Y55/H55,"0")+IFERROR(Y56/H56,"0")+IFERROR(Y57/H57,"0")</f>
        <v>16</v>
      </c>
      <c r="Z58" s="549">
        <f>IFERROR(IF(Z52="",0,Z52),"0")+IFERROR(IF(Z53="",0,Z53),"0")+IFERROR(IF(Z54="",0,Z54),"0")+IFERROR(IF(Z55="",0,Z55),"0")+IFERROR(IF(Z56="",0,Z56),"0")+IFERROR(IF(Z57="",0,Z57),"0")</f>
        <v>0.30368000000000001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5"/>
      <c r="P59" s="558" t="s">
        <v>75</v>
      </c>
      <c r="Q59" s="559"/>
      <c r="R59" s="559"/>
      <c r="S59" s="559"/>
      <c r="T59" s="559"/>
      <c r="U59" s="559"/>
      <c r="V59" s="560"/>
      <c r="W59" s="37" t="s">
        <v>69</v>
      </c>
      <c r="X59" s="549">
        <f>IFERROR(SUM(X52:X57),"0")</f>
        <v>172.8</v>
      </c>
      <c r="Y59" s="549">
        <f>IFERROR(SUM(Y52:Y57),"0")</f>
        <v>172.8</v>
      </c>
      <c r="Z59" s="37"/>
      <c r="AA59" s="550"/>
      <c r="AB59" s="550"/>
      <c r="AC59" s="550"/>
    </row>
    <row r="60" spans="1:68" ht="14.25" hidden="1" customHeight="1" x14ac:dyDescent="0.25">
      <c r="A60" s="562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54">
        <v>4680115881440</v>
      </c>
      <c r="E61" s="555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4">
        <v>4680115885950</v>
      </c>
      <c r="E62" s="555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54">
        <v>4680115881433</v>
      </c>
      <c r="E63" s="555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4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5"/>
      <c r="P64" s="558" t="s">
        <v>75</v>
      </c>
      <c r="Q64" s="559"/>
      <c r="R64" s="559"/>
      <c r="S64" s="559"/>
      <c r="T64" s="559"/>
      <c r="U64" s="559"/>
      <c r="V64" s="560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5"/>
      <c r="P65" s="558" t="s">
        <v>75</v>
      </c>
      <c r="Q65" s="559"/>
      <c r="R65" s="559"/>
      <c r="S65" s="559"/>
      <c r="T65" s="559"/>
      <c r="U65" s="559"/>
      <c r="V65" s="560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hidden="1" customHeight="1" x14ac:dyDescent="0.25">
      <c r="A66" s="562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4">
        <v>4680115885073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2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4">
        <v>4680115885097</v>
      </c>
      <c r="E68" s="555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4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5"/>
      <c r="P69" s="558" t="s">
        <v>75</v>
      </c>
      <c r="Q69" s="559"/>
      <c r="R69" s="559"/>
      <c r="S69" s="559"/>
      <c r="T69" s="559"/>
      <c r="U69" s="559"/>
      <c r="V69" s="560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5"/>
      <c r="P70" s="558" t="s">
        <v>75</v>
      </c>
      <c r="Q70" s="559"/>
      <c r="R70" s="559"/>
      <c r="S70" s="559"/>
      <c r="T70" s="559"/>
      <c r="U70" s="559"/>
      <c r="V70" s="560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62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4">
        <v>4680115885769</v>
      </c>
      <c r="E72" s="555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4">
        <v>4680115884311</v>
      </c>
      <c r="E73" s="555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4">
        <v>4680115885929</v>
      </c>
      <c r="E74" s="555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4">
        <v>4680115884403</v>
      </c>
      <c r="E75" s="555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4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5"/>
      <c r="P76" s="558" t="s">
        <v>75</v>
      </c>
      <c r="Q76" s="559"/>
      <c r="R76" s="559"/>
      <c r="S76" s="559"/>
      <c r="T76" s="559"/>
      <c r="U76" s="559"/>
      <c r="V76" s="560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5"/>
      <c r="P77" s="558" t="s">
        <v>75</v>
      </c>
      <c r="Q77" s="559"/>
      <c r="R77" s="559"/>
      <c r="S77" s="559"/>
      <c r="T77" s="559"/>
      <c r="U77" s="559"/>
      <c r="V77" s="560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62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4">
        <v>4680115881532</v>
      </c>
      <c r="E79" s="555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62.4</v>
      </c>
      <c r="Y79" s="548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65.680000000000007</v>
      </c>
      <c r="BN79" s="64">
        <f>IFERROR(Y79*I79/H79,"0")</f>
        <v>65.680000000000007</v>
      </c>
      <c r="BO79" s="64">
        <f>IFERROR(1/J79*(X79/H79),"0")</f>
        <v>0.125</v>
      </c>
      <c r="BP79" s="64">
        <f>IFERROR(1/J79*(Y79/H79),"0")</f>
        <v>0.125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54">
        <v>4680115881464</v>
      </c>
      <c r="E80" s="555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4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5"/>
      <c r="P81" s="558" t="s">
        <v>75</v>
      </c>
      <c r="Q81" s="559"/>
      <c r="R81" s="559"/>
      <c r="S81" s="559"/>
      <c r="T81" s="559"/>
      <c r="U81" s="559"/>
      <c r="V81" s="560"/>
      <c r="W81" s="37" t="s">
        <v>76</v>
      </c>
      <c r="X81" s="549">
        <f>IFERROR(X79/H79,"0")+IFERROR(X80/H80,"0")</f>
        <v>8</v>
      </c>
      <c r="Y81" s="549">
        <f>IFERROR(Y79/H79,"0")+IFERROR(Y80/H80,"0")</f>
        <v>8</v>
      </c>
      <c r="Z81" s="549">
        <f>IFERROR(IF(Z79="",0,Z79),"0")+IFERROR(IF(Z80="",0,Z80),"0")</f>
        <v>0.15184</v>
      </c>
      <c r="AA81" s="550"/>
      <c r="AB81" s="550"/>
      <c r="AC81" s="550"/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5"/>
      <c r="P82" s="558" t="s">
        <v>75</v>
      </c>
      <c r="Q82" s="559"/>
      <c r="R82" s="559"/>
      <c r="S82" s="559"/>
      <c r="T82" s="559"/>
      <c r="U82" s="559"/>
      <c r="V82" s="560"/>
      <c r="W82" s="37" t="s">
        <v>69</v>
      </c>
      <c r="X82" s="549">
        <f>IFERROR(SUM(X79:X80),"0")</f>
        <v>62.4</v>
      </c>
      <c r="Y82" s="549">
        <f>IFERROR(SUM(Y79:Y80),"0")</f>
        <v>62.4</v>
      </c>
      <c r="Z82" s="37"/>
      <c r="AA82" s="550"/>
      <c r="AB82" s="550"/>
      <c r="AC82" s="550"/>
    </row>
    <row r="83" spans="1:68" ht="16.5" hidden="1" customHeight="1" x14ac:dyDescent="0.25">
      <c r="A83" s="556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62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54">
        <v>4680115881327</v>
      </c>
      <c r="E85" s="555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54">
        <v>4680115887732</v>
      </c>
      <c r="E86" s="555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54">
        <v>4680115881518</v>
      </c>
      <c r="E87" s="555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54">
        <v>4680115881303</v>
      </c>
      <c r="E88" s="555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4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5"/>
      <c r="P89" s="558" t="s">
        <v>75</v>
      </c>
      <c r="Q89" s="559"/>
      <c r="R89" s="559"/>
      <c r="S89" s="559"/>
      <c r="T89" s="559"/>
      <c r="U89" s="559"/>
      <c r="V89" s="560"/>
      <c r="W89" s="37" t="s">
        <v>76</v>
      </c>
      <c r="X89" s="549">
        <f>IFERROR(X85/H85,"0")+IFERROR(X86/H86,"0")+IFERROR(X87/H87,"0")+IFERROR(X88/H88,"0")</f>
        <v>0</v>
      </c>
      <c r="Y89" s="549">
        <f>IFERROR(Y85/H85,"0")+IFERROR(Y86/H86,"0")+IFERROR(Y87/H87,"0")+IFERROR(Y88/H88,"0")</f>
        <v>0</v>
      </c>
      <c r="Z89" s="549">
        <f>IFERROR(IF(Z85="",0,Z85),"0")+IFERROR(IF(Z86="",0,Z86),"0")+IFERROR(IF(Z87="",0,Z87),"0")+IFERROR(IF(Z88="",0,Z88),"0")</f>
        <v>0</v>
      </c>
      <c r="AA89" s="550"/>
      <c r="AB89" s="550"/>
      <c r="AC89" s="550"/>
    </row>
    <row r="90" spans="1:68" hidden="1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5"/>
      <c r="P90" s="558" t="s">
        <v>75</v>
      </c>
      <c r="Q90" s="559"/>
      <c r="R90" s="559"/>
      <c r="S90" s="559"/>
      <c r="T90" s="559"/>
      <c r="U90" s="559"/>
      <c r="V90" s="560"/>
      <c r="W90" s="37" t="s">
        <v>69</v>
      </c>
      <c r="X90" s="549">
        <f>IFERROR(SUM(X85:X88),"0")</f>
        <v>0</v>
      </c>
      <c r="Y90" s="549">
        <f>IFERROR(SUM(Y85:Y88),"0")</f>
        <v>0</v>
      </c>
      <c r="Z90" s="37"/>
      <c r="AA90" s="550"/>
      <c r="AB90" s="550"/>
      <c r="AC90" s="550"/>
    </row>
    <row r="91" spans="1:68" ht="14.25" hidden="1" customHeight="1" x14ac:dyDescent="0.25">
      <c r="A91" s="562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54">
        <v>4607091386967</v>
      </c>
      <c r="E92" s="555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54">
        <v>4680115884953</v>
      </c>
      <c r="E93" s="555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54">
        <v>4607091385731</v>
      </c>
      <c r="E94" s="555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54">
        <v>4680115880894</v>
      </c>
      <c r="E95" s="555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4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5"/>
      <c r="P96" s="558" t="s">
        <v>75</v>
      </c>
      <c r="Q96" s="559"/>
      <c r="R96" s="559"/>
      <c r="S96" s="559"/>
      <c r="T96" s="559"/>
      <c r="U96" s="559"/>
      <c r="V96" s="560"/>
      <c r="W96" s="37" t="s">
        <v>76</v>
      </c>
      <c r="X96" s="549">
        <f>IFERROR(X92/H92,"0")+IFERROR(X93/H93,"0")+IFERROR(X94/H94,"0")+IFERROR(X95/H95,"0")</f>
        <v>0</v>
      </c>
      <c r="Y96" s="549">
        <f>IFERROR(Y92/H92,"0")+IFERROR(Y93/H93,"0")+IFERROR(Y94/H94,"0")+IFERROR(Y95/H95,"0")</f>
        <v>0</v>
      </c>
      <c r="Z96" s="549">
        <f>IFERROR(IF(Z92="",0,Z92),"0")+IFERROR(IF(Z93="",0,Z93),"0")+IFERROR(IF(Z94="",0,Z94),"0")+IFERROR(IF(Z95="",0,Z95),"0")</f>
        <v>0</v>
      </c>
      <c r="AA96" s="550"/>
      <c r="AB96" s="550"/>
      <c r="AC96" s="550"/>
    </row>
    <row r="97" spans="1:68" hidden="1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5"/>
      <c r="P97" s="558" t="s">
        <v>75</v>
      </c>
      <c r="Q97" s="559"/>
      <c r="R97" s="559"/>
      <c r="S97" s="559"/>
      <c r="T97" s="559"/>
      <c r="U97" s="559"/>
      <c r="V97" s="560"/>
      <c r="W97" s="37" t="s">
        <v>69</v>
      </c>
      <c r="X97" s="549">
        <f>IFERROR(SUM(X92:X95),"0")</f>
        <v>0</v>
      </c>
      <c r="Y97" s="549">
        <f>IFERROR(SUM(Y92:Y95),"0")</f>
        <v>0</v>
      </c>
      <c r="Z97" s="37"/>
      <c r="AA97" s="550"/>
      <c r="AB97" s="550"/>
      <c r="AC97" s="550"/>
    </row>
    <row r="98" spans="1:68" ht="16.5" hidden="1" customHeight="1" x14ac:dyDescent="0.25">
      <c r="A98" s="556" t="s">
        <v>192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62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54">
        <v>4680115882133</v>
      </c>
      <c r="E100" s="555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54">
        <v>4680115887718</v>
      </c>
      <c r="E101" s="555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54">
        <v>4680115880269</v>
      </c>
      <c r="E102" s="555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54">
        <v>4680115880429</v>
      </c>
      <c r="E103" s="555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54">
        <v>4680115881457</v>
      </c>
      <c r="E104" s="555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4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5"/>
      <c r="P105" s="558" t="s">
        <v>75</v>
      </c>
      <c r="Q105" s="559"/>
      <c r="R105" s="559"/>
      <c r="S105" s="559"/>
      <c r="T105" s="559"/>
      <c r="U105" s="559"/>
      <c r="V105" s="560"/>
      <c r="W105" s="37" t="s">
        <v>76</v>
      </c>
      <c r="X105" s="549">
        <f>IFERROR(X100/H100,"0")+IFERROR(X101/H101,"0")+IFERROR(X102/H102,"0")+IFERROR(X103/H103,"0")+IFERROR(X104/H104,"0")</f>
        <v>0</v>
      </c>
      <c r="Y105" s="549">
        <f>IFERROR(Y100/H100,"0")+IFERROR(Y101/H101,"0")+IFERROR(Y102/H102,"0")+IFERROR(Y103/H103,"0")+IFERROR(Y104/H104,"0")</f>
        <v>0</v>
      </c>
      <c r="Z105" s="549">
        <f>IFERROR(IF(Z100="",0,Z100),"0")+IFERROR(IF(Z101="",0,Z101),"0")+IFERROR(IF(Z102="",0,Z102),"0")+IFERROR(IF(Z103="",0,Z103),"0")+IFERROR(IF(Z104="",0,Z104),"0")</f>
        <v>0</v>
      </c>
      <c r="AA105" s="550"/>
      <c r="AB105" s="550"/>
      <c r="AC105" s="550"/>
    </row>
    <row r="106" spans="1:68" hidden="1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5"/>
      <c r="P106" s="558" t="s">
        <v>75</v>
      </c>
      <c r="Q106" s="559"/>
      <c r="R106" s="559"/>
      <c r="S106" s="559"/>
      <c r="T106" s="559"/>
      <c r="U106" s="559"/>
      <c r="V106" s="560"/>
      <c r="W106" s="37" t="s">
        <v>69</v>
      </c>
      <c r="X106" s="549">
        <f>IFERROR(SUM(X100:X104),"0")</f>
        <v>0</v>
      </c>
      <c r="Y106" s="549">
        <f>IFERROR(SUM(Y100:Y104),"0")</f>
        <v>0</v>
      </c>
      <c r="Z106" s="37"/>
      <c r="AA106" s="550"/>
      <c r="AB106" s="550"/>
      <c r="AC106" s="550"/>
    </row>
    <row r="107" spans="1:68" ht="14.25" hidden="1" customHeight="1" x14ac:dyDescent="0.25">
      <c r="A107" s="562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54">
        <v>4680115881488</v>
      </c>
      <c r="E108" s="555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54">
        <v>4680115887664</v>
      </c>
      <c r="E109" s="555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54">
        <v>4680115882775</v>
      </c>
      <c r="E110" s="555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54">
        <v>4680115880658</v>
      </c>
      <c r="E111" s="555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216</v>
      </c>
      <c r="M111" s="33" t="s">
        <v>106</v>
      </c>
      <c r="N111" s="33"/>
      <c r="O111" s="32">
        <v>55</v>
      </c>
      <c r="P111" s="79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4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5"/>
      <c r="P112" s="558" t="s">
        <v>75</v>
      </c>
      <c r="Q112" s="559"/>
      <c r="R112" s="559"/>
      <c r="S112" s="559"/>
      <c r="T112" s="559"/>
      <c r="U112" s="559"/>
      <c r="V112" s="560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hidden="1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5"/>
      <c r="P113" s="558" t="s">
        <v>75</v>
      </c>
      <c r="Q113" s="559"/>
      <c r="R113" s="559"/>
      <c r="S113" s="559"/>
      <c r="T113" s="559"/>
      <c r="U113" s="559"/>
      <c r="V113" s="560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hidden="1" customHeight="1" x14ac:dyDescent="0.25">
      <c r="A114" s="562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4">
        <v>4607091385168</v>
      </c>
      <c r="E115" s="555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64.8</v>
      </c>
      <c r="Y115" s="548">
        <f>IFERROR(IF(X115="",0,CEILING((X115/$H115),1)*$H115),"")</f>
        <v>64.8</v>
      </c>
      <c r="Z115" s="36">
        <f>IFERROR(IF(Y115=0,"",ROUNDUP(Y115/H115,0)*0.01898),"")</f>
        <v>0.15184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68.703999999999994</v>
      </c>
      <c r="BN115" s="64">
        <f>IFERROR(Y115*I115/H115,"0")</f>
        <v>68.703999999999994</v>
      </c>
      <c r="BO115" s="64">
        <f>IFERROR(1/J115*(X115/H115),"0")</f>
        <v>0.125</v>
      </c>
      <c r="BP115" s="64">
        <f>IFERROR(1/J115*(Y115/H115),"0")</f>
        <v>0.125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54">
        <v>4607091383256</v>
      </c>
      <c r="E116" s="555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4301051721</v>
      </c>
      <c r="D117" s="554">
        <v>4607091385748</v>
      </c>
      <c r="E117" s="555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216</v>
      </c>
      <c r="M117" s="33" t="s">
        <v>86</v>
      </c>
      <c r="N117" s="33"/>
      <c r="O117" s="32">
        <v>45</v>
      </c>
      <c r="P117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4">
        <v>4680115884533</v>
      </c>
      <c r="E118" s="555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4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5"/>
      <c r="P119" s="558" t="s">
        <v>75</v>
      </c>
      <c r="Q119" s="559"/>
      <c r="R119" s="559"/>
      <c r="S119" s="559"/>
      <c r="T119" s="559"/>
      <c r="U119" s="559"/>
      <c r="V119" s="560"/>
      <c r="W119" s="37" t="s">
        <v>76</v>
      </c>
      <c r="X119" s="549">
        <f>IFERROR(X115/H115,"0")+IFERROR(X116/H116,"0")+IFERROR(X117/H117,"0")+IFERROR(X118/H118,"0")</f>
        <v>8</v>
      </c>
      <c r="Y119" s="549">
        <f>IFERROR(Y115/H115,"0")+IFERROR(Y116/H116,"0")+IFERROR(Y117/H117,"0")+IFERROR(Y118/H118,"0")</f>
        <v>8</v>
      </c>
      <c r="Z119" s="549">
        <f>IFERROR(IF(Z115="",0,Z115),"0")+IFERROR(IF(Z116="",0,Z116),"0")+IFERROR(IF(Z117="",0,Z117),"0")+IFERROR(IF(Z118="",0,Z118),"0")</f>
        <v>0.15184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5"/>
      <c r="P120" s="558" t="s">
        <v>75</v>
      </c>
      <c r="Q120" s="559"/>
      <c r="R120" s="559"/>
      <c r="S120" s="559"/>
      <c r="T120" s="559"/>
      <c r="U120" s="559"/>
      <c r="V120" s="560"/>
      <c r="W120" s="37" t="s">
        <v>69</v>
      </c>
      <c r="X120" s="549">
        <f>IFERROR(SUM(X115:X118),"0")</f>
        <v>64.8</v>
      </c>
      <c r="Y120" s="549">
        <f>IFERROR(SUM(Y115:Y118),"0")</f>
        <v>64.8</v>
      </c>
      <c r="Z120" s="37"/>
      <c r="AA120" s="550"/>
      <c r="AB120" s="550"/>
      <c r="AC120" s="550"/>
    </row>
    <row r="121" spans="1:68" ht="14.25" hidden="1" customHeight="1" x14ac:dyDescent="0.25">
      <c r="A121" s="562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54">
        <v>4680115880238</v>
      </c>
      <c r="E122" s="555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4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5"/>
      <c r="P123" s="558" t="s">
        <v>75</v>
      </c>
      <c r="Q123" s="559"/>
      <c r="R123" s="559"/>
      <c r="S123" s="559"/>
      <c r="T123" s="559"/>
      <c r="U123" s="559"/>
      <c r="V123" s="560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hidden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5"/>
      <c r="P124" s="558" t="s">
        <v>75</v>
      </c>
      <c r="Q124" s="559"/>
      <c r="R124" s="559"/>
      <c r="S124" s="559"/>
      <c r="T124" s="559"/>
      <c r="U124" s="559"/>
      <c r="V124" s="560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hidden="1" customHeight="1" x14ac:dyDescent="0.25">
      <c r="A125" s="556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62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4">
        <v>4680115882577</v>
      </c>
      <c r="E128" s="555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4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5"/>
      <c r="P129" s="558" t="s">
        <v>75</v>
      </c>
      <c r="Q129" s="559"/>
      <c r="R129" s="559"/>
      <c r="S129" s="559"/>
      <c r="T129" s="559"/>
      <c r="U129" s="559"/>
      <c r="V129" s="560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hidden="1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5"/>
      <c r="P130" s="558" t="s">
        <v>75</v>
      </c>
      <c r="Q130" s="559"/>
      <c r="R130" s="559"/>
      <c r="S130" s="559"/>
      <c r="T130" s="559"/>
      <c r="U130" s="559"/>
      <c r="V130" s="560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hidden="1" customHeight="1" x14ac:dyDescent="0.25">
      <c r="A131" s="562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54">
        <v>4680115883444</v>
      </c>
      <c r="E133" s="555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4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5"/>
      <c r="P134" s="558" t="s">
        <v>75</v>
      </c>
      <c r="Q134" s="559"/>
      <c r="R134" s="559"/>
      <c r="S134" s="559"/>
      <c r="T134" s="559"/>
      <c r="U134" s="559"/>
      <c r="V134" s="560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hidden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5"/>
      <c r="P135" s="558" t="s">
        <v>75</v>
      </c>
      <c r="Q135" s="559"/>
      <c r="R135" s="559"/>
      <c r="S135" s="559"/>
      <c r="T135" s="559"/>
      <c r="U135" s="559"/>
      <c r="V135" s="560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hidden="1" customHeight="1" x14ac:dyDescent="0.25">
      <c r="A136" s="562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54">
        <v>4680115882584</v>
      </c>
      <c r="E138" s="555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4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5"/>
      <c r="P139" s="558" t="s">
        <v>75</v>
      </c>
      <c r="Q139" s="559"/>
      <c r="R139" s="559"/>
      <c r="S139" s="559"/>
      <c r="T139" s="559"/>
      <c r="U139" s="559"/>
      <c r="V139" s="560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hidden="1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5"/>
      <c r="P140" s="558" t="s">
        <v>75</v>
      </c>
      <c r="Q140" s="559"/>
      <c r="R140" s="559"/>
      <c r="S140" s="559"/>
      <c r="T140" s="559"/>
      <c r="U140" s="559"/>
      <c r="V140" s="560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hidden="1" customHeight="1" x14ac:dyDescent="0.25">
      <c r="A141" s="556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62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4">
        <v>4680115887374</v>
      </c>
      <c r="E143" s="555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4">
        <v>4607091384604</v>
      </c>
      <c r="E144" s="555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4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5"/>
      <c r="P145" s="558" t="s">
        <v>75</v>
      </c>
      <c r="Q145" s="559"/>
      <c r="R145" s="559"/>
      <c r="S145" s="559"/>
      <c r="T145" s="559"/>
      <c r="U145" s="559"/>
      <c r="V145" s="560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5"/>
      <c r="P146" s="558" t="s">
        <v>75</v>
      </c>
      <c r="Q146" s="559"/>
      <c r="R146" s="559"/>
      <c r="S146" s="559"/>
      <c r="T146" s="559"/>
      <c r="U146" s="559"/>
      <c r="V146" s="560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62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4">
        <v>4680115887428</v>
      </c>
      <c r="E148" s="555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3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0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4">
        <v>4680115887398</v>
      </c>
      <c r="E150" s="555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66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4">
        <v>4607091387667</v>
      </c>
      <c r="E151" s="555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4">
        <v>4607091387636</v>
      </c>
      <c r="E152" s="555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4">
        <v>4607091382426</v>
      </c>
      <c r="E153" s="555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4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5"/>
      <c r="P154" s="558" t="s">
        <v>75</v>
      </c>
      <c r="Q154" s="559"/>
      <c r="R154" s="559"/>
      <c r="S154" s="559"/>
      <c r="T154" s="559"/>
      <c r="U154" s="559"/>
      <c r="V154" s="560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5"/>
      <c r="P155" s="558" t="s">
        <v>75</v>
      </c>
      <c r="Q155" s="559"/>
      <c r="R155" s="559"/>
      <c r="S155" s="559"/>
      <c r="T155" s="559"/>
      <c r="U155" s="559"/>
      <c r="V155" s="560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62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4">
        <v>4680115887459</v>
      </c>
      <c r="E157" s="555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4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5"/>
      <c r="P158" s="558" t="s">
        <v>75</v>
      </c>
      <c r="Q158" s="559"/>
      <c r="R158" s="559"/>
      <c r="S158" s="559"/>
      <c r="T158" s="559"/>
      <c r="U158" s="559"/>
      <c r="V158" s="560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5"/>
      <c r="P159" s="558" t="s">
        <v>75</v>
      </c>
      <c r="Q159" s="559"/>
      <c r="R159" s="559"/>
      <c r="S159" s="559"/>
      <c r="T159" s="559"/>
      <c r="U159" s="559"/>
      <c r="V159" s="560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2" t="s">
        <v>273</v>
      </c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  <c r="AA160" s="48"/>
      <c r="AB160" s="48"/>
      <c r="AC160" s="48"/>
    </row>
    <row r="161" spans="1:68" ht="16.5" hidden="1" customHeight="1" x14ac:dyDescent="0.25">
      <c r="A161" s="556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62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4">
        <v>4680115886223</v>
      </c>
      <c r="E163" s="555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4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5"/>
      <c r="P164" s="558" t="s">
        <v>75</v>
      </c>
      <c r="Q164" s="559"/>
      <c r="R164" s="559"/>
      <c r="S164" s="559"/>
      <c r="T164" s="559"/>
      <c r="U164" s="559"/>
      <c r="V164" s="560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5"/>
      <c r="P165" s="558" t="s">
        <v>75</v>
      </c>
      <c r="Q165" s="559"/>
      <c r="R165" s="559"/>
      <c r="S165" s="559"/>
      <c r="T165" s="559"/>
      <c r="U165" s="559"/>
      <c r="V165" s="560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62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54">
        <v>4680115880993</v>
      </c>
      <c r="E167" s="555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54">
        <v>4680115881761</v>
      </c>
      <c r="E168" s="555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54">
        <v>4680115881563</v>
      </c>
      <c r="E169" s="555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4">
        <v>4680115887565</v>
      </c>
      <c r="E170" s="555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54">
        <v>4680115880986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4">
        <v>4680115887213</v>
      </c>
      <c r="E172" s="555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54">
        <v>4680115881785</v>
      </c>
      <c r="E173" s="555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idden="1" x14ac:dyDescent="0.2">
      <c r="A179" s="564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5"/>
      <c r="P179" s="558" t="s">
        <v>75</v>
      </c>
      <c r="Q179" s="559"/>
      <c r="R179" s="559"/>
      <c r="S179" s="559"/>
      <c r="T179" s="559"/>
      <c r="U179" s="559"/>
      <c r="V179" s="560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hidden="1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5"/>
      <c r="P180" s="558" t="s">
        <v>75</v>
      </c>
      <c r="Q180" s="559"/>
      <c r="R180" s="559"/>
      <c r="S180" s="559"/>
      <c r="T180" s="559"/>
      <c r="U180" s="559"/>
      <c r="V180" s="560"/>
      <c r="W180" s="37" t="s">
        <v>69</v>
      </c>
      <c r="X180" s="549">
        <f>IFERROR(SUM(X167:X178),"0")</f>
        <v>0</v>
      </c>
      <c r="Y180" s="549">
        <f>IFERROR(SUM(Y167:Y178),"0")</f>
        <v>0</v>
      </c>
      <c r="Z180" s="37"/>
      <c r="AA180" s="550"/>
      <c r="AB180" s="550"/>
      <c r="AC180" s="550"/>
    </row>
    <row r="181" spans="1:68" ht="14.25" hidden="1" customHeight="1" x14ac:dyDescent="0.25">
      <c r="A181" s="562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4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5"/>
      <c r="P185" s="558" t="s">
        <v>75</v>
      </c>
      <c r="Q185" s="559"/>
      <c r="R185" s="559"/>
      <c r="S185" s="559"/>
      <c r="T185" s="559"/>
      <c r="U185" s="559"/>
      <c r="V185" s="560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5"/>
      <c r="P186" s="558" t="s">
        <v>75</v>
      </c>
      <c r="Q186" s="559"/>
      <c r="R186" s="559"/>
      <c r="S186" s="559"/>
      <c r="T186" s="559"/>
      <c r="U186" s="559"/>
      <c r="V186" s="560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2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4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5"/>
      <c r="P189" s="558" t="s">
        <v>75</v>
      </c>
      <c r="Q189" s="559"/>
      <c r="R189" s="559"/>
      <c r="S189" s="559"/>
      <c r="T189" s="559"/>
      <c r="U189" s="559"/>
      <c r="V189" s="560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5"/>
      <c r="P190" s="558" t="s">
        <v>75</v>
      </c>
      <c r="Q190" s="559"/>
      <c r="R190" s="559"/>
      <c r="S190" s="559"/>
      <c r="T190" s="559"/>
      <c r="U190" s="559"/>
      <c r="V190" s="560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56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62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7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4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5"/>
      <c r="P195" s="558" t="s">
        <v>75</v>
      </c>
      <c r="Q195" s="559"/>
      <c r="R195" s="559"/>
      <c r="S195" s="559"/>
      <c r="T195" s="559"/>
      <c r="U195" s="559"/>
      <c r="V195" s="560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5"/>
      <c r="P196" s="558" t="s">
        <v>75</v>
      </c>
      <c r="Q196" s="559"/>
      <c r="R196" s="559"/>
      <c r="S196" s="559"/>
      <c r="T196" s="559"/>
      <c r="U196" s="559"/>
      <c r="V196" s="560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2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216</v>
      </c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4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5"/>
      <c r="P200" s="558" t="s">
        <v>75</v>
      </c>
      <c r="Q200" s="559"/>
      <c r="R200" s="559"/>
      <c r="S200" s="559"/>
      <c r="T200" s="559"/>
      <c r="U200" s="559"/>
      <c r="V200" s="560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5"/>
      <c r="P201" s="558" t="s">
        <v>75</v>
      </c>
      <c r="Q201" s="559"/>
      <c r="R201" s="559"/>
      <c r="S201" s="559"/>
      <c r="T201" s="559"/>
      <c r="U201" s="559"/>
      <c r="V201" s="560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2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hidden="1" customHeight="1" x14ac:dyDescent="0.25">
      <c r="A203" s="54" t="s">
        <v>335</v>
      </c>
      <c r="B203" s="54" t="s">
        <v>336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/>
      <c r="M205" s="33" t="s">
        <v>68</v>
      </c>
      <c r="N205" s="33"/>
      <c r="O205" s="32">
        <v>40</v>
      </c>
      <c r="P205" s="6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/>
      <c r="AK205" s="68">
        <v>0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idden="1" x14ac:dyDescent="0.2">
      <c r="A211" s="564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5"/>
      <c r="P211" s="558" t="s">
        <v>75</v>
      </c>
      <c r="Q211" s="559"/>
      <c r="R211" s="559"/>
      <c r="S211" s="559"/>
      <c r="T211" s="559"/>
      <c r="U211" s="559"/>
      <c r="V211" s="560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hidden="1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5"/>
      <c r="P212" s="558" t="s">
        <v>75</v>
      </c>
      <c r="Q212" s="559"/>
      <c r="R212" s="559"/>
      <c r="S212" s="559"/>
      <c r="T212" s="559"/>
      <c r="U212" s="559"/>
      <c r="V212" s="560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hidden="1" customHeight="1" x14ac:dyDescent="0.25">
      <c r="A213" s="562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216</v>
      </c>
      <c r="M217" s="33" t="s">
        <v>80</v>
      </c>
      <c r="N217" s="33"/>
      <c r="O217" s="32">
        <v>40</v>
      </c>
      <c r="P217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216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216</v>
      </c>
      <c r="M220" s="33" t="s">
        <v>80</v>
      </c>
      <c r="N220" s="33"/>
      <c r="O220" s="32">
        <v>45</v>
      </c>
      <c r="P220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216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216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idden="1" x14ac:dyDescent="0.2">
      <c r="A223" s="564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5"/>
      <c r="P223" s="558" t="s">
        <v>75</v>
      </c>
      <c r="Q223" s="559"/>
      <c r="R223" s="559"/>
      <c r="S223" s="559"/>
      <c r="T223" s="559"/>
      <c r="U223" s="559"/>
      <c r="V223" s="560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0</v>
      </c>
      <c r="Y223" s="549">
        <f>IFERROR(Y214/H214,"0")+IFERROR(Y215/H215,"0")+IFERROR(Y216/H216,"0")+IFERROR(Y217/H217,"0")+IFERROR(Y218/H218,"0")+IFERROR(Y219/H219,"0")+IFERROR(Y220/H220,"0")+IFERROR(Y221/H221,"0")+IFERROR(Y222/H222,"0")</f>
        <v>0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0"/>
      <c r="AB223" s="550"/>
      <c r="AC223" s="550"/>
    </row>
    <row r="224" spans="1:68" hidden="1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5"/>
      <c r="P224" s="558" t="s">
        <v>75</v>
      </c>
      <c r="Q224" s="559"/>
      <c r="R224" s="559"/>
      <c r="S224" s="559"/>
      <c r="T224" s="559"/>
      <c r="U224" s="559"/>
      <c r="V224" s="560"/>
      <c r="W224" s="37" t="s">
        <v>69</v>
      </c>
      <c r="X224" s="549">
        <f>IFERROR(SUM(X214:X222),"0")</f>
        <v>0</v>
      </c>
      <c r="Y224" s="549">
        <f>IFERROR(SUM(Y214:Y222),"0")</f>
        <v>0</v>
      </c>
      <c r="Z224" s="37"/>
      <c r="AA224" s="550"/>
      <c r="AB224" s="550"/>
      <c r="AC224" s="550"/>
    </row>
    <row r="225" spans="1:68" ht="14.25" hidden="1" customHeight="1" x14ac:dyDescent="0.25">
      <c r="A225" s="562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216</v>
      </c>
      <c r="M227" s="33" t="s">
        <v>80</v>
      </c>
      <c r="N227" s="33"/>
      <c r="O227" s="32">
        <v>40</v>
      </c>
      <c r="P227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4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5"/>
      <c r="P228" s="558" t="s">
        <v>75</v>
      </c>
      <c r="Q228" s="559"/>
      <c r="R228" s="559"/>
      <c r="S228" s="559"/>
      <c r="T228" s="559"/>
      <c r="U228" s="559"/>
      <c r="V228" s="560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5"/>
      <c r="P229" s="558" t="s">
        <v>75</v>
      </c>
      <c r="Q229" s="559"/>
      <c r="R229" s="559"/>
      <c r="S229" s="559"/>
      <c r="T229" s="559"/>
      <c r="U229" s="559"/>
      <c r="V229" s="560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56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62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5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4301012196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4301011824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4301012195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4301011722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4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5"/>
      <c r="P241" s="558" t="s">
        <v>75</v>
      </c>
      <c r="Q241" s="559"/>
      <c r="R241" s="559"/>
      <c r="S241" s="559"/>
      <c r="T241" s="559"/>
      <c r="U241" s="559"/>
      <c r="V241" s="560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5"/>
      <c r="P242" s="558" t="s">
        <v>75</v>
      </c>
      <c r="Q242" s="559"/>
      <c r="R242" s="559"/>
      <c r="S242" s="559"/>
      <c r="T242" s="559"/>
      <c r="U242" s="559"/>
      <c r="V242" s="560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2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4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5"/>
      <c r="P245" s="558" t="s">
        <v>75</v>
      </c>
      <c r="Q245" s="559"/>
      <c r="R245" s="559"/>
      <c r="S245" s="559"/>
      <c r="T245" s="559"/>
      <c r="U245" s="559"/>
      <c r="V245" s="560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5"/>
      <c r="P246" s="558" t="s">
        <v>75</v>
      </c>
      <c r="Q246" s="559"/>
      <c r="R246" s="559"/>
      <c r="S246" s="559"/>
      <c r="T246" s="559"/>
      <c r="U246" s="559"/>
      <c r="V246" s="560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2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4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5"/>
      <c r="P249" s="558" t="s">
        <v>75</v>
      </c>
      <c r="Q249" s="559"/>
      <c r="R249" s="559"/>
      <c r="S249" s="559"/>
      <c r="T249" s="559"/>
      <c r="U249" s="559"/>
      <c r="V249" s="560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5"/>
      <c r="P250" s="558" t="s">
        <v>75</v>
      </c>
      <c r="Q250" s="559"/>
      <c r="R250" s="559"/>
      <c r="S250" s="559"/>
      <c r="T250" s="559"/>
      <c r="U250" s="559"/>
      <c r="V250" s="560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2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4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5"/>
      <c r="P257" s="558" t="s">
        <v>75</v>
      </c>
      <c r="Q257" s="559"/>
      <c r="R257" s="559"/>
      <c r="S257" s="559"/>
      <c r="T257" s="559"/>
      <c r="U257" s="559"/>
      <c r="V257" s="560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5"/>
      <c r="P258" s="558" t="s">
        <v>75</v>
      </c>
      <c r="Q258" s="559"/>
      <c r="R258" s="559"/>
      <c r="S258" s="559"/>
      <c r="T258" s="559"/>
      <c r="U258" s="559"/>
      <c r="V258" s="560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56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62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4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5"/>
      <c r="P266" s="558" t="s">
        <v>75</v>
      </c>
      <c r="Q266" s="559"/>
      <c r="R266" s="559"/>
      <c r="S266" s="559"/>
      <c r="T266" s="559"/>
      <c r="U266" s="559"/>
      <c r="V266" s="560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5"/>
      <c r="P267" s="558" t="s">
        <v>75</v>
      </c>
      <c r="Q267" s="559"/>
      <c r="R267" s="559"/>
      <c r="S267" s="559"/>
      <c r="T267" s="559"/>
      <c r="U267" s="559"/>
      <c r="V267" s="560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56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62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5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4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5"/>
      <c r="P274" s="558" t="s">
        <v>75</v>
      </c>
      <c r="Q274" s="559"/>
      <c r="R274" s="559"/>
      <c r="S274" s="559"/>
      <c r="T274" s="559"/>
      <c r="U274" s="559"/>
      <c r="V274" s="560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5"/>
      <c r="P275" s="558" t="s">
        <v>75</v>
      </c>
      <c r="Q275" s="559"/>
      <c r="R275" s="559"/>
      <c r="S275" s="559"/>
      <c r="T275" s="559"/>
      <c r="U275" s="559"/>
      <c r="V275" s="560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6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62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216</v>
      </c>
      <c r="M279" s="33" t="s">
        <v>86</v>
      </c>
      <c r="N279" s="33"/>
      <c r="O279" s="32">
        <v>40</v>
      </c>
      <c r="P279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216</v>
      </c>
      <c r="M280" s="33" t="s">
        <v>80</v>
      </c>
      <c r="N280" s="33"/>
      <c r="O280" s="32">
        <v>45</v>
      </c>
      <c r="P280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4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5"/>
      <c r="P281" s="558" t="s">
        <v>75</v>
      </c>
      <c r="Q281" s="559"/>
      <c r="R281" s="559"/>
      <c r="S281" s="559"/>
      <c r="T281" s="559"/>
      <c r="U281" s="559"/>
      <c r="V281" s="560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5"/>
      <c r="P282" s="558" t="s">
        <v>75</v>
      </c>
      <c r="Q282" s="559"/>
      <c r="R282" s="559"/>
      <c r="S282" s="559"/>
      <c r="T282" s="559"/>
      <c r="U282" s="559"/>
      <c r="V282" s="560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56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62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4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5"/>
      <c r="P287" s="558" t="s">
        <v>75</v>
      </c>
      <c r="Q287" s="559"/>
      <c r="R287" s="559"/>
      <c r="S287" s="559"/>
      <c r="T287" s="559"/>
      <c r="U287" s="559"/>
      <c r="V287" s="560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5"/>
      <c r="P288" s="558" t="s">
        <v>75</v>
      </c>
      <c r="Q288" s="559"/>
      <c r="R288" s="559"/>
      <c r="S288" s="559"/>
      <c r="T288" s="559"/>
      <c r="U288" s="559"/>
      <c r="V288" s="560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2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4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5"/>
      <c r="P292" s="558" t="s">
        <v>75</v>
      </c>
      <c r="Q292" s="559"/>
      <c r="R292" s="559"/>
      <c r="S292" s="559"/>
      <c r="T292" s="559"/>
      <c r="U292" s="559"/>
      <c r="V292" s="560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5"/>
      <c r="P293" s="558" t="s">
        <v>75</v>
      </c>
      <c r="Q293" s="559"/>
      <c r="R293" s="559"/>
      <c r="S293" s="559"/>
      <c r="T293" s="559"/>
      <c r="U293" s="559"/>
      <c r="V293" s="560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6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62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4">
        <v>4680115885615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4">
        <v>4680115885646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4">
        <v>4680115885554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4">
        <v>4680115885622</v>
      </c>
      <c r="E299" s="555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4">
        <v>4680115885608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4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5"/>
      <c r="P301" s="558" t="s">
        <v>75</v>
      </c>
      <c r="Q301" s="559"/>
      <c r="R301" s="559"/>
      <c r="S301" s="559"/>
      <c r="T301" s="559"/>
      <c r="U301" s="559"/>
      <c r="V301" s="560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5"/>
      <c r="P302" s="558" t="s">
        <v>75</v>
      </c>
      <c r="Q302" s="559"/>
      <c r="R302" s="559"/>
      <c r="S302" s="559"/>
      <c r="T302" s="559"/>
      <c r="U302" s="559"/>
      <c r="V302" s="560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62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hidden="1" customHeight="1" x14ac:dyDescent="0.25">
      <c r="A304" s="54" t="s">
        <v>487</v>
      </c>
      <c r="B304" s="54" t="s">
        <v>488</v>
      </c>
      <c r="C304" s="31">
        <v>4301030878</v>
      </c>
      <c r="D304" s="554">
        <v>4607091387193</v>
      </c>
      <c r="E304" s="555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4">
        <v>4607091387230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4">
        <v>4607091387292</v>
      </c>
      <c r="E306" s="555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4">
        <v>4607091387285</v>
      </c>
      <c r="E307" s="555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4301031305</v>
      </c>
      <c r="D308" s="554">
        <v>4607091389845</v>
      </c>
      <c r="E308" s="555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4301031066</v>
      </c>
      <c r="D309" s="554">
        <v>4607091383836</v>
      </c>
      <c r="E309" s="555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idden="1" x14ac:dyDescent="0.2">
      <c r="A310" s="564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5"/>
      <c r="P310" s="558" t="s">
        <v>75</v>
      </c>
      <c r="Q310" s="559"/>
      <c r="R310" s="559"/>
      <c r="S310" s="559"/>
      <c r="T310" s="559"/>
      <c r="U310" s="559"/>
      <c r="V310" s="560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hidden="1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5"/>
      <c r="P311" s="558" t="s">
        <v>75</v>
      </c>
      <c r="Q311" s="559"/>
      <c r="R311" s="559"/>
      <c r="S311" s="559"/>
      <c r="T311" s="559"/>
      <c r="U311" s="559"/>
      <c r="V311" s="560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hidden="1" customHeight="1" x14ac:dyDescent="0.25">
      <c r="A312" s="562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4">
        <v>4607091387766</v>
      </c>
      <c r="E313" s="555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4">
        <v>4607091387957</v>
      </c>
      <c r="E314" s="555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4">
        <v>4607091387964</v>
      </c>
      <c r="E315" s="555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4">
        <v>4680115884588</v>
      </c>
      <c r="E316" s="555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4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5"/>
      <c r="P317" s="558" t="s">
        <v>75</v>
      </c>
      <c r="Q317" s="559"/>
      <c r="R317" s="559"/>
      <c r="S317" s="559"/>
      <c r="T317" s="559"/>
      <c r="U317" s="559"/>
      <c r="V317" s="560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5"/>
      <c r="P318" s="558" t="s">
        <v>75</v>
      </c>
      <c r="Q318" s="559"/>
      <c r="R318" s="559"/>
      <c r="S318" s="559"/>
      <c r="T318" s="559"/>
      <c r="U318" s="559"/>
      <c r="V318" s="560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62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hidden="1" customHeight="1" x14ac:dyDescent="0.25">
      <c r="A320" s="54" t="s">
        <v>516</v>
      </c>
      <c r="B320" s="54" t="s">
        <v>517</v>
      </c>
      <c r="C320" s="31">
        <v>4301060387</v>
      </c>
      <c r="D320" s="554">
        <v>4607091380880</v>
      </c>
      <c r="E320" s="555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519</v>
      </c>
      <c r="B321" s="54" t="s">
        <v>520</v>
      </c>
      <c r="C321" s="31">
        <v>4301060406</v>
      </c>
      <c r="D321" s="554">
        <v>4607091384482</v>
      </c>
      <c r="E321" s="555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522</v>
      </c>
      <c r="B322" s="54" t="s">
        <v>523</v>
      </c>
      <c r="C322" s="31">
        <v>4301060484</v>
      </c>
      <c r="D322" s="554">
        <v>4607091380897</v>
      </c>
      <c r="E322" s="555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4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5"/>
      <c r="P323" s="558" t="s">
        <v>75</v>
      </c>
      <c r="Q323" s="559"/>
      <c r="R323" s="559"/>
      <c r="S323" s="559"/>
      <c r="T323" s="559"/>
      <c r="U323" s="559"/>
      <c r="V323" s="560"/>
      <c r="W323" s="37" t="s">
        <v>76</v>
      </c>
      <c r="X323" s="549">
        <f>IFERROR(X320/H320,"0")+IFERROR(X321/H321,"0")+IFERROR(X322/H322,"0")</f>
        <v>0</v>
      </c>
      <c r="Y323" s="549">
        <f>IFERROR(Y320/H320,"0")+IFERROR(Y321/H321,"0")+IFERROR(Y322/H322,"0")</f>
        <v>0</v>
      </c>
      <c r="Z323" s="549">
        <f>IFERROR(IF(Z320="",0,Z320),"0")+IFERROR(IF(Z321="",0,Z321),"0")+IFERROR(IF(Z322="",0,Z322),"0")</f>
        <v>0</v>
      </c>
      <c r="AA323" s="550"/>
      <c r="AB323" s="550"/>
      <c r="AC323" s="550"/>
    </row>
    <row r="324" spans="1:68" hidden="1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5"/>
      <c r="P324" s="558" t="s">
        <v>75</v>
      </c>
      <c r="Q324" s="559"/>
      <c r="R324" s="559"/>
      <c r="S324" s="559"/>
      <c r="T324" s="559"/>
      <c r="U324" s="559"/>
      <c r="V324" s="560"/>
      <c r="W324" s="37" t="s">
        <v>69</v>
      </c>
      <c r="X324" s="549">
        <f>IFERROR(SUM(X320:X322),"0")</f>
        <v>0</v>
      </c>
      <c r="Y324" s="549">
        <f>IFERROR(SUM(Y320:Y322),"0")</f>
        <v>0</v>
      </c>
      <c r="Z324" s="37"/>
      <c r="AA324" s="550"/>
      <c r="AB324" s="550"/>
      <c r="AC324" s="550"/>
    </row>
    <row r="325" spans="1:68" ht="14.25" hidden="1" customHeight="1" x14ac:dyDescent="0.25">
      <c r="A325" s="562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hidden="1" customHeight="1" x14ac:dyDescent="0.25">
      <c r="A326" s="54" t="s">
        <v>525</v>
      </c>
      <c r="B326" s="54" t="s">
        <v>526</v>
      </c>
      <c r="C326" s="31">
        <v>4301030235</v>
      </c>
      <c r="D326" s="554">
        <v>4607091388381</v>
      </c>
      <c r="E326" s="555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4301030232</v>
      </c>
      <c r="D327" s="554">
        <v>4607091388374</v>
      </c>
      <c r="E327" s="555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530</v>
      </c>
      <c r="B328" s="54" t="s">
        <v>531</v>
      </c>
      <c r="C328" s="31">
        <v>4301032015</v>
      </c>
      <c r="D328" s="554">
        <v>4607091383102</v>
      </c>
      <c r="E328" s="555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4301030233</v>
      </c>
      <c r="D329" s="554">
        <v>4607091388404</v>
      </c>
      <c r="E329" s="555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216</v>
      </c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4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5"/>
      <c r="P330" s="558" t="s">
        <v>75</v>
      </c>
      <c r="Q330" s="559"/>
      <c r="R330" s="559"/>
      <c r="S330" s="559"/>
      <c r="T330" s="559"/>
      <c r="U330" s="559"/>
      <c r="V330" s="560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hidden="1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5"/>
      <c r="P331" s="558" t="s">
        <v>75</v>
      </c>
      <c r="Q331" s="559"/>
      <c r="R331" s="559"/>
      <c r="S331" s="559"/>
      <c r="T331" s="559"/>
      <c r="U331" s="559"/>
      <c r="V331" s="560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hidden="1" customHeight="1" x14ac:dyDescent="0.25">
      <c r="A332" s="562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hidden="1" customHeight="1" x14ac:dyDescent="0.25">
      <c r="A333" s="54" t="s">
        <v>536</v>
      </c>
      <c r="B333" s="54" t="s">
        <v>537</v>
      </c>
      <c r="C333" s="31">
        <v>4301180007</v>
      </c>
      <c r="D333" s="554">
        <v>4680115881808</v>
      </c>
      <c r="E333" s="555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540</v>
      </c>
      <c r="B334" s="54" t="s">
        <v>541</v>
      </c>
      <c r="C334" s="31">
        <v>4301180006</v>
      </c>
      <c r="D334" s="554">
        <v>4680115881822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542</v>
      </c>
      <c r="B335" s="54" t="s">
        <v>543</v>
      </c>
      <c r="C335" s="31">
        <v>4301180001</v>
      </c>
      <c r="D335" s="554">
        <v>4680115880016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4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5"/>
      <c r="P336" s="558" t="s">
        <v>75</v>
      </c>
      <c r="Q336" s="559"/>
      <c r="R336" s="559"/>
      <c r="S336" s="559"/>
      <c r="T336" s="559"/>
      <c r="U336" s="559"/>
      <c r="V336" s="560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hidden="1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5"/>
      <c r="P337" s="558" t="s">
        <v>75</v>
      </c>
      <c r="Q337" s="559"/>
      <c r="R337" s="559"/>
      <c r="S337" s="559"/>
      <c r="T337" s="559"/>
      <c r="U337" s="559"/>
      <c r="V337" s="560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hidden="1" customHeight="1" x14ac:dyDescent="0.25">
      <c r="A338" s="556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62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hidden="1" customHeight="1" x14ac:dyDescent="0.25">
      <c r="A340" s="54" t="s">
        <v>545</v>
      </c>
      <c r="B340" s="54" t="s">
        <v>546</v>
      </c>
      <c r="C340" s="31">
        <v>4301051489</v>
      </c>
      <c r="D340" s="554">
        <v>4607091387919</v>
      </c>
      <c r="E340" s="555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548</v>
      </c>
      <c r="B341" s="54" t="s">
        <v>549</v>
      </c>
      <c r="C341" s="31">
        <v>4301051461</v>
      </c>
      <c r="D341" s="554">
        <v>4680115883604</v>
      </c>
      <c r="E341" s="555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4301051864</v>
      </c>
      <c r="D342" s="554">
        <v>4680115883567</v>
      </c>
      <c r="E342" s="555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4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5"/>
      <c r="P343" s="558" t="s">
        <v>75</v>
      </c>
      <c r="Q343" s="559"/>
      <c r="R343" s="559"/>
      <c r="S343" s="559"/>
      <c r="T343" s="559"/>
      <c r="U343" s="559"/>
      <c r="V343" s="560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hidden="1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5"/>
      <c r="P344" s="558" t="s">
        <v>75</v>
      </c>
      <c r="Q344" s="559"/>
      <c r="R344" s="559"/>
      <c r="S344" s="559"/>
      <c r="T344" s="559"/>
      <c r="U344" s="559"/>
      <c r="V344" s="560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hidden="1" customHeight="1" x14ac:dyDescent="0.2">
      <c r="A345" s="652" t="s">
        <v>554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48"/>
      <c r="AB345" s="48"/>
      <c r="AC345" s="48"/>
    </row>
    <row r="346" spans="1:68" ht="16.5" hidden="1" customHeight="1" x14ac:dyDescent="0.25">
      <c r="A346" s="556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62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4">
        <v>4680115884847</v>
      </c>
      <c r="E348" s="555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120</v>
      </c>
      <c r="Y348" s="548">
        <f t="shared" ref="Y348:Y354" si="36">IFERROR(IF(X348="",0,CEILING((X348/$H348),1)*$H348),"")</f>
        <v>120</v>
      </c>
      <c r="Z348" s="36">
        <f>IFERROR(IF(Y348=0,"",ROUNDUP(Y348/H348,0)*0.02175),"")</f>
        <v>0.17399999999999999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123.76</v>
      </c>
      <c r="BN348" s="64">
        <f t="shared" ref="BN348:BN354" si="38">IFERROR(Y348*I348/H348,"0")</f>
        <v>123.76</v>
      </c>
      <c r="BO348" s="64">
        <f t="shared" ref="BO348:BO354" si="39">IFERROR(1/J348*(X348/H348),"0")</f>
        <v>0.16666666666666666</v>
      </c>
      <c r="BP348" s="64">
        <f t="shared" ref="BP348:BP354" si="40">IFERROR(1/J348*(Y348/H348),"0")</f>
        <v>0.16666666666666666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4">
        <v>4680115884854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120</v>
      </c>
      <c r="Y349" s="548">
        <f t="shared" si="36"/>
        <v>120</v>
      </c>
      <c r="Z349" s="36">
        <f>IFERROR(IF(Y349=0,"",ROUNDUP(Y349/H349,0)*0.02175),"")</f>
        <v>0.17399999999999999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123.76</v>
      </c>
      <c r="BN349" s="64">
        <f t="shared" si="38"/>
        <v>123.76</v>
      </c>
      <c r="BO349" s="64">
        <f t="shared" si="39"/>
        <v>0.16666666666666666</v>
      </c>
      <c r="BP349" s="64">
        <f t="shared" si="40"/>
        <v>0.16666666666666666</v>
      </c>
    </row>
    <row r="350" spans="1:68" ht="27" hidden="1" customHeight="1" x14ac:dyDescent="0.25">
      <c r="A350" s="54" t="s">
        <v>562</v>
      </c>
      <c r="B350" s="54" t="s">
        <v>563</v>
      </c>
      <c r="C350" s="31">
        <v>4301012215</v>
      </c>
      <c r="D350" s="554">
        <v>4680115887046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86</v>
      </c>
      <c r="N350" s="33"/>
      <c r="O350" s="32">
        <v>60</v>
      </c>
      <c r="P350" s="67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hidden="1" customHeight="1" x14ac:dyDescent="0.25">
      <c r="A351" s="54" t="s">
        <v>565</v>
      </c>
      <c r="B351" s="54" t="s">
        <v>566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59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4">
        <v>4680115882638</v>
      </c>
      <c r="E352" s="555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4">
        <v>4680115884922</v>
      </c>
      <c r="E353" s="555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573</v>
      </c>
      <c r="B354" s="54" t="s">
        <v>574</v>
      </c>
      <c r="C354" s="31">
        <v>4301011868</v>
      </c>
      <c r="D354" s="554">
        <v>4680115884861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567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4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5"/>
      <c r="P355" s="558" t="s">
        <v>75</v>
      </c>
      <c r="Q355" s="559"/>
      <c r="R355" s="559"/>
      <c r="S355" s="559"/>
      <c r="T355" s="559"/>
      <c r="U355" s="559"/>
      <c r="V355" s="560"/>
      <c r="W355" s="37" t="s">
        <v>76</v>
      </c>
      <c r="X355" s="549">
        <f>IFERROR(X348/H348,"0")+IFERROR(X349/H349,"0")+IFERROR(X350/H350,"0")+IFERROR(X351/H351,"0")+IFERROR(X352/H352,"0")+IFERROR(X353/H353,"0")+IFERROR(X354/H354,"0")</f>
        <v>16</v>
      </c>
      <c r="Y355" s="549">
        <f>IFERROR(Y348/H348,"0")+IFERROR(Y349/H349,"0")+IFERROR(Y350/H350,"0")+IFERROR(Y351/H351,"0")+IFERROR(Y352/H352,"0")+IFERROR(Y353/H353,"0")+IFERROR(Y354/H354,"0")</f>
        <v>16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0.34799999999999998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5"/>
      <c r="P356" s="558" t="s">
        <v>75</v>
      </c>
      <c r="Q356" s="559"/>
      <c r="R356" s="559"/>
      <c r="S356" s="559"/>
      <c r="T356" s="559"/>
      <c r="U356" s="559"/>
      <c r="V356" s="560"/>
      <c r="W356" s="37" t="s">
        <v>69</v>
      </c>
      <c r="X356" s="549">
        <f>IFERROR(SUM(X348:X354),"0")</f>
        <v>240</v>
      </c>
      <c r="Y356" s="549">
        <f>IFERROR(SUM(Y348:Y354),"0")</f>
        <v>240</v>
      </c>
      <c r="Z356" s="37"/>
      <c r="AA356" s="550"/>
      <c r="AB356" s="550"/>
      <c r="AC356" s="550"/>
    </row>
    <row r="357" spans="1:68" ht="14.25" hidden="1" customHeight="1" x14ac:dyDescent="0.25">
      <c r="A357" s="562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hidden="1" customHeight="1" x14ac:dyDescent="0.25">
      <c r="A358" s="54" t="s">
        <v>575</v>
      </c>
      <c r="B358" s="54" t="s">
        <v>576</v>
      </c>
      <c r="C358" s="31">
        <v>4301020178</v>
      </c>
      <c r="D358" s="554">
        <v>4607091383980</v>
      </c>
      <c r="E358" s="555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578</v>
      </c>
      <c r="B359" s="54" t="s">
        <v>579</v>
      </c>
      <c r="C359" s="31">
        <v>4301020179</v>
      </c>
      <c r="D359" s="554">
        <v>4607091384178</v>
      </c>
      <c r="E359" s="555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64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5"/>
      <c r="P360" s="558" t="s">
        <v>75</v>
      </c>
      <c r="Q360" s="559"/>
      <c r="R360" s="559"/>
      <c r="S360" s="559"/>
      <c r="T360" s="559"/>
      <c r="U360" s="559"/>
      <c r="V360" s="560"/>
      <c r="W360" s="37" t="s">
        <v>76</v>
      </c>
      <c r="X360" s="549">
        <f>IFERROR(X358/H358,"0")+IFERROR(X359/H359,"0")</f>
        <v>0</v>
      </c>
      <c r="Y360" s="549">
        <f>IFERROR(Y358/H358,"0")+IFERROR(Y359/H359,"0")</f>
        <v>0</v>
      </c>
      <c r="Z360" s="549">
        <f>IFERROR(IF(Z358="",0,Z358),"0")+IFERROR(IF(Z359="",0,Z359),"0")</f>
        <v>0</v>
      </c>
      <c r="AA360" s="550"/>
      <c r="AB360" s="550"/>
      <c r="AC360" s="550"/>
    </row>
    <row r="361" spans="1:68" hidden="1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5"/>
      <c r="P361" s="558" t="s">
        <v>75</v>
      </c>
      <c r="Q361" s="559"/>
      <c r="R361" s="559"/>
      <c r="S361" s="559"/>
      <c r="T361" s="559"/>
      <c r="U361" s="559"/>
      <c r="V361" s="560"/>
      <c r="W361" s="37" t="s">
        <v>69</v>
      </c>
      <c r="X361" s="549">
        <f>IFERROR(SUM(X358:X359),"0")</f>
        <v>0</v>
      </c>
      <c r="Y361" s="549">
        <f>IFERROR(SUM(Y358:Y359),"0")</f>
        <v>0</v>
      </c>
      <c r="Z361" s="37"/>
      <c r="AA361" s="550"/>
      <c r="AB361" s="550"/>
      <c r="AC361" s="550"/>
    </row>
    <row r="362" spans="1:68" ht="14.25" hidden="1" customHeight="1" x14ac:dyDescent="0.25">
      <c r="A362" s="562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4">
        <v>4607091383928</v>
      </c>
      <c r="E363" s="555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4301051897</v>
      </c>
      <c r="D364" s="554">
        <v>4607091384260</v>
      </c>
      <c r="E364" s="555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4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5"/>
      <c r="P365" s="558" t="s">
        <v>75</v>
      </c>
      <c r="Q365" s="559"/>
      <c r="R365" s="559"/>
      <c r="S365" s="559"/>
      <c r="T365" s="559"/>
      <c r="U365" s="559"/>
      <c r="V365" s="560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hidden="1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5"/>
      <c r="P366" s="558" t="s">
        <v>75</v>
      </c>
      <c r="Q366" s="559"/>
      <c r="R366" s="559"/>
      <c r="S366" s="559"/>
      <c r="T366" s="559"/>
      <c r="U366" s="559"/>
      <c r="V366" s="560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hidden="1" customHeight="1" x14ac:dyDescent="0.25">
      <c r="A367" s="562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hidden="1" customHeight="1" x14ac:dyDescent="0.25">
      <c r="A368" s="54" t="s">
        <v>587</v>
      </c>
      <c r="B368" s="54" t="s">
        <v>588</v>
      </c>
      <c r="C368" s="31">
        <v>4301060524</v>
      </c>
      <c r="D368" s="554">
        <v>4607091384673</v>
      </c>
      <c r="E368" s="555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4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5"/>
      <c r="P369" s="558" t="s">
        <v>75</v>
      </c>
      <c r="Q369" s="559"/>
      <c r="R369" s="559"/>
      <c r="S369" s="559"/>
      <c r="T369" s="559"/>
      <c r="U369" s="559"/>
      <c r="V369" s="560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hidden="1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5"/>
      <c r="P370" s="558" t="s">
        <v>75</v>
      </c>
      <c r="Q370" s="559"/>
      <c r="R370" s="559"/>
      <c r="S370" s="559"/>
      <c r="T370" s="559"/>
      <c r="U370" s="559"/>
      <c r="V370" s="560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hidden="1" customHeight="1" x14ac:dyDescent="0.25">
      <c r="A371" s="556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62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hidden="1" customHeight="1" x14ac:dyDescent="0.25">
      <c r="A373" s="54" t="s">
        <v>591</v>
      </c>
      <c r="B373" s="54" t="s">
        <v>592</v>
      </c>
      <c r="C373" s="31">
        <v>4301011875</v>
      </c>
      <c r="D373" s="554">
        <v>4680115884885</v>
      </c>
      <c r="E373" s="555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4">
        <v>4680115884908</v>
      </c>
      <c r="E374" s="555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4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5"/>
      <c r="P375" s="558" t="s">
        <v>75</v>
      </c>
      <c r="Q375" s="559"/>
      <c r="R375" s="559"/>
      <c r="S375" s="559"/>
      <c r="T375" s="559"/>
      <c r="U375" s="559"/>
      <c r="V375" s="560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hidden="1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5"/>
      <c r="P376" s="558" t="s">
        <v>75</v>
      </c>
      <c r="Q376" s="559"/>
      <c r="R376" s="559"/>
      <c r="S376" s="559"/>
      <c r="T376" s="559"/>
      <c r="U376" s="559"/>
      <c r="V376" s="560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hidden="1" customHeight="1" x14ac:dyDescent="0.25">
      <c r="A377" s="562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4301031457</v>
      </c>
      <c r="D378" s="554">
        <v>4607091384802</v>
      </c>
      <c r="E378" s="555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50</v>
      </c>
      <c r="P378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35</v>
      </c>
      <c r="P379" s="59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4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5"/>
      <c r="P380" s="558" t="s">
        <v>75</v>
      </c>
      <c r="Q380" s="559"/>
      <c r="R380" s="559"/>
      <c r="S380" s="559"/>
      <c r="T380" s="559"/>
      <c r="U380" s="559"/>
      <c r="V380" s="560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5"/>
      <c r="P381" s="558" t="s">
        <v>75</v>
      </c>
      <c r="Q381" s="559"/>
      <c r="R381" s="559"/>
      <c r="S381" s="559"/>
      <c r="T381" s="559"/>
      <c r="U381" s="559"/>
      <c r="V381" s="560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62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4">
        <v>4607091384246</v>
      </c>
      <c r="E383" s="555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72</v>
      </c>
      <c r="Y383" s="548">
        <f>IFERROR(IF(X383="",0,CEILING((X383/$H383),1)*$H383),"")</f>
        <v>72</v>
      </c>
      <c r="Z383" s="36">
        <f>IFERROR(IF(Y383=0,"",ROUNDUP(Y383/H383,0)*0.01898),"")</f>
        <v>0.15184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75.951999999999998</v>
      </c>
      <c r="BN383" s="64">
        <f>IFERROR(Y383*I383/H383,"0")</f>
        <v>75.951999999999998</v>
      </c>
      <c r="BO383" s="64">
        <f>IFERROR(1/J383*(X383/H383),"0")</f>
        <v>0.125</v>
      </c>
      <c r="BP383" s="64">
        <f>IFERROR(1/J383*(Y383/H383),"0")</f>
        <v>0.125</v>
      </c>
    </row>
    <row r="384" spans="1:68" ht="27" hidden="1" customHeight="1" x14ac:dyDescent="0.25">
      <c r="A384" s="54" t="s">
        <v>604</v>
      </c>
      <c r="B384" s="54" t="s">
        <v>605</v>
      </c>
      <c r="C384" s="31">
        <v>4301052069</v>
      </c>
      <c r="D384" s="554">
        <v>4607091384253</v>
      </c>
      <c r="E384" s="555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606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607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216</v>
      </c>
      <c r="M385" s="33" t="s">
        <v>80</v>
      </c>
      <c r="N385" s="33"/>
      <c r="O385" s="32">
        <v>40</v>
      </c>
      <c r="P385" s="8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33.6</v>
      </c>
      <c r="Y385" s="548">
        <f>IFERROR(IF(X385="",0,CEILING((X385/$H385),1)*$H385),"")</f>
        <v>33.6</v>
      </c>
      <c r="Z385" s="36">
        <f>IFERROR(IF(Y385=0,"",ROUNDUP(Y385/H385,0)*0.00651),"")</f>
        <v>9.1139999999999999E-2</v>
      </c>
      <c r="AA385" s="56"/>
      <c r="AB385" s="57"/>
      <c r="AC385" s="437" t="s">
        <v>603</v>
      </c>
      <c r="AG385" s="64"/>
      <c r="AJ385" s="68" t="s">
        <v>108</v>
      </c>
      <c r="AK385" s="68">
        <v>33.6</v>
      </c>
      <c r="BB385" s="438" t="s">
        <v>1</v>
      </c>
      <c r="BM385" s="64">
        <f>IFERROR(X385*I385/H385,"0")</f>
        <v>37.296000000000006</v>
      </c>
      <c r="BN385" s="64">
        <f>IFERROR(Y385*I385/H385,"0")</f>
        <v>37.296000000000006</v>
      </c>
      <c r="BO385" s="64">
        <f>IFERROR(1/J385*(X385/H385),"0")</f>
        <v>7.6923076923076941E-2</v>
      </c>
      <c r="BP385" s="64">
        <f>IFERROR(1/J385*(Y385/H385),"0")</f>
        <v>7.6923076923076941E-2</v>
      </c>
    </row>
    <row r="386" spans="1:68" x14ac:dyDescent="0.2">
      <c r="A386" s="564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5"/>
      <c r="P386" s="558" t="s">
        <v>75</v>
      </c>
      <c r="Q386" s="559"/>
      <c r="R386" s="559"/>
      <c r="S386" s="559"/>
      <c r="T386" s="559"/>
      <c r="U386" s="559"/>
      <c r="V386" s="560"/>
      <c r="W386" s="37" t="s">
        <v>76</v>
      </c>
      <c r="X386" s="549">
        <f>IFERROR(X383/H383,"0")+IFERROR(X384/H384,"0")+IFERROR(X385/H385,"0")</f>
        <v>22</v>
      </c>
      <c r="Y386" s="549">
        <f>IFERROR(Y383/H383,"0")+IFERROR(Y384/H384,"0")+IFERROR(Y385/H385,"0")</f>
        <v>22</v>
      </c>
      <c r="Z386" s="549">
        <f>IFERROR(IF(Z383="",0,Z383),"0")+IFERROR(IF(Z384="",0,Z384),"0")+IFERROR(IF(Z385="",0,Z385),"0")</f>
        <v>0.24298</v>
      </c>
      <c r="AA386" s="550"/>
      <c r="AB386" s="550"/>
      <c r="AC386" s="550"/>
    </row>
    <row r="387" spans="1:68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5"/>
      <c r="P387" s="558" t="s">
        <v>75</v>
      </c>
      <c r="Q387" s="559"/>
      <c r="R387" s="559"/>
      <c r="S387" s="559"/>
      <c r="T387" s="559"/>
      <c r="U387" s="559"/>
      <c r="V387" s="560"/>
      <c r="W387" s="37" t="s">
        <v>69</v>
      </c>
      <c r="X387" s="549">
        <f>IFERROR(SUM(X383:X385),"0")</f>
        <v>105.6</v>
      </c>
      <c r="Y387" s="549">
        <f>IFERROR(SUM(Y383:Y385),"0")</f>
        <v>105.6</v>
      </c>
      <c r="Z387" s="37"/>
      <c r="AA387" s="550"/>
      <c r="AB387" s="550"/>
      <c r="AC387" s="550"/>
    </row>
    <row r="388" spans="1:68" ht="27.75" hidden="1" customHeight="1" x14ac:dyDescent="0.2">
      <c r="A388" s="652" t="s">
        <v>608</v>
      </c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3"/>
      <c r="P388" s="653"/>
      <c r="Q388" s="653"/>
      <c r="R388" s="653"/>
      <c r="S388" s="653"/>
      <c r="T388" s="653"/>
      <c r="U388" s="653"/>
      <c r="V388" s="653"/>
      <c r="W388" s="653"/>
      <c r="X388" s="653"/>
      <c r="Y388" s="653"/>
      <c r="Z388" s="653"/>
      <c r="AA388" s="48"/>
      <c r="AB388" s="48"/>
      <c r="AC388" s="48"/>
    </row>
    <row r="389" spans="1:68" ht="16.5" hidden="1" customHeight="1" x14ac:dyDescent="0.25">
      <c r="A389" s="556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62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hidden="1" customHeight="1" x14ac:dyDescent="0.25">
      <c r="A391" s="54" t="s">
        <v>610</v>
      </c>
      <c r="B391" s="54" t="s">
        <v>611</v>
      </c>
      <c r="C391" s="31">
        <v>4301031405</v>
      </c>
      <c r="D391" s="554">
        <v>4680115886100</v>
      </c>
      <c r="E391" s="555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hidden="1" customHeight="1" x14ac:dyDescent="0.25">
      <c r="A392" s="54" t="s">
        <v>613</v>
      </c>
      <c r="B392" s="54" t="s">
        <v>614</v>
      </c>
      <c r="C392" s="31">
        <v>4301031406</v>
      </c>
      <c r="D392" s="554">
        <v>4680115886117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4301031402</v>
      </c>
      <c r="D393" s="554">
        <v>4680115886124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5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4">
        <v>4680115883147</v>
      </c>
      <c r="E394" s="555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4301031362</v>
      </c>
      <c r="D395" s="554">
        <v>4607091384338</v>
      </c>
      <c r="E395" s="555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hidden="1" customHeight="1" x14ac:dyDescent="0.25">
      <c r="A396" s="54" t="s">
        <v>623</v>
      </c>
      <c r="B396" s="54" t="s">
        <v>624</v>
      </c>
      <c r="C396" s="31">
        <v>4301031361</v>
      </c>
      <c r="D396" s="554">
        <v>4607091389524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4">
        <v>4680115883161</v>
      </c>
      <c r="E397" s="555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4301031358</v>
      </c>
      <c r="D398" s="554">
        <v>4607091389531</v>
      </c>
      <c r="E398" s="555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hidden="1" customHeight="1" x14ac:dyDescent="0.25">
      <c r="A399" s="54" t="s">
        <v>632</v>
      </c>
      <c r="B399" s="54" t="s">
        <v>633</v>
      </c>
      <c r="C399" s="31">
        <v>4301031360</v>
      </c>
      <c r="D399" s="554">
        <v>4607091384345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idden="1" x14ac:dyDescent="0.2">
      <c r="A400" s="564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5"/>
      <c r="P400" s="558" t="s">
        <v>75</v>
      </c>
      <c r="Q400" s="559"/>
      <c r="R400" s="559"/>
      <c r="S400" s="559"/>
      <c r="T400" s="559"/>
      <c r="U400" s="559"/>
      <c r="V400" s="560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5"/>
      <c r="P401" s="558" t="s">
        <v>75</v>
      </c>
      <c r="Q401" s="559"/>
      <c r="R401" s="559"/>
      <c r="S401" s="559"/>
      <c r="T401" s="559"/>
      <c r="U401" s="559"/>
      <c r="V401" s="560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hidden="1" customHeight="1" x14ac:dyDescent="0.25">
      <c r="A402" s="562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4">
        <v>4607091384352</v>
      </c>
      <c r="E403" s="555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4">
        <v>4607091389654</v>
      </c>
      <c r="E404" s="555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4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5"/>
      <c r="P405" s="558" t="s">
        <v>75</v>
      </c>
      <c r="Q405" s="559"/>
      <c r="R405" s="559"/>
      <c r="S405" s="559"/>
      <c r="T405" s="559"/>
      <c r="U405" s="559"/>
      <c r="V405" s="560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5"/>
      <c r="P406" s="558" t="s">
        <v>75</v>
      </c>
      <c r="Q406" s="559"/>
      <c r="R406" s="559"/>
      <c r="S406" s="559"/>
      <c r="T406" s="559"/>
      <c r="U406" s="559"/>
      <c r="V406" s="560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56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62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4">
        <v>4680115885240</v>
      </c>
      <c r="E409" s="555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4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5"/>
      <c r="P410" s="558" t="s">
        <v>75</v>
      </c>
      <c r="Q410" s="559"/>
      <c r="R410" s="559"/>
      <c r="S410" s="559"/>
      <c r="T410" s="559"/>
      <c r="U410" s="559"/>
      <c r="V410" s="560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5"/>
      <c r="P411" s="558" t="s">
        <v>75</v>
      </c>
      <c r="Q411" s="559"/>
      <c r="R411" s="559"/>
      <c r="S411" s="559"/>
      <c r="T411" s="559"/>
      <c r="U411" s="559"/>
      <c r="V411" s="560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62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hidden="1" customHeight="1" x14ac:dyDescent="0.25">
      <c r="A413" s="54" t="s">
        <v>644</v>
      </c>
      <c r="B413" s="54" t="s">
        <v>645</v>
      </c>
      <c r="C413" s="31">
        <v>4301031403</v>
      </c>
      <c r="D413" s="554">
        <v>4680115886094</v>
      </c>
      <c r="E413" s="555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4">
        <v>4607091389425</v>
      </c>
      <c r="E414" s="555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4">
        <v>4680115880771</v>
      </c>
      <c r="E415" s="555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4301031359</v>
      </c>
      <c r="D416" s="554">
        <v>4607091389500</v>
      </c>
      <c r="E416" s="555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4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5"/>
      <c r="P417" s="558" t="s">
        <v>75</v>
      </c>
      <c r="Q417" s="559"/>
      <c r="R417" s="559"/>
      <c r="S417" s="559"/>
      <c r="T417" s="559"/>
      <c r="U417" s="559"/>
      <c r="V417" s="560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5"/>
      <c r="P418" s="558" t="s">
        <v>75</v>
      </c>
      <c r="Q418" s="559"/>
      <c r="R418" s="559"/>
      <c r="S418" s="559"/>
      <c r="T418" s="559"/>
      <c r="U418" s="559"/>
      <c r="V418" s="560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hidden="1" customHeight="1" x14ac:dyDescent="0.25">
      <c r="A419" s="556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62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hidden="1" customHeight="1" x14ac:dyDescent="0.25">
      <c r="A421" s="54" t="s">
        <v>656</v>
      </c>
      <c r="B421" s="54" t="s">
        <v>657</v>
      </c>
      <c r="C421" s="31">
        <v>4301031347</v>
      </c>
      <c r="D421" s="554">
        <v>4680115885110</v>
      </c>
      <c r="E421" s="555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5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4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5"/>
      <c r="P422" s="558" t="s">
        <v>75</v>
      </c>
      <c r="Q422" s="559"/>
      <c r="R422" s="559"/>
      <c r="S422" s="559"/>
      <c r="T422" s="559"/>
      <c r="U422" s="559"/>
      <c r="V422" s="560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hidden="1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5"/>
      <c r="P423" s="558" t="s">
        <v>75</v>
      </c>
      <c r="Q423" s="559"/>
      <c r="R423" s="559"/>
      <c r="S423" s="559"/>
      <c r="T423" s="559"/>
      <c r="U423" s="559"/>
      <c r="V423" s="560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hidden="1" customHeight="1" x14ac:dyDescent="0.2">
      <c r="A424" s="652" t="s">
        <v>659</v>
      </c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3"/>
      <c r="P424" s="653"/>
      <c r="Q424" s="653"/>
      <c r="R424" s="653"/>
      <c r="S424" s="653"/>
      <c r="T424" s="653"/>
      <c r="U424" s="653"/>
      <c r="V424" s="653"/>
      <c r="W424" s="653"/>
      <c r="X424" s="653"/>
      <c r="Y424" s="653"/>
      <c r="Z424" s="653"/>
      <c r="AA424" s="48"/>
      <c r="AB424" s="48"/>
      <c r="AC424" s="48"/>
    </row>
    <row r="425" spans="1:68" ht="16.5" hidden="1" customHeight="1" x14ac:dyDescent="0.25">
      <c r="A425" s="556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62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hidden="1" customHeight="1" x14ac:dyDescent="0.25">
      <c r="A427" s="54" t="s">
        <v>660</v>
      </c>
      <c r="B427" s="54" t="s">
        <v>661</v>
      </c>
      <c r="C427" s="31">
        <v>4301011795</v>
      </c>
      <c r="D427" s="554">
        <v>4607091389067</v>
      </c>
      <c r="E427" s="555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5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4301012145</v>
      </c>
      <c r="D428" s="554">
        <v>4607091383522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6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4301011961</v>
      </c>
      <c r="D430" s="554">
        <v>4680115885271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4">
        <v>4680115885226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42.24</v>
      </c>
      <c r="Y431" s="548">
        <f t="shared" si="47"/>
        <v>42.24</v>
      </c>
      <c r="Z431" s="36">
        <f t="shared" si="48"/>
        <v>9.5680000000000001E-2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45.04</v>
      </c>
      <c r="BN431" s="64">
        <f t="shared" si="50"/>
        <v>45.04</v>
      </c>
      <c r="BO431" s="64">
        <f t="shared" si="51"/>
        <v>7.6923076923076927E-2</v>
      </c>
      <c r="BP431" s="64">
        <f t="shared" si="52"/>
        <v>7.6923076923076927E-2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4">
        <v>4680115884502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4">
        <v>4607091389104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42.24</v>
      </c>
      <c r="Y433" s="548">
        <f t="shared" si="47"/>
        <v>42.24</v>
      </c>
      <c r="Z433" s="36">
        <f t="shared" si="48"/>
        <v>9.5680000000000001E-2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45.04</v>
      </c>
      <c r="BN433" s="64">
        <f t="shared" si="50"/>
        <v>45.04</v>
      </c>
      <c r="BO433" s="64">
        <f t="shared" si="51"/>
        <v>7.6923076923076927E-2</v>
      </c>
      <c r="BP433" s="64">
        <f t="shared" si="52"/>
        <v>7.6923076923076927E-2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4">
        <v>4680115886391</v>
      </c>
      <c r="E434" s="555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680</v>
      </c>
      <c r="B435" s="54" t="s">
        <v>681</v>
      </c>
      <c r="C435" s="31">
        <v>4301012035</v>
      </c>
      <c r="D435" s="554">
        <v>4680115880603</v>
      </c>
      <c r="E435" s="555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4">
        <v>4680115882782</v>
      </c>
      <c r="E436" s="555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4">
        <v>4680115885479</v>
      </c>
      <c r="E437" s="555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4301012034</v>
      </c>
      <c r="D438" s="554">
        <v>4607091389982</v>
      </c>
      <c r="E438" s="555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4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5"/>
      <c r="P439" s="558" t="s">
        <v>75</v>
      </c>
      <c r="Q439" s="559"/>
      <c r="R439" s="559"/>
      <c r="S439" s="559"/>
      <c r="T439" s="559"/>
      <c r="U439" s="559"/>
      <c r="V439" s="560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16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16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0.19136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5"/>
      <c r="P440" s="558" t="s">
        <v>75</v>
      </c>
      <c r="Q440" s="559"/>
      <c r="R440" s="559"/>
      <c r="S440" s="559"/>
      <c r="T440" s="559"/>
      <c r="U440" s="559"/>
      <c r="V440" s="560"/>
      <c r="W440" s="37" t="s">
        <v>69</v>
      </c>
      <c r="X440" s="549">
        <f>IFERROR(SUM(X427:X438),"0")</f>
        <v>84.48</v>
      </c>
      <c r="Y440" s="549">
        <f>IFERROR(SUM(Y427:Y438),"0")</f>
        <v>84.48</v>
      </c>
      <c r="Z440" s="37"/>
      <c r="AA440" s="550"/>
      <c r="AB440" s="550"/>
      <c r="AC440" s="550"/>
    </row>
    <row r="441" spans="1:68" ht="14.25" hidden="1" customHeight="1" x14ac:dyDescent="0.25">
      <c r="A441" s="562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hidden="1" customHeight="1" x14ac:dyDescent="0.25">
      <c r="A442" s="54" t="s">
        <v>689</v>
      </c>
      <c r="B442" s="54" t="s">
        <v>690</v>
      </c>
      <c r="C442" s="31">
        <v>4301020334</v>
      </c>
      <c r="D442" s="554">
        <v>4607091388930</v>
      </c>
      <c r="E442" s="555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4">
        <v>4680115886407</v>
      </c>
      <c r="E443" s="555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694</v>
      </c>
      <c r="B444" s="54" t="s">
        <v>695</v>
      </c>
      <c r="C444" s="31">
        <v>4301020385</v>
      </c>
      <c r="D444" s="554">
        <v>4680115880054</v>
      </c>
      <c r="E444" s="555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114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564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5"/>
      <c r="P445" s="558" t="s">
        <v>75</v>
      </c>
      <c r="Q445" s="559"/>
      <c r="R445" s="559"/>
      <c r="S445" s="559"/>
      <c r="T445" s="559"/>
      <c r="U445" s="559"/>
      <c r="V445" s="560"/>
      <c r="W445" s="37" t="s">
        <v>76</v>
      </c>
      <c r="X445" s="549">
        <f>IFERROR(X442/H442,"0")+IFERROR(X443/H443,"0")+IFERROR(X444/H444,"0")</f>
        <v>0</v>
      </c>
      <c r="Y445" s="549">
        <f>IFERROR(Y442/H442,"0")+IFERROR(Y443/H443,"0")+IFERROR(Y444/H444,"0")</f>
        <v>0</v>
      </c>
      <c r="Z445" s="549">
        <f>IFERROR(IF(Z442="",0,Z442),"0")+IFERROR(IF(Z443="",0,Z443),"0")+IFERROR(IF(Z444="",0,Z444),"0")</f>
        <v>0</v>
      </c>
      <c r="AA445" s="550"/>
      <c r="AB445" s="550"/>
      <c r="AC445" s="550"/>
    </row>
    <row r="446" spans="1:68" hidden="1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5"/>
      <c r="P446" s="558" t="s">
        <v>75</v>
      </c>
      <c r="Q446" s="559"/>
      <c r="R446" s="559"/>
      <c r="S446" s="559"/>
      <c r="T446" s="559"/>
      <c r="U446" s="559"/>
      <c r="V446" s="560"/>
      <c r="W446" s="37" t="s">
        <v>69</v>
      </c>
      <c r="X446" s="549">
        <f>IFERROR(SUM(X442:X444),"0")</f>
        <v>0</v>
      </c>
      <c r="Y446" s="549">
        <f>IFERROR(SUM(Y442:Y444),"0")</f>
        <v>0</v>
      </c>
      <c r="Z446" s="37"/>
      <c r="AA446" s="550"/>
      <c r="AB446" s="550"/>
      <c r="AC446" s="550"/>
    </row>
    <row r="447" spans="1:68" ht="14.25" hidden="1" customHeight="1" x14ac:dyDescent="0.25">
      <c r="A447" s="562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4">
        <v>4680115883116</v>
      </c>
      <c r="E448" s="555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42.24</v>
      </c>
      <c r="Y448" s="548">
        <f t="shared" ref="Y448:Y453" si="53">IFERROR(IF(X448="",0,CEILING((X448/$H448),1)*$H448),"")</f>
        <v>42.24</v>
      </c>
      <c r="Z448" s="36">
        <f>IFERROR(IF(Y448=0,"",ROUNDUP(Y448/H448,0)*0.01196),"")</f>
        <v>9.5680000000000001E-2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45.04</v>
      </c>
      <c r="BN448" s="64">
        <f t="shared" ref="BN448:BN453" si="55">IFERROR(Y448*I448/H448,"0")</f>
        <v>45.04</v>
      </c>
      <c r="BO448" s="64">
        <f t="shared" ref="BO448:BO453" si="56">IFERROR(1/J448*(X448/H448),"0")</f>
        <v>7.6923076923076927E-2</v>
      </c>
      <c r="BP448" s="64">
        <f t="shared" ref="BP448:BP453" si="57">IFERROR(1/J448*(Y448/H448),"0")</f>
        <v>7.6923076923076927E-2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4">
        <v>4680115883093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84.48</v>
      </c>
      <c r="Y449" s="548">
        <f t="shared" si="53"/>
        <v>84.48</v>
      </c>
      <c r="Z449" s="36">
        <f>IFERROR(IF(Y449=0,"",ROUNDUP(Y449/H449,0)*0.01196),"")</f>
        <v>0.19136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90.08</v>
      </c>
      <c r="BN449" s="64">
        <f t="shared" si="55"/>
        <v>90.08</v>
      </c>
      <c r="BO449" s="64">
        <f t="shared" si="56"/>
        <v>0.15384615384615385</v>
      </c>
      <c r="BP449" s="64">
        <f t="shared" si="57"/>
        <v>0.15384615384615385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4">
        <v>4680115883109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5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84.48</v>
      </c>
      <c r="Y450" s="548">
        <f t="shared" si="53"/>
        <v>84.48</v>
      </c>
      <c r="Z450" s="36">
        <f>IFERROR(IF(Y450=0,"",ROUNDUP(Y450/H450,0)*0.01196),"")</f>
        <v>0.19136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90.08</v>
      </c>
      <c r="BN450" s="64">
        <f t="shared" si="55"/>
        <v>90.08</v>
      </c>
      <c r="BO450" s="64">
        <f t="shared" si="56"/>
        <v>0.15384615384615385</v>
      </c>
      <c r="BP450" s="64">
        <f t="shared" si="57"/>
        <v>0.15384615384615385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4301031419</v>
      </c>
      <c r="D451" s="554">
        <v>4680115882072</v>
      </c>
      <c r="E451" s="555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4301031418</v>
      </c>
      <c r="D452" s="554">
        <v>4680115882102</v>
      </c>
      <c r="E452" s="555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4301031417</v>
      </c>
      <c r="D453" s="554">
        <v>4680115882096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4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5"/>
      <c r="P454" s="558" t="s">
        <v>75</v>
      </c>
      <c r="Q454" s="559"/>
      <c r="R454" s="559"/>
      <c r="S454" s="559"/>
      <c r="T454" s="559"/>
      <c r="U454" s="559"/>
      <c r="V454" s="560"/>
      <c r="W454" s="37" t="s">
        <v>76</v>
      </c>
      <c r="X454" s="549">
        <f>IFERROR(X448/H448,"0")+IFERROR(X449/H449,"0")+IFERROR(X450/H450,"0")+IFERROR(X451/H451,"0")+IFERROR(X452/H452,"0")+IFERROR(X453/H453,"0")</f>
        <v>40</v>
      </c>
      <c r="Y454" s="549">
        <f>IFERROR(Y448/H448,"0")+IFERROR(Y449/H449,"0")+IFERROR(Y450/H450,"0")+IFERROR(Y451/H451,"0")+IFERROR(Y452/H452,"0")+IFERROR(Y453/H453,"0")</f>
        <v>40</v>
      </c>
      <c r="Z454" s="549">
        <f>IFERROR(IF(Z448="",0,Z448),"0")+IFERROR(IF(Z449="",0,Z449),"0")+IFERROR(IF(Z450="",0,Z450),"0")+IFERROR(IF(Z451="",0,Z451),"0")+IFERROR(IF(Z452="",0,Z452),"0")+IFERROR(IF(Z453="",0,Z453),"0")</f>
        <v>0.47840000000000005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5"/>
      <c r="P455" s="558" t="s">
        <v>75</v>
      </c>
      <c r="Q455" s="559"/>
      <c r="R455" s="559"/>
      <c r="S455" s="559"/>
      <c r="T455" s="559"/>
      <c r="U455" s="559"/>
      <c r="V455" s="560"/>
      <c r="W455" s="37" t="s">
        <v>69</v>
      </c>
      <c r="X455" s="549">
        <f>IFERROR(SUM(X448:X453),"0")</f>
        <v>211.2</v>
      </c>
      <c r="Y455" s="549">
        <f>IFERROR(SUM(Y448:Y453),"0")</f>
        <v>211.2</v>
      </c>
      <c r="Z455" s="37"/>
      <c r="AA455" s="550"/>
      <c r="AB455" s="550"/>
      <c r="AC455" s="550"/>
    </row>
    <row r="456" spans="1:68" ht="14.25" hidden="1" customHeight="1" x14ac:dyDescent="0.25">
      <c r="A456" s="562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4">
        <v>4680115883536</v>
      </c>
      <c r="E457" s="555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4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5"/>
      <c r="P458" s="558" t="s">
        <v>75</v>
      </c>
      <c r="Q458" s="559"/>
      <c r="R458" s="559"/>
      <c r="S458" s="559"/>
      <c r="T458" s="559"/>
      <c r="U458" s="559"/>
      <c r="V458" s="560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5"/>
      <c r="P459" s="558" t="s">
        <v>75</v>
      </c>
      <c r="Q459" s="559"/>
      <c r="R459" s="559"/>
      <c r="S459" s="559"/>
      <c r="T459" s="559"/>
      <c r="U459" s="559"/>
      <c r="V459" s="560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2" t="s">
        <v>714</v>
      </c>
      <c r="B460" s="653"/>
      <c r="C460" s="653"/>
      <c r="D460" s="653"/>
      <c r="E460" s="653"/>
      <c r="F460" s="653"/>
      <c r="G460" s="653"/>
      <c r="H460" s="653"/>
      <c r="I460" s="653"/>
      <c r="J460" s="653"/>
      <c r="K460" s="653"/>
      <c r="L460" s="653"/>
      <c r="M460" s="653"/>
      <c r="N460" s="653"/>
      <c r="O460" s="653"/>
      <c r="P460" s="653"/>
      <c r="Q460" s="653"/>
      <c r="R460" s="653"/>
      <c r="S460" s="653"/>
      <c r="T460" s="653"/>
      <c r="U460" s="653"/>
      <c r="V460" s="653"/>
      <c r="W460" s="653"/>
      <c r="X460" s="653"/>
      <c r="Y460" s="653"/>
      <c r="Z460" s="653"/>
      <c r="AA460" s="48"/>
      <c r="AB460" s="48"/>
      <c r="AC460" s="48"/>
    </row>
    <row r="461" spans="1:68" ht="16.5" hidden="1" customHeight="1" x14ac:dyDescent="0.25">
      <c r="A461" s="556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62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4">
        <v>4640242181011</v>
      </c>
      <c r="E463" s="555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4">
        <v>4640242180441</v>
      </c>
      <c r="E464" s="555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4">
        <v>4640242180564</v>
      </c>
      <c r="E465" s="555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4">
        <v>4640242181189</v>
      </c>
      <c r="E466" s="555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4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5"/>
      <c r="P467" s="558" t="s">
        <v>75</v>
      </c>
      <c r="Q467" s="559"/>
      <c r="R467" s="559"/>
      <c r="S467" s="559"/>
      <c r="T467" s="559"/>
      <c r="U467" s="559"/>
      <c r="V467" s="560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5"/>
      <c r="P468" s="558" t="s">
        <v>75</v>
      </c>
      <c r="Q468" s="559"/>
      <c r="R468" s="559"/>
      <c r="S468" s="559"/>
      <c r="T468" s="559"/>
      <c r="U468" s="559"/>
      <c r="V468" s="560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62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4">
        <v>4640242180519</v>
      </c>
      <c r="E470" s="555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4">
        <v>4640242180526</v>
      </c>
      <c r="E471" s="555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4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5"/>
      <c r="P472" s="558" t="s">
        <v>75</v>
      </c>
      <c r="Q472" s="559"/>
      <c r="R472" s="559"/>
      <c r="S472" s="559"/>
      <c r="T472" s="559"/>
      <c r="U472" s="559"/>
      <c r="V472" s="560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5"/>
      <c r="P473" s="558" t="s">
        <v>75</v>
      </c>
      <c r="Q473" s="559"/>
      <c r="R473" s="559"/>
      <c r="S473" s="559"/>
      <c r="T473" s="559"/>
      <c r="U473" s="559"/>
      <c r="V473" s="560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62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hidden="1" customHeight="1" x14ac:dyDescent="0.25">
      <c r="A475" s="54" t="s">
        <v>732</v>
      </c>
      <c r="B475" s="54" t="s">
        <v>733</v>
      </c>
      <c r="C475" s="31">
        <v>4301031244</v>
      </c>
      <c r="D475" s="554">
        <v>4640242180595</v>
      </c>
      <c r="E475" s="555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114</v>
      </c>
      <c r="M475" s="33" t="s">
        <v>68</v>
      </c>
      <c r="N475" s="33"/>
      <c r="O475" s="32">
        <v>40</v>
      </c>
      <c r="P475" s="7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4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5"/>
      <c r="P476" s="558" t="s">
        <v>75</v>
      </c>
      <c r="Q476" s="559"/>
      <c r="R476" s="559"/>
      <c r="S476" s="559"/>
      <c r="T476" s="559"/>
      <c r="U476" s="559"/>
      <c r="V476" s="560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5"/>
      <c r="P477" s="558" t="s">
        <v>75</v>
      </c>
      <c r="Q477" s="559"/>
      <c r="R477" s="559"/>
      <c r="S477" s="559"/>
      <c r="T477" s="559"/>
      <c r="U477" s="559"/>
      <c r="V477" s="560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62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735</v>
      </c>
      <c r="B479" s="54" t="s">
        <v>736</v>
      </c>
      <c r="C479" s="31">
        <v>4301052046</v>
      </c>
      <c r="D479" s="554">
        <v>4640242180533</v>
      </c>
      <c r="E479" s="555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/>
      <c r="M479" s="33" t="s">
        <v>86</v>
      </c>
      <c r="N479" s="33"/>
      <c r="O479" s="32">
        <v>45</v>
      </c>
      <c r="P479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4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5"/>
      <c r="P480" s="558" t="s">
        <v>75</v>
      </c>
      <c r="Q480" s="559"/>
      <c r="R480" s="559"/>
      <c r="S480" s="559"/>
      <c r="T480" s="559"/>
      <c r="U480" s="559"/>
      <c r="V480" s="560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5"/>
      <c r="P481" s="558" t="s">
        <v>75</v>
      </c>
      <c r="Q481" s="559"/>
      <c r="R481" s="559"/>
      <c r="S481" s="559"/>
      <c r="T481" s="559"/>
      <c r="U481" s="559"/>
      <c r="V481" s="560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62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4">
        <v>4640242180120</v>
      </c>
      <c r="E483" s="555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1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4">
        <v>4640242180137</v>
      </c>
      <c r="E484" s="555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4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4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5"/>
      <c r="P485" s="558" t="s">
        <v>75</v>
      </c>
      <c r="Q485" s="559"/>
      <c r="R485" s="559"/>
      <c r="S485" s="559"/>
      <c r="T485" s="559"/>
      <c r="U485" s="559"/>
      <c r="V485" s="560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5"/>
      <c r="P486" s="558" t="s">
        <v>75</v>
      </c>
      <c r="Q486" s="559"/>
      <c r="R486" s="559"/>
      <c r="S486" s="559"/>
      <c r="T486" s="559"/>
      <c r="U486" s="559"/>
      <c r="V486" s="560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56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62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4">
        <v>4640242180090</v>
      </c>
      <c r="E489" s="555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2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4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5"/>
      <c r="P490" s="558" t="s">
        <v>75</v>
      </c>
      <c r="Q490" s="559"/>
      <c r="R490" s="559"/>
      <c r="S490" s="559"/>
      <c r="T490" s="559"/>
      <c r="U490" s="559"/>
      <c r="V490" s="560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5"/>
      <c r="P491" s="558" t="s">
        <v>75</v>
      </c>
      <c r="Q491" s="559"/>
      <c r="R491" s="559"/>
      <c r="S491" s="559"/>
      <c r="T491" s="559"/>
      <c r="U491" s="559"/>
      <c r="V491" s="560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9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25"/>
      <c r="P492" s="717" t="s">
        <v>748</v>
      </c>
      <c r="Q492" s="663"/>
      <c r="R492" s="663"/>
      <c r="S492" s="663"/>
      <c r="T492" s="663"/>
      <c r="U492" s="663"/>
      <c r="V492" s="664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1114.08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1114.08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5"/>
      <c r="P493" s="717" t="s">
        <v>749</v>
      </c>
      <c r="Q493" s="663"/>
      <c r="R493" s="663"/>
      <c r="S493" s="663"/>
      <c r="T493" s="663"/>
      <c r="U493" s="663"/>
      <c r="V493" s="664"/>
      <c r="W493" s="37" t="s">
        <v>69</v>
      </c>
      <c r="X493" s="549">
        <f>IFERROR(SUM(BM22:BM489),"0")</f>
        <v>1169.1519999999998</v>
      </c>
      <c r="Y493" s="549">
        <f>IFERROR(SUM(BN22:BN489),"0")</f>
        <v>1169.1519999999998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5"/>
      <c r="P494" s="717" t="s">
        <v>750</v>
      </c>
      <c r="Q494" s="663"/>
      <c r="R494" s="663"/>
      <c r="S494" s="663"/>
      <c r="T494" s="663"/>
      <c r="U494" s="663"/>
      <c r="V494" s="664"/>
      <c r="W494" s="37" t="s">
        <v>751</v>
      </c>
      <c r="X494" s="38">
        <f>ROUNDUP(SUM(BO22:BO489),0)</f>
        <v>2</v>
      </c>
      <c r="Y494" s="38">
        <f>ROUNDUP(SUM(BP22:BP489),0)</f>
        <v>2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5"/>
      <c r="P495" s="717" t="s">
        <v>752</v>
      </c>
      <c r="Q495" s="663"/>
      <c r="R495" s="663"/>
      <c r="S495" s="663"/>
      <c r="T495" s="663"/>
      <c r="U495" s="663"/>
      <c r="V495" s="664"/>
      <c r="W495" s="37" t="s">
        <v>69</v>
      </c>
      <c r="X495" s="549">
        <f>GrossWeightTotal+PalletQtyTotal*25</f>
        <v>1219.1519999999998</v>
      </c>
      <c r="Y495" s="549">
        <f>GrossWeightTotalR+PalletQtyTotalR*25</f>
        <v>1219.1519999999998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5"/>
      <c r="P496" s="717" t="s">
        <v>753</v>
      </c>
      <c r="Q496" s="663"/>
      <c r="R496" s="663"/>
      <c r="S496" s="663"/>
      <c r="T496" s="663"/>
      <c r="U496" s="663"/>
      <c r="V496" s="664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142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142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5"/>
      <c r="P497" s="717" t="s">
        <v>754</v>
      </c>
      <c r="Q497" s="663"/>
      <c r="R497" s="663"/>
      <c r="S497" s="663"/>
      <c r="T497" s="663"/>
      <c r="U497" s="663"/>
      <c r="V497" s="664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2.17178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9" t="s">
        <v>99</v>
      </c>
      <c r="D499" s="607"/>
      <c r="E499" s="607"/>
      <c r="F499" s="607"/>
      <c r="G499" s="607"/>
      <c r="H499" s="608"/>
      <c r="I499" s="599" t="s">
        <v>273</v>
      </c>
      <c r="J499" s="607"/>
      <c r="K499" s="607"/>
      <c r="L499" s="607"/>
      <c r="M499" s="607"/>
      <c r="N499" s="607"/>
      <c r="O499" s="607"/>
      <c r="P499" s="607"/>
      <c r="Q499" s="607"/>
      <c r="R499" s="608"/>
      <c r="S499" s="599" t="s">
        <v>554</v>
      </c>
      <c r="T499" s="608"/>
      <c r="U499" s="599" t="s">
        <v>608</v>
      </c>
      <c r="V499" s="607"/>
      <c r="W499" s="608"/>
      <c r="X499" s="544" t="s">
        <v>659</v>
      </c>
      <c r="Y499" s="599" t="s">
        <v>714</v>
      </c>
      <c r="Z499" s="608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9" t="s">
        <v>63</v>
      </c>
      <c r="C500" s="599" t="s">
        <v>100</v>
      </c>
      <c r="D500" s="599" t="s">
        <v>118</v>
      </c>
      <c r="E500" s="599" t="s">
        <v>169</v>
      </c>
      <c r="F500" s="599" t="s">
        <v>192</v>
      </c>
      <c r="G500" s="599" t="s">
        <v>230</v>
      </c>
      <c r="H500" s="599" t="s">
        <v>99</v>
      </c>
      <c r="I500" s="599" t="s">
        <v>274</v>
      </c>
      <c r="J500" s="599" t="s">
        <v>324</v>
      </c>
      <c r="K500" s="599" t="s">
        <v>383</v>
      </c>
      <c r="L500" s="599" t="s">
        <v>423</v>
      </c>
      <c r="M500" s="599" t="s">
        <v>439</v>
      </c>
      <c r="N500" s="545"/>
      <c r="O500" s="599" t="s">
        <v>450</v>
      </c>
      <c r="P500" s="599" t="s">
        <v>459</v>
      </c>
      <c r="Q500" s="599" t="s">
        <v>472</v>
      </c>
      <c r="R500" s="599" t="s">
        <v>544</v>
      </c>
      <c r="S500" s="599" t="s">
        <v>555</v>
      </c>
      <c r="T500" s="599" t="s">
        <v>590</v>
      </c>
      <c r="U500" s="599" t="s">
        <v>609</v>
      </c>
      <c r="V500" s="599" t="s">
        <v>640</v>
      </c>
      <c r="W500" s="599" t="s">
        <v>655</v>
      </c>
      <c r="X500" s="599" t="s">
        <v>659</v>
      </c>
      <c r="Y500" s="599" t="s">
        <v>714</v>
      </c>
      <c r="Z500" s="599" t="s">
        <v>744</v>
      </c>
      <c r="AB500" s="52"/>
      <c r="AC500" s="52"/>
      <c r="AF500" s="545"/>
    </row>
    <row r="501" spans="1:32" ht="13.5" customHeight="1" thickBot="1" x14ac:dyDescent="0.25">
      <c r="A501" s="872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545"/>
      <c r="O501" s="600"/>
      <c r="P501" s="600"/>
      <c r="Q501" s="600"/>
      <c r="R501" s="600"/>
      <c r="S501" s="600"/>
      <c r="T501" s="600"/>
      <c r="U501" s="600"/>
      <c r="V501" s="600"/>
      <c r="W501" s="600"/>
      <c r="X501" s="600"/>
      <c r="Y501" s="600"/>
      <c r="Z501" s="600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172.8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235.20000000000002</v>
      </c>
      <c r="E502" s="46">
        <f>IFERROR(Y85*1,"0")+IFERROR(Y86*1,"0")+IFERROR(Y87*1,"0")+IFERROR(Y88*1,"0")+IFERROR(Y92*1,"0")+IFERROR(Y93*1,"0")+IFERROR(Y94*1,"0")+IFERROR(Y95*1,"0")</f>
        <v>0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64.8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0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240</v>
      </c>
      <c r="T502" s="46">
        <f>IFERROR(Y373*1,"0")+IFERROR(Y374*1,"0")+IFERROR(Y378*1,"0")+IFERROR(Y379*1,"0")+IFERROR(Y383*1,"0")+IFERROR(Y384*1,"0")+IFERROR(Y385*1,"0")</f>
        <v>105.6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295.68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ZIQFU187W+fFYwnIUrc+WPev+9STemJYYiwAC6t+cJCf1ebT0TESglmH/kmjtkpi6cjqHXVp0Ytb27z12ysepA==" saltValue="bXjxkX7WL1P2hpKTGS5Mkg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4,08"/>
        <filter val="1 169,15"/>
        <filter val="1 219,15"/>
        <filter val="105,60"/>
        <filter val="120,00"/>
        <filter val="142,00"/>
        <filter val="16,00"/>
        <filter val="172,80"/>
        <filter val="2"/>
        <filter val="211,20"/>
        <filter val="22,00"/>
        <filter val="240,00"/>
        <filter val="33,60"/>
        <filter val="40,00"/>
        <filter val="42,24"/>
        <filter val="62,40"/>
        <filter val="64,80"/>
        <filter val="72,00"/>
        <filter val="8,00"/>
        <filter val="84,48"/>
      </filters>
    </filterColumn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P381:V381"/>
    <mergeCell ref="A231:Z231"/>
    <mergeCell ref="D54:E54"/>
    <mergeCell ref="P185:V18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2 X79 X85 X88 X92 X100 X103 X108 X111 X115 X117 X167 X169 X171 X174 X176 X199 X203:X204 X206:X208 X210 X216:X217 X219:X222 X227 X232 X279:X280 X320:X322 X329 X340 X348:X349 X351 X358 X383 X385 X427 X430:X431 X433 X442 X444 X448:X450 X475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jVKT5ykNshJ+/8Ed8m5DqO21AyLvqWj31HK+Gc13A1CW5jerIAvs/B293KCe4kIWneDutNKacHglzklibr1bjg==" saltValue="7WjupGXNtQ6rnJk8hy4LA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2025-12-18T11:24:09Z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