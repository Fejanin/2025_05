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C277CE2-EAB3-41C3-B2EB-3C2C856E9E7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O464" i="1"/>
  <c r="BM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O426" i="1"/>
  <c r="BM426" i="1"/>
  <c r="Y426" i="1"/>
  <c r="P426" i="1"/>
  <c r="BO425" i="1"/>
  <c r="BM425" i="1"/>
  <c r="Y425" i="1"/>
  <c r="P425" i="1"/>
  <c r="X421" i="1"/>
  <c r="X420" i="1"/>
  <c r="BO419" i="1"/>
  <c r="BM419" i="1"/>
  <c r="Y419" i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Y408" i="1"/>
  <c r="X408" i="1"/>
  <c r="BP407" i="1"/>
  <c r="BO407" i="1"/>
  <c r="BN407" i="1"/>
  <c r="BM407" i="1"/>
  <c r="Z407" i="1"/>
  <c r="Z408" i="1" s="1"/>
  <c r="Y407" i="1"/>
  <c r="P407" i="1"/>
  <c r="X404" i="1"/>
  <c r="Y403" i="1"/>
  <c r="X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X385" i="1"/>
  <c r="X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Y373" i="1" s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X342" i="1"/>
  <c r="X341" i="1"/>
  <c r="BO340" i="1"/>
  <c r="BM340" i="1"/>
  <c r="Y340" i="1"/>
  <c r="P340" i="1"/>
  <c r="BP339" i="1"/>
  <c r="BO339" i="1"/>
  <c r="BN339" i="1"/>
  <c r="BM339" i="1"/>
  <c r="Z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Y279" i="1" s="1"/>
  <c r="P276" i="1"/>
  <c r="X273" i="1"/>
  <c r="X272" i="1"/>
  <c r="BP271" i="1"/>
  <c r="BO271" i="1"/>
  <c r="BN271" i="1"/>
  <c r="BM271" i="1"/>
  <c r="Z271" i="1"/>
  <c r="Y271" i="1"/>
  <c r="P271" i="1"/>
  <c r="BO270" i="1"/>
  <c r="BM270" i="1"/>
  <c r="Y270" i="1"/>
  <c r="BP270" i="1" s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BP252" i="1" s="1"/>
  <c r="P252" i="1"/>
  <c r="BP251" i="1"/>
  <c r="BO251" i="1"/>
  <c r="BN251" i="1"/>
  <c r="BM251" i="1"/>
  <c r="Z251" i="1"/>
  <c r="Y251" i="1"/>
  <c r="P251" i="1"/>
  <c r="BO250" i="1"/>
  <c r="BM250" i="1"/>
  <c r="Y250" i="1"/>
  <c r="P250" i="1"/>
  <c r="X248" i="1"/>
  <c r="X247" i="1"/>
  <c r="BO246" i="1"/>
  <c r="BM246" i="1"/>
  <c r="Y246" i="1"/>
  <c r="Y247" i="1" s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BP225" i="1" s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X147" i="1"/>
  <c r="X146" i="1"/>
  <c r="BO145" i="1"/>
  <c r="BM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O138" i="1"/>
  <c r="BM138" i="1"/>
  <c r="Y138" i="1"/>
  <c r="P138" i="1"/>
  <c r="X136" i="1"/>
  <c r="X135" i="1"/>
  <c r="BO134" i="1"/>
  <c r="BM134" i="1"/>
  <c r="Y134" i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P104" i="1"/>
  <c r="BO103" i="1"/>
  <c r="BM103" i="1"/>
  <c r="Y103" i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O95" i="1"/>
  <c r="BM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Y91" i="1" s="1"/>
  <c r="P86" i="1"/>
  <c r="X83" i="1"/>
  <c r="X82" i="1"/>
  <c r="BO81" i="1"/>
  <c r="BM81" i="1"/>
  <c r="Y81" i="1"/>
  <c r="Y83" i="1" s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P57" i="1"/>
  <c r="BO56" i="1"/>
  <c r="BM56" i="1"/>
  <c r="Y56" i="1"/>
  <c r="BP56" i="1" s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Y44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H9" i="1"/>
  <c r="A9" i="1"/>
  <c r="D7" i="1"/>
  <c r="Q6" i="1"/>
  <c r="P2" i="1"/>
  <c r="BP104" i="1" l="1"/>
  <c r="BN104" i="1"/>
  <c r="Z104" i="1"/>
  <c r="BP134" i="1"/>
  <c r="BN134" i="1"/>
  <c r="Z134" i="1"/>
  <c r="BP138" i="1"/>
  <c r="BN138" i="1"/>
  <c r="Z138" i="1"/>
  <c r="BP175" i="1"/>
  <c r="BN175" i="1"/>
  <c r="Z175" i="1"/>
  <c r="BP212" i="1"/>
  <c r="BN212" i="1"/>
  <c r="Z212" i="1"/>
  <c r="BP235" i="1"/>
  <c r="BN235" i="1"/>
  <c r="Z235" i="1"/>
  <c r="BP278" i="1"/>
  <c r="BN278" i="1"/>
  <c r="Z278" i="1"/>
  <c r="BP283" i="1"/>
  <c r="BN283" i="1"/>
  <c r="Z283" i="1"/>
  <c r="BP312" i="1"/>
  <c r="BN312" i="1"/>
  <c r="Z312" i="1"/>
  <c r="BP349" i="1"/>
  <c r="BN349" i="1"/>
  <c r="Z349" i="1"/>
  <c r="BP394" i="1"/>
  <c r="BN394" i="1"/>
  <c r="Z394" i="1"/>
  <c r="BP428" i="1"/>
  <c r="BN428" i="1"/>
  <c r="Z428" i="1"/>
  <c r="BP448" i="1"/>
  <c r="BN448" i="1"/>
  <c r="Z448" i="1"/>
  <c r="Z23" i="1"/>
  <c r="BN23" i="1"/>
  <c r="X491" i="1"/>
  <c r="Y33" i="1"/>
  <c r="Z35" i="1"/>
  <c r="Z36" i="1" s="1"/>
  <c r="BN35" i="1"/>
  <c r="BP35" i="1"/>
  <c r="Y36" i="1"/>
  <c r="Z41" i="1"/>
  <c r="BN41" i="1"/>
  <c r="BP41" i="1"/>
  <c r="Z62" i="1"/>
  <c r="BN62" i="1"/>
  <c r="BP74" i="1"/>
  <c r="BN74" i="1"/>
  <c r="BP96" i="1"/>
  <c r="BN96" i="1"/>
  <c r="Z96" i="1"/>
  <c r="BP111" i="1"/>
  <c r="BN111" i="1"/>
  <c r="Z111" i="1"/>
  <c r="BP170" i="1"/>
  <c r="BN170" i="1"/>
  <c r="Z170" i="1"/>
  <c r="BP202" i="1"/>
  <c r="BN202" i="1"/>
  <c r="Z202" i="1"/>
  <c r="BP220" i="1"/>
  <c r="BN220" i="1"/>
  <c r="Z220" i="1"/>
  <c r="BP260" i="1"/>
  <c r="BN260" i="1"/>
  <c r="Z260" i="1"/>
  <c r="BP262" i="1"/>
  <c r="BN262" i="1"/>
  <c r="Z262" i="1"/>
  <c r="BP298" i="1"/>
  <c r="BN298" i="1"/>
  <c r="Z298" i="1"/>
  <c r="BP326" i="1"/>
  <c r="BN326" i="1"/>
  <c r="Z326" i="1"/>
  <c r="BP372" i="1"/>
  <c r="BN372" i="1"/>
  <c r="Z372" i="1"/>
  <c r="BP376" i="1"/>
  <c r="BN376" i="1"/>
  <c r="Z376" i="1"/>
  <c r="BP425" i="1"/>
  <c r="BN425" i="1"/>
  <c r="Z425" i="1"/>
  <c r="BP436" i="1"/>
  <c r="BN436" i="1"/>
  <c r="Z436" i="1"/>
  <c r="BP468" i="1"/>
  <c r="BN468" i="1"/>
  <c r="Z468" i="1"/>
  <c r="BP76" i="1"/>
  <c r="BN76" i="1"/>
  <c r="BP94" i="1"/>
  <c r="BN94" i="1"/>
  <c r="Z94" i="1"/>
  <c r="BP102" i="1"/>
  <c r="BN102" i="1"/>
  <c r="Z102" i="1"/>
  <c r="Y125" i="1"/>
  <c r="Y124" i="1"/>
  <c r="BP123" i="1"/>
  <c r="BN123" i="1"/>
  <c r="Z123" i="1"/>
  <c r="Z124" i="1" s="1"/>
  <c r="BP128" i="1"/>
  <c r="BN128" i="1"/>
  <c r="Z128" i="1"/>
  <c r="BP151" i="1"/>
  <c r="BN151" i="1"/>
  <c r="Z151" i="1"/>
  <c r="Y157" i="1"/>
  <c r="Y156" i="1"/>
  <c r="BP155" i="1"/>
  <c r="BN155" i="1"/>
  <c r="Z155" i="1"/>
  <c r="Z156" i="1" s="1"/>
  <c r="Y162" i="1"/>
  <c r="BP161" i="1"/>
  <c r="BN161" i="1"/>
  <c r="Z161" i="1"/>
  <c r="Z162" i="1" s="1"/>
  <c r="BP168" i="1"/>
  <c r="BN168" i="1"/>
  <c r="Z168" i="1"/>
  <c r="BP173" i="1"/>
  <c r="BN173" i="1"/>
  <c r="Z173" i="1"/>
  <c r="Y198" i="1"/>
  <c r="BP196" i="1"/>
  <c r="BN196" i="1"/>
  <c r="Z196" i="1"/>
  <c r="BP208" i="1"/>
  <c r="BN208" i="1"/>
  <c r="Z208" i="1"/>
  <c r="BP218" i="1"/>
  <c r="BN218" i="1"/>
  <c r="Z218" i="1"/>
  <c r="BP233" i="1"/>
  <c r="BN233" i="1"/>
  <c r="Z233" i="1"/>
  <c r="BP253" i="1"/>
  <c r="BN253" i="1"/>
  <c r="Z253" i="1"/>
  <c r="X493" i="1"/>
  <c r="Z27" i="1"/>
  <c r="BN27" i="1"/>
  <c r="BP27" i="1"/>
  <c r="Z31" i="1"/>
  <c r="BN31" i="1"/>
  <c r="Z43" i="1"/>
  <c r="BN43" i="1"/>
  <c r="Z47" i="1"/>
  <c r="Z48" i="1" s="1"/>
  <c r="BN47" i="1"/>
  <c r="BP47" i="1"/>
  <c r="Y48" i="1"/>
  <c r="Z52" i="1"/>
  <c r="BN52" i="1"/>
  <c r="Z56" i="1"/>
  <c r="BN56" i="1"/>
  <c r="Z68" i="1"/>
  <c r="BN68" i="1"/>
  <c r="Y71" i="1"/>
  <c r="Z76" i="1"/>
  <c r="BP101" i="1"/>
  <c r="BN101" i="1"/>
  <c r="Z101" i="1"/>
  <c r="BP117" i="1"/>
  <c r="BN117" i="1"/>
  <c r="Z117" i="1"/>
  <c r="BP145" i="1"/>
  <c r="BN145" i="1"/>
  <c r="Z145" i="1"/>
  <c r="BP172" i="1"/>
  <c r="BN172" i="1"/>
  <c r="Z172" i="1"/>
  <c r="BP181" i="1"/>
  <c r="BN181" i="1"/>
  <c r="Z181" i="1"/>
  <c r="BP204" i="1"/>
  <c r="BN204" i="1"/>
  <c r="Z204" i="1"/>
  <c r="BP214" i="1"/>
  <c r="BN214" i="1"/>
  <c r="Z214" i="1"/>
  <c r="Y226" i="1"/>
  <c r="BP224" i="1"/>
  <c r="BN224" i="1"/>
  <c r="Z224" i="1"/>
  <c r="BP237" i="1"/>
  <c r="BN237" i="1"/>
  <c r="Z237" i="1"/>
  <c r="BP269" i="1"/>
  <c r="BN269" i="1"/>
  <c r="Z269" i="1"/>
  <c r="BP289" i="1"/>
  <c r="BN289" i="1"/>
  <c r="Z289" i="1"/>
  <c r="Y308" i="1"/>
  <c r="BP302" i="1"/>
  <c r="BN302" i="1"/>
  <c r="Z302" i="1"/>
  <c r="BP314" i="1"/>
  <c r="BN314" i="1"/>
  <c r="Z314" i="1"/>
  <c r="BP332" i="1"/>
  <c r="BN332" i="1"/>
  <c r="Z332" i="1"/>
  <c r="BP351" i="1"/>
  <c r="BN351" i="1"/>
  <c r="Z351" i="1"/>
  <c r="BP382" i="1"/>
  <c r="BN382" i="1"/>
  <c r="Z382" i="1"/>
  <c r="BP396" i="1"/>
  <c r="BN396" i="1"/>
  <c r="Z396" i="1"/>
  <c r="BP430" i="1"/>
  <c r="BN430" i="1"/>
  <c r="Z430" i="1"/>
  <c r="BP440" i="1"/>
  <c r="BN440" i="1"/>
  <c r="Z440" i="1"/>
  <c r="BP450" i="1"/>
  <c r="BN450" i="1"/>
  <c r="Z450" i="1"/>
  <c r="BP474" i="1"/>
  <c r="BN474" i="1"/>
  <c r="Z474" i="1"/>
  <c r="Y480" i="1"/>
  <c r="Y479" i="1"/>
  <c r="BP478" i="1"/>
  <c r="BN478" i="1"/>
  <c r="Z478" i="1"/>
  <c r="Z479" i="1" s="1"/>
  <c r="BP482" i="1"/>
  <c r="BN482" i="1"/>
  <c r="Z482" i="1"/>
  <c r="Y153" i="1"/>
  <c r="Y152" i="1"/>
  <c r="Y210" i="1"/>
  <c r="Y222" i="1"/>
  <c r="K501" i="1"/>
  <c r="Y255" i="1"/>
  <c r="L501" i="1"/>
  <c r="Y280" i="1"/>
  <c r="BP276" i="1"/>
  <c r="BN276" i="1"/>
  <c r="Z276" i="1"/>
  <c r="BP296" i="1"/>
  <c r="BN296" i="1"/>
  <c r="Z296" i="1"/>
  <c r="BP306" i="1"/>
  <c r="BN306" i="1"/>
  <c r="Z306" i="1"/>
  <c r="BP320" i="1"/>
  <c r="BN320" i="1"/>
  <c r="Z320" i="1"/>
  <c r="BP324" i="1"/>
  <c r="BN324" i="1"/>
  <c r="Z324" i="1"/>
  <c r="BP347" i="1"/>
  <c r="BN347" i="1"/>
  <c r="Z347" i="1"/>
  <c r="Y363" i="1"/>
  <c r="BP361" i="1"/>
  <c r="BN361" i="1"/>
  <c r="Z361" i="1"/>
  <c r="BP392" i="1"/>
  <c r="BN392" i="1"/>
  <c r="Z392" i="1"/>
  <c r="BP413" i="1"/>
  <c r="BN413" i="1"/>
  <c r="Z413" i="1"/>
  <c r="BP434" i="1"/>
  <c r="BN434" i="1"/>
  <c r="Z434" i="1"/>
  <c r="Y452" i="1"/>
  <c r="BP446" i="1"/>
  <c r="BN446" i="1"/>
  <c r="Z446" i="1"/>
  <c r="BP464" i="1"/>
  <c r="BN464" i="1"/>
  <c r="Z464" i="1"/>
  <c r="Q501" i="1"/>
  <c r="Y322" i="1"/>
  <c r="Y321" i="1"/>
  <c r="Y470" i="1"/>
  <c r="Y25" i="1"/>
  <c r="BP22" i="1"/>
  <c r="BN22" i="1"/>
  <c r="Z22" i="1"/>
  <c r="B501" i="1"/>
  <c r="BP30" i="1"/>
  <c r="BN30" i="1"/>
  <c r="Z30" i="1"/>
  <c r="BP53" i="1"/>
  <c r="BN53" i="1"/>
  <c r="Z53" i="1"/>
  <c r="BP57" i="1"/>
  <c r="BN57" i="1"/>
  <c r="Z57" i="1"/>
  <c r="Y64" i="1"/>
  <c r="BP61" i="1"/>
  <c r="BN61" i="1"/>
  <c r="Z61" i="1"/>
  <c r="Y78" i="1"/>
  <c r="BP73" i="1"/>
  <c r="BN73" i="1"/>
  <c r="Z73" i="1"/>
  <c r="Y77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Y194" i="1"/>
  <c r="BP191" i="1"/>
  <c r="BN191" i="1"/>
  <c r="Z191" i="1"/>
  <c r="Z193" i="1" s="1"/>
  <c r="J501" i="1"/>
  <c r="Y59" i="1"/>
  <c r="BP69" i="1"/>
  <c r="BN69" i="1"/>
  <c r="Z69" i="1"/>
  <c r="BP81" i="1"/>
  <c r="BN81" i="1"/>
  <c r="Z81" i="1"/>
  <c r="Z82" i="1" s="1"/>
  <c r="E501" i="1"/>
  <c r="Y90" i="1"/>
  <c r="BP86" i="1"/>
  <c r="BN86" i="1"/>
  <c r="Z86" i="1"/>
  <c r="BP89" i="1"/>
  <c r="BN89" i="1"/>
  <c r="Z89" i="1"/>
  <c r="Y98" i="1"/>
  <c r="BP93" i="1"/>
  <c r="BN93" i="1"/>
  <c r="Z93" i="1"/>
  <c r="Y97" i="1"/>
  <c r="BP103" i="1"/>
  <c r="BN103" i="1"/>
  <c r="Z103" i="1"/>
  <c r="F10" i="1"/>
  <c r="J9" i="1"/>
  <c r="F9" i="1"/>
  <c r="A10" i="1"/>
  <c r="X492" i="1"/>
  <c r="X494" i="1" s="1"/>
  <c r="Y24" i="1"/>
  <c r="BP28" i="1"/>
  <c r="BN28" i="1"/>
  <c r="Z28" i="1"/>
  <c r="Y32" i="1"/>
  <c r="BP42" i="1"/>
  <c r="BN42" i="1"/>
  <c r="Z42" i="1"/>
  <c r="BP55" i="1"/>
  <c r="BN55" i="1"/>
  <c r="Z55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F501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Y131" i="1"/>
  <c r="Y136" i="1"/>
  <c r="BP133" i="1"/>
  <c r="BN133" i="1"/>
  <c r="Z133" i="1"/>
  <c r="Z135" i="1" s="1"/>
  <c r="Y140" i="1"/>
  <c r="Y146" i="1"/>
  <c r="BP150" i="1"/>
  <c r="BN150" i="1"/>
  <c r="Z150" i="1"/>
  <c r="Z152" i="1" s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197" i="1"/>
  <c r="BN197" i="1"/>
  <c r="Z197" i="1"/>
  <c r="Z198" i="1" s="1"/>
  <c r="Y199" i="1"/>
  <c r="Y209" i="1"/>
  <c r="Y221" i="1"/>
  <c r="Y227" i="1"/>
  <c r="Y240" i="1"/>
  <c r="Y244" i="1"/>
  <c r="Y248" i="1"/>
  <c r="Y256" i="1"/>
  <c r="Y265" i="1"/>
  <c r="M501" i="1"/>
  <c r="Y273" i="1"/>
  <c r="BP284" i="1"/>
  <c r="BN284" i="1"/>
  <c r="Z284" i="1"/>
  <c r="Z285" i="1" s="1"/>
  <c r="Y286" i="1"/>
  <c r="Y291" i="1"/>
  <c r="BP288" i="1"/>
  <c r="BN288" i="1"/>
  <c r="Z288" i="1"/>
  <c r="BP297" i="1"/>
  <c r="BN297" i="1"/>
  <c r="Z297" i="1"/>
  <c r="BP305" i="1"/>
  <c r="BN305" i="1"/>
  <c r="Z305" i="1"/>
  <c r="BP313" i="1"/>
  <c r="BN313" i="1"/>
  <c r="Z313" i="1"/>
  <c r="BP325" i="1"/>
  <c r="BN325" i="1"/>
  <c r="Z325" i="1"/>
  <c r="BP333" i="1"/>
  <c r="BN333" i="1"/>
  <c r="Z333" i="1"/>
  <c r="Y335" i="1"/>
  <c r="R501" i="1"/>
  <c r="Y341" i="1"/>
  <c r="BP338" i="1"/>
  <c r="BN338" i="1"/>
  <c r="Z338" i="1"/>
  <c r="BP348" i="1"/>
  <c r="BN348" i="1"/>
  <c r="Z348" i="1"/>
  <c r="BP352" i="1"/>
  <c r="BN352" i="1"/>
  <c r="Z352" i="1"/>
  <c r="Y354" i="1"/>
  <c r="Y359" i="1"/>
  <c r="BP356" i="1"/>
  <c r="BN356" i="1"/>
  <c r="Z356" i="1"/>
  <c r="Z358" i="1" s="1"/>
  <c r="BP377" i="1"/>
  <c r="BN377" i="1"/>
  <c r="Z377" i="1"/>
  <c r="Z378" i="1" s="1"/>
  <c r="Y379" i="1"/>
  <c r="Y384" i="1"/>
  <c r="BP381" i="1"/>
  <c r="BN381" i="1"/>
  <c r="Z381" i="1"/>
  <c r="BP391" i="1"/>
  <c r="BN391" i="1"/>
  <c r="Z391" i="1"/>
  <c r="BP395" i="1"/>
  <c r="BN395" i="1"/>
  <c r="Z395" i="1"/>
  <c r="BP412" i="1"/>
  <c r="BN412" i="1"/>
  <c r="Z412" i="1"/>
  <c r="BP449" i="1"/>
  <c r="BN449" i="1"/>
  <c r="Z449" i="1"/>
  <c r="BP463" i="1"/>
  <c r="BN463" i="1"/>
  <c r="Z463" i="1"/>
  <c r="S501" i="1"/>
  <c r="X495" i="1"/>
  <c r="C501" i="1"/>
  <c r="Y45" i="1"/>
  <c r="D501" i="1"/>
  <c r="Y58" i="1"/>
  <c r="Y106" i="1"/>
  <c r="G501" i="1"/>
  <c r="Y130" i="1"/>
  <c r="I501" i="1"/>
  <c r="Y163" i="1"/>
  <c r="Z201" i="1"/>
  <c r="BN201" i="1"/>
  <c r="BP201" i="1"/>
  <c r="Z203" i="1"/>
  <c r="BN203" i="1"/>
  <c r="Z205" i="1"/>
  <c r="BN205" i="1"/>
  <c r="Z207" i="1"/>
  <c r="BN207" i="1"/>
  <c r="Z213" i="1"/>
  <c r="BN213" i="1"/>
  <c r="Z215" i="1"/>
  <c r="BN215" i="1"/>
  <c r="Z217" i="1"/>
  <c r="BN217" i="1"/>
  <c r="Z219" i="1"/>
  <c r="BN219" i="1"/>
  <c r="Z225" i="1"/>
  <c r="Z226" i="1" s="1"/>
  <c r="BN225" i="1"/>
  <c r="Z230" i="1"/>
  <c r="BN230" i="1"/>
  <c r="BP230" i="1"/>
  <c r="Z232" i="1"/>
  <c r="BN232" i="1"/>
  <c r="Z234" i="1"/>
  <c r="BN234" i="1"/>
  <c r="Z236" i="1"/>
  <c r="BN236" i="1"/>
  <c r="Z238" i="1"/>
  <c r="BN238" i="1"/>
  <c r="Y239" i="1"/>
  <c r="Z242" i="1"/>
  <c r="Z243" i="1" s="1"/>
  <c r="BN242" i="1"/>
  <c r="BP242" i="1"/>
  <c r="Z246" i="1"/>
  <c r="Z247" i="1" s="1"/>
  <c r="BN246" i="1"/>
  <c r="BP246" i="1"/>
  <c r="Z250" i="1"/>
  <c r="BN250" i="1"/>
  <c r="BP250" i="1"/>
  <c r="Z252" i="1"/>
  <c r="BN252" i="1"/>
  <c r="Z254" i="1"/>
  <c r="BN254" i="1"/>
  <c r="Z259" i="1"/>
  <c r="BN259" i="1"/>
  <c r="BP259" i="1"/>
  <c r="Z261" i="1"/>
  <c r="BN261" i="1"/>
  <c r="Z263" i="1"/>
  <c r="BN263" i="1"/>
  <c r="Y264" i="1"/>
  <c r="Z268" i="1"/>
  <c r="BN268" i="1"/>
  <c r="BP268" i="1"/>
  <c r="Z270" i="1"/>
  <c r="BN270" i="1"/>
  <c r="Y272" i="1"/>
  <c r="BP277" i="1"/>
  <c r="BN277" i="1"/>
  <c r="Z277" i="1"/>
  <c r="Z279" i="1" s="1"/>
  <c r="Y290" i="1"/>
  <c r="BP295" i="1"/>
  <c r="BN295" i="1"/>
  <c r="Z295" i="1"/>
  <c r="Z299" i="1" s="1"/>
  <c r="Y299" i="1"/>
  <c r="BP303" i="1"/>
  <c r="BN303" i="1"/>
  <c r="Z303" i="1"/>
  <c r="Z308" i="1" s="1"/>
  <c r="BP307" i="1"/>
  <c r="BN307" i="1"/>
  <c r="Z307" i="1"/>
  <c r="Y309" i="1"/>
  <c r="Y316" i="1"/>
  <c r="BP311" i="1"/>
  <c r="BN311" i="1"/>
  <c r="Z311" i="1"/>
  <c r="Z315" i="1" s="1"/>
  <c r="Y315" i="1"/>
  <c r="BP319" i="1"/>
  <c r="BN319" i="1"/>
  <c r="Z319" i="1"/>
  <c r="Z321" i="1" s="1"/>
  <c r="Y328" i="1"/>
  <c r="BP327" i="1"/>
  <c r="BN327" i="1"/>
  <c r="Z327" i="1"/>
  <c r="Y329" i="1"/>
  <c r="Y334" i="1"/>
  <c r="BP331" i="1"/>
  <c r="BN331" i="1"/>
  <c r="Z331" i="1"/>
  <c r="BP340" i="1"/>
  <c r="BN340" i="1"/>
  <c r="Z340" i="1"/>
  <c r="Y342" i="1"/>
  <c r="Y353" i="1"/>
  <c r="BP346" i="1"/>
  <c r="BN346" i="1"/>
  <c r="Z346" i="1"/>
  <c r="BP350" i="1"/>
  <c r="BN350" i="1"/>
  <c r="Z350" i="1"/>
  <c r="Y358" i="1"/>
  <c r="BP362" i="1"/>
  <c r="BN362" i="1"/>
  <c r="Z362" i="1"/>
  <c r="Z363" i="1" s="1"/>
  <c r="Y364" i="1"/>
  <c r="Y367" i="1"/>
  <c r="BP366" i="1"/>
  <c r="BN366" i="1"/>
  <c r="Z366" i="1"/>
  <c r="Z367" i="1" s="1"/>
  <c r="Y368" i="1"/>
  <c r="T501" i="1"/>
  <c r="Y374" i="1"/>
  <c r="BP371" i="1"/>
  <c r="BN371" i="1"/>
  <c r="Z371" i="1"/>
  <c r="Y378" i="1"/>
  <c r="BP383" i="1"/>
  <c r="BN383" i="1"/>
  <c r="Z383" i="1"/>
  <c r="Y385" i="1"/>
  <c r="U501" i="1"/>
  <c r="Y398" i="1"/>
  <c r="BP389" i="1"/>
  <c r="BN389" i="1"/>
  <c r="Z389" i="1"/>
  <c r="BP393" i="1"/>
  <c r="BN393" i="1"/>
  <c r="Z393" i="1"/>
  <c r="BP397" i="1"/>
  <c r="BN397" i="1"/>
  <c r="Z397" i="1"/>
  <c r="Y399" i="1"/>
  <c r="Y404" i="1"/>
  <c r="BP401" i="1"/>
  <c r="BN401" i="1"/>
  <c r="Z401" i="1"/>
  <c r="Z403" i="1" s="1"/>
  <c r="Y415" i="1"/>
  <c r="BP414" i="1"/>
  <c r="BN414" i="1"/>
  <c r="Z414" i="1"/>
  <c r="Y416" i="1"/>
  <c r="Y421" i="1"/>
  <c r="Y420" i="1"/>
  <c r="BP419" i="1"/>
  <c r="BN419" i="1"/>
  <c r="Z419" i="1"/>
  <c r="Z420" i="1" s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Z443" i="1" s="1"/>
  <c r="Y443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O501" i="1"/>
  <c r="W501" i="1"/>
  <c r="P501" i="1"/>
  <c r="Y285" i="1"/>
  <c r="Y300" i="1"/>
  <c r="V501" i="1"/>
  <c r="Y409" i="1"/>
  <c r="X501" i="1"/>
  <c r="BP427" i="1"/>
  <c r="BN427" i="1"/>
  <c r="Z427" i="1"/>
  <c r="BP431" i="1"/>
  <c r="BN431" i="1"/>
  <c r="Z431" i="1"/>
  <c r="BP435" i="1"/>
  <c r="BN435" i="1"/>
  <c r="Z435" i="1"/>
  <c r="Y444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Z465" i="1" s="1"/>
  <c r="Y465" i="1"/>
  <c r="BP469" i="1"/>
  <c r="BN469" i="1"/>
  <c r="Z469" i="1"/>
  <c r="Z470" i="1" s="1"/>
  <c r="Y471" i="1"/>
  <c r="Y476" i="1"/>
  <c r="BP473" i="1"/>
  <c r="BN473" i="1"/>
  <c r="Z473" i="1"/>
  <c r="Z475" i="1" s="1"/>
  <c r="Y484" i="1"/>
  <c r="Y501" i="1"/>
  <c r="Y438" i="1"/>
  <c r="Z106" i="1" l="1"/>
  <c r="Z452" i="1"/>
  <c r="Z373" i="1"/>
  <c r="Z334" i="1"/>
  <c r="Z255" i="1"/>
  <c r="Z239" i="1"/>
  <c r="Z290" i="1"/>
  <c r="Z130" i="1"/>
  <c r="Z120" i="1"/>
  <c r="Z113" i="1"/>
  <c r="Z44" i="1"/>
  <c r="Z32" i="1"/>
  <c r="Z24" i="1"/>
  <c r="Z221" i="1"/>
  <c r="Z328" i="1"/>
  <c r="Z58" i="1"/>
  <c r="Z437" i="1"/>
  <c r="Z415" i="1"/>
  <c r="Z341" i="1"/>
  <c r="Z90" i="1"/>
  <c r="Z177" i="1"/>
  <c r="Z77" i="1"/>
  <c r="Z64" i="1"/>
  <c r="Y493" i="1"/>
  <c r="Z398" i="1"/>
  <c r="Z353" i="1"/>
  <c r="Z272" i="1"/>
  <c r="Z264" i="1"/>
  <c r="Z209" i="1"/>
  <c r="Z384" i="1"/>
  <c r="Y495" i="1"/>
  <c r="Z97" i="1"/>
  <c r="Y492" i="1"/>
  <c r="Y491" i="1"/>
  <c r="Y494" i="1" l="1"/>
  <c r="Z496" i="1"/>
</calcChain>
</file>

<file path=xl/sharedStrings.xml><?xml version="1.0" encoding="utf-8"?>
<sst xmlns="http://schemas.openxmlformats.org/spreadsheetml/2006/main" count="2220" uniqueCount="776">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</sst>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46006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Понедельник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0.41666666666666669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15</v>
      </c>
      <c r="Y41" s="546">
        <f>IFERROR(IF(X41="",0,CEILING((X41/$H41),1)*$H41),"")</f>
        <v>21.6</v>
      </c>
      <c r="Z41" s="36">
        <f>IFERROR(IF(Y41=0,"",ROUNDUP(Y41/H41,0)*0.01898),"")</f>
        <v>3.7960000000000001E-2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15.569444444444445</v>
      </c>
      <c r="BN41" s="64">
        <f>IFERROR(Y41*I41/H41,"0")</f>
        <v>22.42</v>
      </c>
      <c r="BO41" s="64">
        <f>IFERROR(1/J41*(X41/H41),"0")</f>
        <v>2.1701388888888888E-2</v>
      </c>
      <c r="BP41" s="64">
        <f>IFERROR(1/J41*(Y41/H41),"0")</f>
        <v>3.125E-2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54">
        <v>4680115882539</v>
      </c>
      <c r="E42" s="555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54">
        <v>4607091385687</v>
      </c>
      <c r="E43" s="555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1.3888888888888888</v>
      </c>
      <c r="Y44" s="547">
        <f>IFERROR(Y41/H41,"0")+IFERROR(Y42/H42,"0")+IFERROR(Y43/H43,"0")</f>
        <v>2</v>
      </c>
      <c r="Z44" s="547">
        <f>IFERROR(IF(Z41="",0,Z41),"0")+IFERROR(IF(Z42="",0,Z42),"0")+IFERROR(IF(Z43="",0,Z43),"0")</f>
        <v>3.7960000000000001E-2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15</v>
      </c>
      <c r="Y45" s="547">
        <f>IFERROR(SUM(Y41:Y43),"0")</f>
        <v>21.6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118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hidden="1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hidden="1" customHeight="1" x14ac:dyDescent="0.25">
      <c r="A60" s="556" t="s">
        <v>137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/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151</v>
      </c>
      <c r="B69" s="54" t="s">
        <v>152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153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154</v>
      </c>
      <c r="B73" s="54" t="s">
        <v>155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157</v>
      </c>
      <c r="B74" s="54" t="s">
        <v>158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156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162</v>
      </c>
      <c r="B76" s="54" t="s">
        <v>163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164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165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hidden="1" customHeight="1" x14ac:dyDescent="0.25">
      <c r="A80" s="54" t="s">
        <v>166</v>
      </c>
      <c r="B80" s="54" t="s">
        <v>167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/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169</v>
      </c>
      <c r="B81" s="54" t="s">
        <v>170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171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74" t="s">
        <v>172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173</v>
      </c>
      <c r="B86" s="54" t="s">
        <v>174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47</v>
      </c>
      <c r="Y86" s="546">
        <f>IFERROR(IF(X86="",0,CEILING((X86/$H86),1)*$H86),"")</f>
        <v>54</v>
      </c>
      <c r="Z86" s="36">
        <f>IFERROR(IF(Y86=0,"",ROUNDUP(Y86/H86,0)*0.01898),"")</f>
        <v>9.4899999999999998E-2</v>
      </c>
      <c r="AA86" s="56"/>
      <c r="AB86" s="57"/>
      <c r="AC86" s="129" t="s">
        <v>175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48.784259259259258</v>
      </c>
      <c r="BN86" s="64">
        <f>IFERROR(Y86*I86/H86,"0")</f>
        <v>56.05</v>
      </c>
      <c r="BO86" s="64">
        <f>IFERROR(1/J86*(X86/H86),"0")</f>
        <v>6.7997685185185175E-2</v>
      </c>
      <c r="BP86" s="64">
        <f>IFERROR(1/J86*(Y86/H86),"0")</f>
        <v>7.8125E-2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178</v>
      </c>
      <c r="L87" s="32"/>
      <c r="M87" s="33" t="s">
        <v>68</v>
      </c>
      <c r="N87" s="33"/>
      <c r="O87" s="32">
        <v>30</v>
      </c>
      <c r="P87" s="723" t="s">
        <v>179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180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181</v>
      </c>
      <c r="B88" s="54" t="s">
        <v>182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175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183</v>
      </c>
      <c r="B89" s="54" t="s">
        <v>184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11</v>
      </c>
      <c r="Y89" s="546">
        <f>IFERROR(IF(X89="",0,CEILING((X89/$H89),1)*$H89),"")</f>
        <v>13.5</v>
      </c>
      <c r="Z89" s="36">
        <f>IFERROR(IF(Y89=0,"",ROUNDUP(Y89/H89,0)*0.00902),"")</f>
        <v>2.7060000000000001E-2</v>
      </c>
      <c r="AA89" s="56"/>
      <c r="AB89" s="57"/>
      <c r="AC89" s="135" t="s">
        <v>175</v>
      </c>
      <c r="AG89" s="64"/>
      <c r="AJ89" s="68"/>
      <c r="AK89" s="68">
        <v>0</v>
      </c>
      <c r="BB89" s="136" t="s">
        <v>1</v>
      </c>
      <c r="BM89" s="64">
        <f>IFERROR(X89*I89/H89,"0")</f>
        <v>11.464444444444446</v>
      </c>
      <c r="BN89" s="64">
        <f>IFERROR(Y89*I89/H89,"0")</f>
        <v>14.07</v>
      </c>
      <c r="BO89" s="64">
        <f>IFERROR(1/J89*(X89/H89),"0")</f>
        <v>1.8518518518518521E-2</v>
      </c>
      <c r="BP89" s="64">
        <f>IFERROR(1/J89*(Y89/H89),"0")</f>
        <v>2.2727272727272728E-2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6.7962962962962958</v>
      </c>
      <c r="Y90" s="547">
        <f>IFERROR(Y86/H86,"0")+IFERROR(Y87/H87,"0")+IFERROR(Y88/H88,"0")+IFERROR(Y89/H89,"0")</f>
        <v>8</v>
      </c>
      <c r="Z90" s="547">
        <f>IFERROR(IF(Z86="",0,Z86),"0")+IFERROR(IF(Z87="",0,Z87),"0")+IFERROR(IF(Z88="",0,Z88),"0")+IFERROR(IF(Z89="",0,Z89),"0")</f>
        <v>0.12196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58</v>
      </c>
      <c r="Y91" s="547">
        <f>IFERROR(SUM(Y86:Y89),"0")</f>
        <v>67.5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hidden="1" customHeight="1" x14ac:dyDescent="0.25">
      <c r="A93" s="54" t="s">
        <v>185</v>
      </c>
      <c r="B93" s="54" t="s">
        <v>186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187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188</v>
      </c>
      <c r="B94" s="54" t="s">
        <v>189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190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191</v>
      </c>
      <c r="B95" s="54" t="s">
        <v>192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187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193</v>
      </c>
      <c r="B96" s="54" t="s">
        <v>194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195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0</v>
      </c>
      <c r="Y97" s="547">
        <f>IFERROR(Y93/H93,"0")+IFERROR(Y94/H94,"0")+IFERROR(Y95/H95,"0")+IFERROR(Y96/H96,"0")</f>
        <v>0</v>
      </c>
      <c r="Z97" s="547">
        <f>IFERROR(IF(Z93="",0,Z93),"0")+IFERROR(IF(Z94="",0,Z94),"0")+IFERROR(IF(Z95="",0,Z95),"0")+IFERROR(IF(Z96="",0,Z96),"0")</f>
        <v>0</v>
      </c>
      <c r="AA97" s="548"/>
      <c r="AB97" s="548"/>
      <c r="AC97" s="548"/>
    </row>
    <row r="98" spans="1:68" hidden="1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0</v>
      </c>
      <c r="Y98" s="547">
        <f>IFERROR(SUM(Y93:Y96),"0")</f>
        <v>0</v>
      </c>
      <c r="Z98" s="37"/>
      <c r="AA98" s="548"/>
      <c r="AB98" s="548"/>
      <c r="AC98" s="548"/>
    </row>
    <row r="99" spans="1:68" ht="16.5" hidden="1" customHeight="1" x14ac:dyDescent="0.25">
      <c r="A99" s="574" t="s">
        <v>196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197</v>
      </c>
      <c r="B101" s="54" t="s">
        <v>198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71</v>
      </c>
      <c r="Y101" s="546">
        <f>IFERROR(IF(X101="",0,CEILING((X101/$H101),1)*$H101),"")</f>
        <v>75.600000000000009</v>
      </c>
      <c r="Z101" s="36">
        <f>IFERROR(IF(Y101=0,"",ROUNDUP(Y101/H101,0)*0.01898),"")</f>
        <v>0.13286000000000001</v>
      </c>
      <c r="AA101" s="56"/>
      <c r="AB101" s="57"/>
      <c r="AC101" s="145" t="s">
        <v>199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73.69537037037037</v>
      </c>
      <c r="BN101" s="64">
        <f>IFERROR(Y101*I101/H101,"0")</f>
        <v>78.47</v>
      </c>
      <c r="BO101" s="64">
        <f>IFERROR(1/J101*(X101/H101),"0")</f>
        <v>0.1027199074074074</v>
      </c>
      <c r="BP101" s="64">
        <f>IFERROR(1/J101*(Y101/H101),"0")</f>
        <v>0.109375</v>
      </c>
    </row>
    <row r="102" spans="1:68" ht="27" hidden="1" customHeight="1" x14ac:dyDescent="0.25">
      <c r="A102" s="54" t="s">
        <v>200</v>
      </c>
      <c r="B102" s="54" t="s">
        <v>201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178</v>
      </c>
      <c r="L102" s="32"/>
      <c r="M102" s="33" t="s">
        <v>68</v>
      </c>
      <c r="N102" s="33"/>
      <c r="O102" s="32">
        <v>30</v>
      </c>
      <c r="P102" s="818" t="s">
        <v>202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204</v>
      </c>
      <c r="B103" s="54" t="s">
        <v>205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199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206</v>
      </c>
      <c r="B104" s="54" t="s">
        <v>207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208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199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209</v>
      </c>
      <c r="B105" s="54" t="s">
        <v>210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199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6.5740740740740735</v>
      </c>
      <c r="Y106" s="547">
        <f>IFERROR(Y101/H101,"0")+IFERROR(Y102/H102,"0")+IFERROR(Y103/H103,"0")+IFERROR(Y104/H104,"0")+IFERROR(Y105/H105,"0")</f>
        <v>7</v>
      </c>
      <c r="Z106" s="547">
        <f>IFERROR(IF(Z101="",0,Z101),"0")+IFERROR(IF(Z102="",0,Z102),"0")+IFERROR(IF(Z103="",0,Z103),"0")+IFERROR(IF(Z104="",0,Z104),"0")+IFERROR(IF(Z105="",0,Z105),"0")</f>
        <v>0.13286000000000001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71</v>
      </c>
      <c r="Y107" s="547">
        <f>IFERROR(SUM(Y101:Y105),"0")</f>
        <v>75.600000000000009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137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/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11</v>
      </c>
      <c r="Y109" s="546">
        <f>IFERROR(IF(X109="",0,CEILING((X109/$H109),1)*$H109),"")</f>
        <v>21.6</v>
      </c>
      <c r="Z109" s="36">
        <f>IFERROR(IF(Y109=0,"",ROUNDUP(Y109/H109,0)*0.01898),"")</f>
        <v>3.7960000000000001E-2</v>
      </c>
      <c r="AA109" s="56"/>
      <c r="AB109" s="57"/>
      <c r="AC109" s="155" t="s">
        <v>213</v>
      </c>
      <c r="AG109" s="64"/>
      <c r="AJ109" s="68"/>
      <c r="AK109" s="68">
        <v>0</v>
      </c>
      <c r="BB109" s="156" t="s">
        <v>1</v>
      </c>
      <c r="BM109" s="64">
        <f>IFERROR(X109*I109/H109,"0")</f>
        <v>11.417592592592593</v>
      </c>
      <c r="BN109" s="64">
        <f>IFERROR(Y109*I109/H109,"0")</f>
        <v>22.42</v>
      </c>
      <c r="BO109" s="64">
        <f>IFERROR(1/J109*(X109/H109),"0")</f>
        <v>1.591435185185185E-2</v>
      </c>
      <c r="BP109" s="64">
        <f>IFERROR(1/J109*(Y109/H109),"0")</f>
        <v>3.125E-2</v>
      </c>
    </row>
    <row r="110" spans="1:68" ht="27" hidden="1" customHeight="1" x14ac:dyDescent="0.25">
      <c r="A110" s="54" t="s">
        <v>214</v>
      </c>
      <c r="B110" s="54" t="s">
        <v>215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22" t="s">
        <v>217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219</v>
      </c>
      <c r="B111" s="54" t="s">
        <v>220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221</v>
      </c>
      <c r="B112" s="54" t="s">
        <v>222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1.0185185185185184</v>
      </c>
      <c r="Y113" s="547">
        <f>IFERROR(Y109/H109,"0")+IFERROR(Y110/H110,"0")+IFERROR(Y111/H111,"0")+IFERROR(Y112/H112,"0")</f>
        <v>2</v>
      </c>
      <c r="Z113" s="547">
        <f>IFERROR(IF(Z109="",0,Z109),"0")+IFERROR(IF(Z110="",0,Z110),"0")+IFERROR(IF(Z111="",0,Z111),"0")+IFERROR(IF(Z112="",0,Z112),"0")</f>
        <v>3.7960000000000001E-2</v>
      </c>
      <c r="AA113" s="548"/>
      <c r="AB113" s="548"/>
      <c r="AC113" s="548"/>
    </row>
    <row r="114" spans="1:68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11</v>
      </c>
      <c r="Y114" s="547">
        <f>IFERROR(SUM(Y109:Y112),"0")</f>
        <v>21.6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hidden="1" customHeight="1" x14ac:dyDescent="0.25">
      <c r="A116" s="54" t="s">
        <v>223</v>
      </c>
      <c r="B116" s="54" t="s">
        <v>224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228</v>
      </c>
      <c r="B118" s="54" t="s">
        <v>229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0</v>
      </c>
      <c r="Y120" s="547">
        <f>IFERROR(Y116/H116,"0")+IFERROR(Y117/H117,"0")+IFERROR(Y118/H118,"0")+IFERROR(Y119/H119,"0")</f>
        <v>0</v>
      </c>
      <c r="Z120" s="547">
        <f>IFERROR(IF(Z116="",0,Z116),"0")+IFERROR(IF(Z117="",0,Z117),"0")+IFERROR(IF(Z118="",0,Z118),"0")+IFERROR(IF(Z119="",0,Z119),"0")</f>
        <v>0</v>
      </c>
      <c r="AA120" s="548"/>
      <c r="AB120" s="548"/>
      <c r="AC120" s="548"/>
    </row>
    <row r="121" spans="1:68" hidden="1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0</v>
      </c>
      <c r="Y121" s="547">
        <f>IFERROR(SUM(Y116:Y119),"0")</f>
        <v>0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165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137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208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84</v>
      </c>
      <c r="Y166" s="546">
        <f t="shared" si="5"/>
        <v>84</v>
      </c>
      <c r="Z166" s="36">
        <f>IFERROR(IF(Y166=0,"",ROUNDUP(Y166/H166,0)*0.00902),"")</f>
        <v>0.1804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89</v>
      </c>
      <c r="BN166" s="64">
        <f t="shared" si="7"/>
        <v>89</v>
      </c>
      <c r="BO166" s="64">
        <f t="shared" si="8"/>
        <v>0.15151515151515152</v>
      </c>
      <c r="BP166" s="64">
        <f t="shared" si="9"/>
        <v>0.15151515151515152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208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35</v>
      </c>
      <c r="Y168" s="546">
        <f t="shared" si="5"/>
        <v>37.800000000000004</v>
      </c>
      <c r="Z168" s="36">
        <f>IFERROR(IF(Y168=0,"",ROUNDUP(Y168/H168,0)*0.00902),"")</f>
        <v>8.1180000000000002E-2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36.583333333333329</v>
      </c>
      <c r="BN168" s="64">
        <f t="shared" si="7"/>
        <v>39.51</v>
      </c>
      <c r="BO168" s="64">
        <f t="shared" si="8"/>
        <v>6.3131313131313122E-2</v>
      </c>
      <c r="BP168" s="64">
        <f t="shared" si="9"/>
        <v>6.8181818181818177E-2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33</v>
      </c>
      <c r="Y169" s="546">
        <f t="shared" si="5"/>
        <v>33.6</v>
      </c>
      <c r="Z169" s="36">
        <f>IFERROR(IF(Y169=0,"",ROUNDUP(Y169/H169,0)*0.00502),"")</f>
        <v>8.0320000000000003E-2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35.042857142857144</v>
      </c>
      <c r="BN169" s="64">
        <f t="shared" si="7"/>
        <v>35.68</v>
      </c>
      <c r="BO169" s="64">
        <f t="shared" si="8"/>
        <v>6.7155067155067152E-2</v>
      </c>
      <c r="BP169" s="64">
        <f t="shared" si="9"/>
        <v>6.8376068376068383E-2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9</v>
      </c>
      <c r="Y172" s="546">
        <f t="shared" si="5"/>
        <v>9</v>
      </c>
      <c r="Z172" s="36">
        <f>IFERROR(IF(Y172=0,"",ROUNDUP(Y172/H172,0)*0.00502),"")</f>
        <v>2.5100000000000001E-2</v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9.65</v>
      </c>
      <c r="BN172" s="64">
        <f t="shared" si="7"/>
        <v>9.65</v>
      </c>
      <c r="BO172" s="64">
        <f t="shared" si="8"/>
        <v>2.1367521367521368E-2</v>
      </c>
      <c r="BP172" s="64">
        <f t="shared" si="9"/>
        <v>2.1367521367521368E-2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178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53</v>
      </c>
      <c r="Y174" s="546">
        <f t="shared" si="5"/>
        <v>54.6</v>
      </c>
      <c r="Z174" s="36">
        <f>IFERROR(IF(Y174=0,"",ROUNDUP(Y174/H174,0)*0.00502),"")</f>
        <v>0.13052</v>
      </c>
      <c r="AA174" s="56"/>
      <c r="AB174" s="57"/>
      <c r="AC174" s="217" t="s">
        <v>285</v>
      </c>
      <c r="AG174" s="64"/>
      <c r="AJ174" s="68"/>
      <c r="AK174" s="68">
        <v>0</v>
      </c>
      <c r="BB174" s="218" t="s">
        <v>1</v>
      </c>
      <c r="BM174" s="64">
        <f t="shared" si="6"/>
        <v>55.523809523809526</v>
      </c>
      <c r="BN174" s="64">
        <f t="shared" si="7"/>
        <v>57.20000000000001</v>
      </c>
      <c r="BO174" s="64">
        <f t="shared" si="8"/>
        <v>0.10785510785510787</v>
      </c>
      <c r="BP174" s="64">
        <f t="shared" si="9"/>
        <v>0.11111111111111112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74.285714285714278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76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0.49752000000000007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214</v>
      </c>
      <c r="Y178" s="547">
        <f>IFERROR(SUM(Y165:Y176),"0")</f>
        <v>219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1</v>
      </c>
      <c r="Y181" s="546">
        <f>IFERROR(IF(X181="",0,CEILING((X181/$H181),1)*$H181),"")</f>
        <v>1.26</v>
      </c>
      <c r="Z181" s="36">
        <f>IFERROR(IF(Y181=0,"",ROUNDUP(Y181/H181,0)*0.0059),"")</f>
        <v>5.8999999999999999E-3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1.1507936507936507</v>
      </c>
      <c r="BN181" s="64">
        <f>IFERROR(Y181*I181/H181,"0")</f>
        <v>1.45</v>
      </c>
      <c r="BO181" s="64">
        <f>IFERROR(1/J181*(X181/H181),"0")</f>
        <v>3.6743092298647849E-3</v>
      </c>
      <c r="BP181" s="64">
        <f>IFERROR(1/J181*(Y181/H181),"0")</f>
        <v>4.6296296296296294E-3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4</v>
      </c>
      <c r="Y182" s="546">
        <f>IFERROR(IF(X182="",0,CEILING((X182/$H182),1)*$H182),"")</f>
        <v>5.04</v>
      </c>
      <c r="Z182" s="36">
        <f>IFERROR(IF(Y182=0,"",ROUNDUP(Y182/H182,0)*0.0059),"")</f>
        <v>2.3599999999999999E-2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4.6031746031746028</v>
      </c>
      <c r="BN182" s="64">
        <f>IFERROR(Y182*I182/H182,"0")</f>
        <v>5.8</v>
      </c>
      <c r="BO182" s="64">
        <f>IFERROR(1/J182*(X182/H182),"0")</f>
        <v>1.469723691945914E-2</v>
      </c>
      <c r="BP182" s="64">
        <f>IFERROR(1/J182*(Y182/H182),"0")</f>
        <v>1.8518518518518517E-2</v>
      </c>
    </row>
    <row r="183" spans="1:68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3.9682539682539679</v>
      </c>
      <c r="Y183" s="547">
        <f>IFERROR(Y180/H180,"0")+IFERROR(Y181/H181,"0")+IFERROR(Y182/H182,"0")</f>
        <v>5</v>
      </c>
      <c r="Z183" s="547">
        <f>IFERROR(IF(Z180="",0,Z180),"0")+IFERROR(IF(Z181="",0,Z181),"0")+IFERROR(IF(Z182="",0,Z182),"0")</f>
        <v>2.9499999999999998E-2</v>
      </c>
      <c r="AA183" s="548"/>
      <c r="AB183" s="548"/>
      <c r="AC183" s="548"/>
    </row>
    <row r="184" spans="1:68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5</v>
      </c>
      <c r="Y184" s="547">
        <f>IFERROR(SUM(Y180:Y182),"0")</f>
        <v>6.3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3</v>
      </c>
      <c r="Y186" s="546">
        <f>IFERROR(IF(X186="",0,CEILING((X186/$H186),1)*$H186),"")</f>
        <v>3.7800000000000002</v>
      </c>
      <c r="Z186" s="36">
        <f>IFERROR(IF(Y186=0,"",ROUNDUP(Y186/H186,0)*0.0059),"")</f>
        <v>1.77E-2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3.4523809523809521</v>
      </c>
      <c r="BN186" s="64">
        <f>IFERROR(Y186*I186/H186,"0")</f>
        <v>4.3499999999999996</v>
      </c>
      <c r="BO186" s="64">
        <f>IFERROR(1/J186*(X186/H186),"0")</f>
        <v>1.1022927689594356E-2</v>
      </c>
      <c r="BP186" s="64">
        <f>IFERROR(1/J186*(Y186/H186),"0")</f>
        <v>1.3888888888888888E-2</v>
      </c>
    </row>
    <row r="187" spans="1:68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2.3809523809523809</v>
      </c>
      <c r="Y187" s="547">
        <f>IFERROR(Y186/H186,"0")</f>
        <v>3</v>
      </c>
      <c r="Z187" s="547">
        <f>IFERROR(IF(Z186="",0,Z186),"0")</f>
        <v>1.77E-2</v>
      </c>
      <c r="AA187" s="548"/>
      <c r="AB187" s="548"/>
      <c r="AC187" s="548"/>
    </row>
    <row r="188" spans="1:68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3</v>
      </c>
      <c r="Y188" s="547">
        <f>IFERROR(SUM(Y186:Y186),"0")</f>
        <v>3.7800000000000002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137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208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113</v>
      </c>
      <c r="Y201" s="546">
        <f t="shared" ref="Y201:Y208" si="10">IFERROR(IF(X201="",0,CEILING((X201/$H201),1)*$H201),"")</f>
        <v>113.4</v>
      </c>
      <c r="Z201" s="36">
        <f>IFERROR(IF(Y201=0,"",ROUNDUP(Y201/H201,0)*0.00902),"")</f>
        <v>0.18942000000000001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116.97592592592591</v>
      </c>
      <c r="BN201" s="64">
        <f t="shared" ref="BN201:BN208" si="12">IFERROR(Y201*I201/H201,"0")</f>
        <v>117.39</v>
      </c>
      <c r="BO201" s="64">
        <f t="shared" ref="BO201:BO208" si="13">IFERROR(1/J201*(X201/H201),"0")</f>
        <v>0.1585297418630752</v>
      </c>
      <c r="BP201" s="64">
        <f t="shared" ref="BP201:BP208" si="14">IFERROR(1/J201*(Y201/H201),"0")</f>
        <v>0.15909090909090909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208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98</v>
      </c>
      <c r="Y202" s="546">
        <f t="shared" si="10"/>
        <v>102.60000000000001</v>
      </c>
      <c r="Z202" s="36">
        <f>IFERROR(IF(Y202=0,"",ROUNDUP(Y202/H202,0)*0.00902),"")</f>
        <v>0.17138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101.44814814814814</v>
      </c>
      <c r="BN202" s="64">
        <f t="shared" si="12"/>
        <v>106.21</v>
      </c>
      <c r="BO202" s="64">
        <f t="shared" si="13"/>
        <v>0.13748597081930414</v>
      </c>
      <c r="BP202" s="64">
        <f t="shared" si="14"/>
        <v>0.14393939393939395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208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418</v>
      </c>
      <c r="Y204" s="546">
        <f t="shared" si="10"/>
        <v>421.20000000000005</v>
      </c>
      <c r="Z204" s="36">
        <f>IFERROR(IF(Y204=0,"",ROUNDUP(Y204/H204,0)*0.00902),"")</f>
        <v>0.70355999999999996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432.70740740740735</v>
      </c>
      <c r="BN204" s="64">
        <f t="shared" si="12"/>
        <v>436.02000000000004</v>
      </c>
      <c r="BO204" s="64">
        <f t="shared" si="13"/>
        <v>0.5864197530864198</v>
      </c>
      <c r="BP204" s="64">
        <f t="shared" si="14"/>
        <v>0.59090909090909094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/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17</v>
      </c>
      <c r="Y205" s="546">
        <f t="shared" si="10"/>
        <v>18</v>
      </c>
      <c r="Z205" s="36">
        <f>IFERROR(IF(Y205=0,"",ROUNDUP(Y205/H205,0)*0.00502),"")</f>
        <v>5.0200000000000002E-2</v>
      </c>
      <c r="AA205" s="56"/>
      <c r="AB205" s="57"/>
      <c r="AC205" s="247" t="s">
        <v>334</v>
      </c>
      <c r="AG205" s="64"/>
      <c r="AJ205" s="68"/>
      <c r="AK205" s="68">
        <v>0</v>
      </c>
      <c r="BB205" s="248" t="s">
        <v>1</v>
      </c>
      <c r="BM205" s="64">
        <f t="shared" si="11"/>
        <v>18.227777777777778</v>
      </c>
      <c r="BN205" s="64">
        <f t="shared" si="12"/>
        <v>19.3</v>
      </c>
      <c r="BO205" s="64">
        <f t="shared" si="13"/>
        <v>4.0360873694207031E-2</v>
      </c>
      <c r="BP205" s="64">
        <f t="shared" si="14"/>
        <v>4.2735042735042736E-2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/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49</v>
      </c>
      <c r="Y206" s="546">
        <f t="shared" si="10"/>
        <v>50.4</v>
      </c>
      <c r="Z206" s="36">
        <f>IFERROR(IF(Y206=0,"",ROUNDUP(Y206/H206,0)*0.00502),"")</f>
        <v>0.14056000000000002</v>
      </c>
      <c r="AA206" s="56"/>
      <c r="AB206" s="57"/>
      <c r="AC206" s="249" t="s">
        <v>337</v>
      </c>
      <c r="AG206" s="64"/>
      <c r="AJ206" s="68"/>
      <c r="AK206" s="68">
        <v>0</v>
      </c>
      <c r="BB206" s="250" t="s">
        <v>1</v>
      </c>
      <c r="BM206" s="64">
        <f t="shared" si="11"/>
        <v>51.722222222222214</v>
      </c>
      <c r="BN206" s="64">
        <f t="shared" si="12"/>
        <v>53.199999999999996</v>
      </c>
      <c r="BO206" s="64">
        <f t="shared" si="13"/>
        <v>0.11633428300094968</v>
      </c>
      <c r="BP206" s="64">
        <f t="shared" si="14"/>
        <v>0.11965811965811968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36</v>
      </c>
      <c r="Y208" s="546">
        <f t="shared" si="10"/>
        <v>36</v>
      </c>
      <c r="Z208" s="36">
        <f>IFERROR(IF(Y208=0,"",ROUNDUP(Y208/H208,0)*0.00502),"")</f>
        <v>0.1004</v>
      </c>
      <c r="AA208" s="56"/>
      <c r="AB208" s="57"/>
      <c r="AC208" s="253" t="s">
        <v>343</v>
      </c>
      <c r="AG208" s="64"/>
      <c r="AJ208" s="68"/>
      <c r="AK208" s="68">
        <v>0</v>
      </c>
      <c r="BB208" s="254" t="s">
        <v>1</v>
      </c>
      <c r="BM208" s="64">
        <f t="shared" si="11"/>
        <v>37.999999999999993</v>
      </c>
      <c r="BN208" s="64">
        <f t="shared" si="12"/>
        <v>37.999999999999993</v>
      </c>
      <c r="BO208" s="64">
        <f t="shared" si="13"/>
        <v>8.5470085470085472E-2</v>
      </c>
      <c r="BP208" s="64">
        <f t="shared" si="14"/>
        <v>8.5470085470085472E-2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173.14814814814812</v>
      </c>
      <c r="Y209" s="547">
        <f>IFERROR(Y201/H201,"0")+IFERROR(Y202/H202,"0")+IFERROR(Y203/H203,"0")+IFERROR(Y204/H204,"0")+IFERROR(Y205/H205,"0")+IFERROR(Y206/H206,"0")+IFERROR(Y207/H207,"0")+IFERROR(Y208/H208,"0")</f>
        <v>176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1.3555200000000001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731</v>
      </c>
      <c r="Y210" s="547">
        <f>IFERROR(SUM(Y201:Y208),"0")</f>
        <v>741.6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/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70</v>
      </c>
      <c r="Y215" s="546">
        <f t="shared" si="15"/>
        <v>72</v>
      </c>
      <c r="Z215" s="36">
        <f t="shared" ref="Z215:Z220" si="20">IFERROR(IF(Y215=0,"",ROUNDUP(Y215/H215,0)*0.00651),"")</f>
        <v>0.1953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77.875</v>
      </c>
      <c r="BN215" s="64">
        <f t="shared" si="17"/>
        <v>80.100000000000009</v>
      </c>
      <c r="BO215" s="64">
        <f t="shared" si="18"/>
        <v>0.16025641025641027</v>
      </c>
      <c r="BP215" s="64">
        <f t="shared" si="19"/>
        <v>0.16483516483516486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230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63</v>
      </c>
      <c r="Y220" s="546">
        <f t="shared" si="15"/>
        <v>64.8</v>
      </c>
      <c r="Z220" s="36">
        <f t="shared" si="20"/>
        <v>0.17577000000000001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69.772500000000008</v>
      </c>
      <c r="BN220" s="64">
        <f t="shared" si="17"/>
        <v>71.765999999999991</v>
      </c>
      <c r="BO220" s="64">
        <f t="shared" si="18"/>
        <v>0.14423076923076925</v>
      </c>
      <c r="BP220" s="64">
        <f t="shared" si="19"/>
        <v>0.14835164835164835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55.416666666666671</v>
      </c>
      <c r="Y221" s="547">
        <f>IFERROR(Y212/H212,"0")+IFERROR(Y213/H213,"0")+IFERROR(Y214/H214,"0")+IFERROR(Y215/H215,"0")+IFERROR(Y216/H216,"0")+IFERROR(Y217/H217,"0")+IFERROR(Y218/H218,"0")+IFERROR(Y219/H219,"0")+IFERROR(Y220/H220,"0")</f>
        <v>57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0.37107000000000001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133</v>
      </c>
      <c r="Y222" s="547">
        <f>IFERROR(SUM(Y212:Y220),"0")</f>
        <v>136.80000000000001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165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4301012196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4301011824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4301012195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4301011722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137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1</v>
      </c>
      <c r="Y252" s="546">
        <f>IFERROR(IF(X252="",0,CEILING((X252/$H252),1)*$H252),"")</f>
        <v>1.8</v>
      </c>
      <c r="Z252" s="36">
        <f>IFERROR(IF(Y252=0,"",ROUNDUP(Y252/H252,0)*0.0059),"")</f>
        <v>1.18E-2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1.2111111111111112</v>
      </c>
      <c r="BN252" s="64">
        <f>IFERROR(Y252*I252/H252,"0")</f>
        <v>2.1800000000000002</v>
      </c>
      <c r="BO252" s="64">
        <f>IFERROR(1/J252*(X252/H252),"0")</f>
        <v>5.1440329218106996E-3</v>
      </c>
      <c r="BP252" s="64">
        <f>IFERROR(1/J252*(Y252/H252),"0")</f>
        <v>9.2592592592592587E-3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1.1111111111111112</v>
      </c>
      <c r="Y255" s="547">
        <f>IFERROR(Y250/H250,"0")+IFERROR(Y251/H251,"0")+IFERROR(Y252/H252,"0")+IFERROR(Y253/H253,"0")+IFERROR(Y254/H254,"0")</f>
        <v>2</v>
      </c>
      <c r="Z255" s="547">
        <f>IFERROR(IF(Z250="",0,Z250),"0")+IFERROR(IF(Z251="",0,Z251),"0")+IFERROR(IF(Z252="",0,Z252),"0")+IFERROR(IF(Z253="",0,Z253),"0")+IFERROR(IF(Z254="",0,Z254),"0")</f>
        <v>1.18E-2</v>
      </c>
      <c r="AA255" s="548"/>
      <c r="AB255" s="548"/>
      <c r="AC255" s="548"/>
    </row>
    <row r="256" spans="1:68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1</v>
      </c>
      <c r="Y256" s="547">
        <f>IFERROR(SUM(Y250:Y254),"0")</f>
        <v>1.8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230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idden="1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hidden="1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165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hidden="1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10</v>
      </c>
      <c r="Y319" s="546">
        <f>IFERROR(IF(X319="",0,CEILING((X319/$H319),1)*$H319),"")</f>
        <v>15.6</v>
      </c>
      <c r="Z319" s="36">
        <f>IFERROR(IF(Y319=0,"",ROUNDUP(Y319/H319,0)*0.01898),"")</f>
        <v>3.7960000000000001E-2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10.633333333333333</v>
      </c>
      <c r="BN319" s="64">
        <f>IFERROR(Y319*I319/H319,"0")</f>
        <v>16.588000000000001</v>
      </c>
      <c r="BO319" s="64">
        <f>IFERROR(1/J319*(X319/H319),"0")</f>
        <v>2.0032051282051284E-2</v>
      </c>
      <c r="BP319" s="64">
        <f>IFERROR(1/J319*(Y319/H319),"0")</f>
        <v>3.125E-2</v>
      </c>
    </row>
    <row r="320" spans="1:68" ht="16.5" hidden="1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1.2820512820512822</v>
      </c>
      <c r="Y321" s="547">
        <f>IFERROR(Y318/H318,"0")+IFERROR(Y319/H319,"0")+IFERROR(Y320/H320,"0")</f>
        <v>2</v>
      </c>
      <c r="Z321" s="547">
        <f>IFERROR(IF(Z318="",0,Z318),"0")+IFERROR(IF(Z319="",0,Z319),"0")+IFERROR(IF(Z320="",0,Z320),"0")</f>
        <v>3.7960000000000001E-2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10</v>
      </c>
      <c r="Y322" s="547">
        <f>IFERROR(SUM(Y318:Y320),"0")</f>
        <v>15.6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/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hidden="1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1</v>
      </c>
      <c r="Y331" s="546">
        <f>IFERROR(IF(X331="",0,CEILING((X331/$H331),1)*$H331),"")</f>
        <v>2</v>
      </c>
      <c r="Z331" s="36">
        <f>IFERROR(IF(Y331=0,"",ROUNDUP(Y331/H331,0)*0.00474),"")</f>
        <v>4.7400000000000003E-3</v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1.1200000000000001</v>
      </c>
      <c r="BN331" s="64">
        <f>IFERROR(Y331*I331/H331,"0")</f>
        <v>2.2400000000000002</v>
      </c>
      <c r="BO331" s="64">
        <f>IFERROR(1/J331*(X331/H331),"0")</f>
        <v>2.1008403361344537E-3</v>
      </c>
      <c r="BP331" s="64">
        <f>IFERROR(1/J331*(Y331/H331),"0")</f>
        <v>4.2016806722689074E-3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1</v>
      </c>
      <c r="Y332" s="546">
        <f>IFERROR(IF(X332="",0,CEILING((X332/$H332),1)*$H332),"")</f>
        <v>2</v>
      </c>
      <c r="Z332" s="36">
        <f>IFERROR(IF(Y332=0,"",ROUNDUP(Y332/H332,0)*0.00474),"")</f>
        <v>4.7400000000000003E-3</v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1.1200000000000001</v>
      </c>
      <c r="BN332" s="64">
        <f>IFERROR(Y332*I332/H332,"0")</f>
        <v>2.2400000000000002</v>
      </c>
      <c r="BO332" s="64">
        <f>IFERROR(1/J332*(X332/H332),"0")</f>
        <v>2.1008403361344537E-3</v>
      </c>
      <c r="BP332" s="64">
        <f>IFERROR(1/J332*(Y332/H332),"0")</f>
        <v>4.2016806722689074E-3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1</v>
      </c>
      <c r="Y333" s="546">
        <f>IFERROR(IF(X333="",0,CEILING((X333/$H333),1)*$H333),"")</f>
        <v>2</v>
      </c>
      <c r="Z333" s="36">
        <f>IFERROR(IF(Y333=0,"",ROUNDUP(Y333/H333,0)*0.00474),"")</f>
        <v>4.7400000000000003E-3</v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1.1200000000000001</v>
      </c>
      <c r="BN333" s="64">
        <f>IFERROR(Y333*I333/H333,"0")</f>
        <v>2.2400000000000002</v>
      </c>
      <c r="BO333" s="64">
        <f>IFERROR(1/J333*(X333/H333),"0")</f>
        <v>2.1008403361344537E-3</v>
      </c>
      <c r="BP333" s="64">
        <f>IFERROR(1/J333*(Y333/H333),"0")</f>
        <v>4.2016806722689074E-3</v>
      </c>
    </row>
    <row r="334" spans="1:68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1.5</v>
      </c>
      <c r="Y334" s="547">
        <f>IFERROR(Y331/H331,"0")+IFERROR(Y332/H332,"0")+IFERROR(Y333/H333,"0")</f>
        <v>3</v>
      </c>
      <c r="Z334" s="547">
        <f>IFERROR(IF(Z331="",0,Z331),"0")+IFERROR(IF(Z332="",0,Z332),"0")+IFERROR(IF(Z333="",0,Z333),"0")</f>
        <v>1.422E-2</v>
      </c>
      <c r="AA334" s="548"/>
      <c r="AB334" s="548"/>
      <c r="AC334" s="548"/>
    </row>
    <row r="335" spans="1:68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3</v>
      </c>
      <c r="Y335" s="547">
        <f>IFERROR(SUM(Y331:Y333),"0")</f>
        <v>6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98</v>
      </c>
      <c r="Y346" s="546">
        <f t="shared" ref="Y346:Y352" si="31">IFERROR(IF(X346="",0,CEILING((X346/$H346),1)*$H346),"")</f>
        <v>105</v>
      </c>
      <c r="Z346" s="36">
        <f>IFERROR(IF(Y346=0,"",ROUNDUP(Y346/H346,0)*0.02175),"")</f>
        <v>0.15225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101.07066666666668</v>
      </c>
      <c r="BN346" s="64">
        <f t="shared" ref="BN346:BN352" si="33">IFERROR(Y346*I346/H346,"0")</f>
        <v>108.29</v>
      </c>
      <c r="BO346" s="64">
        <f t="shared" ref="BO346:BO352" si="34">IFERROR(1/J346*(X346/H346),"0")</f>
        <v>0.1361111111111111</v>
      </c>
      <c r="BP346" s="64">
        <f t="shared" ref="BP346:BP352" si="35">IFERROR(1/J346*(Y346/H346),"0")</f>
        <v>0.14583333333333331</v>
      </c>
    </row>
    <row r="347" spans="1:68" ht="27" hidden="1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4301012215</v>
      </c>
      <c r="D348" s="554">
        <v>4680115887046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87</v>
      </c>
      <c r="N348" s="33"/>
      <c r="O348" s="32">
        <v>60</v>
      </c>
      <c r="P348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253</v>
      </c>
      <c r="Y348" s="546">
        <f t="shared" si="31"/>
        <v>255</v>
      </c>
      <c r="Z348" s="36">
        <f>IFERROR(IF(Y348=0,"",ROUNDUP(Y348/H348,0)*0.02175),"")</f>
        <v>0.36974999999999997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260.92733333333337</v>
      </c>
      <c r="BN348" s="64">
        <f t="shared" si="33"/>
        <v>262.99</v>
      </c>
      <c r="BO348" s="64">
        <f t="shared" si="34"/>
        <v>0.35138888888888886</v>
      </c>
      <c r="BP348" s="64">
        <f t="shared" si="35"/>
        <v>0.35416666666666663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54">
        <v>4680115884830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 t="s">
        <v>106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91</v>
      </c>
      <c r="Y349" s="546">
        <f t="shared" si="31"/>
        <v>105</v>
      </c>
      <c r="Z349" s="36">
        <f>IFERROR(IF(Y349=0,"",ROUNDUP(Y349/H349,0)*0.02175),"")</f>
        <v>0.15225</v>
      </c>
      <c r="AA349" s="56"/>
      <c r="AB349" s="57"/>
      <c r="AC349" s="403" t="s">
        <v>564</v>
      </c>
      <c r="AG349" s="64"/>
      <c r="AJ349" s="68" t="s">
        <v>109</v>
      </c>
      <c r="AK349" s="68">
        <v>120</v>
      </c>
      <c r="BB349" s="404" t="s">
        <v>1</v>
      </c>
      <c r="BM349" s="64">
        <f t="shared" si="32"/>
        <v>93.851333333333329</v>
      </c>
      <c r="BN349" s="64">
        <f t="shared" si="33"/>
        <v>108.29</v>
      </c>
      <c r="BO349" s="64">
        <f t="shared" si="34"/>
        <v>0.12638888888888888</v>
      </c>
      <c r="BP349" s="64">
        <f t="shared" si="35"/>
        <v>0.14583333333333331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564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29.466666666666665</v>
      </c>
      <c r="Y353" s="547">
        <f>IFERROR(Y346/H346,"0")+IFERROR(Y347/H347,"0")+IFERROR(Y348/H348,"0")+IFERROR(Y349/H349,"0")+IFERROR(Y350/H350,"0")+IFERROR(Y351/H351,"0")+IFERROR(Y352/H352,"0")</f>
        <v>31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0.67425000000000002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442</v>
      </c>
      <c r="Y354" s="547">
        <f>IFERROR(SUM(Y346:Y352),"0")</f>
        <v>465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137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386</v>
      </c>
      <c r="Y356" s="546">
        <f>IFERROR(IF(X356="",0,CEILING((X356/$H356),1)*$H356),"")</f>
        <v>390</v>
      </c>
      <c r="Z356" s="36">
        <f>IFERROR(IF(Y356=0,"",ROUNDUP(Y356/H356,0)*0.02175),"")</f>
        <v>0.5655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398.09466666666668</v>
      </c>
      <c r="BN356" s="64">
        <f>IFERROR(Y356*I356/H356,"0")</f>
        <v>402.22</v>
      </c>
      <c r="BO356" s="64">
        <f>IFERROR(1/J356*(X356/H356),"0")</f>
        <v>0.53611111111111109</v>
      </c>
      <c r="BP356" s="64">
        <f>IFERROR(1/J356*(Y356/H356),"0")</f>
        <v>0.54166666666666663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25.733333333333334</v>
      </c>
      <c r="Y358" s="547">
        <f>IFERROR(Y356/H356,"0")+IFERROR(Y357/H357,"0")</f>
        <v>26</v>
      </c>
      <c r="Z358" s="547">
        <f>IFERROR(IF(Z356="",0,Z356),"0")+IFERROR(IF(Z357="",0,Z357),"0")</f>
        <v>0.5655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386</v>
      </c>
      <c r="Y359" s="547">
        <f>IFERROR(SUM(Y356:Y357),"0")</f>
        <v>390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17</v>
      </c>
      <c r="Y362" s="546">
        <f>IFERROR(IF(X362="",0,CEILING((X362/$H362),1)*$H362),"")</f>
        <v>18</v>
      </c>
      <c r="Z362" s="36">
        <f>IFERROR(IF(Y362=0,"",ROUNDUP(Y362/H362,0)*0.01898),"")</f>
        <v>3.7960000000000001E-2</v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17.93311111111111</v>
      </c>
      <c r="BN362" s="64">
        <f>IFERROR(Y362*I362/H362,"0")</f>
        <v>18.988</v>
      </c>
      <c r="BO362" s="64">
        <f>IFERROR(1/J362*(X362/H362),"0")</f>
        <v>2.9513888888888888E-2</v>
      </c>
      <c r="BP362" s="64">
        <f>IFERROR(1/J362*(Y362/H362),"0")</f>
        <v>3.125E-2</v>
      </c>
    </row>
    <row r="363" spans="1:68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1.8888888888888888</v>
      </c>
      <c r="Y363" s="547">
        <f>IFERROR(Y361/H361,"0")+IFERROR(Y362/H362,"0")</f>
        <v>2</v>
      </c>
      <c r="Z363" s="547">
        <f>IFERROR(IF(Z361="",0,Z361),"0")+IFERROR(IF(Z362="",0,Z362),"0")</f>
        <v>3.7960000000000001E-2</v>
      </c>
      <c r="AA363" s="548"/>
      <c r="AB363" s="548"/>
      <c r="AC363" s="548"/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17</v>
      </c>
      <c r="Y364" s="547">
        <f>IFERROR(SUM(Y361:Y362),"0")</f>
        <v>18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165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78</v>
      </c>
      <c r="Y366" s="546">
        <f>IFERROR(IF(X366="",0,CEILING((X366/$H366),1)*$H366),"")</f>
        <v>81</v>
      </c>
      <c r="Z366" s="36">
        <f>IFERROR(IF(Y366=0,"",ROUNDUP(Y366/H366,0)*0.01898),"")</f>
        <v>0.17082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82.281333333333322</v>
      </c>
      <c r="BN366" s="64">
        <f>IFERROR(Y366*I366/H366,"0")</f>
        <v>85.445999999999998</v>
      </c>
      <c r="BO366" s="64">
        <f>IFERROR(1/J366*(X366/H366),"0")</f>
        <v>0.13541666666666666</v>
      </c>
      <c r="BP366" s="64">
        <f>IFERROR(1/J366*(Y366/H366),"0")</f>
        <v>0.140625</v>
      </c>
    </row>
    <row r="367" spans="1:68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8.6666666666666661</v>
      </c>
      <c r="Y367" s="547">
        <f>IFERROR(Y366/H366,"0")</f>
        <v>9</v>
      </c>
      <c r="Z367" s="547">
        <f>IFERROR(IF(Z366="",0,Z366),"0")</f>
        <v>0.17082</v>
      </c>
      <c r="AA367" s="548"/>
      <c r="AB367" s="548"/>
      <c r="AC367" s="548"/>
    </row>
    <row r="368" spans="1:68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78</v>
      </c>
      <c r="Y368" s="547">
        <f>IFERROR(SUM(Y366:Y366),"0")</f>
        <v>81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4301031457</v>
      </c>
      <c r="D376" s="554">
        <v>4607091384802</v>
      </c>
      <c r="E376" s="555"/>
      <c r="F376" s="544">
        <v>0.7</v>
      </c>
      <c r="G376" s="32">
        <v>6</v>
      </c>
      <c r="H376" s="544">
        <v>4.2</v>
      </c>
      <c r="I376" s="544">
        <v>4.45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50</v>
      </c>
      <c r="P376" s="6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4301031303</v>
      </c>
      <c r="D377" s="554">
        <v>4607091384802</v>
      </c>
      <c r="E377" s="555"/>
      <c r="F377" s="544">
        <v>0.73</v>
      </c>
      <c r="G377" s="32">
        <v>6</v>
      </c>
      <c r="H377" s="544">
        <v>4.38</v>
      </c>
      <c r="I377" s="544">
        <v>4.63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35</v>
      </c>
      <c r="P377" s="74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137</v>
      </c>
      <c r="Y381" s="546">
        <f>IFERROR(IF(X381="",0,CEILING((X381/$H381),1)*$H381),"")</f>
        <v>144</v>
      </c>
      <c r="Z381" s="36">
        <f>IFERROR(IF(Y381=0,"",ROUNDUP(Y381/H381,0)*0.01898),"")</f>
        <v>0.30368000000000001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144.51977777777776</v>
      </c>
      <c r="BN381" s="64">
        <f>IFERROR(Y381*I381/H381,"0")</f>
        <v>151.904</v>
      </c>
      <c r="BO381" s="64">
        <f>IFERROR(1/J381*(X381/H381),"0")</f>
        <v>0.23784722222222221</v>
      </c>
      <c r="BP381" s="64">
        <f>IFERROR(1/J381*(Y381/H381),"0")</f>
        <v>0.25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4301052069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603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604</v>
      </c>
      <c r="C383" s="31">
        <v>4301051660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600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15.222222222222221</v>
      </c>
      <c r="Y384" s="547">
        <f>IFERROR(Y381/H381,"0")+IFERROR(Y382/H382,"0")+IFERROR(Y383/H383,"0")</f>
        <v>16</v>
      </c>
      <c r="Z384" s="547">
        <f>IFERROR(IF(Z381="",0,Z381),"0")+IFERROR(IF(Z382="",0,Z382),"0")+IFERROR(IF(Z383="",0,Z383),"0")</f>
        <v>0.30368000000000001</v>
      </c>
      <c r="AA384" s="548"/>
      <c r="AB384" s="548"/>
      <c r="AC384" s="548"/>
    </row>
    <row r="385" spans="1:68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137</v>
      </c>
      <c r="Y385" s="547">
        <f>IFERROR(SUM(Y381:Y383),"0")</f>
        <v>144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 t="s">
        <v>208</v>
      </c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17</v>
      </c>
      <c r="Y389" s="546">
        <f t="shared" ref="Y389:Y397" si="36">IFERROR(IF(X389="",0,CEILING((X389/$H389),1)*$H389),"")</f>
        <v>21.6</v>
      </c>
      <c r="Z389" s="36">
        <f>IFERROR(IF(Y389=0,"",ROUNDUP(Y389/H389,0)*0.00902),"")</f>
        <v>3.6080000000000001E-2</v>
      </c>
      <c r="AA389" s="56"/>
      <c r="AB389" s="57"/>
      <c r="AC389" s="435" t="s">
        <v>609</v>
      </c>
      <c r="AG389" s="64"/>
      <c r="AJ389" s="68" t="s">
        <v>109</v>
      </c>
      <c r="AK389" s="68">
        <v>64.8</v>
      </c>
      <c r="BB389" s="436" t="s">
        <v>1</v>
      </c>
      <c r="BM389" s="64">
        <f t="shared" ref="BM389:BM397" si="37">IFERROR(X389*I389/H389,"0")</f>
        <v>17.598148148148148</v>
      </c>
      <c r="BN389" s="64">
        <f t="shared" ref="BN389:BN397" si="38">IFERROR(Y389*I389/H389,"0")</f>
        <v>22.36</v>
      </c>
      <c r="BO389" s="64">
        <f t="shared" ref="BO389:BO397" si="39">IFERROR(1/J389*(X389/H389),"0")</f>
        <v>2.3849607182940515E-2</v>
      </c>
      <c r="BP389" s="64">
        <f t="shared" ref="BP389:BP397" si="40">IFERROR(1/J389*(Y389/H389),"0")</f>
        <v>3.0303030303030304E-2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3.1481481481481479</v>
      </c>
      <c r="Y398" s="547">
        <f>IFERROR(Y389/H389,"0")+IFERROR(Y390/H390,"0")+IFERROR(Y391/H391,"0")+IFERROR(Y392/H392,"0")+IFERROR(Y393/H393,"0")+IFERROR(Y394/H394,"0")+IFERROR(Y395/H395,"0")+IFERROR(Y396/H396,"0")+IFERROR(Y397/H397,"0")</f>
        <v>4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3.6080000000000001E-2</v>
      </c>
      <c r="AA398" s="548"/>
      <c r="AB398" s="548"/>
      <c r="AC398" s="548"/>
    </row>
    <row r="399" spans="1:68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17</v>
      </c>
      <c r="Y399" s="547">
        <f>IFERROR(SUM(Y389:Y397),"0")</f>
        <v>21.6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137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 t="s">
        <v>208</v>
      </c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 t="s">
        <v>109</v>
      </c>
      <c r="AK411" s="68">
        <v>64.8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/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4</v>
      </c>
      <c r="Y425" s="546">
        <f t="shared" ref="Y425:Y436" si="42">IFERROR(IF(X425="",0,CEILING((X425/$H425),1)*$H425),"")</f>
        <v>5.28</v>
      </c>
      <c r="Z425" s="36">
        <f t="shared" ref="Z425:Z431" si="43">IFERROR(IF(Y425=0,"",ROUNDUP(Y425/H425,0)*0.01196),"")</f>
        <v>1.196E-2</v>
      </c>
      <c r="AA425" s="56"/>
      <c r="AB425" s="57"/>
      <c r="AC425" s="469" t="s">
        <v>108</v>
      </c>
      <c r="AG425" s="64"/>
      <c r="AJ425" s="68"/>
      <c r="AK425" s="68">
        <v>0</v>
      </c>
      <c r="BB425" s="470" t="s">
        <v>1</v>
      </c>
      <c r="BM425" s="64">
        <f t="shared" ref="BM425:BM436" si="44">IFERROR(X425*I425/H425,"0")</f>
        <v>4.2651515151515147</v>
      </c>
      <c r="BN425" s="64">
        <f t="shared" ref="BN425:BN436" si="45">IFERROR(Y425*I425/H425,"0")</f>
        <v>5.63</v>
      </c>
      <c r="BO425" s="64">
        <f t="shared" ref="BO425:BO436" si="46">IFERROR(1/J425*(X425/H425),"0")</f>
        <v>7.2843822843822849E-3</v>
      </c>
      <c r="BP425" s="64">
        <f t="shared" ref="BP425:BP436" si="47">IFERROR(1/J425*(Y425/H425),"0")</f>
        <v>9.6153846153846159E-3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36</v>
      </c>
      <c r="Y436" s="546">
        <f t="shared" si="42"/>
        <v>38.4</v>
      </c>
      <c r="Z436" s="36">
        <f>IFERROR(IF(Y436=0,"",ROUNDUP(Y436/H436,0)*0.00902),"")</f>
        <v>7.2160000000000002E-2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51.825000000000003</v>
      </c>
      <c r="BN436" s="64">
        <f t="shared" si="45"/>
        <v>55.28</v>
      </c>
      <c r="BO436" s="64">
        <f t="shared" si="46"/>
        <v>5.6818181818181823E-2</v>
      </c>
      <c r="BP436" s="64">
        <f t="shared" si="47"/>
        <v>6.0606060606060608E-2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8.2575757575757578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9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8.412E-2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40</v>
      </c>
      <c r="Y438" s="547">
        <f>IFERROR(SUM(Y425:Y436),"0")</f>
        <v>43.68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137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hidden="1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0</v>
      </c>
      <c r="Y440" s="546">
        <f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0</v>
      </c>
      <c r="Y443" s="547">
        <f>IFERROR(Y440/H440,"0")+IFERROR(Y441/H441,"0")+IFERROR(Y442/H442,"0")</f>
        <v>0</v>
      </c>
      <c r="Z443" s="547">
        <f>IFERROR(IF(Z440="",0,Z440),"0")+IFERROR(IF(Z441="",0,Z441),"0")+IFERROR(IF(Z442="",0,Z442),"0")</f>
        <v>0</v>
      </c>
      <c r="AA443" s="548"/>
      <c r="AB443" s="548"/>
      <c r="AC443" s="548"/>
    </row>
    <row r="444" spans="1:68" hidden="1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0</v>
      </c>
      <c r="Y444" s="547">
        <f>IFERROR(SUM(Y440:Y442),"0")</f>
        <v>0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hidden="1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hidden="1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0</v>
      </c>
      <c r="Y447" s="546">
        <f t="shared" si="48"/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29</v>
      </c>
      <c r="Y448" s="546">
        <f t="shared" si="48"/>
        <v>31.68</v>
      </c>
      <c r="Z448" s="36">
        <f>IFERROR(IF(Y448=0,"",ROUNDUP(Y448/H448,0)*0.01196),"")</f>
        <v>7.1760000000000004E-2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30.922348484848484</v>
      </c>
      <c r="BN448" s="64">
        <f t="shared" si="50"/>
        <v>33.779999999999994</v>
      </c>
      <c r="BO448" s="64">
        <f t="shared" si="51"/>
        <v>5.281177156177156E-2</v>
      </c>
      <c r="BP448" s="64">
        <f t="shared" si="52"/>
        <v>5.7692307692307696E-2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5.4924242424242422</v>
      </c>
      <c r="Y452" s="547">
        <f>IFERROR(Y446/H446,"0")+IFERROR(Y447/H447,"0")+IFERROR(Y448/H448,"0")+IFERROR(Y449/H449,"0")+IFERROR(Y450/H450,"0")+IFERROR(Y451/H451,"0")</f>
        <v>6</v>
      </c>
      <c r="Z452" s="547">
        <f>IFERROR(IF(Z446="",0,Z446),"0")+IFERROR(IF(Z447="",0,Z447),"0")+IFERROR(IF(Z448="",0,Z448),"0")+IFERROR(IF(Z449="",0,Z449),"0")+IFERROR(IF(Z450="",0,Z450),"0")+IFERROR(IF(Z451="",0,Z451),"0")</f>
        <v>7.1760000000000004E-2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29</v>
      </c>
      <c r="Y453" s="547">
        <f>IFERROR(SUM(Y446:Y451),"0")</f>
        <v>31.68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137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hidden="1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165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137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2401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2512.1399999999994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2521.1597566137557</v>
      </c>
      <c r="Y492" s="547">
        <f>IFERROR(SUM(BN22:BN488),"0")</f>
        <v>2638.7220000000002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4</v>
      </c>
      <c r="Y493" s="38">
        <f>ROUNDUP(SUM(BP22:BP488),0)</f>
        <v>5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2621.1597566137557</v>
      </c>
      <c r="Y494" s="547">
        <f>GrossWeightTotalR+PalletQtyTotalR*25</f>
        <v>2763.7220000000002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426.74660154660154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446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4.6102000000000007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118</v>
      </c>
      <c r="E499" s="570" t="s">
        <v>172</v>
      </c>
      <c r="F499" s="570" t="s">
        <v>196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21.6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46">
        <f>IFERROR(Y86*1,"0")+IFERROR(Y87*1,"0")+IFERROR(Y88*1,"0")+IFERROR(Y89*1,"0")+IFERROR(Y93*1,"0")+IFERROR(Y94*1,"0")+IFERROR(Y95*1,"0")+IFERROR(Y96*1,"0")</f>
        <v>67.5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97.200000000000017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229.07999999999998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878.4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1.8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21.6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954</v>
      </c>
      <c r="T501" s="46">
        <f>IFERROR(Y371*1,"0")+IFERROR(Y372*1,"0")+IFERROR(Y376*1,"0")+IFERROR(Y377*1,"0")+IFERROR(Y381*1,"0")+IFERROR(Y382*1,"0")+IFERROR(Y383*1,"0")</f>
        <v>144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21.6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75.36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oCdOgtkUbzxhjDfjKecSysnGrm6WYw83YzigAkyIyyTgM4dpsTOyPAkeeWmwJ/jv1z+HJbJoVyz6tsKXrn4fGw==" saltValue="ZnxxvsBM2R3sI+Zgat7cSw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00"/>
        <filter val="1,02"/>
        <filter val="1,11"/>
        <filter val="1,28"/>
        <filter val="1,39"/>
        <filter val="1,50"/>
        <filter val="1,89"/>
        <filter val="10,00"/>
        <filter val="11,00"/>
        <filter val="113,00"/>
        <filter val="133,00"/>
        <filter val="137,00"/>
        <filter val="15,00"/>
        <filter val="15,22"/>
        <filter val="17,00"/>
        <filter val="173,15"/>
        <filter val="2 401,00"/>
        <filter val="2 521,16"/>
        <filter val="2 621,16"/>
        <filter val="2,38"/>
        <filter val="214,00"/>
        <filter val="25,73"/>
        <filter val="253,00"/>
        <filter val="29,00"/>
        <filter val="29,47"/>
        <filter val="3,00"/>
        <filter val="3,15"/>
        <filter val="3,97"/>
        <filter val="33,00"/>
        <filter val="35,00"/>
        <filter val="36,00"/>
        <filter val="386,00"/>
        <filter val="4"/>
        <filter val="4,00"/>
        <filter val="40,00"/>
        <filter val="418,00"/>
        <filter val="426,75"/>
        <filter val="442,00"/>
        <filter val="47,00"/>
        <filter val="49,00"/>
        <filter val="5,00"/>
        <filter val="5,49"/>
        <filter val="53,00"/>
        <filter val="55,42"/>
        <filter val="58,00"/>
        <filter val="6,57"/>
        <filter val="6,80"/>
        <filter val="63,00"/>
        <filter val="70,00"/>
        <filter val="71,00"/>
        <filter val="731,00"/>
        <filter val="74,29"/>
        <filter val="78,00"/>
        <filter val="8,26"/>
        <filter val="8,67"/>
        <filter val="84,00"/>
        <filter val="9,00"/>
        <filter val="91,00"/>
        <filter val="98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6 X93 X101 X104 X116 X118 X166 X168:X169 X201:X202 X204 X215 X217:X220 X277:X278 X319 X346:X347 X349 X356 X381 X389 X411 X429 X431 X440 X446:X448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yAY1Il2C0DYVIoexGDUnpMFt07IYurfY1Ospbqr2DYvW/45esaxcCkdxAfnt5qpNoZnXUsDpnnp51wRGOJQTbg==" saltValue="PKC8C7FchOAOxyfTyUzbb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2025-12-12T10:46:54Z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