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5490C4-8FE4-4897-B118-3A02B7AC43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Z87" i="1" s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31" i="1" l="1"/>
  <c r="BN31" i="1"/>
  <c r="Z31" i="1"/>
  <c r="BP74" i="1"/>
  <c r="BN74" i="1"/>
  <c r="Z74" i="1"/>
  <c r="BP103" i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4" i="1"/>
  <c r="BN214" i="1"/>
  <c r="Z214" i="1"/>
  <c r="BP249" i="1"/>
  <c r="BN249" i="1"/>
  <c r="Z249" i="1"/>
  <c r="BP279" i="1"/>
  <c r="BN279" i="1"/>
  <c r="Z279" i="1"/>
  <c r="BP310" i="1"/>
  <c r="BN310" i="1"/>
  <c r="Z310" i="1"/>
  <c r="BP343" i="1"/>
  <c r="BN343" i="1"/>
  <c r="Z343" i="1"/>
  <c r="BP388" i="1"/>
  <c r="BN388" i="1"/>
  <c r="Z388" i="1"/>
  <c r="BP425" i="1"/>
  <c r="BN425" i="1"/>
  <c r="Z425" i="1"/>
  <c r="BP451" i="1"/>
  <c r="BN451" i="1"/>
  <c r="Z451" i="1"/>
  <c r="BP54" i="1"/>
  <c r="BN54" i="1"/>
  <c r="Z54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29" i="1"/>
  <c r="BN229" i="1"/>
  <c r="Z229" i="1"/>
  <c r="BP267" i="1"/>
  <c r="BN267" i="1"/>
  <c r="Z267" i="1"/>
  <c r="BP298" i="1"/>
  <c r="BN298" i="1"/>
  <c r="Z298" i="1"/>
  <c r="BP320" i="1"/>
  <c r="BN320" i="1"/>
  <c r="Z320" i="1"/>
  <c r="BP357" i="1"/>
  <c r="BN357" i="1"/>
  <c r="Z357" i="1"/>
  <c r="BP409" i="1"/>
  <c r="BN409" i="1"/>
  <c r="Z409" i="1"/>
  <c r="BP437" i="1"/>
  <c r="BN437" i="1"/>
  <c r="Z437" i="1"/>
  <c r="BP473" i="1"/>
  <c r="BN473" i="1"/>
  <c r="Z473" i="1"/>
  <c r="B500" i="1"/>
  <c r="X492" i="1"/>
  <c r="Y96" i="1"/>
  <c r="Y275" i="1"/>
  <c r="Y318" i="1"/>
  <c r="BP314" i="1"/>
  <c r="BN314" i="1"/>
  <c r="Z314" i="1"/>
  <c r="BP353" i="1"/>
  <c r="BN353" i="1"/>
  <c r="Z353" i="1"/>
  <c r="BP386" i="1"/>
  <c r="BN386" i="1"/>
  <c r="Z386" i="1"/>
  <c r="BP398" i="1"/>
  <c r="BN398" i="1"/>
  <c r="Z398" i="1"/>
  <c r="BP407" i="1"/>
  <c r="BN407" i="1"/>
  <c r="Z407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BP300" i="1"/>
  <c r="BN300" i="1"/>
  <c r="Z300" i="1"/>
  <c r="BP335" i="1"/>
  <c r="BN335" i="1"/>
  <c r="Z335" i="1"/>
  <c r="Y404" i="1"/>
  <c r="BP403" i="1"/>
  <c r="BN403" i="1"/>
  <c r="Z403" i="1"/>
  <c r="Z404" i="1" s="1"/>
  <c r="J9" i="1"/>
  <c r="X491" i="1"/>
  <c r="X493" i="1" s="1"/>
  <c r="Z23" i="1"/>
  <c r="BN23" i="1"/>
  <c r="X490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Y78" i="1"/>
  <c r="Z76" i="1"/>
  <c r="BN76" i="1"/>
  <c r="Y82" i="1"/>
  <c r="Z92" i="1"/>
  <c r="BN92" i="1"/>
  <c r="BP92" i="1"/>
  <c r="Z101" i="1"/>
  <c r="BN101" i="1"/>
  <c r="Z107" i="1"/>
  <c r="BN107" i="1"/>
  <c r="Z113" i="1"/>
  <c r="BN113" i="1"/>
  <c r="BP113" i="1"/>
  <c r="Z126" i="1"/>
  <c r="BN126" i="1"/>
  <c r="Y132" i="1"/>
  <c r="Z136" i="1"/>
  <c r="BN136" i="1"/>
  <c r="Z141" i="1"/>
  <c r="BN141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8" i="1"/>
  <c r="BN208" i="1"/>
  <c r="Z212" i="1"/>
  <c r="BN212" i="1"/>
  <c r="Z220" i="1"/>
  <c r="BN220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Z285" i="1"/>
  <c r="BN285" i="1"/>
  <c r="Q500" i="1"/>
  <c r="Z292" i="1"/>
  <c r="BN292" i="1"/>
  <c r="BP294" i="1"/>
  <c r="BN294" i="1"/>
  <c r="Z294" i="1"/>
  <c r="BP308" i="1"/>
  <c r="BN308" i="1"/>
  <c r="Z308" i="1"/>
  <c r="Y317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90" i="1"/>
  <c r="BN390" i="1"/>
  <c r="Z390" i="1"/>
  <c r="BP422" i="1"/>
  <c r="BN422" i="1"/>
  <c r="Z422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304" i="1"/>
  <c r="Y455" i="1"/>
  <c r="Y454" i="1"/>
  <c r="Y24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Y32" i="1"/>
  <c r="H9" i="1"/>
  <c r="Z22" i="1"/>
  <c r="Z24" i="1" s="1"/>
  <c r="BN22" i="1"/>
  <c r="BP22" i="1"/>
  <c r="X494" i="1"/>
  <c r="Y25" i="1"/>
  <c r="Z28" i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Z69" i="1"/>
  <c r="BN69" i="1"/>
  <c r="Z73" i="1"/>
  <c r="Z77" i="1" s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BP280" i="1"/>
  <c r="BN280" i="1"/>
  <c r="Z280" i="1"/>
  <c r="Z281" i="1" s="1"/>
  <c r="Y282" i="1"/>
  <c r="Y287" i="1"/>
  <c r="BP284" i="1"/>
  <c r="BN284" i="1"/>
  <c r="Z284" i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Y474" i="1"/>
  <c r="U500" i="1"/>
  <c r="H500" i="1"/>
  <c r="Y143" i="1"/>
  <c r="J500" i="1"/>
  <c r="Y188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Z275" i="1"/>
  <c r="BP273" i="1"/>
  <c r="BN273" i="1"/>
  <c r="Z273" i="1"/>
  <c r="Z295" i="1"/>
  <c r="BP291" i="1"/>
  <c r="BN291" i="1"/>
  <c r="Z291" i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483" i="1" l="1"/>
  <c r="Z369" i="1"/>
  <c r="Z330" i="1"/>
  <c r="Z324" i="1"/>
  <c r="Z317" i="1"/>
  <c r="Z311" i="1"/>
  <c r="Z474" i="1"/>
  <c r="Z286" i="1"/>
  <c r="Z221" i="1"/>
  <c r="Z193" i="1"/>
  <c r="Z117" i="1"/>
  <c r="Z178" i="1"/>
  <c r="Z110" i="1"/>
  <c r="Z235" i="1"/>
  <c r="Z411" i="1"/>
  <c r="Z58" i="1"/>
  <c r="Z32" i="1"/>
  <c r="Z204" i="1"/>
  <c r="Z439" i="1"/>
  <c r="Z349" i="1"/>
  <c r="Z304" i="1"/>
  <c r="Z463" i="1"/>
  <c r="Z394" i="1"/>
  <c r="Z260" i="1"/>
  <c r="Z251" i="1"/>
  <c r="Z380" i="1"/>
  <c r="Z216" i="1"/>
  <c r="Z172" i="1"/>
  <c r="Z70" i="1"/>
  <c r="Y490" i="1"/>
  <c r="Y492" i="1"/>
  <c r="Z104" i="1"/>
  <c r="Z448" i="1"/>
  <c r="Z433" i="1"/>
  <c r="Y491" i="1"/>
  <c r="Y493" i="1" s="1"/>
  <c r="Z337" i="1"/>
  <c r="Z149" i="1"/>
  <c r="Y494" i="1"/>
  <c r="Z495" i="1" l="1"/>
</calcChain>
</file>

<file path=xl/sharedStrings.xml><?xml version="1.0" encoding="utf-8"?>
<sst xmlns="http://schemas.openxmlformats.org/spreadsheetml/2006/main" count="2286" uniqueCount="766">
  <si>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</si>
  <si>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</si>
  <si>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</si>
  <si>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</si>
  <si>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</si>
  <si>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</si>
  <si>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</si>
  <si>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</si>
  <si>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</si>
  <si>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</si>
  <si>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</si>
  <si>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</si>
  <si>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</si>
  <si>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</si>
  <si>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</si>
  <si>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</si>
  <si>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</si>
  <si>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</si>
  <si>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</si>
  <si>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</si>
  <si>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</si>
  <si>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</si>
  <si>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</si>
  <si>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</si>
  <si>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</si>
  <si>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</si>
  <si>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</si>
  <si>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</si>
  <si>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</si>
  <si>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</si>
  <si>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</si>
  <si>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</si>
  <si>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</si>
  <si>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</si>
  <si>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</si>
  <si>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</si>
  <si>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</si>
  <si>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</si>
  <si>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</si>
  <si>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</si>
  <si>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</si>
  <si>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</si>
  <si>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</si>
  <si>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</si>
  <si>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</si>
  <si>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</si>
  <si>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</si>
  <si>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</si>
  <si>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</si>
  <si>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</si>
  <si>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</si>
  <si>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</si>
  <si>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</si>
  <si>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</si>
  <si>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</si>
  <si>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</si>
  <si>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</si>
  <si>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</si>
  <si>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</si>
  <si>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</si>
  <si>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</si>
  <si>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</si>
  <si>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</si>
  <si>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</si>
  <si>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</si>
  <si>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</si>
  <si>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</si>
  <si>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</si>
  <si>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</si>
  <si>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</si>
  <si>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</si>
  <si>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</si>
  <si>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</si>
  <si>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</si>
  <si>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</si>
  <si>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</si>
  <si>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</si>
  <si>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</si>
  <si>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</si>
  <si>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</si>
  <si>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</si>
  <si>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</si>
  <si>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</si>
  <si>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</si>
  <si>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</si>
  <si>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</si>
  <si>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</si>
  <si>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</si>
  <si>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</si>
  <si>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</si>
  <si>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</si>
  <si>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</si>
  <si>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</si>
  <si>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</si>
  <si>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</si>
  <si>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</si>
  <si>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</si>
  <si>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</si>
  <si>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</si>
  <si>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</si>
  <si>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</si>
  <si>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</si>
  <si>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</si>
  <si>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</si>
  <si>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</si>
  <si>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</si>
  <si>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</si>
  <si>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</si>
  <si>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</si>
  <si>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</si>
  <si>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</si>
  <si>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</si>
  <si>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</si>
  <si>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</si>
  <si>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</si>
  <si>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</si>
  <si>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</si>
  <si>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</si>
  <si>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</si>
  <si>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</si>
  <si>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</si>
  <si>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</si>
  <si>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</si>
  <si>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</si>
  <si>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</si>
  <si>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</si>
  <si>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</si>
  <si>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</si>
  <si>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</si>
  <si>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</si>
  <si>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</si>
  <si>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</si>
  <si>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</si>
  <si>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</si>
  <si>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</si>
  <si>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</si>
  <si>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</si>
  <si>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</si>
  <si>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</si>
  <si>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</si>
  <si>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</si>
  <si>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</si>
  <si>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</si>
  <si>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</si>
  <si>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</si>
  <si>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</si>
  <si>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</si>
  <si>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</si>
  <si>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</si>
  <si>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</si>
  <si>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</si>
  <si>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</si>
  <si>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</si>
  <si>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</si>
  <si>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</si>
  <si>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</si>
  <si>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</si>
  <si>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</si>
  <si>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</si>
  <si>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</si>
  <si>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</si>
  <si>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</si>
  <si>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</si>
  <si>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</si>
  <si>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</si>
  <si>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</si>
  <si>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</si>
  <si>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</si>
  <si>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</si>
  <si>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</si>
  <si>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</si>
  <si>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</si>
  <si>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</si>
  <si>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</si>
  <si>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</si>
  <si>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</si>
  <si>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</si>
  <si>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</si>
  <si>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</si>
  <si>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</si>
  <si>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</si>
  <si>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</si>
  <si>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</si>
  <si>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</si>
  <si>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</si>
  <si>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</si>
  <si>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</si>
  <si>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</si>
  <si>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</si>
  <si>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</si>
  <si>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</si>
  <si>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</si>
  <si>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</si>
  <si>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</si>
  <si>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</si>
  <si>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</si>
  <si>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</si>
  <si>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</si>
  <si>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</si>
  <si>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</si>
  <si>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</si>
  <si>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</si>
  <si>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</si>
  <si>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</si>
  <si>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</si>
  <si>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</si>
  <si>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</si>
  <si>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</si>
  <si>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</si>
  <si>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</si>
  <si>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</si>
  <si>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</si>
  <si>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</si>
  <si>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</si>
  <si>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</si>
  <si>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</si>
  <si>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</si>
  <si>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</si>
  <si>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</si>
  <si>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</si>
  <si>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</si>
  <si>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</si>
  <si>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</si>
  <si>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</si>
  <si>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</si>
  <si>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</si>
  <si>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</si>
  <si>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</si>
  <si>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</si>
  <si>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</si>
  <si>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</si>
  <si>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</si>
  <si>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</si>
  <si>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</si>
  <si>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</si>
  <si>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</si>
  <si>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</si>
  <si>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</si>
  <si>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</si>
  <si>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</si>
  <si>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</si>
  <si>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</si>
  <si>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</si>
  <si>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</si>
  <si>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</si>
  <si>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</si>
  <si>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</si>
  <si>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</si>
  <si>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</si>
  <si>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</si>
  <si>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</si>
  <si>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</si>
  <si>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</si>
  <si>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</si>
  <si>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</si>
  <si>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</si>
  <si>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</si>
  <si>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</si>
  <si>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</si>
  <si>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</si>
  <si>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</si>
  <si>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</si>
  <si>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</si>
  <si>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</si>
  <si>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</si>
  <si>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</si>
  <si>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</si>
  <si>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</si>
  <si>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</si>
  <si>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</si>
  <si>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</si>
  <si>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</si>
  <si>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</si>
  <si>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</si>
  <si>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</si>
  <si>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</si>
  <si>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</si>
  <si>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</si>
  <si>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</si>
  <si>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</si>
  <si>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</si>
  <si>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</si>
  <si>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</si>
  <si>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</si>
  <si>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</si>
  <si>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</si>
  <si>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</si>
  <si>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</si>
  <si>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</si>
  <si>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</si>
  <si>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</si>
  <si>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</si>
  <si>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</si>
  <si>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</si>
  <si>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</si>
  <si>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</si>
  <si>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</si>
  <si>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</si>
  <si>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</si>
  <si>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</si>
  <si>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</si>
  <si>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</si>
  <si>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</si>
  <si>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</si>
  <si>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</si>
  <si>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</si>
  <si>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</si>
  <si>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</si>
  <si>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</si>
  <si>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</si>
  <si>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</si>
  <si>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</si>
  <si>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</si>
  <si>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</si>
  <si>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</si>
  <si>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</si>
  <si>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</si>
  <si>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</si>
  <si>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</si>
  <si>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</si>
  <si>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</si>
  <si>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</si>
  <si>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</si>
  <si>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</si>
  <si>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</si>
  <si>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</si>
  <si>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</si>
  <si>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</si>
  <si>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</si>
  <si>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</si>
  <si>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</si>
  <si>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</si>
  <si>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</si>
  <si>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</si>
  <si>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</si>
  <si>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</si>
  <si>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</si>
  <si>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</si>
  <si>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</si>
  <si>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</si>
  <si>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</si>
  <si>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</si>
  <si>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</si>
  <si>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</si>
  <si>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</si>
  <si>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</si>
  <si>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</si>
  <si>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</si>
  <si>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</si>
  <si>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</si>
  <si>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</si>
  <si>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</si>
  <si>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</si>
  <si>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</si>
  <si>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</si>
  <si>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</si>
  <si>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</si>
  <si>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</si>
  <si>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</si>
  <si>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</si>
  <si>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</si>
  <si>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</si>
  <si>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</si>
  <si>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</si>
  <si>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</si>
  <si>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</si>
  <si>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</si>
  <si>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</si>
  <si>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</si>
  <si>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</si>
  <si>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</si>
  <si>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</si>
  <si>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</si>
  <si>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</si>
  <si>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</si>
  <si>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</si>
  <si>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</si>
  <si>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</si>
  <si>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</si>
  <si>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</si>
  <si>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</si>
  <si>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</si>
  <si>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</si>
  <si>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</si>
  <si>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</si>
  <si>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</si>
  <si>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</si>
  <si>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</si>
  <si>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</si>
  <si>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</si>
  <si>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</si>
  <si>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</si>
  <si>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</si>
  <si>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</si>
  <si>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</si>
  <si>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</si>
  <si>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</si>
  <si>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</si>
  <si>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</si>
  <si>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</si>
  <si>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</si>
  <si>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</si>
  <si>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</si>
  <si>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</si>
  <si>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</si>
  <si>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</si>
  <si>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</si>
  <si>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</si>
  <si>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</si>
  <si>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</si>
  <si>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</si>
  <si>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</si>
  <si>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</si>
  <si>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</si>
  <si>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</si>
  <si>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</si>
  <si>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</si>
  <si>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</si>
  <si>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</si>
  <si>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</si>
  <si>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</si>
  <si>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</si>
  <si>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</si>
  <si>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</si>
  <si>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</si>
  <si>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</si>
  <si>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</si>
  <si>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</si>
  <si>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</si>
  <si>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</si>
  <si>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</si>
  <si>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</si>
  <si>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</si>
  <si>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</si>
  <si>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</si>
  <si>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</si>
  <si>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</si>
  <si>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</si>
  <si>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</si>
  <si>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</si>
  <si>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</si>
  <si>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</si>
  <si>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</si>
  <si>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</si>
  <si>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</si>
  <si>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</si>
  <si>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</si>
  <si>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</si>
  <si>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</si>
  <si>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</si>
  <si>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</si>
  <si>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</si>
  <si>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</si>
  <si>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</si>
  <si>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</si>
  <si>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</si>
  <si>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</si>
  <si>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</si>
  <si>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</si>
  <si>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</si>
  <si>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</si>
  <si>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</si>
  <si>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</si>
  <si>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</si>
  <si>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</si>
  <si>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</si>
  <si>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</si>
  <si>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</si>
  <si>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</si>
  <si>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</si>
  <si>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</si>
  <si>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</si>
  <si>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</si>
  <si>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</si>
  <si>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</si>
  <si>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</si>
  <si>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</si>
  <si>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</si>
  <si>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</si>
  <si>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</si>
  <si>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</si>
  <si>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</si>
  <si>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</si>
  <si>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</si>
  <si>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</si>
  <si>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</si>
  <si>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</si>
  <si>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</si>
  <si>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</si>
  <si>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</si>
  <si>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</si>
  <si>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</si>
  <si>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</si>
  <si>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</si>
  <si>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</si>
  <si>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</si>
  <si>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</si>
  <si>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</si>
  <si>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</si>
  <si>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</si>
  <si>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</si>
  <si>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</si>
  <si>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</si>
  <si>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</si>
  <si>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</si>
  <si>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</si>
  <si>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</si>
  <si>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</si>
  <si>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</si>
  <si>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</si>
  <si>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</si>
  <si>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</si>
  <si>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</si>
  <si>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</si>
  <si>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</si>
  <si>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</si>
  <si>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</si>
  <si>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</si>
  <si>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</si>
  <si>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</si>
  <si>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</si>
  <si>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</si>
  <si>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</si>
  <si>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</si>
  <si>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</si>
  <si>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</si>
  <si>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</si>
  <si>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</si>
  <si>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</si>
  <si>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</si>
  <si>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</si>
  <si>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</si>
  <si>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</si>
  <si>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</si>
  <si>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</si>
  <si>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</si>
  <si>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</si>
  <si>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</si>
  <si>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</si>
  <si>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</si>
  <si>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</si>
  <si>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</si>
  <si>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</si>
  <si>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</si>
  <si>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</si>
  <si>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</si>
  <si>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</si>
  <si>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</si>
  <si>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</si>
  <si>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</si>
  <si>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</si>
  <si>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</si>
  <si>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</si>
  <si>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</si>
  <si>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</si>
  <si>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</si>
  <si>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</si>
  <si>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</si>
  <si>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</si>
  <si>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</si>
  <si>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</si>
  <si>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</si>
  <si>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</si>
  <si>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</si>
  <si>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</si>
  <si>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</si>
  <si>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</si>
  <si>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</si>
  <si>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</si>
  <si>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</si>
  <si>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</si>
  <si>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</si>
  <si>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</si>
  <si>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</si>
  <si>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</si>
  <si>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</si>
  <si>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</si>
  <si>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</si>
  <si>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</si>
  <si>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</si>
  <si>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</si>
  <si>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</si>
  <si>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</si>
  <si>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</si>
  <si>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</si>
  <si>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</si>
  <si>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</si>
  <si>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</si>
  <si>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</si>
  <si>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</si>
  <si>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</si>
  <si>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</si>
  <si>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</si>
  <si>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</si>
  <si>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</si>
  <si>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</si>
  <si>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</si>
  <si>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</si>
  <si>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</si>
  <si>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</si>
  <si>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</si>
  <si>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</si>
  <si>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</si>
  <si>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</si>
  <si>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</si>
  <si>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</si>
  <si>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</si>
  <si>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</si>
  <si>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</si>
  <si>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</si>
  <si>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</si>
  <si>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</si>
  <si>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</si>
  <si>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</si>
  <si>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</si>
  <si>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</si>
  <si>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</si>
  <si>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</si>
  <si>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</si>
  <si>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</si>
  <si>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</si>
  <si>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</si>
  <si>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</si>
  <si>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</si>
  <si>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</si>
  <si>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</si>
  <si>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</si>
  <si>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</si>
  <si>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</si>
  <si>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</si>
  <si>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</si>
  <si>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</si>
  <si>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</si>
  <si>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</si>
  <si>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</si>
  <si>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</si>
  <si>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</si>
  <si>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</si>
  <si>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</si>
  <si>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</si>
  <si>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</si>
  <si>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</si>
  <si>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</si>
  <si>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</si>
  <si>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</si>
  <si>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</si>
  <si>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</si>
  <si>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</si>
  <si>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</si>
  <si>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</si>
  <si>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</si>
  <si>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</si>
  <si>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</si>
  <si>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</si>
  <si>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</si>
  <si>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</si>
  <si>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</si>
  <si>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</si>
  <si>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</si>
  <si>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</si>
  <si>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</si>
  <si>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</si>
  <si>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</si>
  <si>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</si>
  <si>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</si>
  <si>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</si>
  <si>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</si>
  <si>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</si>
  <si>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</si>
  <si>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</si>
  <si>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</si>
  <si>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</si>
  <si>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</si>
  <si>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</si>
  <si>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</si>
  <si>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</si>
  <si>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</si>
  <si>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</si>
  <si>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</si>
  <si>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</si>
  <si>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</si>
  <si>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</si>
  <si>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</si>
  <si>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</si>
  <si>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</si>
  <si>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</si>
  <si>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</si>
  <si>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</si>
  <si>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</si>
  <si>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</si>
  <si>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</si>
  <si>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</si>
  <si>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</si>
  <si>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</si>
  <si>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</si>
  <si>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</si>
  <si>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</si>
  <si>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</si>
  <si>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</si>
  <si>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</si>
  <si>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</si>
  <si>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</si>
  <si>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</si>
  <si>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</si>
  <si>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</si>
  <si>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</si>
  <si>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</si>
  <si>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</si>
  <si>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</si>
  <si>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</si>
  <si>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</si>
  <si>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</si>
  <si>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</si>
  <si>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</si>
  <si>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</si>
  <si>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</si>
  <si>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</si>
  <si>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</si>
  <si>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</si>
  <si>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</si>
  <si>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</si>
  <si>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</si>
  <si>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</si>
  <si>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</si>
  <si>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</si>
  <si>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</si>
  <si>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</si>
  <si>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</si>
  <si>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</si>
  <si>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</si>
  <si>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</si>
  <si>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</si>
  <si>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</si>
  <si>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</si>
  <si>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</si>
  <si>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</si>
  <si>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</si>
  <si>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</si>
  <si>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</si>
  <si>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</si>
  <si>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</si>
  <si>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</si>
  <si>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</si>
  <si>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</si>
  <si>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</si>
  <si>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</si>
  <si>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</si>
  <si>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</si>
  <si>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</si>
  <si>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</si>
  <si>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</si>
  <si>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</si>
  <si>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</si>
  <si>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</si>
  <si>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</si>
  <si>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</si>
  <si>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</si>
  <si>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</si>
  <si>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</si>
  <si>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</si>
  <si>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</si>
  <si>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</si>
  <si>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</si>
  <si>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</si>
  <si>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</si>
  <si>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19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</si>
</sst>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45998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Воскресенье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0.41666666666666669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283</v>
      </c>
      <c r="Y41" s="544">
        <f>IFERROR(IF(X41="",0,CEILING((X41/$H41),1)*$H41),"")</f>
        <v>291.60000000000002</v>
      </c>
      <c r="Z41" s="36">
        <f>IFERROR(IF(Y41=0,"",ROUNDUP(Y41/H41,0)*0.01898),"")</f>
        <v>0.51246000000000003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293.7435185185185</v>
      </c>
      <c r="BN41" s="64">
        <f>IFERROR(Y41*I41/H41,"0")</f>
        <v>302.67000000000007</v>
      </c>
      <c r="BO41" s="64">
        <f>IFERROR(1/J41*(X41/H41),"0")</f>
        <v>0.40943287037037035</v>
      </c>
      <c r="BP41" s="64">
        <f>IFERROR(1/J41*(Y41/H41),"0")</f>
        <v>0.421875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115</v>
      </c>
      <c r="B43" s="54" t="s">
        <v>116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26.203703703703702</v>
      </c>
      <c r="Y44" s="545">
        <f>IFERROR(Y41/H41,"0")+IFERROR(Y42/H42,"0")+IFERROR(Y43/H43,"0")</f>
        <v>27</v>
      </c>
      <c r="Z44" s="545">
        <f>IFERROR(IF(Z41="",0,Z41),"0")+IFERROR(IF(Z42="",0,Z42),"0")+IFERROR(IF(Z43="",0,Z43),"0")</f>
        <v>0.51246000000000003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283</v>
      </c>
      <c r="Y45" s="545">
        <f>IFERROR(SUM(Y41:Y43),"0")</f>
        <v>291.60000000000002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46</v>
      </c>
      <c r="Y52" s="544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47.683928571428567</v>
      </c>
      <c r="BN52" s="64">
        <f t="shared" ref="BN52:BN57" si="2">IFERROR(Y52*I52/H52,"0")</f>
        <v>58.050000000000004</v>
      </c>
      <c r="BO52" s="64">
        <f t="shared" ref="BO52:BO57" si="3">IFERROR(1/J52*(X52/H52),"0")</f>
        <v>6.4174107142857151E-2</v>
      </c>
      <c r="BP52" s="64">
        <f t="shared" ref="BP52:BP57" si="4">IFERROR(1/J52*(Y52/H52),"0")</f>
        <v>7.8125E-2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9</v>
      </c>
      <c r="Y55" s="544">
        <f t="shared" si="0"/>
        <v>12</v>
      </c>
      <c r="Z55" s="36">
        <f>IFERROR(IF(Y55=0,"",ROUNDUP(Y55/H55,0)*0.00902),"")</f>
        <v>2.7060000000000001E-2</v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9.4275000000000002</v>
      </c>
      <c r="BN55" s="64">
        <f t="shared" si="2"/>
        <v>12.57</v>
      </c>
      <c r="BO55" s="64">
        <f t="shared" si="3"/>
        <v>1.7045454545454544E-2</v>
      </c>
      <c r="BP55" s="64">
        <f t="shared" si="4"/>
        <v>2.2727272727272728E-2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6.3571428571428577</v>
      </c>
      <c r="Y58" s="545">
        <f>IFERROR(Y52/H52,"0")+IFERROR(Y53/H53,"0")+IFERROR(Y54/H54,"0")+IFERROR(Y55/H55,"0")+IFERROR(Y56/H56,"0")+IFERROR(Y57/H57,"0")</f>
        <v>8</v>
      </c>
      <c r="Z58" s="545">
        <f>IFERROR(IF(Z52="",0,Z52),"0")+IFERROR(IF(Z53="",0,Z53),"0")+IFERROR(IF(Z54="",0,Z54),"0")+IFERROR(IF(Z55="",0,Z55),"0")+IFERROR(IF(Z56="",0,Z56),"0")+IFERROR(IF(Z57="",0,Z57),"0")</f>
        <v>0.12196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55</v>
      </c>
      <c r="Y59" s="545">
        <f>IFERROR(SUM(Y52:Y57),"0")</f>
        <v>68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95</v>
      </c>
      <c r="Y61" s="544">
        <f>IFERROR(IF(X61="",0,CEILING((X61/$H61),1)*$H61),"")</f>
        <v>97.2</v>
      </c>
      <c r="Z61" s="36">
        <f>IFERROR(IF(Y61=0,"",ROUNDUP(Y61/H61,0)*0.01898),"")</f>
        <v>0.17082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98.606481481481481</v>
      </c>
      <c r="BN61" s="64">
        <f>IFERROR(Y61*I61/H61,"0")</f>
        <v>100.89</v>
      </c>
      <c r="BO61" s="64">
        <f>IFERROR(1/J61*(X61/H61),"0")</f>
        <v>0.13744212962962962</v>
      </c>
      <c r="BP61" s="64">
        <f>IFERROR(1/J61*(Y61/H61),"0")</f>
        <v>0.140625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8.7962962962962958</v>
      </c>
      <c r="Y64" s="545">
        <f>IFERROR(Y61/H61,"0")+IFERROR(Y62/H62,"0")+IFERROR(Y63/H63,"0")</f>
        <v>9</v>
      </c>
      <c r="Z64" s="545">
        <f>IFERROR(IF(Z61="",0,Z61),"0")+IFERROR(IF(Z62="",0,Z62),"0")+IFERROR(IF(Z63="",0,Z63),"0")</f>
        <v>0.17082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95</v>
      </c>
      <c r="Y65" s="545">
        <f>IFERROR(SUM(Y61:Y63),"0")</f>
        <v>97.2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61</v>
      </c>
      <c r="Y80" s="544">
        <f>IFERROR(IF(X80="",0,CEILING((X80/$H80),1)*$H80),"")</f>
        <v>62.4</v>
      </c>
      <c r="Z80" s="36">
        <f>IFERROR(IF(Y80=0,"",ROUNDUP(Y80/H80,0)*0.01898),"")</f>
        <v>0.15184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64.206410256410265</v>
      </c>
      <c r="BN80" s="64">
        <f>IFERROR(Y80*I80/H80,"0")</f>
        <v>65.680000000000007</v>
      </c>
      <c r="BO80" s="64">
        <f>IFERROR(1/J80*(X80/H80),"0")</f>
        <v>0.12219551282051282</v>
      </c>
      <c r="BP80" s="64">
        <f>IFERROR(1/J80*(Y80/H80),"0")</f>
        <v>0.125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7.8205128205128203</v>
      </c>
      <c r="Y82" s="545">
        <f>IFERROR(Y80/H80,"0")+IFERROR(Y81/H81,"0")</f>
        <v>8</v>
      </c>
      <c r="Z82" s="545">
        <f>IFERROR(IF(Z80="",0,Z80),"0")+IFERROR(IF(Z81="",0,Z81),"0")</f>
        <v>0.15184</v>
      </c>
      <c r="AA82" s="546"/>
      <c r="AB82" s="546"/>
      <c r="AC82" s="546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61</v>
      </c>
      <c r="Y83" s="545">
        <f>IFERROR(SUM(Y80:Y81),"0")</f>
        <v>62.4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 t="s">
        <v>114</v>
      </c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 t="s">
        <v>110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135</v>
      </c>
      <c r="Y88" s="54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30</v>
      </c>
      <c r="Y89" s="545">
        <f>IFERROR(Y86/H86,"0")+IFERROR(Y87/H87,"0")+IFERROR(Y88/H88,"0")</f>
        <v>30</v>
      </c>
      <c r="Z89" s="545">
        <f>IFERROR(IF(Z86="",0,Z86),"0")+IFERROR(IF(Z87="",0,Z87),"0")+IFERROR(IF(Z88="",0,Z88),"0")</f>
        <v>0.27060000000000001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135</v>
      </c>
      <c r="Y90" s="545">
        <f>IFERROR(SUM(Y86:Y88),"0")</f>
        <v>135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142</v>
      </c>
      <c r="Y92" s="544">
        <f>IFERROR(IF(X92="",0,CEILING((X92/$H92),1)*$H92),"")</f>
        <v>145.79999999999998</v>
      </c>
      <c r="Z92" s="36">
        <f>IFERROR(IF(Y92=0,"",ROUNDUP(Y92/H92,0)*0.01898),"")</f>
        <v>0.34164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150.66024691358024</v>
      </c>
      <c r="BN92" s="64">
        <f>IFERROR(Y92*I92/H92,"0")</f>
        <v>154.69199999999998</v>
      </c>
      <c r="BO92" s="64">
        <f>IFERROR(1/J92*(X92/H92),"0")</f>
        <v>0.27391975308641975</v>
      </c>
      <c r="BP92" s="64">
        <f>IFERROR(1/J92*(Y92/H92),"0")</f>
        <v>0.28125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17.530864197530864</v>
      </c>
      <c r="Y96" s="545">
        <f>IFERROR(Y92/H92,"0")+IFERROR(Y93/H93,"0")+IFERROR(Y94/H94,"0")+IFERROR(Y95/H95,"0")</f>
        <v>18</v>
      </c>
      <c r="Z96" s="545">
        <f>IFERROR(IF(Z92="",0,Z92),"0")+IFERROR(IF(Z93="",0,Z93),"0")+IFERROR(IF(Z94="",0,Z94),"0")+IFERROR(IF(Z95="",0,Z95),"0")</f>
        <v>0.34164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142</v>
      </c>
      <c r="Y97" s="545">
        <f>IFERROR(SUM(Y92:Y95),"0")</f>
        <v>145.79999999999998</v>
      </c>
      <c r="Z97" s="37"/>
      <c r="AA97" s="546"/>
      <c r="AB97" s="546"/>
      <c r="AC97" s="546"/>
    </row>
    <row r="98" spans="1:68" ht="16.5" hidden="1" customHeight="1" x14ac:dyDescent="0.25">
      <c r="A98" s="555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574</v>
      </c>
      <c r="Y100" s="544">
        <f>IFERROR(IF(X100="",0,CEILING((X100/$H100),1)*$H100),"")</f>
        <v>583.20000000000005</v>
      </c>
      <c r="Z100" s="36">
        <f>IFERROR(IF(Y100=0,"",ROUNDUP(Y100/H100,0)*0.01898),"")</f>
        <v>1.0249200000000001</v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595.79074074074083</v>
      </c>
      <c r="BN100" s="64">
        <f>IFERROR(Y100*I100/H100,"0")</f>
        <v>605.34000000000015</v>
      </c>
      <c r="BO100" s="64">
        <f>IFERROR(1/J100*(X100/H100),"0")</f>
        <v>0.83043981481481477</v>
      </c>
      <c r="BP100" s="64">
        <f>IFERROR(1/J100*(Y100/H100),"0")</f>
        <v>0.84375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24</v>
      </c>
      <c r="Y102" s="544">
        <f>IFERROR(IF(X102="",0,CEILING((X102/$H102),1)*$H102),"")</f>
        <v>27</v>
      </c>
      <c r="Z102" s="36">
        <f>IFERROR(IF(Y102=0,"",ROUNDUP(Y102/H102,0)*0.00902),"")</f>
        <v>5.4120000000000001E-2</v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25.013333333333335</v>
      </c>
      <c r="BN102" s="64">
        <f>IFERROR(Y102*I102/H102,"0")</f>
        <v>28.14</v>
      </c>
      <c r="BO102" s="64">
        <f>IFERROR(1/J102*(X102/H102),"0")</f>
        <v>4.0404040404040401E-2</v>
      </c>
      <c r="BP102" s="64">
        <f>IFERROR(1/J102*(Y102/H102),"0")</f>
        <v>4.5454545454545456E-2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58.481481481481481</v>
      </c>
      <c r="Y104" s="545">
        <f>IFERROR(Y100/H100,"0")+IFERROR(Y101/H101,"0")+IFERROR(Y102/H102,"0")+IFERROR(Y103/H103,"0")</f>
        <v>60</v>
      </c>
      <c r="Z104" s="545">
        <f>IFERROR(IF(Z100="",0,Z100),"0")+IFERROR(IF(Z101="",0,Z101),"0")+IFERROR(IF(Z102="",0,Z102),"0")+IFERROR(IF(Z103="",0,Z103),"0")</f>
        <v>1.07904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598</v>
      </c>
      <c r="Y105" s="545">
        <f>IFERROR(SUM(Y100:Y103),"0")</f>
        <v>610.20000000000005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4</v>
      </c>
      <c r="Y107" s="544">
        <f>IFERROR(IF(X107="",0,CEILING((X107/$H107),1)*$H107),"")</f>
        <v>10.8</v>
      </c>
      <c r="Z107" s="36">
        <f>IFERROR(IF(Y107=0,"",ROUNDUP(Y107/H107,0)*0.01898),"")</f>
        <v>1.898E-2</v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4.1518518518518519</v>
      </c>
      <c r="BN107" s="64">
        <f>IFERROR(Y107*I107/H107,"0")</f>
        <v>11.21</v>
      </c>
      <c r="BO107" s="64">
        <f>IFERROR(1/J107*(X107/H107),"0")</f>
        <v>5.7870370370370367E-3</v>
      </c>
      <c r="BP107" s="64">
        <f>IFERROR(1/J107*(Y107/H107),"0")</f>
        <v>1.5625E-2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0.37037037037037035</v>
      </c>
      <c r="Y110" s="545">
        <f>IFERROR(Y107/H107,"0")+IFERROR(Y108/H108,"0")+IFERROR(Y109/H109,"0")</f>
        <v>1</v>
      </c>
      <c r="Z110" s="545">
        <f>IFERROR(IF(Z107="",0,Z107),"0")+IFERROR(IF(Z108="",0,Z108),"0")+IFERROR(IF(Z109="",0,Z109),"0")</f>
        <v>1.898E-2</v>
      </c>
      <c r="AA110" s="546"/>
      <c r="AB110" s="546"/>
      <c r="AC110" s="546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4</v>
      </c>
      <c r="Y111" s="545">
        <f>IFERROR(SUM(Y107:Y109),"0")</f>
        <v>10.8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102</v>
      </c>
      <c r="Y113" s="544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108.14518518518517</v>
      </c>
      <c r="BN113" s="64">
        <f>IFERROR(Y113*I113/H113,"0")</f>
        <v>111.64399999999999</v>
      </c>
      <c r="BO113" s="64">
        <f>IFERROR(1/J113*(X113/H113),"0")</f>
        <v>0.19675925925925927</v>
      </c>
      <c r="BP113" s="64">
        <f>IFERROR(1/J113*(Y113/H113),"0")</f>
        <v>0.203125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12.592592592592593</v>
      </c>
      <c r="Y117" s="545">
        <f>IFERROR(Y113/H113,"0")+IFERROR(Y114/H114,"0")+IFERROR(Y115/H115,"0")+IFERROR(Y116/H116,"0")</f>
        <v>13</v>
      </c>
      <c r="Z117" s="545">
        <f>IFERROR(IF(Z113="",0,Z113),"0")+IFERROR(IF(Z114="",0,Z114),"0")+IFERROR(IF(Z115="",0,Z115),"0")+IFERROR(IF(Z116="",0,Z116),"0")</f>
        <v>0.24674000000000001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102</v>
      </c>
      <c r="Y118" s="545">
        <f>IFERROR(SUM(Y113:Y116),"0")</f>
        <v>105.3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17</v>
      </c>
      <c r="Y162" s="544">
        <f t="shared" ref="Y162:Y171" si="5">IFERROR(IF(X162="",0,CEILING((X162/$H162),1)*$H162),"")</f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18.011904761904763</v>
      </c>
      <c r="BN162" s="64">
        <f t="shared" ref="BN162:BN171" si="7">IFERROR(Y162*I162/H162,"0")</f>
        <v>22.25</v>
      </c>
      <c r="BO162" s="64">
        <f t="shared" ref="BO162:BO171" si="8">IFERROR(1/J162*(X162/H162),"0")</f>
        <v>3.0663780663780664E-2</v>
      </c>
      <c r="BP162" s="64">
        <f t="shared" ref="BP162:BP171" si="9">IFERROR(1/J162*(Y162/H162),"0")</f>
        <v>3.787878787878788E-2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140</v>
      </c>
      <c r="Y164" s="544">
        <f t="shared" si="5"/>
        <v>142.80000000000001</v>
      </c>
      <c r="Z164" s="36">
        <f>IFERROR(IF(Y164=0,"",ROUNDUP(Y164/H164,0)*0.00902),"")</f>
        <v>0.30668000000000001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146.33333333333331</v>
      </c>
      <c r="BN164" s="64">
        <f t="shared" si="7"/>
        <v>149.26000000000002</v>
      </c>
      <c r="BO164" s="64">
        <f t="shared" si="8"/>
        <v>0.25252525252525249</v>
      </c>
      <c r="BP164" s="64">
        <f t="shared" si="9"/>
        <v>0.25757575757575757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41</v>
      </c>
      <c r="Y165" s="544">
        <f t="shared" si="5"/>
        <v>42</v>
      </c>
      <c r="Z165" s="36">
        <f>IFERROR(IF(Y165=0,"",ROUNDUP(Y165/H165,0)*0.00502),"")</f>
        <v>0.1004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43.538095238095231</v>
      </c>
      <c r="BN165" s="64">
        <f t="shared" si="7"/>
        <v>44.599999999999994</v>
      </c>
      <c r="BO165" s="64">
        <f t="shared" si="8"/>
        <v>8.3435083435083435E-2</v>
      </c>
      <c r="BP165" s="64">
        <f t="shared" si="9"/>
        <v>8.5470085470085472E-2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13</v>
      </c>
      <c r="Y168" s="544">
        <f t="shared" si="5"/>
        <v>14.4</v>
      </c>
      <c r="Z168" s="36">
        <f>IFERROR(IF(Y168=0,"",ROUNDUP(Y168/H168,0)*0.00502),"")</f>
        <v>4.0160000000000001E-2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13.938888888888888</v>
      </c>
      <c r="BN168" s="64">
        <f t="shared" si="7"/>
        <v>15.439999999999998</v>
      </c>
      <c r="BO168" s="64">
        <f t="shared" si="8"/>
        <v>3.0864197530864203E-2</v>
      </c>
      <c r="BP168" s="64">
        <f t="shared" si="9"/>
        <v>3.4188034188034191E-2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123</v>
      </c>
      <c r="Y169" s="544">
        <f t="shared" si="5"/>
        <v>123.9</v>
      </c>
      <c r="Z169" s="36">
        <f>IFERROR(IF(Y169=0,"",ROUNDUP(Y169/H169,0)*0.00502),"")</f>
        <v>0.29618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128.85714285714286</v>
      </c>
      <c r="BN169" s="64">
        <f t="shared" si="7"/>
        <v>129.80000000000001</v>
      </c>
      <c r="BO169" s="64">
        <f t="shared" si="8"/>
        <v>0.2503052503052503</v>
      </c>
      <c r="BP169" s="64">
        <f t="shared" si="9"/>
        <v>0.25213675213675218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122.6984126984127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126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0.78852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334</v>
      </c>
      <c r="Y173" s="545">
        <f>IFERROR(SUM(Y162:Y171),"0")</f>
        <v>344.1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2</v>
      </c>
      <c r="Y181" s="544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1.5873015873015872</v>
      </c>
      <c r="Y182" s="545">
        <f>IFERROR(Y181/H181,"0")</f>
        <v>2</v>
      </c>
      <c r="Z182" s="545">
        <f>IFERROR(IF(Z181="",0,Z181),"0")</f>
        <v>1.18E-2</v>
      </c>
      <c r="AA182" s="546"/>
      <c r="AB182" s="546"/>
      <c r="AC182" s="546"/>
    </row>
    <row r="183" spans="1:68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2</v>
      </c>
      <c r="Y183" s="545">
        <f>IFERROR(SUM(Y181:Y181),"0")</f>
        <v>2.52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 t="s">
        <v>190</v>
      </c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110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495</v>
      </c>
      <c r="Y196" s="544">
        <f t="shared" ref="Y196:Y203" si="10">IFERROR(IF(X196="",0,CEILING((X196/$H196),1)*$H196),"")</f>
        <v>496.8</v>
      </c>
      <c r="Z196" s="36">
        <f>IFERROR(IF(Y196=0,"",ROUNDUP(Y196/H196,0)*0.00902),"")</f>
        <v>0.82984000000000002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512.41666666666663</v>
      </c>
      <c r="BN196" s="64">
        <f t="shared" ref="BN196:BN203" si="12">IFERROR(Y196*I196/H196,"0")</f>
        <v>514.28</v>
      </c>
      <c r="BO196" s="64">
        <f t="shared" ref="BO196:BO203" si="13">IFERROR(1/J196*(X196/H196),"0")</f>
        <v>0.69444444444444442</v>
      </c>
      <c r="BP196" s="64">
        <f t="shared" ref="BP196:BP203" si="14">IFERROR(1/J196*(Y196/H196),"0")</f>
        <v>0.69696969696969702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172</v>
      </c>
      <c r="Y197" s="544">
        <f t="shared" si="10"/>
        <v>172.8</v>
      </c>
      <c r="Z197" s="36">
        <f>IFERROR(IF(Y197=0,"",ROUNDUP(Y197/H197,0)*0.00902),"")</f>
        <v>0.28864000000000001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178.05185185185184</v>
      </c>
      <c r="BN197" s="64">
        <f t="shared" si="12"/>
        <v>178.88</v>
      </c>
      <c r="BO197" s="64">
        <f t="shared" si="13"/>
        <v>0.24130190796857465</v>
      </c>
      <c r="BP197" s="64">
        <f t="shared" si="14"/>
        <v>0.24242424242424243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11</v>
      </c>
      <c r="Y199" s="544">
        <f t="shared" si="10"/>
        <v>16.200000000000003</v>
      </c>
      <c r="Z199" s="36">
        <f>IFERROR(IF(Y199=0,"",ROUNDUP(Y199/H199,0)*0.00902),"")</f>
        <v>2.7060000000000001E-2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11.387037037037036</v>
      </c>
      <c r="BN199" s="64">
        <f t="shared" si="12"/>
        <v>16.77</v>
      </c>
      <c r="BO199" s="64">
        <f t="shared" si="13"/>
        <v>1.5432098765432098E-2</v>
      </c>
      <c r="BP199" s="64">
        <f t="shared" si="14"/>
        <v>2.2727272727272731E-2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18</v>
      </c>
      <c r="Y200" s="544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19.3</v>
      </c>
      <c r="BN200" s="64">
        <f t="shared" si="12"/>
        <v>19.3</v>
      </c>
      <c r="BO200" s="64">
        <f t="shared" si="13"/>
        <v>4.2735042735042736E-2</v>
      </c>
      <c r="BP200" s="64">
        <f t="shared" si="14"/>
        <v>4.2735042735042736E-2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25</v>
      </c>
      <c r="Y201" s="544">
        <f t="shared" si="10"/>
        <v>25.2</v>
      </c>
      <c r="Z201" s="36">
        <f>IFERROR(IF(Y201=0,"",ROUNDUP(Y201/H201,0)*0.00502),"")</f>
        <v>7.0280000000000009E-2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26.388888888888889</v>
      </c>
      <c r="BN201" s="64">
        <f t="shared" si="12"/>
        <v>26.599999999999998</v>
      </c>
      <c r="BO201" s="64">
        <f t="shared" si="13"/>
        <v>5.9354226020892693E-2</v>
      </c>
      <c r="BP201" s="64">
        <f t="shared" si="14"/>
        <v>5.9829059829059839E-2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32</v>
      </c>
      <c r="Y203" s="544">
        <f t="shared" si="10"/>
        <v>32.4</v>
      </c>
      <c r="Z203" s="36">
        <f>IFERROR(IF(Y203=0,"",ROUNDUP(Y203/H203,0)*0.00502),"")</f>
        <v>9.0359999999999996E-2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33.777777777777779</v>
      </c>
      <c r="BN203" s="64">
        <f t="shared" si="12"/>
        <v>34.199999999999996</v>
      </c>
      <c r="BO203" s="64">
        <f t="shared" si="13"/>
        <v>7.5973409306742651E-2</v>
      </c>
      <c r="BP203" s="64">
        <f t="shared" si="14"/>
        <v>7.6923076923076927E-2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167.2222222222222</v>
      </c>
      <c r="Y204" s="545">
        <f>IFERROR(Y196/H196,"0")+IFERROR(Y197/H197,"0")+IFERROR(Y198/H198,"0")+IFERROR(Y199/H199,"0")+IFERROR(Y200/H200,"0")+IFERROR(Y201/H201,"0")+IFERROR(Y202/H202,"0")+IFERROR(Y203/H203,"0")</f>
        <v>169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1.3563800000000001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753</v>
      </c>
      <c r="Y205" s="545">
        <f>IFERROR(SUM(Y196:Y203),"0")</f>
        <v>761.40000000000009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60</v>
      </c>
      <c r="Y207" s="544">
        <f t="shared" ref="Y207:Y215" si="15">IFERROR(IF(X207="",0,CEILING((X207/$H207),1)*$H207),"")</f>
        <v>64.8</v>
      </c>
      <c r="Z207" s="36">
        <f>IFERROR(IF(Y207=0,"",ROUNDUP(Y207/H207,0)*0.01898),"")</f>
        <v>0.15184</v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63.659259259259258</v>
      </c>
      <c r="BN207" s="64">
        <f t="shared" ref="BN207:BN215" si="17">IFERROR(Y207*I207/H207,"0")</f>
        <v>68.751999999999995</v>
      </c>
      <c r="BO207" s="64">
        <f t="shared" ref="BO207:BO215" si="18">IFERROR(1/J207*(X207/H207),"0")</f>
        <v>0.11574074074074074</v>
      </c>
      <c r="BP207" s="64">
        <f t="shared" ref="BP207:BP215" si="19">IFERROR(1/J207*(Y207/H207),"0")</f>
        <v>0.125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60</v>
      </c>
      <c r="Y208" s="544">
        <f t="shared" si="15"/>
        <v>64.8</v>
      </c>
      <c r="Z208" s="36">
        <f>IFERROR(IF(Y208=0,"",ROUNDUP(Y208/H208,0)*0.01898),"")</f>
        <v>0.15184</v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63.525925925925939</v>
      </c>
      <c r="BN208" s="64">
        <f t="shared" si="17"/>
        <v>68.608000000000004</v>
      </c>
      <c r="BO208" s="64">
        <f t="shared" si="18"/>
        <v>0.11574074074074074</v>
      </c>
      <c r="BP208" s="64">
        <f t="shared" si="19"/>
        <v>0.125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224</v>
      </c>
      <c r="Y210" s="544">
        <f t="shared" si="15"/>
        <v>225.6</v>
      </c>
      <c r="Z210" s="36">
        <f t="shared" ref="Z210:Z215" si="20">IFERROR(IF(Y210=0,"",ROUNDUP(Y210/H210,0)*0.00651),"")</f>
        <v>0.61194000000000004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249.2</v>
      </c>
      <c r="BN210" s="64">
        <f t="shared" si="17"/>
        <v>250.98</v>
      </c>
      <c r="BO210" s="64">
        <f t="shared" si="18"/>
        <v>0.51282051282051289</v>
      </c>
      <c r="BP210" s="64">
        <f t="shared" si="19"/>
        <v>0.51648351648351654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203</v>
      </c>
      <c r="Y214" s="544">
        <f t="shared" si="15"/>
        <v>204</v>
      </c>
      <c r="Z214" s="36">
        <f t="shared" si="20"/>
        <v>0.55335000000000001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224.315</v>
      </c>
      <c r="BN214" s="64">
        <f t="shared" si="17"/>
        <v>225.42000000000002</v>
      </c>
      <c r="BO214" s="64">
        <f t="shared" si="18"/>
        <v>0.46474358974358981</v>
      </c>
      <c r="BP214" s="64">
        <f t="shared" si="19"/>
        <v>0.46703296703296709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137</v>
      </c>
      <c r="Y215" s="544">
        <f t="shared" si="15"/>
        <v>139.19999999999999</v>
      </c>
      <c r="Z215" s="36">
        <f t="shared" si="20"/>
        <v>0.37758000000000003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151.72750000000002</v>
      </c>
      <c r="BN215" s="64">
        <f t="shared" si="17"/>
        <v>154.16399999999999</v>
      </c>
      <c r="BO215" s="64">
        <f t="shared" si="18"/>
        <v>0.3136446886446887</v>
      </c>
      <c r="BP215" s="64">
        <f t="shared" si="19"/>
        <v>0.31868131868131871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249.81481481481484</v>
      </c>
      <c r="Y216" s="545">
        <f>IFERROR(Y207/H207,"0")+IFERROR(Y208/H208,"0")+IFERROR(Y209/H209,"0")+IFERROR(Y210/H210,"0")+IFERROR(Y211/H211,"0")+IFERROR(Y212/H212,"0")+IFERROR(Y213/H213,"0")+IFERROR(Y214/H214,"0")+IFERROR(Y215/H215,"0")</f>
        <v>253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1.8465500000000001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684</v>
      </c>
      <c r="Y217" s="545">
        <f>IFERROR(SUM(Y207:Y215),"0")</f>
        <v>698.40000000000009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26</v>
      </c>
      <c r="Y219" s="544">
        <f>IFERROR(IF(X219="",0,CEILING((X219/$H219),1)*$H219),"")</f>
        <v>26.4</v>
      </c>
      <c r="Z219" s="36">
        <f>IFERROR(IF(Y219=0,"",ROUNDUP(Y219/H219,0)*0.00651),"")</f>
        <v>7.1610000000000007E-2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28.73</v>
      </c>
      <c r="BN219" s="64">
        <f>IFERROR(Y219*I219/H219,"0")</f>
        <v>29.172000000000001</v>
      </c>
      <c r="BO219" s="64">
        <f>IFERROR(1/J219*(X219/H219),"0")</f>
        <v>5.9523809523809534E-2</v>
      </c>
      <c r="BP219" s="64">
        <f>IFERROR(1/J219*(Y219/H219),"0")</f>
        <v>6.0439560439560447E-2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24</v>
      </c>
      <c r="Y220" s="544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20.833333333333336</v>
      </c>
      <c r="Y221" s="545">
        <f>IFERROR(Y219/H219,"0")+IFERROR(Y220/H220,"0")</f>
        <v>21</v>
      </c>
      <c r="Z221" s="545">
        <f>IFERROR(IF(Z219="",0,Z219),"0")+IFERROR(IF(Z220="",0,Z220),"0")</f>
        <v>0.13671</v>
      </c>
      <c r="AA221" s="546"/>
      <c r="AB221" s="546"/>
      <c r="AC221" s="546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50</v>
      </c>
      <c r="Y222" s="545">
        <f>IFERROR(SUM(Y219:Y220),"0")</f>
        <v>50.4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/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 t="s">
        <v>107</v>
      </c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110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110</v>
      </c>
      <c r="Y273" s="544">
        <f>IFERROR(IF(X273="",0,CEILING((X273/$H273),1)*$H273),"")</f>
        <v>110.39999999999999</v>
      </c>
      <c r="Z273" s="36">
        <f>IFERROR(IF(Y273=0,"",ROUNDUP(Y273/H273,0)*0.00651),"")</f>
        <v>0.29946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121.55000000000001</v>
      </c>
      <c r="BN273" s="64">
        <f>IFERROR(Y273*I273/H273,"0")</f>
        <v>121.992</v>
      </c>
      <c r="BO273" s="64">
        <f>IFERROR(1/J273*(X273/H273),"0")</f>
        <v>0.25183150183150188</v>
      </c>
      <c r="BP273" s="64">
        <f>IFERROR(1/J273*(Y273/H273),"0")</f>
        <v>0.25274725274725279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45.833333333333336</v>
      </c>
      <c r="Y275" s="545">
        <f>IFERROR(Y272/H272,"0")+IFERROR(Y273/H273,"0")+IFERROR(Y274/H274,"0")</f>
        <v>46</v>
      </c>
      <c r="Z275" s="545">
        <f>IFERROR(IF(Z272="",0,Z272),"0")+IFERROR(IF(Z273="",0,Z273),"0")+IFERROR(IF(Z274="",0,Z274),"0")</f>
        <v>0.29946</v>
      </c>
      <c r="AA275" s="546"/>
      <c r="AB275" s="546"/>
      <c r="AC275" s="546"/>
    </row>
    <row r="276" spans="1:68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110</v>
      </c>
      <c r="Y276" s="545">
        <f>IFERROR(SUM(Y272:Y274),"0")</f>
        <v>110.39999999999999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12</v>
      </c>
      <c r="Y303" s="544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13.52</v>
      </c>
      <c r="BN303" s="64">
        <f t="shared" si="28"/>
        <v>14.196</v>
      </c>
      <c r="BO303" s="64">
        <f t="shared" si="29"/>
        <v>3.6630036630036632E-2</v>
      </c>
      <c r="BP303" s="64">
        <f t="shared" si="30"/>
        <v>3.8461538461538464E-2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6.6666666666666661</v>
      </c>
      <c r="Y304" s="545">
        <f>IFERROR(Y298/H298,"0")+IFERROR(Y299/H299,"0")+IFERROR(Y300/H300,"0")+IFERROR(Y301/H301,"0")+IFERROR(Y302/H302,"0")+IFERROR(Y303/H303,"0")</f>
        <v>7</v>
      </c>
      <c r="Z304" s="545">
        <f>IFERROR(IF(Z298="",0,Z298),"0")+IFERROR(IF(Z299="",0,Z299),"0")+IFERROR(IF(Z300="",0,Z300),"0")+IFERROR(IF(Z301="",0,Z301),"0")+IFERROR(IF(Z302="",0,Z302),"0")+IFERROR(IF(Z303="",0,Z303),"0")</f>
        <v>4.5569999999999999E-2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12</v>
      </c>
      <c r="Y305" s="545">
        <f>IFERROR(SUM(Y298:Y303),"0")</f>
        <v>12.6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812</v>
      </c>
      <c r="Y315" s="544">
        <f>IFERROR(IF(X315="",0,CEILING((X315/$H315),1)*$H315),"")</f>
        <v>819</v>
      </c>
      <c r="Z315" s="36">
        <f>IFERROR(IF(Y315=0,"",ROUNDUP(Y315/H315,0)*0.01898),"")</f>
        <v>1.9929000000000001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863.42666666666673</v>
      </c>
      <c r="BN315" s="64">
        <f>IFERROR(Y315*I315/H315,"0")</f>
        <v>870.87</v>
      </c>
      <c r="BO315" s="64">
        <f>IFERROR(1/J315*(X315/H315),"0")</f>
        <v>1.6266025641025641</v>
      </c>
      <c r="BP315" s="64">
        <f>IFERROR(1/J315*(Y315/H315),"0")</f>
        <v>1.640625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/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104.1025641025641</v>
      </c>
      <c r="Y317" s="545">
        <f>IFERROR(Y314/H314,"0")+IFERROR(Y315/H315,"0")+IFERROR(Y316/H316,"0")</f>
        <v>105</v>
      </c>
      <c r="Z317" s="545">
        <f>IFERROR(IF(Z314="",0,Z314),"0")+IFERROR(IF(Z315="",0,Z315),"0")+IFERROR(IF(Z316="",0,Z316),"0")</f>
        <v>1.9929000000000001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812</v>
      </c>
      <c r="Y318" s="545">
        <f>IFERROR(SUM(Y314:Y316),"0")</f>
        <v>819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13</v>
      </c>
      <c r="Y322" s="544">
        <f>IFERROR(IF(X322="",0,CEILING((X322/$H322),1)*$H322),"")</f>
        <v>15.299999999999999</v>
      </c>
      <c r="Z322" s="36">
        <f>IFERROR(IF(Y322=0,"",ROUNDUP(Y322/H322,0)*0.00651),"")</f>
        <v>3.9059999999999997E-2</v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15.064705882352943</v>
      </c>
      <c r="BN322" s="64">
        <f>IFERROR(Y322*I322/H322,"0")</f>
        <v>17.73</v>
      </c>
      <c r="BO322" s="64">
        <f>IFERROR(1/J322*(X322/H322),"0")</f>
        <v>2.8011204481792722E-2</v>
      </c>
      <c r="BP322" s="64">
        <f>IFERROR(1/J322*(Y322/H322),"0")</f>
        <v>3.2967032967032968E-2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9</v>
      </c>
      <c r="Y323" s="544">
        <f>IFERROR(IF(X323="",0,CEILING((X323/$H323),1)*$H323),"")</f>
        <v>10.199999999999999</v>
      </c>
      <c r="Z323" s="36">
        <f>IFERROR(IF(Y323=0,"",ROUNDUP(Y323/H323,0)*0.00651),"")</f>
        <v>2.6040000000000001E-2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10.164705882352941</v>
      </c>
      <c r="BN323" s="64">
        <f>IFERROR(Y323*I323/H323,"0")</f>
        <v>11.52</v>
      </c>
      <c r="BO323" s="64">
        <f>IFERROR(1/J323*(X323/H323),"0")</f>
        <v>1.9392372333548808E-2</v>
      </c>
      <c r="BP323" s="64">
        <f>IFERROR(1/J323*(Y323/H323),"0")</f>
        <v>2.197802197802198E-2</v>
      </c>
    </row>
    <row r="324" spans="1:68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8.6274509803921582</v>
      </c>
      <c r="Y324" s="545">
        <f>IFERROR(Y320/H320,"0")+IFERROR(Y321/H321,"0")+IFERROR(Y322/H322,"0")+IFERROR(Y323/H323,"0")</f>
        <v>10</v>
      </c>
      <c r="Z324" s="545">
        <f>IFERROR(IF(Z320="",0,Z320),"0")+IFERROR(IF(Z321="",0,Z321),"0")+IFERROR(IF(Z322="",0,Z322),"0")+IFERROR(IF(Z323="",0,Z323),"0")</f>
        <v>6.5099999999999991E-2</v>
      </c>
      <c r="AA324" s="546"/>
      <c r="AB324" s="546"/>
      <c r="AC324" s="546"/>
    </row>
    <row r="325" spans="1:68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22</v>
      </c>
      <c r="Y325" s="545">
        <f>IFERROR(SUM(Y320:Y323),"0")</f>
        <v>25.5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8</v>
      </c>
      <c r="Y327" s="544">
        <f>IFERROR(IF(X327="",0,CEILING((X327/$H327),1)*$H327),"")</f>
        <v>8</v>
      </c>
      <c r="Z327" s="36">
        <f>IFERROR(IF(Y327=0,"",ROUNDUP(Y327/H327,0)*0.00474),"")</f>
        <v>1.8960000000000001E-2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8.9600000000000009</v>
      </c>
      <c r="BN327" s="64">
        <f>IFERROR(Y327*I327/H327,"0")</f>
        <v>8.9600000000000009</v>
      </c>
      <c r="BO327" s="64">
        <f>IFERROR(1/J327*(X327/H327),"0")</f>
        <v>1.680672268907563E-2</v>
      </c>
      <c r="BP327" s="64">
        <f>IFERROR(1/J327*(Y327/H327),"0")</f>
        <v>1.680672268907563E-2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4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16</v>
      </c>
      <c r="Y329" s="544">
        <f>IFERROR(IF(X329="",0,CEILING((X329/$H329),1)*$H329),"")</f>
        <v>16</v>
      </c>
      <c r="Z329" s="36">
        <f>IFERROR(IF(Y329=0,"",ROUNDUP(Y329/H329,0)*0.00474),"")</f>
        <v>3.7920000000000002E-2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17.920000000000002</v>
      </c>
      <c r="BN329" s="64">
        <f>IFERROR(Y329*I329/H329,"0")</f>
        <v>17.920000000000002</v>
      </c>
      <c r="BO329" s="64">
        <f>IFERROR(1/J329*(X329/H329),"0")</f>
        <v>3.3613445378151259E-2</v>
      </c>
      <c r="BP329" s="64">
        <f>IFERROR(1/J329*(Y329/H329),"0")</f>
        <v>3.3613445378151259E-2</v>
      </c>
    </row>
    <row r="330" spans="1:68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14</v>
      </c>
      <c r="Y330" s="545">
        <f>IFERROR(Y327/H327,"0")+IFERROR(Y328/H328,"0")+IFERROR(Y329/H329,"0")</f>
        <v>14</v>
      </c>
      <c r="Z330" s="545">
        <f>IFERROR(IF(Z327="",0,Z327),"0")+IFERROR(IF(Z328="",0,Z328),"0")+IFERROR(IF(Z329="",0,Z329),"0")</f>
        <v>6.6360000000000002E-2</v>
      </c>
      <c r="AA330" s="546"/>
      <c r="AB330" s="546"/>
      <c r="AC330" s="546"/>
    </row>
    <row r="331" spans="1:68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28</v>
      </c>
      <c r="Y331" s="545">
        <f>IFERROR(SUM(Y327:Y329),"0")</f>
        <v>28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70</v>
      </c>
      <c r="Y343" s="544">
        <f t="shared" si="31"/>
        <v>75</v>
      </c>
      <c r="Z343" s="36">
        <f>IFERROR(IF(Y343=0,"",ROUNDUP(Y343/H343,0)*0.02175),"")</f>
        <v>0.10874999999999999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72.193333333333342</v>
      </c>
      <c r="BN343" s="64">
        <f t="shared" si="33"/>
        <v>77.349999999999994</v>
      </c>
      <c r="BO343" s="64">
        <f t="shared" si="34"/>
        <v>9.7222222222222224E-2</v>
      </c>
      <c r="BP343" s="64">
        <f t="shared" si="35"/>
        <v>0.10416666666666666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1943</v>
      </c>
      <c r="Y344" s="544">
        <f t="shared" si="31"/>
        <v>1950</v>
      </c>
      <c r="Z344" s="36">
        <f>IFERROR(IF(Y344=0,"",ROUNDUP(Y344/H344,0)*0.02175),"")</f>
        <v>2.8274999999999997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2003.8806666666669</v>
      </c>
      <c r="BN344" s="64">
        <f t="shared" si="33"/>
        <v>2011.1</v>
      </c>
      <c r="BO344" s="64">
        <f t="shared" si="34"/>
        <v>2.6986111111111111</v>
      </c>
      <c r="BP344" s="64">
        <f t="shared" si="35"/>
        <v>2.708333333333333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180</v>
      </c>
      <c r="Y345" s="544">
        <f t="shared" si="31"/>
        <v>180</v>
      </c>
      <c r="Z345" s="36">
        <f>IFERROR(IF(Y345=0,"",ROUNDUP(Y345/H345,0)*0.02175),"")</f>
        <v>0.26100000000000001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185.64</v>
      </c>
      <c r="BN345" s="64">
        <f t="shared" si="33"/>
        <v>185.64</v>
      </c>
      <c r="BO345" s="64">
        <f t="shared" si="34"/>
        <v>0.25</v>
      </c>
      <c r="BP345" s="64">
        <f t="shared" si="35"/>
        <v>0.25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146.19999999999999</v>
      </c>
      <c r="Y349" s="545">
        <f>IFERROR(Y342/H342,"0")+IFERROR(Y343/H343,"0")+IFERROR(Y344/H344,"0")+IFERROR(Y345/H345,"0")+IFERROR(Y346/H346,"0")+IFERROR(Y347/H347,"0")+IFERROR(Y348/H348,"0")</f>
        <v>147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3.1972499999999999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2193</v>
      </c>
      <c r="Y350" s="545">
        <f>IFERROR(SUM(Y342:Y348),"0")</f>
        <v>2205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257</v>
      </c>
      <c r="Y352" s="544">
        <f>IFERROR(IF(X352="",0,CEILING((X352/$H352),1)*$H352),"")</f>
        <v>270</v>
      </c>
      <c r="Z352" s="36">
        <f>IFERROR(IF(Y352=0,"",ROUNDUP(Y352/H352,0)*0.02175),"")</f>
        <v>0.39149999999999996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265.05266666666665</v>
      </c>
      <c r="BN352" s="64">
        <f>IFERROR(Y352*I352/H352,"0")</f>
        <v>278.46000000000004</v>
      </c>
      <c r="BO352" s="64">
        <f>IFERROR(1/J352*(X352/H352),"0")</f>
        <v>0.3569444444444444</v>
      </c>
      <c r="BP352" s="64">
        <f>IFERROR(1/J352*(Y352/H352),"0")</f>
        <v>0.375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17.133333333333333</v>
      </c>
      <c r="Y354" s="545">
        <f>IFERROR(Y352/H352,"0")+IFERROR(Y353/H353,"0")</f>
        <v>18</v>
      </c>
      <c r="Z354" s="545">
        <f>IFERROR(IF(Z352="",0,Z352),"0")+IFERROR(IF(Z353="",0,Z353),"0")</f>
        <v>0.39149999999999996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257</v>
      </c>
      <c r="Y355" s="545">
        <f>IFERROR(SUM(Y352:Y353),"0")</f>
        <v>270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hidden="1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hidden="1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hidden="1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2280</v>
      </c>
      <c r="Y377" s="544">
        <f>IFERROR(IF(X377="",0,CEILING((X377/$H377),1)*$H377),"")</f>
        <v>2286</v>
      </c>
      <c r="Z377" s="36">
        <f>IFERROR(IF(Y377=0,"",ROUNDUP(Y377/H377,0)*0.01898),"")</f>
        <v>4.8209200000000001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2405.1466666666665</v>
      </c>
      <c r="BN377" s="64">
        <f>IFERROR(Y377*I377/H377,"0")</f>
        <v>2411.4760000000001</v>
      </c>
      <c r="BO377" s="64">
        <f>IFERROR(1/J377*(X377/H377),"0")</f>
        <v>3.9583333333333335</v>
      </c>
      <c r="BP377" s="64">
        <f>IFERROR(1/J377*(Y377/H377),"0")</f>
        <v>3.96875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20</v>
      </c>
      <c r="Y378" s="544">
        <f>IFERROR(IF(X378="",0,CEILING((X378/$H378),1)*$H378),"")</f>
        <v>21.599999999999998</v>
      </c>
      <c r="Z378" s="36">
        <f>IFERROR(IF(Y378=0,"",ROUNDUP(Y378/H378,0)*0.00651),"")</f>
        <v>5.8590000000000003E-2</v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22.200000000000003</v>
      </c>
      <c r="BN378" s="64">
        <f>IFERROR(Y378*I378/H378,"0")</f>
        <v>23.976000000000003</v>
      </c>
      <c r="BO378" s="64">
        <f>IFERROR(1/J378*(X378/H378),"0")</f>
        <v>4.5787545787545791E-2</v>
      </c>
      <c r="BP378" s="64">
        <f>IFERROR(1/J378*(Y378/H378),"0")</f>
        <v>4.9450549450549455E-2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261.66666666666669</v>
      </c>
      <c r="Y380" s="545">
        <f>IFERROR(Y377/H377,"0")+IFERROR(Y378/H378,"0")+IFERROR(Y379/H379,"0")</f>
        <v>263</v>
      </c>
      <c r="Z380" s="545">
        <f>IFERROR(IF(Z377="",0,Z377),"0")+IFERROR(IF(Z378="",0,Z378),"0")+IFERROR(IF(Z379="",0,Z379),"0")</f>
        <v>4.8795099999999998</v>
      </c>
      <c r="AA380" s="546"/>
      <c r="AB380" s="546"/>
      <c r="AC380" s="546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2300</v>
      </c>
      <c r="Y381" s="545">
        <f>IFERROR(SUM(Y377:Y379),"0")</f>
        <v>2307.6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hidden="1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hidden="1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41</v>
      </c>
      <c r="Y421" s="544">
        <f t="shared" ref="Y421:Y432" si="42">IFERROR(IF(X421="",0,CEILING((X421/$H421),1)*$H421),"")</f>
        <v>42.24</v>
      </c>
      <c r="Z421" s="36">
        <f t="shared" ref="Z421:Z427" si="43">IFERROR(IF(Y421=0,"",ROUNDUP(Y421/H421,0)*0.01196),"")</f>
        <v>9.5680000000000001E-2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43.717803030303024</v>
      </c>
      <c r="BN421" s="64">
        <f t="shared" ref="BN421:BN432" si="45">IFERROR(Y421*I421/H421,"0")</f>
        <v>45.04</v>
      </c>
      <c r="BO421" s="64">
        <f t="shared" ref="BO421:BO432" si="46">IFERROR(1/J421*(X421/H421),"0")</f>
        <v>7.4664918414918416E-2</v>
      </c>
      <c r="BP421" s="64">
        <f t="shared" ref="BP421:BP432" si="47">IFERROR(1/J421*(Y421/H421),"0")</f>
        <v>7.6923076923076927E-2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120</v>
      </c>
      <c r="Y429" s="544">
        <f t="shared" si="42"/>
        <v>120</v>
      </c>
      <c r="Z429" s="36">
        <f>IFERROR(IF(Y429=0,"",ROUNDUP(Y429/H429,0)*0.00902),"")</f>
        <v>0.22550000000000001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172.75000000000003</v>
      </c>
      <c r="BN429" s="64">
        <f t="shared" si="45"/>
        <v>172.75000000000003</v>
      </c>
      <c r="BO429" s="64">
        <f t="shared" si="46"/>
        <v>0.18939393939393939</v>
      </c>
      <c r="BP429" s="64">
        <f t="shared" si="47"/>
        <v>0.18939393939393939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32.765151515151516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33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0.32118000000000002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161</v>
      </c>
      <c r="Y434" s="545">
        <f>IFERROR(SUM(Y421:Y432),"0")</f>
        <v>162.24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563</v>
      </c>
      <c r="Y436" s="544">
        <f>IFERROR(IF(X436="",0,CEILING((X436/$H436),1)*$H436),"")</f>
        <v>564.96</v>
      </c>
      <c r="Z436" s="36">
        <f>IFERROR(IF(Y436=0,"",ROUNDUP(Y436/H436,0)*0.01196),"")</f>
        <v>1.27972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600.32007575757575</v>
      </c>
      <c r="BN436" s="64">
        <f>IFERROR(Y436*I436/H436,"0")</f>
        <v>602.41</v>
      </c>
      <c r="BO436" s="64">
        <f>IFERROR(1/J436*(X436/H436),"0")</f>
        <v>1.0252768065268065</v>
      </c>
      <c r="BP436" s="64">
        <f>IFERROR(1/J436*(Y436/H436),"0")</f>
        <v>1.028846153846154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120</v>
      </c>
      <c r="Y438" s="544">
        <f>IFERROR(IF(X438="",0,CEILING((X438/$H438),1)*$H438),"")</f>
        <v>120</v>
      </c>
      <c r="Z438" s="36">
        <f>IFERROR(IF(Y438=0,"",ROUNDUP(Y438/H438,0)*0.00902),"")</f>
        <v>0.22550000000000001</v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172.75000000000003</v>
      </c>
      <c r="BN438" s="64">
        <f>IFERROR(Y438*I438/H438,"0")</f>
        <v>172.75000000000003</v>
      </c>
      <c r="BO438" s="64">
        <f>IFERROR(1/J438*(X438/H438),"0")</f>
        <v>0.18939393939393939</v>
      </c>
      <c r="BP438" s="64">
        <f>IFERROR(1/J438*(Y438/H438),"0")</f>
        <v>0.18939393939393939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131.62878787878788</v>
      </c>
      <c r="Y439" s="545">
        <f>IFERROR(Y436/H436,"0")+IFERROR(Y437/H437,"0")+IFERROR(Y438/H438,"0")</f>
        <v>132</v>
      </c>
      <c r="Z439" s="545">
        <f>IFERROR(IF(Z436="",0,Z436),"0")+IFERROR(IF(Z437="",0,Z437),"0")+IFERROR(IF(Z438="",0,Z438),"0")</f>
        <v>1.50522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683</v>
      </c>
      <c r="Y440" s="545">
        <f>IFERROR(SUM(Y436:Y438),"0")</f>
        <v>684.96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hidden="1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69</v>
      </c>
      <c r="Y443" s="544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73.573863636363626</v>
      </c>
      <c r="BN443" s="64">
        <f t="shared" si="50"/>
        <v>78.819999999999993</v>
      </c>
      <c r="BO443" s="64">
        <f t="shared" si="51"/>
        <v>0.1256555944055944</v>
      </c>
      <c r="BP443" s="64">
        <f t="shared" si="52"/>
        <v>0.13461538461538464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748</v>
      </c>
      <c r="Y444" s="544">
        <f t="shared" si="48"/>
        <v>749.76</v>
      </c>
      <c r="Z444" s="36">
        <f>IFERROR(IF(Y444=0,"",ROUNDUP(Y444/H444,0)*0.01196),"")</f>
        <v>1.6983200000000001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797.58333333333326</v>
      </c>
      <c r="BN444" s="64">
        <f t="shared" si="50"/>
        <v>799.45999999999992</v>
      </c>
      <c r="BO444" s="64">
        <f t="shared" si="51"/>
        <v>1.3621794871794872</v>
      </c>
      <c r="BP444" s="64">
        <f t="shared" si="52"/>
        <v>1.3653846153846154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154.73484848484847</v>
      </c>
      <c r="Y448" s="545">
        <f>IFERROR(Y442/H442,"0")+IFERROR(Y443/H443,"0")+IFERROR(Y444/H444,"0")+IFERROR(Y445/H445,"0")+IFERROR(Y446/H446,"0")+IFERROR(Y447/H447,"0")</f>
        <v>156</v>
      </c>
      <c r="Z448" s="545">
        <f>IFERROR(IF(Z442="",0,Z442),"0")+IFERROR(IF(Z443="",0,Z443),"0")+IFERROR(IF(Z444="",0,Z444),"0")+IFERROR(IF(Z445="",0,Z445),"0")+IFERROR(IF(Z446="",0,Z446),"0")+IFERROR(IF(Z447="",0,Z447),"0")</f>
        <v>1.8657600000000001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817</v>
      </c>
      <c r="Y449" s="545">
        <f>IFERROR(SUM(Y442:Y447),"0")</f>
        <v>823.68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10693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10832.100000000002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11350.004544163176</v>
      </c>
      <c r="Y491" s="545">
        <f>IFERROR(SUM(BN22:BN487),"0")</f>
        <v>11496.382000000001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19</v>
      </c>
      <c r="Y492" s="38">
        <f>ROUNDUP(SUM(BP22:BP487),0)</f>
        <v>19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11825.004544163176</v>
      </c>
      <c r="Y493" s="545">
        <f>GrossWeightTotalR+PalletQtyTotalR*25</f>
        <v>11971.382000000001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1653.66785193746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1676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21.68385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194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291.60000000000002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227.6</v>
      </c>
      <c r="E500" s="46">
        <f>IFERROR(Y86*1,"0")+IFERROR(Y87*1,"0")+IFERROR(Y88*1,"0")+IFERROR(Y92*1,"0")+IFERROR(Y93*1,"0")+IFERROR(Y94*1,"0")+IFERROR(Y95*1,"0")</f>
        <v>280.79999999999995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726.3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346.62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1510.2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110.39999999999999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885.1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2475</v>
      </c>
      <c r="T500" s="46">
        <f>IFERROR(Y367*1,"0")+IFERROR(Y368*1,"0")+IFERROR(Y372*1,"0")+IFERROR(Y373*1,"0")+IFERROR(Y377*1,"0")+IFERROR(Y378*1,"0")+IFERROR(Y379*1,"0")</f>
        <v>2307.6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1670.88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um/hmuaBsqxgdAuZgOvTvHdwHtwUJao8VUpzC1pXAu216DNZmWYyaz8PL9bHxsSHC0yjaZm19u74G2lsGNPXsQ==" saltValue="L2OQM6HXbj00+vdGjKzUd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653,67"/>
        <filter val="1 943,00"/>
        <filter val="1,59"/>
        <filter val="10 693,00"/>
        <filter val="102,00"/>
        <filter val="104,10"/>
        <filter val="11 350,00"/>
        <filter val="11 825,00"/>
        <filter val="11,00"/>
        <filter val="110,00"/>
        <filter val="12,00"/>
        <filter val="12,59"/>
        <filter val="120,00"/>
        <filter val="122,70"/>
        <filter val="123,00"/>
        <filter val="13,00"/>
        <filter val="131,63"/>
        <filter val="135,00"/>
        <filter val="137,00"/>
        <filter val="14,00"/>
        <filter val="140,00"/>
        <filter val="142,00"/>
        <filter val="146,20"/>
        <filter val="154,73"/>
        <filter val="16,00"/>
        <filter val="161,00"/>
        <filter val="167,22"/>
        <filter val="17,00"/>
        <filter val="17,13"/>
        <filter val="17,53"/>
        <filter val="172,00"/>
        <filter val="18,00"/>
        <filter val="180,00"/>
        <filter val="19"/>
        <filter val="2 193,00"/>
        <filter val="2 280,00"/>
        <filter val="2 300,00"/>
        <filter val="2,00"/>
        <filter val="20,00"/>
        <filter val="20,83"/>
        <filter val="203,00"/>
        <filter val="22,00"/>
        <filter val="224,00"/>
        <filter val="24,00"/>
        <filter val="249,81"/>
        <filter val="25,00"/>
        <filter val="257,00"/>
        <filter val="26,00"/>
        <filter val="26,20"/>
        <filter val="261,67"/>
        <filter val="28,00"/>
        <filter val="283,00"/>
        <filter val="30,00"/>
        <filter val="32,00"/>
        <filter val="32,77"/>
        <filter val="334,00"/>
        <filter val="4,00"/>
        <filter val="41,00"/>
        <filter val="45,83"/>
        <filter val="46,00"/>
        <filter val="495,00"/>
        <filter val="50,00"/>
        <filter val="55,00"/>
        <filter val="563,00"/>
        <filter val="574,00"/>
        <filter val="58,48"/>
        <filter val="598,00"/>
        <filter val="6,36"/>
        <filter val="6,67"/>
        <filter val="60,00"/>
        <filter val="61,00"/>
        <filter val="683,00"/>
        <filter val="684,00"/>
        <filter val="69,00"/>
        <filter val="7,82"/>
        <filter val="70,00"/>
        <filter val="748,00"/>
        <filter val="753,00"/>
        <filter val="8,00"/>
        <filter val="8,63"/>
        <filter val="8,80"/>
        <filter val="812,00"/>
        <filter val="817,00"/>
        <filter val="9,00"/>
        <filter val="95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3 X55 X57 X61 X80 X86:X88 X92 X94:X95 X100:X102 X107 X113 X115 X125:X126 X131 X164:X165 X169 X187 X196:X201 X203 X207:X210 X212:X215 X233 X255 X257 X273:X274 X299 X307 X315 X322:X323 X335:X336 X342:X344 X352 X367 X372 X377:X378 X387 X421 X424:X425 X427 X436 X438 X442:X444 X461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wxmcrGjd1DwKYCB0TYj4zDutl45fwZ+D4H2RnMqOpw5gN3kY5qr0AXKD9cS05W/0qiaJwAuQxmpIhKoztXcdVg==" saltValue="Vn/Ewgb5SY+qZRGfmBiT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