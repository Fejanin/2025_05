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46059D4-42E9-4480-BF6F-2CC545CA7BE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заказа'!$X$271:$X$271</definedName>
    <definedName name="GrossWeightTotalR">'Бланк заказа'!$Y$271:$Y$271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заказа'!$X$272:$X$272</definedName>
    <definedName name="PalletQtyTotalR">'Бланк заказа'!$Y$272:$Y$272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заказа'!$B$124:$B$124</definedName>
    <definedName name="ProductId47">'Бланк заказа'!$B$128:$B$128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заказа'!$B$145:$B$145</definedName>
    <definedName name="ProductId53">'Бланк заказа'!$B$146:$B$146</definedName>
    <definedName name="ProductId54">'Бланк заказа'!$B$151:$B$151</definedName>
    <definedName name="ProductId55">'Бланк заказа'!$B$156:$B$156</definedName>
    <definedName name="ProductId56">'Бланк заказа'!$B$161:$B$161</definedName>
    <definedName name="ProductId57">'Бланк заказа'!$B$166:$B$166</definedName>
    <definedName name="ProductId58">'Бланк заказа'!$B$172:$B$172</definedName>
    <definedName name="ProductId59">'Бланк заказа'!$B$173:$B$173</definedName>
    <definedName name="ProductId6">'Бланк заказа'!$B$27:$B$27</definedName>
    <definedName name="ProductId60">'Бланк заказа'!$B$179:$B$179</definedName>
    <definedName name="ProductId61">'Бланк заказа'!$B$180:$B$180</definedName>
    <definedName name="ProductId62">'Бланк заказа'!$B$181:$B$181</definedName>
    <definedName name="ProductId63">'Бланк заказа'!$B$185:$B$185</definedName>
    <definedName name="ProductId64">'Бланк заказа'!$B$191:$B$191</definedName>
    <definedName name="ProductId65">'Бланк заказа'!$B$195:$B$195</definedName>
    <definedName name="ProductId66">'Бланк заказа'!$B$196:$B$196</definedName>
    <definedName name="ProductId67">'Бланк заказа'!$B$197:$B$197</definedName>
    <definedName name="ProductId68">'Бланк заказа'!$B$198:$B$198</definedName>
    <definedName name="ProductId69">'Бланк заказа'!$B$199:$B$199</definedName>
    <definedName name="ProductId7">'Бланк заказа'!$B$32:$B$32</definedName>
    <definedName name="ProductId70">'Бланк заказа'!$B$204:$B$204</definedName>
    <definedName name="ProductId71">'Бланк заказа'!$B$209:$B$209</definedName>
    <definedName name="ProductId72">'Бланк заказа'!$B$213:$B$213</definedName>
    <definedName name="ProductId73">'Бланк заказа'!$B$214:$B$214</definedName>
    <definedName name="ProductId74">'Бланк заказа'!$B$220:$B$220</definedName>
    <definedName name="ProductId75">'Бланк заказа'!$B$226:$B$226</definedName>
    <definedName name="ProductId76">'Бланк заказа'!$B$232:$B$232</definedName>
    <definedName name="ProductId77">'Бланк заказа'!$B$236:$B$236</definedName>
    <definedName name="ProductId78">'Бланк заказа'!$B$242:$B$242</definedName>
    <definedName name="ProductId79">'Бланк заказа'!$B$243:$B$243</definedName>
    <definedName name="ProductId8">'Бланк заказа'!$B$33:$B$33</definedName>
    <definedName name="ProductId80">'Бланк заказа'!$B$247:$B$247</definedName>
    <definedName name="ProductId81">'Бланк заказа'!$B$248:$B$248</definedName>
    <definedName name="ProductId82">'Бланк заказа'!$B$252:$B$252</definedName>
    <definedName name="ProductId83">'Бланк заказа'!$B$253:$B$253</definedName>
    <definedName name="ProductId84">'Бланк заказа'!$B$254:$B$254</definedName>
    <definedName name="ProductId85">'Бланк заказа'!$B$258:$B$258</definedName>
    <definedName name="ProductId86">'Бланк заказа'!$B$259:$B$259</definedName>
    <definedName name="ProductId87">'Бланк заказа'!$B$260:$B$260</definedName>
    <definedName name="ProductId88">'Бланк заказа'!$B$261:$B$261</definedName>
    <definedName name="ProductId89">'Бланк заказа'!$B$262:$B$262</definedName>
    <definedName name="ProductId9">'Бланк заказа'!$B$39:$B$39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заказа'!$X$124:$X$124</definedName>
    <definedName name="SalesQty47">'Бланк заказа'!$X$128:$X$128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заказа'!$X$145:$X$145</definedName>
    <definedName name="SalesQty53">'Бланк заказа'!$X$146:$X$146</definedName>
    <definedName name="SalesQty54">'Бланк заказа'!$X$151:$X$151</definedName>
    <definedName name="SalesQty55">'Бланк заказа'!$X$156:$X$156</definedName>
    <definedName name="SalesQty56">'Бланк заказа'!$X$161:$X$161</definedName>
    <definedName name="SalesQty57">'Бланк заказа'!$X$166:$X$166</definedName>
    <definedName name="SalesQty58">'Бланк заказа'!$X$172:$X$172</definedName>
    <definedName name="SalesQty59">'Бланк заказа'!$X$173:$X$173</definedName>
    <definedName name="SalesQty6">'Бланк заказа'!$X$27:$X$27</definedName>
    <definedName name="SalesQty60">'Бланк заказа'!$X$179:$X$179</definedName>
    <definedName name="SalesQty61">'Бланк заказа'!$X$180:$X$180</definedName>
    <definedName name="SalesQty62">'Бланк заказа'!$X$181:$X$181</definedName>
    <definedName name="SalesQty63">'Бланк заказа'!$X$185:$X$185</definedName>
    <definedName name="SalesQty64">'Бланк заказа'!$X$191:$X$191</definedName>
    <definedName name="SalesQty65">'Бланк заказа'!$X$195:$X$195</definedName>
    <definedName name="SalesQty66">'Бланк заказа'!$X$196:$X$196</definedName>
    <definedName name="SalesQty67">'Бланк заказа'!$X$197:$X$197</definedName>
    <definedName name="SalesQty68">'Бланк заказа'!$X$198:$X$198</definedName>
    <definedName name="SalesQty69">'Бланк заказа'!$X$199:$X$199</definedName>
    <definedName name="SalesQty7">'Бланк заказа'!$X$32:$X$32</definedName>
    <definedName name="SalesQty70">'Бланк заказа'!$X$204:$X$204</definedName>
    <definedName name="SalesQty71">'Бланк заказа'!$X$209:$X$209</definedName>
    <definedName name="SalesQty72">'Бланк заказа'!$X$213:$X$213</definedName>
    <definedName name="SalesQty73">'Бланк заказа'!$X$214:$X$214</definedName>
    <definedName name="SalesQty74">'Бланк заказа'!$X$220:$X$220</definedName>
    <definedName name="SalesQty75">'Бланк заказа'!$X$226:$X$226</definedName>
    <definedName name="SalesQty76">'Бланк заказа'!$X$232:$X$232</definedName>
    <definedName name="SalesQty77">'Бланк заказа'!$X$236:$X$236</definedName>
    <definedName name="SalesQty78">'Бланк заказа'!$X$242:$X$242</definedName>
    <definedName name="SalesQty79">'Бланк заказа'!$X$243:$X$243</definedName>
    <definedName name="SalesQty8">'Бланк заказа'!$X$33:$X$33</definedName>
    <definedName name="SalesQty80">'Бланк заказа'!$X$247:$X$247</definedName>
    <definedName name="SalesQty81">'Бланк заказа'!$X$248:$X$248</definedName>
    <definedName name="SalesQty82">'Бланк заказа'!$X$252:$X$252</definedName>
    <definedName name="SalesQty83">'Бланк заказа'!$X$253:$X$253</definedName>
    <definedName name="SalesQty84">'Бланк заказа'!$X$254:$X$254</definedName>
    <definedName name="SalesQty85">'Бланк заказа'!$X$258:$X$258</definedName>
    <definedName name="SalesQty86">'Бланк заказа'!$X$259:$X$259</definedName>
    <definedName name="SalesQty87">'Бланк заказа'!$X$260:$X$260</definedName>
    <definedName name="SalesQty88">'Бланк заказа'!$X$261:$X$261</definedName>
    <definedName name="SalesQty89">'Бланк заказа'!$X$262:$X$262</definedName>
    <definedName name="SalesQty9">'Бланк заказа'!$X$39:$X$39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заказа'!$Y$124:$Y$124</definedName>
    <definedName name="SalesRoundBox47">'Бланк заказа'!$Y$128:$Y$128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заказа'!$Y$145:$Y$145</definedName>
    <definedName name="SalesRoundBox53">'Бланк заказа'!$Y$146:$Y$146</definedName>
    <definedName name="SalesRoundBox54">'Бланк заказа'!$Y$151:$Y$151</definedName>
    <definedName name="SalesRoundBox55">'Бланк заказа'!$Y$156:$Y$156</definedName>
    <definedName name="SalesRoundBox56">'Бланк заказа'!$Y$161:$Y$161</definedName>
    <definedName name="SalesRoundBox57">'Бланк заказа'!$Y$166:$Y$166</definedName>
    <definedName name="SalesRoundBox58">'Бланк заказа'!$Y$172:$Y$172</definedName>
    <definedName name="SalesRoundBox59">'Бланк заказа'!$Y$173:$Y$173</definedName>
    <definedName name="SalesRoundBox6">'Бланк заказа'!$Y$27:$Y$27</definedName>
    <definedName name="SalesRoundBox60">'Бланк заказа'!$Y$179:$Y$179</definedName>
    <definedName name="SalesRoundBox61">'Бланк заказа'!$Y$180:$Y$180</definedName>
    <definedName name="SalesRoundBox62">'Бланк заказа'!$Y$181:$Y$181</definedName>
    <definedName name="SalesRoundBox63">'Бланк заказа'!$Y$185:$Y$185</definedName>
    <definedName name="SalesRoundBox64">'Бланк заказа'!$Y$191:$Y$191</definedName>
    <definedName name="SalesRoundBox65">'Бланк заказа'!$Y$195:$Y$195</definedName>
    <definedName name="SalesRoundBox66">'Бланк заказа'!$Y$196:$Y$196</definedName>
    <definedName name="SalesRoundBox67">'Бланк заказа'!$Y$197:$Y$197</definedName>
    <definedName name="SalesRoundBox68">'Бланк заказа'!$Y$198:$Y$198</definedName>
    <definedName name="SalesRoundBox69">'Бланк заказа'!$Y$199:$Y$199</definedName>
    <definedName name="SalesRoundBox7">'Бланк заказа'!$Y$32:$Y$32</definedName>
    <definedName name="SalesRoundBox70">'Бланк заказа'!$Y$204:$Y$204</definedName>
    <definedName name="SalesRoundBox71">'Бланк заказа'!$Y$209:$Y$209</definedName>
    <definedName name="SalesRoundBox72">'Бланк заказа'!$Y$213:$Y$213</definedName>
    <definedName name="SalesRoundBox73">'Бланк заказа'!$Y$214:$Y$214</definedName>
    <definedName name="SalesRoundBox74">'Бланк заказа'!$Y$220:$Y$220</definedName>
    <definedName name="SalesRoundBox75">'Бланк заказа'!$Y$226:$Y$226</definedName>
    <definedName name="SalesRoundBox76">'Бланк заказа'!$Y$232:$Y$232</definedName>
    <definedName name="SalesRoundBox77">'Бланк заказа'!$Y$236:$Y$236</definedName>
    <definedName name="SalesRoundBox78">'Бланк заказа'!$Y$242:$Y$242</definedName>
    <definedName name="SalesRoundBox79">'Бланк заказа'!$Y$243:$Y$243</definedName>
    <definedName name="SalesRoundBox8">'Бланк заказа'!$Y$33:$Y$33</definedName>
    <definedName name="SalesRoundBox80">'Бланк заказа'!$Y$247:$Y$247</definedName>
    <definedName name="SalesRoundBox81">'Бланк заказа'!$Y$248:$Y$248</definedName>
    <definedName name="SalesRoundBox82">'Бланк заказа'!$Y$252:$Y$252</definedName>
    <definedName name="SalesRoundBox83">'Бланк заказа'!$Y$253:$Y$253</definedName>
    <definedName name="SalesRoundBox84">'Бланк заказа'!$Y$254:$Y$254</definedName>
    <definedName name="SalesRoundBox85">'Бланк заказа'!$Y$258:$Y$258</definedName>
    <definedName name="SalesRoundBox86">'Бланк заказа'!$Y$259:$Y$259</definedName>
    <definedName name="SalesRoundBox87">'Бланк заказа'!$Y$260:$Y$260</definedName>
    <definedName name="SalesRoundBox88">'Бланк заказа'!$Y$261:$Y$261</definedName>
    <definedName name="SalesRoundBox89">'Бланк заказа'!$Y$262:$Y$262</definedName>
    <definedName name="SalesRoundBox9">'Бланк заказа'!$Y$39:$Y$39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заказа'!$W$124:$W$124</definedName>
    <definedName name="UnitOfMeasure47">'Бланк заказа'!$W$128:$W$128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заказа'!$W$145:$W$145</definedName>
    <definedName name="UnitOfMeasure53">'Бланк заказа'!$W$146:$W$146</definedName>
    <definedName name="UnitOfMeasure54">'Бланк заказа'!$W$151:$W$151</definedName>
    <definedName name="UnitOfMeasure55">'Бланк заказа'!$W$156:$W$156</definedName>
    <definedName name="UnitOfMeasure56">'Бланк заказа'!$W$161:$W$161</definedName>
    <definedName name="UnitOfMeasure57">'Бланк заказа'!$W$166:$W$166</definedName>
    <definedName name="UnitOfMeasure58">'Бланк заказа'!$W$172:$W$172</definedName>
    <definedName name="UnitOfMeasure59">'Бланк заказа'!$W$173:$W$173</definedName>
    <definedName name="UnitOfMeasure6">'Бланк заказа'!$W$27:$W$27</definedName>
    <definedName name="UnitOfMeasure60">'Бланк заказа'!$W$179:$W$179</definedName>
    <definedName name="UnitOfMeasure61">'Бланк заказа'!$W$180:$W$180</definedName>
    <definedName name="UnitOfMeasure62">'Бланк заказа'!$W$181:$W$181</definedName>
    <definedName name="UnitOfMeasure63">'Бланк заказа'!$W$185:$W$185</definedName>
    <definedName name="UnitOfMeasure64">'Бланк заказа'!$W$191:$W$191</definedName>
    <definedName name="UnitOfMeasure65">'Бланк заказа'!$W$195:$W$195</definedName>
    <definedName name="UnitOfMeasure66">'Бланк заказа'!$W$196:$W$196</definedName>
    <definedName name="UnitOfMeasure67">'Бланк заказа'!$W$197:$W$197</definedName>
    <definedName name="UnitOfMeasure68">'Бланк заказа'!$W$198:$W$198</definedName>
    <definedName name="UnitOfMeasure69">'Бланк заказа'!$W$199:$W$199</definedName>
    <definedName name="UnitOfMeasure7">'Бланк заказа'!$W$32:$W$32</definedName>
    <definedName name="UnitOfMeasure70">'Бланк заказа'!$W$204:$W$204</definedName>
    <definedName name="UnitOfMeasure71">'Бланк заказа'!$W$209:$W$209</definedName>
    <definedName name="UnitOfMeasure72">'Бланк заказа'!$W$213:$W$213</definedName>
    <definedName name="UnitOfMeasure73">'Бланк заказа'!$W$214:$W$214</definedName>
    <definedName name="UnitOfMeasure74">'Бланк заказа'!$W$220:$W$220</definedName>
    <definedName name="UnitOfMeasure75">'Бланк заказа'!$W$226:$W$226</definedName>
    <definedName name="UnitOfMeasure76">'Бланк заказа'!$W$232:$W$232</definedName>
    <definedName name="UnitOfMeasure77">'Бланк заказа'!$W$236:$W$236</definedName>
    <definedName name="UnitOfMeasure78">'Бланк заказа'!$W$242:$W$242</definedName>
    <definedName name="UnitOfMeasure79">'Бланк заказа'!$W$243:$W$243</definedName>
    <definedName name="UnitOfMeasure8">'Бланк заказа'!$W$33:$W$33</definedName>
    <definedName name="UnitOfMeasure80">'Бланк заказа'!$W$247:$W$247</definedName>
    <definedName name="UnitOfMeasure81">'Бланк заказа'!$W$248:$W$248</definedName>
    <definedName name="UnitOfMeasure82">'Бланк заказа'!$W$252:$W$252</definedName>
    <definedName name="UnitOfMeasure83">'Бланк заказа'!$W$253:$W$253</definedName>
    <definedName name="UnitOfMeasure84">'Бланк заказа'!$W$254:$W$254</definedName>
    <definedName name="UnitOfMeasure85">'Бланк заказа'!$W$258:$W$258</definedName>
    <definedName name="UnitOfMeasure86">'Бланк заказа'!$W$259:$W$259</definedName>
    <definedName name="UnitOfMeasure87">'Бланк заказа'!$W$260:$W$260</definedName>
    <definedName name="UnitOfMeasure88">'Бланк заказа'!$W$261:$W$261</definedName>
    <definedName name="UnitOfMeasure89">'Бланк заказа'!$W$262:$W$262</definedName>
    <definedName name="UnitOfMeasure9">'Бланк заказа'!$W$39:$W$39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0" i="1" l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X269" i="1"/>
  <c r="X268" i="1"/>
  <c r="BO267" i="1"/>
  <c r="BM267" i="1"/>
  <c r="Z267" i="1"/>
  <c r="Y267" i="1"/>
  <c r="P267" i="1"/>
  <c r="BP266" i="1"/>
  <c r="BO266" i="1"/>
  <c r="BN266" i="1"/>
  <c r="BM266" i="1"/>
  <c r="Z266" i="1"/>
  <c r="Y266" i="1"/>
  <c r="P266" i="1"/>
  <c r="BO265" i="1"/>
  <c r="BM265" i="1"/>
  <c r="Z265" i="1"/>
  <c r="Y265" i="1"/>
  <c r="P265" i="1"/>
  <c r="BP264" i="1"/>
  <c r="BO264" i="1"/>
  <c r="BN264" i="1"/>
  <c r="BM264" i="1"/>
  <c r="Z264" i="1"/>
  <c r="Y264" i="1"/>
  <c r="P264" i="1"/>
  <c r="BO263" i="1"/>
  <c r="BM263" i="1"/>
  <c r="Z263" i="1"/>
  <c r="Y263" i="1"/>
  <c r="P263" i="1"/>
  <c r="BP262" i="1"/>
  <c r="BO262" i="1"/>
  <c r="BN262" i="1"/>
  <c r="BM262" i="1"/>
  <c r="Z262" i="1"/>
  <c r="Y262" i="1"/>
  <c r="P262" i="1"/>
  <c r="BO261" i="1"/>
  <c r="BM261" i="1"/>
  <c r="Z261" i="1"/>
  <c r="Y261" i="1"/>
  <c r="P261" i="1"/>
  <c r="BP260" i="1"/>
  <c r="BO260" i="1"/>
  <c r="BN260" i="1"/>
  <c r="BM260" i="1"/>
  <c r="Z260" i="1"/>
  <c r="Y260" i="1"/>
  <c r="P260" i="1"/>
  <c r="BO259" i="1"/>
  <c r="BM259" i="1"/>
  <c r="Z259" i="1"/>
  <c r="Y259" i="1"/>
  <c r="P259" i="1"/>
  <c r="BP258" i="1"/>
  <c r="BO258" i="1"/>
  <c r="BN258" i="1"/>
  <c r="BM258" i="1"/>
  <c r="Z258" i="1"/>
  <c r="Z268" i="1" s="1"/>
  <c r="Y258" i="1"/>
  <c r="P258" i="1"/>
  <c r="X256" i="1"/>
  <c r="X255" i="1"/>
  <c r="BO254" i="1"/>
  <c r="BM254" i="1"/>
  <c r="Z254" i="1"/>
  <c r="Y254" i="1"/>
  <c r="BP254" i="1" s="1"/>
  <c r="P254" i="1"/>
  <c r="BO253" i="1"/>
  <c r="BM253" i="1"/>
  <c r="Z253" i="1"/>
  <c r="Y253" i="1"/>
  <c r="P253" i="1"/>
  <c r="BO252" i="1"/>
  <c r="BM252" i="1"/>
  <c r="Z252" i="1"/>
  <c r="Y252" i="1"/>
  <c r="Y256" i="1" s="1"/>
  <c r="P252" i="1"/>
  <c r="X250" i="1"/>
  <c r="X249" i="1"/>
  <c r="BP248" i="1"/>
  <c r="BO248" i="1"/>
  <c r="BN248" i="1"/>
  <c r="BM248" i="1"/>
  <c r="Z248" i="1"/>
  <c r="Y248" i="1"/>
  <c r="P248" i="1"/>
  <c r="BO247" i="1"/>
  <c r="BM247" i="1"/>
  <c r="Z247" i="1"/>
  <c r="Y247" i="1"/>
  <c r="P247" i="1"/>
  <c r="X245" i="1"/>
  <c r="X244" i="1"/>
  <c r="BO243" i="1"/>
  <c r="BM243" i="1"/>
  <c r="Z243" i="1"/>
  <c r="Y243" i="1"/>
  <c r="P243" i="1"/>
  <c r="BO242" i="1"/>
  <c r="BM242" i="1"/>
  <c r="Z242" i="1"/>
  <c r="Y242" i="1"/>
  <c r="BP242" i="1" s="1"/>
  <c r="P242" i="1"/>
  <c r="X238" i="1"/>
  <c r="X237" i="1"/>
  <c r="BO236" i="1"/>
  <c r="BM236" i="1"/>
  <c r="Z236" i="1"/>
  <c r="Z237" i="1" s="1"/>
  <c r="Y236" i="1"/>
  <c r="Y238" i="1" s="1"/>
  <c r="P236" i="1"/>
  <c r="X234" i="1"/>
  <c r="X233" i="1"/>
  <c r="BO232" i="1"/>
  <c r="BM232" i="1"/>
  <c r="Z232" i="1"/>
  <c r="Z233" i="1" s="1"/>
  <c r="Y232" i="1"/>
  <c r="Y234" i="1" s="1"/>
  <c r="P232" i="1"/>
  <c r="X228" i="1"/>
  <c r="X227" i="1"/>
  <c r="BO226" i="1"/>
  <c r="BM226" i="1"/>
  <c r="Z226" i="1"/>
  <c r="Z227" i="1" s="1"/>
  <c r="Y226" i="1"/>
  <c r="Y228" i="1" s="1"/>
  <c r="P226" i="1"/>
  <c r="X222" i="1"/>
  <c r="X221" i="1"/>
  <c r="BO220" i="1"/>
  <c r="BM220" i="1"/>
  <c r="Z220" i="1"/>
  <c r="Z221" i="1" s="1"/>
  <c r="Y220" i="1"/>
  <c r="Y222" i="1" s="1"/>
  <c r="P220" i="1"/>
  <c r="X216" i="1"/>
  <c r="X215" i="1"/>
  <c r="BP214" i="1"/>
  <c r="BO214" i="1"/>
  <c r="BN214" i="1"/>
  <c r="BM214" i="1"/>
  <c r="Z214" i="1"/>
  <c r="Y214" i="1"/>
  <c r="P214" i="1"/>
  <c r="BO213" i="1"/>
  <c r="BM213" i="1"/>
  <c r="Z213" i="1"/>
  <c r="Y213" i="1"/>
  <c r="P213" i="1"/>
  <c r="X211" i="1"/>
  <c r="X210" i="1"/>
  <c r="BO209" i="1"/>
  <c r="BM209" i="1"/>
  <c r="Z209" i="1"/>
  <c r="Z210" i="1" s="1"/>
  <c r="Y209" i="1"/>
  <c r="Y211" i="1" s="1"/>
  <c r="P209" i="1"/>
  <c r="X206" i="1"/>
  <c r="X205" i="1"/>
  <c r="BO204" i="1"/>
  <c r="BM204" i="1"/>
  <c r="Z204" i="1"/>
  <c r="Z205" i="1" s="1"/>
  <c r="Y204" i="1"/>
  <c r="P204" i="1"/>
  <c r="X201" i="1"/>
  <c r="X200" i="1"/>
  <c r="BO199" i="1"/>
  <c r="BM199" i="1"/>
  <c r="Z199" i="1"/>
  <c r="Y199" i="1"/>
  <c r="P199" i="1"/>
  <c r="BP198" i="1"/>
  <c r="BO198" i="1"/>
  <c r="BN198" i="1"/>
  <c r="BM198" i="1"/>
  <c r="Z198" i="1"/>
  <c r="Y198" i="1"/>
  <c r="P198" i="1"/>
  <c r="BO197" i="1"/>
  <c r="BM197" i="1"/>
  <c r="Z197" i="1"/>
  <c r="Y197" i="1"/>
  <c r="P197" i="1"/>
  <c r="BP196" i="1"/>
  <c r="BO196" i="1"/>
  <c r="BN196" i="1"/>
  <c r="BM196" i="1"/>
  <c r="Z196" i="1"/>
  <c r="Y196" i="1"/>
  <c r="P196" i="1"/>
  <c r="BO195" i="1"/>
  <c r="BM195" i="1"/>
  <c r="Z195" i="1"/>
  <c r="Y195" i="1"/>
  <c r="Y201" i="1" s="1"/>
  <c r="P195" i="1"/>
  <c r="X193" i="1"/>
  <c r="X192" i="1"/>
  <c r="BO191" i="1"/>
  <c r="BM191" i="1"/>
  <c r="Z191" i="1"/>
  <c r="Z192" i="1" s="1"/>
  <c r="Y191" i="1"/>
  <c r="P191" i="1"/>
  <c r="X187" i="1"/>
  <c r="X186" i="1"/>
  <c r="BO185" i="1"/>
  <c r="BM185" i="1"/>
  <c r="Z185" i="1"/>
  <c r="Z186" i="1" s="1"/>
  <c r="Y185" i="1"/>
  <c r="Y187" i="1" s="1"/>
  <c r="X183" i="1"/>
  <c r="X182" i="1"/>
  <c r="BP181" i="1"/>
  <c r="BO181" i="1"/>
  <c r="BN181" i="1"/>
  <c r="BM181" i="1"/>
  <c r="Z181" i="1"/>
  <c r="Y181" i="1"/>
  <c r="P181" i="1"/>
  <c r="BO180" i="1"/>
  <c r="BM180" i="1"/>
  <c r="Z180" i="1"/>
  <c r="Y180" i="1"/>
  <c r="P180" i="1"/>
  <c r="BP179" i="1"/>
  <c r="BO179" i="1"/>
  <c r="BN179" i="1"/>
  <c r="BM179" i="1"/>
  <c r="Z179" i="1"/>
  <c r="Z182" i="1" s="1"/>
  <c r="Y179" i="1"/>
  <c r="P179" i="1"/>
  <c r="X175" i="1"/>
  <c r="X174" i="1"/>
  <c r="BO173" i="1"/>
  <c r="BM173" i="1"/>
  <c r="Z173" i="1"/>
  <c r="Y173" i="1"/>
  <c r="BP173" i="1" s="1"/>
  <c r="P173" i="1"/>
  <c r="BO172" i="1"/>
  <c r="BM172" i="1"/>
  <c r="Z172" i="1"/>
  <c r="Z174" i="1" s="1"/>
  <c r="Y172" i="1"/>
  <c r="P172" i="1"/>
  <c r="X168" i="1"/>
  <c r="X167" i="1"/>
  <c r="BO166" i="1"/>
  <c r="BM166" i="1"/>
  <c r="Z166" i="1"/>
  <c r="Z167" i="1" s="1"/>
  <c r="Y166" i="1"/>
  <c r="P166" i="1"/>
  <c r="X163" i="1"/>
  <c r="X162" i="1"/>
  <c r="BO161" i="1"/>
  <c r="BM161" i="1"/>
  <c r="Z161" i="1"/>
  <c r="Z162" i="1" s="1"/>
  <c r="Y161" i="1"/>
  <c r="Y163" i="1" s="1"/>
  <c r="P161" i="1"/>
  <c r="X158" i="1"/>
  <c r="X157" i="1"/>
  <c r="BO156" i="1"/>
  <c r="BM156" i="1"/>
  <c r="Z156" i="1"/>
  <c r="Z157" i="1" s="1"/>
  <c r="Y156" i="1"/>
  <c r="P156" i="1"/>
  <c r="X153" i="1"/>
  <c r="X152" i="1"/>
  <c r="BO151" i="1"/>
  <c r="BM151" i="1"/>
  <c r="Z151" i="1"/>
  <c r="Z152" i="1" s="1"/>
  <c r="Y151" i="1"/>
  <c r="Y153" i="1" s="1"/>
  <c r="P151" i="1"/>
  <c r="X148" i="1"/>
  <c r="X147" i="1"/>
  <c r="BO146" i="1"/>
  <c r="BM146" i="1"/>
  <c r="Z146" i="1"/>
  <c r="Y146" i="1"/>
  <c r="P146" i="1"/>
  <c r="BO145" i="1"/>
  <c r="BM145" i="1"/>
  <c r="Z145" i="1"/>
  <c r="Y145" i="1"/>
  <c r="BP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P139" i="1"/>
  <c r="X136" i="1"/>
  <c r="X135" i="1"/>
  <c r="BO134" i="1"/>
  <c r="BM134" i="1"/>
  <c r="Z134" i="1"/>
  <c r="Y134" i="1"/>
  <c r="BP134" i="1" s="1"/>
  <c r="P134" i="1"/>
  <c r="BO133" i="1"/>
  <c r="BM133" i="1"/>
  <c r="Z133" i="1"/>
  <c r="Y133" i="1"/>
  <c r="BP133" i="1" s="1"/>
  <c r="P133" i="1"/>
  <c r="X130" i="1"/>
  <c r="X129" i="1"/>
  <c r="BO128" i="1"/>
  <c r="BM128" i="1"/>
  <c r="Z128" i="1"/>
  <c r="Z129" i="1" s="1"/>
  <c r="Y128" i="1"/>
  <c r="Y130" i="1" s="1"/>
  <c r="P128" i="1"/>
  <c r="X126" i="1"/>
  <c r="X125" i="1"/>
  <c r="BO124" i="1"/>
  <c r="BM124" i="1"/>
  <c r="Z124" i="1"/>
  <c r="Z125" i="1" s="1"/>
  <c r="Y124" i="1"/>
  <c r="Y126" i="1" s="1"/>
  <c r="P124" i="1"/>
  <c r="X122" i="1"/>
  <c r="X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P113" i="1"/>
  <c r="X110" i="1"/>
  <c r="X109" i="1"/>
  <c r="BO108" i="1"/>
  <c r="BM108" i="1"/>
  <c r="Z108" i="1"/>
  <c r="Y108" i="1"/>
  <c r="BP108" i="1" s="1"/>
  <c r="P108" i="1"/>
  <c r="BO107" i="1"/>
  <c r="BM107" i="1"/>
  <c r="Z107" i="1"/>
  <c r="Y107" i="1"/>
  <c r="BP107" i="1" s="1"/>
  <c r="P107" i="1"/>
  <c r="X104" i="1"/>
  <c r="X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BP91" i="1" s="1"/>
  <c r="P91" i="1"/>
  <c r="X88" i="1"/>
  <c r="X87" i="1"/>
  <c r="BO86" i="1"/>
  <c r="BM86" i="1"/>
  <c r="Z86" i="1"/>
  <c r="Z87" i="1" s="1"/>
  <c r="Y86" i="1"/>
  <c r="Y88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Y80" i="1"/>
  <c r="P80" i="1"/>
  <c r="X77" i="1"/>
  <c r="X76" i="1"/>
  <c r="BO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P73" i="1"/>
  <c r="X71" i="1"/>
  <c r="X70" i="1"/>
  <c r="BO69" i="1"/>
  <c r="BM69" i="1"/>
  <c r="Z69" i="1"/>
  <c r="Y69" i="1"/>
  <c r="BP69" i="1" s="1"/>
  <c r="P69" i="1"/>
  <c r="BO68" i="1"/>
  <c r="BM68" i="1"/>
  <c r="Z68" i="1"/>
  <c r="Y68" i="1"/>
  <c r="P68" i="1"/>
  <c r="X66" i="1"/>
  <c r="X65" i="1"/>
  <c r="BO64" i="1"/>
  <c r="BM64" i="1"/>
  <c r="Z64" i="1"/>
  <c r="Z65" i="1" s="1"/>
  <c r="Y64" i="1"/>
  <c r="Y66" i="1" s="1"/>
  <c r="P64" i="1"/>
  <c r="X62" i="1"/>
  <c r="X61" i="1"/>
  <c r="BO60" i="1"/>
  <c r="BM60" i="1"/>
  <c r="Z60" i="1"/>
  <c r="Z61" i="1" s="1"/>
  <c r="Y60" i="1"/>
  <c r="Y62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M45" i="1"/>
  <c r="Z45" i="1"/>
  <c r="Y45" i="1"/>
  <c r="P45" i="1"/>
  <c r="X42" i="1"/>
  <c r="X41" i="1"/>
  <c r="BO40" i="1"/>
  <c r="BM40" i="1"/>
  <c r="Z40" i="1"/>
  <c r="Y40" i="1"/>
  <c r="BP40" i="1" s="1"/>
  <c r="P40" i="1"/>
  <c r="BO39" i="1"/>
  <c r="BM39" i="1"/>
  <c r="Z39" i="1"/>
  <c r="Y39" i="1"/>
  <c r="BP39" i="1" s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P32" i="1"/>
  <c r="X29" i="1"/>
  <c r="X28" i="1"/>
  <c r="BO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BP22" i="1" s="1"/>
  <c r="P22" i="1"/>
  <c r="H10" i="1"/>
  <c r="F10" i="1"/>
  <c r="F9" i="1"/>
  <c r="A9" i="1"/>
  <c r="A10" i="1" s="1"/>
  <c r="D7" i="1"/>
  <c r="Q6" i="1"/>
  <c r="P2" i="1"/>
  <c r="Z28" i="1" l="1"/>
  <c r="BN22" i="1"/>
  <c r="BN24" i="1"/>
  <c r="BN26" i="1"/>
  <c r="X274" i="1"/>
  <c r="Z34" i="1"/>
  <c r="Z41" i="1"/>
  <c r="BN39" i="1"/>
  <c r="Y57" i="1"/>
  <c r="BN53" i="1"/>
  <c r="BN55" i="1"/>
  <c r="Y70" i="1"/>
  <c r="Y76" i="1"/>
  <c r="Z76" i="1"/>
  <c r="BN74" i="1"/>
  <c r="Z82" i="1"/>
  <c r="BN86" i="1"/>
  <c r="BP86" i="1"/>
  <c r="Y87" i="1"/>
  <c r="Z93" i="1"/>
  <c r="BN91" i="1"/>
  <c r="Z103" i="1"/>
  <c r="Z109" i="1"/>
  <c r="BN107" i="1"/>
  <c r="Z121" i="1"/>
  <c r="BN124" i="1"/>
  <c r="BP124" i="1"/>
  <c r="Y125" i="1"/>
  <c r="BN128" i="1"/>
  <c r="BP128" i="1"/>
  <c r="Y129" i="1"/>
  <c r="Z135" i="1"/>
  <c r="BN133" i="1"/>
  <c r="Z147" i="1"/>
  <c r="BN145" i="1"/>
  <c r="Z200" i="1"/>
  <c r="J9" i="1"/>
  <c r="Y28" i="1"/>
  <c r="Y35" i="1"/>
  <c r="BN33" i="1"/>
  <c r="Y41" i="1"/>
  <c r="Y48" i="1"/>
  <c r="Z48" i="1"/>
  <c r="BN46" i="1"/>
  <c r="Z56" i="1"/>
  <c r="BN60" i="1"/>
  <c r="BP60" i="1"/>
  <c r="Y61" i="1"/>
  <c r="BN64" i="1"/>
  <c r="BP64" i="1"/>
  <c r="Y65" i="1"/>
  <c r="Z70" i="1"/>
  <c r="BN68" i="1"/>
  <c r="BP68" i="1"/>
  <c r="Y83" i="1"/>
  <c r="BN81" i="1"/>
  <c r="Y93" i="1"/>
  <c r="Y104" i="1"/>
  <c r="BN98" i="1"/>
  <c r="BN100" i="1"/>
  <c r="BN102" i="1"/>
  <c r="Y109" i="1"/>
  <c r="Y122" i="1"/>
  <c r="BN114" i="1"/>
  <c r="BN116" i="1"/>
  <c r="BN118" i="1"/>
  <c r="BN120" i="1"/>
  <c r="Y135" i="1"/>
  <c r="Y142" i="1"/>
  <c r="BN140" i="1"/>
  <c r="BN173" i="1"/>
  <c r="Y183" i="1"/>
  <c r="BN220" i="1"/>
  <c r="BP220" i="1"/>
  <c r="Y221" i="1"/>
  <c r="BN226" i="1"/>
  <c r="BP226" i="1"/>
  <c r="Y227" i="1"/>
  <c r="BN232" i="1"/>
  <c r="BP232" i="1"/>
  <c r="Y233" i="1"/>
  <c r="BN236" i="1"/>
  <c r="BP236" i="1"/>
  <c r="Y237" i="1"/>
  <c r="Z244" i="1"/>
  <c r="BN242" i="1"/>
  <c r="Z249" i="1"/>
  <c r="Z255" i="1"/>
  <c r="BN252" i="1"/>
  <c r="BP252" i="1"/>
  <c r="BN254" i="1"/>
  <c r="Y268" i="1"/>
  <c r="Y269" i="1"/>
  <c r="Y29" i="1"/>
  <c r="Y34" i="1"/>
  <c r="Y42" i="1"/>
  <c r="Y49" i="1"/>
  <c r="Y56" i="1"/>
  <c r="Y71" i="1"/>
  <c r="Y77" i="1"/>
  <c r="Y82" i="1"/>
  <c r="Y94" i="1"/>
  <c r="Y103" i="1"/>
  <c r="Y110" i="1"/>
  <c r="Y121" i="1"/>
  <c r="Y136" i="1"/>
  <c r="Y141" i="1"/>
  <c r="BP146" i="1"/>
  <c r="BN146" i="1"/>
  <c r="Y157" i="1"/>
  <c r="BP156" i="1"/>
  <c r="BN156" i="1"/>
  <c r="Y167" i="1"/>
  <c r="BP166" i="1"/>
  <c r="BN166" i="1"/>
  <c r="Y192" i="1"/>
  <c r="BP191" i="1"/>
  <c r="BN191" i="1"/>
  <c r="Y205" i="1"/>
  <c r="BP204" i="1"/>
  <c r="BN204" i="1"/>
  <c r="Y216" i="1"/>
  <c r="BP213" i="1"/>
  <c r="BN213" i="1"/>
  <c r="Y215" i="1"/>
  <c r="BP243" i="1"/>
  <c r="BN243" i="1"/>
  <c r="H9" i="1"/>
  <c r="X271" i="1"/>
  <c r="X272" i="1"/>
  <c r="BN23" i="1"/>
  <c r="BN25" i="1"/>
  <c r="BN27" i="1"/>
  <c r="X270" i="1"/>
  <c r="BN32" i="1"/>
  <c r="BP32" i="1"/>
  <c r="BN40" i="1"/>
  <c r="BN45" i="1"/>
  <c r="BP45" i="1"/>
  <c r="BN47" i="1"/>
  <c r="BN52" i="1"/>
  <c r="BP52" i="1"/>
  <c r="BN54" i="1"/>
  <c r="BN69" i="1"/>
  <c r="BN73" i="1"/>
  <c r="BP73" i="1"/>
  <c r="BN75" i="1"/>
  <c r="BN80" i="1"/>
  <c r="BP80" i="1"/>
  <c r="BN92" i="1"/>
  <c r="BN97" i="1"/>
  <c r="BP97" i="1"/>
  <c r="BN99" i="1"/>
  <c r="BN101" i="1"/>
  <c r="BN108" i="1"/>
  <c r="BN113" i="1"/>
  <c r="BP113" i="1"/>
  <c r="BN115" i="1"/>
  <c r="BN117" i="1"/>
  <c r="BN119" i="1"/>
  <c r="BN134" i="1"/>
  <c r="Z141" i="1"/>
  <c r="Z275" i="1" s="1"/>
  <c r="BN139" i="1"/>
  <c r="BP139" i="1"/>
  <c r="Y147" i="1"/>
  <c r="Y148" i="1"/>
  <c r="Y152" i="1"/>
  <c r="BP151" i="1"/>
  <c r="BN151" i="1"/>
  <c r="Y158" i="1"/>
  <c r="Y162" i="1"/>
  <c r="BP161" i="1"/>
  <c r="BN161" i="1"/>
  <c r="Y168" i="1"/>
  <c r="Y175" i="1"/>
  <c r="BP172" i="1"/>
  <c r="BN172" i="1"/>
  <c r="Y174" i="1"/>
  <c r="BP180" i="1"/>
  <c r="BN180" i="1"/>
  <c r="Y182" i="1"/>
  <c r="Y186" i="1"/>
  <c r="BP185" i="1"/>
  <c r="BN185" i="1"/>
  <c r="Y193" i="1"/>
  <c r="Y200" i="1"/>
  <c r="BP195" i="1"/>
  <c r="BN195" i="1"/>
  <c r="BP197" i="1"/>
  <c r="BN197" i="1"/>
  <c r="BP199" i="1"/>
  <c r="BN199" i="1"/>
  <c r="Y206" i="1"/>
  <c r="Y210" i="1"/>
  <c r="BP209" i="1"/>
  <c r="BN209" i="1"/>
  <c r="Z215" i="1"/>
  <c r="Y244" i="1"/>
  <c r="Y245" i="1"/>
  <c r="Y250" i="1"/>
  <c r="BP247" i="1"/>
  <c r="BN247" i="1"/>
  <c r="Y249" i="1"/>
  <c r="BP253" i="1"/>
  <c r="BN253" i="1"/>
  <c r="Y255" i="1"/>
  <c r="BP259" i="1"/>
  <c r="BN259" i="1"/>
  <c r="BP261" i="1"/>
  <c r="BN261" i="1"/>
  <c r="BP263" i="1"/>
  <c r="BN263" i="1"/>
  <c r="BP265" i="1"/>
  <c r="BN265" i="1"/>
  <c r="BP267" i="1"/>
  <c r="BN267" i="1"/>
  <c r="Y272" i="1" l="1"/>
  <c r="Y271" i="1"/>
  <c r="Y273" i="1" s="1"/>
  <c r="Y274" i="1"/>
  <c r="X273" i="1"/>
  <c r="A283" i="1"/>
  <c r="Y270" i="1"/>
  <c r="B283" i="1" s="1"/>
  <c r="C283" i="1" l="1"/>
</calcChain>
</file>

<file path=xl/sharedStrings.xml><?xml version="1.0" encoding="utf-8"?>
<sst xmlns="http://schemas.openxmlformats.org/spreadsheetml/2006/main" count="1223" uniqueCount="395">
  <si>
    <t xml:space="preserve">  БЛАНК ЗАКАЗА </t>
  </si>
  <si>
    <t>ЗПФ</t>
  </si>
  <si>
    <t>на отгрузку продукции с ООО Трейд-Сервис с</t>
  </si>
  <si>
    <t>03.12.2025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</si>
  <si>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</si>
  <si>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</si>
  <si>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</si>
  <si>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</si>
  <si>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</si>
  <si>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</si>
  <si>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</si>
  <si>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</si>
  <si>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</si>
  <si>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</si>
  <si>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</si>
  <si>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</si>
  <si>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</si>
  <si>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</si>
  <si>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</si>
  <si>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</si>
  <si>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</si>
  <si>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</si>
  <si>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</si>
  <si>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</si>
  <si>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</si>
  <si>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</si>
  <si>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</si>
  <si>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</si>
  <si>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</si>
  <si>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</si>
  <si>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</si>
  <si>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</si>
  <si>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</si>
  <si>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</si>
  <si>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</si>
  <si>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</si>
  <si>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</si>
  <si>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</si>
  <si>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</si>
  <si>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</si>
  <si>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</si>
  <si>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</si>
  <si>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</si>
  <si>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</si>
  <si>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</si>
  <si>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</si>
  <si>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</si>
  <si>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</si>
  <si>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</si>
  <si>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</si>
  <si>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</si>
  <si>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</si>
  <si>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</si>
  <si>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</si>
  <si>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</si>
  <si>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</si>
  <si>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</si>
  <si>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</si>
  <si>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</si>
  <si>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</si>
  <si>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</si>
  <si>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</si>
  <si>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</si>
  <si>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</si>
  <si>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</si>
  <si>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</si>
  <si>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</si>
  <si>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</si>
  <si>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</si>
  <si>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</si>
  <si>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</si>
  <si>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</si>
  <si>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</si>
  <si>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</si>
  <si>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</si>
  <si>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</si>
  <si>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</si>
  <si>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</si>
  <si>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</si>
  <si>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</si>
  <si>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</si>
  <si>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</si>
  <si>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</si>
  <si>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</si>
  <si>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</si>
  <si>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</si>
  <si>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</si>
  <si>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</si>
  <si>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</si>
  <si>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</si>
  <si>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</si>
  <si>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</si>
  <si>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</si>
  <si>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</si>
  <si>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</si>
  <si>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</si>
  <si>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</si>
  <si>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</si>
  <si>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</si>
  <si>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</si>
  <si>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</si>
  <si>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</si>
  <si>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</si>
  <si>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</si>
  <si>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</si>
  <si>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</si>
  <si>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</si>
  <si>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</si>
  <si>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</si>
  <si>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</si>
  <si>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</si>
  <si>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</si>
  <si>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</si>
  <si>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</si>
  <si>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</si>
  <si>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</si>
  <si>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</si>
  <si>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</si>
  <si>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</si>
  <si>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</si>
  <si>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</si>
  <si>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</si>
  <si>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</si>
  <si>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</si>
  <si>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</si>
  <si>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</si>
  <si>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</si>
  <si>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</si>
  <si>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</si>
  <si>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</si>
  <si>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</si>
  <si>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</si>
  <si>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</si>
  <si>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</si>
  <si>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</si>
  <si>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</si>
  <si>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</si>
  <si>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</si>
  <si>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</si>
  <si>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</si>
  <si>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</si>
  <si>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</si>
  <si>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</si>
  <si>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</si>
  <si>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</si>
  <si>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</si>
  <si>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</si>
  <si>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</si>
  <si>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</si>
  <si>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</si>
  <si>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</si>
  <si>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</si>
  <si>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</si>
  <si>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</si>
  <si>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</si>
  <si>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</si>
  <si>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</si>
  <si>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</si>
  <si>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</si>
  <si>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</si>
  <si>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</si>
  <si>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</si>
  <si>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</si>
  <si>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</si>
  <si>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</si>
  <si>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</si>
  <si>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</si>
  <si>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</si>
  <si>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</si>
  <si>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</si>
  <si>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</si>
  <si>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</si>
  <si>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</si>
  <si>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</si>
  <si>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</si>
  <si>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</si>
  <si>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</si>
  <si>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</si>
  <si>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</si>
  <si>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</si>
  <si>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</si>
  <si>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</si>
  <si>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</si>
  <si>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</si>
  <si>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</si>
  <si>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SU004078</t>
  </si>
  <si>
    <t>P005209</t>
  </si>
  <si>
    <t>Новинка</t>
  </si>
  <si>
    <t>ЕАЭС N RU Д-RU.РА09.В.66275/25</t>
  </si>
  <si>
    <t>SU003717</t>
  </si>
  <si>
    <t>P004819</t>
  </si>
  <si>
    <t>ЕАЭС N RU Д-RU.РА01.В.70735/25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</si>
  <si>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</si>
  <si>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</si>
  <si>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</si>
  <si>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</si>
  <si>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</si>
  <si>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</si>
  <si>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</si>
  <si>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</si>
  <si>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</si>
  <si>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</si>
  <si>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</si>
  <si>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SU002864</t>
  </si>
  <si>
    <t>P003688</t>
  </si>
  <si>
    <t>ЕАЭС N RU Д-RU.РА08.В.95149/22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</si>
  <si>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</si>
  <si>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</si>
  <si>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</si>
  <si>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</si>
  <si>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</si>
  <si>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</si>
  <si>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</si>
  <si>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</si>
  <si>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</si>
  <si>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</si>
  <si>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</si>
  <si>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</si>
  <si>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</si>
  <si>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Палетта, мин. 1</t>
  </si>
  <si>
    <t>Палетта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</si>
  <si>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</si>
  <si>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</si>
  <si>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</si>
  <si>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</si>
  <si>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</si>
  <si>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</si>
  <si>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</si>
  <si>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</si>
  <si>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</si>
  <si>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</si>
  <si>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</si>
  <si>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</si>
  <si>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</si>
  <si>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</si>
  <si>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</si>
  <si>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</si>
  <si>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</si>
  <si>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</si>
  <si>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</si>
  <si>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</si>
  <si>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</si>
  <si>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</si>
  <si>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</si>
  <si>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</si>
  <si>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</si>
  <si>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</si>
  <si>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</si>
  <si>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</si>
  <si>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</si>
  <si>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</si>
  <si>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</si>
  <si>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</si>
  <si>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</si>
  <si>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</si>
  <si>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</si>
  <si>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</si>
  <si>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</si>
  <si>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</si>
  <si>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</si>
  <si>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</si>
  <si>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</si>
  <si>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</si>
  <si>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</si>
  <si>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</si>
  <si>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</si>
  <si>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</si>
  <si>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</si>
  <si>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</si>
  <si>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</si>
  <si>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</si>
  <si>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</si>
  <si>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</si>
  <si>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</si>
  <si>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</si>
  <si>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</si>
  <si>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</si>
  <si>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</si>
  <si>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</si>
  <si>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</si>
  <si>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</si>
  <si>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</si>
  <si>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</si>
  <si>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</si>
  <si>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</si>
  <si>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</si>
  <si>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</si>
  <si>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</si>
  <si>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</si>
  <si>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</si>
  <si>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</si>
  <si>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</si>
  <si>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</si>
  <si>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</si>
  <si>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</si>
  <si>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</si>
  <si>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</si>
  <si>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</si>
  <si>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</si>
  <si>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</si>
  <si>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SU003841</t>
  </si>
  <si>
    <t>P004905</t>
  </si>
  <si>
    <t>ЕАЭС N RU Д-RU.РА10.В.54690/24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</si>
  <si>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</si>
  <si>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</si>
  <si>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</si>
  <si>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</si>
  <si>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</si>
  <si>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</si>
  <si>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</si>
  <si>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</si>
  <si>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</si>
  <si>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</si>
  <si>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</si>
  <si>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</si>
  <si>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</si>
  <si>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</si>
  <si>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</si>
  <si>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</si>
  <si>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</si>
  <si>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</si>
  <si>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</si>
  <si>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</si>
  <si>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</si>
  <si>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</si>
  <si>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</si>
  <si>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</si>
  <si>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</si>
  <si>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</si>
  <si>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</si>
  <si>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</si>
  <si>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</si>
  <si>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</si>
  <si>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</si>
  <si>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SU003381</t>
  </si>
  <si>
    <t>P004190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</si>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</sst>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4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5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4" fillId="26" borderId="0" xfId="0" applyFont="1" applyFill="1" applyAlignment="1" applyProtection="1">
      <alignment horizontal="center"/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80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3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5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31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59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86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6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08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0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196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0" fillId="24" borderId="27" xfId="0" applyFill="1" applyBorder="1" applyAlignment="1" applyProtection="1">
      <alignment horizontal="center"/>
      <protection hidden="1"/>
    </xf>
    <xf numFmtId="0" fontId="277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3"/>
  <sheetViews>
    <sheetView showGridLines="0" tabSelected="1" topLeftCell="A192" zoomScaleNormal="100" zoomScaleSheetLayoutView="100" workbookViewId="0">
      <selection activeCell="AA24" sqref="AA24"/>
    </sheetView>
  </sheetViews>
  <sheetFormatPr defaultColWidth="9.140625" defaultRowHeight="12.75" x14ac:dyDescent="0.2"/>
  <cols>
    <col min="1" max="1" width="9.140625" style="26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66" customWidth="1"/>
    <col min="19" max="19" width="6.140625" style="26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66" customWidth="1"/>
    <col min="25" max="25" width="11" style="266" customWidth="1"/>
    <col min="26" max="26" width="10" style="266" customWidth="1"/>
    <col min="27" max="27" width="11.5703125" style="266" customWidth="1"/>
    <col min="28" max="28" width="10.42578125" style="266" customWidth="1"/>
    <col min="29" max="29" width="30" style="26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66" customWidth="1"/>
    <col min="34" max="34" width="9.140625" style="266" customWidth="1"/>
    <col min="35" max="16384" width="9.140625" style="266"/>
  </cols>
  <sheetData>
    <row r="1" spans="1:32" s="262" customFormat="1" ht="45" customHeight="1" x14ac:dyDescent="0.2">
      <c r="A1" s="41"/>
      <c r="B1" s="41"/>
      <c r="C1" s="41"/>
      <c r="D1" s="328" t="s">
        <v>0</v>
      </c>
      <c r="E1" s="305"/>
      <c r="F1" s="305"/>
      <c r="G1" s="12" t="s">
        <v>1</v>
      </c>
      <c r="H1" s="328" t="s">
        <v>2</v>
      </c>
      <c r="I1" s="305"/>
      <c r="J1" s="305"/>
      <c r="K1" s="305"/>
      <c r="L1" s="305"/>
      <c r="M1" s="305"/>
      <c r="N1" s="305"/>
      <c r="O1" s="305"/>
      <c r="P1" s="305"/>
      <c r="Q1" s="305"/>
      <c r="R1" s="304" t="s">
        <v>3</v>
      </c>
      <c r="S1" s="305"/>
      <c r="T1" s="30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2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1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75"/>
      <c r="R2" s="275"/>
      <c r="S2" s="275"/>
      <c r="T2" s="275"/>
      <c r="U2" s="275"/>
      <c r="V2" s="275"/>
      <c r="W2" s="275"/>
      <c r="X2" s="16"/>
      <c r="Y2" s="16"/>
      <c r="Z2" s="16"/>
      <c r="AA2" s="16"/>
      <c r="AB2" s="51"/>
      <c r="AC2" s="51"/>
      <c r="AD2" s="51"/>
      <c r="AE2" s="51"/>
    </row>
    <row r="3" spans="1:32" s="262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75"/>
      <c r="Q3" s="275"/>
      <c r="R3" s="275"/>
      <c r="S3" s="275"/>
      <c r="T3" s="275"/>
      <c r="U3" s="275"/>
      <c r="V3" s="275"/>
      <c r="W3" s="275"/>
      <c r="X3" s="16"/>
      <c r="Y3" s="16"/>
      <c r="Z3" s="16"/>
      <c r="AA3" s="16"/>
      <c r="AB3" s="51"/>
      <c r="AC3" s="51"/>
      <c r="AD3" s="51"/>
      <c r="AE3" s="51"/>
    </row>
    <row r="4" spans="1:32" s="26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2" customFormat="1" ht="23.45" customHeight="1" x14ac:dyDescent="0.2">
      <c r="A5" s="343" t="s">
        <v>7</v>
      </c>
      <c r="B5" s="278"/>
      <c r="C5" s="279"/>
      <c r="D5" s="332"/>
      <c r="E5" s="333"/>
      <c r="F5" s="437" t="s">
        <v>8</v>
      </c>
      <c r="G5" s="279"/>
      <c r="H5" s="332" t="s">
        <v>394</v>
      </c>
      <c r="I5" s="410"/>
      <c r="J5" s="410"/>
      <c r="K5" s="410"/>
      <c r="L5" s="410"/>
      <c r="M5" s="333"/>
      <c r="N5" s="61"/>
      <c r="P5" s="24" t="s">
        <v>9</v>
      </c>
      <c r="Q5" s="429">
        <v>46013</v>
      </c>
      <c r="R5" s="349"/>
      <c r="T5" s="369" t="s">
        <v>10</v>
      </c>
      <c r="U5" s="370"/>
      <c r="V5" s="371" t="s">
        <v>11</v>
      </c>
      <c r="W5" s="349"/>
      <c r="AB5" s="51"/>
      <c r="AC5" s="51"/>
      <c r="AD5" s="51"/>
      <c r="AE5" s="51"/>
    </row>
    <row r="6" spans="1:32" s="262" customFormat="1" ht="24" customHeight="1" x14ac:dyDescent="0.2">
      <c r="A6" s="343" t="s">
        <v>12</v>
      </c>
      <c r="B6" s="278"/>
      <c r="C6" s="279"/>
      <c r="D6" s="412" t="s">
        <v>13</v>
      </c>
      <c r="E6" s="413"/>
      <c r="F6" s="413"/>
      <c r="G6" s="413"/>
      <c r="H6" s="413"/>
      <c r="I6" s="413"/>
      <c r="J6" s="413"/>
      <c r="K6" s="413"/>
      <c r="L6" s="413"/>
      <c r="M6" s="349"/>
      <c r="N6" s="62"/>
      <c r="P6" s="24" t="s">
        <v>14</v>
      </c>
      <c r="Q6" s="442" t="str">
        <f>IF(Q5=0," ",CHOOSE(WEEKDAY(Q5,2),"Понедельник","Вторник","Среда","Четверг","Пятница","Суббота","Воскресенье"))</f>
        <v>Понедельник</v>
      </c>
      <c r="R6" s="290"/>
      <c r="T6" s="375" t="s">
        <v>15</v>
      </c>
      <c r="U6" s="370"/>
      <c r="V6" s="388" t="s">
        <v>16</v>
      </c>
      <c r="W6" s="309"/>
      <c r="AB6" s="51"/>
      <c r="AC6" s="51"/>
      <c r="AD6" s="51"/>
      <c r="AE6" s="51"/>
    </row>
    <row r="7" spans="1:32" s="262" customFormat="1" ht="21.75" hidden="1" customHeight="1" x14ac:dyDescent="0.2">
      <c r="A7" s="55"/>
      <c r="B7" s="55"/>
      <c r="C7" s="55"/>
      <c r="D7" s="312" t="str">
        <f>IFERROR(VLOOKUP(DeliveryAddress,Table,3,0),1)</f>
        <v>1</v>
      </c>
      <c r="E7" s="313"/>
      <c r="F7" s="313"/>
      <c r="G7" s="313"/>
      <c r="H7" s="313"/>
      <c r="I7" s="313"/>
      <c r="J7" s="313"/>
      <c r="K7" s="313"/>
      <c r="L7" s="313"/>
      <c r="M7" s="314"/>
      <c r="N7" s="63"/>
      <c r="P7" s="24"/>
      <c r="Q7" s="42"/>
      <c r="R7" s="42"/>
      <c r="T7" s="275"/>
      <c r="U7" s="370"/>
      <c r="V7" s="389"/>
      <c r="W7" s="390"/>
      <c r="AB7" s="51"/>
      <c r="AC7" s="51"/>
      <c r="AD7" s="51"/>
      <c r="AE7" s="51"/>
    </row>
    <row r="8" spans="1:32" s="262" customFormat="1" ht="25.5" customHeight="1" x14ac:dyDescent="0.2">
      <c r="A8" s="447" t="s">
        <v>17</v>
      </c>
      <c r="B8" s="281"/>
      <c r="C8" s="282"/>
      <c r="D8" s="320" t="s">
        <v>18</v>
      </c>
      <c r="E8" s="321"/>
      <c r="F8" s="321"/>
      <c r="G8" s="321"/>
      <c r="H8" s="321"/>
      <c r="I8" s="321"/>
      <c r="J8" s="321"/>
      <c r="K8" s="321"/>
      <c r="L8" s="321"/>
      <c r="M8" s="322"/>
      <c r="N8" s="64"/>
      <c r="P8" s="24" t="s">
        <v>19</v>
      </c>
      <c r="Q8" s="354">
        <v>0.54166666666666663</v>
      </c>
      <c r="R8" s="314"/>
      <c r="T8" s="275"/>
      <c r="U8" s="370"/>
      <c r="V8" s="389"/>
      <c r="W8" s="390"/>
      <c r="AB8" s="51"/>
      <c r="AC8" s="51"/>
      <c r="AD8" s="51"/>
      <c r="AE8" s="51"/>
    </row>
    <row r="9" spans="1:32" s="262" customFormat="1" ht="39.950000000000003" customHeight="1" x14ac:dyDescent="0.2">
      <c r="A9" s="2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75"/>
      <c r="C9" s="275"/>
      <c r="D9" s="344"/>
      <c r="E9" s="345"/>
      <c r="F9" s="2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75"/>
      <c r="H9" s="357" t="str">
        <f>IF(AND($A$9="Тип доверенности/получателя при получении в адресе перегруза:",$D$9="Разовая доверенность"),"Введите ФИО","")</f>
        <v/>
      </c>
      <c r="I9" s="345"/>
      <c r="J9" s="3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45"/>
      <c r="L9" s="345"/>
      <c r="M9" s="345"/>
      <c r="N9" s="260"/>
      <c r="P9" s="26" t="s">
        <v>20</v>
      </c>
      <c r="Q9" s="346"/>
      <c r="R9" s="347"/>
      <c r="T9" s="275"/>
      <c r="U9" s="370"/>
      <c r="V9" s="391"/>
      <c r="W9" s="392"/>
      <c r="X9" s="43"/>
      <c r="Y9" s="43"/>
      <c r="Z9" s="43"/>
      <c r="AA9" s="43"/>
      <c r="AB9" s="51"/>
      <c r="AC9" s="51"/>
      <c r="AD9" s="51"/>
      <c r="AE9" s="51"/>
    </row>
    <row r="10" spans="1:32" s="262" customFormat="1" ht="26.45" customHeight="1" x14ac:dyDescent="0.2">
      <c r="A10" s="2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75"/>
      <c r="C10" s="275"/>
      <c r="D10" s="344"/>
      <c r="E10" s="345"/>
      <c r="F10" s="2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75"/>
      <c r="H10" s="401" t="str">
        <f>IFERROR(VLOOKUP($D$10,Proxy,2,FALSE),"")</f>
        <v/>
      </c>
      <c r="I10" s="275"/>
      <c r="J10" s="275"/>
      <c r="K10" s="275"/>
      <c r="L10" s="275"/>
      <c r="M10" s="275"/>
      <c r="N10" s="261"/>
      <c r="P10" s="26" t="s">
        <v>21</v>
      </c>
      <c r="Q10" s="376"/>
      <c r="R10" s="377"/>
      <c r="U10" s="24" t="s">
        <v>22</v>
      </c>
      <c r="V10" s="308" t="s">
        <v>23</v>
      </c>
      <c r="W10" s="309"/>
      <c r="X10" s="44"/>
      <c r="Y10" s="44"/>
      <c r="Z10" s="44"/>
      <c r="AA10" s="44"/>
      <c r="AB10" s="51"/>
      <c r="AC10" s="51"/>
      <c r="AD10" s="51"/>
      <c r="AE10" s="51"/>
    </row>
    <row r="11" spans="1:32" s="262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348"/>
      <c r="R11" s="349"/>
      <c r="U11" s="24" t="s">
        <v>26</v>
      </c>
      <c r="V11" s="426" t="s">
        <v>27</v>
      </c>
      <c r="W11" s="347"/>
      <c r="X11" s="45"/>
      <c r="Y11" s="45"/>
      <c r="Z11" s="45"/>
      <c r="AA11" s="45"/>
      <c r="AB11" s="51"/>
      <c r="AC11" s="51"/>
      <c r="AD11" s="51"/>
      <c r="AE11" s="51"/>
    </row>
    <row r="12" spans="1:32" s="262" customFormat="1" ht="18.600000000000001" customHeight="1" x14ac:dyDescent="0.2">
      <c r="A12" s="277" t="s">
        <v>28</v>
      </c>
      <c r="B12" s="278"/>
      <c r="C12" s="278"/>
      <c r="D12" s="278"/>
      <c r="E12" s="278"/>
      <c r="F12" s="278"/>
      <c r="G12" s="278"/>
      <c r="H12" s="278"/>
      <c r="I12" s="278"/>
      <c r="J12" s="278"/>
      <c r="K12" s="278"/>
      <c r="L12" s="278"/>
      <c r="M12" s="279"/>
      <c r="N12" s="65"/>
      <c r="P12" s="24" t="s">
        <v>29</v>
      </c>
      <c r="Q12" s="354"/>
      <c r="R12" s="314"/>
      <c r="S12" s="23"/>
      <c r="U12" s="24"/>
      <c r="V12" s="305"/>
      <c r="W12" s="275"/>
      <c r="AB12" s="51"/>
      <c r="AC12" s="51"/>
      <c r="AD12" s="51"/>
      <c r="AE12" s="51"/>
    </row>
    <row r="13" spans="1:32" s="262" customFormat="1" ht="23.25" customHeight="1" x14ac:dyDescent="0.2">
      <c r="A13" s="277" t="s">
        <v>30</v>
      </c>
      <c r="B13" s="278"/>
      <c r="C13" s="278"/>
      <c r="D13" s="278"/>
      <c r="E13" s="278"/>
      <c r="F13" s="278"/>
      <c r="G13" s="278"/>
      <c r="H13" s="278"/>
      <c r="I13" s="278"/>
      <c r="J13" s="278"/>
      <c r="K13" s="278"/>
      <c r="L13" s="278"/>
      <c r="M13" s="279"/>
      <c r="N13" s="65"/>
      <c r="O13" s="26"/>
      <c r="P13" s="26" t="s">
        <v>31</v>
      </c>
      <c r="Q13" s="426"/>
      <c r="R13" s="347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2" customFormat="1" ht="18.600000000000001" customHeight="1" x14ac:dyDescent="0.2">
      <c r="A14" s="277" t="s">
        <v>32</v>
      </c>
      <c r="B14" s="278"/>
      <c r="C14" s="278"/>
      <c r="D14" s="278"/>
      <c r="E14" s="278"/>
      <c r="F14" s="278"/>
      <c r="G14" s="278"/>
      <c r="H14" s="278"/>
      <c r="I14" s="278"/>
      <c r="J14" s="278"/>
      <c r="K14" s="278"/>
      <c r="L14" s="278"/>
      <c r="M14" s="279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2" customFormat="1" ht="22.5" customHeight="1" x14ac:dyDescent="0.2">
      <c r="A15" s="384" t="s">
        <v>33</v>
      </c>
      <c r="B15" s="278"/>
      <c r="C15" s="278"/>
      <c r="D15" s="278"/>
      <c r="E15" s="278"/>
      <c r="F15" s="278"/>
      <c r="G15" s="278"/>
      <c r="H15" s="278"/>
      <c r="I15" s="278"/>
      <c r="J15" s="278"/>
      <c r="K15" s="278"/>
      <c r="L15" s="278"/>
      <c r="M15" s="279"/>
      <c r="N15" s="66"/>
      <c r="P15" s="363" t="s">
        <v>34</v>
      </c>
      <c r="Q15" s="305"/>
      <c r="R15" s="305"/>
      <c r="S15" s="305"/>
      <c r="T15" s="30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4"/>
      <c r="Q16" s="364"/>
      <c r="R16" s="364"/>
      <c r="S16" s="364"/>
      <c r="T16" s="36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72" t="s">
        <v>35</v>
      </c>
      <c r="B17" s="272" t="s">
        <v>36</v>
      </c>
      <c r="C17" s="358" t="s">
        <v>37</v>
      </c>
      <c r="D17" s="272" t="s">
        <v>38</v>
      </c>
      <c r="E17" s="338"/>
      <c r="F17" s="272" t="s">
        <v>39</v>
      </c>
      <c r="G17" s="272" t="s">
        <v>40</v>
      </c>
      <c r="H17" s="272" t="s">
        <v>41</v>
      </c>
      <c r="I17" s="272" t="s">
        <v>42</v>
      </c>
      <c r="J17" s="272" t="s">
        <v>43</v>
      </c>
      <c r="K17" s="272" t="s">
        <v>44</v>
      </c>
      <c r="L17" s="272" t="s">
        <v>45</v>
      </c>
      <c r="M17" s="272" t="s">
        <v>46</v>
      </c>
      <c r="N17" s="272" t="s">
        <v>47</v>
      </c>
      <c r="O17" s="272" t="s">
        <v>48</v>
      </c>
      <c r="P17" s="272" t="s">
        <v>49</v>
      </c>
      <c r="Q17" s="337"/>
      <c r="R17" s="337"/>
      <c r="S17" s="337"/>
      <c r="T17" s="338"/>
      <c r="U17" s="452" t="s">
        <v>50</v>
      </c>
      <c r="V17" s="279"/>
      <c r="W17" s="272" t="s">
        <v>51</v>
      </c>
      <c r="X17" s="272" t="s">
        <v>52</v>
      </c>
      <c r="Y17" s="453" t="s">
        <v>53</v>
      </c>
      <c r="Z17" s="408" t="s">
        <v>54</v>
      </c>
      <c r="AA17" s="399" t="s">
        <v>55</v>
      </c>
      <c r="AB17" s="399" t="s">
        <v>56</v>
      </c>
      <c r="AC17" s="399" t="s">
        <v>57</v>
      </c>
      <c r="AD17" s="399" t="s">
        <v>58</v>
      </c>
      <c r="AE17" s="432"/>
      <c r="AF17" s="433"/>
      <c r="AG17" s="69"/>
      <c r="BD17" s="68" t="s">
        <v>59</v>
      </c>
    </row>
    <row r="18" spans="1:68" ht="14.25" customHeight="1" x14ac:dyDescent="0.2">
      <c r="A18" s="273"/>
      <c r="B18" s="273"/>
      <c r="C18" s="273"/>
      <c r="D18" s="339"/>
      <c r="E18" s="341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339"/>
      <c r="Q18" s="340"/>
      <c r="R18" s="340"/>
      <c r="S18" s="340"/>
      <c r="T18" s="341"/>
      <c r="U18" s="70" t="s">
        <v>60</v>
      </c>
      <c r="V18" s="70" t="s">
        <v>61</v>
      </c>
      <c r="W18" s="273"/>
      <c r="X18" s="273"/>
      <c r="Y18" s="454"/>
      <c r="Z18" s="409"/>
      <c r="AA18" s="400"/>
      <c r="AB18" s="400"/>
      <c r="AC18" s="400"/>
      <c r="AD18" s="434"/>
      <c r="AE18" s="435"/>
      <c r="AF18" s="436"/>
      <c r="AG18" s="69"/>
      <c r="BD18" s="68"/>
    </row>
    <row r="19" spans="1:68" ht="27.75" hidden="1" customHeight="1" x14ac:dyDescent="0.2">
      <c r="A19" s="286" t="s">
        <v>62</v>
      </c>
      <c r="B19" s="287"/>
      <c r="C19" s="287"/>
      <c r="D19" s="287"/>
      <c r="E19" s="287"/>
      <c r="F19" s="287"/>
      <c r="G19" s="287"/>
      <c r="H19" s="287"/>
      <c r="I19" s="287"/>
      <c r="J19" s="287"/>
      <c r="K19" s="287"/>
      <c r="L19" s="287"/>
      <c r="M19" s="287"/>
      <c r="N19" s="287"/>
      <c r="O19" s="287"/>
      <c r="P19" s="287"/>
      <c r="Q19" s="287"/>
      <c r="R19" s="287"/>
      <c r="S19" s="287"/>
      <c r="T19" s="287"/>
      <c r="U19" s="287"/>
      <c r="V19" s="287"/>
      <c r="W19" s="287"/>
      <c r="X19" s="287"/>
      <c r="Y19" s="287"/>
      <c r="Z19" s="287"/>
      <c r="AA19" s="48"/>
      <c r="AB19" s="48"/>
      <c r="AC19" s="48"/>
    </row>
    <row r="20" spans="1:68" ht="16.5" hidden="1" customHeight="1" x14ac:dyDescent="0.25">
      <c r="A20" s="288" t="s">
        <v>62</v>
      </c>
      <c r="B20" s="275"/>
      <c r="C20" s="275"/>
      <c r="D20" s="275"/>
      <c r="E20" s="275"/>
      <c r="F20" s="275"/>
      <c r="G20" s="275"/>
      <c r="H20" s="275"/>
      <c r="I20" s="275"/>
      <c r="J20" s="275"/>
      <c r="K20" s="275"/>
      <c r="L20" s="275"/>
      <c r="M20" s="275"/>
      <c r="N20" s="275"/>
      <c r="O20" s="275"/>
      <c r="P20" s="275"/>
      <c r="Q20" s="275"/>
      <c r="R20" s="275"/>
      <c r="S20" s="275"/>
      <c r="T20" s="275"/>
      <c r="U20" s="275"/>
      <c r="V20" s="275"/>
      <c r="W20" s="275"/>
      <c r="X20" s="275"/>
      <c r="Y20" s="275"/>
      <c r="Z20" s="275"/>
      <c r="AA20" s="263"/>
      <c r="AB20" s="263"/>
      <c r="AC20" s="263"/>
    </row>
    <row r="21" spans="1:68" ht="14.25" hidden="1" customHeight="1" x14ac:dyDescent="0.25">
      <c r="A21" s="276" t="s">
        <v>63</v>
      </c>
      <c r="B21" s="275"/>
      <c r="C21" s="275"/>
      <c r="D21" s="275"/>
      <c r="E21" s="275"/>
      <c r="F21" s="275"/>
      <c r="G21" s="275"/>
      <c r="H21" s="275"/>
      <c r="I21" s="275"/>
      <c r="J21" s="275"/>
      <c r="K21" s="275"/>
      <c r="L21" s="275"/>
      <c r="M21" s="275"/>
      <c r="N21" s="275"/>
      <c r="O21" s="275"/>
      <c r="P21" s="275"/>
      <c r="Q21" s="275"/>
      <c r="R21" s="275"/>
      <c r="S21" s="275"/>
      <c r="T21" s="275"/>
      <c r="U21" s="275"/>
      <c r="V21" s="275"/>
      <c r="W21" s="275"/>
      <c r="X21" s="275"/>
      <c r="Y21" s="275"/>
      <c r="Z21" s="275"/>
      <c r="AA21" s="264"/>
      <c r="AB21" s="264"/>
      <c r="AC21" s="264"/>
    </row>
    <row r="22" spans="1:68" ht="27" hidden="1" customHeight="1" x14ac:dyDescent="0.25">
      <c r="A22" s="54" t="s">
        <v>64</v>
      </c>
      <c r="B22" s="54" t="s">
        <v>65</v>
      </c>
      <c r="C22" s="31">
        <v>4301071108</v>
      </c>
      <c r="D22" s="289">
        <v>4607111035912</v>
      </c>
      <c r="E22" s="290"/>
      <c r="F22" s="267">
        <v>0.43</v>
      </c>
      <c r="G22" s="32">
        <v>16</v>
      </c>
      <c r="H22" s="267">
        <v>6.88</v>
      </c>
      <c r="I22" s="267">
        <v>7.19</v>
      </c>
      <c r="J22" s="32">
        <v>84</v>
      </c>
      <c r="K22" s="32" t="s">
        <v>66</v>
      </c>
      <c r="L22" s="32" t="s">
        <v>67</v>
      </c>
      <c r="M22" s="33" t="s">
        <v>68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4"/>
      <c r="R22" s="284"/>
      <c r="S22" s="284"/>
      <c r="T22" s="285"/>
      <c r="U22" s="34"/>
      <c r="V22" s="34"/>
      <c r="W22" s="35" t="s">
        <v>69</v>
      </c>
      <c r="X22" s="268">
        <v>0</v>
      </c>
      <c r="Y22" s="269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70</v>
      </c>
      <c r="AG22" s="67"/>
      <c r="AJ22" s="71" t="s">
        <v>71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4301071110</v>
      </c>
      <c r="D23" s="289">
        <v>4607111035103</v>
      </c>
      <c r="E23" s="290"/>
      <c r="F23" s="267">
        <v>0.43</v>
      </c>
      <c r="G23" s="32">
        <v>16</v>
      </c>
      <c r="H23" s="267">
        <v>6.88</v>
      </c>
      <c r="I23" s="267">
        <v>7.19</v>
      </c>
      <c r="J23" s="32">
        <v>84</v>
      </c>
      <c r="K23" s="32" t="s">
        <v>66</v>
      </c>
      <c r="L23" s="32" t="s">
        <v>67</v>
      </c>
      <c r="M23" s="33" t="s">
        <v>68</v>
      </c>
      <c r="N23" s="33"/>
      <c r="O23" s="32">
        <v>180</v>
      </c>
      <c r="P23" s="36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4"/>
      <c r="R23" s="284"/>
      <c r="S23" s="284"/>
      <c r="T23" s="285"/>
      <c r="U23" s="34"/>
      <c r="V23" s="34"/>
      <c r="W23" s="35" t="s">
        <v>69</v>
      </c>
      <c r="X23" s="268">
        <v>0</v>
      </c>
      <c r="Y23" s="269">
        <f t="shared" si="0"/>
        <v>0</v>
      </c>
      <c r="Z23" s="36">
        <f t="shared" si="1"/>
        <v>0</v>
      </c>
      <c r="AA23" s="56"/>
      <c r="AB23" s="57"/>
      <c r="AC23" s="74" t="s">
        <v>70</v>
      </c>
      <c r="AG23" s="67"/>
      <c r="AJ23" s="71" t="s">
        <v>71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customHeight="1" x14ac:dyDescent="0.25">
      <c r="A24" s="54" t="s">
        <v>74</v>
      </c>
      <c r="B24" s="54" t="s">
        <v>75</v>
      </c>
      <c r="C24" s="31">
        <v>4301071109</v>
      </c>
      <c r="D24" s="289">
        <v>4607111035929</v>
      </c>
      <c r="E24" s="290"/>
      <c r="F24" s="267">
        <v>0.9</v>
      </c>
      <c r="G24" s="32">
        <v>8</v>
      </c>
      <c r="H24" s="267">
        <v>7.2</v>
      </c>
      <c r="I24" s="267">
        <v>7.47</v>
      </c>
      <c r="J24" s="32">
        <v>84</v>
      </c>
      <c r="K24" s="32" t="s">
        <v>66</v>
      </c>
      <c r="L24" s="32" t="s">
        <v>67</v>
      </c>
      <c r="M24" s="33" t="s">
        <v>68</v>
      </c>
      <c r="N24" s="33"/>
      <c r="O24" s="32">
        <v>180</v>
      </c>
      <c r="P24" s="378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4" s="284"/>
      <c r="R24" s="284"/>
      <c r="S24" s="284"/>
      <c r="T24" s="285"/>
      <c r="U24" s="34"/>
      <c r="V24" s="34"/>
      <c r="W24" s="35" t="s">
        <v>69</v>
      </c>
      <c r="X24" s="268">
        <v>24</v>
      </c>
      <c r="Y24" s="269">
        <f t="shared" si="0"/>
        <v>24</v>
      </c>
      <c r="Z24" s="36">
        <f t="shared" si="1"/>
        <v>0.372</v>
      </c>
      <c r="AA24" s="56"/>
      <c r="AB24" s="57"/>
      <c r="AC24" s="76" t="s">
        <v>70</v>
      </c>
      <c r="AG24" s="67"/>
      <c r="AJ24" s="71" t="s">
        <v>71</v>
      </c>
      <c r="AK24" s="71">
        <v>1</v>
      </c>
      <c r="BB24" s="77" t="s">
        <v>1</v>
      </c>
      <c r="BM24" s="67">
        <f t="shared" si="2"/>
        <v>179.28</v>
      </c>
      <c r="BN24" s="67">
        <f t="shared" si="3"/>
        <v>179.28</v>
      </c>
      <c r="BO24" s="67">
        <f t="shared" si="4"/>
        <v>0.2857142857142857</v>
      </c>
      <c r="BP24" s="67">
        <f t="shared" si="5"/>
        <v>0.2857142857142857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4301071106</v>
      </c>
      <c r="D25" s="289">
        <v>4607111035882</v>
      </c>
      <c r="E25" s="290"/>
      <c r="F25" s="267">
        <v>0.43</v>
      </c>
      <c r="G25" s="32">
        <v>16</v>
      </c>
      <c r="H25" s="267">
        <v>6.88</v>
      </c>
      <c r="I25" s="267">
        <v>7.19</v>
      </c>
      <c r="J25" s="32">
        <v>84</v>
      </c>
      <c r="K25" s="32" t="s">
        <v>66</v>
      </c>
      <c r="L25" s="32" t="s">
        <v>67</v>
      </c>
      <c r="M25" s="33" t="s">
        <v>68</v>
      </c>
      <c r="N25" s="33"/>
      <c r="O25" s="32">
        <v>180</v>
      </c>
      <c r="P25" s="44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5" s="284"/>
      <c r="R25" s="284"/>
      <c r="S25" s="284"/>
      <c r="T25" s="285"/>
      <c r="U25" s="34"/>
      <c r="V25" s="34"/>
      <c r="W25" s="35" t="s">
        <v>69</v>
      </c>
      <c r="X25" s="268">
        <v>0</v>
      </c>
      <c r="Y25" s="269">
        <f t="shared" si="0"/>
        <v>0</v>
      </c>
      <c r="Z25" s="36">
        <f t="shared" si="1"/>
        <v>0</v>
      </c>
      <c r="AA25" s="56"/>
      <c r="AB25" s="57"/>
      <c r="AC25" s="78" t="s">
        <v>70</v>
      </c>
      <c r="AG25" s="67"/>
      <c r="AJ25" s="71" t="s">
        <v>71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4301071105</v>
      </c>
      <c r="D26" s="289">
        <v>4607111035110</v>
      </c>
      <c r="E26" s="290"/>
      <c r="F26" s="267">
        <v>0.9</v>
      </c>
      <c r="G26" s="32">
        <v>8</v>
      </c>
      <c r="H26" s="267">
        <v>7.2</v>
      </c>
      <c r="I26" s="267">
        <v>7.47</v>
      </c>
      <c r="J26" s="32">
        <v>84</v>
      </c>
      <c r="K26" s="32" t="s">
        <v>66</v>
      </c>
      <c r="L26" s="32" t="s">
        <v>67</v>
      </c>
      <c r="M26" s="33" t="s">
        <v>68</v>
      </c>
      <c r="N26" s="33"/>
      <c r="O26" s="32">
        <v>180</v>
      </c>
      <c r="P26" s="38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6" s="284"/>
      <c r="R26" s="284"/>
      <c r="S26" s="284"/>
      <c r="T26" s="285"/>
      <c r="U26" s="34"/>
      <c r="V26" s="34"/>
      <c r="W26" s="35" t="s">
        <v>69</v>
      </c>
      <c r="X26" s="268">
        <v>0</v>
      </c>
      <c r="Y26" s="269">
        <f t="shared" si="0"/>
        <v>0</v>
      </c>
      <c r="Z26" s="36">
        <f t="shared" si="1"/>
        <v>0</v>
      </c>
      <c r="AA26" s="56"/>
      <c r="AB26" s="57"/>
      <c r="AC26" s="80" t="s">
        <v>70</v>
      </c>
      <c r="AG26" s="67"/>
      <c r="AJ26" s="71" t="s">
        <v>71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4301071107</v>
      </c>
      <c r="D27" s="289">
        <v>4607111035905</v>
      </c>
      <c r="E27" s="290"/>
      <c r="F27" s="267">
        <v>0.9</v>
      </c>
      <c r="G27" s="32">
        <v>8</v>
      </c>
      <c r="H27" s="267">
        <v>7.2</v>
      </c>
      <c r="I27" s="267">
        <v>7.47</v>
      </c>
      <c r="J27" s="32">
        <v>84</v>
      </c>
      <c r="K27" s="32" t="s">
        <v>66</v>
      </c>
      <c r="L27" s="32" t="s">
        <v>67</v>
      </c>
      <c r="M27" s="33" t="s">
        <v>68</v>
      </c>
      <c r="N27" s="33"/>
      <c r="O27" s="32">
        <v>180</v>
      </c>
      <c r="P27" s="39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4"/>
      <c r="R27" s="284"/>
      <c r="S27" s="284"/>
      <c r="T27" s="285"/>
      <c r="U27" s="34"/>
      <c r="V27" s="34"/>
      <c r="W27" s="35" t="s">
        <v>69</v>
      </c>
      <c r="X27" s="268">
        <v>0</v>
      </c>
      <c r="Y27" s="269">
        <f t="shared" si="0"/>
        <v>0</v>
      </c>
      <c r="Z27" s="36">
        <f t="shared" si="1"/>
        <v>0</v>
      </c>
      <c r="AA27" s="56"/>
      <c r="AB27" s="57"/>
      <c r="AC27" s="82" t="s">
        <v>70</v>
      </c>
      <c r="AG27" s="67"/>
      <c r="AJ27" s="71" t="s">
        <v>71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x14ac:dyDescent="0.2">
      <c r="A28" s="292"/>
      <c r="B28" s="275"/>
      <c r="C28" s="275"/>
      <c r="D28" s="275"/>
      <c r="E28" s="275"/>
      <c r="F28" s="275"/>
      <c r="G28" s="275"/>
      <c r="H28" s="275"/>
      <c r="I28" s="275"/>
      <c r="J28" s="275"/>
      <c r="K28" s="275"/>
      <c r="L28" s="275"/>
      <c r="M28" s="275"/>
      <c r="N28" s="275"/>
      <c r="O28" s="293"/>
      <c r="P28" s="280" t="s">
        <v>82</v>
      </c>
      <c r="Q28" s="281"/>
      <c r="R28" s="281"/>
      <c r="S28" s="281"/>
      <c r="T28" s="281"/>
      <c r="U28" s="281"/>
      <c r="V28" s="282"/>
      <c r="W28" s="37" t="s">
        <v>69</v>
      </c>
      <c r="X28" s="270">
        <f>IFERROR(SUM(X22:X27),"0")</f>
        <v>24</v>
      </c>
      <c r="Y28" s="270">
        <f>IFERROR(SUM(Y22:Y27),"0")</f>
        <v>24</v>
      </c>
      <c r="Z28" s="270">
        <f>IFERROR(IF(Z22="",0,Z22),"0")+IFERROR(IF(Z23="",0,Z23),"0")+IFERROR(IF(Z24="",0,Z24),"0")+IFERROR(IF(Z25="",0,Z25),"0")+IFERROR(IF(Z26="",0,Z26),"0")+IFERROR(IF(Z27="",0,Z27),"0")</f>
        <v>0.372</v>
      </c>
      <c r="AA28" s="271"/>
      <c r="AB28" s="271"/>
      <c r="AC28" s="271"/>
    </row>
    <row r="29" spans="1:68" x14ac:dyDescent="0.2">
      <c r="A29" s="275"/>
      <c r="B29" s="275"/>
      <c r="C29" s="275"/>
      <c r="D29" s="275"/>
      <c r="E29" s="275"/>
      <c r="F29" s="275"/>
      <c r="G29" s="275"/>
      <c r="H29" s="275"/>
      <c r="I29" s="275"/>
      <c r="J29" s="275"/>
      <c r="K29" s="275"/>
      <c r="L29" s="275"/>
      <c r="M29" s="275"/>
      <c r="N29" s="275"/>
      <c r="O29" s="293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0">
        <f>IFERROR(SUMPRODUCT(X22:X27*H22:H27),"0")</f>
        <v>172.8</v>
      </c>
      <c r="Y29" s="270">
        <f>IFERROR(SUMPRODUCT(Y22:Y27*H22:H27),"0")</f>
        <v>172.8</v>
      </c>
      <c r="Z29" s="37"/>
      <c r="AA29" s="271"/>
      <c r="AB29" s="271"/>
      <c r="AC29" s="271"/>
    </row>
    <row r="30" spans="1:68" ht="16.5" hidden="1" customHeight="1" x14ac:dyDescent="0.25">
      <c r="A30" s="288" t="s">
        <v>84</v>
      </c>
      <c r="B30" s="275"/>
      <c r="C30" s="275"/>
      <c r="D30" s="275"/>
      <c r="E30" s="275"/>
      <c r="F30" s="275"/>
      <c r="G30" s="275"/>
      <c r="H30" s="275"/>
      <c r="I30" s="275"/>
      <c r="J30" s="275"/>
      <c r="K30" s="275"/>
      <c r="L30" s="275"/>
      <c r="M30" s="275"/>
      <c r="N30" s="275"/>
      <c r="O30" s="275"/>
      <c r="P30" s="275"/>
      <c r="Q30" s="275"/>
      <c r="R30" s="275"/>
      <c r="S30" s="275"/>
      <c r="T30" s="275"/>
      <c r="U30" s="275"/>
      <c r="V30" s="275"/>
      <c r="W30" s="275"/>
      <c r="X30" s="275"/>
      <c r="Y30" s="275"/>
      <c r="Z30" s="275"/>
      <c r="AA30" s="263"/>
      <c r="AB30" s="263"/>
      <c r="AC30" s="263"/>
    </row>
    <row r="31" spans="1:68" ht="14.25" hidden="1" customHeight="1" x14ac:dyDescent="0.25">
      <c r="A31" s="276" t="s">
        <v>63</v>
      </c>
      <c r="B31" s="275"/>
      <c r="C31" s="275"/>
      <c r="D31" s="275"/>
      <c r="E31" s="275"/>
      <c r="F31" s="275"/>
      <c r="G31" s="275"/>
      <c r="H31" s="275"/>
      <c r="I31" s="275"/>
      <c r="J31" s="275"/>
      <c r="K31" s="275"/>
      <c r="L31" s="275"/>
      <c r="M31" s="275"/>
      <c r="N31" s="275"/>
      <c r="O31" s="275"/>
      <c r="P31" s="275"/>
      <c r="Q31" s="275"/>
      <c r="R31" s="275"/>
      <c r="S31" s="275"/>
      <c r="T31" s="275"/>
      <c r="U31" s="275"/>
      <c r="V31" s="275"/>
      <c r="W31" s="275"/>
      <c r="X31" s="275"/>
      <c r="Y31" s="275"/>
      <c r="Z31" s="275"/>
      <c r="AA31" s="264"/>
      <c r="AB31" s="264"/>
      <c r="AC31" s="264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89">
        <v>4607111039019</v>
      </c>
      <c r="E32" s="290"/>
      <c r="F32" s="267">
        <v>0.43</v>
      </c>
      <c r="G32" s="32">
        <v>16</v>
      </c>
      <c r="H32" s="267">
        <v>6.88</v>
      </c>
      <c r="I32" s="267">
        <v>7.2060000000000004</v>
      </c>
      <c r="J32" s="32">
        <v>84</v>
      </c>
      <c r="K32" s="32" t="s">
        <v>66</v>
      </c>
      <c r="L32" s="32" t="s">
        <v>67</v>
      </c>
      <c r="M32" s="33" t="s">
        <v>68</v>
      </c>
      <c r="N32" s="33"/>
      <c r="O32" s="32">
        <v>180</v>
      </c>
      <c r="P32" s="32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4"/>
      <c r="R32" s="284"/>
      <c r="S32" s="284"/>
      <c r="T32" s="285"/>
      <c r="U32" s="34"/>
      <c r="V32" s="34"/>
      <c r="W32" s="35" t="s">
        <v>69</v>
      </c>
      <c r="X32" s="268">
        <v>0</v>
      </c>
      <c r="Y32" s="269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71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89">
        <v>4607111038708</v>
      </c>
      <c r="E33" s="290"/>
      <c r="F33" s="267">
        <v>0.8</v>
      </c>
      <c r="G33" s="32">
        <v>8</v>
      </c>
      <c r="H33" s="267">
        <v>6.4</v>
      </c>
      <c r="I33" s="267">
        <v>6.67</v>
      </c>
      <c r="J33" s="32">
        <v>84</v>
      </c>
      <c r="K33" s="32" t="s">
        <v>66</v>
      </c>
      <c r="L33" s="32" t="s">
        <v>67</v>
      </c>
      <c r="M33" s="33" t="s">
        <v>68</v>
      </c>
      <c r="N33" s="33"/>
      <c r="O33" s="32">
        <v>180</v>
      </c>
      <c r="P33" s="414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4"/>
      <c r="R33" s="284"/>
      <c r="S33" s="284"/>
      <c r="T33" s="285"/>
      <c r="U33" s="34"/>
      <c r="V33" s="34"/>
      <c r="W33" s="35" t="s">
        <v>69</v>
      </c>
      <c r="X33" s="268">
        <v>0</v>
      </c>
      <c r="Y33" s="269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71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92"/>
      <c r="B34" s="275"/>
      <c r="C34" s="275"/>
      <c r="D34" s="275"/>
      <c r="E34" s="275"/>
      <c r="F34" s="275"/>
      <c r="G34" s="275"/>
      <c r="H34" s="275"/>
      <c r="I34" s="275"/>
      <c r="J34" s="275"/>
      <c r="K34" s="275"/>
      <c r="L34" s="275"/>
      <c r="M34" s="275"/>
      <c r="N34" s="275"/>
      <c r="O34" s="293"/>
      <c r="P34" s="280" t="s">
        <v>82</v>
      </c>
      <c r="Q34" s="281"/>
      <c r="R34" s="281"/>
      <c r="S34" s="281"/>
      <c r="T34" s="281"/>
      <c r="U34" s="281"/>
      <c r="V34" s="282"/>
      <c r="W34" s="37" t="s">
        <v>69</v>
      </c>
      <c r="X34" s="270">
        <f>IFERROR(SUM(X32:X33),"0")</f>
        <v>0</v>
      </c>
      <c r="Y34" s="270">
        <f>IFERROR(SUM(Y32:Y33),"0")</f>
        <v>0</v>
      </c>
      <c r="Z34" s="270">
        <f>IFERROR(IF(Z32="",0,Z32),"0")+IFERROR(IF(Z33="",0,Z33),"0")</f>
        <v>0</v>
      </c>
      <c r="AA34" s="271"/>
      <c r="AB34" s="271"/>
      <c r="AC34" s="271"/>
    </row>
    <row r="35" spans="1:68" hidden="1" x14ac:dyDescent="0.2">
      <c r="A35" s="275"/>
      <c r="B35" s="275"/>
      <c r="C35" s="275"/>
      <c r="D35" s="275"/>
      <c r="E35" s="275"/>
      <c r="F35" s="275"/>
      <c r="G35" s="275"/>
      <c r="H35" s="275"/>
      <c r="I35" s="275"/>
      <c r="J35" s="275"/>
      <c r="K35" s="275"/>
      <c r="L35" s="275"/>
      <c r="M35" s="275"/>
      <c r="N35" s="275"/>
      <c r="O35" s="293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0">
        <f>IFERROR(SUMPRODUCT(X32:X33*H32:H33),"0")</f>
        <v>0</v>
      </c>
      <c r="Y35" s="270">
        <f>IFERROR(SUMPRODUCT(Y32:Y33*H32:H33),"0")</f>
        <v>0</v>
      </c>
      <c r="Z35" s="37"/>
      <c r="AA35" s="271"/>
      <c r="AB35" s="271"/>
      <c r="AC35" s="271"/>
    </row>
    <row r="36" spans="1:68" ht="27.75" hidden="1" customHeight="1" x14ac:dyDescent="0.2">
      <c r="A36" s="286" t="s">
        <v>90</v>
      </c>
      <c r="B36" s="287"/>
      <c r="C36" s="287"/>
      <c r="D36" s="287"/>
      <c r="E36" s="287"/>
      <c r="F36" s="287"/>
      <c r="G36" s="287"/>
      <c r="H36" s="287"/>
      <c r="I36" s="287"/>
      <c r="J36" s="287"/>
      <c r="K36" s="287"/>
      <c r="L36" s="287"/>
      <c r="M36" s="287"/>
      <c r="N36" s="287"/>
      <c r="O36" s="287"/>
      <c r="P36" s="287"/>
      <c r="Q36" s="287"/>
      <c r="R36" s="287"/>
      <c r="S36" s="287"/>
      <c r="T36" s="287"/>
      <c r="U36" s="287"/>
      <c r="V36" s="287"/>
      <c r="W36" s="287"/>
      <c r="X36" s="287"/>
      <c r="Y36" s="287"/>
      <c r="Z36" s="287"/>
      <c r="AA36" s="48"/>
      <c r="AB36" s="48"/>
      <c r="AC36" s="48"/>
    </row>
    <row r="37" spans="1:68" ht="16.5" hidden="1" customHeight="1" x14ac:dyDescent="0.25">
      <c r="A37" s="288" t="s">
        <v>91</v>
      </c>
      <c r="B37" s="275"/>
      <c r="C37" s="275"/>
      <c r="D37" s="275"/>
      <c r="E37" s="275"/>
      <c r="F37" s="275"/>
      <c r="G37" s="275"/>
      <c r="H37" s="275"/>
      <c r="I37" s="275"/>
      <c r="J37" s="275"/>
      <c r="K37" s="275"/>
      <c r="L37" s="275"/>
      <c r="M37" s="275"/>
      <c r="N37" s="275"/>
      <c r="O37" s="275"/>
      <c r="P37" s="275"/>
      <c r="Q37" s="275"/>
      <c r="R37" s="275"/>
      <c r="S37" s="275"/>
      <c r="T37" s="275"/>
      <c r="U37" s="275"/>
      <c r="V37" s="275"/>
      <c r="W37" s="275"/>
      <c r="X37" s="275"/>
      <c r="Y37" s="275"/>
      <c r="Z37" s="275"/>
      <c r="AA37" s="263"/>
      <c r="AB37" s="263"/>
      <c r="AC37" s="263"/>
    </row>
    <row r="38" spans="1:68" ht="14.25" hidden="1" customHeight="1" x14ac:dyDescent="0.25">
      <c r="A38" s="276" t="s">
        <v>92</v>
      </c>
      <c r="B38" s="275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5"/>
      <c r="Q38" s="275"/>
      <c r="R38" s="275"/>
      <c r="S38" s="275"/>
      <c r="T38" s="275"/>
      <c r="U38" s="275"/>
      <c r="V38" s="275"/>
      <c r="W38" s="275"/>
      <c r="X38" s="275"/>
      <c r="Y38" s="275"/>
      <c r="Z38" s="275"/>
      <c r="AA38" s="264"/>
      <c r="AB38" s="264"/>
      <c r="AC38" s="264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89">
        <v>4607111036537</v>
      </c>
      <c r="E39" s="290"/>
      <c r="F39" s="267">
        <v>0.25</v>
      </c>
      <c r="G39" s="32">
        <v>6</v>
      </c>
      <c r="H39" s="267">
        <v>1.5</v>
      </c>
      <c r="I39" s="267">
        <v>1.9218</v>
      </c>
      <c r="J39" s="32">
        <v>140</v>
      </c>
      <c r="K39" s="32" t="s">
        <v>95</v>
      </c>
      <c r="L39" s="32" t="s">
        <v>96</v>
      </c>
      <c r="M39" s="33" t="s">
        <v>68</v>
      </c>
      <c r="N39" s="33"/>
      <c r="O39" s="32">
        <v>365</v>
      </c>
      <c r="P39" s="323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4"/>
      <c r="R39" s="284"/>
      <c r="S39" s="284"/>
      <c r="T39" s="285"/>
      <c r="U39" s="34"/>
      <c r="V39" s="34"/>
      <c r="W39" s="35" t="s">
        <v>69</v>
      </c>
      <c r="X39" s="268">
        <v>42</v>
      </c>
      <c r="Y39" s="269">
        <f>IFERROR(IF(X39="","",X39),"")</f>
        <v>42</v>
      </c>
      <c r="Z39" s="36">
        <f>IFERROR(IF(X39="","",X39*0.00941),"")</f>
        <v>0.39522000000000002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80.715599999999995</v>
      </c>
      <c r="BN39" s="67">
        <f>IFERROR(Y39*I39,"0")</f>
        <v>80.715599999999995</v>
      </c>
      <c r="BO39" s="67">
        <f>IFERROR(X39/J39,"0")</f>
        <v>0.3</v>
      </c>
      <c r="BP39" s="67">
        <f>IFERROR(Y39/J39,"0")</f>
        <v>0.3</v>
      </c>
    </row>
    <row r="40" spans="1:68" ht="27" customHeight="1" x14ac:dyDescent="0.25">
      <c r="A40" s="54" t="s">
        <v>100</v>
      </c>
      <c r="B40" s="54" t="s">
        <v>101</v>
      </c>
      <c r="C40" s="31">
        <v>4301132188</v>
      </c>
      <c r="D40" s="289">
        <v>4607111036605</v>
      </c>
      <c r="E40" s="290"/>
      <c r="F40" s="267">
        <v>0.25</v>
      </c>
      <c r="G40" s="32">
        <v>6</v>
      </c>
      <c r="H40" s="267">
        <v>1.5</v>
      </c>
      <c r="I40" s="267">
        <v>1.9218</v>
      </c>
      <c r="J40" s="32">
        <v>140</v>
      </c>
      <c r="K40" s="32" t="s">
        <v>95</v>
      </c>
      <c r="L40" s="32" t="s">
        <v>96</v>
      </c>
      <c r="M40" s="33" t="s">
        <v>68</v>
      </c>
      <c r="N40" s="33"/>
      <c r="O40" s="32">
        <v>365</v>
      </c>
      <c r="P40" s="406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4"/>
      <c r="R40" s="284"/>
      <c r="S40" s="284"/>
      <c r="T40" s="285"/>
      <c r="U40" s="34"/>
      <c r="V40" s="34"/>
      <c r="W40" s="35" t="s">
        <v>69</v>
      </c>
      <c r="X40" s="268">
        <v>28</v>
      </c>
      <c r="Y40" s="269">
        <f>IFERROR(IF(X40="","",X40),"")</f>
        <v>28</v>
      </c>
      <c r="Z40" s="36">
        <f>IFERROR(IF(X40="","",X40*0.00941),"")</f>
        <v>0.26347999999999999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53.810400000000001</v>
      </c>
      <c r="BN40" s="67">
        <f>IFERROR(Y40*I40,"0")</f>
        <v>53.810400000000001</v>
      </c>
      <c r="BO40" s="67">
        <f>IFERROR(X40/J40,"0")</f>
        <v>0.2</v>
      </c>
      <c r="BP40" s="67">
        <f>IFERROR(Y40/J40,"0")</f>
        <v>0.2</v>
      </c>
    </row>
    <row r="41" spans="1:68" x14ac:dyDescent="0.2">
      <c r="A41" s="292"/>
      <c r="B41" s="275"/>
      <c r="C41" s="275"/>
      <c r="D41" s="275"/>
      <c r="E41" s="275"/>
      <c r="F41" s="275"/>
      <c r="G41" s="275"/>
      <c r="H41" s="275"/>
      <c r="I41" s="275"/>
      <c r="J41" s="275"/>
      <c r="K41" s="275"/>
      <c r="L41" s="275"/>
      <c r="M41" s="275"/>
      <c r="N41" s="275"/>
      <c r="O41" s="293"/>
      <c r="P41" s="280" t="s">
        <v>82</v>
      </c>
      <c r="Q41" s="281"/>
      <c r="R41" s="281"/>
      <c r="S41" s="281"/>
      <c r="T41" s="281"/>
      <c r="U41" s="281"/>
      <c r="V41" s="282"/>
      <c r="W41" s="37" t="s">
        <v>69</v>
      </c>
      <c r="X41" s="270">
        <f>IFERROR(SUM(X39:X40),"0")</f>
        <v>70</v>
      </c>
      <c r="Y41" s="270">
        <f>IFERROR(SUM(Y39:Y40),"0")</f>
        <v>70</v>
      </c>
      <c r="Z41" s="270">
        <f>IFERROR(IF(Z39="",0,Z39),"0")+IFERROR(IF(Z40="",0,Z40),"0")</f>
        <v>0.65870000000000006</v>
      </c>
      <c r="AA41" s="271"/>
      <c r="AB41" s="271"/>
      <c r="AC41" s="271"/>
    </row>
    <row r="42" spans="1:68" x14ac:dyDescent="0.2">
      <c r="A42" s="275"/>
      <c r="B42" s="275"/>
      <c r="C42" s="275"/>
      <c r="D42" s="275"/>
      <c r="E42" s="275"/>
      <c r="F42" s="275"/>
      <c r="G42" s="275"/>
      <c r="H42" s="275"/>
      <c r="I42" s="275"/>
      <c r="J42" s="275"/>
      <c r="K42" s="275"/>
      <c r="L42" s="275"/>
      <c r="M42" s="275"/>
      <c r="N42" s="275"/>
      <c r="O42" s="293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0">
        <f>IFERROR(SUMPRODUCT(X39:X40*H39:H40),"0")</f>
        <v>105</v>
      </c>
      <c r="Y42" s="270">
        <f>IFERROR(SUMPRODUCT(Y39:Y40*H39:H40),"0")</f>
        <v>105</v>
      </c>
      <c r="Z42" s="37"/>
      <c r="AA42" s="271"/>
      <c r="AB42" s="271"/>
      <c r="AC42" s="271"/>
    </row>
    <row r="43" spans="1:68" ht="16.5" hidden="1" customHeight="1" x14ac:dyDescent="0.25">
      <c r="A43" s="288" t="s">
        <v>102</v>
      </c>
      <c r="B43" s="275"/>
      <c r="C43" s="275"/>
      <c r="D43" s="275"/>
      <c r="E43" s="275"/>
      <c r="F43" s="275"/>
      <c r="G43" s="275"/>
      <c r="H43" s="275"/>
      <c r="I43" s="275"/>
      <c r="J43" s="275"/>
      <c r="K43" s="275"/>
      <c r="L43" s="275"/>
      <c r="M43" s="275"/>
      <c r="N43" s="275"/>
      <c r="O43" s="275"/>
      <c r="P43" s="275"/>
      <c r="Q43" s="275"/>
      <c r="R43" s="275"/>
      <c r="S43" s="275"/>
      <c r="T43" s="275"/>
      <c r="U43" s="275"/>
      <c r="V43" s="275"/>
      <c r="W43" s="275"/>
      <c r="X43" s="275"/>
      <c r="Y43" s="275"/>
      <c r="Z43" s="275"/>
      <c r="AA43" s="263"/>
      <c r="AB43" s="263"/>
      <c r="AC43" s="263"/>
    </row>
    <row r="44" spans="1:68" ht="14.25" hidden="1" customHeight="1" x14ac:dyDescent="0.25">
      <c r="A44" s="276" t="s">
        <v>63</v>
      </c>
      <c r="B44" s="275"/>
      <c r="C44" s="275"/>
      <c r="D44" s="275"/>
      <c r="E44" s="275"/>
      <c r="F44" s="275"/>
      <c r="G44" s="275"/>
      <c r="H44" s="275"/>
      <c r="I44" s="275"/>
      <c r="J44" s="275"/>
      <c r="K44" s="275"/>
      <c r="L44" s="275"/>
      <c r="M44" s="275"/>
      <c r="N44" s="275"/>
      <c r="O44" s="275"/>
      <c r="P44" s="275"/>
      <c r="Q44" s="275"/>
      <c r="R44" s="275"/>
      <c r="S44" s="275"/>
      <c r="T44" s="275"/>
      <c r="U44" s="275"/>
      <c r="V44" s="275"/>
      <c r="W44" s="275"/>
      <c r="X44" s="275"/>
      <c r="Y44" s="275"/>
      <c r="Z44" s="275"/>
      <c r="AA44" s="264"/>
      <c r="AB44" s="264"/>
      <c r="AC44" s="264"/>
    </row>
    <row r="45" spans="1:68" ht="27" hidden="1" customHeight="1" x14ac:dyDescent="0.25">
      <c r="A45" s="54" t="s">
        <v>103</v>
      </c>
      <c r="B45" s="54" t="s">
        <v>104</v>
      </c>
      <c r="C45" s="31">
        <v>4301071090</v>
      </c>
      <c r="D45" s="289">
        <v>4620207490075</v>
      </c>
      <c r="E45" s="290"/>
      <c r="F45" s="267">
        <v>0.7</v>
      </c>
      <c r="G45" s="32">
        <v>8</v>
      </c>
      <c r="H45" s="267">
        <v>5.6</v>
      </c>
      <c r="I45" s="267">
        <v>5.87</v>
      </c>
      <c r="J45" s="32">
        <v>84</v>
      </c>
      <c r="K45" s="32" t="s">
        <v>66</v>
      </c>
      <c r="L45" s="32" t="s">
        <v>96</v>
      </c>
      <c r="M45" s="33" t="s">
        <v>68</v>
      </c>
      <c r="N45" s="33"/>
      <c r="O45" s="32">
        <v>180</v>
      </c>
      <c r="P45" s="40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4"/>
      <c r="R45" s="284"/>
      <c r="S45" s="284"/>
      <c r="T45" s="285"/>
      <c r="U45" s="34"/>
      <c r="V45" s="34"/>
      <c r="W45" s="35" t="s">
        <v>69</v>
      </c>
      <c r="X45" s="268">
        <v>0</v>
      </c>
      <c r="Y45" s="269">
        <f>IFERROR(IF(X45="","",X45),"")</f>
        <v>0</v>
      </c>
      <c r="Z45" s="36">
        <f>IFERROR(IF(X45="","",X45*0.0155),"")</f>
        <v>0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0</v>
      </c>
      <c r="BN45" s="67">
        <f>IFERROR(Y45*I45,"0")</f>
        <v>0</v>
      </c>
      <c r="BO45" s="67">
        <f>IFERROR(X45/J45,"0")</f>
        <v>0</v>
      </c>
      <c r="BP45" s="67">
        <f>IFERROR(Y45/J45,"0")</f>
        <v>0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89">
        <v>4620207490174</v>
      </c>
      <c r="E46" s="290"/>
      <c r="F46" s="267">
        <v>0.7</v>
      </c>
      <c r="G46" s="32">
        <v>8</v>
      </c>
      <c r="H46" s="267">
        <v>5.6</v>
      </c>
      <c r="I46" s="267">
        <v>5.87</v>
      </c>
      <c r="J46" s="32">
        <v>84</v>
      </c>
      <c r="K46" s="32" t="s">
        <v>66</v>
      </c>
      <c r="L46" s="32" t="s">
        <v>96</v>
      </c>
      <c r="M46" s="33" t="s">
        <v>68</v>
      </c>
      <c r="N46" s="33"/>
      <c r="O46" s="32">
        <v>180</v>
      </c>
      <c r="P46" s="416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4"/>
      <c r="R46" s="284"/>
      <c r="S46" s="284"/>
      <c r="T46" s="285"/>
      <c r="U46" s="34"/>
      <c r="V46" s="34"/>
      <c r="W46" s="35" t="s">
        <v>69</v>
      </c>
      <c r="X46" s="268">
        <v>24</v>
      </c>
      <c r="Y46" s="269">
        <f>IFERROR(IF(X46="","",X46),"")</f>
        <v>24</v>
      </c>
      <c r="Z46" s="36">
        <f>IFERROR(IF(X46="","",X46*0.0155),"")</f>
        <v>0.372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140.88</v>
      </c>
      <c r="BN46" s="67">
        <f>IFERROR(Y46*I46,"0")</f>
        <v>140.88</v>
      </c>
      <c r="BO46" s="67">
        <f>IFERROR(X46/J46,"0")</f>
        <v>0.2857142857142857</v>
      </c>
      <c r="BP46" s="67">
        <f>IFERROR(Y46/J46,"0")</f>
        <v>0.2857142857142857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89">
        <v>4620207490044</v>
      </c>
      <c r="E47" s="290"/>
      <c r="F47" s="267">
        <v>0.7</v>
      </c>
      <c r="G47" s="32">
        <v>8</v>
      </c>
      <c r="H47" s="267">
        <v>5.6</v>
      </c>
      <c r="I47" s="267">
        <v>5.87</v>
      </c>
      <c r="J47" s="32">
        <v>84</v>
      </c>
      <c r="K47" s="32" t="s">
        <v>66</v>
      </c>
      <c r="L47" s="32" t="s">
        <v>96</v>
      </c>
      <c r="M47" s="33" t="s">
        <v>68</v>
      </c>
      <c r="N47" s="33"/>
      <c r="O47" s="32">
        <v>180</v>
      </c>
      <c r="P47" s="335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4"/>
      <c r="R47" s="284"/>
      <c r="S47" s="284"/>
      <c r="T47" s="285"/>
      <c r="U47" s="34"/>
      <c r="V47" s="34"/>
      <c r="W47" s="35" t="s">
        <v>69</v>
      </c>
      <c r="X47" s="268">
        <v>0</v>
      </c>
      <c r="Y47" s="26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92"/>
      <c r="B48" s="275"/>
      <c r="C48" s="275"/>
      <c r="D48" s="275"/>
      <c r="E48" s="275"/>
      <c r="F48" s="275"/>
      <c r="G48" s="275"/>
      <c r="H48" s="275"/>
      <c r="I48" s="275"/>
      <c r="J48" s="275"/>
      <c r="K48" s="275"/>
      <c r="L48" s="275"/>
      <c r="M48" s="275"/>
      <c r="N48" s="275"/>
      <c r="O48" s="293"/>
      <c r="P48" s="280" t="s">
        <v>82</v>
      </c>
      <c r="Q48" s="281"/>
      <c r="R48" s="281"/>
      <c r="S48" s="281"/>
      <c r="T48" s="281"/>
      <c r="U48" s="281"/>
      <c r="V48" s="282"/>
      <c r="W48" s="37" t="s">
        <v>69</v>
      </c>
      <c r="X48" s="270">
        <f>IFERROR(SUM(X45:X47),"0")</f>
        <v>24</v>
      </c>
      <c r="Y48" s="270">
        <f>IFERROR(SUM(Y45:Y47),"0")</f>
        <v>24</v>
      </c>
      <c r="Z48" s="270">
        <f>IFERROR(IF(Z45="",0,Z45),"0")+IFERROR(IF(Z46="",0,Z46),"0")+IFERROR(IF(Z47="",0,Z47),"0")</f>
        <v>0.372</v>
      </c>
      <c r="AA48" s="271"/>
      <c r="AB48" s="271"/>
      <c r="AC48" s="271"/>
    </row>
    <row r="49" spans="1:68" x14ac:dyDescent="0.2">
      <c r="A49" s="275"/>
      <c r="B49" s="275"/>
      <c r="C49" s="275"/>
      <c r="D49" s="275"/>
      <c r="E49" s="275"/>
      <c r="F49" s="275"/>
      <c r="G49" s="275"/>
      <c r="H49" s="275"/>
      <c r="I49" s="275"/>
      <c r="J49" s="275"/>
      <c r="K49" s="275"/>
      <c r="L49" s="275"/>
      <c r="M49" s="275"/>
      <c r="N49" s="275"/>
      <c r="O49" s="293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0">
        <f>IFERROR(SUMPRODUCT(X45:X47*H45:H47),"0")</f>
        <v>134.39999999999998</v>
      </c>
      <c r="Y49" s="270">
        <f>IFERROR(SUMPRODUCT(Y45:Y47*H45:H47),"0")</f>
        <v>134.39999999999998</v>
      </c>
      <c r="Z49" s="37"/>
      <c r="AA49" s="271"/>
      <c r="AB49" s="271"/>
      <c r="AC49" s="271"/>
    </row>
    <row r="50" spans="1:68" ht="16.5" hidden="1" customHeight="1" x14ac:dyDescent="0.25">
      <c r="A50" s="288" t="s">
        <v>112</v>
      </c>
      <c r="B50" s="275"/>
      <c r="C50" s="275"/>
      <c r="D50" s="275"/>
      <c r="E50" s="275"/>
      <c r="F50" s="275"/>
      <c r="G50" s="275"/>
      <c r="H50" s="275"/>
      <c r="I50" s="275"/>
      <c r="J50" s="275"/>
      <c r="K50" s="275"/>
      <c r="L50" s="275"/>
      <c r="M50" s="275"/>
      <c r="N50" s="275"/>
      <c r="O50" s="275"/>
      <c r="P50" s="275"/>
      <c r="Q50" s="275"/>
      <c r="R50" s="275"/>
      <c r="S50" s="275"/>
      <c r="T50" s="275"/>
      <c r="U50" s="275"/>
      <c r="V50" s="275"/>
      <c r="W50" s="275"/>
      <c r="X50" s="275"/>
      <c r="Y50" s="275"/>
      <c r="Z50" s="275"/>
      <c r="AA50" s="263"/>
      <c r="AB50" s="263"/>
      <c r="AC50" s="263"/>
    </row>
    <row r="51" spans="1:68" ht="14.25" hidden="1" customHeight="1" x14ac:dyDescent="0.25">
      <c r="A51" s="276" t="s">
        <v>63</v>
      </c>
      <c r="B51" s="275"/>
      <c r="C51" s="275"/>
      <c r="D51" s="275"/>
      <c r="E51" s="275"/>
      <c r="F51" s="275"/>
      <c r="G51" s="275"/>
      <c r="H51" s="275"/>
      <c r="I51" s="275"/>
      <c r="J51" s="275"/>
      <c r="K51" s="275"/>
      <c r="L51" s="275"/>
      <c r="M51" s="275"/>
      <c r="N51" s="275"/>
      <c r="O51" s="275"/>
      <c r="P51" s="275"/>
      <c r="Q51" s="275"/>
      <c r="R51" s="275"/>
      <c r="S51" s="275"/>
      <c r="T51" s="275"/>
      <c r="U51" s="275"/>
      <c r="V51" s="275"/>
      <c r="W51" s="275"/>
      <c r="X51" s="275"/>
      <c r="Y51" s="275"/>
      <c r="Z51" s="275"/>
      <c r="AA51" s="264"/>
      <c r="AB51" s="264"/>
      <c r="AC51" s="264"/>
    </row>
    <row r="52" spans="1:68" ht="27" customHeight="1" x14ac:dyDescent="0.25">
      <c r="A52" s="54" t="s">
        <v>113</v>
      </c>
      <c r="B52" s="54" t="s">
        <v>114</v>
      </c>
      <c r="C52" s="31">
        <v>4301071044</v>
      </c>
      <c r="D52" s="289">
        <v>4607111039385</v>
      </c>
      <c r="E52" s="290"/>
      <c r="F52" s="267">
        <v>0.7</v>
      </c>
      <c r="G52" s="32">
        <v>10</v>
      </c>
      <c r="H52" s="267">
        <v>7</v>
      </c>
      <c r="I52" s="267">
        <v>7.3</v>
      </c>
      <c r="J52" s="32">
        <v>84</v>
      </c>
      <c r="K52" s="32" t="s">
        <v>66</v>
      </c>
      <c r="L52" s="32" t="s">
        <v>96</v>
      </c>
      <c r="M52" s="33" t="s">
        <v>68</v>
      </c>
      <c r="N52" s="33"/>
      <c r="O52" s="32">
        <v>180</v>
      </c>
      <c r="P52" s="342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4"/>
      <c r="R52" s="284"/>
      <c r="S52" s="284"/>
      <c r="T52" s="285"/>
      <c r="U52" s="34"/>
      <c r="V52" s="34"/>
      <c r="W52" s="35" t="s">
        <v>69</v>
      </c>
      <c r="X52" s="268">
        <v>72</v>
      </c>
      <c r="Y52" s="269">
        <f>IFERROR(IF(X52="","",X52),"")</f>
        <v>72</v>
      </c>
      <c r="Z52" s="36">
        <f>IFERROR(IF(X52="","",X52*0.0155),"")</f>
        <v>1.1160000000000001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525.6</v>
      </c>
      <c r="BN52" s="67">
        <f>IFERROR(Y52*I52,"0")</f>
        <v>525.6</v>
      </c>
      <c r="BO52" s="67">
        <f>IFERROR(X52/J52,"0")</f>
        <v>0.8571428571428571</v>
      </c>
      <c r="BP52" s="67">
        <f>IFERROR(Y52/J52,"0")</f>
        <v>0.8571428571428571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89">
        <v>4607111038982</v>
      </c>
      <c r="E53" s="290"/>
      <c r="F53" s="267">
        <v>0.7</v>
      </c>
      <c r="G53" s="32">
        <v>10</v>
      </c>
      <c r="H53" s="267">
        <v>7</v>
      </c>
      <c r="I53" s="267">
        <v>7.2859999999999996</v>
      </c>
      <c r="J53" s="32">
        <v>84</v>
      </c>
      <c r="K53" s="32" t="s">
        <v>66</v>
      </c>
      <c r="L53" s="32" t="s">
        <v>96</v>
      </c>
      <c r="M53" s="33" t="s">
        <v>68</v>
      </c>
      <c r="N53" s="33"/>
      <c r="O53" s="32">
        <v>180</v>
      </c>
      <c r="P53" s="360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4"/>
      <c r="R53" s="284"/>
      <c r="S53" s="284"/>
      <c r="T53" s="285"/>
      <c r="U53" s="34"/>
      <c r="V53" s="34"/>
      <c r="W53" s="35" t="s">
        <v>69</v>
      </c>
      <c r="X53" s="268">
        <v>36</v>
      </c>
      <c r="Y53" s="269">
        <f>IFERROR(IF(X53="","",X53),"")</f>
        <v>36</v>
      </c>
      <c r="Z53" s="36">
        <f>IFERROR(IF(X53="","",X53*0.0155),"")</f>
        <v>0.55800000000000005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262.29599999999999</v>
      </c>
      <c r="BN53" s="67">
        <f>IFERROR(Y53*I53,"0")</f>
        <v>262.29599999999999</v>
      </c>
      <c r="BO53" s="67">
        <f>IFERROR(X53/J53,"0")</f>
        <v>0.42857142857142855</v>
      </c>
      <c r="BP53" s="67">
        <f>IFERROR(Y53/J53,"0")</f>
        <v>0.42857142857142855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89">
        <v>4607111039354</v>
      </c>
      <c r="E54" s="290"/>
      <c r="F54" s="267">
        <v>0.4</v>
      </c>
      <c r="G54" s="32">
        <v>16</v>
      </c>
      <c r="H54" s="267">
        <v>6.4</v>
      </c>
      <c r="I54" s="267">
        <v>6.7195999999999998</v>
      </c>
      <c r="J54" s="32">
        <v>84</v>
      </c>
      <c r="K54" s="32" t="s">
        <v>66</v>
      </c>
      <c r="L54" s="32" t="s">
        <v>67</v>
      </c>
      <c r="M54" s="33" t="s">
        <v>68</v>
      </c>
      <c r="N54" s="33"/>
      <c r="O54" s="32">
        <v>180</v>
      </c>
      <c r="P54" s="42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4"/>
      <c r="R54" s="284"/>
      <c r="S54" s="284"/>
      <c r="T54" s="285"/>
      <c r="U54" s="34"/>
      <c r="V54" s="34"/>
      <c r="W54" s="35" t="s">
        <v>69</v>
      </c>
      <c r="X54" s="268">
        <v>0</v>
      </c>
      <c r="Y54" s="26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71</v>
      </c>
      <c r="AK54" s="71">
        <v>1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89">
        <v>4607111039330</v>
      </c>
      <c r="E55" s="290"/>
      <c r="F55" s="267">
        <v>0.7</v>
      </c>
      <c r="G55" s="32">
        <v>10</v>
      </c>
      <c r="H55" s="267">
        <v>7</v>
      </c>
      <c r="I55" s="267">
        <v>7.3</v>
      </c>
      <c r="J55" s="32">
        <v>84</v>
      </c>
      <c r="K55" s="32" t="s">
        <v>66</v>
      </c>
      <c r="L55" s="32" t="s">
        <v>96</v>
      </c>
      <c r="M55" s="33" t="s">
        <v>68</v>
      </c>
      <c r="N55" s="33"/>
      <c r="O55" s="32">
        <v>180</v>
      </c>
      <c r="P55" s="353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4"/>
      <c r="R55" s="284"/>
      <c r="S55" s="284"/>
      <c r="T55" s="285"/>
      <c r="U55" s="34"/>
      <c r="V55" s="34"/>
      <c r="W55" s="35" t="s">
        <v>69</v>
      </c>
      <c r="X55" s="268">
        <v>48</v>
      </c>
      <c r="Y55" s="269">
        <f>IFERROR(IF(X55="","",X55),"")</f>
        <v>48</v>
      </c>
      <c r="Z55" s="36">
        <f>IFERROR(IF(X55="","",X55*0.0155),"")</f>
        <v>0.74399999999999999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350.4</v>
      </c>
      <c r="BN55" s="67">
        <f>IFERROR(Y55*I55,"0")</f>
        <v>350.4</v>
      </c>
      <c r="BO55" s="67">
        <f>IFERROR(X55/J55,"0")</f>
        <v>0.5714285714285714</v>
      </c>
      <c r="BP55" s="67">
        <f>IFERROR(Y55/J55,"0")</f>
        <v>0.5714285714285714</v>
      </c>
    </row>
    <row r="56" spans="1:68" x14ac:dyDescent="0.2">
      <c r="A56" s="292"/>
      <c r="B56" s="275"/>
      <c r="C56" s="275"/>
      <c r="D56" s="275"/>
      <c r="E56" s="275"/>
      <c r="F56" s="275"/>
      <c r="G56" s="275"/>
      <c r="H56" s="275"/>
      <c r="I56" s="275"/>
      <c r="J56" s="275"/>
      <c r="K56" s="275"/>
      <c r="L56" s="275"/>
      <c r="M56" s="275"/>
      <c r="N56" s="275"/>
      <c r="O56" s="293"/>
      <c r="P56" s="280" t="s">
        <v>82</v>
      </c>
      <c r="Q56" s="281"/>
      <c r="R56" s="281"/>
      <c r="S56" s="281"/>
      <c r="T56" s="281"/>
      <c r="U56" s="281"/>
      <c r="V56" s="282"/>
      <c r="W56" s="37" t="s">
        <v>69</v>
      </c>
      <c r="X56" s="270">
        <f>IFERROR(SUM(X52:X55),"0")</f>
        <v>156</v>
      </c>
      <c r="Y56" s="270">
        <f>IFERROR(SUM(Y52:Y55),"0")</f>
        <v>156</v>
      </c>
      <c r="Z56" s="270">
        <f>IFERROR(IF(Z52="",0,Z52),"0")+IFERROR(IF(Z53="",0,Z53),"0")+IFERROR(IF(Z54="",0,Z54),"0")+IFERROR(IF(Z55="",0,Z55),"0")</f>
        <v>2.4180000000000001</v>
      </c>
      <c r="AA56" s="271"/>
      <c r="AB56" s="271"/>
      <c r="AC56" s="271"/>
    </row>
    <row r="57" spans="1:68" x14ac:dyDescent="0.2">
      <c r="A57" s="275"/>
      <c r="B57" s="275"/>
      <c r="C57" s="275"/>
      <c r="D57" s="275"/>
      <c r="E57" s="275"/>
      <c r="F57" s="275"/>
      <c r="G57" s="275"/>
      <c r="H57" s="275"/>
      <c r="I57" s="275"/>
      <c r="J57" s="275"/>
      <c r="K57" s="275"/>
      <c r="L57" s="275"/>
      <c r="M57" s="275"/>
      <c r="N57" s="275"/>
      <c r="O57" s="293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0">
        <f>IFERROR(SUMPRODUCT(X52:X55*H52:H55),"0")</f>
        <v>1092</v>
      </c>
      <c r="Y57" s="270">
        <f>IFERROR(SUMPRODUCT(Y52:Y55*H52:H55),"0")</f>
        <v>1092</v>
      </c>
      <c r="Z57" s="37"/>
      <c r="AA57" s="271"/>
      <c r="AB57" s="271"/>
      <c r="AC57" s="271"/>
    </row>
    <row r="58" spans="1:68" ht="16.5" hidden="1" customHeight="1" x14ac:dyDescent="0.25">
      <c r="A58" s="288" t="s">
        <v>123</v>
      </c>
      <c r="B58" s="275"/>
      <c r="C58" s="275"/>
      <c r="D58" s="275"/>
      <c r="E58" s="275"/>
      <c r="F58" s="275"/>
      <c r="G58" s="275"/>
      <c r="H58" s="275"/>
      <c r="I58" s="275"/>
      <c r="J58" s="275"/>
      <c r="K58" s="275"/>
      <c r="L58" s="275"/>
      <c r="M58" s="275"/>
      <c r="N58" s="275"/>
      <c r="O58" s="275"/>
      <c r="P58" s="275"/>
      <c r="Q58" s="275"/>
      <c r="R58" s="275"/>
      <c r="S58" s="275"/>
      <c r="T58" s="275"/>
      <c r="U58" s="275"/>
      <c r="V58" s="275"/>
      <c r="W58" s="275"/>
      <c r="X58" s="275"/>
      <c r="Y58" s="275"/>
      <c r="Z58" s="275"/>
      <c r="AA58" s="263"/>
      <c r="AB58" s="263"/>
      <c r="AC58" s="263"/>
    </row>
    <row r="59" spans="1:68" ht="14.25" hidden="1" customHeight="1" x14ac:dyDescent="0.25">
      <c r="A59" s="276" t="s">
        <v>63</v>
      </c>
      <c r="B59" s="275"/>
      <c r="C59" s="275"/>
      <c r="D59" s="275"/>
      <c r="E59" s="275"/>
      <c r="F59" s="275"/>
      <c r="G59" s="275"/>
      <c r="H59" s="275"/>
      <c r="I59" s="275"/>
      <c r="J59" s="275"/>
      <c r="K59" s="275"/>
      <c r="L59" s="275"/>
      <c r="M59" s="275"/>
      <c r="N59" s="275"/>
      <c r="O59" s="275"/>
      <c r="P59" s="275"/>
      <c r="Q59" s="275"/>
      <c r="R59" s="275"/>
      <c r="S59" s="275"/>
      <c r="T59" s="275"/>
      <c r="U59" s="275"/>
      <c r="V59" s="275"/>
      <c r="W59" s="275"/>
      <c r="X59" s="275"/>
      <c r="Y59" s="275"/>
      <c r="Z59" s="275"/>
      <c r="AA59" s="264"/>
      <c r="AB59" s="264"/>
      <c r="AC59" s="264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89">
        <v>4620207490822</v>
      </c>
      <c r="E60" s="290"/>
      <c r="F60" s="267">
        <v>0.43</v>
      </c>
      <c r="G60" s="32">
        <v>8</v>
      </c>
      <c r="H60" s="267">
        <v>3.44</v>
      </c>
      <c r="I60" s="267">
        <v>3.64</v>
      </c>
      <c r="J60" s="32">
        <v>144</v>
      </c>
      <c r="K60" s="32" t="s">
        <v>66</v>
      </c>
      <c r="L60" s="32" t="s">
        <v>67</v>
      </c>
      <c r="M60" s="33" t="s">
        <v>68</v>
      </c>
      <c r="N60" s="33"/>
      <c r="O60" s="32">
        <v>365</v>
      </c>
      <c r="P60" s="43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4"/>
      <c r="R60" s="284"/>
      <c r="S60" s="284"/>
      <c r="T60" s="285"/>
      <c r="U60" s="34"/>
      <c r="V60" s="34"/>
      <c r="W60" s="35" t="s">
        <v>69</v>
      </c>
      <c r="X60" s="268">
        <v>0</v>
      </c>
      <c r="Y60" s="269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71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92"/>
      <c r="B61" s="275"/>
      <c r="C61" s="275"/>
      <c r="D61" s="275"/>
      <c r="E61" s="275"/>
      <c r="F61" s="275"/>
      <c r="G61" s="275"/>
      <c r="H61" s="275"/>
      <c r="I61" s="275"/>
      <c r="J61" s="275"/>
      <c r="K61" s="275"/>
      <c r="L61" s="275"/>
      <c r="M61" s="275"/>
      <c r="N61" s="275"/>
      <c r="O61" s="293"/>
      <c r="P61" s="280" t="s">
        <v>82</v>
      </c>
      <c r="Q61" s="281"/>
      <c r="R61" s="281"/>
      <c r="S61" s="281"/>
      <c r="T61" s="281"/>
      <c r="U61" s="281"/>
      <c r="V61" s="282"/>
      <c r="W61" s="37" t="s">
        <v>69</v>
      </c>
      <c r="X61" s="270">
        <f>IFERROR(SUM(X60:X60),"0")</f>
        <v>0</v>
      </c>
      <c r="Y61" s="270">
        <f>IFERROR(SUM(Y60:Y60),"0")</f>
        <v>0</v>
      </c>
      <c r="Z61" s="270">
        <f>IFERROR(IF(Z60="",0,Z60),"0")</f>
        <v>0</v>
      </c>
      <c r="AA61" s="271"/>
      <c r="AB61" s="271"/>
      <c r="AC61" s="271"/>
    </row>
    <row r="62" spans="1:68" hidden="1" x14ac:dyDescent="0.2">
      <c r="A62" s="275"/>
      <c r="B62" s="275"/>
      <c r="C62" s="275"/>
      <c r="D62" s="275"/>
      <c r="E62" s="275"/>
      <c r="F62" s="275"/>
      <c r="G62" s="275"/>
      <c r="H62" s="275"/>
      <c r="I62" s="275"/>
      <c r="J62" s="275"/>
      <c r="K62" s="275"/>
      <c r="L62" s="275"/>
      <c r="M62" s="275"/>
      <c r="N62" s="275"/>
      <c r="O62" s="293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0">
        <f>IFERROR(SUMPRODUCT(X60:X60*H60:H60),"0")</f>
        <v>0</v>
      </c>
      <c r="Y62" s="270">
        <f>IFERROR(SUMPRODUCT(Y60:Y60*H60:H60),"0")</f>
        <v>0</v>
      </c>
      <c r="Z62" s="37"/>
      <c r="AA62" s="271"/>
      <c r="AB62" s="271"/>
      <c r="AC62" s="271"/>
    </row>
    <row r="63" spans="1:68" ht="14.25" hidden="1" customHeight="1" x14ac:dyDescent="0.25">
      <c r="A63" s="276" t="s">
        <v>92</v>
      </c>
      <c r="B63" s="275"/>
      <c r="C63" s="275"/>
      <c r="D63" s="275"/>
      <c r="E63" s="275"/>
      <c r="F63" s="275"/>
      <c r="G63" s="275"/>
      <c r="H63" s="275"/>
      <c r="I63" s="275"/>
      <c r="J63" s="275"/>
      <c r="K63" s="275"/>
      <c r="L63" s="275"/>
      <c r="M63" s="275"/>
      <c r="N63" s="275"/>
      <c r="O63" s="275"/>
      <c r="P63" s="275"/>
      <c r="Q63" s="275"/>
      <c r="R63" s="275"/>
      <c r="S63" s="275"/>
      <c r="T63" s="275"/>
      <c r="U63" s="275"/>
      <c r="V63" s="275"/>
      <c r="W63" s="275"/>
      <c r="X63" s="275"/>
      <c r="Y63" s="275"/>
      <c r="Z63" s="275"/>
      <c r="AA63" s="264"/>
      <c r="AB63" s="264"/>
      <c r="AC63" s="264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89">
        <v>4607111039712</v>
      </c>
      <c r="E64" s="290"/>
      <c r="F64" s="267">
        <v>0.2</v>
      </c>
      <c r="G64" s="32">
        <v>6</v>
      </c>
      <c r="H64" s="267">
        <v>1.2</v>
      </c>
      <c r="I64" s="267">
        <v>1.56</v>
      </c>
      <c r="J64" s="32">
        <v>140</v>
      </c>
      <c r="K64" s="32" t="s">
        <v>95</v>
      </c>
      <c r="L64" s="32" t="s">
        <v>67</v>
      </c>
      <c r="M64" s="33" t="s">
        <v>68</v>
      </c>
      <c r="N64" s="33"/>
      <c r="O64" s="32">
        <v>365</v>
      </c>
      <c r="P64" s="423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4"/>
      <c r="R64" s="284"/>
      <c r="S64" s="284"/>
      <c r="T64" s="285"/>
      <c r="U64" s="34"/>
      <c r="V64" s="34"/>
      <c r="W64" s="35" t="s">
        <v>69</v>
      </c>
      <c r="X64" s="268">
        <v>0</v>
      </c>
      <c r="Y64" s="269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71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92"/>
      <c r="B65" s="275"/>
      <c r="C65" s="275"/>
      <c r="D65" s="275"/>
      <c r="E65" s="275"/>
      <c r="F65" s="275"/>
      <c r="G65" s="275"/>
      <c r="H65" s="275"/>
      <c r="I65" s="275"/>
      <c r="J65" s="275"/>
      <c r="K65" s="275"/>
      <c r="L65" s="275"/>
      <c r="M65" s="275"/>
      <c r="N65" s="275"/>
      <c r="O65" s="293"/>
      <c r="P65" s="280" t="s">
        <v>82</v>
      </c>
      <c r="Q65" s="281"/>
      <c r="R65" s="281"/>
      <c r="S65" s="281"/>
      <c r="T65" s="281"/>
      <c r="U65" s="281"/>
      <c r="V65" s="282"/>
      <c r="W65" s="37" t="s">
        <v>69</v>
      </c>
      <c r="X65" s="270">
        <f>IFERROR(SUM(X64:X64),"0")</f>
        <v>0</v>
      </c>
      <c r="Y65" s="270">
        <f>IFERROR(SUM(Y64:Y64),"0")</f>
        <v>0</v>
      </c>
      <c r="Z65" s="270">
        <f>IFERROR(IF(Z64="",0,Z64),"0")</f>
        <v>0</v>
      </c>
      <c r="AA65" s="271"/>
      <c r="AB65" s="271"/>
      <c r="AC65" s="271"/>
    </row>
    <row r="66" spans="1:68" hidden="1" x14ac:dyDescent="0.2">
      <c r="A66" s="275"/>
      <c r="B66" s="275"/>
      <c r="C66" s="275"/>
      <c r="D66" s="275"/>
      <c r="E66" s="275"/>
      <c r="F66" s="275"/>
      <c r="G66" s="275"/>
      <c r="H66" s="275"/>
      <c r="I66" s="275"/>
      <c r="J66" s="275"/>
      <c r="K66" s="275"/>
      <c r="L66" s="275"/>
      <c r="M66" s="275"/>
      <c r="N66" s="275"/>
      <c r="O66" s="293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0">
        <f>IFERROR(SUMPRODUCT(X64:X64*H64:H64),"0")</f>
        <v>0</v>
      </c>
      <c r="Y66" s="270">
        <f>IFERROR(SUMPRODUCT(Y64:Y64*H64:H64),"0")</f>
        <v>0</v>
      </c>
      <c r="Z66" s="37"/>
      <c r="AA66" s="271"/>
      <c r="AB66" s="271"/>
      <c r="AC66" s="271"/>
    </row>
    <row r="67" spans="1:68" ht="14.25" hidden="1" customHeight="1" x14ac:dyDescent="0.25">
      <c r="A67" s="276" t="s">
        <v>130</v>
      </c>
      <c r="B67" s="275"/>
      <c r="C67" s="275"/>
      <c r="D67" s="275"/>
      <c r="E67" s="275"/>
      <c r="F67" s="275"/>
      <c r="G67" s="275"/>
      <c r="H67" s="275"/>
      <c r="I67" s="275"/>
      <c r="J67" s="275"/>
      <c r="K67" s="275"/>
      <c r="L67" s="275"/>
      <c r="M67" s="275"/>
      <c r="N67" s="275"/>
      <c r="O67" s="275"/>
      <c r="P67" s="275"/>
      <c r="Q67" s="275"/>
      <c r="R67" s="275"/>
      <c r="S67" s="275"/>
      <c r="T67" s="275"/>
      <c r="U67" s="275"/>
      <c r="V67" s="275"/>
      <c r="W67" s="275"/>
      <c r="X67" s="275"/>
      <c r="Y67" s="275"/>
      <c r="Z67" s="275"/>
      <c r="AA67" s="264"/>
      <c r="AB67" s="264"/>
      <c r="AC67" s="264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89">
        <v>4607111037008</v>
      </c>
      <c r="E68" s="290"/>
      <c r="F68" s="267">
        <v>0.36</v>
      </c>
      <c r="G68" s="32">
        <v>4</v>
      </c>
      <c r="H68" s="267">
        <v>1.44</v>
      </c>
      <c r="I68" s="267">
        <v>1.74</v>
      </c>
      <c r="J68" s="32">
        <v>140</v>
      </c>
      <c r="K68" s="32" t="s">
        <v>95</v>
      </c>
      <c r="L68" s="32" t="s">
        <v>67</v>
      </c>
      <c r="M68" s="33" t="s">
        <v>68</v>
      </c>
      <c r="N68" s="33"/>
      <c r="O68" s="32">
        <v>365</v>
      </c>
      <c r="P68" s="36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4"/>
      <c r="R68" s="284"/>
      <c r="S68" s="284"/>
      <c r="T68" s="285"/>
      <c r="U68" s="34"/>
      <c r="V68" s="34"/>
      <c r="W68" s="35" t="s">
        <v>69</v>
      </c>
      <c r="X68" s="268">
        <v>0</v>
      </c>
      <c r="Y68" s="269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71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89">
        <v>4607111037398</v>
      </c>
      <c r="E69" s="290"/>
      <c r="F69" s="267">
        <v>0.09</v>
      </c>
      <c r="G69" s="32">
        <v>24</v>
      </c>
      <c r="H69" s="267">
        <v>2.16</v>
      </c>
      <c r="I69" s="267">
        <v>4.0199999999999996</v>
      </c>
      <c r="J69" s="32">
        <v>126</v>
      </c>
      <c r="K69" s="32" t="s">
        <v>95</v>
      </c>
      <c r="L69" s="32" t="s">
        <v>67</v>
      </c>
      <c r="M69" s="33" t="s">
        <v>68</v>
      </c>
      <c r="N69" s="33"/>
      <c r="O69" s="32">
        <v>365</v>
      </c>
      <c r="P69" s="372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4"/>
      <c r="R69" s="284"/>
      <c r="S69" s="284"/>
      <c r="T69" s="285"/>
      <c r="U69" s="34"/>
      <c r="V69" s="34"/>
      <c r="W69" s="35" t="s">
        <v>69</v>
      </c>
      <c r="X69" s="268">
        <v>0</v>
      </c>
      <c r="Y69" s="269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71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92"/>
      <c r="B70" s="275"/>
      <c r="C70" s="275"/>
      <c r="D70" s="275"/>
      <c r="E70" s="275"/>
      <c r="F70" s="275"/>
      <c r="G70" s="275"/>
      <c r="H70" s="275"/>
      <c r="I70" s="275"/>
      <c r="J70" s="275"/>
      <c r="K70" s="275"/>
      <c r="L70" s="275"/>
      <c r="M70" s="275"/>
      <c r="N70" s="275"/>
      <c r="O70" s="293"/>
      <c r="P70" s="280" t="s">
        <v>82</v>
      </c>
      <c r="Q70" s="281"/>
      <c r="R70" s="281"/>
      <c r="S70" s="281"/>
      <c r="T70" s="281"/>
      <c r="U70" s="281"/>
      <c r="V70" s="282"/>
      <c r="W70" s="37" t="s">
        <v>69</v>
      </c>
      <c r="X70" s="270">
        <f>IFERROR(SUM(X68:X69),"0")</f>
        <v>0</v>
      </c>
      <c r="Y70" s="270">
        <f>IFERROR(SUM(Y68:Y69),"0")</f>
        <v>0</v>
      </c>
      <c r="Z70" s="270">
        <f>IFERROR(IF(Z68="",0,Z68),"0")+IFERROR(IF(Z69="",0,Z69),"0")</f>
        <v>0</v>
      </c>
      <c r="AA70" s="271"/>
      <c r="AB70" s="271"/>
      <c r="AC70" s="271"/>
    </row>
    <row r="71" spans="1:68" hidden="1" x14ac:dyDescent="0.2">
      <c r="A71" s="275"/>
      <c r="B71" s="275"/>
      <c r="C71" s="275"/>
      <c r="D71" s="275"/>
      <c r="E71" s="275"/>
      <c r="F71" s="275"/>
      <c r="G71" s="275"/>
      <c r="H71" s="275"/>
      <c r="I71" s="275"/>
      <c r="J71" s="275"/>
      <c r="K71" s="275"/>
      <c r="L71" s="275"/>
      <c r="M71" s="275"/>
      <c r="N71" s="275"/>
      <c r="O71" s="293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0">
        <f>IFERROR(SUMPRODUCT(X68:X69*H68:H69),"0")</f>
        <v>0</v>
      </c>
      <c r="Y71" s="270">
        <f>IFERROR(SUMPRODUCT(Y68:Y69*H68:H69),"0")</f>
        <v>0</v>
      </c>
      <c r="Z71" s="37"/>
      <c r="AA71" s="271"/>
      <c r="AB71" s="271"/>
      <c r="AC71" s="271"/>
    </row>
    <row r="72" spans="1:68" ht="14.25" hidden="1" customHeight="1" x14ac:dyDescent="0.25">
      <c r="A72" s="276" t="s">
        <v>136</v>
      </c>
      <c r="B72" s="275"/>
      <c r="C72" s="275"/>
      <c r="D72" s="275"/>
      <c r="E72" s="275"/>
      <c r="F72" s="275"/>
      <c r="G72" s="275"/>
      <c r="H72" s="275"/>
      <c r="I72" s="275"/>
      <c r="J72" s="275"/>
      <c r="K72" s="275"/>
      <c r="L72" s="275"/>
      <c r="M72" s="275"/>
      <c r="N72" s="275"/>
      <c r="O72" s="275"/>
      <c r="P72" s="275"/>
      <c r="Q72" s="275"/>
      <c r="R72" s="275"/>
      <c r="S72" s="275"/>
      <c r="T72" s="275"/>
      <c r="U72" s="275"/>
      <c r="V72" s="275"/>
      <c r="W72" s="275"/>
      <c r="X72" s="275"/>
      <c r="Y72" s="275"/>
      <c r="Z72" s="275"/>
      <c r="AA72" s="264"/>
      <c r="AB72" s="264"/>
      <c r="AC72" s="264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89">
        <v>4607111039705</v>
      </c>
      <c r="E73" s="290"/>
      <c r="F73" s="267">
        <v>0.2</v>
      </c>
      <c r="G73" s="32">
        <v>6</v>
      </c>
      <c r="H73" s="267">
        <v>1.2</v>
      </c>
      <c r="I73" s="267">
        <v>1.56</v>
      </c>
      <c r="J73" s="32">
        <v>140</v>
      </c>
      <c r="K73" s="32" t="s">
        <v>95</v>
      </c>
      <c r="L73" s="32" t="s">
        <v>67</v>
      </c>
      <c r="M73" s="33" t="s">
        <v>68</v>
      </c>
      <c r="N73" s="33"/>
      <c r="O73" s="32">
        <v>365</v>
      </c>
      <c r="P73" s="356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4"/>
      <c r="R73" s="284"/>
      <c r="S73" s="284"/>
      <c r="T73" s="285"/>
      <c r="U73" s="34"/>
      <c r="V73" s="34"/>
      <c r="W73" s="35" t="s">
        <v>69</v>
      </c>
      <c r="X73" s="268">
        <v>0</v>
      </c>
      <c r="Y73" s="269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71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89">
        <v>4607111039729</v>
      </c>
      <c r="E74" s="290"/>
      <c r="F74" s="267">
        <v>0.2</v>
      </c>
      <c r="G74" s="32">
        <v>6</v>
      </c>
      <c r="H74" s="267">
        <v>1.2</v>
      </c>
      <c r="I74" s="267">
        <v>1.56</v>
      </c>
      <c r="J74" s="32">
        <v>140</v>
      </c>
      <c r="K74" s="32" t="s">
        <v>95</v>
      </c>
      <c r="L74" s="32" t="s">
        <v>67</v>
      </c>
      <c r="M74" s="33" t="s">
        <v>68</v>
      </c>
      <c r="N74" s="33"/>
      <c r="O74" s="32">
        <v>365</v>
      </c>
      <c r="P74" s="283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4"/>
      <c r="R74" s="284"/>
      <c r="S74" s="284"/>
      <c r="T74" s="285"/>
      <c r="U74" s="34"/>
      <c r="V74" s="34"/>
      <c r="W74" s="35" t="s">
        <v>69</v>
      </c>
      <c r="X74" s="268">
        <v>0</v>
      </c>
      <c r="Y74" s="269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71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89">
        <v>4620207490228</v>
      </c>
      <c r="E75" s="290"/>
      <c r="F75" s="267">
        <v>0.2</v>
      </c>
      <c r="G75" s="32">
        <v>6</v>
      </c>
      <c r="H75" s="267">
        <v>1.2</v>
      </c>
      <c r="I75" s="267">
        <v>1.56</v>
      </c>
      <c r="J75" s="32">
        <v>140</v>
      </c>
      <c r="K75" s="32" t="s">
        <v>95</v>
      </c>
      <c r="L75" s="32" t="s">
        <v>67</v>
      </c>
      <c r="M75" s="33" t="s">
        <v>68</v>
      </c>
      <c r="N75" s="33"/>
      <c r="O75" s="32">
        <v>365</v>
      </c>
      <c r="P75" s="43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4"/>
      <c r="R75" s="284"/>
      <c r="S75" s="284"/>
      <c r="T75" s="285"/>
      <c r="U75" s="34"/>
      <c r="V75" s="34"/>
      <c r="W75" s="35" t="s">
        <v>69</v>
      </c>
      <c r="X75" s="268">
        <v>0</v>
      </c>
      <c r="Y75" s="26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71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92"/>
      <c r="B76" s="275"/>
      <c r="C76" s="275"/>
      <c r="D76" s="275"/>
      <c r="E76" s="275"/>
      <c r="F76" s="275"/>
      <c r="G76" s="275"/>
      <c r="H76" s="275"/>
      <c r="I76" s="275"/>
      <c r="J76" s="275"/>
      <c r="K76" s="275"/>
      <c r="L76" s="275"/>
      <c r="M76" s="275"/>
      <c r="N76" s="275"/>
      <c r="O76" s="293"/>
      <c r="P76" s="280" t="s">
        <v>82</v>
      </c>
      <c r="Q76" s="281"/>
      <c r="R76" s="281"/>
      <c r="S76" s="281"/>
      <c r="T76" s="281"/>
      <c r="U76" s="281"/>
      <c r="V76" s="282"/>
      <c r="W76" s="37" t="s">
        <v>69</v>
      </c>
      <c r="X76" s="270">
        <f>IFERROR(SUM(X73:X75),"0")</f>
        <v>0</v>
      </c>
      <c r="Y76" s="270">
        <f>IFERROR(SUM(Y73:Y75),"0")</f>
        <v>0</v>
      </c>
      <c r="Z76" s="270">
        <f>IFERROR(IF(Z73="",0,Z73),"0")+IFERROR(IF(Z74="",0,Z74),"0")+IFERROR(IF(Z75="",0,Z75),"0")</f>
        <v>0</v>
      </c>
      <c r="AA76" s="271"/>
      <c r="AB76" s="271"/>
      <c r="AC76" s="271"/>
    </row>
    <row r="77" spans="1:68" hidden="1" x14ac:dyDescent="0.2">
      <c r="A77" s="275"/>
      <c r="B77" s="275"/>
      <c r="C77" s="275"/>
      <c r="D77" s="275"/>
      <c r="E77" s="275"/>
      <c r="F77" s="275"/>
      <c r="G77" s="275"/>
      <c r="H77" s="275"/>
      <c r="I77" s="275"/>
      <c r="J77" s="275"/>
      <c r="K77" s="275"/>
      <c r="L77" s="275"/>
      <c r="M77" s="275"/>
      <c r="N77" s="275"/>
      <c r="O77" s="293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0">
        <f>IFERROR(SUMPRODUCT(X73:X75*H73:H75),"0")</f>
        <v>0</v>
      </c>
      <c r="Y77" s="270">
        <f>IFERROR(SUMPRODUCT(Y73:Y75*H73:H75),"0")</f>
        <v>0</v>
      </c>
      <c r="Z77" s="37"/>
      <c r="AA77" s="271"/>
      <c r="AB77" s="271"/>
      <c r="AC77" s="271"/>
    </row>
    <row r="78" spans="1:68" ht="16.5" hidden="1" customHeight="1" x14ac:dyDescent="0.25">
      <c r="A78" s="288" t="s">
        <v>144</v>
      </c>
      <c r="B78" s="275"/>
      <c r="C78" s="275"/>
      <c r="D78" s="275"/>
      <c r="E78" s="275"/>
      <c r="F78" s="275"/>
      <c r="G78" s="275"/>
      <c r="H78" s="275"/>
      <c r="I78" s="275"/>
      <c r="J78" s="275"/>
      <c r="K78" s="275"/>
      <c r="L78" s="275"/>
      <c r="M78" s="275"/>
      <c r="N78" s="275"/>
      <c r="O78" s="275"/>
      <c r="P78" s="275"/>
      <c r="Q78" s="275"/>
      <c r="R78" s="275"/>
      <c r="S78" s="275"/>
      <c r="T78" s="275"/>
      <c r="U78" s="275"/>
      <c r="V78" s="275"/>
      <c r="W78" s="275"/>
      <c r="X78" s="275"/>
      <c r="Y78" s="275"/>
      <c r="Z78" s="275"/>
      <c r="AA78" s="263"/>
      <c r="AB78" s="263"/>
      <c r="AC78" s="263"/>
    </row>
    <row r="79" spans="1:68" ht="14.25" hidden="1" customHeight="1" x14ac:dyDescent="0.25">
      <c r="A79" s="276" t="s">
        <v>63</v>
      </c>
      <c r="B79" s="275"/>
      <c r="C79" s="275"/>
      <c r="D79" s="275"/>
      <c r="E79" s="275"/>
      <c r="F79" s="275"/>
      <c r="G79" s="275"/>
      <c r="H79" s="275"/>
      <c r="I79" s="275"/>
      <c r="J79" s="275"/>
      <c r="K79" s="275"/>
      <c r="L79" s="275"/>
      <c r="M79" s="275"/>
      <c r="N79" s="275"/>
      <c r="O79" s="275"/>
      <c r="P79" s="275"/>
      <c r="Q79" s="275"/>
      <c r="R79" s="275"/>
      <c r="S79" s="275"/>
      <c r="T79" s="275"/>
      <c r="U79" s="275"/>
      <c r="V79" s="275"/>
      <c r="W79" s="275"/>
      <c r="X79" s="275"/>
      <c r="Y79" s="275"/>
      <c r="Z79" s="275"/>
      <c r="AA79" s="264"/>
      <c r="AB79" s="264"/>
      <c r="AC79" s="264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89">
        <v>4607111037411</v>
      </c>
      <c r="E80" s="290"/>
      <c r="F80" s="267">
        <v>2.7</v>
      </c>
      <c r="G80" s="32">
        <v>1</v>
      </c>
      <c r="H80" s="267">
        <v>2.7</v>
      </c>
      <c r="I80" s="267">
        <v>2.8132000000000001</v>
      </c>
      <c r="J80" s="32">
        <v>234</v>
      </c>
      <c r="K80" s="32" t="s">
        <v>147</v>
      </c>
      <c r="L80" s="32" t="s">
        <v>67</v>
      </c>
      <c r="M80" s="33" t="s">
        <v>68</v>
      </c>
      <c r="N80" s="33"/>
      <c r="O80" s="32">
        <v>180</v>
      </c>
      <c r="P80" s="4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4"/>
      <c r="R80" s="284"/>
      <c r="S80" s="284"/>
      <c r="T80" s="285"/>
      <c r="U80" s="34"/>
      <c r="V80" s="34"/>
      <c r="W80" s="35" t="s">
        <v>69</v>
      </c>
      <c r="X80" s="268">
        <v>0</v>
      </c>
      <c r="Y80" s="269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71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89">
        <v>4607111036728</v>
      </c>
      <c r="E81" s="290"/>
      <c r="F81" s="267">
        <v>5</v>
      </c>
      <c r="G81" s="32">
        <v>1</v>
      </c>
      <c r="H81" s="267">
        <v>5</v>
      </c>
      <c r="I81" s="267">
        <v>5.2131999999999996</v>
      </c>
      <c r="J81" s="32">
        <v>144</v>
      </c>
      <c r="K81" s="32" t="s">
        <v>66</v>
      </c>
      <c r="L81" s="32" t="s">
        <v>96</v>
      </c>
      <c r="M81" s="33" t="s">
        <v>68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4"/>
      <c r="R81" s="284"/>
      <c r="S81" s="284"/>
      <c r="T81" s="285"/>
      <c r="U81" s="34"/>
      <c r="V81" s="34"/>
      <c r="W81" s="35" t="s">
        <v>69</v>
      </c>
      <c r="X81" s="268">
        <v>96</v>
      </c>
      <c r="Y81" s="269">
        <f>IFERROR(IF(X81="","",X81),"")</f>
        <v>96</v>
      </c>
      <c r="Z81" s="36">
        <f>IFERROR(IF(X81="","",X81*0.00866),"")</f>
        <v>0.83135999999999988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500.46719999999993</v>
      </c>
      <c r="BN81" s="67">
        <f>IFERROR(Y81*I81,"0")</f>
        <v>500.46719999999993</v>
      </c>
      <c r="BO81" s="67">
        <f>IFERROR(X81/J81,"0")</f>
        <v>0.66666666666666663</v>
      </c>
      <c r="BP81" s="67">
        <f>IFERROR(Y81/J81,"0")</f>
        <v>0.66666666666666663</v>
      </c>
    </row>
    <row r="82" spans="1:68" x14ac:dyDescent="0.2">
      <c r="A82" s="292"/>
      <c r="B82" s="275"/>
      <c r="C82" s="275"/>
      <c r="D82" s="275"/>
      <c r="E82" s="275"/>
      <c r="F82" s="275"/>
      <c r="G82" s="275"/>
      <c r="H82" s="275"/>
      <c r="I82" s="275"/>
      <c r="J82" s="275"/>
      <c r="K82" s="275"/>
      <c r="L82" s="275"/>
      <c r="M82" s="275"/>
      <c r="N82" s="275"/>
      <c r="O82" s="293"/>
      <c r="P82" s="280" t="s">
        <v>82</v>
      </c>
      <c r="Q82" s="281"/>
      <c r="R82" s="281"/>
      <c r="S82" s="281"/>
      <c r="T82" s="281"/>
      <c r="U82" s="281"/>
      <c r="V82" s="282"/>
      <c r="W82" s="37" t="s">
        <v>69</v>
      </c>
      <c r="X82" s="270">
        <f>IFERROR(SUM(X80:X81),"0")</f>
        <v>96</v>
      </c>
      <c r="Y82" s="270">
        <f>IFERROR(SUM(Y80:Y81),"0")</f>
        <v>96</v>
      </c>
      <c r="Z82" s="270">
        <f>IFERROR(IF(Z80="",0,Z80),"0")+IFERROR(IF(Z81="",0,Z81),"0")</f>
        <v>0.83135999999999988</v>
      </c>
      <c r="AA82" s="271"/>
      <c r="AB82" s="271"/>
      <c r="AC82" s="271"/>
    </row>
    <row r="83" spans="1:68" x14ac:dyDescent="0.2">
      <c r="A83" s="275"/>
      <c r="B83" s="275"/>
      <c r="C83" s="275"/>
      <c r="D83" s="275"/>
      <c r="E83" s="275"/>
      <c r="F83" s="275"/>
      <c r="G83" s="275"/>
      <c r="H83" s="275"/>
      <c r="I83" s="275"/>
      <c r="J83" s="275"/>
      <c r="K83" s="275"/>
      <c r="L83" s="275"/>
      <c r="M83" s="275"/>
      <c r="N83" s="275"/>
      <c r="O83" s="293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0">
        <f>IFERROR(SUMPRODUCT(X80:X81*H80:H81),"0")</f>
        <v>480</v>
      </c>
      <c r="Y83" s="270">
        <f>IFERROR(SUMPRODUCT(Y80:Y81*H80:H81),"0")</f>
        <v>480</v>
      </c>
      <c r="Z83" s="37"/>
      <c r="AA83" s="271"/>
      <c r="AB83" s="271"/>
      <c r="AC83" s="271"/>
    </row>
    <row r="84" spans="1:68" ht="16.5" hidden="1" customHeight="1" x14ac:dyDescent="0.25">
      <c r="A84" s="288" t="s">
        <v>151</v>
      </c>
      <c r="B84" s="275"/>
      <c r="C84" s="275"/>
      <c r="D84" s="275"/>
      <c r="E84" s="275"/>
      <c r="F84" s="275"/>
      <c r="G84" s="275"/>
      <c r="H84" s="275"/>
      <c r="I84" s="275"/>
      <c r="J84" s="275"/>
      <c r="K84" s="275"/>
      <c r="L84" s="275"/>
      <c r="M84" s="275"/>
      <c r="N84" s="275"/>
      <c r="O84" s="275"/>
      <c r="P84" s="275"/>
      <c r="Q84" s="275"/>
      <c r="R84" s="275"/>
      <c r="S84" s="275"/>
      <c r="T84" s="275"/>
      <c r="U84" s="275"/>
      <c r="V84" s="275"/>
      <c r="W84" s="275"/>
      <c r="X84" s="275"/>
      <c r="Y84" s="275"/>
      <c r="Z84" s="275"/>
      <c r="AA84" s="263"/>
      <c r="AB84" s="263"/>
      <c r="AC84" s="263"/>
    </row>
    <row r="85" spans="1:68" ht="14.25" hidden="1" customHeight="1" x14ac:dyDescent="0.25">
      <c r="A85" s="276" t="s">
        <v>136</v>
      </c>
      <c r="B85" s="275"/>
      <c r="C85" s="275"/>
      <c r="D85" s="275"/>
      <c r="E85" s="275"/>
      <c r="F85" s="275"/>
      <c r="G85" s="275"/>
      <c r="H85" s="275"/>
      <c r="I85" s="275"/>
      <c r="J85" s="275"/>
      <c r="K85" s="275"/>
      <c r="L85" s="275"/>
      <c r="M85" s="275"/>
      <c r="N85" s="275"/>
      <c r="O85" s="275"/>
      <c r="P85" s="275"/>
      <c r="Q85" s="275"/>
      <c r="R85" s="275"/>
      <c r="S85" s="275"/>
      <c r="T85" s="275"/>
      <c r="U85" s="275"/>
      <c r="V85" s="275"/>
      <c r="W85" s="275"/>
      <c r="X85" s="275"/>
      <c r="Y85" s="275"/>
      <c r="Z85" s="275"/>
      <c r="AA85" s="264"/>
      <c r="AB85" s="264"/>
      <c r="AC85" s="264"/>
    </row>
    <row r="86" spans="1:68" ht="27" hidden="1" customHeight="1" x14ac:dyDescent="0.25">
      <c r="A86" s="54" t="s">
        <v>152</v>
      </c>
      <c r="B86" s="54" t="s">
        <v>153</v>
      </c>
      <c r="C86" s="31">
        <v>4301135574</v>
      </c>
      <c r="D86" s="289">
        <v>4607111033659</v>
      </c>
      <c r="E86" s="290"/>
      <c r="F86" s="267">
        <v>0.3</v>
      </c>
      <c r="G86" s="32">
        <v>12</v>
      </c>
      <c r="H86" s="267">
        <v>3.6</v>
      </c>
      <c r="I86" s="267">
        <v>4.3036000000000003</v>
      </c>
      <c r="J86" s="32">
        <v>70</v>
      </c>
      <c r="K86" s="32" t="s">
        <v>95</v>
      </c>
      <c r="L86" s="32" t="s">
        <v>96</v>
      </c>
      <c r="M86" s="33" t="s">
        <v>68</v>
      </c>
      <c r="N86" s="33"/>
      <c r="O86" s="32">
        <v>180</v>
      </c>
      <c r="P86" s="29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4"/>
      <c r="R86" s="284"/>
      <c r="S86" s="284"/>
      <c r="T86" s="285"/>
      <c r="U86" s="34"/>
      <c r="V86" s="34"/>
      <c r="W86" s="35" t="s">
        <v>69</v>
      </c>
      <c r="X86" s="268">
        <v>0</v>
      </c>
      <c r="Y86" s="269">
        <f>IFERROR(IF(X86="","",X86),"")</f>
        <v>0</v>
      </c>
      <c r="Z86" s="36">
        <f>IFERROR(IF(X86="","",X86*0.01788),"")</f>
        <v>0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0</v>
      </c>
      <c r="BN86" s="67">
        <f>IFERROR(Y86*I86,"0")</f>
        <v>0</v>
      </c>
      <c r="BO86" s="67">
        <f>IFERROR(X86/J86,"0")</f>
        <v>0</v>
      </c>
      <c r="BP86" s="67">
        <f>IFERROR(Y86/J86,"0")</f>
        <v>0</v>
      </c>
    </row>
    <row r="87" spans="1:68" hidden="1" x14ac:dyDescent="0.2">
      <c r="A87" s="292"/>
      <c r="B87" s="275"/>
      <c r="C87" s="275"/>
      <c r="D87" s="275"/>
      <c r="E87" s="275"/>
      <c r="F87" s="275"/>
      <c r="G87" s="275"/>
      <c r="H87" s="275"/>
      <c r="I87" s="275"/>
      <c r="J87" s="275"/>
      <c r="K87" s="275"/>
      <c r="L87" s="275"/>
      <c r="M87" s="275"/>
      <c r="N87" s="275"/>
      <c r="O87" s="293"/>
      <c r="P87" s="280" t="s">
        <v>82</v>
      </c>
      <c r="Q87" s="281"/>
      <c r="R87" s="281"/>
      <c r="S87" s="281"/>
      <c r="T87" s="281"/>
      <c r="U87" s="281"/>
      <c r="V87" s="282"/>
      <c r="W87" s="37" t="s">
        <v>69</v>
      </c>
      <c r="X87" s="270">
        <f>IFERROR(SUM(X86:X86),"0")</f>
        <v>0</v>
      </c>
      <c r="Y87" s="270">
        <f>IFERROR(SUM(Y86:Y86),"0")</f>
        <v>0</v>
      </c>
      <c r="Z87" s="270">
        <f>IFERROR(IF(Z86="",0,Z86),"0")</f>
        <v>0</v>
      </c>
      <c r="AA87" s="271"/>
      <c r="AB87" s="271"/>
      <c r="AC87" s="271"/>
    </row>
    <row r="88" spans="1:68" hidden="1" x14ac:dyDescent="0.2">
      <c r="A88" s="275"/>
      <c r="B88" s="275"/>
      <c r="C88" s="275"/>
      <c r="D88" s="275"/>
      <c r="E88" s="275"/>
      <c r="F88" s="275"/>
      <c r="G88" s="275"/>
      <c r="H88" s="275"/>
      <c r="I88" s="275"/>
      <c r="J88" s="275"/>
      <c r="K88" s="275"/>
      <c r="L88" s="275"/>
      <c r="M88" s="275"/>
      <c r="N88" s="275"/>
      <c r="O88" s="293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0">
        <f>IFERROR(SUMPRODUCT(X86:X86*H86:H86),"0")</f>
        <v>0</v>
      </c>
      <c r="Y88" s="270">
        <f>IFERROR(SUMPRODUCT(Y86:Y86*H86:H86),"0")</f>
        <v>0</v>
      </c>
      <c r="Z88" s="37"/>
      <c r="AA88" s="271"/>
      <c r="AB88" s="271"/>
      <c r="AC88" s="271"/>
    </row>
    <row r="89" spans="1:68" ht="16.5" hidden="1" customHeight="1" x14ac:dyDescent="0.25">
      <c r="A89" s="288" t="s">
        <v>155</v>
      </c>
      <c r="B89" s="275"/>
      <c r="C89" s="275"/>
      <c r="D89" s="275"/>
      <c r="E89" s="275"/>
      <c r="F89" s="275"/>
      <c r="G89" s="275"/>
      <c r="H89" s="275"/>
      <c r="I89" s="275"/>
      <c r="J89" s="275"/>
      <c r="K89" s="275"/>
      <c r="L89" s="275"/>
      <c r="M89" s="275"/>
      <c r="N89" s="275"/>
      <c r="O89" s="275"/>
      <c r="P89" s="275"/>
      <c r="Q89" s="275"/>
      <c r="R89" s="275"/>
      <c r="S89" s="275"/>
      <c r="T89" s="275"/>
      <c r="U89" s="275"/>
      <c r="V89" s="275"/>
      <c r="W89" s="275"/>
      <c r="X89" s="275"/>
      <c r="Y89" s="275"/>
      <c r="Z89" s="275"/>
      <c r="AA89" s="263"/>
      <c r="AB89" s="263"/>
      <c r="AC89" s="263"/>
    </row>
    <row r="90" spans="1:68" ht="14.25" hidden="1" customHeight="1" x14ac:dyDescent="0.25">
      <c r="A90" s="276" t="s">
        <v>156</v>
      </c>
      <c r="B90" s="275"/>
      <c r="C90" s="275"/>
      <c r="D90" s="275"/>
      <c r="E90" s="275"/>
      <c r="F90" s="275"/>
      <c r="G90" s="275"/>
      <c r="H90" s="275"/>
      <c r="I90" s="275"/>
      <c r="J90" s="275"/>
      <c r="K90" s="275"/>
      <c r="L90" s="275"/>
      <c r="M90" s="275"/>
      <c r="N90" s="275"/>
      <c r="O90" s="275"/>
      <c r="P90" s="275"/>
      <c r="Q90" s="275"/>
      <c r="R90" s="275"/>
      <c r="S90" s="275"/>
      <c r="T90" s="275"/>
      <c r="U90" s="275"/>
      <c r="V90" s="275"/>
      <c r="W90" s="275"/>
      <c r="X90" s="275"/>
      <c r="Y90" s="275"/>
      <c r="Z90" s="275"/>
      <c r="AA90" s="264"/>
      <c r="AB90" s="264"/>
      <c r="AC90" s="264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89">
        <v>4607111034120</v>
      </c>
      <c r="E91" s="290"/>
      <c r="F91" s="267">
        <v>0.3</v>
      </c>
      <c r="G91" s="32">
        <v>12</v>
      </c>
      <c r="H91" s="267">
        <v>3.6</v>
      </c>
      <c r="I91" s="267">
        <v>4.3036000000000003</v>
      </c>
      <c r="J91" s="32">
        <v>70</v>
      </c>
      <c r="K91" s="32" t="s">
        <v>95</v>
      </c>
      <c r="L91" s="32" t="s">
        <v>96</v>
      </c>
      <c r="M91" s="33" t="s">
        <v>68</v>
      </c>
      <c r="N91" s="33"/>
      <c r="O91" s="32">
        <v>180</v>
      </c>
      <c r="P91" s="397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4"/>
      <c r="R91" s="284"/>
      <c r="S91" s="284"/>
      <c r="T91" s="285"/>
      <c r="U91" s="34"/>
      <c r="V91" s="34"/>
      <c r="W91" s="35" t="s">
        <v>69</v>
      </c>
      <c r="X91" s="268">
        <v>84</v>
      </c>
      <c r="Y91" s="269">
        <f>IFERROR(IF(X91="","",X91),"")</f>
        <v>84</v>
      </c>
      <c r="Z91" s="36">
        <f>IFERROR(IF(X91="","",X91*0.01788),"")</f>
        <v>1.5019199999999999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361.50240000000002</v>
      </c>
      <c r="BN91" s="67">
        <f>IFERROR(Y91*I91,"0")</f>
        <v>361.50240000000002</v>
      </c>
      <c r="BO91" s="67">
        <f>IFERROR(X91/J91,"0")</f>
        <v>1.2</v>
      </c>
      <c r="BP91" s="67">
        <f>IFERROR(Y91/J91,"0")</f>
        <v>1.2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89">
        <v>4607111034137</v>
      </c>
      <c r="E92" s="290"/>
      <c r="F92" s="267">
        <v>0.3</v>
      </c>
      <c r="G92" s="32">
        <v>12</v>
      </c>
      <c r="H92" s="267">
        <v>3.6</v>
      </c>
      <c r="I92" s="267">
        <v>4.3036000000000003</v>
      </c>
      <c r="J92" s="32">
        <v>70</v>
      </c>
      <c r="K92" s="32" t="s">
        <v>95</v>
      </c>
      <c r="L92" s="32" t="s">
        <v>96</v>
      </c>
      <c r="M92" s="33" t="s">
        <v>68</v>
      </c>
      <c r="N92" s="33"/>
      <c r="O92" s="32">
        <v>180</v>
      </c>
      <c r="P92" s="3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4"/>
      <c r="R92" s="284"/>
      <c r="S92" s="284"/>
      <c r="T92" s="285"/>
      <c r="U92" s="34"/>
      <c r="V92" s="34"/>
      <c r="W92" s="35" t="s">
        <v>69</v>
      </c>
      <c r="X92" s="268">
        <v>84</v>
      </c>
      <c r="Y92" s="269">
        <f>IFERROR(IF(X92="","",X92),"")</f>
        <v>84</v>
      </c>
      <c r="Z92" s="36">
        <f>IFERROR(IF(X92="","",X92*0.01788),"")</f>
        <v>1.5019199999999999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361.50240000000002</v>
      </c>
      <c r="BN92" s="67">
        <f>IFERROR(Y92*I92,"0")</f>
        <v>361.50240000000002</v>
      </c>
      <c r="BO92" s="67">
        <f>IFERROR(X92/J92,"0")</f>
        <v>1.2</v>
      </c>
      <c r="BP92" s="67">
        <f>IFERROR(Y92/J92,"0")</f>
        <v>1.2</v>
      </c>
    </row>
    <row r="93" spans="1:68" x14ac:dyDescent="0.2">
      <c r="A93" s="292"/>
      <c r="B93" s="275"/>
      <c r="C93" s="275"/>
      <c r="D93" s="275"/>
      <c r="E93" s="275"/>
      <c r="F93" s="275"/>
      <c r="G93" s="275"/>
      <c r="H93" s="275"/>
      <c r="I93" s="275"/>
      <c r="J93" s="275"/>
      <c r="K93" s="275"/>
      <c r="L93" s="275"/>
      <c r="M93" s="275"/>
      <c r="N93" s="275"/>
      <c r="O93" s="293"/>
      <c r="P93" s="280" t="s">
        <v>82</v>
      </c>
      <c r="Q93" s="281"/>
      <c r="R93" s="281"/>
      <c r="S93" s="281"/>
      <c r="T93" s="281"/>
      <c r="U93" s="281"/>
      <c r="V93" s="282"/>
      <c r="W93" s="37" t="s">
        <v>69</v>
      </c>
      <c r="X93" s="270">
        <f>IFERROR(SUM(X91:X92),"0")</f>
        <v>168</v>
      </c>
      <c r="Y93" s="270">
        <f>IFERROR(SUM(Y91:Y92),"0")</f>
        <v>168</v>
      </c>
      <c r="Z93" s="270">
        <f>IFERROR(IF(Z91="",0,Z91),"0")+IFERROR(IF(Z92="",0,Z92),"0")</f>
        <v>3.0038399999999998</v>
      </c>
      <c r="AA93" s="271"/>
      <c r="AB93" s="271"/>
      <c r="AC93" s="271"/>
    </row>
    <row r="94" spans="1:68" x14ac:dyDescent="0.2">
      <c r="A94" s="275"/>
      <c r="B94" s="275"/>
      <c r="C94" s="275"/>
      <c r="D94" s="275"/>
      <c r="E94" s="275"/>
      <c r="F94" s="275"/>
      <c r="G94" s="275"/>
      <c r="H94" s="275"/>
      <c r="I94" s="275"/>
      <c r="J94" s="275"/>
      <c r="K94" s="275"/>
      <c r="L94" s="275"/>
      <c r="M94" s="275"/>
      <c r="N94" s="275"/>
      <c r="O94" s="293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0">
        <f>IFERROR(SUMPRODUCT(X91:X92*H91:H92),"0")</f>
        <v>604.80000000000007</v>
      </c>
      <c r="Y94" s="270">
        <f>IFERROR(SUMPRODUCT(Y91:Y92*H91:H92),"0")</f>
        <v>604.80000000000007</v>
      </c>
      <c r="Z94" s="37"/>
      <c r="AA94" s="271"/>
      <c r="AB94" s="271"/>
      <c r="AC94" s="271"/>
    </row>
    <row r="95" spans="1:68" ht="16.5" hidden="1" customHeight="1" x14ac:dyDescent="0.25">
      <c r="A95" s="288" t="s">
        <v>163</v>
      </c>
      <c r="B95" s="275"/>
      <c r="C95" s="275"/>
      <c r="D95" s="275"/>
      <c r="E95" s="275"/>
      <c r="F95" s="275"/>
      <c r="G95" s="275"/>
      <c r="H95" s="275"/>
      <c r="I95" s="275"/>
      <c r="J95" s="275"/>
      <c r="K95" s="275"/>
      <c r="L95" s="275"/>
      <c r="M95" s="275"/>
      <c r="N95" s="275"/>
      <c r="O95" s="275"/>
      <c r="P95" s="275"/>
      <c r="Q95" s="275"/>
      <c r="R95" s="275"/>
      <c r="S95" s="275"/>
      <c r="T95" s="275"/>
      <c r="U95" s="275"/>
      <c r="V95" s="275"/>
      <c r="W95" s="275"/>
      <c r="X95" s="275"/>
      <c r="Y95" s="275"/>
      <c r="Z95" s="275"/>
      <c r="AA95" s="263"/>
      <c r="AB95" s="263"/>
      <c r="AC95" s="263"/>
    </row>
    <row r="96" spans="1:68" ht="14.25" hidden="1" customHeight="1" x14ac:dyDescent="0.25">
      <c r="A96" s="276" t="s">
        <v>136</v>
      </c>
      <c r="B96" s="275"/>
      <c r="C96" s="275"/>
      <c r="D96" s="275"/>
      <c r="E96" s="275"/>
      <c r="F96" s="275"/>
      <c r="G96" s="275"/>
      <c r="H96" s="275"/>
      <c r="I96" s="275"/>
      <c r="J96" s="275"/>
      <c r="K96" s="275"/>
      <c r="L96" s="275"/>
      <c r="M96" s="275"/>
      <c r="N96" s="275"/>
      <c r="O96" s="275"/>
      <c r="P96" s="275"/>
      <c r="Q96" s="275"/>
      <c r="R96" s="275"/>
      <c r="S96" s="275"/>
      <c r="T96" s="275"/>
      <c r="U96" s="275"/>
      <c r="V96" s="275"/>
      <c r="W96" s="275"/>
      <c r="X96" s="275"/>
      <c r="Y96" s="275"/>
      <c r="Z96" s="275"/>
      <c r="AA96" s="264"/>
      <c r="AB96" s="264"/>
      <c r="AC96" s="264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89">
        <v>4620207491027</v>
      </c>
      <c r="E97" s="290"/>
      <c r="F97" s="267">
        <v>0.24</v>
      </c>
      <c r="G97" s="32">
        <v>12</v>
      </c>
      <c r="H97" s="267">
        <v>2.88</v>
      </c>
      <c r="I97" s="267">
        <v>3.5836000000000001</v>
      </c>
      <c r="J97" s="32">
        <v>70</v>
      </c>
      <c r="K97" s="32" t="s">
        <v>95</v>
      </c>
      <c r="L97" s="32" t="s">
        <v>96</v>
      </c>
      <c r="M97" s="33" t="s">
        <v>68</v>
      </c>
      <c r="N97" s="33"/>
      <c r="O97" s="32">
        <v>180</v>
      </c>
      <c r="P97" s="327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4"/>
      <c r="R97" s="284"/>
      <c r="S97" s="284"/>
      <c r="T97" s="285"/>
      <c r="U97" s="34"/>
      <c r="V97" s="34"/>
      <c r="W97" s="35" t="s">
        <v>69</v>
      </c>
      <c r="X97" s="268">
        <v>28</v>
      </c>
      <c r="Y97" s="269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customHeight="1" x14ac:dyDescent="0.25">
      <c r="A98" s="54" t="s">
        <v>166</v>
      </c>
      <c r="B98" s="54" t="s">
        <v>167</v>
      </c>
      <c r="C98" s="31">
        <v>4301135793</v>
      </c>
      <c r="D98" s="289">
        <v>4620207491003</v>
      </c>
      <c r="E98" s="290"/>
      <c r="F98" s="267">
        <v>0.24</v>
      </c>
      <c r="G98" s="32">
        <v>12</v>
      </c>
      <c r="H98" s="267">
        <v>2.88</v>
      </c>
      <c r="I98" s="267">
        <v>3.5836000000000001</v>
      </c>
      <c r="J98" s="32">
        <v>70</v>
      </c>
      <c r="K98" s="32" t="s">
        <v>95</v>
      </c>
      <c r="L98" s="32" t="s">
        <v>96</v>
      </c>
      <c r="M98" s="33" t="s">
        <v>68</v>
      </c>
      <c r="N98" s="33"/>
      <c r="O98" s="32">
        <v>180</v>
      </c>
      <c r="P98" s="411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4"/>
      <c r="R98" s="284"/>
      <c r="S98" s="284"/>
      <c r="T98" s="285"/>
      <c r="U98" s="34"/>
      <c r="V98" s="34"/>
      <c r="W98" s="35" t="s">
        <v>69</v>
      </c>
      <c r="X98" s="268">
        <v>70</v>
      </c>
      <c r="Y98" s="269">
        <f t="shared" si="6"/>
        <v>70</v>
      </c>
      <c r="Z98" s="36">
        <f t="shared" si="7"/>
        <v>1.2516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250.852</v>
      </c>
      <c r="BN98" s="67">
        <f t="shared" si="9"/>
        <v>250.852</v>
      </c>
      <c r="BO98" s="67">
        <f t="shared" si="10"/>
        <v>1</v>
      </c>
      <c r="BP98" s="67">
        <f t="shared" si="11"/>
        <v>1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89">
        <v>4620207491034</v>
      </c>
      <c r="E99" s="290"/>
      <c r="F99" s="267">
        <v>0.24</v>
      </c>
      <c r="G99" s="32">
        <v>12</v>
      </c>
      <c r="H99" s="267">
        <v>2.88</v>
      </c>
      <c r="I99" s="267">
        <v>3.5836000000000001</v>
      </c>
      <c r="J99" s="32">
        <v>70</v>
      </c>
      <c r="K99" s="32" t="s">
        <v>95</v>
      </c>
      <c r="L99" s="32" t="s">
        <v>96</v>
      </c>
      <c r="M99" s="33" t="s">
        <v>68</v>
      </c>
      <c r="N99" s="33"/>
      <c r="O99" s="32">
        <v>180</v>
      </c>
      <c r="P99" s="310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4"/>
      <c r="R99" s="284"/>
      <c r="S99" s="284"/>
      <c r="T99" s="285"/>
      <c r="U99" s="34"/>
      <c r="V99" s="34"/>
      <c r="W99" s="35" t="s">
        <v>69</v>
      </c>
      <c r="X99" s="268">
        <v>70</v>
      </c>
      <c r="Y99" s="269">
        <f t="shared" si="6"/>
        <v>70</v>
      </c>
      <c r="Z99" s="36">
        <f t="shared" si="7"/>
        <v>1.2516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250.852</v>
      </c>
      <c r="BN99" s="67">
        <f t="shared" si="9"/>
        <v>250.852</v>
      </c>
      <c r="BO99" s="67">
        <f t="shared" si="10"/>
        <v>1</v>
      </c>
      <c r="BP99" s="67">
        <f t="shared" si="11"/>
        <v>1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89">
        <v>4620207491010</v>
      </c>
      <c r="E100" s="290"/>
      <c r="F100" s="267">
        <v>0.24</v>
      </c>
      <c r="G100" s="32">
        <v>12</v>
      </c>
      <c r="H100" s="267">
        <v>2.88</v>
      </c>
      <c r="I100" s="267">
        <v>3.5836000000000001</v>
      </c>
      <c r="J100" s="32">
        <v>70</v>
      </c>
      <c r="K100" s="32" t="s">
        <v>95</v>
      </c>
      <c r="L100" s="32" t="s">
        <v>96</v>
      </c>
      <c r="M100" s="33" t="s">
        <v>68</v>
      </c>
      <c r="N100" s="33"/>
      <c r="O100" s="32">
        <v>180</v>
      </c>
      <c r="P100" s="318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4"/>
      <c r="R100" s="284"/>
      <c r="S100" s="284"/>
      <c r="T100" s="285"/>
      <c r="U100" s="34"/>
      <c r="V100" s="34"/>
      <c r="W100" s="35" t="s">
        <v>69</v>
      </c>
      <c r="X100" s="268">
        <v>56</v>
      </c>
      <c r="Y100" s="269">
        <f t="shared" si="6"/>
        <v>56</v>
      </c>
      <c r="Z100" s="36">
        <f t="shared" si="7"/>
        <v>1.0012799999999999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200.6816</v>
      </c>
      <c r="BN100" s="67">
        <f t="shared" si="9"/>
        <v>200.6816</v>
      </c>
      <c r="BO100" s="67">
        <f t="shared" si="10"/>
        <v>0.8</v>
      </c>
      <c r="BP100" s="67">
        <f t="shared" si="11"/>
        <v>0.8</v>
      </c>
    </row>
    <row r="101" spans="1:68" ht="27" customHeight="1" x14ac:dyDescent="0.25">
      <c r="A101" s="54" t="s">
        <v>173</v>
      </c>
      <c r="B101" s="54" t="s">
        <v>174</v>
      </c>
      <c r="C101" s="31">
        <v>4301135571</v>
      </c>
      <c r="D101" s="289">
        <v>4607111035028</v>
      </c>
      <c r="E101" s="290"/>
      <c r="F101" s="267">
        <v>0.48</v>
      </c>
      <c r="G101" s="32">
        <v>8</v>
      </c>
      <c r="H101" s="267">
        <v>3.84</v>
      </c>
      <c r="I101" s="267">
        <v>4.4488000000000003</v>
      </c>
      <c r="J101" s="32">
        <v>70</v>
      </c>
      <c r="K101" s="32" t="s">
        <v>95</v>
      </c>
      <c r="L101" s="32" t="s">
        <v>96</v>
      </c>
      <c r="M101" s="33" t="s">
        <v>68</v>
      </c>
      <c r="N101" s="33"/>
      <c r="O101" s="32">
        <v>180</v>
      </c>
      <c r="P101" s="41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4"/>
      <c r="R101" s="284"/>
      <c r="S101" s="284"/>
      <c r="T101" s="285"/>
      <c r="U101" s="34"/>
      <c r="V101" s="34"/>
      <c r="W101" s="35" t="s">
        <v>69</v>
      </c>
      <c r="X101" s="268">
        <v>28</v>
      </c>
      <c r="Y101" s="269">
        <f t="shared" si="6"/>
        <v>28</v>
      </c>
      <c r="Z101" s="36">
        <f t="shared" si="7"/>
        <v>0.50063999999999997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124.56640000000002</v>
      </c>
      <c r="BN101" s="67">
        <f t="shared" si="9"/>
        <v>124.56640000000002</v>
      </c>
      <c r="BO101" s="67">
        <f t="shared" si="10"/>
        <v>0.4</v>
      </c>
      <c r="BP101" s="67">
        <f t="shared" si="11"/>
        <v>0.4</v>
      </c>
    </row>
    <row r="102" spans="1:68" ht="27" customHeight="1" x14ac:dyDescent="0.25">
      <c r="A102" s="54" t="s">
        <v>175</v>
      </c>
      <c r="B102" s="54" t="s">
        <v>176</v>
      </c>
      <c r="C102" s="31">
        <v>4301135285</v>
      </c>
      <c r="D102" s="289">
        <v>4607111036407</v>
      </c>
      <c r="E102" s="290"/>
      <c r="F102" s="267">
        <v>0.3</v>
      </c>
      <c r="G102" s="32">
        <v>14</v>
      </c>
      <c r="H102" s="267">
        <v>4.2</v>
      </c>
      <c r="I102" s="267">
        <v>4.5292000000000003</v>
      </c>
      <c r="J102" s="32">
        <v>70</v>
      </c>
      <c r="K102" s="32" t="s">
        <v>95</v>
      </c>
      <c r="L102" s="32" t="s">
        <v>67</v>
      </c>
      <c r="M102" s="33" t="s">
        <v>68</v>
      </c>
      <c r="N102" s="33"/>
      <c r="O102" s="32">
        <v>180</v>
      </c>
      <c r="P102" s="38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4"/>
      <c r="R102" s="284"/>
      <c r="S102" s="284"/>
      <c r="T102" s="285"/>
      <c r="U102" s="34"/>
      <c r="V102" s="34"/>
      <c r="W102" s="35" t="s">
        <v>69</v>
      </c>
      <c r="X102" s="268">
        <v>14</v>
      </c>
      <c r="Y102" s="269">
        <f t="shared" si="6"/>
        <v>14</v>
      </c>
      <c r="Z102" s="36">
        <f t="shared" si="7"/>
        <v>0.25031999999999999</v>
      </c>
      <c r="AA102" s="56"/>
      <c r="AB102" s="57"/>
      <c r="AC102" s="140" t="s">
        <v>177</v>
      </c>
      <c r="AG102" s="67"/>
      <c r="AJ102" s="71" t="s">
        <v>71</v>
      </c>
      <c r="AK102" s="71">
        <v>1</v>
      </c>
      <c r="BB102" s="141" t="s">
        <v>99</v>
      </c>
      <c r="BM102" s="67">
        <f t="shared" si="8"/>
        <v>63.408800000000006</v>
      </c>
      <c r="BN102" s="67">
        <f t="shared" si="9"/>
        <v>63.408800000000006</v>
      </c>
      <c r="BO102" s="67">
        <f t="shared" si="10"/>
        <v>0.2</v>
      </c>
      <c r="BP102" s="67">
        <f t="shared" si="11"/>
        <v>0.2</v>
      </c>
    </row>
    <row r="103" spans="1:68" x14ac:dyDescent="0.2">
      <c r="A103" s="292"/>
      <c r="B103" s="275"/>
      <c r="C103" s="275"/>
      <c r="D103" s="275"/>
      <c r="E103" s="275"/>
      <c r="F103" s="275"/>
      <c r="G103" s="275"/>
      <c r="H103" s="275"/>
      <c r="I103" s="275"/>
      <c r="J103" s="275"/>
      <c r="K103" s="275"/>
      <c r="L103" s="275"/>
      <c r="M103" s="275"/>
      <c r="N103" s="275"/>
      <c r="O103" s="293"/>
      <c r="P103" s="280" t="s">
        <v>82</v>
      </c>
      <c r="Q103" s="281"/>
      <c r="R103" s="281"/>
      <c r="S103" s="281"/>
      <c r="T103" s="281"/>
      <c r="U103" s="281"/>
      <c r="V103" s="282"/>
      <c r="W103" s="37" t="s">
        <v>69</v>
      </c>
      <c r="X103" s="270">
        <f>IFERROR(SUM(X97:X102),"0")</f>
        <v>266</v>
      </c>
      <c r="Y103" s="270">
        <f>IFERROR(SUM(Y97:Y102),"0")</f>
        <v>266</v>
      </c>
      <c r="Z103" s="270">
        <f>IFERROR(IF(Z97="",0,Z97),"0")+IFERROR(IF(Z98="",0,Z98),"0")+IFERROR(IF(Z99="",0,Z99),"0")+IFERROR(IF(Z100="",0,Z100),"0")+IFERROR(IF(Z101="",0,Z101),"0")+IFERROR(IF(Z102="",0,Z102),"0")</f>
        <v>4.7560799999999999</v>
      </c>
      <c r="AA103" s="271"/>
      <c r="AB103" s="271"/>
      <c r="AC103" s="271"/>
    </row>
    <row r="104" spans="1:68" x14ac:dyDescent="0.2">
      <c r="A104" s="275"/>
      <c r="B104" s="275"/>
      <c r="C104" s="275"/>
      <c r="D104" s="275"/>
      <c r="E104" s="275"/>
      <c r="F104" s="275"/>
      <c r="G104" s="275"/>
      <c r="H104" s="275"/>
      <c r="I104" s="275"/>
      <c r="J104" s="275"/>
      <c r="K104" s="275"/>
      <c r="L104" s="275"/>
      <c r="M104" s="275"/>
      <c r="N104" s="275"/>
      <c r="O104" s="293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0">
        <f>IFERROR(SUMPRODUCT(X97:X102*H97:H102),"0")</f>
        <v>811.43999999999994</v>
      </c>
      <c r="Y104" s="270">
        <f>IFERROR(SUMPRODUCT(Y97:Y102*H97:H102),"0")</f>
        <v>811.43999999999994</v>
      </c>
      <c r="Z104" s="37"/>
      <c r="AA104" s="271"/>
      <c r="AB104" s="271"/>
      <c r="AC104" s="271"/>
    </row>
    <row r="105" spans="1:68" ht="16.5" hidden="1" customHeight="1" x14ac:dyDescent="0.25">
      <c r="A105" s="288" t="s">
        <v>178</v>
      </c>
      <c r="B105" s="275"/>
      <c r="C105" s="275"/>
      <c r="D105" s="275"/>
      <c r="E105" s="275"/>
      <c r="F105" s="275"/>
      <c r="G105" s="275"/>
      <c r="H105" s="275"/>
      <c r="I105" s="275"/>
      <c r="J105" s="275"/>
      <c r="K105" s="275"/>
      <c r="L105" s="275"/>
      <c r="M105" s="275"/>
      <c r="N105" s="275"/>
      <c r="O105" s="275"/>
      <c r="P105" s="275"/>
      <c r="Q105" s="275"/>
      <c r="R105" s="275"/>
      <c r="S105" s="275"/>
      <c r="T105" s="275"/>
      <c r="U105" s="275"/>
      <c r="V105" s="275"/>
      <c r="W105" s="275"/>
      <c r="X105" s="275"/>
      <c r="Y105" s="275"/>
      <c r="Z105" s="275"/>
      <c r="AA105" s="263"/>
      <c r="AB105" s="263"/>
      <c r="AC105" s="263"/>
    </row>
    <row r="106" spans="1:68" ht="14.25" hidden="1" customHeight="1" x14ac:dyDescent="0.25">
      <c r="A106" s="276" t="s">
        <v>130</v>
      </c>
      <c r="B106" s="275"/>
      <c r="C106" s="275"/>
      <c r="D106" s="275"/>
      <c r="E106" s="275"/>
      <c r="F106" s="275"/>
      <c r="G106" s="275"/>
      <c r="H106" s="275"/>
      <c r="I106" s="275"/>
      <c r="J106" s="275"/>
      <c r="K106" s="275"/>
      <c r="L106" s="275"/>
      <c r="M106" s="275"/>
      <c r="N106" s="275"/>
      <c r="O106" s="275"/>
      <c r="P106" s="275"/>
      <c r="Q106" s="275"/>
      <c r="R106" s="275"/>
      <c r="S106" s="275"/>
      <c r="T106" s="275"/>
      <c r="U106" s="275"/>
      <c r="V106" s="275"/>
      <c r="W106" s="275"/>
      <c r="X106" s="275"/>
      <c r="Y106" s="275"/>
      <c r="Z106" s="275"/>
      <c r="AA106" s="264"/>
      <c r="AB106" s="264"/>
      <c r="AC106" s="264"/>
    </row>
    <row r="107" spans="1:68" ht="27" hidden="1" customHeight="1" x14ac:dyDescent="0.25">
      <c r="A107" s="54" t="s">
        <v>179</v>
      </c>
      <c r="B107" s="54" t="s">
        <v>180</v>
      </c>
      <c r="C107" s="31">
        <v>4301136070</v>
      </c>
      <c r="D107" s="289">
        <v>4607025784012</v>
      </c>
      <c r="E107" s="290"/>
      <c r="F107" s="267">
        <v>0.09</v>
      </c>
      <c r="G107" s="32">
        <v>24</v>
      </c>
      <c r="H107" s="267">
        <v>2.16</v>
      </c>
      <c r="I107" s="267">
        <v>2.4912000000000001</v>
      </c>
      <c r="J107" s="32">
        <v>126</v>
      </c>
      <c r="K107" s="32" t="s">
        <v>95</v>
      </c>
      <c r="L107" s="32" t="s">
        <v>96</v>
      </c>
      <c r="M107" s="33" t="s">
        <v>68</v>
      </c>
      <c r="N107" s="33"/>
      <c r="O107" s="32">
        <v>180</v>
      </c>
      <c r="P107" s="45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4"/>
      <c r="R107" s="284"/>
      <c r="S107" s="284"/>
      <c r="T107" s="285"/>
      <c r="U107" s="34"/>
      <c r="V107" s="34"/>
      <c r="W107" s="35" t="s">
        <v>69</v>
      </c>
      <c r="X107" s="268">
        <v>0</v>
      </c>
      <c r="Y107" s="269">
        <f>IFERROR(IF(X107="","",X107),"")</f>
        <v>0</v>
      </c>
      <c r="Z107" s="36">
        <f>IFERROR(IF(X107="","",X107*0.00936),"")</f>
        <v>0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0</v>
      </c>
      <c r="BN107" s="67">
        <f>IFERROR(Y107*I107,"0")</f>
        <v>0</v>
      </c>
      <c r="BO107" s="67">
        <f>IFERROR(X107/J107,"0")</f>
        <v>0</v>
      </c>
      <c r="BP107" s="67">
        <f>IFERROR(Y107/J107,"0")</f>
        <v>0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89">
        <v>4607025784319</v>
      </c>
      <c r="E108" s="290"/>
      <c r="F108" s="267">
        <v>0.36</v>
      </c>
      <c r="G108" s="32">
        <v>10</v>
      </c>
      <c r="H108" s="267">
        <v>3.6</v>
      </c>
      <c r="I108" s="267">
        <v>4.2439999999999998</v>
      </c>
      <c r="J108" s="32">
        <v>70</v>
      </c>
      <c r="K108" s="32" t="s">
        <v>95</v>
      </c>
      <c r="L108" s="32" t="s">
        <v>96</v>
      </c>
      <c r="M108" s="33" t="s">
        <v>68</v>
      </c>
      <c r="N108" s="33"/>
      <c r="O108" s="32">
        <v>180</v>
      </c>
      <c r="P108" s="402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4"/>
      <c r="R108" s="284"/>
      <c r="S108" s="284"/>
      <c r="T108" s="285"/>
      <c r="U108" s="34"/>
      <c r="V108" s="34"/>
      <c r="W108" s="35" t="s">
        <v>69</v>
      </c>
      <c r="X108" s="268">
        <v>56</v>
      </c>
      <c r="Y108" s="269">
        <f>IFERROR(IF(X108="","",X108),"")</f>
        <v>56</v>
      </c>
      <c r="Z108" s="36">
        <f>IFERROR(IF(X108="","",X108*0.01788),"")</f>
        <v>1.0012799999999999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237.66399999999999</v>
      </c>
      <c r="BN108" s="67">
        <f>IFERROR(Y108*I108,"0")</f>
        <v>237.66399999999999</v>
      </c>
      <c r="BO108" s="67">
        <f>IFERROR(X108/J108,"0")</f>
        <v>0.8</v>
      </c>
      <c r="BP108" s="67">
        <f>IFERROR(Y108/J108,"0")</f>
        <v>0.8</v>
      </c>
    </row>
    <row r="109" spans="1:68" x14ac:dyDescent="0.2">
      <c r="A109" s="292"/>
      <c r="B109" s="275"/>
      <c r="C109" s="275"/>
      <c r="D109" s="275"/>
      <c r="E109" s="275"/>
      <c r="F109" s="275"/>
      <c r="G109" s="275"/>
      <c r="H109" s="275"/>
      <c r="I109" s="275"/>
      <c r="J109" s="275"/>
      <c r="K109" s="275"/>
      <c r="L109" s="275"/>
      <c r="M109" s="275"/>
      <c r="N109" s="275"/>
      <c r="O109" s="293"/>
      <c r="P109" s="280" t="s">
        <v>82</v>
      </c>
      <c r="Q109" s="281"/>
      <c r="R109" s="281"/>
      <c r="S109" s="281"/>
      <c r="T109" s="281"/>
      <c r="U109" s="281"/>
      <c r="V109" s="282"/>
      <c r="W109" s="37" t="s">
        <v>69</v>
      </c>
      <c r="X109" s="270">
        <f>IFERROR(SUM(X107:X108),"0")</f>
        <v>56</v>
      </c>
      <c r="Y109" s="270">
        <f>IFERROR(SUM(Y107:Y108),"0")</f>
        <v>56</v>
      </c>
      <c r="Z109" s="270">
        <f>IFERROR(IF(Z107="",0,Z107),"0")+IFERROR(IF(Z108="",0,Z108),"0")</f>
        <v>1.0012799999999999</v>
      </c>
      <c r="AA109" s="271"/>
      <c r="AB109" s="271"/>
      <c r="AC109" s="271"/>
    </row>
    <row r="110" spans="1:68" x14ac:dyDescent="0.2">
      <c r="A110" s="275"/>
      <c r="B110" s="275"/>
      <c r="C110" s="275"/>
      <c r="D110" s="275"/>
      <c r="E110" s="275"/>
      <c r="F110" s="275"/>
      <c r="G110" s="275"/>
      <c r="H110" s="275"/>
      <c r="I110" s="275"/>
      <c r="J110" s="275"/>
      <c r="K110" s="275"/>
      <c r="L110" s="275"/>
      <c r="M110" s="275"/>
      <c r="N110" s="275"/>
      <c r="O110" s="293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0">
        <f>IFERROR(SUMPRODUCT(X107:X108*H107:H108),"0")</f>
        <v>201.6</v>
      </c>
      <c r="Y110" s="270">
        <f>IFERROR(SUMPRODUCT(Y107:Y108*H107:H108),"0")</f>
        <v>201.6</v>
      </c>
      <c r="Z110" s="37"/>
      <c r="AA110" s="271"/>
      <c r="AB110" s="271"/>
      <c r="AC110" s="271"/>
    </row>
    <row r="111" spans="1:68" ht="16.5" hidden="1" customHeight="1" x14ac:dyDescent="0.25">
      <c r="A111" s="288" t="s">
        <v>184</v>
      </c>
      <c r="B111" s="275"/>
      <c r="C111" s="275"/>
      <c r="D111" s="275"/>
      <c r="E111" s="275"/>
      <c r="F111" s="275"/>
      <c r="G111" s="275"/>
      <c r="H111" s="275"/>
      <c r="I111" s="275"/>
      <c r="J111" s="275"/>
      <c r="K111" s="275"/>
      <c r="L111" s="275"/>
      <c r="M111" s="275"/>
      <c r="N111" s="275"/>
      <c r="O111" s="275"/>
      <c r="P111" s="275"/>
      <c r="Q111" s="275"/>
      <c r="R111" s="275"/>
      <c r="S111" s="275"/>
      <c r="T111" s="275"/>
      <c r="U111" s="275"/>
      <c r="V111" s="275"/>
      <c r="W111" s="275"/>
      <c r="X111" s="275"/>
      <c r="Y111" s="275"/>
      <c r="Z111" s="275"/>
      <c r="AA111" s="263"/>
      <c r="AB111" s="263"/>
      <c r="AC111" s="263"/>
    </row>
    <row r="112" spans="1:68" ht="14.25" hidden="1" customHeight="1" x14ac:dyDescent="0.25">
      <c r="A112" s="276" t="s">
        <v>63</v>
      </c>
      <c r="B112" s="275"/>
      <c r="C112" s="275"/>
      <c r="D112" s="275"/>
      <c r="E112" s="275"/>
      <c r="F112" s="275"/>
      <c r="G112" s="275"/>
      <c r="H112" s="275"/>
      <c r="I112" s="275"/>
      <c r="J112" s="275"/>
      <c r="K112" s="275"/>
      <c r="L112" s="275"/>
      <c r="M112" s="275"/>
      <c r="N112" s="275"/>
      <c r="O112" s="275"/>
      <c r="P112" s="275"/>
      <c r="Q112" s="275"/>
      <c r="R112" s="275"/>
      <c r="S112" s="275"/>
      <c r="T112" s="275"/>
      <c r="U112" s="275"/>
      <c r="V112" s="275"/>
      <c r="W112" s="275"/>
      <c r="X112" s="275"/>
      <c r="Y112" s="275"/>
      <c r="Z112" s="275"/>
      <c r="AA112" s="264"/>
      <c r="AB112" s="264"/>
      <c r="AC112" s="264"/>
    </row>
    <row r="113" spans="1:68" ht="27" hidden="1" customHeight="1" x14ac:dyDescent="0.25">
      <c r="A113" s="54" t="s">
        <v>185</v>
      </c>
      <c r="B113" s="54" t="s">
        <v>186</v>
      </c>
      <c r="C113" s="31">
        <v>4301071121</v>
      </c>
      <c r="D113" s="289">
        <v>4620207491393</v>
      </c>
      <c r="E113" s="290"/>
      <c r="F113" s="267">
        <v>0.4</v>
      </c>
      <c r="G113" s="32">
        <v>16</v>
      </c>
      <c r="H113" s="267">
        <v>6.4</v>
      </c>
      <c r="I113" s="267">
        <v>6.71</v>
      </c>
      <c r="J113" s="32">
        <v>84</v>
      </c>
      <c r="K113" s="32" t="s">
        <v>66</v>
      </c>
      <c r="L113" s="32" t="s">
        <v>67</v>
      </c>
      <c r="M113" s="33" t="s">
        <v>68</v>
      </c>
      <c r="N113" s="33"/>
      <c r="O113" s="32">
        <v>180</v>
      </c>
      <c r="P113" s="33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3" s="284"/>
      <c r="R113" s="284"/>
      <c r="S113" s="284"/>
      <c r="T113" s="285"/>
      <c r="U113" s="34"/>
      <c r="V113" s="34"/>
      <c r="W113" s="35" t="s">
        <v>69</v>
      </c>
      <c r="X113" s="268">
        <v>0</v>
      </c>
      <c r="Y113" s="269">
        <f t="shared" ref="Y113:Y120" si="12">IFERROR(IF(X113="","",X113),"")</f>
        <v>0</v>
      </c>
      <c r="Z113" s="36">
        <f t="shared" ref="Z113:Z120" si="13">IFERROR(IF(X113="","",X113*0.0155),"")</f>
        <v>0</v>
      </c>
      <c r="AA113" s="56"/>
      <c r="AB113" s="57" t="s">
        <v>187</v>
      </c>
      <c r="AC113" s="146" t="s">
        <v>188</v>
      </c>
      <c r="AG113" s="67"/>
      <c r="AJ113" s="71" t="s">
        <v>71</v>
      </c>
      <c r="AK113" s="71">
        <v>1</v>
      </c>
      <c r="BB113" s="147" t="s">
        <v>1</v>
      </c>
      <c r="BM113" s="67">
        <f t="shared" ref="BM113:BM120" si="14">IFERROR(X113*I113,"0")</f>
        <v>0</v>
      </c>
      <c r="BN113" s="67">
        <f t="shared" ref="BN113:BN120" si="15">IFERROR(Y113*I113,"0")</f>
        <v>0</v>
      </c>
      <c r="BO113" s="67">
        <f t="shared" ref="BO113:BO120" si="16">IFERROR(X113/J113,"0")</f>
        <v>0</v>
      </c>
      <c r="BP113" s="67">
        <f t="shared" ref="BP113:BP120" si="17">IFERROR(Y113/J113,"0")</f>
        <v>0</v>
      </c>
    </row>
    <row r="114" spans="1:68" ht="27" hidden="1" customHeight="1" x14ac:dyDescent="0.25">
      <c r="A114" s="54" t="s">
        <v>189</v>
      </c>
      <c r="B114" s="54" t="s">
        <v>190</v>
      </c>
      <c r="C114" s="31">
        <v>4301071074</v>
      </c>
      <c r="D114" s="289">
        <v>4620207491157</v>
      </c>
      <c r="E114" s="290"/>
      <c r="F114" s="267">
        <v>0.7</v>
      </c>
      <c r="G114" s="32">
        <v>10</v>
      </c>
      <c r="H114" s="267">
        <v>7</v>
      </c>
      <c r="I114" s="267">
        <v>7.28</v>
      </c>
      <c r="J114" s="32">
        <v>84</v>
      </c>
      <c r="K114" s="32" t="s">
        <v>66</v>
      </c>
      <c r="L114" s="32" t="s">
        <v>96</v>
      </c>
      <c r="M114" s="33" t="s">
        <v>68</v>
      </c>
      <c r="N114" s="33"/>
      <c r="O114" s="32">
        <v>180</v>
      </c>
      <c r="P114" s="45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4" s="284"/>
      <c r="R114" s="284"/>
      <c r="S114" s="284"/>
      <c r="T114" s="285"/>
      <c r="U114" s="34"/>
      <c r="V114" s="34"/>
      <c r="W114" s="35" t="s">
        <v>69</v>
      </c>
      <c r="X114" s="268">
        <v>0</v>
      </c>
      <c r="Y114" s="269">
        <f t="shared" si="12"/>
        <v>0</v>
      </c>
      <c r="Z114" s="36">
        <f t="shared" si="13"/>
        <v>0</v>
      </c>
      <c r="AA114" s="56"/>
      <c r="AB114" s="57"/>
      <c r="AC114" s="148" t="s">
        <v>191</v>
      </c>
      <c r="AG114" s="67"/>
      <c r="AJ114" s="71" t="s">
        <v>98</v>
      </c>
      <c r="AK114" s="71">
        <v>12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customHeight="1" x14ac:dyDescent="0.25">
      <c r="A115" s="54" t="s">
        <v>192</v>
      </c>
      <c r="B115" s="54" t="s">
        <v>193</v>
      </c>
      <c r="C115" s="31">
        <v>4301071051</v>
      </c>
      <c r="D115" s="289">
        <v>4607111039262</v>
      </c>
      <c r="E115" s="290"/>
      <c r="F115" s="267">
        <v>0.4</v>
      </c>
      <c r="G115" s="32">
        <v>16</v>
      </c>
      <c r="H115" s="267">
        <v>6.4</v>
      </c>
      <c r="I115" s="267">
        <v>6.7195999999999998</v>
      </c>
      <c r="J115" s="32">
        <v>84</v>
      </c>
      <c r="K115" s="32" t="s">
        <v>66</v>
      </c>
      <c r="L115" s="32" t="s">
        <v>96</v>
      </c>
      <c r="M115" s="33" t="s">
        <v>68</v>
      </c>
      <c r="N115" s="33"/>
      <c r="O115" s="32">
        <v>180</v>
      </c>
      <c r="P115" s="38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4"/>
      <c r="R115" s="284"/>
      <c r="S115" s="284"/>
      <c r="T115" s="285"/>
      <c r="U115" s="34"/>
      <c r="V115" s="34"/>
      <c r="W115" s="35" t="s">
        <v>69</v>
      </c>
      <c r="X115" s="268">
        <v>12</v>
      </c>
      <c r="Y115" s="269">
        <f t="shared" si="12"/>
        <v>12</v>
      </c>
      <c r="Z115" s="36">
        <f t="shared" si="13"/>
        <v>0.186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80.635199999999998</v>
      </c>
      <c r="BN115" s="67">
        <f t="shared" si="15"/>
        <v>80.635199999999998</v>
      </c>
      <c r="BO115" s="67">
        <f t="shared" si="16"/>
        <v>0.14285714285714285</v>
      </c>
      <c r="BP115" s="67">
        <f t="shared" si="17"/>
        <v>0.14285714285714285</v>
      </c>
    </row>
    <row r="116" spans="1:68" ht="27" customHeight="1" x14ac:dyDescent="0.25">
      <c r="A116" s="54" t="s">
        <v>194</v>
      </c>
      <c r="B116" s="54" t="s">
        <v>195</v>
      </c>
      <c r="C116" s="31">
        <v>4301071038</v>
      </c>
      <c r="D116" s="289">
        <v>4607111039248</v>
      </c>
      <c r="E116" s="290"/>
      <c r="F116" s="267">
        <v>0.7</v>
      </c>
      <c r="G116" s="32">
        <v>10</v>
      </c>
      <c r="H116" s="267">
        <v>7</v>
      </c>
      <c r="I116" s="267">
        <v>7.3</v>
      </c>
      <c r="J116" s="32">
        <v>84</v>
      </c>
      <c r="K116" s="32" t="s">
        <v>66</v>
      </c>
      <c r="L116" s="32" t="s">
        <v>96</v>
      </c>
      <c r="M116" s="33" t="s">
        <v>68</v>
      </c>
      <c r="N116" s="33"/>
      <c r="O116" s="32">
        <v>180</v>
      </c>
      <c r="P116" s="32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4"/>
      <c r="R116" s="284"/>
      <c r="S116" s="284"/>
      <c r="T116" s="285"/>
      <c r="U116" s="34"/>
      <c r="V116" s="34"/>
      <c r="W116" s="35" t="s">
        <v>69</v>
      </c>
      <c r="X116" s="268">
        <v>72</v>
      </c>
      <c r="Y116" s="269">
        <f t="shared" si="12"/>
        <v>72</v>
      </c>
      <c r="Z116" s="36">
        <f t="shared" si="13"/>
        <v>1.1160000000000001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525.6</v>
      </c>
      <c r="BN116" s="67">
        <f t="shared" si="15"/>
        <v>525.6</v>
      </c>
      <c r="BO116" s="67">
        <f t="shared" si="16"/>
        <v>0.8571428571428571</v>
      </c>
      <c r="BP116" s="67">
        <f t="shared" si="17"/>
        <v>0.8571428571428571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4301070979</v>
      </c>
      <c r="D117" s="289">
        <v>4607111037145</v>
      </c>
      <c r="E117" s="290"/>
      <c r="F117" s="267">
        <v>0.8</v>
      </c>
      <c r="G117" s="32">
        <v>8</v>
      </c>
      <c r="H117" s="267">
        <v>6.4</v>
      </c>
      <c r="I117" s="267">
        <v>6.6748000000000003</v>
      </c>
      <c r="J117" s="32">
        <v>84</v>
      </c>
      <c r="K117" s="32" t="s">
        <v>66</v>
      </c>
      <c r="L117" s="32" t="s">
        <v>67</v>
      </c>
      <c r="M117" s="33" t="s">
        <v>68</v>
      </c>
      <c r="N117" s="33"/>
      <c r="O117" s="32">
        <v>180</v>
      </c>
      <c r="P117" s="35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4"/>
      <c r="R117" s="284"/>
      <c r="S117" s="284"/>
      <c r="T117" s="285"/>
      <c r="U117" s="34"/>
      <c r="V117" s="34"/>
      <c r="W117" s="35" t="s">
        <v>69</v>
      </c>
      <c r="X117" s="268">
        <v>0</v>
      </c>
      <c r="Y117" s="269">
        <f t="shared" si="12"/>
        <v>0</v>
      </c>
      <c r="Z117" s="36">
        <f t="shared" si="13"/>
        <v>0</v>
      </c>
      <c r="AA117" s="56"/>
      <c r="AB117" s="57"/>
      <c r="AC117" s="154" t="s">
        <v>198</v>
      </c>
      <c r="AG117" s="67"/>
      <c r="AJ117" s="71" t="s">
        <v>71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199</v>
      </c>
      <c r="B118" s="54" t="s">
        <v>200</v>
      </c>
      <c r="C118" s="31">
        <v>4301071049</v>
      </c>
      <c r="D118" s="289">
        <v>4607111039293</v>
      </c>
      <c r="E118" s="290"/>
      <c r="F118" s="267">
        <v>0.4</v>
      </c>
      <c r="G118" s="32">
        <v>16</v>
      </c>
      <c r="H118" s="267">
        <v>6.4</v>
      </c>
      <c r="I118" s="267">
        <v>6.7195999999999998</v>
      </c>
      <c r="J118" s="32">
        <v>84</v>
      </c>
      <c r="K118" s="32" t="s">
        <v>66</v>
      </c>
      <c r="L118" s="32" t="s">
        <v>96</v>
      </c>
      <c r="M118" s="33" t="s">
        <v>68</v>
      </c>
      <c r="N118" s="33"/>
      <c r="O118" s="32">
        <v>180</v>
      </c>
      <c r="P118" s="351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4"/>
      <c r="R118" s="284"/>
      <c r="S118" s="284"/>
      <c r="T118" s="285"/>
      <c r="U118" s="34"/>
      <c r="V118" s="34"/>
      <c r="W118" s="35" t="s">
        <v>69</v>
      </c>
      <c r="X118" s="268">
        <v>0</v>
      </c>
      <c r="Y118" s="269">
        <f t="shared" si="12"/>
        <v>0</v>
      </c>
      <c r="Z118" s="36">
        <f t="shared" si="13"/>
        <v>0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customHeight="1" x14ac:dyDescent="0.25">
      <c r="A119" s="54" t="s">
        <v>201</v>
      </c>
      <c r="B119" s="54" t="s">
        <v>202</v>
      </c>
      <c r="C119" s="31">
        <v>4301071039</v>
      </c>
      <c r="D119" s="289">
        <v>4607111039279</v>
      </c>
      <c r="E119" s="290"/>
      <c r="F119" s="267">
        <v>0.7</v>
      </c>
      <c r="G119" s="32">
        <v>10</v>
      </c>
      <c r="H119" s="267">
        <v>7</v>
      </c>
      <c r="I119" s="267">
        <v>7.3</v>
      </c>
      <c r="J119" s="32">
        <v>84</v>
      </c>
      <c r="K119" s="32" t="s">
        <v>66</v>
      </c>
      <c r="L119" s="32" t="s">
        <v>96</v>
      </c>
      <c r="M119" s="33" t="s">
        <v>68</v>
      </c>
      <c r="N119" s="33"/>
      <c r="O119" s="32">
        <v>180</v>
      </c>
      <c r="P119" s="355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4"/>
      <c r="R119" s="284"/>
      <c r="S119" s="284"/>
      <c r="T119" s="285"/>
      <c r="U119" s="34"/>
      <c r="V119" s="34"/>
      <c r="W119" s="35" t="s">
        <v>69</v>
      </c>
      <c r="X119" s="268">
        <v>204</v>
      </c>
      <c r="Y119" s="269">
        <f t="shared" si="12"/>
        <v>204</v>
      </c>
      <c r="Z119" s="36">
        <f t="shared" si="13"/>
        <v>3.1619999999999999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1489.2</v>
      </c>
      <c r="BN119" s="67">
        <f t="shared" si="15"/>
        <v>1489.2</v>
      </c>
      <c r="BO119" s="67">
        <f t="shared" si="16"/>
        <v>2.4285714285714284</v>
      </c>
      <c r="BP119" s="67">
        <f t="shared" si="17"/>
        <v>2.4285714285714284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4301070978</v>
      </c>
      <c r="D120" s="289">
        <v>4607111037435</v>
      </c>
      <c r="E120" s="290"/>
      <c r="F120" s="267">
        <v>0.8</v>
      </c>
      <c r="G120" s="32">
        <v>8</v>
      </c>
      <c r="H120" s="267">
        <v>6.4</v>
      </c>
      <c r="I120" s="267">
        <v>6.6859999999999999</v>
      </c>
      <c r="J120" s="32">
        <v>84</v>
      </c>
      <c r="K120" s="32" t="s">
        <v>66</v>
      </c>
      <c r="L120" s="32" t="s">
        <v>67</v>
      </c>
      <c r="M120" s="33" t="s">
        <v>68</v>
      </c>
      <c r="N120" s="33"/>
      <c r="O120" s="32">
        <v>180</v>
      </c>
      <c r="P120" s="330" t="str">
        <f>HYPERLINK("https://abi.ru/products/Замороженные/Горячая штучка/Бульмени ГШ/Пельмени/P003688/","Пельмени «Бульмени со сливочным маслом» 0,8 Сфера ТМ «Горячая штучка»")</f>
        <v>Пельмени «Бульмени со сливочным маслом» 0,8 Сфера ТМ «Горячая штучка»</v>
      </c>
      <c r="Q120" s="284"/>
      <c r="R120" s="284"/>
      <c r="S120" s="284"/>
      <c r="T120" s="285"/>
      <c r="U120" s="34"/>
      <c r="V120" s="34"/>
      <c r="W120" s="35" t="s">
        <v>69</v>
      </c>
      <c r="X120" s="268">
        <v>0</v>
      </c>
      <c r="Y120" s="269">
        <f t="shared" si="12"/>
        <v>0</v>
      </c>
      <c r="Z120" s="36">
        <f t="shared" si="13"/>
        <v>0</v>
      </c>
      <c r="AA120" s="56"/>
      <c r="AB120" s="57"/>
      <c r="AC120" s="160" t="s">
        <v>205</v>
      </c>
      <c r="AG120" s="67"/>
      <c r="AJ120" s="71" t="s">
        <v>71</v>
      </c>
      <c r="AK120" s="71">
        <v>1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x14ac:dyDescent="0.2">
      <c r="A121" s="292"/>
      <c r="B121" s="275"/>
      <c r="C121" s="275"/>
      <c r="D121" s="275"/>
      <c r="E121" s="275"/>
      <c r="F121" s="275"/>
      <c r="G121" s="275"/>
      <c r="H121" s="275"/>
      <c r="I121" s="275"/>
      <c r="J121" s="275"/>
      <c r="K121" s="275"/>
      <c r="L121" s="275"/>
      <c r="M121" s="275"/>
      <c r="N121" s="275"/>
      <c r="O121" s="293"/>
      <c r="P121" s="280" t="s">
        <v>82</v>
      </c>
      <c r="Q121" s="281"/>
      <c r="R121" s="281"/>
      <c r="S121" s="281"/>
      <c r="T121" s="281"/>
      <c r="U121" s="281"/>
      <c r="V121" s="282"/>
      <c r="W121" s="37" t="s">
        <v>69</v>
      </c>
      <c r="X121" s="270">
        <f>IFERROR(SUM(X113:X120),"0")</f>
        <v>288</v>
      </c>
      <c r="Y121" s="270">
        <f>IFERROR(SUM(Y113:Y120),"0")</f>
        <v>288</v>
      </c>
      <c r="Z121" s="270">
        <f>IFERROR(IF(Z113="",0,Z113),"0")+IFERROR(IF(Z114="",0,Z114),"0")+IFERROR(IF(Z115="",0,Z115),"0")+IFERROR(IF(Z116="",0,Z116),"0")+IFERROR(IF(Z117="",0,Z117),"0")+IFERROR(IF(Z118="",0,Z118),"0")+IFERROR(IF(Z119="",0,Z119),"0")+IFERROR(IF(Z120="",0,Z120),"0")</f>
        <v>4.4640000000000004</v>
      </c>
      <c r="AA121" s="271"/>
      <c r="AB121" s="271"/>
      <c r="AC121" s="271"/>
    </row>
    <row r="122" spans="1:68" x14ac:dyDescent="0.2">
      <c r="A122" s="275"/>
      <c r="B122" s="275"/>
      <c r="C122" s="275"/>
      <c r="D122" s="275"/>
      <c r="E122" s="275"/>
      <c r="F122" s="275"/>
      <c r="G122" s="275"/>
      <c r="H122" s="275"/>
      <c r="I122" s="275"/>
      <c r="J122" s="275"/>
      <c r="K122" s="275"/>
      <c r="L122" s="275"/>
      <c r="M122" s="275"/>
      <c r="N122" s="275"/>
      <c r="O122" s="293"/>
      <c r="P122" s="280" t="s">
        <v>82</v>
      </c>
      <c r="Q122" s="281"/>
      <c r="R122" s="281"/>
      <c r="S122" s="281"/>
      <c r="T122" s="281"/>
      <c r="U122" s="281"/>
      <c r="V122" s="282"/>
      <c r="W122" s="37" t="s">
        <v>83</v>
      </c>
      <c r="X122" s="270">
        <f>IFERROR(SUMPRODUCT(X113:X120*H113:H120),"0")</f>
        <v>2008.8</v>
      </c>
      <c r="Y122" s="270">
        <f>IFERROR(SUMPRODUCT(Y113:Y120*H113:H120),"0")</f>
        <v>2008.8</v>
      </c>
      <c r="Z122" s="37"/>
      <c r="AA122" s="271"/>
      <c r="AB122" s="271"/>
      <c r="AC122" s="271"/>
    </row>
    <row r="123" spans="1:68" ht="14.25" hidden="1" customHeight="1" x14ac:dyDescent="0.25">
      <c r="A123" s="276" t="s">
        <v>136</v>
      </c>
      <c r="B123" s="275"/>
      <c r="C123" s="275"/>
      <c r="D123" s="275"/>
      <c r="E123" s="275"/>
      <c r="F123" s="275"/>
      <c r="G123" s="275"/>
      <c r="H123" s="275"/>
      <c r="I123" s="275"/>
      <c r="J123" s="275"/>
      <c r="K123" s="275"/>
      <c r="L123" s="275"/>
      <c r="M123" s="275"/>
      <c r="N123" s="275"/>
      <c r="O123" s="275"/>
      <c r="P123" s="275"/>
      <c r="Q123" s="275"/>
      <c r="R123" s="275"/>
      <c r="S123" s="275"/>
      <c r="T123" s="275"/>
      <c r="U123" s="275"/>
      <c r="V123" s="275"/>
      <c r="W123" s="275"/>
      <c r="X123" s="275"/>
      <c r="Y123" s="275"/>
      <c r="Z123" s="275"/>
      <c r="AA123" s="264"/>
      <c r="AB123" s="264"/>
      <c r="AC123" s="264"/>
    </row>
    <row r="124" spans="1:68" ht="27" hidden="1" customHeight="1" x14ac:dyDescent="0.25">
      <c r="A124" s="54" t="s">
        <v>206</v>
      </c>
      <c r="B124" s="54" t="s">
        <v>207</v>
      </c>
      <c r="C124" s="31">
        <v>4301135826</v>
      </c>
      <c r="D124" s="289">
        <v>4620207490983</v>
      </c>
      <c r="E124" s="290"/>
      <c r="F124" s="267">
        <v>0.22</v>
      </c>
      <c r="G124" s="32">
        <v>12</v>
      </c>
      <c r="H124" s="267">
        <v>2.64</v>
      </c>
      <c r="I124" s="267">
        <v>3.3435999999999999</v>
      </c>
      <c r="J124" s="32">
        <v>70</v>
      </c>
      <c r="K124" s="32" t="s">
        <v>95</v>
      </c>
      <c r="L124" s="32" t="s">
        <v>67</v>
      </c>
      <c r="M124" s="33" t="s">
        <v>68</v>
      </c>
      <c r="N124" s="33"/>
      <c r="O124" s="32">
        <v>180</v>
      </c>
      <c r="P124" s="44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4" s="284"/>
      <c r="R124" s="284"/>
      <c r="S124" s="284"/>
      <c r="T124" s="285"/>
      <c r="U124" s="34"/>
      <c r="V124" s="34"/>
      <c r="W124" s="35" t="s">
        <v>69</v>
      </c>
      <c r="X124" s="268">
        <v>0</v>
      </c>
      <c r="Y124" s="269">
        <f>IFERROR(IF(X124="","",X124),"")</f>
        <v>0</v>
      </c>
      <c r="Z124" s="36">
        <f>IFERROR(IF(X124="","",X124*0.01788),"")</f>
        <v>0</v>
      </c>
      <c r="AA124" s="56"/>
      <c r="AB124" s="57"/>
      <c r="AC124" s="162" t="s">
        <v>208</v>
      </c>
      <c r="AG124" s="67"/>
      <c r="AJ124" s="71" t="s">
        <v>71</v>
      </c>
      <c r="AK124" s="71">
        <v>1</v>
      </c>
      <c r="BB124" s="163" t="s">
        <v>99</v>
      </c>
      <c r="BM124" s="67">
        <f>IFERROR(X124*I124,"0")</f>
        <v>0</v>
      </c>
      <c r="BN124" s="67">
        <f>IFERROR(Y124*I124,"0")</f>
        <v>0</v>
      </c>
      <c r="BO124" s="67">
        <f>IFERROR(X124/J124,"0")</f>
        <v>0</v>
      </c>
      <c r="BP124" s="67">
        <f>IFERROR(Y124/J124,"0")</f>
        <v>0</v>
      </c>
    </row>
    <row r="125" spans="1:68" hidden="1" x14ac:dyDescent="0.2">
      <c r="A125" s="292"/>
      <c r="B125" s="275"/>
      <c r="C125" s="275"/>
      <c r="D125" s="275"/>
      <c r="E125" s="275"/>
      <c r="F125" s="275"/>
      <c r="G125" s="275"/>
      <c r="H125" s="275"/>
      <c r="I125" s="275"/>
      <c r="J125" s="275"/>
      <c r="K125" s="275"/>
      <c r="L125" s="275"/>
      <c r="M125" s="275"/>
      <c r="N125" s="275"/>
      <c r="O125" s="293"/>
      <c r="P125" s="280" t="s">
        <v>82</v>
      </c>
      <c r="Q125" s="281"/>
      <c r="R125" s="281"/>
      <c r="S125" s="281"/>
      <c r="T125" s="281"/>
      <c r="U125" s="281"/>
      <c r="V125" s="282"/>
      <c r="W125" s="37" t="s">
        <v>69</v>
      </c>
      <c r="X125" s="270">
        <f>IFERROR(SUM(X124:X124),"0")</f>
        <v>0</v>
      </c>
      <c r="Y125" s="270">
        <f>IFERROR(SUM(Y124:Y124),"0")</f>
        <v>0</v>
      </c>
      <c r="Z125" s="270">
        <f>IFERROR(IF(Z124="",0,Z124),"0")</f>
        <v>0</v>
      </c>
      <c r="AA125" s="271"/>
      <c r="AB125" s="271"/>
      <c r="AC125" s="271"/>
    </row>
    <row r="126" spans="1:68" hidden="1" x14ac:dyDescent="0.2">
      <c r="A126" s="275"/>
      <c r="B126" s="275"/>
      <c r="C126" s="275"/>
      <c r="D126" s="275"/>
      <c r="E126" s="275"/>
      <c r="F126" s="275"/>
      <c r="G126" s="275"/>
      <c r="H126" s="275"/>
      <c r="I126" s="275"/>
      <c r="J126" s="275"/>
      <c r="K126" s="275"/>
      <c r="L126" s="275"/>
      <c r="M126" s="275"/>
      <c r="N126" s="275"/>
      <c r="O126" s="293"/>
      <c r="P126" s="280" t="s">
        <v>82</v>
      </c>
      <c r="Q126" s="281"/>
      <c r="R126" s="281"/>
      <c r="S126" s="281"/>
      <c r="T126" s="281"/>
      <c r="U126" s="281"/>
      <c r="V126" s="282"/>
      <c r="W126" s="37" t="s">
        <v>83</v>
      </c>
      <c r="X126" s="270">
        <f>IFERROR(SUMPRODUCT(X124:X124*H124:H124),"0")</f>
        <v>0</v>
      </c>
      <c r="Y126" s="270">
        <f>IFERROR(SUMPRODUCT(Y124:Y124*H124:H124),"0")</f>
        <v>0</v>
      </c>
      <c r="Z126" s="37"/>
      <c r="AA126" s="271"/>
      <c r="AB126" s="271"/>
      <c r="AC126" s="271"/>
    </row>
    <row r="127" spans="1:68" ht="14.25" hidden="1" customHeight="1" x14ac:dyDescent="0.25">
      <c r="A127" s="276" t="s">
        <v>209</v>
      </c>
      <c r="B127" s="275"/>
      <c r="C127" s="275"/>
      <c r="D127" s="275"/>
      <c r="E127" s="275"/>
      <c r="F127" s="275"/>
      <c r="G127" s="275"/>
      <c r="H127" s="275"/>
      <c r="I127" s="275"/>
      <c r="J127" s="275"/>
      <c r="K127" s="275"/>
      <c r="L127" s="275"/>
      <c r="M127" s="275"/>
      <c r="N127" s="275"/>
      <c r="O127" s="275"/>
      <c r="P127" s="275"/>
      <c r="Q127" s="275"/>
      <c r="R127" s="275"/>
      <c r="S127" s="275"/>
      <c r="T127" s="275"/>
      <c r="U127" s="275"/>
      <c r="V127" s="275"/>
      <c r="W127" s="275"/>
      <c r="X127" s="275"/>
      <c r="Y127" s="275"/>
      <c r="Z127" s="275"/>
      <c r="AA127" s="264"/>
      <c r="AB127" s="264"/>
      <c r="AC127" s="264"/>
    </row>
    <row r="128" spans="1:68" ht="27" hidden="1" customHeight="1" x14ac:dyDescent="0.25">
      <c r="A128" s="54" t="s">
        <v>210</v>
      </c>
      <c r="B128" s="54" t="s">
        <v>211</v>
      </c>
      <c r="C128" s="31">
        <v>4301071094</v>
      </c>
      <c r="D128" s="289">
        <v>4620207491140</v>
      </c>
      <c r="E128" s="290"/>
      <c r="F128" s="267">
        <v>0.6</v>
      </c>
      <c r="G128" s="32">
        <v>10</v>
      </c>
      <c r="H128" s="267">
        <v>6</v>
      </c>
      <c r="I128" s="267">
        <v>6.28</v>
      </c>
      <c r="J128" s="32">
        <v>84</v>
      </c>
      <c r="K128" s="32" t="s">
        <v>66</v>
      </c>
      <c r="L128" s="32" t="s">
        <v>67</v>
      </c>
      <c r="M128" s="33" t="s">
        <v>68</v>
      </c>
      <c r="N128" s="33"/>
      <c r="O128" s="32">
        <v>180</v>
      </c>
      <c r="P128" s="42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8" s="284"/>
      <c r="R128" s="284"/>
      <c r="S128" s="284"/>
      <c r="T128" s="285"/>
      <c r="U128" s="34"/>
      <c r="V128" s="34"/>
      <c r="W128" s="35" t="s">
        <v>69</v>
      </c>
      <c r="X128" s="268">
        <v>0</v>
      </c>
      <c r="Y128" s="269">
        <f>IFERROR(IF(X128="","",X128),"")</f>
        <v>0</v>
      </c>
      <c r="Z128" s="36">
        <f>IFERROR(IF(X128="","",X128*0.0155),"")</f>
        <v>0</v>
      </c>
      <c r="AA128" s="56"/>
      <c r="AB128" s="57"/>
      <c r="AC128" s="164" t="s">
        <v>212</v>
      </c>
      <c r="AG128" s="67"/>
      <c r="AJ128" s="71" t="s">
        <v>71</v>
      </c>
      <c r="AK128" s="71">
        <v>1</v>
      </c>
      <c r="BB128" s="165" t="s">
        <v>99</v>
      </c>
      <c r="BM128" s="67">
        <f>IFERROR(X128*I128,"0")</f>
        <v>0</v>
      </c>
      <c r="BN128" s="67">
        <f>IFERROR(Y128*I128,"0")</f>
        <v>0</v>
      </c>
      <c r="BO128" s="67">
        <f>IFERROR(X128/J128,"0")</f>
        <v>0</v>
      </c>
      <c r="BP128" s="67">
        <f>IFERROR(Y128/J128,"0")</f>
        <v>0</v>
      </c>
    </row>
    <row r="129" spans="1:68" hidden="1" x14ac:dyDescent="0.2">
      <c r="A129" s="292"/>
      <c r="B129" s="275"/>
      <c r="C129" s="275"/>
      <c r="D129" s="275"/>
      <c r="E129" s="275"/>
      <c r="F129" s="275"/>
      <c r="G129" s="275"/>
      <c r="H129" s="275"/>
      <c r="I129" s="275"/>
      <c r="J129" s="275"/>
      <c r="K129" s="275"/>
      <c r="L129" s="275"/>
      <c r="M129" s="275"/>
      <c r="N129" s="275"/>
      <c r="O129" s="293"/>
      <c r="P129" s="280" t="s">
        <v>82</v>
      </c>
      <c r="Q129" s="281"/>
      <c r="R129" s="281"/>
      <c r="S129" s="281"/>
      <c r="T129" s="281"/>
      <c r="U129" s="281"/>
      <c r="V129" s="282"/>
      <c r="W129" s="37" t="s">
        <v>69</v>
      </c>
      <c r="X129" s="270">
        <f>IFERROR(SUM(X128:X128),"0")</f>
        <v>0</v>
      </c>
      <c r="Y129" s="270">
        <f>IFERROR(SUM(Y128:Y128),"0")</f>
        <v>0</v>
      </c>
      <c r="Z129" s="270">
        <f>IFERROR(IF(Z128="",0,Z128),"0")</f>
        <v>0</v>
      </c>
      <c r="AA129" s="271"/>
      <c r="AB129" s="271"/>
      <c r="AC129" s="271"/>
    </row>
    <row r="130" spans="1:68" hidden="1" x14ac:dyDescent="0.2">
      <c r="A130" s="275"/>
      <c r="B130" s="275"/>
      <c r="C130" s="275"/>
      <c r="D130" s="275"/>
      <c r="E130" s="275"/>
      <c r="F130" s="275"/>
      <c r="G130" s="275"/>
      <c r="H130" s="275"/>
      <c r="I130" s="275"/>
      <c r="J130" s="275"/>
      <c r="K130" s="275"/>
      <c r="L130" s="275"/>
      <c r="M130" s="275"/>
      <c r="N130" s="275"/>
      <c r="O130" s="293"/>
      <c r="P130" s="280" t="s">
        <v>82</v>
      </c>
      <c r="Q130" s="281"/>
      <c r="R130" s="281"/>
      <c r="S130" s="281"/>
      <c r="T130" s="281"/>
      <c r="U130" s="281"/>
      <c r="V130" s="282"/>
      <c r="W130" s="37" t="s">
        <v>83</v>
      </c>
      <c r="X130" s="270">
        <f>IFERROR(SUMPRODUCT(X128:X128*H128:H128),"0")</f>
        <v>0</v>
      </c>
      <c r="Y130" s="270">
        <f>IFERROR(SUMPRODUCT(Y128:Y128*H128:H128),"0")</f>
        <v>0</v>
      </c>
      <c r="Z130" s="37"/>
      <c r="AA130" s="271"/>
      <c r="AB130" s="271"/>
      <c r="AC130" s="271"/>
    </row>
    <row r="131" spans="1:68" ht="16.5" hidden="1" customHeight="1" x14ac:dyDescent="0.25">
      <c r="A131" s="288" t="s">
        <v>213</v>
      </c>
      <c r="B131" s="275"/>
      <c r="C131" s="275"/>
      <c r="D131" s="275"/>
      <c r="E131" s="275"/>
      <c r="F131" s="275"/>
      <c r="G131" s="275"/>
      <c r="H131" s="275"/>
      <c r="I131" s="275"/>
      <c r="J131" s="275"/>
      <c r="K131" s="275"/>
      <c r="L131" s="275"/>
      <c r="M131" s="275"/>
      <c r="N131" s="275"/>
      <c r="O131" s="275"/>
      <c r="P131" s="275"/>
      <c r="Q131" s="275"/>
      <c r="R131" s="275"/>
      <c r="S131" s="275"/>
      <c r="T131" s="275"/>
      <c r="U131" s="275"/>
      <c r="V131" s="275"/>
      <c r="W131" s="275"/>
      <c r="X131" s="275"/>
      <c r="Y131" s="275"/>
      <c r="Z131" s="275"/>
      <c r="AA131" s="263"/>
      <c r="AB131" s="263"/>
      <c r="AC131" s="263"/>
    </row>
    <row r="132" spans="1:68" ht="14.25" hidden="1" customHeight="1" x14ac:dyDescent="0.25">
      <c r="A132" s="276" t="s">
        <v>136</v>
      </c>
      <c r="B132" s="275"/>
      <c r="C132" s="275"/>
      <c r="D132" s="275"/>
      <c r="E132" s="275"/>
      <c r="F132" s="275"/>
      <c r="G132" s="275"/>
      <c r="H132" s="275"/>
      <c r="I132" s="275"/>
      <c r="J132" s="275"/>
      <c r="K132" s="275"/>
      <c r="L132" s="275"/>
      <c r="M132" s="275"/>
      <c r="N132" s="275"/>
      <c r="O132" s="275"/>
      <c r="P132" s="275"/>
      <c r="Q132" s="275"/>
      <c r="R132" s="275"/>
      <c r="S132" s="275"/>
      <c r="T132" s="275"/>
      <c r="U132" s="275"/>
      <c r="V132" s="275"/>
      <c r="W132" s="275"/>
      <c r="X132" s="275"/>
      <c r="Y132" s="275"/>
      <c r="Z132" s="275"/>
      <c r="AA132" s="264"/>
      <c r="AB132" s="264"/>
      <c r="AC132" s="264"/>
    </row>
    <row r="133" spans="1:68" ht="27" customHeight="1" x14ac:dyDescent="0.25">
      <c r="A133" s="54" t="s">
        <v>214</v>
      </c>
      <c r="B133" s="54" t="s">
        <v>215</v>
      </c>
      <c r="C133" s="31">
        <v>4301135555</v>
      </c>
      <c r="D133" s="289">
        <v>4607111034014</v>
      </c>
      <c r="E133" s="290"/>
      <c r="F133" s="267">
        <v>0.25</v>
      </c>
      <c r="G133" s="32">
        <v>12</v>
      </c>
      <c r="H133" s="267">
        <v>3</v>
      </c>
      <c r="I133" s="267">
        <v>3.7035999999999998</v>
      </c>
      <c r="J133" s="32">
        <v>70</v>
      </c>
      <c r="K133" s="32" t="s">
        <v>95</v>
      </c>
      <c r="L133" s="32" t="s">
        <v>96</v>
      </c>
      <c r="M133" s="33" t="s">
        <v>68</v>
      </c>
      <c r="N133" s="33"/>
      <c r="O133" s="32">
        <v>180</v>
      </c>
      <c r="P133" s="42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3" s="284"/>
      <c r="R133" s="284"/>
      <c r="S133" s="284"/>
      <c r="T133" s="285"/>
      <c r="U133" s="34"/>
      <c r="V133" s="34"/>
      <c r="W133" s="35" t="s">
        <v>69</v>
      </c>
      <c r="X133" s="268">
        <v>126</v>
      </c>
      <c r="Y133" s="269">
        <f>IFERROR(IF(X133="","",X133),"")</f>
        <v>126</v>
      </c>
      <c r="Z133" s="36">
        <f>IFERROR(IF(X133="","",X133*0.01788),"")</f>
        <v>2.2528800000000002</v>
      </c>
      <c r="AA133" s="56"/>
      <c r="AB133" s="57"/>
      <c r="AC133" s="166" t="s">
        <v>216</v>
      </c>
      <c r="AG133" s="67"/>
      <c r="AJ133" s="71" t="s">
        <v>98</v>
      </c>
      <c r="AK133" s="71">
        <v>14</v>
      </c>
      <c r="BB133" s="167" t="s">
        <v>99</v>
      </c>
      <c r="BM133" s="67">
        <f>IFERROR(X133*I133,"0")</f>
        <v>466.65359999999998</v>
      </c>
      <c r="BN133" s="67">
        <f>IFERROR(Y133*I133,"0")</f>
        <v>466.65359999999998</v>
      </c>
      <c r="BO133" s="67">
        <f>IFERROR(X133/J133,"0")</f>
        <v>1.8</v>
      </c>
      <c r="BP133" s="67">
        <f>IFERROR(Y133/J133,"0")</f>
        <v>1.8</v>
      </c>
    </row>
    <row r="134" spans="1:68" ht="27" customHeight="1" x14ac:dyDescent="0.25">
      <c r="A134" s="54" t="s">
        <v>217</v>
      </c>
      <c r="B134" s="54" t="s">
        <v>218</v>
      </c>
      <c r="C134" s="31">
        <v>4301135532</v>
      </c>
      <c r="D134" s="289">
        <v>4607111033994</v>
      </c>
      <c r="E134" s="290"/>
      <c r="F134" s="267">
        <v>0.25</v>
      </c>
      <c r="G134" s="32">
        <v>12</v>
      </c>
      <c r="H134" s="267">
        <v>3</v>
      </c>
      <c r="I134" s="267">
        <v>3.7035999999999998</v>
      </c>
      <c r="J134" s="32">
        <v>70</v>
      </c>
      <c r="K134" s="32" t="s">
        <v>95</v>
      </c>
      <c r="L134" s="32" t="s">
        <v>219</v>
      </c>
      <c r="M134" s="33" t="s">
        <v>68</v>
      </c>
      <c r="N134" s="33"/>
      <c r="O134" s="32">
        <v>180</v>
      </c>
      <c r="P134" s="44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4" s="284"/>
      <c r="R134" s="284"/>
      <c r="S134" s="284"/>
      <c r="T134" s="285"/>
      <c r="U134" s="34"/>
      <c r="V134" s="34"/>
      <c r="W134" s="35" t="s">
        <v>69</v>
      </c>
      <c r="X134" s="268">
        <v>84</v>
      </c>
      <c r="Y134" s="269">
        <f>IFERROR(IF(X134="","",X134),"")</f>
        <v>84</v>
      </c>
      <c r="Z134" s="36">
        <f>IFERROR(IF(X134="","",X134*0.01788),"")</f>
        <v>1.5019199999999999</v>
      </c>
      <c r="AA134" s="56"/>
      <c r="AB134" s="57"/>
      <c r="AC134" s="168" t="s">
        <v>154</v>
      </c>
      <c r="AG134" s="67"/>
      <c r="AJ134" s="71" t="s">
        <v>220</v>
      </c>
      <c r="AK134" s="71">
        <v>70</v>
      </c>
      <c r="BB134" s="169" t="s">
        <v>99</v>
      </c>
      <c r="BM134" s="67">
        <f>IFERROR(X134*I134,"0")</f>
        <v>311.10239999999999</v>
      </c>
      <c r="BN134" s="67">
        <f>IFERROR(Y134*I134,"0")</f>
        <v>311.10239999999999</v>
      </c>
      <c r="BO134" s="67">
        <f>IFERROR(X134/J134,"0")</f>
        <v>1.2</v>
      </c>
      <c r="BP134" s="67">
        <f>IFERROR(Y134/J134,"0")</f>
        <v>1.2</v>
      </c>
    </row>
    <row r="135" spans="1:68" x14ac:dyDescent="0.2">
      <c r="A135" s="292"/>
      <c r="B135" s="275"/>
      <c r="C135" s="275"/>
      <c r="D135" s="275"/>
      <c r="E135" s="275"/>
      <c r="F135" s="275"/>
      <c r="G135" s="275"/>
      <c r="H135" s="275"/>
      <c r="I135" s="275"/>
      <c r="J135" s="275"/>
      <c r="K135" s="275"/>
      <c r="L135" s="275"/>
      <c r="M135" s="275"/>
      <c r="N135" s="275"/>
      <c r="O135" s="293"/>
      <c r="P135" s="280" t="s">
        <v>82</v>
      </c>
      <c r="Q135" s="281"/>
      <c r="R135" s="281"/>
      <c r="S135" s="281"/>
      <c r="T135" s="281"/>
      <c r="U135" s="281"/>
      <c r="V135" s="282"/>
      <c r="W135" s="37" t="s">
        <v>69</v>
      </c>
      <c r="X135" s="270">
        <f>IFERROR(SUM(X133:X134),"0")</f>
        <v>210</v>
      </c>
      <c r="Y135" s="270">
        <f>IFERROR(SUM(Y133:Y134),"0")</f>
        <v>210</v>
      </c>
      <c r="Z135" s="270">
        <f>IFERROR(IF(Z133="",0,Z133),"0")+IFERROR(IF(Z134="",0,Z134),"0")</f>
        <v>3.7548000000000004</v>
      </c>
      <c r="AA135" s="271"/>
      <c r="AB135" s="271"/>
      <c r="AC135" s="271"/>
    </row>
    <row r="136" spans="1:68" x14ac:dyDescent="0.2">
      <c r="A136" s="275"/>
      <c r="B136" s="275"/>
      <c r="C136" s="275"/>
      <c r="D136" s="275"/>
      <c r="E136" s="275"/>
      <c r="F136" s="275"/>
      <c r="G136" s="275"/>
      <c r="H136" s="275"/>
      <c r="I136" s="275"/>
      <c r="J136" s="275"/>
      <c r="K136" s="275"/>
      <c r="L136" s="275"/>
      <c r="M136" s="275"/>
      <c r="N136" s="275"/>
      <c r="O136" s="293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0">
        <f>IFERROR(SUMPRODUCT(X133:X134*H133:H134),"0")</f>
        <v>630</v>
      </c>
      <c r="Y136" s="270">
        <f>IFERROR(SUMPRODUCT(Y133:Y134*H133:H134),"0")</f>
        <v>630</v>
      </c>
      <c r="Z136" s="37"/>
      <c r="AA136" s="271"/>
      <c r="AB136" s="271"/>
      <c r="AC136" s="271"/>
    </row>
    <row r="137" spans="1:68" ht="16.5" hidden="1" customHeight="1" x14ac:dyDescent="0.25">
      <c r="A137" s="288" t="s">
        <v>221</v>
      </c>
      <c r="B137" s="275"/>
      <c r="C137" s="275"/>
      <c r="D137" s="275"/>
      <c r="E137" s="275"/>
      <c r="F137" s="275"/>
      <c r="G137" s="275"/>
      <c r="H137" s="275"/>
      <c r="I137" s="275"/>
      <c r="J137" s="275"/>
      <c r="K137" s="275"/>
      <c r="L137" s="275"/>
      <c r="M137" s="275"/>
      <c r="N137" s="275"/>
      <c r="O137" s="275"/>
      <c r="P137" s="275"/>
      <c r="Q137" s="275"/>
      <c r="R137" s="275"/>
      <c r="S137" s="275"/>
      <c r="T137" s="275"/>
      <c r="U137" s="275"/>
      <c r="V137" s="275"/>
      <c r="W137" s="275"/>
      <c r="X137" s="275"/>
      <c r="Y137" s="275"/>
      <c r="Z137" s="275"/>
      <c r="AA137" s="263"/>
      <c r="AB137" s="263"/>
      <c r="AC137" s="263"/>
    </row>
    <row r="138" spans="1:68" ht="14.25" hidden="1" customHeight="1" x14ac:dyDescent="0.25">
      <c r="A138" s="276" t="s">
        <v>136</v>
      </c>
      <c r="B138" s="275"/>
      <c r="C138" s="275"/>
      <c r="D138" s="275"/>
      <c r="E138" s="275"/>
      <c r="F138" s="275"/>
      <c r="G138" s="275"/>
      <c r="H138" s="275"/>
      <c r="I138" s="275"/>
      <c r="J138" s="275"/>
      <c r="K138" s="275"/>
      <c r="L138" s="275"/>
      <c r="M138" s="275"/>
      <c r="N138" s="275"/>
      <c r="O138" s="275"/>
      <c r="P138" s="275"/>
      <c r="Q138" s="275"/>
      <c r="R138" s="275"/>
      <c r="S138" s="275"/>
      <c r="T138" s="275"/>
      <c r="U138" s="275"/>
      <c r="V138" s="275"/>
      <c r="W138" s="275"/>
      <c r="X138" s="275"/>
      <c r="Y138" s="275"/>
      <c r="Z138" s="275"/>
      <c r="AA138" s="264"/>
      <c r="AB138" s="264"/>
      <c r="AC138" s="264"/>
    </row>
    <row r="139" spans="1:68" ht="27" hidden="1" customHeight="1" x14ac:dyDescent="0.25">
      <c r="A139" s="54" t="s">
        <v>222</v>
      </c>
      <c r="B139" s="54" t="s">
        <v>223</v>
      </c>
      <c r="C139" s="31">
        <v>4301135824</v>
      </c>
      <c r="D139" s="289">
        <v>4607111039095</v>
      </c>
      <c r="E139" s="290"/>
      <c r="F139" s="267">
        <v>0.25</v>
      </c>
      <c r="G139" s="32">
        <v>12</v>
      </c>
      <c r="H139" s="267">
        <v>3</v>
      </c>
      <c r="I139" s="267">
        <v>3.7480000000000002</v>
      </c>
      <c r="J139" s="32">
        <v>70</v>
      </c>
      <c r="K139" s="32" t="s">
        <v>95</v>
      </c>
      <c r="L139" s="32" t="s">
        <v>67</v>
      </c>
      <c r="M139" s="33" t="s">
        <v>68</v>
      </c>
      <c r="N139" s="33"/>
      <c r="O139" s="32">
        <v>180</v>
      </c>
      <c r="P139" s="427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39" s="284"/>
      <c r="R139" s="284"/>
      <c r="S139" s="284"/>
      <c r="T139" s="285"/>
      <c r="U139" s="34"/>
      <c r="V139" s="34"/>
      <c r="W139" s="35" t="s">
        <v>69</v>
      </c>
      <c r="X139" s="268">
        <v>0</v>
      </c>
      <c r="Y139" s="269">
        <f>IFERROR(IF(X139="","",X139),"")</f>
        <v>0</v>
      </c>
      <c r="Z139" s="36">
        <f>IFERROR(IF(X139="","",X139*0.01788),"")</f>
        <v>0</v>
      </c>
      <c r="AA139" s="56"/>
      <c r="AB139" s="57"/>
      <c r="AC139" s="170" t="s">
        <v>224</v>
      </c>
      <c r="AG139" s="67"/>
      <c r="AJ139" s="71" t="s">
        <v>71</v>
      </c>
      <c r="AK139" s="71">
        <v>1</v>
      </c>
      <c r="BB139" s="171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16.5" customHeight="1" x14ac:dyDescent="0.25">
      <c r="A140" s="54" t="s">
        <v>225</v>
      </c>
      <c r="B140" s="54" t="s">
        <v>226</v>
      </c>
      <c r="C140" s="31">
        <v>4301135550</v>
      </c>
      <c r="D140" s="289">
        <v>4607111034199</v>
      </c>
      <c r="E140" s="290"/>
      <c r="F140" s="267">
        <v>0.25</v>
      </c>
      <c r="G140" s="32">
        <v>12</v>
      </c>
      <c r="H140" s="267">
        <v>3</v>
      </c>
      <c r="I140" s="267">
        <v>3.7035999999999998</v>
      </c>
      <c r="J140" s="32">
        <v>70</v>
      </c>
      <c r="K140" s="32" t="s">
        <v>95</v>
      </c>
      <c r="L140" s="32" t="s">
        <v>96</v>
      </c>
      <c r="M140" s="33" t="s">
        <v>68</v>
      </c>
      <c r="N140" s="33"/>
      <c r="O140" s="32">
        <v>180</v>
      </c>
      <c r="P140" s="373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0" s="284"/>
      <c r="R140" s="284"/>
      <c r="S140" s="284"/>
      <c r="T140" s="285"/>
      <c r="U140" s="34"/>
      <c r="V140" s="34"/>
      <c r="W140" s="35" t="s">
        <v>69</v>
      </c>
      <c r="X140" s="268">
        <v>14</v>
      </c>
      <c r="Y140" s="269">
        <f>IFERROR(IF(X140="","",X140),"")</f>
        <v>14</v>
      </c>
      <c r="Z140" s="36">
        <f>IFERROR(IF(X140="","",X140*0.01788),"")</f>
        <v>0.25031999999999999</v>
      </c>
      <c r="AA140" s="56"/>
      <c r="AB140" s="57"/>
      <c r="AC140" s="172" t="s">
        <v>227</v>
      </c>
      <c r="AG140" s="67"/>
      <c r="AJ140" s="71" t="s">
        <v>98</v>
      </c>
      <c r="AK140" s="71">
        <v>14</v>
      </c>
      <c r="BB140" s="173" t="s">
        <v>99</v>
      </c>
      <c r="BM140" s="67">
        <f>IFERROR(X140*I140,"0")</f>
        <v>51.850399999999993</v>
      </c>
      <c r="BN140" s="67">
        <f>IFERROR(Y140*I140,"0")</f>
        <v>51.850399999999993</v>
      </c>
      <c r="BO140" s="67">
        <f>IFERROR(X140/J140,"0")</f>
        <v>0.2</v>
      </c>
      <c r="BP140" s="67">
        <f>IFERROR(Y140/J140,"0")</f>
        <v>0.2</v>
      </c>
    </row>
    <row r="141" spans="1:68" x14ac:dyDescent="0.2">
      <c r="A141" s="292"/>
      <c r="B141" s="275"/>
      <c r="C141" s="275"/>
      <c r="D141" s="275"/>
      <c r="E141" s="275"/>
      <c r="F141" s="275"/>
      <c r="G141" s="275"/>
      <c r="H141" s="275"/>
      <c r="I141" s="275"/>
      <c r="J141" s="275"/>
      <c r="K141" s="275"/>
      <c r="L141" s="275"/>
      <c r="M141" s="275"/>
      <c r="N141" s="275"/>
      <c r="O141" s="293"/>
      <c r="P141" s="280" t="s">
        <v>82</v>
      </c>
      <c r="Q141" s="281"/>
      <c r="R141" s="281"/>
      <c r="S141" s="281"/>
      <c r="T141" s="281"/>
      <c r="U141" s="281"/>
      <c r="V141" s="282"/>
      <c r="W141" s="37" t="s">
        <v>69</v>
      </c>
      <c r="X141" s="270">
        <f>IFERROR(SUM(X139:X140),"0")</f>
        <v>14</v>
      </c>
      <c r="Y141" s="270">
        <f>IFERROR(SUM(Y139:Y140),"0")</f>
        <v>14</v>
      </c>
      <c r="Z141" s="270">
        <f>IFERROR(IF(Z139="",0,Z139),"0")+IFERROR(IF(Z140="",0,Z140),"0")</f>
        <v>0.25031999999999999</v>
      </c>
      <c r="AA141" s="271"/>
      <c r="AB141" s="271"/>
      <c r="AC141" s="271"/>
    </row>
    <row r="142" spans="1:68" x14ac:dyDescent="0.2">
      <c r="A142" s="275"/>
      <c r="B142" s="275"/>
      <c r="C142" s="275"/>
      <c r="D142" s="275"/>
      <c r="E142" s="275"/>
      <c r="F142" s="275"/>
      <c r="G142" s="275"/>
      <c r="H142" s="275"/>
      <c r="I142" s="275"/>
      <c r="J142" s="275"/>
      <c r="K142" s="275"/>
      <c r="L142" s="275"/>
      <c r="M142" s="275"/>
      <c r="N142" s="275"/>
      <c r="O142" s="293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0">
        <f>IFERROR(SUMPRODUCT(X139:X140*H139:H140),"0")</f>
        <v>42</v>
      </c>
      <c r="Y142" s="270">
        <f>IFERROR(SUMPRODUCT(Y139:Y140*H139:H140),"0")</f>
        <v>42</v>
      </c>
      <c r="Z142" s="37"/>
      <c r="AA142" s="271"/>
      <c r="AB142" s="271"/>
      <c r="AC142" s="271"/>
    </row>
    <row r="143" spans="1:68" ht="16.5" hidden="1" customHeight="1" x14ac:dyDescent="0.25">
      <c r="A143" s="288" t="s">
        <v>228</v>
      </c>
      <c r="B143" s="275"/>
      <c r="C143" s="275"/>
      <c r="D143" s="275"/>
      <c r="E143" s="275"/>
      <c r="F143" s="275"/>
      <c r="G143" s="275"/>
      <c r="H143" s="275"/>
      <c r="I143" s="275"/>
      <c r="J143" s="275"/>
      <c r="K143" s="275"/>
      <c r="L143" s="275"/>
      <c r="M143" s="275"/>
      <c r="N143" s="275"/>
      <c r="O143" s="275"/>
      <c r="P143" s="275"/>
      <c r="Q143" s="275"/>
      <c r="R143" s="275"/>
      <c r="S143" s="275"/>
      <c r="T143" s="275"/>
      <c r="U143" s="275"/>
      <c r="V143" s="275"/>
      <c r="W143" s="275"/>
      <c r="X143" s="275"/>
      <c r="Y143" s="275"/>
      <c r="Z143" s="275"/>
      <c r="AA143" s="263"/>
      <c r="AB143" s="263"/>
      <c r="AC143" s="263"/>
    </row>
    <row r="144" spans="1:68" ht="14.25" hidden="1" customHeight="1" x14ac:dyDescent="0.25">
      <c r="A144" s="276" t="s">
        <v>136</v>
      </c>
      <c r="B144" s="275"/>
      <c r="C144" s="275"/>
      <c r="D144" s="275"/>
      <c r="E144" s="275"/>
      <c r="F144" s="275"/>
      <c r="G144" s="275"/>
      <c r="H144" s="275"/>
      <c r="I144" s="275"/>
      <c r="J144" s="275"/>
      <c r="K144" s="275"/>
      <c r="L144" s="275"/>
      <c r="M144" s="275"/>
      <c r="N144" s="275"/>
      <c r="O144" s="275"/>
      <c r="P144" s="275"/>
      <c r="Q144" s="275"/>
      <c r="R144" s="275"/>
      <c r="S144" s="275"/>
      <c r="T144" s="275"/>
      <c r="U144" s="275"/>
      <c r="V144" s="275"/>
      <c r="W144" s="275"/>
      <c r="X144" s="275"/>
      <c r="Y144" s="275"/>
      <c r="Z144" s="275"/>
      <c r="AA144" s="264"/>
      <c r="AB144" s="264"/>
      <c r="AC144" s="264"/>
    </row>
    <row r="145" spans="1:68" ht="27" hidden="1" customHeight="1" x14ac:dyDescent="0.25">
      <c r="A145" s="54" t="s">
        <v>229</v>
      </c>
      <c r="B145" s="54" t="s">
        <v>230</v>
      </c>
      <c r="C145" s="31">
        <v>4301135753</v>
      </c>
      <c r="D145" s="289">
        <v>4620207490914</v>
      </c>
      <c r="E145" s="290"/>
      <c r="F145" s="267">
        <v>0.2</v>
      </c>
      <c r="G145" s="32">
        <v>12</v>
      </c>
      <c r="H145" s="267">
        <v>2.4</v>
      </c>
      <c r="I145" s="267">
        <v>2.68</v>
      </c>
      <c r="J145" s="32">
        <v>70</v>
      </c>
      <c r="K145" s="32" t="s">
        <v>95</v>
      </c>
      <c r="L145" s="32" t="s">
        <v>67</v>
      </c>
      <c r="M145" s="33" t="s">
        <v>68</v>
      </c>
      <c r="N145" s="33"/>
      <c r="O145" s="32">
        <v>180</v>
      </c>
      <c r="P145" s="31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5" s="284"/>
      <c r="R145" s="284"/>
      <c r="S145" s="284"/>
      <c r="T145" s="285"/>
      <c r="U145" s="34"/>
      <c r="V145" s="34"/>
      <c r="W145" s="35" t="s">
        <v>69</v>
      </c>
      <c r="X145" s="268">
        <v>0</v>
      </c>
      <c r="Y145" s="269">
        <f>IFERROR(IF(X145="","",X145),"")</f>
        <v>0</v>
      </c>
      <c r="Z145" s="36">
        <f>IFERROR(IF(X145="","",X145*0.01788),"")</f>
        <v>0</v>
      </c>
      <c r="AA145" s="56"/>
      <c r="AB145" s="57"/>
      <c r="AC145" s="174" t="s">
        <v>216</v>
      </c>
      <c r="AG145" s="67"/>
      <c r="AJ145" s="71" t="s">
        <v>71</v>
      </c>
      <c r="AK145" s="71">
        <v>1</v>
      </c>
      <c r="BB145" s="175" t="s">
        <v>99</v>
      </c>
      <c r="BM145" s="67">
        <f>IFERROR(X145*I145,"0")</f>
        <v>0</v>
      </c>
      <c r="BN145" s="67">
        <f>IFERROR(Y145*I145,"0")</f>
        <v>0</v>
      </c>
      <c r="BO145" s="67">
        <f>IFERROR(X145/J145,"0")</f>
        <v>0</v>
      </c>
      <c r="BP145" s="67">
        <f>IFERROR(Y145/J145,"0")</f>
        <v>0</v>
      </c>
    </row>
    <row r="146" spans="1:68" ht="27" hidden="1" customHeight="1" x14ac:dyDescent="0.25">
      <c r="A146" s="54" t="s">
        <v>231</v>
      </c>
      <c r="B146" s="54" t="s">
        <v>232</v>
      </c>
      <c r="C146" s="31">
        <v>4301135778</v>
      </c>
      <c r="D146" s="289">
        <v>4620207490853</v>
      </c>
      <c r="E146" s="290"/>
      <c r="F146" s="267">
        <v>0.2</v>
      </c>
      <c r="G146" s="32">
        <v>12</v>
      </c>
      <c r="H146" s="267">
        <v>2.4</v>
      </c>
      <c r="I146" s="267">
        <v>2.68</v>
      </c>
      <c r="J146" s="32">
        <v>70</v>
      </c>
      <c r="K146" s="32" t="s">
        <v>95</v>
      </c>
      <c r="L146" s="32" t="s">
        <v>67</v>
      </c>
      <c r="M146" s="33" t="s">
        <v>68</v>
      </c>
      <c r="N146" s="33"/>
      <c r="O146" s="32">
        <v>180</v>
      </c>
      <c r="P146" s="44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6" s="284"/>
      <c r="R146" s="284"/>
      <c r="S146" s="284"/>
      <c r="T146" s="285"/>
      <c r="U146" s="34"/>
      <c r="V146" s="34"/>
      <c r="W146" s="35" t="s">
        <v>69</v>
      </c>
      <c r="X146" s="268">
        <v>0</v>
      </c>
      <c r="Y146" s="269">
        <f>IFERROR(IF(X146="","",X146),"")</f>
        <v>0</v>
      </c>
      <c r="Z146" s="36">
        <f>IFERROR(IF(X146="","",X146*0.01788),"")</f>
        <v>0</v>
      </c>
      <c r="AA146" s="56"/>
      <c r="AB146" s="57"/>
      <c r="AC146" s="176" t="s">
        <v>216</v>
      </c>
      <c r="AG146" s="67"/>
      <c r="AJ146" s="71" t="s">
        <v>71</v>
      </c>
      <c r="AK146" s="71">
        <v>1</v>
      </c>
      <c r="BB146" s="177" t="s">
        <v>99</v>
      </c>
      <c r="BM146" s="67">
        <f>IFERROR(X146*I146,"0")</f>
        <v>0</v>
      </c>
      <c r="BN146" s="67">
        <f>IFERROR(Y146*I146,"0")</f>
        <v>0</v>
      </c>
      <c r="BO146" s="67">
        <f>IFERROR(X146/J146,"0")</f>
        <v>0</v>
      </c>
      <c r="BP146" s="67">
        <f>IFERROR(Y146/J146,"0")</f>
        <v>0</v>
      </c>
    </row>
    <row r="147" spans="1:68" hidden="1" x14ac:dyDescent="0.2">
      <c r="A147" s="292"/>
      <c r="B147" s="275"/>
      <c r="C147" s="275"/>
      <c r="D147" s="275"/>
      <c r="E147" s="275"/>
      <c r="F147" s="275"/>
      <c r="G147" s="275"/>
      <c r="H147" s="275"/>
      <c r="I147" s="275"/>
      <c r="J147" s="275"/>
      <c r="K147" s="275"/>
      <c r="L147" s="275"/>
      <c r="M147" s="275"/>
      <c r="N147" s="275"/>
      <c r="O147" s="293"/>
      <c r="P147" s="280" t="s">
        <v>82</v>
      </c>
      <c r="Q147" s="281"/>
      <c r="R147" s="281"/>
      <c r="S147" s="281"/>
      <c r="T147" s="281"/>
      <c r="U147" s="281"/>
      <c r="V147" s="282"/>
      <c r="W147" s="37" t="s">
        <v>69</v>
      </c>
      <c r="X147" s="270">
        <f>IFERROR(SUM(X145:X146),"0")</f>
        <v>0</v>
      </c>
      <c r="Y147" s="270">
        <f>IFERROR(SUM(Y145:Y146),"0")</f>
        <v>0</v>
      </c>
      <c r="Z147" s="270">
        <f>IFERROR(IF(Z145="",0,Z145),"0")+IFERROR(IF(Z146="",0,Z146),"0")</f>
        <v>0</v>
      </c>
      <c r="AA147" s="271"/>
      <c r="AB147" s="271"/>
      <c r="AC147" s="271"/>
    </row>
    <row r="148" spans="1:68" hidden="1" x14ac:dyDescent="0.2">
      <c r="A148" s="275"/>
      <c r="B148" s="275"/>
      <c r="C148" s="275"/>
      <c r="D148" s="275"/>
      <c r="E148" s="275"/>
      <c r="F148" s="275"/>
      <c r="G148" s="275"/>
      <c r="H148" s="275"/>
      <c r="I148" s="275"/>
      <c r="J148" s="275"/>
      <c r="K148" s="275"/>
      <c r="L148" s="275"/>
      <c r="M148" s="275"/>
      <c r="N148" s="275"/>
      <c r="O148" s="293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0">
        <f>IFERROR(SUMPRODUCT(X145:X146*H145:H146),"0")</f>
        <v>0</v>
      </c>
      <c r="Y148" s="270">
        <f>IFERROR(SUMPRODUCT(Y145:Y146*H145:H146),"0")</f>
        <v>0</v>
      </c>
      <c r="Z148" s="37"/>
      <c r="AA148" s="271"/>
      <c r="AB148" s="271"/>
      <c r="AC148" s="271"/>
    </row>
    <row r="149" spans="1:68" ht="16.5" hidden="1" customHeight="1" x14ac:dyDescent="0.25">
      <c r="A149" s="288" t="s">
        <v>233</v>
      </c>
      <c r="B149" s="275"/>
      <c r="C149" s="275"/>
      <c r="D149" s="275"/>
      <c r="E149" s="275"/>
      <c r="F149" s="275"/>
      <c r="G149" s="275"/>
      <c r="H149" s="275"/>
      <c r="I149" s="275"/>
      <c r="J149" s="275"/>
      <c r="K149" s="275"/>
      <c r="L149" s="275"/>
      <c r="M149" s="275"/>
      <c r="N149" s="275"/>
      <c r="O149" s="275"/>
      <c r="P149" s="275"/>
      <c r="Q149" s="275"/>
      <c r="R149" s="275"/>
      <c r="S149" s="275"/>
      <c r="T149" s="275"/>
      <c r="U149" s="275"/>
      <c r="V149" s="275"/>
      <c r="W149" s="275"/>
      <c r="X149" s="275"/>
      <c r="Y149" s="275"/>
      <c r="Z149" s="275"/>
      <c r="AA149" s="263"/>
      <c r="AB149" s="263"/>
      <c r="AC149" s="263"/>
    </row>
    <row r="150" spans="1:68" ht="14.25" hidden="1" customHeight="1" x14ac:dyDescent="0.25">
      <c r="A150" s="276" t="s">
        <v>136</v>
      </c>
      <c r="B150" s="275"/>
      <c r="C150" s="275"/>
      <c r="D150" s="275"/>
      <c r="E150" s="275"/>
      <c r="F150" s="275"/>
      <c r="G150" s="275"/>
      <c r="H150" s="275"/>
      <c r="I150" s="275"/>
      <c r="J150" s="275"/>
      <c r="K150" s="275"/>
      <c r="L150" s="275"/>
      <c r="M150" s="275"/>
      <c r="N150" s="275"/>
      <c r="O150" s="275"/>
      <c r="P150" s="275"/>
      <c r="Q150" s="275"/>
      <c r="R150" s="275"/>
      <c r="S150" s="275"/>
      <c r="T150" s="275"/>
      <c r="U150" s="275"/>
      <c r="V150" s="275"/>
      <c r="W150" s="275"/>
      <c r="X150" s="275"/>
      <c r="Y150" s="275"/>
      <c r="Z150" s="275"/>
      <c r="AA150" s="264"/>
      <c r="AB150" s="264"/>
      <c r="AC150" s="264"/>
    </row>
    <row r="151" spans="1:68" ht="27" customHeight="1" x14ac:dyDescent="0.25">
      <c r="A151" s="54" t="s">
        <v>234</v>
      </c>
      <c r="B151" s="54" t="s">
        <v>235</v>
      </c>
      <c r="C151" s="31">
        <v>4301135570</v>
      </c>
      <c r="D151" s="289">
        <v>4607111035806</v>
      </c>
      <c r="E151" s="290"/>
      <c r="F151" s="267">
        <v>0.25</v>
      </c>
      <c r="G151" s="32">
        <v>12</v>
      </c>
      <c r="H151" s="267">
        <v>3</v>
      </c>
      <c r="I151" s="267">
        <v>3.7035999999999998</v>
      </c>
      <c r="J151" s="32">
        <v>70</v>
      </c>
      <c r="K151" s="32" t="s">
        <v>95</v>
      </c>
      <c r="L151" s="32" t="s">
        <v>96</v>
      </c>
      <c r="M151" s="33" t="s">
        <v>68</v>
      </c>
      <c r="N151" s="33"/>
      <c r="O151" s="32">
        <v>180</v>
      </c>
      <c r="P151" s="44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1" s="284"/>
      <c r="R151" s="284"/>
      <c r="S151" s="284"/>
      <c r="T151" s="285"/>
      <c r="U151" s="34"/>
      <c r="V151" s="34"/>
      <c r="W151" s="35" t="s">
        <v>69</v>
      </c>
      <c r="X151" s="268">
        <v>28</v>
      </c>
      <c r="Y151" s="269">
        <f>IFERROR(IF(X151="","",X151),"")</f>
        <v>28</v>
      </c>
      <c r="Z151" s="36">
        <f>IFERROR(IF(X151="","",X151*0.01788),"")</f>
        <v>0.50063999999999997</v>
      </c>
      <c r="AA151" s="56"/>
      <c r="AB151" s="57"/>
      <c r="AC151" s="178" t="s">
        <v>236</v>
      </c>
      <c r="AG151" s="67"/>
      <c r="AJ151" s="71" t="s">
        <v>98</v>
      </c>
      <c r="AK151" s="71">
        <v>14</v>
      </c>
      <c r="BB151" s="179" t="s">
        <v>99</v>
      </c>
      <c r="BM151" s="67">
        <f>IFERROR(X151*I151,"0")</f>
        <v>103.70079999999999</v>
      </c>
      <c r="BN151" s="67">
        <f>IFERROR(Y151*I151,"0")</f>
        <v>103.70079999999999</v>
      </c>
      <c r="BO151" s="67">
        <f>IFERROR(X151/J151,"0")</f>
        <v>0.4</v>
      </c>
      <c r="BP151" s="67">
        <f>IFERROR(Y151/J151,"0")</f>
        <v>0.4</v>
      </c>
    </row>
    <row r="152" spans="1:68" x14ac:dyDescent="0.2">
      <c r="A152" s="292"/>
      <c r="B152" s="275"/>
      <c r="C152" s="275"/>
      <c r="D152" s="275"/>
      <c r="E152" s="275"/>
      <c r="F152" s="275"/>
      <c r="G152" s="275"/>
      <c r="H152" s="275"/>
      <c r="I152" s="275"/>
      <c r="J152" s="275"/>
      <c r="K152" s="275"/>
      <c r="L152" s="275"/>
      <c r="M152" s="275"/>
      <c r="N152" s="275"/>
      <c r="O152" s="293"/>
      <c r="P152" s="280" t="s">
        <v>82</v>
      </c>
      <c r="Q152" s="281"/>
      <c r="R152" s="281"/>
      <c r="S152" s="281"/>
      <c r="T152" s="281"/>
      <c r="U152" s="281"/>
      <c r="V152" s="282"/>
      <c r="W152" s="37" t="s">
        <v>69</v>
      </c>
      <c r="X152" s="270">
        <f>IFERROR(SUM(X151:X151),"0")</f>
        <v>28</v>
      </c>
      <c r="Y152" s="270">
        <f>IFERROR(SUM(Y151:Y151),"0")</f>
        <v>28</v>
      </c>
      <c r="Z152" s="270">
        <f>IFERROR(IF(Z151="",0,Z151),"0")</f>
        <v>0.50063999999999997</v>
      </c>
      <c r="AA152" s="271"/>
      <c r="AB152" s="271"/>
      <c r="AC152" s="271"/>
    </row>
    <row r="153" spans="1:68" x14ac:dyDescent="0.2">
      <c r="A153" s="275"/>
      <c r="B153" s="275"/>
      <c r="C153" s="275"/>
      <c r="D153" s="275"/>
      <c r="E153" s="275"/>
      <c r="F153" s="275"/>
      <c r="G153" s="275"/>
      <c r="H153" s="275"/>
      <c r="I153" s="275"/>
      <c r="J153" s="275"/>
      <c r="K153" s="275"/>
      <c r="L153" s="275"/>
      <c r="M153" s="275"/>
      <c r="N153" s="275"/>
      <c r="O153" s="293"/>
      <c r="P153" s="280" t="s">
        <v>82</v>
      </c>
      <c r="Q153" s="281"/>
      <c r="R153" s="281"/>
      <c r="S153" s="281"/>
      <c r="T153" s="281"/>
      <c r="U153" s="281"/>
      <c r="V153" s="282"/>
      <c r="W153" s="37" t="s">
        <v>83</v>
      </c>
      <c r="X153" s="270">
        <f>IFERROR(SUMPRODUCT(X151:X151*H151:H151),"0")</f>
        <v>84</v>
      </c>
      <c r="Y153" s="270">
        <f>IFERROR(SUMPRODUCT(Y151:Y151*H151:H151),"0")</f>
        <v>84</v>
      </c>
      <c r="Z153" s="37"/>
      <c r="AA153" s="271"/>
      <c r="AB153" s="271"/>
      <c r="AC153" s="271"/>
    </row>
    <row r="154" spans="1:68" ht="16.5" hidden="1" customHeight="1" x14ac:dyDescent="0.25">
      <c r="A154" s="288" t="s">
        <v>237</v>
      </c>
      <c r="B154" s="275"/>
      <c r="C154" s="275"/>
      <c r="D154" s="275"/>
      <c r="E154" s="275"/>
      <c r="F154" s="275"/>
      <c r="G154" s="275"/>
      <c r="H154" s="275"/>
      <c r="I154" s="275"/>
      <c r="J154" s="275"/>
      <c r="K154" s="275"/>
      <c r="L154" s="275"/>
      <c r="M154" s="275"/>
      <c r="N154" s="275"/>
      <c r="O154" s="275"/>
      <c r="P154" s="275"/>
      <c r="Q154" s="275"/>
      <c r="R154" s="275"/>
      <c r="S154" s="275"/>
      <c r="T154" s="275"/>
      <c r="U154" s="275"/>
      <c r="V154" s="275"/>
      <c r="W154" s="275"/>
      <c r="X154" s="275"/>
      <c r="Y154" s="275"/>
      <c r="Z154" s="275"/>
      <c r="AA154" s="263"/>
      <c r="AB154" s="263"/>
      <c r="AC154" s="263"/>
    </row>
    <row r="155" spans="1:68" ht="14.25" hidden="1" customHeight="1" x14ac:dyDescent="0.25">
      <c r="A155" s="276" t="s">
        <v>136</v>
      </c>
      <c r="B155" s="275"/>
      <c r="C155" s="275"/>
      <c r="D155" s="275"/>
      <c r="E155" s="275"/>
      <c r="F155" s="275"/>
      <c r="G155" s="275"/>
      <c r="H155" s="275"/>
      <c r="I155" s="275"/>
      <c r="J155" s="275"/>
      <c r="K155" s="275"/>
      <c r="L155" s="275"/>
      <c r="M155" s="275"/>
      <c r="N155" s="275"/>
      <c r="O155" s="275"/>
      <c r="P155" s="275"/>
      <c r="Q155" s="275"/>
      <c r="R155" s="275"/>
      <c r="S155" s="275"/>
      <c r="T155" s="275"/>
      <c r="U155" s="275"/>
      <c r="V155" s="275"/>
      <c r="W155" s="275"/>
      <c r="X155" s="275"/>
      <c r="Y155" s="275"/>
      <c r="Z155" s="275"/>
      <c r="AA155" s="264"/>
      <c r="AB155" s="264"/>
      <c r="AC155" s="264"/>
    </row>
    <row r="156" spans="1:68" ht="16.5" hidden="1" customHeight="1" x14ac:dyDescent="0.25">
      <c r="A156" s="54" t="s">
        <v>238</v>
      </c>
      <c r="B156" s="54" t="s">
        <v>239</v>
      </c>
      <c r="C156" s="31">
        <v>4301135607</v>
      </c>
      <c r="D156" s="289">
        <v>4607111039613</v>
      </c>
      <c r="E156" s="290"/>
      <c r="F156" s="267">
        <v>0.09</v>
      </c>
      <c r="G156" s="32">
        <v>30</v>
      </c>
      <c r="H156" s="267">
        <v>2.7</v>
      </c>
      <c r="I156" s="267">
        <v>3.09</v>
      </c>
      <c r="J156" s="32">
        <v>126</v>
      </c>
      <c r="K156" s="32" t="s">
        <v>95</v>
      </c>
      <c r="L156" s="32" t="s">
        <v>67</v>
      </c>
      <c r="M156" s="33" t="s">
        <v>68</v>
      </c>
      <c r="N156" s="33"/>
      <c r="O156" s="32">
        <v>180</v>
      </c>
      <c r="P156" s="398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6" s="284"/>
      <c r="R156" s="284"/>
      <c r="S156" s="284"/>
      <c r="T156" s="285"/>
      <c r="U156" s="34"/>
      <c r="V156" s="34"/>
      <c r="W156" s="35" t="s">
        <v>69</v>
      </c>
      <c r="X156" s="268">
        <v>0</v>
      </c>
      <c r="Y156" s="269">
        <f>IFERROR(IF(X156="","",X156),"")</f>
        <v>0</v>
      </c>
      <c r="Z156" s="36">
        <f>IFERROR(IF(X156="","",X156*0.00936),"")</f>
        <v>0</v>
      </c>
      <c r="AA156" s="56"/>
      <c r="AB156" s="57"/>
      <c r="AC156" s="180" t="s">
        <v>224</v>
      </c>
      <c r="AG156" s="67"/>
      <c r="AJ156" s="71" t="s">
        <v>71</v>
      </c>
      <c r="AK156" s="71">
        <v>1</v>
      </c>
      <c r="BB156" s="181" t="s">
        <v>99</v>
      </c>
      <c r="BM156" s="67">
        <f>IFERROR(X156*I156,"0")</f>
        <v>0</v>
      </c>
      <c r="BN156" s="67">
        <f>IFERROR(Y156*I156,"0")</f>
        <v>0</v>
      </c>
      <c r="BO156" s="67">
        <f>IFERROR(X156/J156,"0")</f>
        <v>0</v>
      </c>
      <c r="BP156" s="67">
        <f>IFERROR(Y156/J156,"0")</f>
        <v>0</v>
      </c>
    </row>
    <row r="157" spans="1:68" hidden="1" x14ac:dyDescent="0.2">
      <c r="A157" s="292"/>
      <c r="B157" s="275"/>
      <c r="C157" s="275"/>
      <c r="D157" s="275"/>
      <c r="E157" s="275"/>
      <c r="F157" s="275"/>
      <c r="G157" s="275"/>
      <c r="H157" s="275"/>
      <c r="I157" s="275"/>
      <c r="J157" s="275"/>
      <c r="K157" s="275"/>
      <c r="L157" s="275"/>
      <c r="M157" s="275"/>
      <c r="N157" s="275"/>
      <c r="O157" s="293"/>
      <c r="P157" s="280" t="s">
        <v>82</v>
      </c>
      <c r="Q157" s="281"/>
      <c r="R157" s="281"/>
      <c r="S157" s="281"/>
      <c r="T157" s="281"/>
      <c r="U157" s="281"/>
      <c r="V157" s="282"/>
      <c r="W157" s="37" t="s">
        <v>69</v>
      </c>
      <c r="X157" s="270">
        <f>IFERROR(SUM(X156:X156),"0")</f>
        <v>0</v>
      </c>
      <c r="Y157" s="270">
        <f>IFERROR(SUM(Y156:Y156),"0")</f>
        <v>0</v>
      </c>
      <c r="Z157" s="270">
        <f>IFERROR(IF(Z156="",0,Z156),"0")</f>
        <v>0</v>
      </c>
      <c r="AA157" s="271"/>
      <c r="AB157" s="271"/>
      <c r="AC157" s="271"/>
    </row>
    <row r="158" spans="1:68" hidden="1" x14ac:dyDescent="0.2">
      <c r="A158" s="275"/>
      <c r="B158" s="275"/>
      <c r="C158" s="275"/>
      <c r="D158" s="275"/>
      <c r="E158" s="275"/>
      <c r="F158" s="275"/>
      <c r="G158" s="275"/>
      <c r="H158" s="275"/>
      <c r="I158" s="275"/>
      <c r="J158" s="275"/>
      <c r="K158" s="275"/>
      <c r="L158" s="275"/>
      <c r="M158" s="275"/>
      <c r="N158" s="275"/>
      <c r="O158" s="293"/>
      <c r="P158" s="280" t="s">
        <v>82</v>
      </c>
      <c r="Q158" s="281"/>
      <c r="R158" s="281"/>
      <c r="S158" s="281"/>
      <c r="T158" s="281"/>
      <c r="U158" s="281"/>
      <c r="V158" s="282"/>
      <c r="W158" s="37" t="s">
        <v>83</v>
      </c>
      <c r="X158" s="270">
        <f>IFERROR(SUMPRODUCT(X156:X156*H156:H156),"0")</f>
        <v>0</v>
      </c>
      <c r="Y158" s="270">
        <f>IFERROR(SUMPRODUCT(Y156:Y156*H156:H156),"0")</f>
        <v>0</v>
      </c>
      <c r="Z158" s="37"/>
      <c r="AA158" s="271"/>
      <c r="AB158" s="271"/>
      <c r="AC158" s="271"/>
    </row>
    <row r="159" spans="1:68" ht="16.5" hidden="1" customHeight="1" x14ac:dyDescent="0.25">
      <c r="A159" s="288" t="s">
        <v>240</v>
      </c>
      <c r="B159" s="275"/>
      <c r="C159" s="275"/>
      <c r="D159" s="275"/>
      <c r="E159" s="275"/>
      <c r="F159" s="275"/>
      <c r="G159" s="275"/>
      <c r="H159" s="275"/>
      <c r="I159" s="275"/>
      <c r="J159" s="275"/>
      <c r="K159" s="275"/>
      <c r="L159" s="275"/>
      <c r="M159" s="275"/>
      <c r="N159" s="275"/>
      <c r="O159" s="275"/>
      <c r="P159" s="275"/>
      <c r="Q159" s="275"/>
      <c r="R159" s="275"/>
      <c r="S159" s="275"/>
      <c r="T159" s="275"/>
      <c r="U159" s="275"/>
      <c r="V159" s="275"/>
      <c r="W159" s="275"/>
      <c r="X159" s="275"/>
      <c r="Y159" s="275"/>
      <c r="Z159" s="275"/>
      <c r="AA159" s="263"/>
      <c r="AB159" s="263"/>
      <c r="AC159" s="263"/>
    </row>
    <row r="160" spans="1:68" ht="14.25" hidden="1" customHeight="1" x14ac:dyDescent="0.25">
      <c r="A160" s="276" t="s">
        <v>209</v>
      </c>
      <c r="B160" s="275"/>
      <c r="C160" s="275"/>
      <c r="D160" s="275"/>
      <c r="E160" s="275"/>
      <c r="F160" s="275"/>
      <c r="G160" s="275"/>
      <c r="H160" s="275"/>
      <c r="I160" s="275"/>
      <c r="J160" s="275"/>
      <c r="K160" s="275"/>
      <c r="L160" s="275"/>
      <c r="M160" s="275"/>
      <c r="N160" s="275"/>
      <c r="O160" s="275"/>
      <c r="P160" s="275"/>
      <c r="Q160" s="275"/>
      <c r="R160" s="275"/>
      <c r="S160" s="275"/>
      <c r="T160" s="275"/>
      <c r="U160" s="275"/>
      <c r="V160" s="275"/>
      <c r="W160" s="275"/>
      <c r="X160" s="275"/>
      <c r="Y160" s="275"/>
      <c r="Z160" s="275"/>
      <c r="AA160" s="264"/>
      <c r="AB160" s="264"/>
      <c r="AC160" s="264"/>
    </row>
    <row r="161" spans="1:68" ht="27" hidden="1" customHeight="1" x14ac:dyDescent="0.25">
      <c r="A161" s="54" t="s">
        <v>241</v>
      </c>
      <c r="B161" s="54" t="s">
        <v>242</v>
      </c>
      <c r="C161" s="31">
        <v>4301135540</v>
      </c>
      <c r="D161" s="289">
        <v>4607111035646</v>
      </c>
      <c r="E161" s="290"/>
      <c r="F161" s="267">
        <v>0.2</v>
      </c>
      <c r="G161" s="32">
        <v>8</v>
      </c>
      <c r="H161" s="267">
        <v>1.6</v>
      </c>
      <c r="I161" s="267">
        <v>2.12</v>
      </c>
      <c r="J161" s="32">
        <v>72</v>
      </c>
      <c r="K161" s="32" t="s">
        <v>243</v>
      </c>
      <c r="L161" s="32" t="s">
        <v>67</v>
      </c>
      <c r="M161" s="33" t="s">
        <v>68</v>
      </c>
      <c r="N161" s="33"/>
      <c r="O161" s="32">
        <v>180</v>
      </c>
      <c r="P161" s="395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1" s="284"/>
      <c r="R161" s="284"/>
      <c r="S161" s="284"/>
      <c r="T161" s="285"/>
      <c r="U161" s="34"/>
      <c r="V161" s="34"/>
      <c r="W161" s="35" t="s">
        <v>69</v>
      </c>
      <c r="X161" s="268">
        <v>0</v>
      </c>
      <c r="Y161" s="269">
        <f>IFERROR(IF(X161="","",X161),"")</f>
        <v>0</v>
      </c>
      <c r="Z161" s="36">
        <f>IFERROR(IF(X161="","",X161*0.01157),"")</f>
        <v>0</v>
      </c>
      <c r="AA161" s="56"/>
      <c r="AB161" s="57"/>
      <c r="AC161" s="182" t="s">
        <v>244</v>
      </c>
      <c r="AG161" s="67"/>
      <c r="AJ161" s="71" t="s">
        <v>71</v>
      </c>
      <c r="AK161" s="71">
        <v>1</v>
      </c>
      <c r="BB161" s="183" t="s">
        <v>99</v>
      </c>
      <c r="BM161" s="67">
        <f>IFERROR(X161*I161,"0")</f>
        <v>0</v>
      </c>
      <c r="BN161" s="67">
        <f>IFERROR(Y161*I161,"0")</f>
        <v>0</v>
      </c>
      <c r="BO161" s="67">
        <f>IFERROR(X161/J161,"0")</f>
        <v>0</v>
      </c>
      <c r="BP161" s="67">
        <f>IFERROR(Y161/J161,"0")</f>
        <v>0</v>
      </c>
    </row>
    <row r="162" spans="1:68" hidden="1" x14ac:dyDescent="0.2">
      <c r="A162" s="292"/>
      <c r="B162" s="275"/>
      <c r="C162" s="275"/>
      <c r="D162" s="275"/>
      <c r="E162" s="275"/>
      <c r="F162" s="275"/>
      <c r="G162" s="275"/>
      <c r="H162" s="275"/>
      <c r="I162" s="275"/>
      <c r="J162" s="275"/>
      <c r="K162" s="275"/>
      <c r="L162" s="275"/>
      <c r="M162" s="275"/>
      <c r="N162" s="275"/>
      <c r="O162" s="293"/>
      <c r="P162" s="280" t="s">
        <v>82</v>
      </c>
      <c r="Q162" s="281"/>
      <c r="R162" s="281"/>
      <c r="S162" s="281"/>
      <c r="T162" s="281"/>
      <c r="U162" s="281"/>
      <c r="V162" s="282"/>
      <c r="W162" s="37" t="s">
        <v>69</v>
      </c>
      <c r="X162" s="270">
        <f>IFERROR(SUM(X161:X161),"0")</f>
        <v>0</v>
      </c>
      <c r="Y162" s="270">
        <f>IFERROR(SUM(Y161:Y161),"0")</f>
        <v>0</v>
      </c>
      <c r="Z162" s="270">
        <f>IFERROR(IF(Z161="",0,Z161),"0")</f>
        <v>0</v>
      </c>
      <c r="AA162" s="271"/>
      <c r="AB162" s="271"/>
      <c r="AC162" s="271"/>
    </row>
    <row r="163" spans="1:68" hidden="1" x14ac:dyDescent="0.2">
      <c r="A163" s="275"/>
      <c r="B163" s="275"/>
      <c r="C163" s="275"/>
      <c r="D163" s="275"/>
      <c r="E163" s="275"/>
      <c r="F163" s="275"/>
      <c r="G163" s="275"/>
      <c r="H163" s="275"/>
      <c r="I163" s="275"/>
      <c r="J163" s="275"/>
      <c r="K163" s="275"/>
      <c r="L163" s="275"/>
      <c r="M163" s="275"/>
      <c r="N163" s="275"/>
      <c r="O163" s="293"/>
      <c r="P163" s="280" t="s">
        <v>82</v>
      </c>
      <c r="Q163" s="281"/>
      <c r="R163" s="281"/>
      <c r="S163" s="281"/>
      <c r="T163" s="281"/>
      <c r="U163" s="281"/>
      <c r="V163" s="282"/>
      <c r="W163" s="37" t="s">
        <v>83</v>
      </c>
      <c r="X163" s="270">
        <f>IFERROR(SUMPRODUCT(X161:X161*H161:H161),"0")</f>
        <v>0</v>
      </c>
      <c r="Y163" s="270">
        <f>IFERROR(SUMPRODUCT(Y161:Y161*H161:H161),"0")</f>
        <v>0</v>
      </c>
      <c r="Z163" s="37"/>
      <c r="AA163" s="271"/>
      <c r="AB163" s="271"/>
      <c r="AC163" s="271"/>
    </row>
    <row r="164" spans="1:68" ht="16.5" hidden="1" customHeight="1" x14ac:dyDescent="0.25">
      <c r="A164" s="288" t="s">
        <v>245</v>
      </c>
      <c r="B164" s="275"/>
      <c r="C164" s="275"/>
      <c r="D164" s="275"/>
      <c r="E164" s="275"/>
      <c r="F164" s="275"/>
      <c r="G164" s="275"/>
      <c r="H164" s="275"/>
      <c r="I164" s="275"/>
      <c r="J164" s="275"/>
      <c r="K164" s="275"/>
      <c r="L164" s="275"/>
      <c r="M164" s="275"/>
      <c r="N164" s="275"/>
      <c r="O164" s="275"/>
      <c r="P164" s="275"/>
      <c r="Q164" s="275"/>
      <c r="R164" s="275"/>
      <c r="S164" s="275"/>
      <c r="T164" s="275"/>
      <c r="U164" s="275"/>
      <c r="V164" s="275"/>
      <c r="W164" s="275"/>
      <c r="X164" s="275"/>
      <c r="Y164" s="275"/>
      <c r="Z164" s="275"/>
      <c r="AA164" s="263"/>
      <c r="AB164" s="263"/>
      <c r="AC164" s="263"/>
    </row>
    <row r="165" spans="1:68" ht="14.25" hidden="1" customHeight="1" x14ac:dyDescent="0.25">
      <c r="A165" s="276" t="s">
        <v>136</v>
      </c>
      <c r="B165" s="275"/>
      <c r="C165" s="275"/>
      <c r="D165" s="275"/>
      <c r="E165" s="275"/>
      <c r="F165" s="275"/>
      <c r="G165" s="275"/>
      <c r="H165" s="275"/>
      <c r="I165" s="275"/>
      <c r="J165" s="275"/>
      <c r="K165" s="275"/>
      <c r="L165" s="275"/>
      <c r="M165" s="275"/>
      <c r="N165" s="275"/>
      <c r="O165" s="275"/>
      <c r="P165" s="275"/>
      <c r="Q165" s="275"/>
      <c r="R165" s="275"/>
      <c r="S165" s="275"/>
      <c r="T165" s="275"/>
      <c r="U165" s="275"/>
      <c r="V165" s="275"/>
      <c r="W165" s="275"/>
      <c r="X165" s="275"/>
      <c r="Y165" s="275"/>
      <c r="Z165" s="275"/>
      <c r="AA165" s="264"/>
      <c r="AB165" s="264"/>
      <c r="AC165" s="264"/>
    </row>
    <row r="166" spans="1:68" ht="27" customHeight="1" x14ac:dyDescent="0.25">
      <c r="A166" s="54" t="s">
        <v>246</v>
      </c>
      <c r="B166" s="54" t="s">
        <v>247</v>
      </c>
      <c r="C166" s="31">
        <v>4301135591</v>
      </c>
      <c r="D166" s="289">
        <v>4607111036568</v>
      </c>
      <c r="E166" s="290"/>
      <c r="F166" s="267">
        <v>0.28000000000000003</v>
      </c>
      <c r="G166" s="32">
        <v>6</v>
      </c>
      <c r="H166" s="267">
        <v>1.68</v>
      </c>
      <c r="I166" s="267">
        <v>2.1017999999999999</v>
      </c>
      <c r="J166" s="32">
        <v>140</v>
      </c>
      <c r="K166" s="32" t="s">
        <v>95</v>
      </c>
      <c r="L166" s="32" t="s">
        <v>96</v>
      </c>
      <c r="M166" s="33" t="s">
        <v>68</v>
      </c>
      <c r="N166" s="33"/>
      <c r="O166" s="32">
        <v>180</v>
      </c>
      <c r="P166" s="324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6" s="284"/>
      <c r="R166" s="284"/>
      <c r="S166" s="284"/>
      <c r="T166" s="285"/>
      <c r="U166" s="34"/>
      <c r="V166" s="34"/>
      <c r="W166" s="35" t="s">
        <v>69</v>
      </c>
      <c r="X166" s="268">
        <v>56</v>
      </c>
      <c r="Y166" s="269">
        <f>IFERROR(IF(X166="","",X166),"")</f>
        <v>56</v>
      </c>
      <c r="Z166" s="36">
        <f>IFERROR(IF(X166="","",X166*0.00941),"")</f>
        <v>0.52695999999999998</v>
      </c>
      <c r="AA166" s="56"/>
      <c r="AB166" s="57"/>
      <c r="AC166" s="184" t="s">
        <v>248</v>
      </c>
      <c r="AG166" s="67"/>
      <c r="AJ166" s="71" t="s">
        <v>98</v>
      </c>
      <c r="AK166" s="71">
        <v>14</v>
      </c>
      <c r="BB166" s="185" t="s">
        <v>99</v>
      </c>
      <c r="BM166" s="67">
        <f>IFERROR(X166*I166,"0")</f>
        <v>117.70079999999999</v>
      </c>
      <c r="BN166" s="67">
        <f>IFERROR(Y166*I166,"0")</f>
        <v>117.70079999999999</v>
      </c>
      <c r="BO166" s="67">
        <f>IFERROR(X166/J166,"0")</f>
        <v>0.4</v>
      </c>
      <c r="BP166" s="67">
        <f>IFERROR(Y166/J166,"0")</f>
        <v>0.4</v>
      </c>
    </row>
    <row r="167" spans="1:68" x14ac:dyDescent="0.2">
      <c r="A167" s="292"/>
      <c r="B167" s="275"/>
      <c r="C167" s="275"/>
      <c r="D167" s="275"/>
      <c r="E167" s="275"/>
      <c r="F167" s="275"/>
      <c r="G167" s="275"/>
      <c r="H167" s="275"/>
      <c r="I167" s="275"/>
      <c r="J167" s="275"/>
      <c r="K167" s="275"/>
      <c r="L167" s="275"/>
      <c r="M167" s="275"/>
      <c r="N167" s="275"/>
      <c r="O167" s="293"/>
      <c r="P167" s="280" t="s">
        <v>82</v>
      </c>
      <c r="Q167" s="281"/>
      <c r="R167" s="281"/>
      <c r="S167" s="281"/>
      <c r="T167" s="281"/>
      <c r="U167" s="281"/>
      <c r="V167" s="282"/>
      <c r="W167" s="37" t="s">
        <v>69</v>
      </c>
      <c r="X167" s="270">
        <f>IFERROR(SUM(X166:X166),"0")</f>
        <v>56</v>
      </c>
      <c r="Y167" s="270">
        <f>IFERROR(SUM(Y166:Y166),"0")</f>
        <v>56</v>
      </c>
      <c r="Z167" s="270">
        <f>IFERROR(IF(Z166="",0,Z166),"0")</f>
        <v>0.52695999999999998</v>
      </c>
      <c r="AA167" s="271"/>
      <c r="AB167" s="271"/>
      <c r="AC167" s="271"/>
    </row>
    <row r="168" spans="1:68" x14ac:dyDescent="0.2">
      <c r="A168" s="275"/>
      <c r="B168" s="275"/>
      <c r="C168" s="275"/>
      <c r="D168" s="275"/>
      <c r="E168" s="275"/>
      <c r="F168" s="275"/>
      <c r="G168" s="275"/>
      <c r="H168" s="275"/>
      <c r="I168" s="275"/>
      <c r="J168" s="275"/>
      <c r="K168" s="275"/>
      <c r="L168" s="275"/>
      <c r="M168" s="275"/>
      <c r="N168" s="275"/>
      <c r="O168" s="293"/>
      <c r="P168" s="280" t="s">
        <v>82</v>
      </c>
      <c r="Q168" s="281"/>
      <c r="R168" s="281"/>
      <c r="S168" s="281"/>
      <c r="T168" s="281"/>
      <c r="U168" s="281"/>
      <c r="V168" s="282"/>
      <c r="W168" s="37" t="s">
        <v>83</v>
      </c>
      <c r="X168" s="270">
        <f>IFERROR(SUMPRODUCT(X166:X166*H166:H166),"0")</f>
        <v>94.08</v>
      </c>
      <c r="Y168" s="270">
        <f>IFERROR(SUMPRODUCT(Y166:Y166*H166:H166),"0")</f>
        <v>94.08</v>
      </c>
      <c r="Z168" s="37"/>
      <c r="AA168" s="271"/>
      <c r="AB168" s="271"/>
      <c r="AC168" s="271"/>
    </row>
    <row r="169" spans="1:68" ht="27.75" hidden="1" customHeight="1" x14ac:dyDescent="0.2">
      <c r="A169" s="286" t="s">
        <v>249</v>
      </c>
      <c r="B169" s="287"/>
      <c r="C169" s="287"/>
      <c r="D169" s="287"/>
      <c r="E169" s="287"/>
      <c r="F169" s="287"/>
      <c r="G169" s="287"/>
      <c r="H169" s="287"/>
      <c r="I169" s="287"/>
      <c r="J169" s="287"/>
      <c r="K169" s="287"/>
      <c r="L169" s="287"/>
      <c r="M169" s="287"/>
      <c r="N169" s="287"/>
      <c r="O169" s="287"/>
      <c r="P169" s="287"/>
      <c r="Q169" s="287"/>
      <c r="R169" s="287"/>
      <c r="S169" s="287"/>
      <c r="T169" s="287"/>
      <c r="U169" s="287"/>
      <c r="V169" s="287"/>
      <c r="W169" s="287"/>
      <c r="X169" s="287"/>
      <c r="Y169" s="287"/>
      <c r="Z169" s="287"/>
      <c r="AA169" s="48"/>
      <c r="AB169" s="48"/>
      <c r="AC169" s="48"/>
    </row>
    <row r="170" spans="1:68" ht="16.5" hidden="1" customHeight="1" x14ac:dyDescent="0.25">
      <c r="A170" s="288" t="s">
        <v>250</v>
      </c>
      <c r="B170" s="275"/>
      <c r="C170" s="275"/>
      <c r="D170" s="275"/>
      <c r="E170" s="275"/>
      <c r="F170" s="275"/>
      <c r="G170" s="275"/>
      <c r="H170" s="275"/>
      <c r="I170" s="275"/>
      <c r="J170" s="275"/>
      <c r="K170" s="275"/>
      <c r="L170" s="275"/>
      <c r="M170" s="275"/>
      <c r="N170" s="275"/>
      <c r="O170" s="275"/>
      <c r="P170" s="275"/>
      <c r="Q170" s="275"/>
      <c r="R170" s="275"/>
      <c r="S170" s="275"/>
      <c r="T170" s="275"/>
      <c r="U170" s="275"/>
      <c r="V170" s="275"/>
      <c r="W170" s="275"/>
      <c r="X170" s="275"/>
      <c r="Y170" s="275"/>
      <c r="Z170" s="275"/>
      <c r="AA170" s="263"/>
      <c r="AB170" s="263"/>
      <c r="AC170" s="263"/>
    </row>
    <row r="171" spans="1:68" ht="14.25" hidden="1" customHeight="1" x14ac:dyDescent="0.25">
      <c r="A171" s="276" t="s">
        <v>63</v>
      </c>
      <c r="B171" s="275"/>
      <c r="C171" s="275"/>
      <c r="D171" s="275"/>
      <c r="E171" s="275"/>
      <c r="F171" s="275"/>
      <c r="G171" s="275"/>
      <c r="H171" s="275"/>
      <c r="I171" s="275"/>
      <c r="J171" s="275"/>
      <c r="K171" s="275"/>
      <c r="L171" s="275"/>
      <c r="M171" s="275"/>
      <c r="N171" s="275"/>
      <c r="O171" s="275"/>
      <c r="P171" s="275"/>
      <c r="Q171" s="275"/>
      <c r="R171" s="275"/>
      <c r="S171" s="275"/>
      <c r="T171" s="275"/>
      <c r="U171" s="275"/>
      <c r="V171" s="275"/>
      <c r="W171" s="275"/>
      <c r="X171" s="275"/>
      <c r="Y171" s="275"/>
      <c r="Z171" s="275"/>
      <c r="AA171" s="264"/>
      <c r="AB171" s="264"/>
      <c r="AC171" s="264"/>
    </row>
    <row r="172" spans="1:68" ht="16.5" hidden="1" customHeight="1" x14ac:dyDescent="0.25">
      <c r="A172" s="54" t="s">
        <v>251</v>
      </c>
      <c r="B172" s="54" t="s">
        <v>252</v>
      </c>
      <c r="C172" s="31">
        <v>4301071062</v>
      </c>
      <c r="D172" s="289">
        <v>4607111036384</v>
      </c>
      <c r="E172" s="290"/>
      <c r="F172" s="267">
        <v>5</v>
      </c>
      <c r="G172" s="32">
        <v>1</v>
      </c>
      <c r="H172" s="267">
        <v>5</v>
      </c>
      <c r="I172" s="267">
        <v>5.2106000000000003</v>
      </c>
      <c r="J172" s="32">
        <v>144</v>
      </c>
      <c r="K172" s="32" t="s">
        <v>66</v>
      </c>
      <c r="L172" s="32" t="s">
        <v>67</v>
      </c>
      <c r="M172" s="33" t="s">
        <v>68</v>
      </c>
      <c r="N172" s="33"/>
      <c r="O172" s="32">
        <v>180</v>
      </c>
      <c r="P172" s="298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2" s="284"/>
      <c r="R172" s="284"/>
      <c r="S172" s="284"/>
      <c r="T172" s="285"/>
      <c r="U172" s="34"/>
      <c r="V172" s="34"/>
      <c r="W172" s="35" t="s">
        <v>69</v>
      </c>
      <c r="X172" s="268">
        <v>0</v>
      </c>
      <c r="Y172" s="269">
        <f>IFERROR(IF(X172="","",X172),"")</f>
        <v>0</v>
      </c>
      <c r="Z172" s="36">
        <f>IFERROR(IF(X172="","",X172*0.00866),"")</f>
        <v>0</v>
      </c>
      <c r="AA172" s="56"/>
      <c r="AB172" s="57"/>
      <c r="AC172" s="186" t="s">
        <v>253</v>
      </c>
      <c r="AG172" s="67"/>
      <c r="AJ172" s="71" t="s">
        <v>71</v>
      </c>
      <c r="AK172" s="71">
        <v>1</v>
      </c>
      <c r="BB172" s="187" t="s">
        <v>1</v>
      </c>
      <c r="BM172" s="67">
        <f>IFERROR(X172*I172,"0")</f>
        <v>0</v>
      </c>
      <c r="BN172" s="67">
        <f>IFERROR(Y172*I172,"0")</f>
        <v>0</v>
      </c>
      <c r="BO172" s="67">
        <f>IFERROR(X172/J172,"0")</f>
        <v>0</v>
      </c>
      <c r="BP172" s="67">
        <f>IFERROR(Y172/J172,"0")</f>
        <v>0</v>
      </c>
    </row>
    <row r="173" spans="1:68" ht="27" customHeight="1" x14ac:dyDescent="0.25">
      <c r="A173" s="54" t="s">
        <v>254</v>
      </c>
      <c r="B173" s="54" t="s">
        <v>255</v>
      </c>
      <c r="C173" s="31">
        <v>4301071050</v>
      </c>
      <c r="D173" s="289">
        <v>4607111036216</v>
      </c>
      <c r="E173" s="290"/>
      <c r="F173" s="267">
        <v>5</v>
      </c>
      <c r="G173" s="32">
        <v>1</v>
      </c>
      <c r="H173" s="267">
        <v>5</v>
      </c>
      <c r="I173" s="267">
        <v>5.2131999999999996</v>
      </c>
      <c r="J173" s="32">
        <v>144</v>
      </c>
      <c r="K173" s="32" t="s">
        <v>66</v>
      </c>
      <c r="L173" s="32" t="s">
        <v>96</v>
      </c>
      <c r="M173" s="33" t="s">
        <v>68</v>
      </c>
      <c r="N173" s="33"/>
      <c r="O173" s="32">
        <v>180</v>
      </c>
      <c r="P173" s="31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3" s="284"/>
      <c r="R173" s="284"/>
      <c r="S173" s="284"/>
      <c r="T173" s="285"/>
      <c r="U173" s="34"/>
      <c r="V173" s="34"/>
      <c r="W173" s="35" t="s">
        <v>69</v>
      </c>
      <c r="X173" s="268">
        <v>180</v>
      </c>
      <c r="Y173" s="269">
        <f>IFERROR(IF(X173="","",X173),"")</f>
        <v>180</v>
      </c>
      <c r="Z173" s="36">
        <f>IFERROR(IF(X173="","",X173*0.00866),"")</f>
        <v>1.5588</v>
      </c>
      <c r="AA173" s="56"/>
      <c r="AB173" s="57"/>
      <c r="AC173" s="188" t="s">
        <v>256</v>
      </c>
      <c r="AG173" s="67"/>
      <c r="AJ173" s="71" t="s">
        <v>98</v>
      </c>
      <c r="AK173" s="71">
        <v>12</v>
      </c>
      <c r="BB173" s="189" t="s">
        <v>1</v>
      </c>
      <c r="BM173" s="67">
        <f>IFERROR(X173*I173,"0")</f>
        <v>938.37599999999998</v>
      </c>
      <c r="BN173" s="67">
        <f>IFERROR(Y173*I173,"0")</f>
        <v>938.37599999999998</v>
      </c>
      <c r="BO173" s="67">
        <f>IFERROR(X173/J173,"0")</f>
        <v>1.25</v>
      </c>
      <c r="BP173" s="67">
        <f>IFERROR(Y173/J173,"0")</f>
        <v>1.25</v>
      </c>
    </row>
    <row r="174" spans="1:68" x14ac:dyDescent="0.2">
      <c r="A174" s="292"/>
      <c r="B174" s="275"/>
      <c r="C174" s="275"/>
      <c r="D174" s="275"/>
      <c r="E174" s="275"/>
      <c r="F174" s="275"/>
      <c r="G174" s="275"/>
      <c r="H174" s="275"/>
      <c r="I174" s="275"/>
      <c r="J174" s="275"/>
      <c r="K174" s="275"/>
      <c r="L174" s="275"/>
      <c r="M174" s="275"/>
      <c r="N174" s="275"/>
      <c r="O174" s="293"/>
      <c r="P174" s="280" t="s">
        <v>82</v>
      </c>
      <c r="Q174" s="281"/>
      <c r="R174" s="281"/>
      <c r="S174" s="281"/>
      <c r="T174" s="281"/>
      <c r="U174" s="281"/>
      <c r="V174" s="282"/>
      <c r="W174" s="37" t="s">
        <v>69</v>
      </c>
      <c r="X174" s="270">
        <f>IFERROR(SUM(X172:X173),"0")</f>
        <v>180</v>
      </c>
      <c r="Y174" s="270">
        <f>IFERROR(SUM(Y172:Y173),"0")</f>
        <v>180</v>
      </c>
      <c r="Z174" s="270">
        <f>IFERROR(IF(Z172="",0,Z172),"0")+IFERROR(IF(Z173="",0,Z173),"0")</f>
        <v>1.5588</v>
      </c>
      <c r="AA174" s="271"/>
      <c r="AB174" s="271"/>
      <c r="AC174" s="271"/>
    </row>
    <row r="175" spans="1:68" x14ac:dyDescent="0.2">
      <c r="A175" s="275"/>
      <c r="B175" s="275"/>
      <c r="C175" s="275"/>
      <c r="D175" s="275"/>
      <c r="E175" s="275"/>
      <c r="F175" s="275"/>
      <c r="G175" s="275"/>
      <c r="H175" s="275"/>
      <c r="I175" s="275"/>
      <c r="J175" s="275"/>
      <c r="K175" s="275"/>
      <c r="L175" s="275"/>
      <c r="M175" s="275"/>
      <c r="N175" s="275"/>
      <c r="O175" s="293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0">
        <f>IFERROR(SUMPRODUCT(X172:X173*H172:H173),"0")</f>
        <v>900</v>
      </c>
      <c r="Y175" s="270">
        <f>IFERROR(SUMPRODUCT(Y172:Y173*H172:H173),"0")</f>
        <v>900</v>
      </c>
      <c r="Z175" s="37"/>
      <c r="AA175" s="271"/>
      <c r="AB175" s="271"/>
      <c r="AC175" s="271"/>
    </row>
    <row r="176" spans="1:68" ht="27.75" hidden="1" customHeight="1" x14ac:dyDescent="0.2">
      <c r="A176" s="286" t="s">
        <v>257</v>
      </c>
      <c r="B176" s="287"/>
      <c r="C176" s="287"/>
      <c r="D176" s="287"/>
      <c r="E176" s="287"/>
      <c r="F176" s="287"/>
      <c r="G176" s="287"/>
      <c r="H176" s="287"/>
      <c r="I176" s="287"/>
      <c r="J176" s="287"/>
      <c r="K176" s="287"/>
      <c r="L176" s="287"/>
      <c r="M176" s="287"/>
      <c r="N176" s="287"/>
      <c r="O176" s="287"/>
      <c r="P176" s="287"/>
      <c r="Q176" s="287"/>
      <c r="R176" s="287"/>
      <c r="S176" s="287"/>
      <c r="T176" s="287"/>
      <c r="U176" s="287"/>
      <c r="V176" s="287"/>
      <c r="W176" s="287"/>
      <c r="X176" s="287"/>
      <c r="Y176" s="287"/>
      <c r="Z176" s="287"/>
      <c r="AA176" s="48"/>
      <c r="AB176" s="48"/>
      <c r="AC176" s="48"/>
    </row>
    <row r="177" spans="1:68" ht="16.5" hidden="1" customHeight="1" x14ac:dyDescent="0.25">
      <c r="A177" s="288" t="s">
        <v>258</v>
      </c>
      <c r="B177" s="275"/>
      <c r="C177" s="275"/>
      <c r="D177" s="275"/>
      <c r="E177" s="275"/>
      <c r="F177" s="275"/>
      <c r="G177" s="275"/>
      <c r="H177" s="275"/>
      <c r="I177" s="275"/>
      <c r="J177" s="275"/>
      <c r="K177" s="275"/>
      <c r="L177" s="275"/>
      <c r="M177" s="275"/>
      <c r="N177" s="275"/>
      <c r="O177" s="275"/>
      <c r="P177" s="275"/>
      <c r="Q177" s="275"/>
      <c r="R177" s="275"/>
      <c r="S177" s="275"/>
      <c r="T177" s="275"/>
      <c r="U177" s="275"/>
      <c r="V177" s="275"/>
      <c r="W177" s="275"/>
      <c r="X177" s="275"/>
      <c r="Y177" s="275"/>
      <c r="Z177" s="275"/>
      <c r="AA177" s="263"/>
      <c r="AB177" s="263"/>
      <c r="AC177" s="263"/>
    </row>
    <row r="178" spans="1:68" ht="14.25" hidden="1" customHeight="1" x14ac:dyDescent="0.25">
      <c r="A178" s="276" t="s">
        <v>92</v>
      </c>
      <c r="B178" s="275"/>
      <c r="C178" s="275"/>
      <c r="D178" s="275"/>
      <c r="E178" s="275"/>
      <c r="F178" s="275"/>
      <c r="G178" s="275"/>
      <c r="H178" s="275"/>
      <c r="I178" s="275"/>
      <c r="J178" s="275"/>
      <c r="K178" s="275"/>
      <c r="L178" s="275"/>
      <c r="M178" s="275"/>
      <c r="N178" s="275"/>
      <c r="O178" s="275"/>
      <c r="P178" s="275"/>
      <c r="Q178" s="275"/>
      <c r="R178" s="275"/>
      <c r="S178" s="275"/>
      <c r="T178" s="275"/>
      <c r="U178" s="275"/>
      <c r="V178" s="275"/>
      <c r="W178" s="275"/>
      <c r="X178" s="275"/>
      <c r="Y178" s="275"/>
      <c r="Z178" s="275"/>
      <c r="AA178" s="264"/>
      <c r="AB178" s="264"/>
      <c r="AC178" s="264"/>
    </row>
    <row r="179" spans="1:68" ht="16.5" customHeight="1" x14ac:dyDescent="0.25">
      <c r="A179" s="54" t="s">
        <v>259</v>
      </c>
      <c r="B179" s="54" t="s">
        <v>260</v>
      </c>
      <c r="C179" s="31">
        <v>4301132179</v>
      </c>
      <c r="D179" s="289">
        <v>4607111035691</v>
      </c>
      <c r="E179" s="290"/>
      <c r="F179" s="267">
        <v>0.25</v>
      </c>
      <c r="G179" s="32">
        <v>12</v>
      </c>
      <c r="H179" s="267">
        <v>3</v>
      </c>
      <c r="I179" s="267">
        <v>3.3879999999999999</v>
      </c>
      <c r="J179" s="32">
        <v>70</v>
      </c>
      <c r="K179" s="32" t="s">
        <v>95</v>
      </c>
      <c r="L179" s="32" t="s">
        <v>96</v>
      </c>
      <c r="M179" s="33" t="s">
        <v>68</v>
      </c>
      <c r="N179" s="33"/>
      <c r="O179" s="32">
        <v>365</v>
      </c>
      <c r="P179" s="38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79" s="284"/>
      <c r="R179" s="284"/>
      <c r="S179" s="284"/>
      <c r="T179" s="285"/>
      <c r="U179" s="34"/>
      <c r="V179" s="34"/>
      <c r="W179" s="35" t="s">
        <v>69</v>
      </c>
      <c r="X179" s="268">
        <v>14</v>
      </c>
      <c r="Y179" s="269">
        <f>IFERROR(IF(X179="","",X179),"")</f>
        <v>14</v>
      </c>
      <c r="Z179" s="36">
        <f>IFERROR(IF(X179="","",X179*0.01788),"")</f>
        <v>0.25031999999999999</v>
      </c>
      <c r="AA179" s="56"/>
      <c r="AB179" s="57"/>
      <c r="AC179" s="190" t="s">
        <v>261</v>
      </c>
      <c r="AG179" s="67"/>
      <c r="AJ179" s="71" t="s">
        <v>98</v>
      </c>
      <c r="AK179" s="71">
        <v>14</v>
      </c>
      <c r="BB179" s="191" t="s">
        <v>99</v>
      </c>
      <c r="BM179" s="67">
        <f>IFERROR(X179*I179,"0")</f>
        <v>47.432000000000002</v>
      </c>
      <c r="BN179" s="67">
        <f>IFERROR(Y179*I179,"0")</f>
        <v>47.432000000000002</v>
      </c>
      <c r="BO179" s="67">
        <f>IFERROR(X179/J179,"0")</f>
        <v>0.2</v>
      </c>
      <c r="BP179" s="67">
        <f>IFERROR(Y179/J179,"0")</f>
        <v>0.2</v>
      </c>
    </row>
    <row r="180" spans="1:68" ht="27" customHeight="1" x14ac:dyDescent="0.25">
      <c r="A180" s="54" t="s">
        <v>262</v>
      </c>
      <c r="B180" s="54" t="s">
        <v>263</v>
      </c>
      <c r="C180" s="31">
        <v>4301132182</v>
      </c>
      <c r="D180" s="289">
        <v>4607111035721</v>
      </c>
      <c r="E180" s="290"/>
      <c r="F180" s="267">
        <v>0.25</v>
      </c>
      <c r="G180" s="32">
        <v>12</v>
      </c>
      <c r="H180" s="267">
        <v>3</v>
      </c>
      <c r="I180" s="267">
        <v>3.3879999999999999</v>
      </c>
      <c r="J180" s="32">
        <v>70</v>
      </c>
      <c r="K180" s="32" t="s">
        <v>95</v>
      </c>
      <c r="L180" s="32" t="s">
        <v>96</v>
      </c>
      <c r="M180" s="33" t="s">
        <v>68</v>
      </c>
      <c r="N180" s="33"/>
      <c r="O180" s="32">
        <v>365</v>
      </c>
      <c r="P180" s="350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0" s="284"/>
      <c r="R180" s="284"/>
      <c r="S180" s="284"/>
      <c r="T180" s="285"/>
      <c r="U180" s="34"/>
      <c r="V180" s="34"/>
      <c r="W180" s="35" t="s">
        <v>69</v>
      </c>
      <c r="X180" s="268">
        <v>14</v>
      </c>
      <c r="Y180" s="269">
        <f>IFERROR(IF(X180="","",X180),"")</f>
        <v>14</v>
      </c>
      <c r="Z180" s="36">
        <f>IFERROR(IF(X180="","",X180*0.01788),"")</f>
        <v>0.25031999999999999</v>
      </c>
      <c r="AA180" s="56"/>
      <c r="AB180" s="57"/>
      <c r="AC180" s="192" t="s">
        <v>264</v>
      </c>
      <c r="AG180" s="67"/>
      <c r="AJ180" s="71" t="s">
        <v>98</v>
      </c>
      <c r="AK180" s="71">
        <v>14</v>
      </c>
      <c r="BB180" s="193" t="s">
        <v>99</v>
      </c>
      <c r="BM180" s="67">
        <f>IFERROR(X180*I180,"0")</f>
        <v>47.432000000000002</v>
      </c>
      <c r="BN180" s="67">
        <f>IFERROR(Y180*I180,"0")</f>
        <v>47.432000000000002</v>
      </c>
      <c r="BO180" s="67">
        <f>IFERROR(X180/J180,"0")</f>
        <v>0.2</v>
      </c>
      <c r="BP180" s="67">
        <f>IFERROR(Y180/J180,"0")</f>
        <v>0.2</v>
      </c>
    </row>
    <row r="181" spans="1:68" ht="27" customHeight="1" x14ac:dyDescent="0.25">
      <c r="A181" s="54" t="s">
        <v>265</v>
      </c>
      <c r="B181" s="54" t="s">
        <v>266</v>
      </c>
      <c r="C181" s="31">
        <v>4301132170</v>
      </c>
      <c r="D181" s="289">
        <v>4607111038487</v>
      </c>
      <c r="E181" s="290"/>
      <c r="F181" s="267">
        <v>0.25</v>
      </c>
      <c r="G181" s="32">
        <v>12</v>
      </c>
      <c r="H181" s="267">
        <v>3</v>
      </c>
      <c r="I181" s="267">
        <v>3.7360000000000002</v>
      </c>
      <c r="J181" s="32">
        <v>70</v>
      </c>
      <c r="K181" s="32" t="s">
        <v>95</v>
      </c>
      <c r="L181" s="32" t="s">
        <v>96</v>
      </c>
      <c r="M181" s="33" t="s">
        <v>68</v>
      </c>
      <c r="N181" s="33"/>
      <c r="O181" s="32">
        <v>180</v>
      </c>
      <c r="P181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1" s="284"/>
      <c r="R181" s="284"/>
      <c r="S181" s="284"/>
      <c r="T181" s="285"/>
      <c r="U181" s="34"/>
      <c r="V181" s="34"/>
      <c r="W181" s="35" t="s">
        <v>69</v>
      </c>
      <c r="X181" s="268">
        <v>28</v>
      </c>
      <c r="Y181" s="269">
        <f>IFERROR(IF(X181="","",X181),"")</f>
        <v>28</v>
      </c>
      <c r="Z181" s="36">
        <f>IFERROR(IF(X181="","",X181*0.01788),"")</f>
        <v>0.50063999999999997</v>
      </c>
      <c r="AA181" s="56"/>
      <c r="AB181" s="57"/>
      <c r="AC181" s="194" t="s">
        <v>267</v>
      </c>
      <c r="AG181" s="67"/>
      <c r="AJ181" s="71" t="s">
        <v>98</v>
      </c>
      <c r="AK181" s="71">
        <v>14</v>
      </c>
      <c r="BB181" s="195" t="s">
        <v>99</v>
      </c>
      <c r="BM181" s="67">
        <f>IFERROR(X181*I181,"0")</f>
        <v>104.608</v>
      </c>
      <c r="BN181" s="67">
        <f>IFERROR(Y181*I181,"0")</f>
        <v>104.608</v>
      </c>
      <c r="BO181" s="67">
        <f>IFERROR(X181/J181,"0")</f>
        <v>0.4</v>
      </c>
      <c r="BP181" s="67">
        <f>IFERROR(Y181/J181,"0")</f>
        <v>0.4</v>
      </c>
    </row>
    <row r="182" spans="1:68" x14ac:dyDescent="0.2">
      <c r="A182" s="292"/>
      <c r="B182" s="275"/>
      <c r="C182" s="275"/>
      <c r="D182" s="275"/>
      <c r="E182" s="275"/>
      <c r="F182" s="275"/>
      <c r="G182" s="275"/>
      <c r="H182" s="275"/>
      <c r="I182" s="275"/>
      <c r="J182" s="275"/>
      <c r="K182" s="275"/>
      <c r="L182" s="275"/>
      <c r="M182" s="275"/>
      <c r="N182" s="275"/>
      <c r="O182" s="293"/>
      <c r="P182" s="280" t="s">
        <v>82</v>
      </c>
      <c r="Q182" s="281"/>
      <c r="R182" s="281"/>
      <c r="S182" s="281"/>
      <c r="T182" s="281"/>
      <c r="U182" s="281"/>
      <c r="V182" s="282"/>
      <c r="W182" s="37" t="s">
        <v>69</v>
      </c>
      <c r="X182" s="270">
        <f>IFERROR(SUM(X179:X181),"0")</f>
        <v>56</v>
      </c>
      <c r="Y182" s="270">
        <f>IFERROR(SUM(Y179:Y181),"0")</f>
        <v>56</v>
      </c>
      <c r="Z182" s="270">
        <f>IFERROR(IF(Z179="",0,Z179),"0")+IFERROR(IF(Z180="",0,Z180),"0")+IFERROR(IF(Z181="",0,Z181),"0")</f>
        <v>1.0012799999999999</v>
      </c>
      <c r="AA182" s="271"/>
      <c r="AB182" s="271"/>
      <c r="AC182" s="271"/>
    </row>
    <row r="183" spans="1:68" x14ac:dyDescent="0.2">
      <c r="A183" s="275"/>
      <c r="B183" s="275"/>
      <c r="C183" s="275"/>
      <c r="D183" s="275"/>
      <c r="E183" s="275"/>
      <c r="F183" s="275"/>
      <c r="G183" s="275"/>
      <c r="H183" s="275"/>
      <c r="I183" s="275"/>
      <c r="J183" s="275"/>
      <c r="K183" s="275"/>
      <c r="L183" s="275"/>
      <c r="M183" s="275"/>
      <c r="N183" s="275"/>
      <c r="O183" s="293"/>
      <c r="P183" s="280" t="s">
        <v>82</v>
      </c>
      <c r="Q183" s="281"/>
      <c r="R183" s="281"/>
      <c r="S183" s="281"/>
      <c r="T183" s="281"/>
      <c r="U183" s="281"/>
      <c r="V183" s="282"/>
      <c r="W183" s="37" t="s">
        <v>83</v>
      </c>
      <c r="X183" s="270">
        <f>IFERROR(SUMPRODUCT(X179:X181*H179:H181),"0")</f>
        <v>168</v>
      </c>
      <c r="Y183" s="270">
        <f>IFERROR(SUMPRODUCT(Y179:Y181*H179:H181),"0")</f>
        <v>168</v>
      </c>
      <c r="Z183" s="37"/>
      <c r="AA183" s="271"/>
      <c r="AB183" s="271"/>
      <c r="AC183" s="271"/>
    </row>
    <row r="184" spans="1:68" ht="14.25" hidden="1" customHeight="1" x14ac:dyDescent="0.25">
      <c r="A184" s="276" t="s">
        <v>268</v>
      </c>
      <c r="B184" s="275"/>
      <c r="C184" s="275"/>
      <c r="D184" s="275"/>
      <c r="E184" s="275"/>
      <c r="F184" s="275"/>
      <c r="G184" s="275"/>
      <c r="H184" s="275"/>
      <c r="I184" s="275"/>
      <c r="J184" s="275"/>
      <c r="K184" s="275"/>
      <c r="L184" s="275"/>
      <c r="M184" s="275"/>
      <c r="N184" s="275"/>
      <c r="O184" s="275"/>
      <c r="P184" s="275"/>
      <c r="Q184" s="275"/>
      <c r="R184" s="275"/>
      <c r="S184" s="275"/>
      <c r="T184" s="275"/>
      <c r="U184" s="275"/>
      <c r="V184" s="275"/>
      <c r="W184" s="275"/>
      <c r="X184" s="275"/>
      <c r="Y184" s="275"/>
      <c r="Z184" s="275"/>
      <c r="AA184" s="264"/>
      <c r="AB184" s="264"/>
      <c r="AC184" s="264"/>
    </row>
    <row r="185" spans="1:68" ht="27" hidden="1" customHeight="1" x14ac:dyDescent="0.25">
      <c r="A185" s="54" t="s">
        <v>269</v>
      </c>
      <c r="B185" s="54" t="s">
        <v>270</v>
      </c>
      <c r="C185" s="31">
        <v>4301051855</v>
      </c>
      <c r="D185" s="289">
        <v>4680115885875</v>
      </c>
      <c r="E185" s="290"/>
      <c r="F185" s="267">
        <v>1</v>
      </c>
      <c r="G185" s="32">
        <v>9</v>
      </c>
      <c r="H185" s="267">
        <v>9</v>
      </c>
      <c r="I185" s="267">
        <v>9.41</v>
      </c>
      <c r="J185" s="32">
        <v>64</v>
      </c>
      <c r="K185" s="32" t="s">
        <v>271</v>
      </c>
      <c r="L185" s="32" t="s">
        <v>67</v>
      </c>
      <c r="M185" s="33" t="s">
        <v>272</v>
      </c>
      <c r="N185" s="33"/>
      <c r="O185" s="32">
        <v>365</v>
      </c>
      <c r="P185" s="366" t="s">
        <v>273</v>
      </c>
      <c r="Q185" s="284"/>
      <c r="R185" s="284"/>
      <c r="S185" s="284"/>
      <c r="T185" s="285"/>
      <c r="U185" s="34"/>
      <c r="V185" s="34"/>
      <c r="W185" s="35" t="s">
        <v>69</v>
      </c>
      <c r="X185" s="268">
        <v>0</v>
      </c>
      <c r="Y185" s="269">
        <f>IFERROR(IF(X185="","",X185),"")</f>
        <v>0</v>
      </c>
      <c r="Z185" s="36">
        <f>IFERROR(IF(X185="","",X185*0.01898),"")</f>
        <v>0</v>
      </c>
      <c r="AA185" s="56"/>
      <c r="AB185" s="57"/>
      <c r="AC185" s="196" t="s">
        <v>274</v>
      </c>
      <c r="AG185" s="67"/>
      <c r="AJ185" s="71" t="s">
        <v>71</v>
      </c>
      <c r="AK185" s="71">
        <v>1</v>
      </c>
      <c r="BB185" s="197" t="s">
        <v>275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92"/>
      <c r="B186" s="275"/>
      <c r="C186" s="275"/>
      <c r="D186" s="275"/>
      <c r="E186" s="275"/>
      <c r="F186" s="275"/>
      <c r="G186" s="275"/>
      <c r="H186" s="275"/>
      <c r="I186" s="275"/>
      <c r="J186" s="275"/>
      <c r="K186" s="275"/>
      <c r="L186" s="275"/>
      <c r="M186" s="275"/>
      <c r="N186" s="275"/>
      <c r="O186" s="293"/>
      <c r="P186" s="280" t="s">
        <v>82</v>
      </c>
      <c r="Q186" s="281"/>
      <c r="R186" s="281"/>
      <c r="S186" s="281"/>
      <c r="T186" s="281"/>
      <c r="U186" s="281"/>
      <c r="V186" s="282"/>
      <c r="W186" s="37" t="s">
        <v>69</v>
      </c>
      <c r="X186" s="270">
        <f>IFERROR(SUM(X185:X185),"0")</f>
        <v>0</v>
      </c>
      <c r="Y186" s="270">
        <f>IFERROR(SUM(Y185:Y185),"0")</f>
        <v>0</v>
      </c>
      <c r="Z186" s="270">
        <f>IFERROR(IF(Z185="",0,Z185),"0")</f>
        <v>0</v>
      </c>
      <c r="AA186" s="271"/>
      <c r="AB186" s="271"/>
      <c r="AC186" s="271"/>
    </row>
    <row r="187" spans="1:68" hidden="1" x14ac:dyDescent="0.2">
      <c r="A187" s="275"/>
      <c r="B187" s="275"/>
      <c r="C187" s="275"/>
      <c r="D187" s="275"/>
      <c r="E187" s="275"/>
      <c r="F187" s="275"/>
      <c r="G187" s="275"/>
      <c r="H187" s="275"/>
      <c r="I187" s="275"/>
      <c r="J187" s="275"/>
      <c r="K187" s="275"/>
      <c r="L187" s="275"/>
      <c r="M187" s="275"/>
      <c r="N187" s="275"/>
      <c r="O187" s="293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0">
        <f>IFERROR(SUMPRODUCT(X185:X185*H185:H185),"0")</f>
        <v>0</v>
      </c>
      <c r="Y187" s="270">
        <f>IFERROR(SUMPRODUCT(Y185:Y185*H185:H185),"0")</f>
        <v>0</v>
      </c>
      <c r="Z187" s="37"/>
      <c r="AA187" s="271"/>
      <c r="AB187" s="271"/>
      <c r="AC187" s="271"/>
    </row>
    <row r="188" spans="1:68" ht="27.75" hidden="1" customHeight="1" x14ac:dyDescent="0.2">
      <c r="A188" s="286" t="s">
        <v>276</v>
      </c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87"/>
      <c r="S188" s="287"/>
      <c r="T188" s="287"/>
      <c r="U188" s="287"/>
      <c r="V188" s="287"/>
      <c r="W188" s="287"/>
      <c r="X188" s="287"/>
      <c r="Y188" s="287"/>
      <c r="Z188" s="287"/>
      <c r="AA188" s="48"/>
      <c r="AB188" s="48"/>
      <c r="AC188" s="48"/>
    </row>
    <row r="189" spans="1:68" ht="16.5" hidden="1" customHeight="1" x14ac:dyDescent="0.25">
      <c r="A189" s="288" t="s">
        <v>277</v>
      </c>
      <c r="B189" s="275"/>
      <c r="C189" s="275"/>
      <c r="D189" s="275"/>
      <c r="E189" s="275"/>
      <c r="F189" s="275"/>
      <c r="G189" s="275"/>
      <c r="H189" s="275"/>
      <c r="I189" s="275"/>
      <c r="J189" s="275"/>
      <c r="K189" s="275"/>
      <c r="L189" s="275"/>
      <c r="M189" s="275"/>
      <c r="N189" s="275"/>
      <c r="O189" s="275"/>
      <c r="P189" s="275"/>
      <c r="Q189" s="275"/>
      <c r="R189" s="275"/>
      <c r="S189" s="275"/>
      <c r="T189" s="275"/>
      <c r="U189" s="275"/>
      <c r="V189" s="275"/>
      <c r="W189" s="275"/>
      <c r="X189" s="275"/>
      <c r="Y189" s="275"/>
      <c r="Z189" s="275"/>
      <c r="AA189" s="263"/>
      <c r="AB189" s="263"/>
      <c r="AC189" s="263"/>
    </row>
    <row r="190" spans="1:68" ht="14.25" hidden="1" customHeight="1" x14ac:dyDescent="0.25">
      <c r="A190" s="276" t="s">
        <v>92</v>
      </c>
      <c r="B190" s="275"/>
      <c r="C190" s="275"/>
      <c r="D190" s="275"/>
      <c r="E190" s="275"/>
      <c r="F190" s="275"/>
      <c r="G190" s="275"/>
      <c r="H190" s="275"/>
      <c r="I190" s="275"/>
      <c r="J190" s="275"/>
      <c r="K190" s="275"/>
      <c r="L190" s="275"/>
      <c r="M190" s="275"/>
      <c r="N190" s="275"/>
      <c r="O190" s="275"/>
      <c r="P190" s="275"/>
      <c r="Q190" s="275"/>
      <c r="R190" s="275"/>
      <c r="S190" s="275"/>
      <c r="T190" s="275"/>
      <c r="U190" s="275"/>
      <c r="V190" s="275"/>
      <c r="W190" s="275"/>
      <c r="X190" s="275"/>
      <c r="Y190" s="275"/>
      <c r="Z190" s="275"/>
      <c r="AA190" s="264"/>
      <c r="AB190" s="264"/>
      <c r="AC190" s="264"/>
    </row>
    <row r="191" spans="1:68" ht="27" customHeight="1" x14ac:dyDescent="0.25">
      <c r="A191" s="54" t="s">
        <v>278</v>
      </c>
      <c r="B191" s="54" t="s">
        <v>279</v>
      </c>
      <c r="C191" s="31">
        <v>4301132227</v>
      </c>
      <c r="D191" s="289">
        <v>4620207491133</v>
      </c>
      <c r="E191" s="290"/>
      <c r="F191" s="267">
        <v>0.23</v>
      </c>
      <c r="G191" s="32">
        <v>12</v>
      </c>
      <c r="H191" s="267">
        <v>2.76</v>
      </c>
      <c r="I191" s="267">
        <v>2.98</v>
      </c>
      <c r="J191" s="32">
        <v>70</v>
      </c>
      <c r="K191" s="32" t="s">
        <v>95</v>
      </c>
      <c r="L191" s="32" t="s">
        <v>96</v>
      </c>
      <c r="M191" s="33" t="s">
        <v>68</v>
      </c>
      <c r="N191" s="33"/>
      <c r="O191" s="32">
        <v>180</v>
      </c>
      <c r="P191" s="42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1" s="284"/>
      <c r="R191" s="284"/>
      <c r="S191" s="284"/>
      <c r="T191" s="285"/>
      <c r="U191" s="34"/>
      <c r="V191" s="34"/>
      <c r="W191" s="35" t="s">
        <v>69</v>
      </c>
      <c r="X191" s="268">
        <v>28</v>
      </c>
      <c r="Y191" s="269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198" t="s">
        <v>280</v>
      </c>
      <c r="AG191" s="67"/>
      <c r="AJ191" s="71" t="s">
        <v>98</v>
      </c>
      <c r="AK191" s="71">
        <v>14</v>
      </c>
      <c r="BB191" s="199" t="s">
        <v>99</v>
      </c>
      <c r="BM191" s="67">
        <f>IFERROR(X191*I191,"0")</f>
        <v>83.44</v>
      </c>
      <c r="BN191" s="67">
        <f>IFERROR(Y191*I191,"0")</f>
        <v>83.44</v>
      </c>
      <c r="BO191" s="67">
        <f>IFERROR(X191/J191,"0")</f>
        <v>0.4</v>
      </c>
      <c r="BP191" s="67">
        <f>IFERROR(Y191/J191,"0")</f>
        <v>0.4</v>
      </c>
    </row>
    <row r="192" spans="1:68" x14ac:dyDescent="0.2">
      <c r="A192" s="292"/>
      <c r="B192" s="275"/>
      <c r="C192" s="275"/>
      <c r="D192" s="275"/>
      <c r="E192" s="275"/>
      <c r="F192" s="275"/>
      <c r="G192" s="275"/>
      <c r="H192" s="275"/>
      <c r="I192" s="275"/>
      <c r="J192" s="275"/>
      <c r="K192" s="275"/>
      <c r="L192" s="275"/>
      <c r="M192" s="275"/>
      <c r="N192" s="275"/>
      <c r="O192" s="293"/>
      <c r="P192" s="280" t="s">
        <v>82</v>
      </c>
      <c r="Q192" s="281"/>
      <c r="R192" s="281"/>
      <c r="S192" s="281"/>
      <c r="T192" s="281"/>
      <c r="U192" s="281"/>
      <c r="V192" s="282"/>
      <c r="W192" s="37" t="s">
        <v>69</v>
      </c>
      <c r="X192" s="270">
        <f>IFERROR(SUM(X191:X191),"0")</f>
        <v>28</v>
      </c>
      <c r="Y192" s="270">
        <f>IFERROR(SUM(Y191:Y191),"0")</f>
        <v>28</v>
      </c>
      <c r="Z192" s="270">
        <f>IFERROR(IF(Z191="",0,Z191),"0")</f>
        <v>0.50063999999999997</v>
      </c>
      <c r="AA192" s="271"/>
      <c r="AB192" s="271"/>
      <c r="AC192" s="271"/>
    </row>
    <row r="193" spans="1:68" x14ac:dyDescent="0.2">
      <c r="A193" s="275"/>
      <c r="B193" s="275"/>
      <c r="C193" s="275"/>
      <c r="D193" s="275"/>
      <c r="E193" s="275"/>
      <c r="F193" s="275"/>
      <c r="G193" s="275"/>
      <c r="H193" s="275"/>
      <c r="I193" s="275"/>
      <c r="J193" s="275"/>
      <c r="K193" s="275"/>
      <c r="L193" s="275"/>
      <c r="M193" s="275"/>
      <c r="N193" s="275"/>
      <c r="O193" s="293"/>
      <c r="P193" s="280" t="s">
        <v>82</v>
      </c>
      <c r="Q193" s="281"/>
      <c r="R193" s="281"/>
      <c r="S193" s="281"/>
      <c r="T193" s="281"/>
      <c r="U193" s="281"/>
      <c r="V193" s="282"/>
      <c r="W193" s="37" t="s">
        <v>83</v>
      </c>
      <c r="X193" s="270">
        <f>IFERROR(SUMPRODUCT(X191:X191*H191:H191),"0")</f>
        <v>77.28</v>
      </c>
      <c r="Y193" s="270">
        <f>IFERROR(SUMPRODUCT(Y191:Y191*H191:H191),"0")</f>
        <v>77.28</v>
      </c>
      <c r="Z193" s="37"/>
      <c r="AA193" s="271"/>
      <c r="AB193" s="271"/>
      <c r="AC193" s="271"/>
    </row>
    <row r="194" spans="1:68" ht="14.25" hidden="1" customHeight="1" x14ac:dyDescent="0.25">
      <c r="A194" s="276" t="s">
        <v>136</v>
      </c>
      <c r="B194" s="275"/>
      <c r="C194" s="275"/>
      <c r="D194" s="275"/>
      <c r="E194" s="275"/>
      <c r="F194" s="275"/>
      <c r="G194" s="275"/>
      <c r="H194" s="275"/>
      <c r="I194" s="275"/>
      <c r="J194" s="275"/>
      <c r="K194" s="275"/>
      <c r="L194" s="275"/>
      <c r="M194" s="275"/>
      <c r="N194" s="275"/>
      <c r="O194" s="275"/>
      <c r="P194" s="275"/>
      <c r="Q194" s="275"/>
      <c r="R194" s="275"/>
      <c r="S194" s="275"/>
      <c r="T194" s="275"/>
      <c r="U194" s="275"/>
      <c r="V194" s="275"/>
      <c r="W194" s="275"/>
      <c r="X194" s="275"/>
      <c r="Y194" s="275"/>
      <c r="Z194" s="275"/>
      <c r="AA194" s="264"/>
      <c r="AB194" s="264"/>
      <c r="AC194" s="264"/>
    </row>
    <row r="195" spans="1:68" ht="27" customHeight="1" x14ac:dyDescent="0.25">
      <c r="A195" s="54" t="s">
        <v>281</v>
      </c>
      <c r="B195" s="54" t="s">
        <v>282</v>
      </c>
      <c r="C195" s="31">
        <v>4301135834</v>
      </c>
      <c r="D195" s="289">
        <v>4620207491188</v>
      </c>
      <c r="E195" s="290"/>
      <c r="F195" s="267">
        <v>0.2</v>
      </c>
      <c r="G195" s="32">
        <v>12</v>
      </c>
      <c r="H195" s="267">
        <v>2.4</v>
      </c>
      <c r="I195" s="267">
        <v>3.1036000000000001</v>
      </c>
      <c r="J195" s="32">
        <v>70</v>
      </c>
      <c r="K195" s="32" t="s">
        <v>95</v>
      </c>
      <c r="L195" s="32" t="s">
        <v>67</v>
      </c>
      <c r="M195" s="33" t="s">
        <v>68</v>
      </c>
      <c r="N195" s="33"/>
      <c r="O195" s="32">
        <v>180</v>
      </c>
      <c r="P195" s="41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195" s="284"/>
      <c r="R195" s="284"/>
      <c r="S195" s="284"/>
      <c r="T195" s="285"/>
      <c r="U195" s="34"/>
      <c r="V195" s="34"/>
      <c r="W195" s="35" t="s">
        <v>69</v>
      </c>
      <c r="X195" s="268">
        <v>14</v>
      </c>
      <c r="Y195" s="269">
        <f>IFERROR(IF(X195="","",X195),"")</f>
        <v>14</v>
      </c>
      <c r="Z195" s="36">
        <f>IFERROR(IF(X195="","",X195*0.01788),"")</f>
        <v>0.25031999999999999</v>
      </c>
      <c r="AA195" s="56"/>
      <c r="AB195" s="57"/>
      <c r="AC195" s="200" t="s">
        <v>283</v>
      </c>
      <c r="AG195" s="67"/>
      <c r="AJ195" s="71" t="s">
        <v>71</v>
      </c>
      <c r="AK195" s="71">
        <v>1</v>
      </c>
      <c r="BB195" s="201" t="s">
        <v>99</v>
      </c>
      <c r="BM195" s="67">
        <f>IFERROR(X195*I195,"0")</f>
        <v>43.450400000000002</v>
      </c>
      <c r="BN195" s="67">
        <f>IFERROR(Y195*I195,"0")</f>
        <v>43.450400000000002</v>
      </c>
      <c r="BO195" s="67">
        <f>IFERROR(X195/J195,"0")</f>
        <v>0.2</v>
      </c>
      <c r="BP195" s="67">
        <f>IFERROR(Y195/J195,"0")</f>
        <v>0.2</v>
      </c>
    </row>
    <row r="196" spans="1:68" ht="27" hidden="1" customHeight="1" x14ac:dyDescent="0.25">
      <c r="A196" s="54" t="s">
        <v>284</v>
      </c>
      <c r="B196" s="54" t="s">
        <v>285</v>
      </c>
      <c r="C196" s="31">
        <v>4301135707</v>
      </c>
      <c r="D196" s="289">
        <v>4620207490198</v>
      </c>
      <c r="E196" s="290"/>
      <c r="F196" s="267">
        <v>0.2</v>
      </c>
      <c r="G196" s="32">
        <v>12</v>
      </c>
      <c r="H196" s="267">
        <v>2.4</v>
      </c>
      <c r="I196" s="267">
        <v>3.1036000000000001</v>
      </c>
      <c r="J196" s="32">
        <v>70</v>
      </c>
      <c r="K196" s="32" t="s">
        <v>95</v>
      </c>
      <c r="L196" s="32" t="s">
        <v>67</v>
      </c>
      <c r="M196" s="33" t="s">
        <v>68</v>
      </c>
      <c r="N196" s="33"/>
      <c r="O196" s="32">
        <v>180</v>
      </c>
      <c r="P196" s="382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196" s="284"/>
      <c r="R196" s="284"/>
      <c r="S196" s="284"/>
      <c r="T196" s="285"/>
      <c r="U196" s="34"/>
      <c r="V196" s="34"/>
      <c r="W196" s="35" t="s">
        <v>69</v>
      </c>
      <c r="X196" s="268">
        <v>0</v>
      </c>
      <c r="Y196" s="269">
        <f>IFERROR(IF(X196="","",X196),"")</f>
        <v>0</v>
      </c>
      <c r="Z196" s="36">
        <f>IFERROR(IF(X196="","",X196*0.01788),"")</f>
        <v>0</v>
      </c>
      <c r="AA196" s="56"/>
      <c r="AB196" s="57"/>
      <c r="AC196" s="202" t="s">
        <v>286</v>
      </c>
      <c r="AG196" s="67"/>
      <c r="AJ196" s="71" t="s">
        <v>71</v>
      </c>
      <c r="AK196" s="71">
        <v>1</v>
      </c>
      <c r="BB196" s="203" t="s">
        <v>99</v>
      </c>
      <c r="BM196" s="67">
        <f>IFERROR(X196*I196,"0")</f>
        <v>0</v>
      </c>
      <c r="BN196" s="67">
        <f>IFERROR(Y196*I196,"0")</f>
        <v>0</v>
      </c>
      <c r="BO196" s="67">
        <f>IFERROR(X196/J196,"0")</f>
        <v>0</v>
      </c>
      <c r="BP196" s="67">
        <f>IFERROR(Y196/J196,"0")</f>
        <v>0</v>
      </c>
    </row>
    <row r="197" spans="1:68" ht="27" hidden="1" customHeight="1" x14ac:dyDescent="0.25">
      <c r="A197" s="54" t="s">
        <v>287</v>
      </c>
      <c r="B197" s="54" t="s">
        <v>288</v>
      </c>
      <c r="C197" s="31">
        <v>4301135829</v>
      </c>
      <c r="D197" s="289">
        <v>4620207490235</v>
      </c>
      <c r="E197" s="290"/>
      <c r="F197" s="267">
        <v>0.2</v>
      </c>
      <c r="G197" s="32">
        <v>12</v>
      </c>
      <c r="H197" s="267">
        <v>2.4</v>
      </c>
      <c r="I197" s="267">
        <v>3.1036000000000001</v>
      </c>
      <c r="J197" s="32">
        <v>70</v>
      </c>
      <c r="K197" s="32" t="s">
        <v>95</v>
      </c>
      <c r="L197" s="32" t="s">
        <v>67</v>
      </c>
      <c r="M197" s="33" t="s">
        <v>68</v>
      </c>
      <c r="N197" s="33"/>
      <c r="O197" s="32">
        <v>180</v>
      </c>
      <c r="P197" s="35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197" s="284"/>
      <c r="R197" s="284"/>
      <c r="S197" s="284"/>
      <c r="T197" s="285"/>
      <c r="U197" s="34"/>
      <c r="V197" s="34"/>
      <c r="W197" s="35" t="s">
        <v>69</v>
      </c>
      <c r="X197" s="268">
        <v>0</v>
      </c>
      <c r="Y197" s="269">
        <f>IFERROR(IF(X197="","",X197),"")</f>
        <v>0</v>
      </c>
      <c r="Z197" s="36">
        <f>IFERROR(IF(X197="","",X197*0.01788),"")</f>
        <v>0</v>
      </c>
      <c r="AA197" s="56"/>
      <c r="AB197" s="57"/>
      <c r="AC197" s="204" t="s">
        <v>289</v>
      </c>
      <c r="AG197" s="67"/>
      <c r="AJ197" s="71" t="s">
        <v>71</v>
      </c>
      <c r="AK197" s="71">
        <v>1</v>
      </c>
      <c r="BB197" s="205" t="s">
        <v>99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290</v>
      </c>
      <c r="B198" s="54" t="s">
        <v>291</v>
      </c>
      <c r="C198" s="31">
        <v>4301135697</v>
      </c>
      <c r="D198" s="289">
        <v>4620207490259</v>
      </c>
      <c r="E198" s="290"/>
      <c r="F198" s="267">
        <v>0.2</v>
      </c>
      <c r="G198" s="32">
        <v>12</v>
      </c>
      <c r="H198" s="267">
        <v>2.4</v>
      </c>
      <c r="I198" s="267">
        <v>3.1036000000000001</v>
      </c>
      <c r="J198" s="32">
        <v>70</v>
      </c>
      <c r="K198" s="32" t="s">
        <v>95</v>
      </c>
      <c r="L198" s="32" t="s">
        <v>67</v>
      </c>
      <c r="M198" s="33" t="s">
        <v>68</v>
      </c>
      <c r="N198" s="33"/>
      <c r="O198" s="32">
        <v>180</v>
      </c>
      <c r="P198" s="421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198" s="284"/>
      <c r="R198" s="284"/>
      <c r="S198" s="284"/>
      <c r="T198" s="285"/>
      <c r="U198" s="34"/>
      <c r="V198" s="34"/>
      <c r="W198" s="35" t="s">
        <v>69</v>
      </c>
      <c r="X198" s="268">
        <v>0</v>
      </c>
      <c r="Y198" s="269">
        <f>IFERROR(IF(X198="","",X198),"")</f>
        <v>0</v>
      </c>
      <c r="Z198" s="36">
        <f>IFERROR(IF(X198="","",X198*0.01788),"")</f>
        <v>0</v>
      </c>
      <c r="AA198" s="56"/>
      <c r="AB198" s="57"/>
      <c r="AC198" s="206" t="s">
        <v>286</v>
      </c>
      <c r="AG198" s="67"/>
      <c r="AJ198" s="71" t="s">
        <v>71</v>
      </c>
      <c r="AK198" s="71">
        <v>1</v>
      </c>
      <c r="BB198" s="207" t="s">
        <v>99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292</v>
      </c>
      <c r="B199" s="54" t="s">
        <v>293</v>
      </c>
      <c r="C199" s="31">
        <v>4301135681</v>
      </c>
      <c r="D199" s="289">
        <v>4620207490143</v>
      </c>
      <c r="E199" s="290"/>
      <c r="F199" s="267">
        <v>0.22</v>
      </c>
      <c r="G199" s="32">
        <v>12</v>
      </c>
      <c r="H199" s="267">
        <v>2.64</v>
      </c>
      <c r="I199" s="267">
        <v>3.3435999999999999</v>
      </c>
      <c r="J199" s="32">
        <v>70</v>
      </c>
      <c r="K199" s="32" t="s">
        <v>95</v>
      </c>
      <c r="L199" s="32" t="s">
        <v>67</v>
      </c>
      <c r="M199" s="33" t="s">
        <v>68</v>
      </c>
      <c r="N199" s="33"/>
      <c r="O199" s="32">
        <v>180</v>
      </c>
      <c r="P199" s="430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199" s="284"/>
      <c r="R199" s="284"/>
      <c r="S199" s="284"/>
      <c r="T199" s="285"/>
      <c r="U199" s="34"/>
      <c r="V199" s="34"/>
      <c r="W199" s="35" t="s">
        <v>69</v>
      </c>
      <c r="X199" s="268">
        <v>0</v>
      </c>
      <c r="Y199" s="269">
        <f>IFERROR(IF(X199="","",X199),"")</f>
        <v>0</v>
      </c>
      <c r="Z199" s="36">
        <f>IFERROR(IF(X199="","",X199*0.01788),"")</f>
        <v>0</v>
      </c>
      <c r="AA199" s="56"/>
      <c r="AB199" s="57"/>
      <c r="AC199" s="208" t="s">
        <v>294</v>
      </c>
      <c r="AG199" s="67"/>
      <c r="AJ199" s="71" t="s">
        <v>71</v>
      </c>
      <c r="AK199" s="71">
        <v>1</v>
      </c>
      <c r="BB199" s="209" t="s">
        <v>99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x14ac:dyDescent="0.2">
      <c r="A200" s="292"/>
      <c r="B200" s="275"/>
      <c r="C200" s="275"/>
      <c r="D200" s="275"/>
      <c r="E200" s="275"/>
      <c r="F200" s="275"/>
      <c r="G200" s="275"/>
      <c r="H200" s="275"/>
      <c r="I200" s="275"/>
      <c r="J200" s="275"/>
      <c r="K200" s="275"/>
      <c r="L200" s="275"/>
      <c r="M200" s="275"/>
      <c r="N200" s="275"/>
      <c r="O200" s="293"/>
      <c r="P200" s="280" t="s">
        <v>82</v>
      </c>
      <c r="Q200" s="281"/>
      <c r="R200" s="281"/>
      <c r="S200" s="281"/>
      <c r="T200" s="281"/>
      <c r="U200" s="281"/>
      <c r="V200" s="282"/>
      <c r="W200" s="37" t="s">
        <v>69</v>
      </c>
      <c r="X200" s="270">
        <f>IFERROR(SUM(X195:X199),"0")</f>
        <v>14</v>
      </c>
      <c r="Y200" s="270">
        <f>IFERROR(SUM(Y195:Y199),"0")</f>
        <v>14</v>
      </c>
      <c r="Z200" s="270">
        <f>IFERROR(IF(Z195="",0,Z195),"0")+IFERROR(IF(Z196="",0,Z196),"0")+IFERROR(IF(Z197="",0,Z197),"0")+IFERROR(IF(Z198="",0,Z198),"0")+IFERROR(IF(Z199="",0,Z199),"0")</f>
        <v>0.25031999999999999</v>
      </c>
      <c r="AA200" s="271"/>
      <c r="AB200" s="271"/>
      <c r="AC200" s="271"/>
    </row>
    <row r="201" spans="1:68" x14ac:dyDescent="0.2">
      <c r="A201" s="275"/>
      <c r="B201" s="275"/>
      <c r="C201" s="275"/>
      <c r="D201" s="275"/>
      <c r="E201" s="275"/>
      <c r="F201" s="275"/>
      <c r="G201" s="275"/>
      <c r="H201" s="275"/>
      <c r="I201" s="275"/>
      <c r="J201" s="275"/>
      <c r="K201" s="275"/>
      <c r="L201" s="275"/>
      <c r="M201" s="275"/>
      <c r="N201" s="275"/>
      <c r="O201" s="293"/>
      <c r="P201" s="280" t="s">
        <v>82</v>
      </c>
      <c r="Q201" s="281"/>
      <c r="R201" s="281"/>
      <c r="S201" s="281"/>
      <c r="T201" s="281"/>
      <c r="U201" s="281"/>
      <c r="V201" s="282"/>
      <c r="W201" s="37" t="s">
        <v>83</v>
      </c>
      <c r="X201" s="270">
        <f>IFERROR(SUMPRODUCT(X195:X199*H195:H199),"0")</f>
        <v>33.6</v>
      </c>
      <c r="Y201" s="270">
        <f>IFERROR(SUMPRODUCT(Y195:Y199*H195:H199),"0")</f>
        <v>33.6</v>
      </c>
      <c r="Z201" s="37"/>
      <c r="AA201" s="271"/>
      <c r="AB201" s="271"/>
      <c r="AC201" s="271"/>
    </row>
    <row r="202" spans="1:68" ht="16.5" hidden="1" customHeight="1" x14ac:dyDescent="0.25">
      <c r="A202" s="288" t="s">
        <v>295</v>
      </c>
      <c r="B202" s="275"/>
      <c r="C202" s="275"/>
      <c r="D202" s="275"/>
      <c r="E202" s="275"/>
      <c r="F202" s="275"/>
      <c r="G202" s="275"/>
      <c r="H202" s="275"/>
      <c r="I202" s="275"/>
      <c r="J202" s="275"/>
      <c r="K202" s="275"/>
      <c r="L202" s="275"/>
      <c r="M202" s="275"/>
      <c r="N202" s="275"/>
      <c r="O202" s="275"/>
      <c r="P202" s="275"/>
      <c r="Q202" s="275"/>
      <c r="R202" s="275"/>
      <c r="S202" s="275"/>
      <c r="T202" s="275"/>
      <c r="U202" s="275"/>
      <c r="V202" s="275"/>
      <c r="W202" s="275"/>
      <c r="X202" s="275"/>
      <c r="Y202" s="275"/>
      <c r="Z202" s="275"/>
      <c r="AA202" s="263"/>
      <c r="AB202" s="263"/>
      <c r="AC202" s="263"/>
    </row>
    <row r="203" spans="1:68" ht="14.25" hidden="1" customHeight="1" x14ac:dyDescent="0.25">
      <c r="A203" s="276" t="s">
        <v>63</v>
      </c>
      <c r="B203" s="275"/>
      <c r="C203" s="275"/>
      <c r="D203" s="275"/>
      <c r="E203" s="275"/>
      <c r="F203" s="275"/>
      <c r="G203" s="275"/>
      <c r="H203" s="275"/>
      <c r="I203" s="275"/>
      <c r="J203" s="275"/>
      <c r="K203" s="275"/>
      <c r="L203" s="275"/>
      <c r="M203" s="275"/>
      <c r="N203" s="275"/>
      <c r="O203" s="275"/>
      <c r="P203" s="275"/>
      <c r="Q203" s="275"/>
      <c r="R203" s="275"/>
      <c r="S203" s="275"/>
      <c r="T203" s="275"/>
      <c r="U203" s="275"/>
      <c r="V203" s="275"/>
      <c r="W203" s="275"/>
      <c r="X203" s="275"/>
      <c r="Y203" s="275"/>
      <c r="Z203" s="275"/>
      <c r="AA203" s="264"/>
      <c r="AB203" s="264"/>
      <c r="AC203" s="264"/>
    </row>
    <row r="204" spans="1:68" ht="27" customHeight="1" x14ac:dyDescent="0.25">
      <c r="A204" s="54" t="s">
        <v>296</v>
      </c>
      <c r="B204" s="54" t="s">
        <v>297</v>
      </c>
      <c r="C204" s="31">
        <v>4301071097</v>
      </c>
      <c r="D204" s="289">
        <v>4620207491096</v>
      </c>
      <c r="E204" s="290"/>
      <c r="F204" s="267">
        <v>1</v>
      </c>
      <c r="G204" s="32">
        <v>5</v>
      </c>
      <c r="H204" s="267">
        <v>5</v>
      </c>
      <c r="I204" s="267">
        <v>5.23</v>
      </c>
      <c r="J204" s="32">
        <v>84</v>
      </c>
      <c r="K204" s="32" t="s">
        <v>66</v>
      </c>
      <c r="L204" s="32" t="s">
        <v>96</v>
      </c>
      <c r="M204" s="33" t="s">
        <v>68</v>
      </c>
      <c r="N204" s="33"/>
      <c r="O204" s="32">
        <v>180</v>
      </c>
      <c r="P204" s="385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04" s="284"/>
      <c r="R204" s="284"/>
      <c r="S204" s="284"/>
      <c r="T204" s="285"/>
      <c r="U204" s="34"/>
      <c r="V204" s="34"/>
      <c r="W204" s="35" t="s">
        <v>69</v>
      </c>
      <c r="X204" s="268">
        <v>48</v>
      </c>
      <c r="Y204" s="269">
        <f>IFERROR(IF(X204="","",X204),"")</f>
        <v>48</v>
      </c>
      <c r="Z204" s="36">
        <f>IFERROR(IF(X204="","",X204*0.0155),"")</f>
        <v>0.74399999999999999</v>
      </c>
      <c r="AA204" s="56"/>
      <c r="AB204" s="57"/>
      <c r="AC204" s="210" t="s">
        <v>298</v>
      </c>
      <c r="AG204" s="67"/>
      <c r="AJ204" s="71" t="s">
        <v>98</v>
      </c>
      <c r="AK204" s="71">
        <v>12</v>
      </c>
      <c r="BB204" s="211" t="s">
        <v>1</v>
      </c>
      <c r="BM204" s="67">
        <f>IFERROR(X204*I204,"0")</f>
        <v>251.04000000000002</v>
      </c>
      <c r="BN204" s="67">
        <f>IFERROR(Y204*I204,"0")</f>
        <v>251.04000000000002</v>
      </c>
      <c r="BO204" s="67">
        <f>IFERROR(X204/J204,"0")</f>
        <v>0.5714285714285714</v>
      </c>
      <c r="BP204" s="67">
        <f>IFERROR(Y204/J204,"0")</f>
        <v>0.5714285714285714</v>
      </c>
    </row>
    <row r="205" spans="1:68" x14ac:dyDescent="0.2">
      <c r="A205" s="292"/>
      <c r="B205" s="275"/>
      <c r="C205" s="275"/>
      <c r="D205" s="275"/>
      <c r="E205" s="275"/>
      <c r="F205" s="275"/>
      <c r="G205" s="275"/>
      <c r="H205" s="275"/>
      <c r="I205" s="275"/>
      <c r="J205" s="275"/>
      <c r="K205" s="275"/>
      <c r="L205" s="275"/>
      <c r="M205" s="275"/>
      <c r="N205" s="275"/>
      <c r="O205" s="293"/>
      <c r="P205" s="280" t="s">
        <v>82</v>
      </c>
      <c r="Q205" s="281"/>
      <c r="R205" s="281"/>
      <c r="S205" s="281"/>
      <c r="T205" s="281"/>
      <c r="U205" s="281"/>
      <c r="V205" s="282"/>
      <c r="W205" s="37" t="s">
        <v>69</v>
      </c>
      <c r="X205" s="270">
        <f>IFERROR(SUM(X204:X204),"0")</f>
        <v>48</v>
      </c>
      <c r="Y205" s="270">
        <f>IFERROR(SUM(Y204:Y204),"0")</f>
        <v>48</v>
      </c>
      <c r="Z205" s="270">
        <f>IFERROR(IF(Z204="",0,Z204),"0")</f>
        <v>0.74399999999999999</v>
      </c>
      <c r="AA205" s="271"/>
      <c r="AB205" s="271"/>
      <c r="AC205" s="271"/>
    </row>
    <row r="206" spans="1:68" x14ac:dyDescent="0.2">
      <c r="A206" s="275"/>
      <c r="B206" s="275"/>
      <c r="C206" s="275"/>
      <c r="D206" s="275"/>
      <c r="E206" s="275"/>
      <c r="F206" s="275"/>
      <c r="G206" s="275"/>
      <c r="H206" s="275"/>
      <c r="I206" s="275"/>
      <c r="J206" s="275"/>
      <c r="K206" s="275"/>
      <c r="L206" s="275"/>
      <c r="M206" s="275"/>
      <c r="N206" s="275"/>
      <c r="O206" s="293"/>
      <c r="P206" s="280" t="s">
        <v>82</v>
      </c>
      <c r="Q206" s="281"/>
      <c r="R206" s="281"/>
      <c r="S206" s="281"/>
      <c r="T206" s="281"/>
      <c r="U206" s="281"/>
      <c r="V206" s="282"/>
      <c r="W206" s="37" t="s">
        <v>83</v>
      </c>
      <c r="X206" s="270">
        <f>IFERROR(SUMPRODUCT(X204:X204*H204:H204),"0")</f>
        <v>240</v>
      </c>
      <c r="Y206" s="270">
        <f>IFERROR(SUMPRODUCT(Y204:Y204*H204:H204),"0")</f>
        <v>240</v>
      </c>
      <c r="Z206" s="37"/>
      <c r="AA206" s="271"/>
      <c r="AB206" s="271"/>
      <c r="AC206" s="271"/>
    </row>
    <row r="207" spans="1:68" ht="16.5" hidden="1" customHeight="1" x14ac:dyDescent="0.25">
      <c r="A207" s="288" t="s">
        <v>299</v>
      </c>
      <c r="B207" s="275"/>
      <c r="C207" s="275"/>
      <c r="D207" s="275"/>
      <c r="E207" s="275"/>
      <c r="F207" s="275"/>
      <c r="G207" s="275"/>
      <c r="H207" s="275"/>
      <c r="I207" s="275"/>
      <c r="J207" s="275"/>
      <c r="K207" s="275"/>
      <c r="L207" s="275"/>
      <c r="M207" s="275"/>
      <c r="N207" s="275"/>
      <c r="O207" s="275"/>
      <c r="P207" s="275"/>
      <c r="Q207" s="275"/>
      <c r="R207" s="275"/>
      <c r="S207" s="275"/>
      <c r="T207" s="275"/>
      <c r="U207" s="275"/>
      <c r="V207" s="275"/>
      <c r="W207" s="275"/>
      <c r="X207" s="275"/>
      <c r="Y207" s="275"/>
      <c r="Z207" s="275"/>
      <c r="AA207" s="263"/>
      <c r="AB207" s="263"/>
      <c r="AC207" s="263"/>
    </row>
    <row r="208" spans="1:68" ht="14.25" hidden="1" customHeight="1" x14ac:dyDescent="0.25">
      <c r="A208" s="276" t="s">
        <v>63</v>
      </c>
      <c r="B208" s="275"/>
      <c r="C208" s="275"/>
      <c r="D208" s="275"/>
      <c r="E208" s="275"/>
      <c r="F208" s="275"/>
      <c r="G208" s="275"/>
      <c r="H208" s="275"/>
      <c r="I208" s="275"/>
      <c r="J208" s="275"/>
      <c r="K208" s="275"/>
      <c r="L208" s="275"/>
      <c r="M208" s="275"/>
      <c r="N208" s="275"/>
      <c r="O208" s="275"/>
      <c r="P208" s="275"/>
      <c r="Q208" s="275"/>
      <c r="R208" s="275"/>
      <c r="S208" s="275"/>
      <c r="T208" s="275"/>
      <c r="U208" s="275"/>
      <c r="V208" s="275"/>
      <c r="W208" s="275"/>
      <c r="X208" s="275"/>
      <c r="Y208" s="275"/>
      <c r="Z208" s="275"/>
      <c r="AA208" s="264"/>
      <c r="AB208" s="264"/>
      <c r="AC208" s="264"/>
    </row>
    <row r="209" spans="1:68" ht="27" hidden="1" customHeight="1" x14ac:dyDescent="0.25">
      <c r="A209" s="54" t="s">
        <v>300</v>
      </c>
      <c r="B209" s="54" t="s">
        <v>301</v>
      </c>
      <c r="C209" s="31">
        <v>4301071093</v>
      </c>
      <c r="D209" s="289">
        <v>4620207490709</v>
      </c>
      <c r="E209" s="290"/>
      <c r="F209" s="267">
        <v>0.65</v>
      </c>
      <c r="G209" s="32">
        <v>8</v>
      </c>
      <c r="H209" s="267">
        <v>5.2</v>
      </c>
      <c r="I209" s="267">
        <v>5.47</v>
      </c>
      <c r="J209" s="32">
        <v>84</v>
      </c>
      <c r="K209" s="32" t="s">
        <v>66</v>
      </c>
      <c r="L209" s="32" t="s">
        <v>67</v>
      </c>
      <c r="M209" s="33" t="s">
        <v>68</v>
      </c>
      <c r="N209" s="33"/>
      <c r="O209" s="32">
        <v>180</v>
      </c>
      <c r="P209" s="299" t="str">
        <f>HYPERLINK("https://abi.ru/products/Замороженные/Стародворье/Добросельские ЭТМ/Пельмени/P004905/","Пельмени «Добросельские со свининой и говядиной» Фикс.вес 0,65 классическая форма ТМ «Стародворье»")</f>
        <v>Пельмени «Добросельские со свининой и говядиной» Фикс.вес 0,65 классическая форма ТМ «Стародворье»</v>
      </c>
      <c r="Q209" s="284"/>
      <c r="R209" s="284"/>
      <c r="S209" s="284"/>
      <c r="T209" s="285"/>
      <c r="U209" s="34"/>
      <c r="V209" s="34"/>
      <c r="W209" s="35" t="s">
        <v>69</v>
      </c>
      <c r="X209" s="268">
        <v>0</v>
      </c>
      <c r="Y209" s="269">
        <f>IFERROR(IF(X209="","",X209),"")</f>
        <v>0</v>
      </c>
      <c r="Z209" s="36">
        <f>IFERROR(IF(X209="","",X209*0.0155),"")</f>
        <v>0</v>
      </c>
      <c r="AA209" s="56"/>
      <c r="AB209" s="57"/>
      <c r="AC209" s="212" t="s">
        <v>302</v>
      </c>
      <c r="AG209" s="67"/>
      <c r="AJ209" s="71" t="s">
        <v>71</v>
      </c>
      <c r="AK209" s="71">
        <v>1</v>
      </c>
      <c r="BB209" s="213" t="s">
        <v>1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292"/>
      <c r="B210" s="275"/>
      <c r="C210" s="275"/>
      <c r="D210" s="275"/>
      <c r="E210" s="275"/>
      <c r="F210" s="275"/>
      <c r="G210" s="275"/>
      <c r="H210" s="275"/>
      <c r="I210" s="275"/>
      <c r="J210" s="275"/>
      <c r="K210" s="275"/>
      <c r="L210" s="275"/>
      <c r="M210" s="275"/>
      <c r="N210" s="275"/>
      <c r="O210" s="293"/>
      <c r="P210" s="280" t="s">
        <v>82</v>
      </c>
      <c r="Q210" s="281"/>
      <c r="R210" s="281"/>
      <c r="S210" s="281"/>
      <c r="T210" s="281"/>
      <c r="U210" s="281"/>
      <c r="V210" s="282"/>
      <c r="W210" s="37" t="s">
        <v>69</v>
      </c>
      <c r="X210" s="270">
        <f>IFERROR(SUM(X209:X209),"0")</f>
        <v>0</v>
      </c>
      <c r="Y210" s="270">
        <f>IFERROR(SUM(Y209:Y209),"0")</f>
        <v>0</v>
      </c>
      <c r="Z210" s="270">
        <f>IFERROR(IF(Z209="",0,Z209),"0")</f>
        <v>0</v>
      </c>
      <c r="AA210" s="271"/>
      <c r="AB210" s="271"/>
      <c r="AC210" s="271"/>
    </row>
    <row r="211" spans="1:68" hidden="1" x14ac:dyDescent="0.2">
      <c r="A211" s="275"/>
      <c r="B211" s="275"/>
      <c r="C211" s="275"/>
      <c r="D211" s="275"/>
      <c r="E211" s="275"/>
      <c r="F211" s="275"/>
      <c r="G211" s="275"/>
      <c r="H211" s="275"/>
      <c r="I211" s="275"/>
      <c r="J211" s="275"/>
      <c r="K211" s="275"/>
      <c r="L211" s="275"/>
      <c r="M211" s="275"/>
      <c r="N211" s="275"/>
      <c r="O211" s="293"/>
      <c r="P211" s="280" t="s">
        <v>82</v>
      </c>
      <c r="Q211" s="281"/>
      <c r="R211" s="281"/>
      <c r="S211" s="281"/>
      <c r="T211" s="281"/>
      <c r="U211" s="281"/>
      <c r="V211" s="282"/>
      <c r="W211" s="37" t="s">
        <v>83</v>
      </c>
      <c r="X211" s="270">
        <f>IFERROR(SUMPRODUCT(X209:X209*H209:H209),"0")</f>
        <v>0</v>
      </c>
      <c r="Y211" s="270">
        <f>IFERROR(SUMPRODUCT(Y209:Y209*H209:H209),"0")</f>
        <v>0</v>
      </c>
      <c r="Z211" s="37"/>
      <c r="AA211" s="271"/>
      <c r="AB211" s="271"/>
      <c r="AC211" s="271"/>
    </row>
    <row r="212" spans="1:68" ht="14.25" hidden="1" customHeight="1" x14ac:dyDescent="0.25">
      <c r="A212" s="276" t="s">
        <v>136</v>
      </c>
      <c r="B212" s="275"/>
      <c r="C212" s="275"/>
      <c r="D212" s="275"/>
      <c r="E212" s="275"/>
      <c r="F212" s="275"/>
      <c r="G212" s="275"/>
      <c r="H212" s="275"/>
      <c r="I212" s="275"/>
      <c r="J212" s="275"/>
      <c r="K212" s="275"/>
      <c r="L212" s="275"/>
      <c r="M212" s="275"/>
      <c r="N212" s="275"/>
      <c r="O212" s="275"/>
      <c r="P212" s="275"/>
      <c r="Q212" s="275"/>
      <c r="R212" s="275"/>
      <c r="S212" s="275"/>
      <c r="T212" s="275"/>
      <c r="U212" s="275"/>
      <c r="V212" s="275"/>
      <c r="W212" s="275"/>
      <c r="X212" s="275"/>
      <c r="Y212" s="275"/>
      <c r="Z212" s="275"/>
      <c r="AA212" s="264"/>
      <c r="AB212" s="264"/>
      <c r="AC212" s="264"/>
    </row>
    <row r="213" spans="1:68" ht="27" hidden="1" customHeight="1" x14ac:dyDescent="0.25">
      <c r="A213" s="54" t="s">
        <v>303</v>
      </c>
      <c r="B213" s="54" t="s">
        <v>304</v>
      </c>
      <c r="C213" s="31">
        <v>4301135691</v>
      </c>
      <c r="D213" s="289">
        <v>4620207490549</v>
      </c>
      <c r="E213" s="290"/>
      <c r="F213" s="267">
        <v>0.2</v>
      </c>
      <c r="G213" s="32">
        <v>12</v>
      </c>
      <c r="H213" s="267">
        <v>2.4</v>
      </c>
      <c r="I213" s="267">
        <v>3.1036000000000001</v>
      </c>
      <c r="J213" s="32">
        <v>70</v>
      </c>
      <c r="K213" s="32" t="s">
        <v>95</v>
      </c>
      <c r="L213" s="32" t="s">
        <v>67</v>
      </c>
      <c r="M213" s="33" t="s">
        <v>68</v>
      </c>
      <c r="N213" s="33"/>
      <c r="O213" s="32">
        <v>180</v>
      </c>
      <c r="P213" s="29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3" s="284"/>
      <c r="R213" s="284"/>
      <c r="S213" s="284"/>
      <c r="T213" s="285"/>
      <c r="U213" s="34"/>
      <c r="V213" s="34"/>
      <c r="W213" s="35" t="s">
        <v>69</v>
      </c>
      <c r="X213" s="268">
        <v>0</v>
      </c>
      <c r="Y213" s="269">
        <f>IFERROR(IF(X213="","",X213),"")</f>
        <v>0</v>
      </c>
      <c r="Z213" s="36">
        <f>IFERROR(IF(X213="","",X213*0.01788),"")</f>
        <v>0</v>
      </c>
      <c r="AA213" s="56"/>
      <c r="AB213" s="57"/>
      <c r="AC213" s="214" t="s">
        <v>305</v>
      </c>
      <c r="AG213" s="67"/>
      <c r="AJ213" s="71" t="s">
        <v>71</v>
      </c>
      <c r="AK213" s="71">
        <v>1</v>
      </c>
      <c r="BB213" s="215" t="s">
        <v>99</v>
      </c>
      <c r="BM213" s="67">
        <f>IFERROR(X213*I213,"0")</f>
        <v>0</v>
      </c>
      <c r="BN213" s="67">
        <f>IFERROR(Y213*I213,"0")</f>
        <v>0</v>
      </c>
      <c r="BO213" s="67">
        <f>IFERROR(X213/J213,"0")</f>
        <v>0</v>
      </c>
      <c r="BP213" s="67">
        <f>IFERROR(Y213/J213,"0")</f>
        <v>0</v>
      </c>
    </row>
    <row r="214" spans="1:68" ht="27" hidden="1" customHeight="1" x14ac:dyDescent="0.25">
      <c r="A214" s="54" t="s">
        <v>306</v>
      </c>
      <c r="B214" s="54" t="s">
        <v>307</v>
      </c>
      <c r="C214" s="31">
        <v>4301135694</v>
      </c>
      <c r="D214" s="289">
        <v>4620207490501</v>
      </c>
      <c r="E214" s="290"/>
      <c r="F214" s="267">
        <v>0.2</v>
      </c>
      <c r="G214" s="32">
        <v>12</v>
      </c>
      <c r="H214" s="267">
        <v>2.4</v>
      </c>
      <c r="I214" s="267">
        <v>3.1036000000000001</v>
      </c>
      <c r="J214" s="32">
        <v>70</v>
      </c>
      <c r="K214" s="32" t="s">
        <v>95</v>
      </c>
      <c r="L214" s="32" t="s">
        <v>67</v>
      </c>
      <c r="M214" s="33" t="s">
        <v>68</v>
      </c>
      <c r="N214" s="33"/>
      <c r="O214" s="32">
        <v>180</v>
      </c>
      <c r="P214" s="456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4" s="284"/>
      <c r="R214" s="284"/>
      <c r="S214" s="284"/>
      <c r="T214" s="285"/>
      <c r="U214" s="34"/>
      <c r="V214" s="34"/>
      <c r="W214" s="35" t="s">
        <v>69</v>
      </c>
      <c r="X214" s="268">
        <v>0</v>
      </c>
      <c r="Y214" s="269">
        <f>IFERROR(IF(X214="","",X214),"")</f>
        <v>0</v>
      </c>
      <c r="Z214" s="36">
        <f>IFERROR(IF(X214="","",X214*0.01788),"")</f>
        <v>0</v>
      </c>
      <c r="AA214" s="56"/>
      <c r="AB214" s="57"/>
      <c r="AC214" s="216" t="s">
        <v>305</v>
      </c>
      <c r="AG214" s="67"/>
      <c r="AJ214" s="71" t="s">
        <v>71</v>
      </c>
      <c r="AK214" s="71">
        <v>1</v>
      </c>
      <c r="BB214" s="217" t="s">
        <v>99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idden="1" x14ac:dyDescent="0.2">
      <c r="A215" s="292"/>
      <c r="B215" s="275"/>
      <c r="C215" s="275"/>
      <c r="D215" s="275"/>
      <c r="E215" s="275"/>
      <c r="F215" s="275"/>
      <c r="G215" s="275"/>
      <c r="H215" s="275"/>
      <c r="I215" s="275"/>
      <c r="J215" s="275"/>
      <c r="K215" s="275"/>
      <c r="L215" s="275"/>
      <c r="M215" s="275"/>
      <c r="N215" s="275"/>
      <c r="O215" s="293"/>
      <c r="P215" s="280" t="s">
        <v>82</v>
      </c>
      <c r="Q215" s="281"/>
      <c r="R215" s="281"/>
      <c r="S215" s="281"/>
      <c r="T215" s="281"/>
      <c r="U215" s="281"/>
      <c r="V215" s="282"/>
      <c r="W215" s="37" t="s">
        <v>69</v>
      </c>
      <c r="X215" s="270">
        <f>IFERROR(SUM(X213:X214),"0")</f>
        <v>0</v>
      </c>
      <c r="Y215" s="270">
        <f>IFERROR(SUM(Y213:Y214),"0")</f>
        <v>0</v>
      </c>
      <c r="Z215" s="270">
        <f>IFERROR(IF(Z213="",0,Z213),"0")+IFERROR(IF(Z214="",0,Z214),"0")</f>
        <v>0</v>
      </c>
      <c r="AA215" s="271"/>
      <c r="AB215" s="271"/>
      <c r="AC215" s="271"/>
    </row>
    <row r="216" spans="1:68" hidden="1" x14ac:dyDescent="0.2">
      <c r="A216" s="275"/>
      <c r="B216" s="275"/>
      <c r="C216" s="275"/>
      <c r="D216" s="275"/>
      <c r="E216" s="275"/>
      <c r="F216" s="275"/>
      <c r="G216" s="275"/>
      <c r="H216" s="275"/>
      <c r="I216" s="275"/>
      <c r="J216" s="275"/>
      <c r="K216" s="275"/>
      <c r="L216" s="275"/>
      <c r="M216" s="275"/>
      <c r="N216" s="275"/>
      <c r="O216" s="293"/>
      <c r="P216" s="280" t="s">
        <v>82</v>
      </c>
      <c r="Q216" s="281"/>
      <c r="R216" s="281"/>
      <c r="S216" s="281"/>
      <c r="T216" s="281"/>
      <c r="U216" s="281"/>
      <c r="V216" s="282"/>
      <c r="W216" s="37" t="s">
        <v>83</v>
      </c>
      <c r="X216" s="270">
        <f>IFERROR(SUMPRODUCT(X213:X214*H213:H214),"0")</f>
        <v>0</v>
      </c>
      <c r="Y216" s="270">
        <f>IFERROR(SUMPRODUCT(Y213:Y214*H213:H214),"0")</f>
        <v>0</v>
      </c>
      <c r="Z216" s="37"/>
      <c r="AA216" s="271"/>
      <c r="AB216" s="271"/>
      <c r="AC216" s="271"/>
    </row>
    <row r="217" spans="1:68" ht="27.75" hidden="1" customHeight="1" x14ac:dyDescent="0.2">
      <c r="A217" s="286" t="s">
        <v>308</v>
      </c>
      <c r="B217" s="287"/>
      <c r="C217" s="287"/>
      <c r="D217" s="287"/>
      <c r="E217" s="287"/>
      <c r="F217" s="287"/>
      <c r="G217" s="287"/>
      <c r="H217" s="287"/>
      <c r="I217" s="287"/>
      <c r="J217" s="287"/>
      <c r="K217" s="287"/>
      <c r="L217" s="287"/>
      <c r="M217" s="287"/>
      <c r="N217" s="287"/>
      <c r="O217" s="287"/>
      <c r="P217" s="287"/>
      <c r="Q217" s="287"/>
      <c r="R217" s="287"/>
      <c r="S217" s="287"/>
      <c r="T217" s="287"/>
      <c r="U217" s="287"/>
      <c r="V217" s="287"/>
      <c r="W217" s="287"/>
      <c r="X217" s="287"/>
      <c r="Y217" s="287"/>
      <c r="Z217" s="287"/>
      <c r="AA217" s="48"/>
      <c r="AB217" s="48"/>
      <c r="AC217" s="48"/>
    </row>
    <row r="218" spans="1:68" ht="16.5" hidden="1" customHeight="1" x14ac:dyDescent="0.25">
      <c r="A218" s="288" t="s">
        <v>309</v>
      </c>
      <c r="B218" s="275"/>
      <c r="C218" s="275"/>
      <c r="D218" s="275"/>
      <c r="E218" s="275"/>
      <c r="F218" s="275"/>
      <c r="G218" s="275"/>
      <c r="H218" s="275"/>
      <c r="I218" s="275"/>
      <c r="J218" s="275"/>
      <c r="K218" s="275"/>
      <c r="L218" s="275"/>
      <c r="M218" s="275"/>
      <c r="N218" s="275"/>
      <c r="O218" s="275"/>
      <c r="P218" s="275"/>
      <c r="Q218" s="275"/>
      <c r="R218" s="275"/>
      <c r="S218" s="275"/>
      <c r="T218" s="275"/>
      <c r="U218" s="275"/>
      <c r="V218" s="275"/>
      <c r="W218" s="275"/>
      <c r="X218" s="275"/>
      <c r="Y218" s="275"/>
      <c r="Z218" s="275"/>
      <c r="AA218" s="263"/>
      <c r="AB218" s="263"/>
      <c r="AC218" s="263"/>
    </row>
    <row r="219" spans="1:68" ht="14.25" hidden="1" customHeight="1" x14ac:dyDescent="0.25">
      <c r="A219" s="276" t="s">
        <v>63</v>
      </c>
      <c r="B219" s="275"/>
      <c r="C219" s="275"/>
      <c r="D219" s="275"/>
      <c r="E219" s="275"/>
      <c r="F219" s="275"/>
      <c r="G219" s="275"/>
      <c r="H219" s="275"/>
      <c r="I219" s="275"/>
      <c r="J219" s="275"/>
      <c r="K219" s="275"/>
      <c r="L219" s="275"/>
      <c r="M219" s="275"/>
      <c r="N219" s="275"/>
      <c r="O219" s="275"/>
      <c r="P219" s="275"/>
      <c r="Q219" s="275"/>
      <c r="R219" s="275"/>
      <c r="S219" s="275"/>
      <c r="T219" s="275"/>
      <c r="U219" s="275"/>
      <c r="V219" s="275"/>
      <c r="W219" s="275"/>
      <c r="X219" s="275"/>
      <c r="Y219" s="275"/>
      <c r="Z219" s="275"/>
      <c r="AA219" s="264"/>
      <c r="AB219" s="264"/>
      <c r="AC219" s="264"/>
    </row>
    <row r="220" spans="1:68" ht="27" hidden="1" customHeight="1" x14ac:dyDescent="0.25">
      <c r="A220" s="54" t="s">
        <v>310</v>
      </c>
      <c r="B220" s="54" t="s">
        <v>311</v>
      </c>
      <c r="C220" s="31">
        <v>4301071036</v>
      </c>
      <c r="D220" s="289">
        <v>4607111036162</v>
      </c>
      <c r="E220" s="290"/>
      <c r="F220" s="267">
        <v>0.8</v>
      </c>
      <c r="G220" s="32">
        <v>8</v>
      </c>
      <c r="H220" s="267">
        <v>6.4</v>
      </c>
      <c r="I220" s="267">
        <v>6.6811999999999996</v>
      </c>
      <c r="J220" s="32">
        <v>84</v>
      </c>
      <c r="K220" s="32" t="s">
        <v>66</v>
      </c>
      <c r="L220" s="32" t="s">
        <v>67</v>
      </c>
      <c r="M220" s="33" t="s">
        <v>68</v>
      </c>
      <c r="N220" s="33"/>
      <c r="O220" s="32">
        <v>90</v>
      </c>
      <c r="P220" s="291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0" s="284"/>
      <c r="R220" s="284"/>
      <c r="S220" s="284"/>
      <c r="T220" s="285"/>
      <c r="U220" s="34"/>
      <c r="V220" s="34"/>
      <c r="W220" s="35" t="s">
        <v>69</v>
      </c>
      <c r="X220" s="268">
        <v>0</v>
      </c>
      <c r="Y220" s="269">
        <f>IFERROR(IF(X220="","",X220),"")</f>
        <v>0</v>
      </c>
      <c r="Z220" s="36">
        <f>IFERROR(IF(X220="","",X220*0.0155),"")</f>
        <v>0</v>
      </c>
      <c r="AA220" s="56"/>
      <c r="AB220" s="57"/>
      <c r="AC220" s="218" t="s">
        <v>312</v>
      </c>
      <c r="AG220" s="67"/>
      <c r="AJ220" s="71" t="s">
        <v>71</v>
      </c>
      <c r="AK220" s="71">
        <v>1</v>
      </c>
      <c r="BB220" s="219" t="s">
        <v>1</v>
      </c>
      <c r="BM220" s="67">
        <f>IFERROR(X220*I220,"0")</f>
        <v>0</v>
      </c>
      <c r="BN220" s="67">
        <f>IFERROR(Y220*I220,"0")</f>
        <v>0</v>
      </c>
      <c r="BO220" s="67">
        <f>IFERROR(X220/J220,"0")</f>
        <v>0</v>
      </c>
      <c r="BP220" s="67">
        <f>IFERROR(Y220/J220,"0")</f>
        <v>0</v>
      </c>
    </row>
    <row r="221" spans="1:68" hidden="1" x14ac:dyDescent="0.2">
      <c r="A221" s="292"/>
      <c r="B221" s="275"/>
      <c r="C221" s="275"/>
      <c r="D221" s="275"/>
      <c r="E221" s="275"/>
      <c r="F221" s="275"/>
      <c r="G221" s="275"/>
      <c r="H221" s="275"/>
      <c r="I221" s="275"/>
      <c r="J221" s="275"/>
      <c r="K221" s="275"/>
      <c r="L221" s="275"/>
      <c r="M221" s="275"/>
      <c r="N221" s="275"/>
      <c r="O221" s="293"/>
      <c r="P221" s="280" t="s">
        <v>82</v>
      </c>
      <c r="Q221" s="281"/>
      <c r="R221" s="281"/>
      <c r="S221" s="281"/>
      <c r="T221" s="281"/>
      <c r="U221" s="281"/>
      <c r="V221" s="282"/>
      <c r="W221" s="37" t="s">
        <v>69</v>
      </c>
      <c r="X221" s="270">
        <f>IFERROR(SUM(X220:X220),"0")</f>
        <v>0</v>
      </c>
      <c r="Y221" s="270">
        <f>IFERROR(SUM(Y220:Y220),"0")</f>
        <v>0</v>
      </c>
      <c r="Z221" s="270">
        <f>IFERROR(IF(Z220="",0,Z220),"0")</f>
        <v>0</v>
      </c>
      <c r="AA221" s="271"/>
      <c r="AB221" s="271"/>
      <c r="AC221" s="271"/>
    </row>
    <row r="222" spans="1:68" hidden="1" x14ac:dyDescent="0.2">
      <c r="A222" s="275"/>
      <c r="B222" s="275"/>
      <c r="C222" s="275"/>
      <c r="D222" s="275"/>
      <c r="E222" s="275"/>
      <c r="F222" s="275"/>
      <c r="G222" s="275"/>
      <c r="H222" s="275"/>
      <c r="I222" s="275"/>
      <c r="J222" s="275"/>
      <c r="K222" s="275"/>
      <c r="L222" s="275"/>
      <c r="M222" s="275"/>
      <c r="N222" s="275"/>
      <c r="O222" s="293"/>
      <c r="P222" s="280" t="s">
        <v>82</v>
      </c>
      <c r="Q222" s="281"/>
      <c r="R222" s="281"/>
      <c r="S222" s="281"/>
      <c r="T222" s="281"/>
      <c r="U222" s="281"/>
      <c r="V222" s="282"/>
      <c r="W222" s="37" t="s">
        <v>83</v>
      </c>
      <c r="X222" s="270">
        <f>IFERROR(SUMPRODUCT(X220:X220*H220:H220),"0")</f>
        <v>0</v>
      </c>
      <c r="Y222" s="270">
        <f>IFERROR(SUMPRODUCT(Y220:Y220*H220:H220),"0")</f>
        <v>0</v>
      </c>
      <c r="Z222" s="37"/>
      <c r="AA222" s="271"/>
      <c r="AB222" s="271"/>
      <c r="AC222" s="271"/>
    </row>
    <row r="223" spans="1:68" ht="27.75" hidden="1" customHeight="1" x14ac:dyDescent="0.2">
      <c r="A223" s="286" t="s">
        <v>313</v>
      </c>
      <c r="B223" s="287"/>
      <c r="C223" s="287"/>
      <c r="D223" s="287"/>
      <c r="E223" s="287"/>
      <c r="F223" s="287"/>
      <c r="G223" s="287"/>
      <c r="H223" s="287"/>
      <c r="I223" s="287"/>
      <c r="J223" s="287"/>
      <c r="K223" s="287"/>
      <c r="L223" s="287"/>
      <c r="M223" s="287"/>
      <c r="N223" s="287"/>
      <c r="O223" s="287"/>
      <c r="P223" s="287"/>
      <c r="Q223" s="287"/>
      <c r="R223" s="287"/>
      <c r="S223" s="287"/>
      <c r="T223" s="287"/>
      <c r="U223" s="287"/>
      <c r="V223" s="287"/>
      <c r="W223" s="287"/>
      <c r="X223" s="287"/>
      <c r="Y223" s="287"/>
      <c r="Z223" s="287"/>
      <c r="AA223" s="48"/>
      <c r="AB223" s="48"/>
      <c r="AC223" s="48"/>
    </row>
    <row r="224" spans="1:68" ht="16.5" hidden="1" customHeight="1" x14ac:dyDescent="0.25">
      <c r="A224" s="288" t="s">
        <v>314</v>
      </c>
      <c r="B224" s="275"/>
      <c r="C224" s="275"/>
      <c r="D224" s="275"/>
      <c r="E224" s="275"/>
      <c r="F224" s="275"/>
      <c r="G224" s="275"/>
      <c r="H224" s="275"/>
      <c r="I224" s="275"/>
      <c r="J224" s="275"/>
      <c r="K224" s="275"/>
      <c r="L224" s="275"/>
      <c r="M224" s="275"/>
      <c r="N224" s="275"/>
      <c r="O224" s="275"/>
      <c r="P224" s="275"/>
      <c r="Q224" s="275"/>
      <c r="R224" s="275"/>
      <c r="S224" s="275"/>
      <c r="T224" s="275"/>
      <c r="U224" s="275"/>
      <c r="V224" s="275"/>
      <c r="W224" s="275"/>
      <c r="X224" s="275"/>
      <c r="Y224" s="275"/>
      <c r="Z224" s="275"/>
      <c r="AA224" s="263"/>
      <c r="AB224" s="263"/>
      <c r="AC224" s="263"/>
    </row>
    <row r="225" spans="1:68" ht="14.25" hidden="1" customHeight="1" x14ac:dyDescent="0.25">
      <c r="A225" s="276" t="s">
        <v>63</v>
      </c>
      <c r="B225" s="275"/>
      <c r="C225" s="275"/>
      <c r="D225" s="275"/>
      <c r="E225" s="275"/>
      <c r="F225" s="275"/>
      <c r="G225" s="275"/>
      <c r="H225" s="275"/>
      <c r="I225" s="275"/>
      <c r="J225" s="275"/>
      <c r="K225" s="275"/>
      <c r="L225" s="275"/>
      <c r="M225" s="275"/>
      <c r="N225" s="275"/>
      <c r="O225" s="275"/>
      <c r="P225" s="275"/>
      <c r="Q225" s="275"/>
      <c r="R225" s="275"/>
      <c r="S225" s="275"/>
      <c r="T225" s="275"/>
      <c r="U225" s="275"/>
      <c r="V225" s="275"/>
      <c r="W225" s="275"/>
      <c r="X225" s="275"/>
      <c r="Y225" s="275"/>
      <c r="Z225" s="275"/>
      <c r="AA225" s="264"/>
      <c r="AB225" s="264"/>
      <c r="AC225" s="264"/>
    </row>
    <row r="226" spans="1:68" ht="27" customHeight="1" x14ac:dyDescent="0.25">
      <c r="A226" s="54" t="s">
        <v>315</v>
      </c>
      <c r="B226" s="54" t="s">
        <v>316</v>
      </c>
      <c r="C226" s="31">
        <v>4301071029</v>
      </c>
      <c r="D226" s="289">
        <v>4607111035899</v>
      </c>
      <c r="E226" s="290"/>
      <c r="F226" s="267">
        <v>1</v>
      </c>
      <c r="G226" s="32">
        <v>5</v>
      </c>
      <c r="H226" s="267">
        <v>5</v>
      </c>
      <c r="I226" s="267">
        <v>5.2619999999999996</v>
      </c>
      <c r="J226" s="32">
        <v>84</v>
      </c>
      <c r="K226" s="32" t="s">
        <v>66</v>
      </c>
      <c r="L226" s="32" t="s">
        <v>96</v>
      </c>
      <c r="M226" s="33" t="s">
        <v>68</v>
      </c>
      <c r="N226" s="33"/>
      <c r="O226" s="32">
        <v>180</v>
      </c>
      <c r="P226" s="415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26" s="284"/>
      <c r="R226" s="284"/>
      <c r="S226" s="284"/>
      <c r="T226" s="285"/>
      <c r="U226" s="34"/>
      <c r="V226" s="34"/>
      <c r="W226" s="35" t="s">
        <v>69</v>
      </c>
      <c r="X226" s="268">
        <v>108</v>
      </c>
      <c r="Y226" s="269">
        <f>IFERROR(IF(X226="","",X226),"")</f>
        <v>108</v>
      </c>
      <c r="Z226" s="36">
        <f>IFERROR(IF(X226="","",X226*0.0155),"")</f>
        <v>1.6739999999999999</v>
      </c>
      <c r="AA226" s="56"/>
      <c r="AB226" s="57"/>
      <c r="AC226" s="220" t="s">
        <v>256</v>
      </c>
      <c r="AG226" s="67"/>
      <c r="AJ226" s="71" t="s">
        <v>98</v>
      </c>
      <c r="AK226" s="71">
        <v>12</v>
      </c>
      <c r="BB226" s="221" t="s">
        <v>1</v>
      </c>
      <c r="BM226" s="67">
        <f>IFERROR(X226*I226,"0")</f>
        <v>568.29599999999994</v>
      </c>
      <c r="BN226" s="67">
        <f>IFERROR(Y226*I226,"0")</f>
        <v>568.29599999999994</v>
      </c>
      <c r="BO226" s="67">
        <f>IFERROR(X226/J226,"0")</f>
        <v>1.2857142857142858</v>
      </c>
      <c r="BP226" s="67">
        <f>IFERROR(Y226/J226,"0")</f>
        <v>1.2857142857142858</v>
      </c>
    </row>
    <row r="227" spans="1:68" x14ac:dyDescent="0.2">
      <c r="A227" s="292"/>
      <c r="B227" s="275"/>
      <c r="C227" s="275"/>
      <c r="D227" s="275"/>
      <c r="E227" s="275"/>
      <c r="F227" s="275"/>
      <c r="G227" s="275"/>
      <c r="H227" s="275"/>
      <c r="I227" s="275"/>
      <c r="J227" s="275"/>
      <c r="K227" s="275"/>
      <c r="L227" s="275"/>
      <c r="M227" s="275"/>
      <c r="N227" s="275"/>
      <c r="O227" s="293"/>
      <c r="P227" s="280" t="s">
        <v>82</v>
      </c>
      <c r="Q227" s="281"/>
      <c r="R227" s="281"/>
      <c r="S227" s="281"/>
      <c r="T227" s="281"/>
      <c r="U227" s="281"/>
      <c r="V227" s="282"/>
      <c r="W227" s="37" t="s">
        <v>69</v>
      </c>
      <c r="X227" s="270">
        <f>IFERROR(SUM(X226:X226),"0")</f>
        <v>108</v>
      </c>
      <c r="Y227" s="270">
        <f>IFERROR(SUM(Y226:Y226),"0")</f>
        <v>108</v>
      </c>
      <c r="Z227" s="270">
        <f>IFERROR(IF(Z226="",0,Z226),"0")</f>
        <v>1.6739999999999999</v>
      </c>
      <c r="AA227" s="271"/>
      <c r="AB227" s="271"/>
      <c r="AC227" s="271"/>
    </row>
    <row r="228" spans="1:68" x14ac:dyDescent="0.2">
      <c r="A228" s="275"/>
      <c r="B228" s="275"/>
      <c r="C228" s="275"/>
      <c r="D228" s="275"/>
      <c r="E228" s="275"/>
      <c r="F228" s="275"/>
      <c r="G228" s="275"/>
      <c r="H228" s="275"/>
      <c r="I228" s="275"/>
      <c r="J228" s="275"/>
      <c r="K228" s="275"/>
      <c r="L228" s="275"/>
      <c r="M228" s="275"/>
      <c r="N228" s="275"/>
      <c r="O228" s="293"/>
      <c r="P228" s="280" t="s">
        <v>82</v>
      </c>
      <c r="Q228" s="281"/>
      <c r="R228" s="281"/>
      <c r="S228" s="281"/>
      <c r="T228" s="281"/>
      <c r="U228" s="281"/>
      <c r="V228" s="282"/>
      <c r="W228" s="37" t="s">
        <v>83</v>
      </c>
      <c r="X228" s="270">
        <f>IFERROR(SUMPRODUCT(X226:X226*H226:H226),"0")</f>
        <v>540</v>
      </c>
      <c r="Y228" s="270">
        <f>IFERROR(SUMPRODUCT(Y226:Y226*H226:H226),"0")</f>
        <v>540</v>
      </c>
      <c r="Z228" s="37"/>
      <c r="AA228" s="271"/>
      <c r="AB228" s="271"/>
      <c r="AC228" s="271"/>
    </row>
    <row r="229" spans="1:68" ht="27.75" hidden="1" customHeight="1" x14ac:dyDescent="0.2">
      <c r="A229" s="286" t="s">
        <v>317</v>
      </c>
      <c r="B229" s="287"/>
      <c r="C229" s="287"/>
      <c r="D229" s="287"/>
      <c r="E229" s="287"/>
      <c r="F229" s="287"/>
      <c r="G229" s="287"/>
      <c r="H229" s="287"/>
      <c r="I229" s="287"/>
      <c r="J229" s="287"/>
      <c r="K229" s="287"/>
      <c r="L229" s="287"/>
      <c r="M229" s="287"/>
      <c r="N229" s="287"/>
      <c r="O229" s="287"/>
      <c r="P229" s="287"/>
      <c r="Q229" s="287"/>
      <c r="R229" s="287"/>
      <c r="S229" s="287"/>
      <c r="T229" s="287"/>
      <c r="U229" s="287"/>
      <c r="V229" s="287"/>
      <c r="W229" s="287"/>
      <c r="X229" s="287"/>
      <c r="Y229" s="287"/>
      <c r="Z229" s="287"/>
      <c r="AA229" s="48"/>
      <c r="AB229" s="48"/>
      <c r="AC229" s="48"/>
    </row>
    <row r="230" spans="1:68" ht="16.5" hidden="1" customHeight="1" x14ac:dyDescent="0.25">
      <c r="A230" s="288" t="s">
        <v>318</v>
      </c>
      <c r="B230" s="275"/>
      <c r="C230" s="275"/>
      <c r="D230" s="275"/>
      <c r="E230" s="275"/>
      <c r="F230" s="275"/>
      <c r="G230" s="275"/>
      <c r="H230" s="275"/>
      <c r="I230" s="275"/>
      <c r="J230" s="275"/>
      <c r="K230" s="275"/>
      <c r="L230" s="275"/>
      <c r="M230" s="275"/>
      <c r="N230" s="275"/>
      <c r="O230" s="275"/>
      <c r="P230" s="275"/>
      <c r="Q230" s="275"/>
      <c r="R230" s="275"/>
      <c r="S230" s="275"/>
      <c r="T230" s="275"/>
      <c r="U230" s="275"/>
      <c r="V230" s="275"/>
      <c r="W230" s="275"/>
      <c r="X230" s="275"/>
      <c r="Y230" s="275"/>
      <c r="Z230" s="275"/>
      <c r="AA230" s="263"/>
      <c r="AB230" s="263"/>
      <c r="AC230" s="263"/>
    </row>
    <row r="231" spans="1:68" ht="14.25" hidden="1" customHeight="1" x14ac:dyDescent="0.25">
      <c r="A231" s="276" t="s">
        <v>319</v>
      </c>
      <c r="B231" s="275"/>
      <c r="C231" s="275"/>
      <c r="D231" s="275"/>
      <c r="E231" s="275"/>
      <c r="F231" s="275"/>
      <c r="G231" s="275"/>
      <c r="H231" s="275"/>
      <c r="I231" s="275"/>
      <c r="J231" s="275"/>
      <c r="K231" s="275"/>
      <c r="L231" s="275"/>
      <c r="M231" s="275"/>
      <c r="N231" s="275"/>
      <c r="O231" s="275"/>
      <c r="P231" s="275"/>
      <c r="Q231" s="275"/>
      <c r="R231" s="275"/>
      <c r="S231" s="275"/>
      <c r="T231" s="275"/>
      <c r="U231" s="275"/>
      <c r="V231" s="275"/>
      <c r="W231" s="275"/>
      <c r="X231" s="275"/>
      <c r="Y231" s="275"/>
      <c r="Z231" s="275"/>
      <c r="AA231" s="264"/>
      <c r="AB231" s="264"/>
      <c r="AC231" s="264"/>
    </row>
    <row r="232" spans="1:68" ht="27" hidden="1" customHeight="1" x14ac:dyDescent="0.25">
      <c r="A232" s="54" t="s">
        <v>320</v>
      </c>
      <c r="B232" s="54" t="s">
        <v>321</v>
      </c>
      <c r="C232" s="31">
        <v>4301133004</v>
      </c>
      <c r="D232" s="289">
        <v>4607111039774</v>
      </c>
      <c r="E232" s="290"/>
      <c r="F232" s="267">
        <v>0.25</v>
      </c>
      <c r="G232" s="32">
        <v>12</v>
      </c>
      <c r="H232" s="267">
        <v>3</v>
      </c>
      <c r="I232" s="267">
        <v>3.22</v>
      </c>
      <c r="J232" s="32">
        <v>70</v>
      </c>
      <c r="K232" s="32" t="s">
        <v>95</v>
      </c>
      <c r="L232" s="32" t="s">
        <v>67</v>
      </c>
      <c r="M232" s="33" t="s">
        <v>68</v>
      </c>
      <c r="N232" s="33"/>
      <c r="O232" s="32">
        <v>180</v>
      </c>
      <c r="P232" s="39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2" s="284"/>
      <c r="R232" s="284"/>
      <c r="S232" s="284"/>
      <c r="T232" s="285"/>
      <c r="U232" s="34"/>
      <c r="V232" s="34"/>
      <c r="W232" s="35" t="s">
        <v>69</v>
      </c>
      <c r="X232" s="268">
        <v>0</v>
      </c>
      <c r="Y232" s="269">
        <f>IFERROR(IF(X232="","",X232),"")</f>
        <v>0</v>
      </c>
      <c r="Z232" s="36">
        <f>IFERROR(IF(X232="","",X232*0.01788),"")</f>
        <v>0</v>
      </c>
      <c r="AA232" s="56"/>
      <c r="AB232" s="57"/>
      <c r="AC232" s="222" t="s">
        <v>322</v>
      </c>
      <c r="AG232" s="67"/>
      <c r="AJ232" s="71" t="s">
        <v>71</v>
      </c>
      <c r="AK232" s="71">
        <v>1</v>
      </c>
      <c r="BB232" s="223" t="s">
        <v>99</v>
      </c>
      <c r="BM232" s="67">
        <f>IFERROR(X232*I232,"0")</f>
        <v>0</v>
      </c>
      <c r="BN232" s="67">
        <f>IFERROR(Y232*I232,"0")</f>
        <v>0</v>
      </c>
      <c r="BO232" s="67">
        <f>IFERROR(X232/J232,"0")</f>
        <v>0</v>
      </c>
      <c r="BP232" s="67">
        <f>IFERROR(Y232/J232,"0")</f>
        <v>0</v>
      </c>
    </row>
    <row r="233" spans="1:68" hidden="1" x14ac:dyDescent="0.2">
      <c r="A233" s="292"/>
      <c r="B233" s="275"/>
      <c r="C233" s="275"/>
      <c r="D233" s="275"/>
      <c r="E233" s="275"/>
      <c r="F233" s="275"/>
      <c r="G233" s="275"/>
      <c r="H233" s="275"/>
      <c r="I233" s="275"/>
      <c r="J233" s="275"/>
      <c r="K233" s="275"/>
      <c r="L233" s="275"/>
      <c r="M233" s="275"/>
      <c r="N233" s="275"/>
      <c r="O233" s="293"/>
      <c r="P233" s="280" t="s">
        <v>82</v>
      </c>
      <c r="Q233" s="281"/>
      <c r="R233" s="281"/>
      <c r="S233" s="281"/>
      <c r="T233" s="281"/>
      <c r="U233" s="281"/>
      <c r="V233" s="282"/>
      <c r="W233" s="37" t="s">
        <v>69</v>
      </c>
      <c r="X233" s="270">
        <f>IFERROR(SUM(X232:X232),"0")</f>
        <v>0</v>
      </c>
      <c r="Y233" s="270">
        <f>IFERROR(SUM(Y232:Y232),"0")</f>
        <v>0</v>
      </c>
      <c r="Z233" s="270">
        <f>IFERROR(IF(Z232="",0,Z232),"0")</f>
        <v>0</v>
      </c>
      <c r="AA233" s="271"/>
      <c r="AB233" s="271"/>
      <c r="AC233" s="271"/>
    </row>
    <row r="234" spans="1:68" hidden="1" x14ac:dyDescent="0.2">
      <c r="A234" s="275"/>
      <c r="B234" s="275"/>
      <c r="C234" s="275"/>
      <c r="D234" s="275"/>
      <c r="E234" s="275"/>
      <c r="F234" s="275"/>
      <c r="G234" s="275"/>
      <c r="H234" s="275"/>
      <c r="I234" s="275"/>
      <c r="J234" s="275"/>
      <c r="K234" s="275"/>
      <c r="L234" s="275"/>
      <c r="M234" s="275"/>
      <c r="N234" s="275"/>
      <c r="O234" s="293"/>
      <c r="P234" s="280" t="s">
        <v>82</v>
      </c>
      <c r="Q234" s="281"/>
      <c r="R234" s="281"/>
      <c r="S234" s="281"/>
      <c r="T234" s="281"/>
      <c r="U234" s="281"/>
      <c r="V234" s="282"/>
      <c r="W234" s="37" t="s">
        <v>83</v>
      </c>
      <c r="X234" s="270">
        <f>IFERROR(SUMPRODUCT(X232:X232*H232:H232),"0")</f>
        <v>0</v>
      </c>
      <c r="Y234" s="270">
        <f>IFERROR(SUMPRODUCT(Y232:Y232*H232:H232),"0")</f>
        <v>0</v>
      </c>
      <c r="Z234" s="37"/>
      <c r="AA234" s="271"/>
      <c r="AB234" s="271"/>
      <c r="AC234" s="271"/>
    </row>
    <row r="235" spans="1:68" ht="14.25" hidden="1" customHeight="1" x14ac:dyDescent="0.25">
      <c r="A235" s="276" t="s">
        <v>136</v>
      </c>
      <c r="B235" s="275"/>
      <c r="C235" s="275"/>
      <c r="D235" s="275"/>
      <c r="E235" s="275"/>
      <c r="F235" s="275"/>
      <c r="G235" s="275"/>
      <c r="H235" s="275"/>
      <c r="I235" s="275"/>
      <c r="J235" s="275"/>
      <c r="K235" s="275"/>
      <c r="L235" s="275"/>
      <c r="M235" s="275"/>
      <c r="N235" s="275"/>
      <c r="O235" s="275"/>
      <c r="P235" s="275"/>
      <c r="Q235" s="275"/>
      <c r="R235" s="275"/>
      <c r="S235" s="275"/>
      <c r="T235" s="275"/>
      <c r="U235" s="275"/>
      <c r="V235" s="275"/>
      <c r="W235" s="275"/>
      <c r="X235" s="275"/>
      <c r="Y235" s="275"/>
      <c r="Z235" s="275"/>
      <c r="AA235" s="264"/>
      <c r="AB235" s="264"/>
      <c r="AC235" s="264"/>
    </row>
    <row r="236" spans="1:68" ht="37.5" hidden="1" customHeight="1" x14ac:dyDescent="0.25">
      <c r="A236" s="54" t="s">
        <v>323</v>
      </c>
      <c r="B236" s="54" t="s">
        <v>324</v>
      </c>
      <c r="C236" s="31">
        <v>4301135400</v>
      </c>
      <c r="D236" s="289">
        <v>4607111039361</v>
      </c>
      <c r="E236" s="290"/>
      <c r="F236" s="267">
        <v>0.25</v>
      </c>
      <c r="G236" s="32">
        <v>12</v>
      </c>
      <c r="H236" s="267">
        <v>3</v>
      </c>
      <c r="I236" s="267">
        <v>3.7035999999999998</v>
      </c>
      <c r="J236" s="32">
        <v>70</v>
      </c>
      <c r="K236" s="32" t="s">
        <v>95</v>
      </c>
      <c r="L236" s="32" t="s">
        <v>67</v>
      </c>
      <c r="M236" s="33" t="s">
        <v>68</v>
      </c>
      <c r="N236" s="33"/>
      <c r="O236" s="32">
        <v>180</v>
      </c>
      <c r="P236" s="31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6" s="284"/>
      <c r="R236" s="284"/>
      <c r="S236" s="284"/>
      <c r="T236" s="285"/>
      <c r="U236" s="34"/>
      <c r="V236" s="34"/>
      <c r="W236" s="35" t="s">
        <v>69</v>
      </c>
      <c r="X236" s="268">
        <v>0</v>
      </c>
      <c r="Y236" s="269">
        <f>IFERROR(IF(X236="","",X236),"")</f>
        <v>0</v>
      </c>
      <c r="Z236" s="36">
        <f>IFERROR(IF(X236="","",X236*0.01788),"")</f>
        <v>0</v>
      </c>
      <c r="AA236" s="56"/>
      <c r="AB236" s="57"/>
      <c r="AC236" s="224" t="s">
        <v>322</v>
      </c>
      <c r="AG236" s="67"/>
      <c r="AJ236" s="71" t="s">
        <v>71</v>
      </c>
      <c r="AK236" s="71">
        <v>1</v>
      </c>
      <c r="BB236" s="225" t="s">
        <v>99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92"/>
      <c r="B237" s="275"/>
      <c r="C237" s="275"/>
      <c r="D237" s="275"/>
      <c r="E237" s="275"/>
      <c r="F237" s="275"/>
      <c r="G237" s="275"/>
      <c r="H237" s="275"/>
      <c r="I237" s="275"/>
      <c r="J237" s="275"/>
      <c r="K237" s="275"/>
      <c r="L237" s="275"/>
      <c r="M237" s="275"/>
      <c r="N237" s="275"/>
      <c r="O237" s="293"/>
      <c r="P237" s="280" t="s">
        <v>82</v>
      </c>
      <c r="Q237" s="281"/>
      <c r="R237" s="281"/>
      <c r="S237" s="281"/>
      <c r="T237" s="281"/>
      <c r="U237" s="281"/>
      <c r="V237" s="282"/>
      <c r="W237" s="37" t="s">
        <v>69</v>
      </c>
      <c r="X237" s="270">
        <f>IFERROR(SUM(X236:X236),"0")</f>
        <v>0</v>
      </c>
      <c r="Y237" s="270">
        <f>IFERROR(SUM(Y236:Y236),"0")</f>
        <v>0</v>
      </c>
      <c r="Z237" s="270">
        <f>IFERROR(IF(Z236="",0,Z236),"0")</f>
        <v>0</v>
      </c>
      <c r="AA237" s="271"/>
      <c r="AB237" s="271"/>
      <c r="AC237" s="271"/>
    </row>
    <row r="238" spans="1:68" hidden="1" x14ac:dyDescent="0.2">
      <c r="A238" s="275"/>
      <c r="B238" s="275"/>
      <c r="C238" s="275"/>
      <c r="D238" s="275"/>
      <c r="E238" s="275"/>
      <c r="F238" s="275"/>
      <c r="G238" s="275"/>
      <c r="H238" s="275"/>
      <c r="I238" s="275"/>
      <c r="J238" s="275"/>
      <c r="K238" s="275"/>
      <c r="L238" s="275"/>
      <c r="M238" s="275"/>
      <c r="N238" s="275"/>
      <c r="O238" s="293"/>
      <c r="P238" s="280" t="s">
        <v>82</v>
      </c>
      <c r="Q238" s="281"/>
      <c r="R238" s="281"/>
      <c r="S238" s="281"/>
      <c r="T238" s="281"/>
      <c r="U238" s="281"/>
      <c r="V238" s="282"/>
      <c r="W238" s="37" t="s">
        <v>83</v>
      </c>
      <c r="X238" s="270">
        <f>IFERROR(SUMPRODUCT(X236:X236*H236:H236),"0")</f>
        <v>0</v>
      </c>
      <c r="Y238" s="270">
        <f>IFERROR(SUMPRODUCT(Y236:Y236*H236:H236),"0")</f>
        <v>0</v>
      </c>
      <c r="Z238" s="37"/>
      <c r="AA238" s="271"/>
      <c r="AB238" s="271"/>
      <c r="AC238" s="271"/>
    </row>
    <row r="239" spans="1:68" ht="27.75" hidden="1" customHeight="1" x14ac:dyDescent="0.2">
      <c r="A239" s="286" t="s">
        <v>325</v>
      </c>
      <c r="B239" s="287"/>
      <c r="C239" s="287"/>
      <c r="D239" s="287"/>
      <c r="E239" s="287"/>
      <c r="F239" s="287"/>
      <c r="G239" s="287"/>
      <c r="H239" s="287"/>
      <c r="I239" s="287"/>
      <c r="J239" s="287"/>
      <c r="K239" s="287"/>
      <c r="L239" s="287"/>
      <c r="M239" s="287"/>
      <c r="N239" s="287"/>
      <c r="O239" s="287"/>
      <c r="P239" s="287"/>
      <c r="Q239" s="287"/>
      <c r="R239" s="287"/>
      <c r="S239" s="287"/>
      <c r="T239" s="287"/>
      <c r="U239" s="287"/>
      <c r="V239" s="287"/>
      <c r="W239" s="287"/>
      <c r="X239" s="287"/>
      <c r="Y239" s="287"/>
      <c r="Z239" s="287"/>
      <c r="AA239" s="48"/>
      <c r="AB239" s="48"/>
      <c r="AC239" s="48"/>
    </row>
    <row r="240" spans="1:68" ht="16.5" hidden="1" customHeight="1" x14ac:dyDescent="0.25">
      <c r="A240" s="288" t="s">
        <v>325</v>
      </c>
      <c r="B240" s="275"/>
      <c r="C240" s="275"/>
      <c r="D240" s="275"/>
      <c r="E240" s="275"/>
      <c r="F240" s="275"/>
      <c r="G240" s="275"/>
      <c r="H240" s="275"/>
      <c r="I240" s="275"/>
      <c r="J240" s="275"/>
      <c r="K240" s="275"/>
      <c r="L240" s="275"/>
      <c r="M240" s="275"/>
      <c r="N240" s="275"/>
      <c r="O240" s="275"/>
      <c r="P240" s="275"/>
      <c r="Q240" s="275"/>
      <c r="R240" s="275"/>
      <c r="S240" s="275"/>
      <c r="T240" s="275"/>
      <c r="U240" s="275"/>
      <c r="V240" s="275"/>
      <c r="W240" s="275"/>
      <c r="X240" s="275"/>
      <c r="Y240" s="275"/>
      <c r="Z240" s="275"/>
      <c r="AA240" s="263"/>
      <c r="AB240" s="263"/>
      <c r="AC240" s="263"/>
    </row>
    <row r="241" spans="1:68" ht="14.25" hidden="1" customHeight="1" x14ac:dyDescent="0.25">
      <c r="A241" s="276" t="s">
        <v>63</v>
      </c>
      <c r="B241" s="275"/>
      <c r="C241" s="275"/>
      <c r="D241" s="275"/>
      <c r="E241" s="275"/>
      <c r="F241" s="275"/>
      <c r="G241" s="275"/>
      <c r="H241" s="275"/>
      <c r="I241" s="275"/>
      <c r="J241" s="275"/>
      <c r="K241" s="275"/>
      <c r="L241" s="275"/>
      <c r="M241" s="275"/>
      <c r="N241" s="275"/>
      <c r="O241" s="275"/>
      <c r="P241" s="275"/>
      <c r="Q241" s="275"/>
      <c r="R241" s="275"/>
      <c r="S241" s="275"/>
      <c r="T241" s="275"/>
      <c r="U241" s="275"/>
      <c r="V241" s="275"/>
      <c r="W241" s="275"/>
      <c r="X241" s="275"/>
      <c r="Y241" s="275"/>
      <c r="Z241" s="275"/>
      <c r="AA241" s="264"/>
      <c r="AB241" s="264"/>
      <c r="AC241" s="264"/>
    </row>
    <row r="242" spans="1:68" ht="27" hidden="1" customHeight="1" x14ac:dyDescent="0.25">
      <c r="A242" s="54" t="s">
        <v>326</v>
      </c>
      <c r="B242" s="54" t="s">
        <v>327</v>
      </c>
      <c r="C242" s="31">
        <v>4301071014</v>
      </c>
      <c r="D242" s="289">
        <v>4640242181264</v>
      </c>
      <c r="E242" s="290"/>
      <c r="F242" s="267">
        <v>0.7</v>
      </c>
      <c r="G242" s="32">
        <v>10</v>
      </c>
      <c r="H242" s="267">
        <v>7</v>
      </c>
      <c r="I242" s="267">
        <v>7.28</v>
      </c>
      <c r="J242" s="32">
        <v>84</v>
      </c>
      <c r="K242" s="32" t="s">
        <v>66</v>
      </c>
      <c r="L242" s="32" t="s">
        <v>67</v>
      </c>
      <c r="M242" s="33" t="s">
        <v>68</v>
      </c>
      <c r="N242" s="33"/>
      <c r="O242" s="32">
        <v>180</v>
      </c>
      <c r="P242" s="331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2" s="284"/>
      <c r="R242" s="284"/>
      <c r="S242" s="284"/>
      <c r="T242" s="285"/>
      <c r="U242" s="34"/>
      <c r="V242" s="34"/>
      <c r="W242" s="35" t="s">
        <v>69</v>
      </c>
      <c r="X242" s="268">
        <v>0</v>
      </c>
      <c r="Y242" s="269">
        <f>IFERROR(IF(X242="","",X242),"")</f>
        <v>0</v>
      </c>
      <c r="Z242" s="36">
        <f>IFERROR(IF(X242="","",X242*0.0155),"")</f>
        <v>0</v>
      </c>
      <c r="AA242" s="56"/>
      <c r="AB242" s="57"/>
      <c r="AC242" s="226" t="s">
        <v>328</v>
      </c>
      <c r="AG242" s="67"/>
      <c r="AJ242" s="71" t="s">
        <v>71</v>
      </c>
      <c r="AK242" s="71">
        <v>1</v>
      </c>
      <c r="BB242" s="227" t="s">
        <v>1</v>
      </c>
      <c r="BM242" s="67">
        <f>IFERROR(X242*I242,"0")</f>
        <v>0</v>
      </c>
      <c r="BN242" s="67">
        <f>IFERROR(Y242*I242,"0")</f>
        <v>0</v>
      </c>
      <c r="BO242" s="67">
        <f>IFERROR(X242/J242,"0")</f>
        <v>0</v>
      </c>
      <c r="BP242" s="67">
        <f>IFERROR(Y242/J242,"0")</f>
        <v>0</v>
      </c>
    </row>
    <row r="243" spans="1:68" ht="27" customHeight="1" x14ac:dyDescent="0.25">
      <c r="A243" s="54" t="s">
        <v>329</v>
      </c>
      <c r="B243" s="54" t="s">
        <v>330</v>
      </c>
      <c r="C243" s="31">
        <v>4301071021</v>
      </c>
      <c r="D243" s="289">
        <v>4640242181325</v>
      </c>
      <c r="E243" s="290"/>
      <c r="F243" s="267">
        <v>0.7</v>
      </c>
      <c r="G243" s="32">
        <v>10</v>
      </c>
      <c r="H243" s="267">
        <v>7</v>
      </c>
      <c r="I243" s="267">
        <v>7.28</v>
      </c>
      <c r="J243" s="32">
        <v>84</v>
      </c>
      <c r="K243" s="32" t="s">
        <v>66</v>
      </c>
      <c r="L243" s="32" t="s">
        <v>96</v>
      </c>
      <c r="M243" s="33" t="s">
        <v>68</v>
      </c>
      <c r="N243" s="33"/>
      <c r="O243" s="32">
        <v>180</v>
      </c>
      <c r="P243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3" s="284"/>
      <c r="R243" s="284"/>
      <c r="S243" s="284"/>
      <c r="T243" s="285"/>
      <c r="U243" s="34"/>
      <c r="V243" s="34"/>
      <c r="W243" s="35" t="s">
        <v>69</v>
      </c>
      <c r="X243" s="268">
        <v>84</v>
      </c>
      <c r="Y243" s="269">
        <f>IFERROR(IF(X243="","",X243),"")</f>
        <v>84</v>
      </c>
      <c r="Z243" s="36">
        <f>IFERROR(IF(X243="","",X243*0.0155),"")</f>
        <v>1.302</v>
      </c>
      <c r="AA243" s="56"/>
      <c r="AB243" s="57"/>
      <c r="AC243" s="228" t="s">
        <v>328</v>
      </c>
      <c r="AG243" s="67"/>
      <c r="AJ243" s="71" t="s">
        <v>98</v>
      </c>
      <c r="AK243" s="71">
        <v>12</v>
      </c>
      <c r="BB243" s="229" t="s">
        <v>1</v>
      </c>
      <c r="BM243" s="67">
        <f>IFERROR(X243*I243,"0")</f>
        <v>611.52</v>
      </c>
      <c r="BN243" s="67">
        <f>IFERROR(Y243*I243,"0")</f>
        <v>611.52</v>
      </c>
      <c r="BO243" s="67">
        <f>IFERROR(X243/J243,"0")</f>
        <v>1</v>
      </c>
      <c r="BP243" s="67">
        <f>IFERROR(Y243/J243,"0")</f>
        <v>1</v>
      </c>
    </row>
    <row r="244" spans="1:68" x14ac:dyDescent="0.2">
      <c r="A244" s="292"/>
      <c r="B244" s="275"/>
      <c r="C244" s="275"/>
      <c r="D244" s="275"/>
      <c r="E244" s="275"/>
      <c r="F244" s="275"/>
      <c r="G244" s="275"/>
      <c r="H244" s="275"/>
      <c r="I244" s="275"/>
      <c r="J244" s="275"/>
      <c r="K244" s="275"/>
      <c r="L244" s="275"/>
      <c r="M244" s="275"/>
      <c r="N244" s="275"/>
      <c r="O244" s="293"/>
      <c r="P244" s="280" t="s">
        <v>82</v>
      </c>
      <c r="Q244" s="281"/>
      <c r="R244" s="281"/>
      <c r="S244" s="281"/>
      <c r="T244" s="281"/>
      <c r="U244" s="281"/>
      <c r="V244" s="282"/>
      <c r="W244" s="37" t="s">
        <v>69</v>
      </c>
      <c r="X244" s="270">
        <f>IFERROR(SUM(X242:X243),"0")</f>
        <v>84</v>
      </c>
      <c r="Y244" s="270">
        <f>IFERROR(SUM(Y242:Y243),"0")</f>
        <v>84</v>
      </c>
      <c r="Z244" s="270">
        <f>IFERROR(IF(Z242="",0,Z242),"0")+IFERROR(IF(Z243="",0,Z243),"0")</f>
        <v>1.302</v>
      </c>
      <c r="AA244" s="271"/>
      <c r="AB244" s="271"/>
      <c r="AC244" s="271"/>
    </row>
    <row r="245" spans="1:68" x14ac:dyDescent="0.2">
      <c r="A245" s="275"/>
      <c r="B245" s="275"/>
      <c r="C245" s="275"/>
      <c r="D245" s="275"/>
      <c r="E245" s="275"/>
      <c r="F245" s="275"/>
      <c r="G245" s="275"/>
      <c r="H245" s="275"/>
      <c r="I245" s="275"/>
      <c r="J245" s="275"/>
      <c r="K245" s="275"/>
      <c r="L245" s="275"/>
      <c r="M245" s="275"/>
      <c r="N245" s="275"/>
      <c r="O245" s="293"/>
      <c r="P245" s="280" t="s">
        <v>82</v>
      </c>
      <c r="Q245" s="281"/>
      <c r="R245" s="281"/>
      <c r="S245" s="281"/>
      <c r="T245" s="281"/>
      <c r="U245" s="281"/>
      <c r="V245" s="282"/>
      <c r="W245" s="37" t="s">
        <v>83</v>
      </c>
      <c r="X245" s="270">
        <f>IFERROR(SUMPRODUCT(X242:X243*H242:H243),"0")</f>
        <v>588</v>
      </c>
      <c r="Y245" s="270">
        <f>IFERROR(SUMPRODUCT(Y242:Y243*H242:H243),"0")</f>
        <v>588</v>
      </c>
      <c r="Z245" s="37"/>
      <c r="AA245" s="271"/>
      <c r="AB245" s="271"/>
      <c r="AC245" s="271"/>
    </row>
    <row r="246" spans="1:68" ht="14.25" hidden="1" customHeight="1" x14ac:dyDescent="0.25">
      <c r="A246" s="276" t="s">
        <v>92</v>
      </c>
      <c r="B246" s="275"/>
      <c r="C246" s="275"/>
      <c r="D246" s="275"/>
      <c r="E246" s="275"/>
      <c r="F246" s="275"/>
      <c r="G246" s="275"/>
      <c r="H246" s="275"/>
      <c r="I246" s="275"/>
      <c r="J246" s="275"/>
      <c r="K246" s="275"/>
      <c r="L246" s="275"/>
      <c r="M246" s="275"/>
      <c r="N246" s="275"/>
      <c r="O246" s="275"/>
      <c r="P246" s="275"/>
      <c r="Q246" s="275"/>
      <c r="R246" s="275"/>
      <c r="S246" s="275"/>
      <c r="T246" s="275"/>
      <c r="U246" s="275"/>
      <c r="V246" s="275"/>
      <c r="W246" s="275"/>
      <c r="X246" s="275"/>
      <c r="Y246" s="275"/>
      <c r="Z246" s="275"/>
      <c r="AA246" s="264"/>
      <c r="AB246" s="264"/>
      <c r="AC246" s="264"/>
    </row>
    <row r="247" spans="1:68" ht="27" customHeight="1" x14ac:dyDescent="0.25">
      <c r="A247" s="54" t="s">
        <v>331</v>
      </c>
      <c r="B247" s="54" t="s">
        <v>332</v>
      </c>
      <c r="C247" s="31">
        <v>4301132080</v>
      </c>
      <c r="D247" s="289">
        <v>4640242180397</v>
      </c>
      <c r="E247" s="290"/>
      <c r="F247" s="267">
        <v>1</v>
      </c>
      <c r="G247" s="32">
        <v>6</v>
      </c>
      <c r="H247" s="267">
        <v>6</v>
      </c>
      <c r="I247" s="267">
        <v>6.26</v>
      </c>
      <c r="J247" s="32">
        <v>84</v>
      </c>
      <c r="K247" s="32" t="s">
        <v>66</v>
      </c>
      <c r="L247" s="32" t="s">
        <v>96</v>
      </c>
      <c r="M247" s="33" t="s">
        <v>68</v>
      </c>
      <c r="N247" s="33"/>
      <c r="O247" s="32">
        <v>180</v>
      </c>
      <c r="P247" s="428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47" s="284"/>
      <c r="R247" s="284"/>
      <c r="S247" s="284"/>
      <c r="T247" s="285"/>
      <c r="U247" s="34"/>
      <c r="V247" s="34"/>
      <c r="W247" s="35" t="s">
        <v>69</v>
      </c>
      <c r="X247" s="268">
        <v>60</v>
      </c>
      <c r="Y247" s="269">
        <f>IFERROR(IF(X247="","",X247),"")</f>
        <v>60</v>
      </c>
      <c r="Z247" s="36">
        <f>IFERROR(IF(X247="","",X247*0.0155),"")</f>
        <v>0.92999999999999994</v>
      </c>
      <c r="AA247" s="56"/>
      <c r="AB247" s="57"/>
      <c r="AC247" s="230" t="s">
        <v>333</v>
      </c>
      <c r="AG247" s="67"/>
      <c r="AJ247" s="71" t="s">
        <v>98</v>
      </c>
      <c r="AK247" s="71">
        <v>12</v>
      </c>
      <c r="BB247" s="231" t="s">
        <v>99</v>
      </c>
      <c r="BM247" s="67">
        <f>IFERROR(X247*I247,"0")</f>
        <v>375.59999999999997</v>
      </c>
      <c r="BN247" s="67">
        <f>IFERROR(Y247*I247,"0")</f>
        <v>375.59999999999997</v>
      </c>
      <c r="BO247" s="67">
        <f>IFERROR(X247/J247,"0")</f>
        <v>0.7142857142857143</v>
      </c>
      <c r="BP247" s="67">
        <f>IFERROR(Y247/J247,"0")</f>
        <v>0.7142857142857143</v>
      </c>
    </row>
    <row r="248" spans="1:68" ht="27" hidden="1" customHeight="1" x14ac:dyDescent="0.25">
      <c r="A248" s="54" t="s">
        <v>334</v>
      </c>
      <c r="B248" s="54" t="s">
        <v>335</v>
      </c>
      <c r="C248" s="31">
        <v>4301132104</v>
      </c>
      <c r="D248" s="289">
        <v>4640242181219</v>
      </c>
      <c r="E248" s="290"/>
      <c r="F248" s="267">
        <v>0.3</v>
      </c>
      <c r="G248" s="32">
        <v>9</v>
      </c>
      <c r="H248" s="267">
        <v>2.7</v>
      </c>
      <c r="I248" s="267">
        <v>2.8450000000000002</v>
      </c>
      <c r="J248" s="32">
        <v>234</v>
      </c>
      <c r="K248" s="32" t="s">
        <v>147</v>
      </c>
      <c r="L248" s="32" t="s">
        <v>67</v>
      </c>
      <c r="M248" s="33" t="s">
        <v>68</v>
      </c>
      <c r="N248" s="33"/>
      <c r="O248" s="32">
        <v>180</v>
      </c>
      <c r="P248" s="387" t="str">
        <f>HYPERLINK("https://abi.ru/products/Замороженные/Зареченские продукты/Зареченские продукты/Наггетсы/P004190/","Наггетсы «Хрустящие» Фикс.вес 0,3 ф/п ТМ «Зареченские»")</f>
        <v>Наггетсы «Хрустящие» Фикс.вес 0,3 ф/п ТМ «Зареченские»</v>
      </c>
      <c r="Q248" s="284"/>
      <c r="R248" s="284"/>
      <c r="S248" s="284"/>
      <c r="T248" s="285"/>
      <c r="U248" s="34"/>
      <c r="V248" s="34"/>
      <c r="W248" s="35" t="s">
        <v>69</v>
      </c>
      <c r="X248" s="268">
        <v>0</v>
      </c>
      <c r="Y248" s="269">
        <f>IFERROR(IF(X248="","",X248),"")</f>
        <v>0</v>
      </c>
      <c r="Z248" s="36">
        <f>IFERROR(IF(X248="","",X248*0.00502),"")</f>
        <v>0</v>
      </c>
      <c r="AA248" s="56"/>
      <c r="AB248" s="57"/>
      <c r="AC248" s="232" t="s">
        <v>333</v>
      </c>
      <c r="AG248" s="67"/>
      <c r="AJ248" s="71" t="s">
        <v>71</v>
      </c>
      <c r="AK248" s="71">
        <v>1</v>
      </c>
      <c r="BB248" s="233" t="s">
        <v>99</v>
      </c>
      <c r="BM248" s="67">
        <f>IFERROR(X248*I248,"0")</f>
        <v>0</v>
      </c>
      <c r="BN248" s="67">
        <f>IFERROR(Y248*I248,"0")</f>
        <v>0</v>
      </c>
      <c r="BO248" s="67">
        <f>IFERROR(X248/J248,"0")</f>
        <v>0</v>
      </c>
      <c r="BP248" s="67">
        <f>IFERROR(Y248/J248,"0")</f>
        <v>0</v>
      </c>
    </row>
    <row r="249" spans="1:68" x14ac:dyDescent="0.2">
      <c r="A249" s="292"/>
      <c r="B249" s="275"/>
      <c r="C249" s="275"/>
      <c r="D249" s="275"/>
      <c r="E249" s="275"/>
      <c r="F249" s="275"/>
      <c r="G249" s="275"/>
      <c r="H249" s="275"/>
      <c r="I249" s="275"/>
      <c r="J249" s="275"/>
      <c r="K249" s="275"/>
      <c r="L249" s="275"/>
      <c r="M249" s="275"/>
      <c r="N249" s="275"/>
      <c r="O249" s="293"/>
      <c r="P249" s="280" t="s">
        <v>82</v>
      </c>
      <c r="Q249" s="281"/>
      <c r="R249" s="281"/>
      <c r="S249" s="281"/>
      <c r="T249" s="281"/>
      <c r="U249" s="281"/>
      <c r="V249" s="282"/>
      <c r="W249" s="37" t="s">
        <v>69</v>
      </c>
      <c r="X249" s="270">
        <f>IFERROR(SUM(X247:X248),"0")</f>
        <v>60</v>
      </c>
      <c r="Y249" s="270">
        <f>IFERROR(SUM(Y247:Y248),"0")</f>
        <v>60</v>
      </c>
      <c r="Z249" s="270">
        <f>IFERROR(IF(Z247="",0,Z247),"0")+IFERROR(IF(Z248="",0,Z248),"0")</f>
        <v>0.92999999999999994</v>
      </c>
      <c r="AA249" s="271"/>
      <c r="AB249" s="271"/>
      <c r="AC249" s="271"/>
    </row>
    <row r="250" spans="1:68" x14ac:dyDescent="0.2">
      <c r="A250" s="275"/>
      <c r="B250" s="275"/>
      <c r="C250" s="275"/>
      <c r="D250" s="275"/>
      <c r="E250" s="275"/>
      <c r="F250" s="275"/>
      <c r="G250" s="275"/>
      <c r="H250" s="275"/>
      <c r="I250" s="275"/>
      <c r="J250" s="275"/>
      <c r="K250" s="275"/>
      <c r="L250" s="275"/>
      <c r="M250" s="275"/>
      <c r="N250" s="275"/>
      <c r="O250" s="293"/>
      <c r="P250" s="280" t="s">
        <v>82</v>
      </c>
      <c r="Q250" s="281"/>
      <c r="R250" s="281"/>
      <c r="S250" s="281"/>
      <c r="T250" s="281"/>
      <c r="U250" s="281"/>
      <c r="V250" s="282"/>
      <c r="W250" s="37" t="s">
        <v>83</v>
      </c>
      <c r="X250" s="270">
        <f>IFERROR(SUMPRODUCT(X247:X248*H247:H248),"0")</f>
        <v>360</v>
      </c>
      <c r="Y250" s="270">
        <f>IFERROR(SUMPRODUCT(Y247:Y248*H247:H248),"0")</f>
        <v>360</v>
      </c>
      <c r="Z250" s="37"/>
      <c r="AA250" s="271"/>
      <c r="AB250" s="271"/>
      <c r="AC250" s="271"/>
    </row>
    <row r="251" spans="1:68" ht="14.25" hidden="1" customHeight="1" x14ac:dyDescent="0.25">
      <c r="A251" s="276" t="s">
        <v>130</v>
      </c>
      <c r="B251" s="275"/>
      <c r="C251" s="275"/>
      <c r="D251" s="275"/>
      <c r="E251" s="275"/>
      <c r="F251" s="275"/>
      <c r="G251" s="275"/>
      <c r="H251" s="275"/>
      <c r="I251" s="275"/>
      <c r="J251" s="275"/>
      <c r="K251" s="275"/>
      <c r="L251" s="275"/>
      <c r="M251" s="275"/>
      <c r="N251" s="275"/>
      <c r="O251" s="275"/>
      <c r="P251" s="275"/>
      <c r="Q251" s="275"/>
      <c r="R251" s="275"/>
      <c r="S251" s="275"/>
      <c r="T251" s="275"/>
      <c r="U251" s="275"/>
      <c r="V251" s="275"/>
      <c r="W251" s="275"/>
      <c r="X251" s="275"/>
      <c r="Y251" s="275"/>
      <c r="Z251" s="275"/>
      <c r="AA251" s="264"/>
      <c r="AB251" s="264"/>
      <c r="AC251" s="264"/>
    </row>
    <row r="252" spans="1:68" ht="27" hidden="1" customHeight="1" x14ac:dyDescent="0.25">
      <c r="A252" s="54" t="s">
        <v>336</v>
      </c>
      <c r="B252" s="54" t="s">
        <v>337</v>
      </c>
      <c r="C252" s="31">
        <v>4301136051</v>
      </c>
      <c r="D252" s="289">
        <v>4640242180304</v>
      </c>
      <c r="E252" s="290"/>
      <c r="F252" s="267">
        <v>2.7</v>
      </c>
      <c r="G252" s="32">
        <v>1</v>
      </c>
      <c r="H252" s="267">
        <v>2.7</v>
      </c>
      <c r="I252" s="267">
        <v>2.8906000000000001</v>
      </c>
      <c r="J252" s="32">
        <v>126</v>
      </c>
      <c r="K252" s="32" t="s">
        <v>95</v>
      </c>
      <c r="L252" s="32" t="s">
        <v>96</v>
      </c>
      <c r="M252" s="33" t="s">
        <v>68</v>
      </c>
      <c r="N252" s="33"/>
      <c r="O252" s="32">
        <v>180</v>
      </c>
      <c r="P252" s="30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2" s="284"/>
      <c r="R252" s="284"/>
      <c r="S252" s="284"/>
      <c r="T252" s="285"/>
      <c r="U252" s="34"/>
      <c r="V252" s="34"/>
      <c r="W252" s="35" t="s">
        <v>69</v>
      </c>
      <c r="X252" s="268">
        <v>0</v>
      </c>
      <c r="Y252" s="269">
        <f>IFERROR(IF(X252="","",X252),"")</f>
        <v>0</v>
      </c>
      <c r="Z252" s="36">
        <f>IFERROR(IF(X252="","",X252*0.00936),"")</f>
        <v>0</v>
      </c>
      <c r="AA252" s="56"/>
      <c r="AB252" s="57"/>
      <c r="AC252" s="234" t="s">
        <v>338</v>
      </c>
      <c r="AG252" s="67"/>
      <c r="AJ252" s="71" t="s">
        <v>98</v>
      </c>
      <c r="AK252" s="71">
        <v>14</v>
      </c>
      <c r="BB252" s="235" t="s">
        <v>99</v>
      </c>
      <c r="BM252" s="67">
        <f>IFERROR(X252*I252,"0")</f>
        <v>0</v>
      </c>
      <c r="BN252" s="67">
        <f>IFERROR(Y252*I252,"0")</f>
        <v>0</v>
      </c>
      <c r="BO252" s="67">
        <f>IFERROR(X252/J252,"0")</f>
        <v>0</v>
      </c>
      <c r="BP252" s="67">
        <f>IFERROR(Y252/J252,"0")</f>
        <v>0</v>
      </c>
    </row>
    <row r="253" spans="1:68" ht="27" hidden="1" customHeight="1" x14ac:dyDescent="0.25">
      <c r="A253" s="54" t="s">
        <v>339</v>
      </c>
      <c r="B253" s="54" t="s">
        <v>340</v>
      </c>
      <c r="C253" s="31">
        <v>4301136053</v>
      </c>
      <c r="D253" s="289">
        <v>4640242180236</v>
      </c>
      <c r="E253" s="290"/>
      <c r="F253" s="267">
        <v>5</v>
      </c>
      <c r="G253" s="32">
        <v>1</v>
      </c>
      <c r="H253" s="267">
        <v>5</v>
      </c>
      <c r="I253" s="267">
        <v>5.2350000000000003</v>
      </c>
      <c r="J253" s="32">
        <v>84</v>
      </c>
      <c r="K253" s="32" t="s">
        <v>66</v>
      </c>
      <c r="L253" s="32" t="s">
        <v>96</v>
      </c>
      <c r="M253" s="33" t="s">
        <v>68</v>
      </c>
      <c r="N253" s="33"/>
      <c r="O253" s="32">
        <v>180</v>
      </c>
      <c r="P253" s="438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3" s="284"/>
      <c r="R253" s="284"/>
      <c r="S253" s="284"/>
      <c r="T253" s="285"/>
      <c r="U253" s="34"/>
      <c r="V253" s="34"/>
      <c r="W253" s="35" t="s">
        <v>69</v>
      </c>
      <c r="X253" s="268">
        <v>0</v>
      </c>
      <c r="Y253" s="269">
        <f>IFERROR(IF(X253="","",X253),"")</f>
        <v>0</v>
      </c>
      <c r="Z253" s="36">
        <f>IFERROR(IF(X253="","",X253*0.0155),"")</f>
        <v>0</v>
      </c>
      <c r="AA253" s="56"/>
      <c r="AB253" s="57"/>
      <c r="AC253" s="236" t="s">
        <v>338</v>
      </c>
      <c r="AG253" s="67"/>
      <c r="AJ253" s="71" t="s">
        <v>98</v>
      </c>
      <c r="AK253" s="71">
        <v>12</v>
      </c>
      <c r="BB253" s="237" t="s">
        <v>99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hidden="1" customHeight="1" x14ac:dyDescent="0.25">
      <c r="A254" s="54" t="s">
        <v>341</v>
      </c>
      <c r="B254" s="54" t="s">
        <v>342</v>
      </c>
      <c r="C254" s="31">
        <v>4301136052</v>
      </c>
      <c r="D254" s="289">
        <v>4640242180410</v>
      </c>
      <c r="E254" s="290"/>
      <c r="F254" s="267">
        <v>2.2400000000000002</v>
      </c>
      <c r="G254" s="32">
        <v>1</v>
      </c>
      <c r="H254" s="267">
        <v>2.2400000000000002</v>
      </c>
      <c r="I254" s="267">
        <v>2.4319999999999999</v>
      </c>
      <c r="J254" s="32">
        <v>126</v>
      </c>
      <c r="K254" s="32" t="s">
        <v>95</v>
      </c>
      <c r="L254" s="32" t="s">
        <v>67</v>
      </c>
      <c r="M254" s="33" t="s">
        <v>68</v>
      </c>
      <c r="N254" s="33"/>
      <c r="O254" s="32">
        <v>180</v>
      </c>
      <c r="P254" s="403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4" s="284"/>
      <c r="R254" s="284"/>
      <c r="S254" s="284"/>
      <c r="T254" s="285"/>
      <c r="U254" s="34"/>
      <c r="V254" s="34"/>
      <c r="W254" s="35" t="s">
        <v>69</v>
      </c>
      <c r="X254" s="268">
        <v>0</v>
      </c>
      <c r="Y254" s="269">
        <f>IFERROR(IF(X254="","",X254),"")</f>
        <v>0</v>
      </c>
      <c r="Z254" s="36">
        <f>IFERROR(IF(X254="","",X254*0.00936),"")</f>
        <v>0</v>
      </c>
      <c r="AA254" s="56"/>
      <c r="AB254" s="57"/>
      <c r="AC254" s="238" t="s">
        <v>338</v>
      </c>
      <c r="AG254" s="67"/>
      <c r="AJ254" s="71" t="s">
        <v>71</v>
      </c>
      <c r="AK254" s="71">
        <v>1</v>
      </c>
      <c r="BB254" s="239" t="s">
        <v>99</v>
      </c>
      <c r="BM254" s="67">
        <f>IFERROR(X254*I254,"0")</f>
        <v>0</v>
      </c>
      <c r="BN254" s="67">
        <f>IFERROR(Y254*I254,"0")</f>
        <v>0</v>
      </c>
      <c r="BO254" s="67">
        <f>IFERROR(X254/J254,"0")</f>
        <v>0</v>
      </c>
      <c r="BP254" s="67">
        <f>IFERROR(Y254/J254,"0")</f>
        <v>0</v>
      </c>
    </row>
    <row r="255" spans="1:68" hidden="1" x14ac:dyDescent="0.2">
      <c r="A255" s="292"/>
      <c r="B255" s="275"/>
      <c r="C255" s="275"/>
      <c r="D255" s="275"/>
      <c r="E255" s="275"/>
      <c r="F255" s="275"/>
      <c r="G255" s="275"/>
      <c r="H255" s="275"/>
      <c r="I255" s="275"/>
      <c r="J255" s="275"/>
      <c r="K255" s="275"/>
      <c r="L255" s="275"/>
      <c r="M255" s="275"/>
      <c r="N255" s="275"/>
      <c r="O255" s="293"/>
      <c r="P255" s="280" t="s">
        <v>82</v>
      </c>
      <c r="Q255" s="281"/>
      <c r="R255" s="281"/>
      <c r="S255" s="281"/>
      <c r="T255" s="281"/>
      <c r="U255" s="281"/>
      <c r="V255" s="282"/>
      <c r="W255" s="37" t="s">
        <v>69</v>
      </c>
      <c r="X255" s="270">
        <f>IFERROR(SUM(X252:X254),"0")</f>
        <v>0</v>
      </c>
      <c r="Y255" s="270">
        <f>IFERROR(SUM(Y252:Y254),"0")</f>
        <v>0</v>
      </c>
      <c r="Z255" s="270">
        <f>IFERROR(IF(Z252="",0,Z252),"0")+IFERROR(IF(Z253="",0,Z253),"0")+IFERROR(IF(Z254="",0,Z254),"0")</f>
        <v>0</v>
      </c>
      <c r="AA255" s="271"/>
      <c r="AB255" s="271"/>
      <c r="AC255" s="271"/>
    </row>
    <row r="256" spans="1:68" hidden="1" x14ac:dyDescent="0.2">
      <c r="A256" s="275"/>
      <c r="B256" s="275"/>
      <c r="C256" s="275"/>
      <c r="D256" s="275"/>
      <c r="E256" s="275"/>
      <c r="F256" s="275"/>
      <c r="G256" s="275"/>
      <c r="H256" s="275"/>
      <c r="I256" s="275"/>
      <c r="J256" s="275"/>
      <c r="K256" s="275"/>
      <c r="L256" s="275"/>
      <c r="M256" s="275"/>
      <c r="N256" s="275"/>
      <c r="O256" s="293"/>
      <c r="P256" s="280" t="s">
        <v>82</v>
      </c>
      <c r="Q256" s="281"/>
      <c r="R256" s="281"/>
      <c r="S256" s="281"/>
      <c r="T256" s="281"/>
      <c r="U256" s="281"/>
      <c r="V256" s="282"/>
      <c r="W256" s="37" t="s">
        <v>83</v>
      </c>
      <c r="X256" s="270">
        <f>IFERROR(SUMPRODUCT(X252:X254*H252:H254),"0")</f>
        <v>0</v>
      </c>
      <c r="Y256" s="270">
        <f>IFERROR(SUMPRODUCT(Y252:Y254*H252:H254),"0")</f>
        <v>0</v>
      </c>
      <c r="Z256" s="37"/>
      <c r="AA256" s="271"/>
      <c r="AB256" s="271"/>
      <c r="AC256" s="271"/>
    </row>
    <row r="257" spans="1:68" ht="14.25" hidden="1" customHeight="1" x14ac:dyDescent="0.25">
      <c r="A257" s="276" t="s">
        <v>136</v>
      </c>
      <c r="B257" s="275"/>
      <c r="C257" s="275"/>
      <c r="D257" s="275"/>
      <c r="E257" s="275"/>
      <c r="F257" s="275"/>
      <c r="G257" s="275"/>
      <c r="H257" s="275"/>
      <c r="I257" s="275"/>
      <c r="J257" s="275"/>
      <c r="K257" s="275"/>
      <c r="L257" s="275"/>
      <c r="M257" s="275"/>
      <c r="N257" s="275"/>
      <c r="O257" s="275"/>
      <c r="P257" s="275"/>
      <c r="Q257" s="275"/>
      <c r="R257" s="275"/>
      <c r="S257" s="275"/>
      <c r="T257" s="275"/>
      <c r="U257" s="275"/>
      <c r="V257" s="275"/>
      <c r="W257" s="275"/>
      <c r="X257" s="275"/>
      <c r="Y257" s="275"/>
      <c r="Z257" s="275"/>
      <c r="AA257" s="264"/>
      <c r="AB257" s="264"/>
      <c r="AC257" s="264"/>
    </row>
    <row r="258" spans="1:68" ht="37.5" hidden="1" customHeight="1" x14ac:dyDescent="0.25">
      <c r="A258" s="54" t="s">
        <v>343</v>
      </c>
      <c r="B258" s="54" t="s">
        <v>344</v>
      </c>
      <c r="C258" s="31">
        <v>4301135504</v>
      </c>
      <c r="D258" s="289">
        <v>4640242181554</v>
      </c>
      <c r="E258" s="290"/>
      <c r="F258" s="267">
        <v>3</v>
      </c>
      <c r="G258" s="32">
        <v>1</v>
      </c>
      <c r="H258" s="267">
        <v>3</v>
      </c>
      <c r="I258" s="267">
        <v>3.1920000000000002</v>
      </c>
      <c r="J258" s="32">
        <v>126</v>
      </c>
      <c r="K258" s="32" t="s">
        <v>95</v>
      </c>
      <c r="L258" s="32" t="s">
        <v>67</v>
      </c>
      <c r="M258" s="33" t="s">
        <v>68</v>
      </c>
      <c r="N258" s="33"/>
      <c r="O258" s="32">
        <v>180</v>
      </c>
      <c r="P258" s="303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58" s="284"/>
      <c r="R258" s="284"/>
      <c r="S258" s="284"/>
      <c r="T258" s="285"/>
      <c r="U258" s="34"/>
      <c r="V258" s="34"/>
      <c r="W258" s="35" t="s">
        <v>69</v>
      </c>
      <c r="X258" s="268">
        <v>0</v>
      </c>
      <c r="Y258" s="269">
        <f t="shared" ref="Y258:Y267" si="18">IFERROR(IF(X258="","",X258),"")</f>
        <v>0</v>
      </c>
      <c r="Z258" s="36">
        <f>IFERROR(IF(X258="","",X258*0.00936),"")</f>
        <v>0</v>
      </c>
      <c r="AA258" s="56"/>
      <c r="AB258" s="57"/>
      <c r="AC258" s="240" t="s">
        <v>345</v>
      </c>
      <c r="AG258" s="67"/>
      <c r="AJ258" s="71" t="s">
        <v>71</v>
      </c>
      <c r="AK258" s="71">
        <v>1</v>
      </c>
      <c r="BB258" s="241" t="s">
        <v>99</v>
      </c>
      <c r="BM258" s="67">
        <f t="shared" ref="BM258:BM267" si="19">IFERROR(X258*I258,"0")</f>
        <v>0</v>
      </c>
      <c r="BN258" s="67">
        <f t="shared" ref="BN258:BN267" si="20">IFERROR(Y258*I258,"0")</f>
        <v>0</v>
      </c>
      <c r="BO258" s="67">
        <f t="shared" ref="BO258:BO267" si="21">IFERROR(X258/J258,"0")</f>
        <v>0</v>
      </c>
      <c r="BP258" s="67">
        <f t="shared" ref="BP258:BP267" si="22">IFERROR(Y258/J258,"0")</f>
        <v>0</v>
      </c>
    </row>
    <row r="259" spans="1:68" ht="27" customHeight="1" x14ac:dyDescent="0.25">
      <c r="A259" s="54" t="s">
        <v>346</v>
      </c>
      <c r="B259" s="54" t="s">
        <v>347</v>
      </c>
      <c r="C259" s="31">
        <v>4301135518</v>
      </c>
      <c r="D259" s="289">
        <v>4640242181561</v>
      </c>
      <c r="E259" s="290"/>
      <c r="F259" s="267">
        <v>3.7</v>
      </c>
      <c r="G259" s="32">
        <v>1</v>
      </c>
      <c r="H259" s="267">
        <v>3.7</v>
      </c>
      <c r="I259" s="267">
        <v>3.8919999999999999</v>
      </c>
      <c r="J259" s="32">
        <v>126</v>
      </c>
      <c r="K259" s="32" t="s">
        <v>95</v>
      </c>
      <c r="L259" s="32" t="s">
        <v>96</v>
      </c>
      <c r="M259" s="33" t="s">
        <v>68</v>
      </c>
      <c r="N259" s="33"/>
      <c r="O259" s="32">
        <v>180</v>
      </c>
      <c r="P259" s="334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59" s="284"/>
      <c r="R259" s="284"/>
      <c r="S259" s="284"/>
      <c r="T259" s="285"/>
      <c r="U259" s="34"/>
      <c r="V259" s="34"/>
      <c r="W259" s="35" t="s">
        <v>69</v>
      </c>
      <c r="X259" s="268">
        <v>28</v>
      </c>
      <c r="Y259" s="269">
        <f t="shared" si="18"/>
        <v>28</v>
      </c>
      <c r="Z259" s="36">
        <f>IFERROR(IF(X259="","",X259*0.00936),"")</f>
        <v>0.26207999999999998</v>
      </c>
      <c r="AA259" s="56"/>
      <c r="AB259" s="57"/>
      <c r="AC259" s="242" t="s">
        <v>348</v>
      </c>
      <c r="AG259" s="67"/>
      <c r="AJ259" s="71" t="s">
        <v>98</v>
      </c>
      <c r="AK259" s="71">
        <v>14</v>
      </c>
      <c r="BB259" s="243" t="s">
        <v>99</v>
      </c>
      <c r="BM259" s="67">
        <f t="shared" si="19"/>
        <v>108.976</v>
      </c>
      <c r="BN259" s="67">
        <f t="shared" si="20"/>
        <v>108.976</v>
      </c>
      <c r="BO259" s="67">
        <f t="shared" si="21"/>
        <v>0.22222222222222221</v>
      </c>
      <c r="BP259" s="67">
        <f t="shared" si="22"/>
        <v>0.22222222222222221</v>
      </c>
    </row>
    <row r="260" spans="1:68" ht="27" hidden="1" customHeight="1" x14ac:dyDescent="0.25">
      <c r="A260" s="54" t="s">
        <v>349</v>
      </c>
      <c r="B260" s="54" t="s">
        <v>350</v>
      </c>
      <c r="C260" s="31">
        <v>4301135374</v>
      </c>
      <c r="D260" s="289">
        <v>4640242181424</v>
      </c>
      <c r="E260" s="290"/>
      <c r="F260" s="267">
        <v>5.5</v>
      </c>
      <c r="G260" s="32">
        <v>1</v>
      </c>
      <c r="H260" s="267">
        <v>5.5</v>
      </c>
      <c r="I260" s="267">
        <v>5.7350000000000003</v>
      </c>
      <c r="J260" s="32">
        <v>84</v>
      </c>
      <c r="K260" s="32" t="s">
        <v>66</v>
      </c>
      <c r="L260" s="32" t="s">
        <v>96</v>
      </c>
      <c r="M260" s="33" t="s">
        <v>68</v>
      </c>
      <c r="N260" s="33"/>
      <c r="O260" s="32">
        <v>180</v>
      </c>
      <c r="P260" s="37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0" s="284"/>
      <c r="R260" s="284"/>
      <c r="S260" s="284"/>
      <c r="T260" s="285"/>
      <c r="U260" s="34"/>
      <c r="V260" s="34"/>
      <c r="W260" s="35" t="s">
        <v>69</v>
      </c>
      <c r="X260" s="268">
        <v>0</v>
      </c>
      <c r="Y260" s="269">
        <f t="shared" si="18"/>
        <v>0</v>
      </c>
      <c r="Z260" s="36">
        <f>IFERROR(IF(X260="","",X260*0.0155),"")</f>
        <v>0</v>
      </c>
      <c r="AA260" s="56"/>
      <c r="AB260" s="57"/>
      <c r="AC260" s="244" t="s">
        <v>345</v>
      </c>
      <c r="AG260" s="67"/>
      <c r="AJ260" s="71" t="s">
        <v>98</v>
      </c>
      <c r="AK260" s="71">
        <v>12</v>
      </c>
      <c r="BB260" s="245" t="s">
        <v>99</v>
      </c>
      <c r="BM260" s="67">
        <f t="shared" si="19"/>
        <v>0</v>
      </c>
      <c r="BN260" s="67">
        <f t="shared" si="20"/>
        <v>0</v>
      </c>
      <c r="BO260" s="67">
        <f t="shared" si="21"/>
        <v>0</v>
      </c>
      <c r="BP260" s="67">
        <f t="shared" si="22"/>
        <v>0</v>
      </c>
    </row>
    <row r="261" spans="1:68" ht="27" customHeight="1" x14ac:dyDescent="0.25">
      <c r="A261" s="54" t="s">
        <v>351</v>
      </c>
      <c r="B261" s="54" t="s">
        <v>352</v>
      </c>
      <c r="C261" s="31">
        <v>4301135405</v>
      </c>
      <c r="D261" s="289">
        <v>4640242181523</v>
      </c>
      <c r="E261" s="290"/>
      <c r="F261" s="267">
        <v>3</v>
      </c>
      <c r="G261" s="32">
        <v>1</v>
      </c>
      <c r="H261" s="267">
        <v>3</v>
      </c>
      <c r="I261" s="267">
        <v>3.1920000000000002</v>
      </c>
      <c r="J261" s="32">
        <v>126</v>
      </c>
      <c r="K261" s="32" t="s">
        <v>95</v>
      </c>
      <c r="L261" s="32" t="s">
        <v>67</v>
      </c>
      <c r="M261" s="33" t="s">
        <v>68</v>
      </c>
      <c r="N261" s="33"/>
      <c r="O261" s="32">
        <v>180</v>
      </c>
      <c r="P261" s="394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1" s="284"/>
      <c r="R261" s="284"/>
      <c r="S261" s="284"/>
      <c r="T261" s="285"/>
      <c r="U261" s="34"/>
      <c r="V261" s="34"/>
      <c r="W261" s="35" t="s">
        <v>69</v>
      </c>
      <c r="X261" s="268">
        <v>14</v>
      </c>
      <c r="Y261" s="269">
        <f t="shared" si="18"/>
        <v>14</v>
      </c>
      <c r="Z261" s="36">
        <f t="shared" ref="Z261:Z266" si="23">IFERROR(IF(X261="","",X261*0.00936),"")</f>
        <v>0.13103999999999999</v>
      </c>
      <c r="AA261" s="56"/>
      <c r="AB261" s="57"/>
      <c r="AC261" s="246" t="s">
        <v>348</v>
      </c>
      <c r="AG261" s="67"/>
      <c r="AJ261" s="71" t="s">
        <v>71</v>
      </c>
      <c r="AK261" s="71">
        <v>1</v>
      </c>
      <c r="BB261" s="247" t="s">
        <v>99</v>
      </c>
      <c r="BM261" s="67">
        <f t="shared" si="19"/>
        <v>44.688000000000002</v>
      </c>
      <c r="BN261" s="67">
        <f t="shared" si="20"/>
        <v>44.688000000000002</v>
      </c>
      <c r="BO261" s="67">
        <f t="shared" si="21"/>
        <v>0.1111111111111111</v>
      </c>
      <c r="BP261" s="67">
        <f t="shared" si="22"/>
        <v>0.1111111111111111</v>
      </c>
    </row>
    <row r="262" spans="1:68" ht="27" hidden="1" customHeight="1" x14ac:dyDescent="0.25">
      <c r="A262" s="54" t="s">
        <v>353</v>
      </c>
      <c r="B262" s="54" t="s">
        <v>354</v>
      </c>
      <c r="C262" s="31">
        <v>4301135375</v>
      </c>
      <c r="D262" s="289">
        <v>4640242181486</v>
      </c>
      <c r="E262" s="290"/>
      <c r="F262" s="267">
        <v>3.7</v>
      </c>
      <c r="G262" s="32">
        <v>1</v>
      </c>
      <c r="H262" s="267">
        <v>3.7</v>
      </c>
      <c r="I262" s="267">
        <v>3.8919999999999999</v>
      </c>
      <c r="J262" s="32">
        <v>126</v>
      </c>
      <c r="K262" s="32" t="s">
        <v>95</v>
      </c>
      <c r="L262" s="32" t="s">
        <v>67</v>
      </c>
      <c r="M262" s="33" t="s">
        <v>68</v>
      </c>
      <c r="N262" s="33"/>
      <c r="O262" s="32">
        <v>180</v>
      </c>
      <c r="P262" s="44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2" s="284"/>
      <c r="R262" s="284"/>
      <c r="S262" s="284"/>
      <c r="T262" s="285"/>
      <c r="U262" s="34"/>
      <c r="V262" s="34"/>
      <c r="W262" s="35" t="s">
        <v>69</v>
      </c>
      <c r="X262" s="268">
        <v>0</v>
      </c>
      <c r="Y262" s="269">
        <f t="shared" si="18"/>
        <v>0</v>
      </c>
      <c r="Z262" s="36">
        <f t="shared" si="23"/>
        <v>0</v>
      </c>
      <c r="AA262" s="56"/>
      <c r="AB262" s="57"/>
      <c r="AC262" s="248" t="s">
        <v>345</v>
      </c>
      <c r="AG262" s="67"/>
      <c r="AJ262" s="71" t="s">
        <v>71</v>
      </c>
      <c r="AK262" s="71">
        <v>1</v>
      </c>
      <c r="BB262" s="249" t="s">
        <v>99</v>
      </c>
      <c r="BM262" s="67">
        <f t="shared" si="19"/>
        <v>0</v>
      </c>
      <c r="BN262" s="67">
        <f t="shared" si="20"/>
        <v>0</v>
      </c>
      <c r="BO262" s="67">
        <f t="shared" si="21"/>
        <v>0</v>
      </c>
      <c r="BP262" s="67">
        <f t="shared" si="22"/>
        <v>0</v>
      </c>
    </row>
    <row r="263" spans="1:68" ht="37.5" hidden="1" customHeight="1" x14ac:dyDescent="0.25">
      <c r="A263" s="54" t="s">
        <v>355</v>
      </c>
      <c r="B263" s="54" t="s">
        <v>356</v>
      </c>
      <c r="C263" s="31">
        <v>4301135402</v>
      </c>
      <c r="D263" s="289">
        <v>4640242181493</v>
      </c>
      <c r="E263" s="290"/>
      <c r="F263" s="267">
        <v>3.7</v>
      </c>
      <c r="G263" s="32">
        <v>1</v>
      </c>
      <c r="H263" s="267">
        <v>3.7</v>
      </c>
      <c r="I263" s="267">
        <v>3.8919999999999999</v>
      </c>
      <c r="J263" s="32">
        <v>126</v>
      </c>
      <c r="K263" s="32" t="s">
        <v>95</v>
      </c>
      <c r="L263" s="32" t="s">
        <v>67</v>
      </c>
      <c r="M263" s="33" t="s">
        <v>68</v>
      </c>
      <c r="N263" s="33"/>
      <c r="O263" s="32">
        <v>180</v>
      </c>
      <c r="P263" s="45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3" s="284"/>
      <c r="R263" s="284"/>
      <c r="S263" s="284"/>
      <c r="T263" s="285"/>
      <c r="U263" s="34"/>
      <c r="V263" s="34"/>
      <c r="W263" s="35" t="s">
        <v>69</v>
      </c>
      <c r="X263" s="268">
        <v>0</v>
      </c>
      <c r="Y263" s="269">
        <f t="shared" si="18"/>
        <v>0</v>
      </c>
      <c r="Z263" s="36">
        <f t="shared" si="23"/>
        <v>0</v>
      </c>
      <c r="AA263" s="56"/>
      <c r="AB263" s="57"/>
      <c r="AC263" s="250" t="s">
        <v>345</v>
      </c>
      <c r="AG263" s="67"/>
      <c r="AJ263" s="71" t="s">
        <v>71</v>
      </c>
      <c r="AK263" s="71">
        <v>1</v>
      </c>
      <c r="BB263" s="251" t="s">
        <v>99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37.5" hidden="1" customHeight="1" x14ac:dyDescent="0.25">
      <c r="A264" s="54" t="s">
        <v>357</v>
      </c>
      <c r="B264" s="54" t="s">
        <v>358</v>
      </c>
      <c r="C264" s="31">
        <v>4301135403</v>
      </c>
      <c r="D264" s="289">
        <v>4640242181509</v>
      </c>
      <c r="E264" s="290"/>
      <c r="F264" s="267">
        <v>3.7</v>
      </c>
      <c r="G264" s="32">
        <v>1</v>
      </c>
      <c r="H264" s="267">
        <v>3.7</v>
      </c>
      <c r="I264" s="267">
        <v>3.8919999999999999</v>
      </c>
      <c r="J264" s="32">
        <v>126</v>
      </c>
      <c r="K264" s="32" t="s">
        <v>95</v>
      </c>
      <c r="L264" s="32" t="s">
        <v>67</v>
      </c>
      <c r="M264" s="33" t="s">
        <v>68</v>
      </c>
      <c r="N264" s="33"/>
      <c r="O264" s="32">
        <v>180</v>
      </c>
      <c r="P264" s="361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4" s="284"/>
      <c r="R264" s="284"/>
      <c r="S264" s="284"/>
      <c r="T264" s="285"/>
      <c r="U264" s="34"/>
      <c r="V264" s="34"/>
      <c r="W264" s="35" t="s">
        <v>69</v>
      </c>
      <c r="X264" s="268">
        <v>0</v>
      </c>
      <c r="Y264" s="269">
        <f t="shared" si="18"/>
        <v>0</v>
      </c>
      <c r="Z264" s="36">
        <f t="shared" si="23"/>
        <v>0</v>
      </c>
      <c r="AA264" s="56"/>
      <c r="AB264" s="57"/>
      <c r="AC264" s="252" t="s">
        <v>345</v>
      </c>
      <c r="AG264" s="67"/>
      <c r="AJ264" s="71" t="s">
        <v>71</v>
      </c>
      <c r="AK264" s="71">
        <v>1</v>
      </c>
      <c r="BB264" s="253" t="s">
        <v>99</v>
      </c>
      <c r="BM264" s="67">
        <f t="shared" si="19"/>
        <v>0</v>
      </c>
      <c r="BN264" s="67">
        <f t="shared" si="20"/>
        <v>0</v>
      </c>
      <c r="BO264" s="67">
        <f t="shared" si="21"/>
        <v>0</v>
      </c>
      <c r="BP264" s="67">
        <f t="shared" si="22"/>
        <v>0</v>
      </c>
    </row>
    <row r="265" spans="1:68" ht="27" hidden="1" customHeight="1" x14ac:dyDescent="0.25">
      <c r="A265" s="54" t="s">
        <v>359</v>
      </c>
      <c r="B265" s="54" t="s">
        <v>360</v>
      </c>
      <c r="C265" s="31">
        <v>4301135304</v>
      </c>
      <c r="D265" s="289">
        <v>4640242181240</v>
      </c>
      <c r="E265" s="290"/>
      <c r="F265" s="267">
        <v>0.3</v>
      </c>
      <c r="G265" s="32">
        <v>9</v>
      </c>
      <c r="H265" s="267">
        <v>2.7</v>
      </c>
      <c r="I265" s="267">
        <v>2.88</v>
      </c>
      <c r="J265" s="32">
        <v>126</v>
      </c>
      <c r="K265" s="32" t="s">
        <v>95</v>
      </c>
      <c r="L265" s="32" t="s">
        <v>67</v>
      </c>
      <c r="M265" s="33" t="s">
        <v>68</v>
      </c>
      <c r="N265" s="33"/>
      <c r="O265" s="32">
        <v>180</v>
      </c>
      <c r="P265" s="31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5" s="284"/>
      <c r="R265" s="284"/>
      <c r="S265" s="284"/>
      <c r="T265" s="285"/>
      <c r="U265" s="34"/>
      <c r="V265" s="34"/>
      <c r="W265" s="35" t="s">
        <v>69</v>
      </c>
      <c r="X265" s="268">
        <v>0</v>
      </c>
      <c r="Y265" s="269">
        <f t="shared" si="18"/>
        <v>0</v>
      </c>
      <c r="Z265" s="36">
        <f t="shared" si="23"/>
        <v>0</v>
      </c>
      <c r="AA265" s="56"/>
      <c r="AB265" s="57"/>
      <c r="AC265" s="254" t="s">
        <v>345</v>
      </c>
      <c r="AG265" s="67"/>
      <c r="AJ265" s="71" t="s">
        <v>71</v>
      </c>
      <c r="AK265" s="71">
        <v>1</v>
      </c>
      <c r="BB265" s="255" t="s">
        <v>99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27" hidden="1" customHeight="1" x14ac:dyDescent="0.25">
      <c r="A266" s="54" t="s">
        <v>361</v>
      </c>
      <c r="B266" s="54" t="s">
        <v>362</v>
      </c>
      <c r="C266" s="31">
        <v>4301135610</v>
      </c>
      <c r="D266" s="289">
        <v>4640242181318</v>
      </c>
      <c r="E266" s="290"/>
      <c r="F266" s="267">
        <v>0.3</v>
      </c>
      <c r="G266" s="32">
        <v>9</v>
      </c>
      <c r="H266" s="267">
        <v>2.7</v>
      </c>
      <c r="I266" s="267">
        <v>2.988</v>
      </c>
      <c r="J266" s="32">
        <v>126</v>
      </c>
      <c r="K266" s="32" t="s">
        <v>95</v>
      </c>
      <c r="L266" s="32" t="s">
        <v>67</v>
      </c>
      <c r="M266" s="33" t="s">
        <v>68</v>
      </c>
      <c r="N266" s="33"/>
      <c r="O266" s="32">
        <v>180</v>
      </c>
      <c r="P266" s="300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6" s="284"/>
      <c r="R266" s="284"/>
      <c r="S266" s="284"/>
      <c r="T266" s="285"/>
      <c r="U266" s="34"/>
      <c r="V266" s="34"/>
      <c r="W266" s="35" t="s">
        <v>69</v>
      </c>
      <c r="X266" s="268">
        <v>0</v>
      </c>
      <c r="Y266" s="269">
        <f t="shared" si="18"/>
        <v>0</v>
      </c>
      <c r="Z266" s="36">
        <f t="shared" si="23"/>
        <v>0</v>
      </c>
      <c r="AA266" s="56"/>
      <c r="AB266" s="57"/>
      <c r="AC266" s="256" t="s">
        <v>348</v>
      </c>
      <c r="AG266" s="67"/>
      <c r="AJ266" s="71" t="s">
        <v>71</v>
      </c>
      <c r="AK266" s="71">
        <v>1</v>
      </c>
      <c r="BB266" s="257" t="s">
        <v>99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27" hidden="1" customHeight="1" x14ac:dyDescent="0.25">
      <c r="A267" s="54" t="s">
        <v>363</v>
      </c>
      <c r="B267" s="54" t="s">
        <v>364</v>
      </c>
      <c r="C267" s="31">
        <v>4301135306</v>
      </c>
      <c r="D267" s="289">
        <v>4640242181387</v>
      </c>
      <c r="E267" s="290"/>
      <c r="F267" s="267">
        <v>0.3</v>
      </c>
      <c r="G267" s="32">
        <v>9</v>
      </c>
      <c r="H267" s="267">
        <v>2.7</v>
      </c>
      <c r="I267" s="267">
        <v>2.8450000000000002</v>
      </c>
      <c r="J267" s="32">
        <v>234</v>
      </c>
      <c r="K267" s="32" t="s">
        <v>147</v>
      </c>
      <c r="L267" s="32" t="s">
        <v>67</v>
      </c>
      <c r="M267" s="33" t="s">
        <v>68</v>
      </c>
      <c r="N267" s="33"/>
      <c r="O267" s="32">
        <v>180</v>
      </c>
      <c r="P267" s="374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67" s="284"/>
      <c r="R267" s="284"/>
      <c r="S267" s="284"/>
      <c r="T267" s="285"/>
      <c r="U267" s="34"/>
      <c r="V267" s="34"/>
      <c r="W267" s="35" t="s">
        <v>69</v>
      </c>
      <c r="X267" s="268">
        <v>0</v>
      </c>
      <c r="Y267" s="269">
        <f t="shared" si="18"/>
        <v>0</v>
      </c>
      <c r="Z267" s="36">
        <f>IFERROR(IF(X267="","",X267*0.00502),"")</f>
        <v>0</v>
      </c>
      <c r="AA267" s="56"/>
      <c r="AB267" s="57"/>
      <c r="AC267" s="258" t="s">
        <v>345</v>
      </c>
      <c r="AG267" s="67"/>
      <c r="AJ267" s="71" t="s">
        <v>71</v>
      </c>
      <c r="AK267" s="71">
        <v>1</v>
      </c>
      <c r="BB267" s="259" t="s">
        <v>99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x14ac:dyDescent="0.2">
      <c r="A268" s="292"/>
      <c r="B268" s="275"/>
      <c r="C268" s="275"/>
      <c r="D268" s="275"/>
      <c r="E268" s="275"/>
      <c r="F268" s="275"/>
      <c r="G268" s="275"/>
      <c r="H268" s="275"/>
      <c r="I268" s="275"/>
      <c r="J268" s="275"/>
      <c r="K268" s="275"/>
      <c r="L268" s="275"/>
      <c r="M268" s="275"/>
      <c r="N268" s="275"/>
      <c r="O268" s="293"/>
      <c r="P268" s="280" t="s">
        <v>82</v>
      </c>
      <c r="Q268" s="281"/>
      <c r="R268" s="281"/>
      <c r="S268" s="281"/>
      <c r="T268" s="281"/>
      <c r="U268" s="281"/>
      <c r="V268" s="282"/>
      <c r="W268" s="37" t="s">
        <v>69</v>
      </c>
      <c r="X268" s="270">
        <f>IFERROR(SUM(X258:X267),"0")</f>
        <v>42</v>
      </c>
      <c r="Y268" s="270">
        <f>IFERROR(SUM(Y258:Y267),"0")</f>
        <v>42</v>
      </c>
      <c r="Z268" s="270">
        <f>IFERROR(IF(Z258="",0,Z258),"0")+IFERROR(IF(Z259="",0,Z259),"0")+IFERROR(IF(Z260="",0,Z260),"0")+IFERROR(IF(Z261="",0,Z261),"0")+IFERROR(IF(Z262="",0,Z262),"0")+IFERROR(IF(Z263="",0,Z263),"0")+IFERROR(IF(Z264="",0,Z264),"0")+IFERROR(IF(Z265="",0,Z265),"0")+IFERROR(IF(Z266="",0,Z266),"0")+IFERROR(IF(Z267="",0,Z267),"0")</f>
        <v>0.39311999999999997</v>
      </c>
      <c r="AA268" s="271"/>
      <c r="AB268" s="271"/>
      <c r="AC268" s="271"/>
    </row>
    <row r="269" spans="1:68" x14ac:dyDescent="0.2">
      <c r="A269" s="275"/>
      <c r="B269" s="275"/>
      <c r="C269" s="275"/>
      <c r="D269" s="275"/>
      <c r="E269" s="275"/>
      <c r="F269" s="275"/>
      <c r="G269" s="275"/>
      <c r="H269" s="275"/>
      <c r="I269" s="275"/>
      <c r="J269" s="275"/>
      <c r="K269" s="275"/>
      <c r="L269" s="275"/>
      <c r="M269" s="275"/>
      <c r="N269" s="275"/>
      <c r="O269" s="293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0">
        <f>IFERROR(SUMPRODUCT(X258:X267*H258:H267),"0")</f>
        <v>145.60000000000002</v>
      </c>
      <c r="Y269" s="270">
        <f>IFERROR(SUMPRODUCT(Y258:Y267*H258:H267),"0")</f>
        <v>145.60000000000002</v>
      </c>
      <c r="Z269" s="37"/>
      <c r="AA269" s="271"/>
      <c r="AB269" s="271"/>
      <c r="AC269" s="271"/>
    </row>
    <row r="270" spans="1:68" ht="15" customHeight="1" x14ac:dyDescent="0.2">
      <c r="A270" s="455"/>
      <c r="B270" s="275"/>
      <c r="C270" s="275"/>
      <c r="D270" s="275"/>
      <c r="E270" s="275"/>
      <c r="F270" s="275"/>
      <c r="G270" s="275"/>
      <c r="H270" s="275"/>
      <c r="I270" s="275"/>
      <c r="J270" s="275"/>
      <c r="K270" s="275"/>
      <c r="L270" s="275"/>
      <c r="M270" s="275"/>
      <c r="N270" s="275"/>
      <c r="O270" s="370"/>
      <c r="P270" s="329" t="s">
        <v>365</v>
      </c>
      <c r="Q270" s="278"/>
      <c r="R270" s="278"/>
      <c r="S270" s="278"/>
      <c r="T270" s="278"/>
      <c r="U270" s="278"/>
      <c r="V270" s="279"/>
      <c r="W270" s="37" t="s">
        <v>83</v>
      </c>
      <c r="X270" s="270">
        <f>IFERROR(X29+X35+X42+X49+X57+X62+X66+X71+X77+X83+X88+X94+X104+X110+X122+X126+X130+X136+X142+X148+X153+X158+X163+X168+X175+X183+X187+X193+X201+X206+X211+X216+X222+X228+X234+X238+X245+X250+X256+X269,"0")</f>
        <v>9513.4</v>
      </c>
      <c r="Y270" s="270">
        <f>IFERROR(Y29+Y35+Y42+Y49+Y57+Y62+Y66+Y71+Y77+Y83+Y88+Y94+Y104+Y110+Y122+Y126+Y130+Y136+Y142+Y148+Y153+Y158+Y163+Y168+Y175+Y183+Y187+Y193+Y201+Y206+Y211+Y216+Y222+Y228+Y234+Y238+Y245+Y250+Y256+Y269,"0")</f>
        <v>9513.4</v>
      </c>
      <c r="Z270" s="37"/>
      <c r="AA270" s="271"/>
      <c r="AB270" s="271"/>
      <c r="AC270" s="271"/>
    </row>
    <row r="271" spans="1:68" x14ac:dyDescent="0.2">
      <c r="A271" s="275"/>
      <c r="B271" s="275"/>
      <c r="C271" s="275"/>
      <c r="D271" s="275"/>
      <c r="E271" s="275"/>
      <c r="F271" s="275"/>
      <c r="G271" s="275"/>
      <c r="H271" s="275"/>
      <c r="I271" s="275"/>
      <c r="J271" s="275"/>
      <c r="K271" s="275"/>
      <c r="L271" s="275"/>
      <c r="M271" s="275"/>
      <c r="N271" s="275"/>
      <c r="O271" s="370"/>
      <c r="P271" s="329" t="s">
        <v>366</v>
      </c>
      <c r="Q271" s="278"/>
      <c r="R271" s="278"/>
      <c r="S271" s="278"/>
      <c r="T271" s="278"/>
      <c r="U271" s="278"/>
      <c r="V271" s="279"/>
      <c r="W271" s="37" t="s">
        <v>83</v>
      </c>
      <c r="X271" s="270">
        <f>IFERROR(SUM(BM22:BM267),"0")</f>
        <v>10416.121200000001</v>
      </c>
      <c r="Y271" s="270">
        <f>IFERROR(SUM(BN22:BN267),"0")</f>
        <v>10416.121200000001</v>
      </c>
      <c r="Z271" s="37"/>
      <c r="AA271" s="271"/>
      <c r="AB271" s="271"/>
      <c r="AC271" s="271"/>
    </row>
    <row r="272" spans="1:68" x14ac:dyDescent="0.2">
      <c r="A272" s="275"/>
      <c r="B272" s="275"/>
      <c r="C272" s="275"/>
      <c r="D272" s="275"/>
      <c r="E272" s="275"/>
      <c r="F272" s="275"/>
      <c r="G272" s="275"/>
      <c r="H272" s="275"/>
      <c r="I272" s="275"/>
      <c r="J272" s="275"/>
      <c r="K272" s="275"/>
      <c r="L272" s="275"/>
      <c r="M272" s="275"/>
      <c r="N272" s="275"/>
      <c r="O272" s="370"/>
      <c r="P272" s="329" t="s">
        <v>367</v>
      </c>
      <c r="Q272" s="278"/>
      <c r="R272" s="278"/>
      <c r="S272" s="278"/>
      <c r="T272" s="278"/>
      <c r="U272" s="278"/>
      <c r="V272" s="279"/>
      <c r="W272" s="37" t="s">
        <v>368</v>
      </c>
      <c r="X272" s="38">
        <f>ROUNDUP(SUM(BO22:BO267),0)</f>
        <v>25</v>
      </c>
      <c r="Y272" s="38">
        <f>ROUNDUP(SUM(BP22:BP267),0)</f>
        <v>25</v>
      </c>
      <c r="Z272" s="37"/>
      <c r="AA272" s="271"/>
      <c r="AB272" s="271"/>
      <c r="AC272" s="271"/>
    </row>
    <row r="273" spans="1:32" x14ac:dyDescent="0.2">
      <c r="A273" s="275"/>
      <c r="B273" s="275"/>
      <c r="C273" s="275"/>
      <c r="D273" s="275"/>
      <c r="E273" s="275"/>
      <c r="F273" s="275"/>
      <c r="G273" s="275"/>
      <c r="H273" s="275"/>
      <c r="I273" s="275"/>
      <c r="J273" s="275"/>
      <c r="K273" s="275"/>
      <c r="L273" s="275"/>
      <c r="M273" s="275"/>
      <c r="N273" s="275"/>
      <c r="O273" s="370"/>
      <c r="P273" s="329" t="s">
        <v>369</v>
      </c>
      <c r="Q273" s="278"/>
      <c r="R273" s="278"/>
      <c r="S273" s="278"/>
      <c r="T273" s="278"/>
      <c r="U273" s="278"/>
      <c r="V273" s="279"/>
      <c r="W273" s="37" t="s">
        <v>83</v>
      </c>
      <c r="X273" s="270">
        <f>GrossWeightTotal+PalletQtyTotal*25</f>
        <v>11041.121200000001</v>
      </c>
      <c r="Y273" s="270">
        <f>GrossWeightTotalR+PalletQtyTotalR*25</f>
        <v>11041.121200000001</v>
      </c>
      <c r="Z273" s="37"/>
      <c r="AA273" s="271"/>
      <c r="AB273" s="271"/>
      <c r="AC273" s="271"/>
    </row>
    <row r="274" spans="1:32" x14ac:dyDescent="0.2">
      <c r="A274" s="275"/>
      <c r="B274" s="275"/>
      <c r="C274" s="275"/>
      <c r="D274" s="275"/>
      <c r="E274" s="275"/>
      <c r="F274" s="275"/>
      <c r="G274" s="275"/>
      <c r="H274" s="275"/>
      <c r="I274" s="275"/>
      <c r="J274" s="275"/>
      <c r="K274" s="275"/>
      <c r="L274" s="275"/>
      <c r="M274" s="275"/>
      <c r="N274" s="275"/>
      <c r="O274" s="370"/>
      <c r="P274" s="329" t="s">
        <v>370</v>
      </c>
      <c r="Q274" s="278"/>
      <c r="R274" s="278"/>
      <c r="S274" s="278"/>
      <c r="T274" s="278"/>
      <c r="U274" s="278"/>
      <c r="V274" s="279"/>
      <c r="W274" s="37" t="s">
        <v>368</v>
      </c>
      <c r="X274" s="270">
        <f>IFERROR(X28+X34+X41+X48+X56+X61+X65+X70+X76+X82+X87+X93+X103+X109+X121+X125+X129+X135+X141+X147+X152+X157+X162+X167+X174+X182+X186+X192+X200+X205+X210+X215+X221+X227+X233+X237+X244+X249+X255+X268,"0")</f>
        <v>2076</v>
      </c>
      <c r="Y274" s="270">
        <f>IFERROR(Y28+Y34+Y41+Y48+Y56+Y61+Y65+Y70+Y76+Y82+Y87+Y93+Y103+Y109+Y121+Y125+Y129+Y135+Y141+Y147+Y152+Y157+Y162+Y167+Y174+Y182+Y186+Y192+Y200+Y205+Y210+Y215+Y221+Y227+Y233+Y237+Y244+Y249+Y255+Y268,"0")</f>
        <v>2076</v>
      </c>
      <c r="Z274" s="37"/>
      <c r="AA274" s="271"/>
      <c r="AB274" s="271"/>
      <c r="AC274" s="271"/>
    </row>
    <row r="275" spans="1:32" ht="14.25" hidden="1" customHeight="1" x14ac:dyDescent="0.2">
      <c r="A275" s="275"/>
      <c r="B275" s="275"/>
      <c r="C275" s="275"/>
      <c r="D275" s="275"/>
      <c r="E275" s="275"/>
      <c r="F275" s="275"/>
      <c r="G275" s="275"/>
      <c r="H275" s="275"/>
      <c r="I275" s="275"/>
      <c r="J275" s="275"/>
      <c r="K275" s="275"/>
      <c r="L275" s="275"/>
      <c r="M275" s="275"/>
      <c r="N275" s="275"/>
      <c r="O275" s="370"/>
      <c r="P275" s="329" t="s">
        <v>371</v>
      </c>
      <c r="Q275" s="278"/>
      <c r="R275" s="278"/>
      <c r="S275" s="278"/>
      <c r="T275" s="278"/>
      <c r="U275" s="278"/>
      <c r="V275" s="279"/>
      <c r="W275" s="39" t="s">
        <v>372</v>
      </c>
      <c r="X275" s="37"/>
      <c r="Y275" s="37"/>
      <c r="Z275" s="37">
        <f>IFERROR(Z28+Z34+Z41+Z48+Z56+Z61+Z65+Z70+Z76+Z82+Z87+Z93+Z103+Z109+Z121+Z125+Z129+Z135+Z141+Z147+Z152+Z157+Z162+Z167+Z174+Z182+Z186+Z192+Z200+Z205+Z210+Z215+Z221+Z227+Z233+Z237+Z244+Z249+Z255+Z268,"0")</f>
        <v>31.264139999999998</v>
      </c>
      <c r="AA275" s="271"/>
      <c r="AB275" s="271"/>
      <c r="AC275" s="271"/>
    </row>
    <row r="276" spans="1:32" ht="13.5" customHeight="1" thickBot="1" x14ac:dyDescent="0.25"/>
    <row r="277" spans="1:32" ht="27" customHeight="1" thickTop="1" thickBot="1" x14ac:dyDescent="0.25">
      <c r="A277" s="40" t="s">
        <v>373</v>
      </c>
      <c r="B277" s="294" t="s">
        <v>62</v>
      </c>
      <c r="C277" s="368"/>
      <c r="D277" s="294" t="s">
        <v>90</v>
      </c>
      <c r="E277" s="367"/>
      <c r="F277" s="367"/>
      <c r="G277" s="367"/>
      <c r="H277" s="367"/>
      <c r="I277" s="367"/>
      <c r="J277" s="367"/>
      <c r="K277" s="367"/>
      <c r="L277" s="367"/>
      <c r="M277" s="367"/>
      <c r="N277" s="367"/>
      <c r="O277" s="367"/>
      <c r="P277" s="367"/>
      <c r="Q277" s="367"/>
      <c r="R277" s="367"/>
      <c r="S277" s="367"/>
      <c r="T277" s="367"/>
      <c r="U277" s="368"/>
      <c r="V277" s="265" t="s">
        <v>249</v>
      </c>
      <c r="W277" s="265" t="s">
        <v>257</v>
      </c>
      <c r="X277" s="294" t="s">
        <v>276</v>
      </c>
      <c r="Y277" s="367"/>
      <c r="Z277" s="368"/>
      <c r="AA277" s="265" t="s">
        <v>308</v>
      </c>
      <c r="AB277" s="265" t="s">
        <v>313</v>
      </c>
      <c r="AC277" s="265" t="s">
        <v>317</v>
      </c>
      <c r="AD277" s="265" t="s">
        <v>325</v>
      </c>
      <c r="AF277" s="266"/>
    </row>
    <row r="278" spans="1:32" ht="14.25" customHeight="1" thickTop="1" x14ac:dyDescent="0.2">
      <c r="A278" s="301" t="s">
        <v>374</v>
      </c>
      <c r="B278" s="294" t="s">
        <v>62</v>
      </c>
      <c r="C278" s="294" t="s">
        <v>84</v>
      </c>
      <c r="D278" s="294" t="s">
        <v>91</v>
      </c>
      <c r="E278" s="294" t="s">
        <v>102</v>
      </c>
      <c r="F278" s="294" t="s">
        <v>112</v>
      </c>
      <c r="G278" s="294" t="s">
        <v>123</v>
      </c>
      <c r="H278" s="294" t="s">
        <v>144</v>
      </c>
      <c r="I278" s="294" t="s">
        <v>151</v>
      </c>
      <c r="J278" s="294" t="s">
        <v>155</v>
      </c>
      <c r="K278" s="294" t="s">
        <v>163</v>
      </c>
      <c r="L278" s="294" t="s">
        <v>178</v>
      </c>
      <c r="M278" s="294" t="s">
        <v>184</v>
      </c>
      <c r="N278" s="266"/>
      <c r="O278" s="294" t="s">
        <v>213</v>
      </c>
      <c r="P278" s="294" t="s">
        <v>221</v>
      </c>
      <c r="Q278" s="294" t="s">
        <v>228</v>
      </c>
      <c r="R278" s="294" t="s">
        <v>233</v>
      </c>
      <c r="S278" s="294" t="s">
        <v>237</v>
      </c>
      <c r="T278" s="294" t="s">
        <v>240</v>
      </c>
      <c r="U278" s="294" t="s">
        <v>245</v>
      </c>
      <c r="V278" s="294" t="s">
        <v>250</v>
      </c>
      <c r="W278" s="294" t="s">
        <v>258</v>
      </c>
      <c r="X278" s="294" t="s">
        <v>277</v>
      </c>
      <c r="Y278" s="294" t="s">
        <v>295</v>
      </c>
      <c r="Z278" s="294" t="s">
        <v>299</v>
      </c>
      <c r="AA278" s="294" t="s">
        <v>309</v>
      </c>
      <c r="AB278" s="294" t="s">
        <v>314</v>
      </c>
      <c r="AC278" s="294" t="s">
        <v>318</v>
      </c>
      <c r="AD278" s="294" t="s">
        <v>325</v>
      </c>
      <c r="AF278" s="266"/>
    </row>
    <row r="279" spans="1:32" ht="13.5" customHeight="1" thickBot="1" x14ac:dyDescent="0.25">
      <c r="A279" s="302"/>
      <c r="B279" s="295"/>
      <c r="C279" s="295"/>
      <c r="D279" s="295"/>
      <c r="E279" s="295"/>
      <c r="F279" s="295"/>
      <c r="G279" s="295"/>
      <c r="H279" s="295"/>
      <c r="I279" s="295"/>
      <c r="J279" s="295"/>
      <c r="K279" s="295"/>
      <c r="L279" s="295"/>
      <c r="M279" s="295"/>
      <c r="N279" s="266"/>
      <c r="O279" s="295"/>
      <c r="P279" s="295"/>
      <c r="Q279" s="295"/>
      <c r="R279" s="295"/>
      <c r="S279" s="295"/>
      <c r="T279" s="295"/>
      <c r="U279" s="295"/>
      <c r="V279" s="295"/>
      <c r="W279" s="295"/>
      <c r="X279" s="295"/>
      <c r="Y279" s="295"/>
      <c r="Z279" s="295"/>
      <c r="AA279" s="295"/>
      <c r="AB279" s="295"/>
      <c r="AC279" s="295"/>
      <c r="AD279" s="295"/>
      <c r="AF279" s="266"/>
    </row>
    <row r="280" spans="1:32" ht="18" customHeight="1" thickTop="1" thickBot="1" x14ac:dyDescent="0.25">
      <c r="A280" s="40" t="s">
        <v>375</v>
      </c>
      <c r="B280" s="46">
        <f>IFERROR(X22*H22,"0")+IFERROR(X23*H23,"0")+IFERROR(X24*H24,"0")+IFERROR(X25*H25,"0")+IFERROR(X26*H26,"0")+IFERROR(X27*H27,"0")</f>
        <v>172.8</v>
      </c>
      <c r="C280" s="46">
        <f>IFERROR(X32*H32,"0")+IFERROR(X33*H33,"0")</f>
        <v>0</v>
      </c>
      <c r="D280" s="46">
        <f>IFERROR(X39*H39,"0")+IFERROR(X40*H40,"0")</f>
        <v>105</v>
      </c>
      <c r="E280" s="46">
        <f>IFERROR(X45*H45,"0")+IFERROR(X46*H46,"0")+IFERROR(X47*H47,"0")</f>
        <v>134.39999999999998</v>
      </c>
      <c r="F280" s="46">
        <f>IFERROR(X52*H52,"0")+IFERROR(X53*H53,"0")+IFERROR(X54*H54,"0")+IFERROR(X55*H55,"0")</f>
        <v>1092</v>
      </c>
      <c r="G280" s="46">
        <f>IFERROR(X60*H60,"0")+IFERROR(X64*H64,"0")+IFERROR(X68*H68,"0")+IFERROR(X69*H69,"0")+IFERROR(X73*H73,"0")+IFERROR(X74*H74,"0")+IFERROR(X75*H75,"0")</f>
        <v>0</v>
      </c>
      <c r="H280" s="46">
        <f>IFERROR(X80*H80,"0")+IFERROR(X81*H81,"0")</f>
        <v>480</v>
      </c>
      <c r="I280" s="46">
        <f>IFERROR(X86*H86,"0")</f>
        <v>0</v>
      </c>
      <c r="J280" s="46">
        <f>IFERROR(X91*H91,"0")+IFERROR(X92*H92,"0")</f>
        <v>604.80000000000007</v>
      </c>
      <c r="K280" s="46">
        <f>IFERROR(X97*H97,"0")+IFERROR(X98*H98,"0")+IFERROR(X99*H99,"0")+IFERROR(X100*H100,"0")+IFERROR(X101*H101,"0")+IFERROR(X102*H102,"0")</f>
        <v>811.43999999999994</v>
      </c>
      <c r="L280" s="46">
        <f>IFERROR(X107*H107,"0")+IFERROR(X108*H108,"0")</f>
        <v>201.6</v>
      </c>
      <c r="M280" s="46">
        <f>IFERROR(X113*H113,"0")+IFERROR(X114*H114,"0")+IFERROR(X115*H115,"0")+IFERROR(X116*H116,"0")+IFERROR(X117*H117,"0")+IFERROR(X118*H118,"0")+IFERROR(X119*H119,"0")+IFERROR(X120*H120,"0")+IFERROR(X124*H124,"0")+IFERROR(X128*H128,"0")</f>
        <v>2008.8</v>
      </c>
      <c r="N280" s="266"/>
      <c r="O280" s="46">
        <f>IFERROR(X133*H133,"0")+IFERROR(X134*H134,"0")</f>
        <v>630</v>
      </c>
      <c r="P280" s="46">
        <f>IFERROR(X139*H139,"0")+IFERROR(X140*H140,"0")</f>
        <v>42</v>
      </c>
      <c r="Q280" s="46">
        <f>IFERROR(X145*H145,"0")+IFERROR(X146*H146,"0")</f>
        <v>0</v>
      </c>
      <c r="R280" s="46">
        <f>IFERROR(X151*H151,"0")</f>
        <v>84</v>
      </c>
      <c r="S280" s="46">
        <f>IFERROR(X156*H156,"0")</f>
        <v>0</v>
      </c>
      <c r="T280" s="46">
        <f>IFERROR(X161*H161,"0")</f>
        <v>0</v>
      </c>
      <c r="U280" s="46">
        <f>IFERROR(X166*H166,"0")</f>
        <v>94.08</v>
      </c>
      <c r="V280" s="46">
        <f>IFERROR(X172*H172,"0")+IFERROR(X173*H173,"0")</f>
        <v>900</v>
      </c>
      <c r="W280" s="46">
        <f>IFERROR(X179*H179,"0")+IFERROR(X180*H180,"0")+IFERROR(X181*H181,"0")+IFERROR(X185*H185,"0")</f>
        <v>168</v>
      </c>
      <c r="X280" s="46">
        <f>IFERROR(X191*H191,"0")+IFERROR(X195*H195,"0")+IFERROR(X196*H196,"0")+IFERROR(X197*H197,"0")+IFERROR(X198*H198,"0")+IFERROR(X199*H199,"0")</f>
        <v>110.88</v>
      </c>
      <c r="Y280" s="46">
        <f>IFERROR(X204*H204,"0")</f>
        <v>240</v>
      </c>
      <c r="Z280" s="46">
        <f>IFERROR(X209*H209,"0")+IFERROR(X213*H213,"0")+IFERROR(X214*H214,"0")</f>
        <v>0</v>
      </c>
      <c r="AA280" s="46">
        <f>IFERROR(X220*H220,"0")</f>
        <v>0</v>
      </c>
      <c r="AB280" s="46">
        <f>IFERROR(X226*H226,"0")</f>
        <v>540</v>
      </c>
      <c r="AC280" s="46">
        <f>IFERROR(X232*H232,"0")+IFERROR(X236*H236,"0")</f>
        <v>0</v>
      </c>
      <c r="AD280" s="46">
        <f>IFERROR(X242*H242,"0")+IFERROR(X243*H243,"0")+IFERROR(X247*H247,"0")+IFERROR(X248*H248,"0")+IFERROR(X252*H252,"0")+IFERROR(X253*H253,"0")+IFERROR(X254*H254,"0")+IFERROR(X258*H258,"0")+IFERROR(X259*H259,"0")+IFERROR(X260*H260,"0")+IFERROR(X261*H261,"0")+IFERROR(X262*H262,"0")+IFERROR(X263*H263,"0")+IFERROR(X264*H264,"0")+IFERROR(X265*H265,"0")+IFERROR(X266*H266,"0")+IFERROR(X267*H267,"0")</f>
        <v>1093.5999999999999</v>
      </c>
      <c r="AF280" s="266"/>
    </row>
    <row r="281" spans="1:32" ht="13.5" customHeight="1" thickTop="1" x14ac:dyDescent="0.2">
      <c r="C281" s="266"/>
    </row>
    <row r="282" spans="1:32" ht="19.5" customHeight="1" x14ac:dyDescent="0.2">
      <c r="A282" s="58" t="s">
        <v>376</v>
      </c>
      <c r="B282" s="58" t="s">
        <v>377</v>
      </c>
      <c r="C282" s="58" t="s">
        <v>378</v>
      </c>
    </row>
    <row r="283" spans="1:32" x14ac:dyDescent="0.2">
      <c r="A283" s="59">
        <f>SUMPRODUCT(--(BB:BB="ЗПФ"),--(W:W="кор"),H:H,Y:Y)+SUMPRODUCT(--(BB:BB="ЗПФ"),--(W:W="кг"),Y:Y)</f>
        <v>6156</v>
      </c>
      <c r="B283" s="60">
        <f>SUMPRODUCT(--(BB:BB="ПГП"),--(W:W="кор"),H:H,Y:Y)+SUMPRODUCT(--(BB:BB="ПГП"),--(W:W="кг"),Y:Y)</f>
        <v>3357.4</v>
      </c>
      <c r="C283" s="60">
        <f>SUMPRODUCT(--(BB:BB="КИЗ"),--(W:W="кор"),H:H,Y:Y)+SUMPRODUCT(--(BB:BB="КИЗ"),--(W:W="кг"),Y:Y)</f>
        <v>0</v>
      </c>
    </row>
  </sheetData>
  <sheetProtection algorithmName="SHA-512" hashValue="PAJPxXpmTwwSwStAQ3lq8HpYqXizjcQThJ0szzBaZkNuXjhZAFcuB2UcxkMkeU63ZFpndH013h2YHWvF3uzcDw==" saltValue="E+9aWAtbyxwcNIATLB/qMw==" spinCount="100000" sheet="1" objects="1" scenarios="1" sort="0" autoFilter="0" pivotTables="0"/>
  <autoFilter ref="A18:AF27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92,00"/>
        <filter val="10 416,12"/>
        <filter val="105,00"/>
        <filter val="108,00"/>
        <filter val="11 041,12"/>
        <filter val="12,00"/>
        <filter val="126,00"/>
        <filter val="134,40"/>
        <filter val="14,00"/>
        <filter val="145,60"/>
        <filter val="156,00"/>
        <filter val="168,00"/>
        <filter val="172,80"/>
        <filter val="180,00"/>
        <filter val="2 008,80"/>
        <filter val="2 076,00"/>
        <filter val="201,60"/>
        <filter val="204,00"/>
        <filter val="210,00"/>
        <filter val="24,00"/>
        <filter val="240,00"/>
        <filter val="25"/>
        <filter val="266,00"/>
        <filter val="28,00"/>
        <filter val="288,00"/>
        <filter val="33,60"/>
        <filter val="36,00"/>
        <filter val="360,00"/>
        <filter val="42,00"/>
        <filter val="48,00"/>
        <filter val="480,00"/>
        <filter val="540,00"/>
        <filter val="56,00"/>
        <filter val="588,00"/>
        <filter val="60,00"/>
        <filter val="604,80"/>
        <filter val="630,00"/>
        <filter val="70,00"/>
        <filter val="72,00"/>
        <filter val="77,28"/>
        <filter val="811,44"/>
        <filter val="84,00"/>
        <filter val="9 513,40"/>
        <filter val="900,00"/>
        <filter val="94,08"/>
        <filter val="96,00"/>
      </filters>
    </filterColumn>
    <filterColumn colId="29" showButton="0"/>
    <filterColumn colId="30" showButton="0"/>
  </autoFilter>
  <mergeCells count="490">
    <mergeCell ref="AB278:AB279"/>
    <mergeCell ref="A217:Z217"/>
    <mergeCell ref="A21:Z21"/>
    <mergeCell ref="O278:O279"/>
    <mergeCell ref="A194:Z194"/>
    <mergeCell ref="D173:E173"/>
    <mergeCell ref="D17:E18"/>
    <mergeCell ref="A131:Z131"/>
    <mergeCell ref="X17:X18"/>
    <mergeCell ref="P216:V216"/>
    <mergeCell ref="D266:E266"/>
    <mergeCell ref="U17:V17"/>
    <mergeCell ref="Y17:Y18"/>
    <mergeCell ref="A270:O275"/>
    <mergeCell ref="E278:E279"/>
    <mergeCell ref="AA278:AA279"/>
    <mergeCell ref="U278:U279"/>
    <mergeCell ref="P255:V255"/>
    <mergeCell ref="P214:T214"/>
    <mergeCell ref="D86:E86"/>
    <mergeCell ref="D213:E213"/>
    <mergeCell ref="P192:V192"/>
    <mergeCell ref="D151:E151"/>
    <mergeCell ref="P107:T107"/>
    <mergeCell ref="A8:C8"/>
    <mergeCell ref="P124:T124"/>
    <mergeCell ref="P163:V163"/>
    <mergeCell ref="D32:E32"/>
    <mergeCell ref="D97:E97"/>
    <mergeCell ref="P151:T151"/>
    <mergeCell ref="P76:V76"/>
    <mergeCell ref="A268:O269"/>
    <mergeCell ref="A10:C10"/>
    <mergeCell ref="P263:T263"/>
    <mergeCell ref="A51:Z51"/>
    <mergeCell ref="A178:Z178"/>
    <mergeCell ref="N17:N18"/>
    <mergeCell ref="A20:Z20"/>
    <mergeCell ref="D252:E252"/>
    <mergeCell ref="A112:Z112"/>
    <mergeCell ref="P66:V66"/>
    <mergeCell ref="D247:E247"/>
    <mergeCell ref="A127:Z127"/>
    <mergeCell ref="D33:E33"/>
    <mergeCell ref="D226:E226"/>
    <mergeCell ref="A106:Z106"/>
    <mergeCell ref="P114:T114"/>
    <mergeCell ref="D22:E22"/>
    <mergeCell ref="Q6:R6"/>
    <mergeCell ref="Z278:Z279"/>
    <mergeCell ref="P134:T134"/>
    <mergeCell ref="P243:T243"/>
    <mergeCell ref="D102:E102"/>
    <mergeCell ref="D196:E196"/>
    <mergeCell ref="D25:E25"/>
    <mergeCell ref="P272:V272"/>
    <mergeCell ref="D133:E133"/>
    <mergeCell ref="A231:Z231"/>
    <mergeCell ref="P210:V210"/>
    <mergeCell ref="D54:E54"/>
    <mergeCell ref="G278:G279"/>
    <mergeCell ref="V12:W12"/>
    <mergeCell ref="I278:I279"/>
    <mergeCell ref="A200:O201"/>
    <mergeCell ref="D191:E191"/>
    <mergeCell ref="D262:E262"/>
    <mergeCell ref="P122:V122"/>
    <mergeCell ref="P25:T25"/>
    <mergeCell ref="A215:O216"/>
    <mergeCell ref="A30:Z30"/>
    <mergeCell ref="D277:U277"/>
    <mergeCell ref="P262:T262"/>
    <mergeCell ref="Q5:R5"/>
    <mergeCell ref="D242:E242"/>
    <mergeCell ref="P199:T199"/>
    <mergeCell ref="D120:E120"/>
    <mergeCell ref="F17:F18"/>
    <mergeCell ref="D107:E107"/>
    <mergeCell ref="P60:T60"/>
    <mergeCell ref="AD17:AF18"/>
    <mergeCell ref="H278:H279"/>
    <mergeCell ref="P167:V167"/>
    <mergeCell ref="P142:V142"/>
    <mergeCell ref="D101:E101"/>
    <mergeCell ref="A132:Z132"/>
    <mergeCell ref="F5:G5"/>
    <mergeCell ref="P253:T253"/>
    <mergeCell ref="A223:Z223"/>
    <mergeCell ref="V11:W11"/>
    <mergeCell ref="A205:O206"/>
    <mergeCell ref="P75:T75"/>
    <mergeCell ref="P146:T146"/>
    <mergeCell ref="A192:O193"/>
    <mergeCell ref="P181:T181"/>
    <mergeCell ref="D23:E23"/>
    <mergeCell ref="D265:E265"/>
    <mergeCell ref="P2:W3"/>
    <mergeCell ref="AC278:AC279"/>
    <mergeCell ref="P133:T133"/>
    <mergeCell ref="P198:T198"/>
    <mergeCell ref="A43:Z43"/>
    <mergeCell ref="P54:T54"/>
    <mergeCell ref="B277:C277"/>
    <mergeCell ref="A244:O245"/>
    <mergeCell ref="A170:Z170"/>
    <mergeCell ref="D10:E10"/>
    <mergeCell ref="P64:T64"/>
    <mergeCell ref="F10:G10"/>
    <mergeCell ref="P191:T191"/>
    <mergeCell ref="A121:O122"/>
    <mergeCell ref="D243:E243"/>
    <mergeCell ref="D99:E99"/>
    <mergeCell ref="P205:V205"/>
    <mergeCell ref="P128:T128"/>
    <mergeCell ref="A176:Z176"/>
    <mergeCell ref="A257:Z257"/>
    <mergeCell ref="Q13:R13"/>
    <mergeCell ref="P139:T139"/>
    <mergeCell ref="A125:O126"/>
    <mergeCell ref="P247:T247"/>
    <mergeCell ref="A255:O256"/>
    <mergeCell ref="P250:V250"/>
    <mergeCell ref="A246:Z246"/>
    <mergeCell ref="A103:O104"/>
    <mergeCell ref="M17:M18"/>
    <mergeCell ref="O17:O18"/>
    <mergeCell ref="P187:V187"/>
    <mergeCell ref="P174:V174"/>
    <mergeCell ref="D74:E74"/>
    <mergeCell ref="P135:V135"/>
    <mergeCell ref="D179:E179"/>
    <mergeCell ref="D166:E166"/>
    <mergeCell ref="P195:T195"/>
    <mergeCell ref="A17:A18"/>
    <mergeCell ref="P211:V211"/>
    <mergeCell ref="A36:Z36"/>
    <mergeCell ref="P88:V88"/>
    <mergeCell ref="A78:Z78"/>
    <mergeCell ref="P153:V153"/>
    <mergeCell ref="D53:E53"/>
    <mergeCell ref="D47:E47"/>
    <mergeCell ref="A50:Z50"/>
    <mergeCell ref="H5:M5"/>
    <mergeCell ref="P158:V158"/>
    <mergeCell ref="A154:Z154"/>
    <mergeCell ref="P98:T98"/>
    <mergeCell ref="D146:E146"/>
    <mergeCell ref="D6:M6"/>
    <mergeCell ref="A85:Z85"/>
    <mergeCell ref="P33:T33"/>
    <mergeCell ref="P226:T226"/>
    <mergeCell ref="P57:V57"/>
    <mergeCell ref="G17:G18"/>
    <mergeCell ref="A152:O153"/>
    <mergeCell ref="A143:Z143"/>
    <mergeCell ref="P121:V121"/>
    <mergeCell ref="D80:E80"/>
    <mergeCell ref="A207:Z207"/>
    <mergeCell ref="P42:V42"/>
    <mergeCell ref="A169:Z169"/>
    <mergeCell ref="A225:Z225"/>
    <mergeCell ref="P148:V148"/>
    <mergeCell ref="P46:T46"/>
    <mergeCell ref="A9:C9"/>
    <mergeCell ref="P70:V70"/>
    <mergeCell ref="P103:V103"/>
    <mergeCell ref="T278:T279"/>
    <mergeCell ref="P156:T156"/>
    <mergeCell ref="P56:V56"/>
    <mergeCell ref="D39:E39"/>
    <mergeCell ref="AA17:AA18"/>
    <mergeCell ref="H10:M10"/>
    <mergeCell ref="AC17:AC18"/>
    <mergeCell ref="P108:T108"/>
    <mergeCell ref="A224:Z224"/>
    <mergeCell ref="A72:Z72"/>
    <mergeCell ref="P254:T254"/>
    <mergeCell ref="P147:V147"/>
    <mergeCell ref="P45:T45"/>
    <mergeCell ref="D128:E128"/>
    <mergeCell ref="D199:E199"/>
    <mergeCell ref="P234:V234"/>
    <mergeCell ref="A59:Z59"/>
    <mergeCell ref="A93:O94"/>
    <mergeCell ref="P22:T22"/>
    <mergeCell ref="P40:T40"/>
    <mergeCell ref="P80:T80"/>
    <mergeCell ref="Z17:Z18"/>
    <mergeCell ref="P29:V29"/>
    <mergeCell ref="AB17:AB18"/>
    <mergeCell ref="P249:V249"/>
    <mergeCell ref="P28:V28"/>
    <mergeCell ref="P221:V221"/>
    <mergeCell ref="P215:V215"/>
    <mergeCell ref="A67:Z67"/>
    <mergeCell ref="A160:Z160"/>
    <mergeCell ref="V6:W9"/>
    <mergeCell ref="AD278:AD279"/>
    <mergeCell ref="P232:T232"/>
    <mergeCell ref="P152:V152"/>
    <mergeCell ref="D140:E140"/>
    <mergeCell ref="D267:E267"/>
    <mergeCell ref="H17:H18"/>
    <mergeCell ref="P261:T261"/>
    <mergeCell ref="D204:E204"/>
    <mergeCell ref="P161:T161"/>
    <mergeCell ref="D198:E198"/>
    <mergeCell ref="P275:V275"/>
    <mergeCell ref="P104:V104"/>
    <mergeCell ref="A157:O158"/>
    <mergeCell ref="P27:T27"/>
    <mergeCell ref="D75:E75"/>
    <mergeCell ref="K278:K279"/>
    <mergeCell ref="P41:V41"/>
    <mergeCell ref="P204:T204"/>
    <mergeCell ref="P179:T179"/>
    <mergeCell ref="J9:M9"/>
    <mergeCell ref="A65:O66"/>
    <mergeCell ref="A56:O57"/>
    <mergeCell ref="D114:E114"/>
    <mergeCell ref="D64:E64"/>
    <mergeCell ref="P248:T248"/>
    <mergeCell ref="A129:O130"/>
    <mergeCell ref="P157:V157"/>
    <mergeCell ref="A38:Z38"/>
    <mergeCell ref="D181:E181"/>
    <mergeCell ref="A221:O222"/>
    <mergeCell ref="P91:T91"/>
    <mergeCell ref="P94:V94"/>
    <mergeCell ref="A212:Z212"/>
    <mergeCell ref="A90:Z90"/>
    <mergeCell ref="P237:V237"/>
    <mergeCell ref="P129:V129"/>
    <mergeCell ref="P101:T101"/>
    <mergeCell ref="L278:L279"/>
    <mergeCell ref="A203:Z203"/>
    <mergeCell ref="D68:E68"/>
    <mergeCell ref="P126:V126"/>
    <mergeCell ref="P24:T24"/>
    <mergeCell ref="A141:O142"/>
    <mergeCell ref="P260:T260"/>
    <mergeCell ref="A63:Z63"/>
    <mergeCell ref="D172:E172"/>
    <mergeCell ref="P26:T26"/>
    <mergeCell ref="P227:V227"/>
    <mergeCell ref="P71:V71"/>
    <mergeCell ref="A138:Z138"/>
    <mergeCell ref="S278:S279"/>
    <mergeCell ref="P271:V271"/>
    <mergeCell ref="A230:Z230"/>
    <mergeCell ref="P273:V273"/>
    <mergeCell ref="A155:Z155"/>
    <mergeCell ref="P268:V268"/>
    <mergeCell ref="A235:Z235"/>
    <mergeCell ref="P102:T102"/>
    <mergeCell ref="R278:R279"/>
    <mergeCell ref="P196:T196"/>
    <mergeCell ref="B278:B279"/>
    <mergeCell ref="T5:U5"/>
    <mergeCell ref="D119:E119"/>
    <mergeCell ref="V5:W5"/>
    <mergeCell ref="D46:E46"/>
    <mergeCell ref="D40:E40"/>
    <mergeCell ref="M278:M279"/>
    <mergeCell ref="A34:O35"/>
    <mergeCell ref="A28:O29"/>
    <mergeCell ref="P69:T69"/>
    <mergeCell ref="Q8:R8"/>
    <mergeCell ref="P140:T140"/>
    <mergeCell ref="P267:T267"/>
    <mergeCell ref="A186:O187"/>
    <mergeCell ref="D248:E248"/>
    <mergeCell ref="P83:V83"/>
    <mergeCell ref="A79:Z79"/>
    <mergeCell ref="A82:O83"/>
    <mergeCell ref="T6:U9"/>
    <mergeCell ref="Q10:R10"/>
    <mergeCell ref="D185:E185"/>
    <mergeCell ref="P256:V256"/>
    <mergeCell ref="A137:Z137"/>
    <mergeCell ref="A208:Z208"/>
    <mergeCell ref="A37:Z37"/>
    <mergeCell ref="D278:D279"/>
    <mergeCell ref="D52:E52"/>
    <mergeCell ref="P110:V110"/>
    <mergeCell ref="D27:E27"/>
    <mergeCell ref="P15:T16"/>
    <mergeCell ref="D116:E116"/>
    <mergeCell ref="A177:Z177"/>
    <mergeCell ref="D91:E91"/>
    <mergeCell ref="P23:T23"/>
    <mergeCell ref="A164:Z164"/>
    <mergeCell ref="D156:E156"/>
    <mergeCell ref="P185:T185"/>
    <mergeCell ref="A41:O42"/>
    <mergeCell ref="D264:E264"/>
    <mergeCell ref="D220:E220"/>
    <mergeCell ref="A251:Z251"/>
    <mergeCell ref="P65:V65"/>
    <mergeCell ref="P136:V136"/>
    <mergeCell ref="A188:Z188"/>
    <mergeCell ref="A135:O136"/>
    <mergeCell ref="P228:V228"/>
    <mergeCell ref="J278:J279"/>
    <mergeCell ref="A240:Z240"/>
    <mergeCell ref="X277:Z277"/>
    <mergeCell ref="W278:W279"/>
    <mergeCell ref="A189:Z189"/>
    <mergeCell ref="C17:C18"/>
    <mergeCell ref="K17:K18"/>
    <mergeCell ref="D180:E180"/>
    <mergeCell ref="P197:T197"/>
    <mergeCell ref="D118:E118"/>
    <mergeCell ref="P53:T53"/>
    <mergeCell ref="D161:E161"/>
    <mergeCell ref="D232:E232"/>
    <mergeCell ref="P238:V238"/>
    <mergeCell ref="A210:O211"/>
    <mergeCell ref="P264:T264"/>
    <mergeCell ref="P68:T68"/>
    <mergeCell ref="P186:V186"/>
    <mergeCell ref="P82:V82"/>
    <mergeCell ref="A249:O250"/>
    <mergeCell ref="A44:Z44"/>
    <mergeCell ref="C278:C279"/>
    <mergeCell ref="P34:V34"/>
    <mergeCell ref="A239:Z239"/>
    <mergeCell ref="P270:V270"/>
    <mergeCell ref="A95:Z95"/>
    <mergeCell ref="D261:E261"/>
    <mergeCell ref="A219:Z219"/>
    <mergeCell ref="Q11:R11"/>
    <mergeCell ref="D260:E260"/>
    <mergeCell ref="D113:E113"/>
    <mergeCell ref="P180:T180"/>
    <mergeCell ref="P118:T118"/>
    <mergeCell ref="A96:Z96"/>
    <mergeCell ref="D26:E26"/>
    <mergeCell ref="P117:T117"/>
    <mergeCell ref="P55:T55"/>
    <mergeCell ref="D115:E115"/>
    <mergeCell ref="Q12:R12"/>
    <mergeCell ref="P119:T119"/>
    <mergeCell ref="P183:V183"/>
    <mergeCell ref="D60:E60"/>
    <mergeCell ref="P73:T73"/>
    <mergeCell ref="P87:V87"/>
    <mergeCell ref="P245:V245"/>
    <mergeCell ref="D45:E45"/>
    <mergeCell ref="A13:M13"/>
    <mergeCell ref="P244:V244"/>
    <mergeCell ref="P115:T115"/>
    <mergeCell ref="D254:E254"/>
    <mergeCell ref="A15:M15"/>
    <mergeCell ref="D1:F1"/>
    <mergeCell ref="P47:T47"/>
    <mergeCell ref="J17:J18"/>
    <mergeCell ref="P61:V61"/>
    <mergeCell ref="L17:L18"/>
    <mergeCell ref="A184:Z184"/>
    <mergeCell ref="P48:V48"/>
    <mergeCell ref="A171:Z171"/>
    <mergeCell ref="A165:Z165"/>
    <mergeCell ref="P125:V125"/>
    <mergeCell ref="D100:E100"/>
    <mergeCell ref="P113:T113"/>
    <mergeCell ref="P17:T18"/>
    <mergeCell ref="A167:O168"/>
    <mergeCell ref="D108:E108"/>
    <mergeCell ref="A182:O183"/>
    <mergeCell ref="P52:T52"/>
    <mergeCell ref="I17:I18"/>
    <mergeCell ref="A48:O49"/>
    <mergeCell ref="A6:C6"/>
    <mergeCell ref="P62:V62"/>
    <mergeCell ref="A123:Z123"/>
    <mergeCell ref="A5:C5"/>
    <mergeCell ref="D9:E9"/>
    <mergeCell ref="H1:Q1"/>
    <mergeCell ref="P109:V109"/>
    <mergeCell ref="P274:V274"/>
    <mergeCell ref="D214:E214"/>
    <mergeCell ref="P222:V222"/>
    <mergeCell ref="P193:V193"/>
    <mergeCell ref="P120:T120"/>
    <mergeCell ref="D259:E259"/>
    <mergeCell ref="A237:O238"/>
    <mergeCell ref="A174:O175"/>
    <mergeCell ref="D236:E236"/>
    <mergeCell ref="D117:E117"/>
    <mergeCell ref="D92:E92"/>
    <mergeCell ref="D55:E55"/>
    <mergeCell ref="P242:T242"/>
    <mergeCell ref="D5:E5"/>
    <mergeCell ref="P259:T259"/>
    <mergeCell ref="D69:E69"/>
    <mergeCell ref="A109:O110"/>
    <mergeCell ref="P175:V175"/>
    <mergeCell ref="P162:V162"/>
    <mergeCell ref="P93:V93"/>
    <mergeCell ref="P269:V269"/>
    <mergeCell ref="P35:V35"/>
    <mergeCell ref="D7:M7"/>
    <mergeCell ref="P236:T236"/>
    <mergeCell ref="P92:T92"/>
    <mergeCell ref="P173:T173"/>
    <mergeCell ref="P100:T100"/>
    <mergeCell ref="D81:E81"/>
    <mergeCell ref="P265:T265"/>
    <mergeCell ref="D8:M8"/>
    <mergeCell ref="D139:E139"/>
    <mergeCell ref="A241:Z241"/>
    <mergeCell ref="P182:V182"/>
    <mergeCell ref="D145:E145"/>
    <mergeCell ref="A218:Z218"/>
    <mergeCell ref="P39:T39"/>
    <mergeCell ref="D209:E209"/>
    <mergeCell ref="P166:T166"/>
    <mergeCell ref="A89:Z89"/>
    <mergeCell ref="P116:T116"/>
    <mergeCell ref="A105:Z105"/>
    <mergeCell ref="A162:O163"/>
    <mergeCell ref="P32:T32"/>
    <mergeCell ref="A233:O234"/>
    <mergeCell ref="A227:O228"/>
    <mergeCell ref="P97:T97"/>
    <mergeCell ref="R1:T1"/>
    <mergeCell ref="F278:F279"/>
    <mergeCell ref="D98:E98"/>
    <mergeCell ref="D73:E73"/>
    <mergeCell ref="P77:V77"/>
    <mergeCell ref="A76:O77"/>
    <mergeCell ref="A147:O148"/>
    <mergeCell ref="P141:V141"/>
    <mergeCell ref="P206:V206"/>
    <mergeCell ref="A202:Z202"/>
    <mergeCell ref="P233:V233"/>
    <mergeCell ref="A58:Z58"/>
    <mergeCell ref="P168:V168"/>
    <mergeCell ref="B17:B18"/>
    <mergeCell ref="D258:E258"/>
    <mergeCell ref="P252:T252"/>
    <mergeCell ref="D124:E124"/>
    <mergeCell ref="D195:E195"/>
    <mergeCell ref="P81:T81"/>
    <mergeCell ref="V10:W10"/>
    <mergeCell ref="P99:T99"/>
    <mergeCell ref="P145:T145"/>
    <mergeCell ref="D197:E197"/>
    <mergeCell ref="D253:E253"/>
    <mergeCell ref="D263:E263"/>
    <mergeCell ref="P220:T220"/>
    <mergeCell ref="A70:O71"/>
    <mergeCell ref="Y278:Y279"/>
    <mergeCell ref="P86:T86"/>
    <mergeCell ref="P213:T213"/>
    <mergeCell ref="D134:E134"/>
    <mergeCell ref="A87:O88"/>
    <mergeCell ref="P172:T172"/>
    <mergeCell ref="A84:Z84"/>
    <mergeCell ref="A149:Z149"/>
    <mergeCell ref="P209:T209"/>
    <mergeCell ref="Q278:Q279"/>
    <mergeCell ref="A150:Z150"/>
    <mergeCell ref="A144:Z144"/>
    <mergeCell ref="P278:P279"/>
    <mergeCell ref="P266:T266"/>
    <mergeCell ref="A278:A279"/>
    <mergeCell ref="P130:V130"/>
    <mergeCell ref="A229:Z229"/>
    <mergeCell ref="V278:V279"/>
    <mergeCell ref="X278:X279"/>
    <mergeCell ref="P258:T258"/>
    <mergeCell ref="P201:V201"/>
    <mergeCell ref="W17:W18"/>
    <mergeCell ref="F9:G9"/>
    <mergeCell ref="A31:Z31"/>
    <mergeCell ref="A12:M12"/>
    <mergeCell ref="P200:V200"/>
    <mergeCell ref="P74:T74"/>
    <mergeCell ref="A190:Z190"/>
    <mergeCell ref="A19:Z19"/>
    <mergeCell ref="A14:M14"/>
    <mergeCell ref="A111:Z111"/>
    <mergeCell ref="Q9:R9"/>
    <mergeCell ref="P49:V49"/>
    <mergeCell ref="A159:Z159"/>
    <mergeCell ref="D24:E24"/>
    <mergeCell ref="H9:I9"/>
    <mergeCell ref="A61:O62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54 X60 X64 X68:X69 X73:X75 X80 X102 X113 X117 X120 X124 X128 X139 X145:X146 X156 X161 X172 X185 X195:X199 X209 X213:X214 X220 X232 X236 X242 X248 X254 X258 X261:X267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3 X55 X81 X86 X91:X92 X97:X101 X107:X108 X114:X116 X118:X119 X133 X140 X151 X166 X173 X179:X181 X191 X204 X226 X243 X247 X252:X253 X259:X260" xr:uid="{00000000-0002-0000-0000-000012000000}">
      <formula1>IF(AK39&gt;0,OR(X39=0,AND(IF(X39-AK39&gt;=0,TRUE,FALSE),X39&gt;0,IF(X39/K39=ROUND(X39/K39,0),TRUE,FALSE))),FALSE)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134" xr:uid="{00000000-0002-0000-0000-000013000000}">
      <formula1>IF(AK134&gt;0,OR(X134=0,AND(IF(X134-AK134&gt;=0,TRUE,FALSE),X134&gt;0,IF(X134/J134=ROUND(X134/J134,0),TRUE,FALSE))),FALSE)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379</v>
      </c>
      <c r="H1" s="52"/>
    </row>
    <row r="3" spans="2:8" x14ac:dyDescent="0.2">
      <c r="B3" s="47" t="s">
        <v>380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381</v>
      </c>
      <c r="D6" s="47" t="s">
        <v>382</v>
      </c>
      <c r="E6" s="47"/>
    </row>
    <row r="8" spans="2:8" x14ac:dyDescent="0.2">
      <c r="B8" s="47" t="s">
        <v>18</v>
      </c>
      <c r="C8" s="47" t="s">
        <v>381</v>
      </c>
      <c r="D8" s="47"/>
      <c r="E8" s="47"/>
    </row>
    <row r="10" spans="2:8" x14ac:dyDescent="0.2">
      <c r="B10" s="47" t="s">
        <v>383</v>
      </c>
      <c r="C10" s="47"/>
      <c r="D10" s="47"/>
      <c r="E10" s="47"/>
    </row>
    <row r="11" spans="2:8" x14ac:dyDescent="0.2">
      <c r="B11" s="47" t="s">
        <v>384</v>
      </c>
      <c r="C11" s="47"/>
      <c r="D11" s="47"/>
      <c r="E11" s="47"/>
    </row>
    <row r="12" spans="2:8" x14ac:dyDescent="0.2">
      <c r="B12" s="47" t="s">
        <v>385</v>
      </c>
      <c r="C12" s="47"/>
      <c r="D12" s="47"/>
      <c r="E12" s="47"/>
    </row>
    <row r="13" spans="2:8" x14ac:dyDescent="0.2">
      <c r="B13" s="47" t="s">
        <v>386</v>
      </c>
      <c r="C13" s="47"/>
      <c r="D13" s="47"/>
      <c r="E13" s="47"/>
    </row>
    <row r="14" spans="2:8" x14ac:dyDescent="0.2">
      <c r="B14" s="47" t="s">
        <v>387</v>
      </c>
      <c r="C14" s="47"/>
      <c r="D14" s="47"/>
      <c r="E14" s="47"/>
    </row>
    <row r="15" spans="2:8" x14ac:dyDescent="0.2">
      <c r="B15" s="47" t="s">
        <v>388</v>
      </c>
      <c r="C15" s="47"/>
      <c r="D15" s="47"/>
      <c r="E15" s="47"/>
    </row>
    <row r="16" spans="2:8" x14ac:dyDescent="0.2">
      <c r="B16" s="47" t="s">
        <v>389</v>
      </c>
      <c r="C16" s="47"/>
      <c r="D16" s="47"/>
      <c r="E16" s="47"/>
    </row>
    <row r="17" spans="2:5" x14ac:dyDescent="0.2">
      <c r="B17" s="47" t="s">
        <v>390</v>
      </c>
      <c r="C17" s="47"/>
      <c r="D17" s="47"/>
      <c r="E17" s="47"/>
    </row>
    <row r="18" spans="2:5" x14ac:dyDescent="0.2">
      <c r="B18" s="47" t="s">
        <v>391</v>
      </c>
      <c r="C18" s="47"/>
      <c r="D18" s="47"/>
      <c r="E18" s="47"/>
    </row>
    <row r="19" spans="2:5" x14ac:dyDescent="0.2">
      <c r="B19" s="47" t="s">
        <v>392</v>
      </c>
      <c r="C19" s="47"/>
      <c r="D19" s="47"/>
      <c r="E19" s="47"/>
    </row>
    <row r="20" spans="2:5" x14ac:dyDescent="0.2">
      <c r="B20" s="47" t="s">
        <v>393</v>
      </c>
      <c r="C20" s="47"/>
      <c r="D20" s="47"/>
      <c r="E20" s="47"/>
    </row>
  </sheetData>
  <sheetProtection algorithmName="SHA-512" hashValue="MnhdSWAHXEyZLVYhVICG7DEFs+4LYxNAPBZqpQA66bZVqmTmSsGN4qlsV4NFLU61IZWgRFBS2g9yEIBMMZ8zcg==" saltValue="vviGMYnQPAjWqdu0qr9J6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417</vt:i4>
      </vt:variant>
    </vt:vector>
  </HeadingPairs>
  <TitlesOfParts>
    <vt:vector size="4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2025-12-19T12:12:11Z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